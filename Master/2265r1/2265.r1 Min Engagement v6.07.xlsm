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265\"/>
    </mc:Choice>
  </mc:AlternateContent>
  <xr:revisionPtr revIDLastSave="0" documentId="13_ncr:1_{4BB0AF8C-67DC-4551-8CF5-593C463CAF56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2" i="1" l="1"/>
  <c r="L20" i="1"/>
  <c r="L15" i="1"/>
  <c r="L13" i="1"/>
  <c r="L6" i="1" a="1"/>
  <c r="L6" i="1" s="1"/>
  <c r="L2" i="1" a="1"/>
  <c r="L2" i="1" s="1"/>
  <c r="M79" i="1"/>
  <c r="AJ32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I14" i="4"/>
  <c r="AJ31" i="4"/>
  <c r="AJ30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2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31" i="4"/>
  <c r="AU15" i="4"/>
  <c r="AU14" i="4"/>
  <c r="AT32" i="4"/>
  <c r="AT31" i="4"/>
  <c r="AT30" i="4"/>
  <c r="AT29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Q14" i="4"/>
  <c r="AU32" i="4"/>
  <c r="AP31" i="4"/>
  <c r="AP30" i="4"/>
  <c r="AP29" i="4"/>
  <c r="AP28" i="4"/>
  <c r="AP27" i="4"/>
  <c r="AI27" i="4" s="1"/>
  <c r="AP26" i="4"/>
  <c r="AP25" i="4"/>
  <c r="AP24" i="4"/>
  <c r="AP23" i="4"/>
  <c r="AV23" i="4" s="1"/>
  <c r="AP22" i="4"/>
  <c r="AU22" i="4" s="1"/>
  <c r="AP21" i="4"/>
  <c r="AV21" i="4" s="1"/>
  <c r="AP20" i="4"/>
  <c r="AP19" i="4"/>
  <c r="AI19" i="4" s="1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JD24" i="7" l="1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I25" i="4"/>
  <c r="AU18" i="4"/>
  <c r="AI18" i="4"/>
  <c r="AU26" i="4"/>
  <c r="AI26" i="4"/>
  <c r="AI20" i="4"/>
  <c r="AV28" i="4"/>
  <c r="AU21" i="4"/>
  <c r="AI21" i="4"/>
  <c r="AV25" i="4"/>
  <c r="AU17" i="4"/>
  <c r="AI17" i="4"/>
  <c r="AI22" i="4"/>
  <c r="AU23" i="4"/>
  <c r="AW23" i="4" s="1"/>
  <c r="AI23" i="4"/>
  <c r="AU29" i="4"/>
  <c r="AU16" i="4"/>
  <c r="AI16" i="4"/>
  <c r="AU30" i="4"/>
  <c r="AU24" i="4"/>
  <c r="AI24" i="4"/>
  <c r="AV24" i="4"/>
  <c r="AX24" i="4" s="1"/>
  <c r="AV27" i="4"/>
  <c r="AV29" i="4"/>
  <c r="AV26" i="4"/>
  <c r="AV18" i="4"/>
  <c r="AX18" i="4" s="1"/>
  <c r="AV30" i="4"/>
  <c r="AV19" i="4"/>
  <c r="AX19" i="4" s="1"/>
  <c r="AV31" i="4"/>
  <c r="AU19" i="4"/>
  <c r="AU27" i="4"/>
  <c r="AV16" i="4"/>
  <c r="AV20" i="4"/>
  <c r="AX20" i="4" s="1"/>
  <c r="AV32" i="4"/>
  <c r="AU20" i="4"/>
  <c r="AW20" i="4" s="1"/>
  <c r="AU28" i="4"/>
  <c r="AV17" i="4"/>
  <c r="AX17" i="4" s="1"/>
  <c r="AV22" i="4"/>
  <c r="AX22" i="4" s="1"/>
  <c r="AW32" i="4"/>
  <c r="AW17" i="4"/>
  <c r="AX14" i="4"/>
  <c r="AW14" i="4"/>
  <c r="AX23" i="4"/>
  <c r="AX15" i="4"/>
  <c r="AX25" i="4"/>
  <c r="AX16" i="4"/>
  <c r="AX27" i="4"/>
  <c r="AW16" i="4"/>
  <c r="AX26" i="4"/>
  <c r="AW24" i="4"/>
  <c r="AW19" i="4"/>
  <c r="AX21" i="4"/>
  <c r="AW15" i="4"/>
  <c r="AW26" i="4"/>
  <c r="AW27" i="4"/>
  <c r="AW25" i="4"/>
  <c r="AW18" i="4"/>
  <c r="AW21" i="4"/>
  <c r="AW22" i="4"/>
  <c r="K112" i="1" l="1"/>
  <c r="K9" i="1"/>
  <c r="K43" i="1"/>
  <c r="K27" i="1"/>
  <c r="K99" i="1"/>
  <c r="K61" i="1"/>
  <c r="K98" i="1"/>
  <c r="K97" i="1"/>
  <c r="K96" i="1"/>
  <c r="K42" i="1"/>
  <c r="K41" i="1"/>
  <c r="K38" i="1"/>
  <c r="K92" i="1"/>
  <c r="K78" i="1"/>
  <c r="K77" i="1"/>
  <c r="K115" i="1"/>
  <c r="K114" i="1"/>
  <c r="K74" i="1"/>
  <c r="K26" i="1"/>
  <c r="K20" i="1"/>
  <c r="K110" i="1"/>
  <c r="K57" i="1"/>
  <c r="K76" i="1"/>
  <c r="K113" i="1"/>
  <c r="K64" i="1"/>
  <c r="K25" i="1"/>
  <c r="K63" i="1"/>
  <c r="K62" i="1"/>
  <c r="K24" i="1"/>
  <c r="K40" i="1"/>
  <c r="K102" i="1"/>
  <c r="O172" i="1"/>
  <c r="K90" i="1"/>
  <c r="K52" i="1"/>
  <c r="K73" i="1"/>
  <c r="K107" i="1"/>
  <c r="K118" i="1"/>
  <c r="K45" i="1"/>
  <c r="K79" i="1"/>
  <c r="K33" i="1"/>
  <c r="K82" i="1"/>
  <c r="K66" i="1"/>
  <c r="K15" i="1"/>
  <c r="K49" i="1"/>
  <c r="K106" i="1"/>
  <c r="K67" i="1"/>
  <c r="K37" i="1"/>
  <c r="K116" i="1"/>
  <c r="K70" i="1"/>
  <c r="K54" i="1"/>
  <c r="K83" i="1"/>
  <c r="K55" i="1"/>
  <c r="K17" i="1"/>
  <c r="K87" i="1"/>
  <c r="K12" i="1"/>
  <c r="K28" i="1"/>
  <c r="K101" i="1"/>
  <c r="K51" i="1"/>
  <c r="K36" i="1"/>
  <c r="K47" i="1"/>
  <c r="K68" i="1"/>
  <c r="O171" i="1"/>
  <c r="K14" i="1"/>
  <c r="K19" i="1"/>
  <c r="K71" i="1"/>
  <c r="K89" i="1"/>
  <c r="K11" i="1"/>
  <c r="K35" i="1"/>
  <c r="K34" i="1"/>
  <c r="K56" i="1"/>
  <c r="K30" i="1"/>
  <c r="K72" i="1"/>
  <c r="K18" i="1"/>
  <c r="K65" i="1"/>
  <c r="K86" i="1"/>
  <c r="K108" i="1"/>
  <c r="K117" i="1"/>
  <c r="K44" i="1"/>
  <c r="K53" i="1"/>
  <c r="K10" i="1"/>
  <c r="K32" i="1"/>
  <c r="K13" i="1"/>
  <c r="K104" i="1"/>
  <c r="K29" i="1"/>
  <c r="K50" i="1"/>
  <c r="K84" i="1"/>
  <c r="K105" i="1"/>
  <c r="K16" i="1"/>
  <c r="K46" i="1"/>
  <c r="K31" i="1"/>
  <c r="K100" i="1"/>
  <c r="K109" i="1"/>
  <c r="K48" i="1"/>
  <c r="K81" i="1"/>
  <c r="K103" i="1"/>
  <c r="K88" i="1"/>
  <c r="K85" i="1"/>
  <c r="K69" i="1"/>
  <c r="K91" i="1"/>
  <c r="K80" i="1"/>
  <c r="O173" i="1"/>
  <c r="AS5" i="1"/>
  <c r="AS6" i="1" s="1"/>
  <c r="AS5" i="7"/>
  <c r="AS6" i="7" s="1"/>
  <c r="C1" i="7"/>
  <c r="C1" i="1" l="1"/>
  <c r="AO32" i="4" l="1"/>
  <c r="AO31" i="4"/>
  <c r="AO30" i="4"/>
  <c r="AO29" i="4"/>
  <c r="AO28" i="4"/>
  <c r="L151" i="1"/>
  <c r="AQ28" i="4" l="1"/>
  <c r="AI28" i="4" s="1"/>
  <c r="AR28" i="4"/>
  <c r="AR29" i="4"/>
  <c r="AQ29" i="4"/>
  <c r="AI29" i="4" s="1"/>
  <c r="AQ30" i="4"/>
  <c r="AI30" i="4" s="1"/>
  <c r="AR30" i="4"/>
  <c r="AQ31" i="4"/>
  <c r="AI31" i="4" s="1"/>
  <c r="AR31" i="4"/>
  <c r="AQ32" i="4"/>
  <c r="AI32" i="4" s="1"/>
  <c r="AR32" i="4"/>
  <c r="AX30" i="4"/>
  <c r="AX32" i="4"/>
  <c r="AX29" i="4"/>
  <c r="AW29" i="4"/>
  <c r="AX28" i="4"/>
  <c r="AW28" i="4"/>
  <c r="AX31" i="4"/>
  <c r="AW31" i="4"/>
  <c r="AW30" i="4"/>
  <c r="K60" i="1" l="1"/>
  <c r="K22" i="1"/>
  <c r="K23" i="1"/>
  <c r="K59" i="1"/>
  <c r="K39" i="1"/>
  <c r="K95" i="1"/>
  <c r="K111" i="1"/>
  <c r="K94" i="1"/>
  <c r="K58" i="1"/>
  <c r="K93" i="1"/>
  <c r="K21" i="1"/>
  <c r="K75" i="1"/>
  <c r="Q8" i="7" l="1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M82" i="1"/>
  <c r="IG82" i="1" s="1"/>
  <c r="M81" i="1"/>
  <c r="IG81" i="1" s="1"/>
  <c r="M80" i="1"/>
  <c r="IG80" i="1" s="1"/>
  <c r="IG79" i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83" i="1" l="1"/>
  <c r="IG4" i="1" s="1" a="1"/>
  <c r="IG4" i="1" s="1"/>
  <c r="IH83" i="1" a="1"/>
  <c r="IH83" i="1" s="1"/>
  <c r="II83" i="1" s="1" a="1"/>
  <c r="II83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J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IJ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I11" i="1" l="1" a="1"/>
  <c r="II11" i="1" s="1"/>
  <c r="IJ11" i="1" s="1"/>
  <c r="II10" i="1" a="1"/>
  <c r="II10" i="1" s="1"/>
  <c r="IJ10" i="1" s="1"/>
  <c r="IJ83" i="1"/>
  <c r="IK83" i="1"/>
  <c r="IJ9" i="1"/>
  <c r="IK21" i="1"/>
  <c r="IK59" i="1"/>
  <c r="IR16" i="1"/>
  <c r="IK16" i="1"/>
  <c r="IW16" i="1"/>
  <c r="IN16" i="1"/>
  <c r="Q16" i="1"/>
  <c r="IS47" i="1"/>
  <c r="IR47" i="1"/>
  <c r="IL47" i="1"/>
  <c r="IW47" i="1"/>
  <c r="IV47" i="1"/>
  <c r="IN47" i="1"/>
  <c r="IU47" i="1"/>
  <c r="IE47" i="1" s="1"/>
  <c r="IK47" i="1"/>
  <c r="IT47" i="1"/>
  <c r="IP47" i="1"/>
  <c r="IY47" i="1"/>
  <c r="IX47" i="1"/>
  <c r="IQ47" i="1"/>
  <c r="IN92" i="1"/>
  <c r="IS92" i="1"/>
  <c r="IX92" i="1"/>
  <c r="IV92" i="1"/>
  <c r="IQ92" i="1"/>
  <c r="IT92" i="1"/>
  <c r="IY92" i="1"/>
  <c r="IP92" i="1"/>
  <c r="IL92" i="1"/>
  <c r="IR92" i="1"/>
  <c r="IW92" i="1"/>
  <c r="IK92" i="1"/>
  <c r="IU92" i="1"/>
  <c r="IE92" i="1" s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Q68" i="1"/>
  <c r="IP68" i="1"/>
  <c r="IK68" i="1"/>
  <c r="IN68" i="1"/>
  <c r="IR68" i="1"/>
  <c r="IW68" i="1"/>
  <c r="IW80" i="1"/>
  <c r="IK80" i="1"/>
  <c r="IN80" i="1"/>
  <c r="IR80" i="1"/>
  <c r="IQ87" i="1"/>
  <c r="IN87" i="1"/>
  <c r="IW87" i="1"/>
  <c r="IK87" i="1"/>
  <c r="IR87" i="1"/>
  <c r="IP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K111" i="1"/>
  <c r="IW111" i="1"/>
  <c r="IN111" i="1"/>
  <c r="IR111" i="1"/>
  <c r="IQ69" i="1"/>
  <c r="IN69" i="1"/>
  <c r="IR69" i="1"/>
  <c r="IW69" i="1"/>
  <c r="IP69" i="1"/>
  <c r="IK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R84" i="1"/>
  <c r="IP84" i="1"/>
  <c r="IW84" i="1"/>
  <c r="IQ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R57" i="1"/>
  <c r="IK57" i="1"/>
  <c r="IW57" i="1"/>
  <c r="IQ57" i="1"/>
  <c r="IN57" i="1"/>
  <c r="IP57" i="1"/>
  <c r="IR113" i="1"/>
  <c r="IW113" i="1"/>
  <c r="IN113" i="1"/>
  <c r="IK113" i="1"/>
  <c r="IP82" i="1"/>
  <c r="IW82" i="1"/>
  <c r="IQ82" i="1"/>
  <c r="IK82" i="1"/>
  <c r="IN82" i="1"/>
  <c r="IR82" i="1"/>
  <c r="IN21" i="1"/>
  <c r="IW21" i="1"/>
  <c r="IR21" i="1"/>
  <c r="IT15" i="1"/>
  <c r="IR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S73" i="1"/>
  <c r="IR73" i="1"/>
  <c r="IY73" i="1"/>
  <c r="IL73" i="1"/>
  <c r="IW73" i="1"/>
  <c r="IX73" i="1"/>
  <c r="IK73" i="1"/>
  <c r="IQ73" i="1"/>
  <c r="IP73" i="1"/>
  <c r="IU73" i="1"/>
  <c r="IE73" i="1" s="1"/>
  <c r="IT73" i="1"/>
  <c r="IV73" i="1"/>
  <c r="IN73" i="1"/>
  <c r="IQ108" i="1"/>
  <c r="IN108" i="1"/>
  <c r="IX108" i="1"/>
  <c r="IK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Q106" i="1"/>
  <c r="IS106" i="1"/>
  <c r="IN106" i="1"/>
  <c r="IL106" i="1"/>
  <c r="IK106" i="1"/>
  <c r="IV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Q83" i="1"/>
  <c r="IN83" i="1"/>
  <c r="IR83" i="1"/>
  <c r="IW83" i="1"/>
  <c r="IP83" i="1"/>
  <c r="IW118" i="1"/>
  <c r="IR118" i="1"/>
  <c r="IK118" i="1"/>
  <c r="IN118" i="1"/>
  <c r="IP38" i="1"/>
  <c r="IR38" i="1"/>
  <c r="IQ38" i="1"/>
  <c r="IN38" i="1"/>
  <c r="IW38" i="1"/>
  <c r="IK38" i="1"/>
  <c r="IQ91" i="1"/>
  <c r="IK91" i="1"/>
  <c r="IY91" i="1"/>
  <c r="IV91" i="1"/>
  <c r="IS91" i="1"/>
  <c r="IT91" i="1"/>
  <c r="IP91" i="1"/>
  <c r="IW91" i="1"/>
  <c r="IL91" i="1"/>
  <c r="IU91" i="1"/>
  <c r="IE91" i="1" s="1"/>
  <c r="IR91" i="1"/>
  <c r="IN91" i="1"/>
  <c r="IX91" i="1"/>
  <c r="IU11" i="1"/>
  <c r="IE11" i="1" s="1"/>
  <c r="IS11" i="1"/>
  <c r="IR11" i="1"/>
  <c r="IX11" i="1"/>
  <c r="IL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Q20" i="1"/>
  <c r="IP20" i="1"/>
  <c r="IN20" i="1"/>
  <c r="IW20" i="1"/>
  <c r="IR54" i="1"/>
  <c r="IK54" i="1"/>
  <c r="IW54" i="1"/>
  <c r="IN54" i="1"/>
  <c r="IP122" i="1"/>
  <c r="IK122" i="1"/>
  <c r="IW122" i="1"/>
  <c r="IU122" i="1"/>
  <c r="IE122" i="1" s="1"/>
  <c r="IV122" i="1"/>
  <c r="IQ122" i="1"/>
  <c r="IY122" i="1"/>
  <c r="IR122" i="1"/>
  <c r="IS122" i="1"/>
  <c r="IX122" i="1"/>
  <c r="IT122" i="1"/>
  <c r="IN122" i="1"/>
  <c r="IL122" i="1"/>
  <c r="IR76" i="1"/>
  <c r="IN76" i="1"/>
  <c r="IW76" i="1"/>
  <c r="IK76" i="1"/>
  <c r="IW112" i="1"/>
  <c r="IK112" i="1"/>
  <c r="IR112" i="1"/>
  <c r="IN112" i="1"/>
  <c r="IL105" i="1"/>
  <c r="IY105" i="1"/>
  <c r="IN105" i="1"/>
  <c r="IW105" i="1"/>
  <c r="IK105" i="1"/>
  <c r="IX105" i="1"/>
  <c r="IS105" i="1"/>
  <c r="IT105" i="1"/>
  <c r="IP105" i="1"/>
  <c r="IV105" i="1"/>
  <c r="IU105" i="1"/>
  <c r="IE105" i="1" s="1"/>
  <c r="IR105" i="1"/>
  <c r="IQ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T9" i="1"/>
  <c r="IV9" i="1"/>
  <c r="IK9" i="1"/>
  <c r="IY9" i="1"/>
  <c r="IU9" i="1"/>
  <c r="IE9" i="1" s="1"/>
  <c r="IP9" i="1"/>
  <c r="IS9" i="1"/>
  <c r="IW9" i="1"/>
  <c r="IQ9" i="1"/>
  <c r="IX9" i="1"/>
  <c r="IL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X12" i="1"/>
  <c r="IR12" i="1"/>
  <c r="IQ12" i="1"/>
  <c r="IX70" i="1"/>
  <c r="IQ70" i="1"/>
  <c r="IP70" i="1"/>
  <c r="IN70" i="1"/>
  <c r="IT70" i="1"/>
  <c r="IY70" i="1"/>
  <c r="IV70" i="1"/>
  <c r="IW70" i="1"/>
  <c r="IU70" i="1"/>
  <c r="IE70" i="1" s="1"/>
  <c r="IK70" i="1"/>
  <c r="IL70" i="1"/>
  <c r="IR70" i="1"/>
  <c r="IS70" i="1"/>
  <c r="IU13" i="1"/>
  <c r="IE13" i="1" s="1"/>
  <c r="IS13" i="1"/>
  <c r="IK13" i="1"/>
  <c r="IN13" i="1"/>
  <c r="IT13" i="1"/>
  <c r="IR13" i="1"/>
  <c r="IQ13" i="1"/>
  <c r="IX13" i="1"/>
  <c r="IY13" i="1"/>
  <c r="IL13" i="1"/>
  <c r="IP13" i="1"/>
  <c r="IV13" i="1"/>
  <c r="IW13" i="1"/>
  <c r="IV90" i="1"/>
  <c r="IS90" i="1"/>
  <c r="IK90" i="1"/>
  <c r="IX90" i="1"/>
  <c r="IQ90" i="1"/>
  <c r="IR90" i="1"/>
  <c r="IW90" i="1"/>
  <c r="IY90" i="1"/>
  <c r="IP90" i="1"/>
  <c r="IN90" i="1"/>
  <c r="IU90" i="1"/>
  <c r="IE90" i="1" s="1"/>
  <c r="IL90" i="1"/>
  <c r="IT90" i="1"/>
  <c r="IK93" i="1"/>
  <c r="IN93" i="1"/>
  <c r="IW93" i="1"/>
  <c r="IR93" i="1"/>
  <c r="IK58" i="1"/>
  <c r="IW58" i="1"/>
  <c r="IN58" i="1"/>
  <c r="IR58" i="1"/>
  <c r="IQ56" i="1"/>
  <c r="IP56" i="1"/>
  <c r="IW56" i="1"/>
  <c r="IR56" i="1"/>
  <c r="IN56" i="1"/>
  <c r="IK56" i="1"/>
  <c r="IR46" i="1"/>
  <c r="IN46" i="1"/>
  <c r="IW46" i="1"/>
  <c r="IK46" i="1"/>
  <c r="IT121" i="1"/>
  <c r="IX121" i="1"/>
  <c r="IY121" i="1"/>
  <c r="IL121" i="1"/>
  <c r="IP121" i="1"/>
  <c r="IR121" i="1"/>
  <c r="IU121" i="1"/>
  <c r="IE121" i="1" s="1"/>
  <c r="IW121" i="1"/>
  <c r="IK121" i="1"/>
  <c r="IN121" i="1"/>
  <c r="IS121" i="1"/>
  <c r="IQ121" i="1"/>
  <c r="IV121" i="1"/>
  <c r="IW77" i="1"/>
  <c r="IK77" i="1"/>
  <c r="IN77" i="1"/>
  <c r="IR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R110" i="1"/>
  <c r="IL110" i="1"/>
  <c r="IN110" i="1"/>
  <c r="IQ71" i="1"/>
  <c r="IN71" i="1"/>
  <c r="IS71" i="1"/>
  <c r="IW71" i="1"/>
  <c r="IT71" i="1"/>
  <c r="IU71" i="1"/>
  <c r="IE71" i="1" s="1"/>
  <c r="IL71" i="1"/>
  <c r="IK71" i="1"/>
  <c r="IV71" i="1"/>
  <c r="IP71" i="1"/>
  <c r="IY71" i="1"/>
  <c r="IX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U10" i="1"/>
  <c r="IE10" i="1" s="1"/>
  <c r="IS10" i="1"/>
  <c r="IT10" i="1"/>
  <c r="IX10" i="1"/>
  <c r="IL10" i="1"/>
  <c r="IR10" i="1"/>
  <c r="IW10" i="1"/>
  <c r="IP10" i="1"/>
  <c r="IK10" i="1"/>
  <c r="IQ10" i="1"/>
  <c r="IV10" i="1"/>
  <c r="IY10" i="1"/>
  <c r="IN10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Q85" i="1"/>
  <c r="IK85" i="1"/>
  <c r="IR85" i="1"/>
  <c r="IW85" i="1"/>
  <c r="IP85" i="1"/>
  <c r="IK63" i="1"/>
  <c r="IW63" i="1"/>
  <c r="IR63" i="1"/>
  <c r="IN63" i="1"/>
  <c r="IV14" i="1"/>
  <c r="IS14" i="1"/>
  <c r="IT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T50" i="1"/>
  <c r="IX50" i="1"/>
  <c r="IY50" i="1"/>
  <c r="IW50" i="1"/>
  <c r="IQ50" i="1"/>
  <c r="IN50" i="1"/>
  <c r="IP50" i="1"/>
  <c r="IR50" i="1"/>
  <c r="IV50" i="1"/>
  <c r="IL50" i="1"/>
  <c r="IU50" i="1"/>
  <c r="IE50" i="1" s="1"/>
  <c r="IS50" i="1"/>
  <c r="IK48" i="1"/>
  <c r="IP48" i="1"/>
  <c r="IT48" i="1"/>
  <c r="IL48" i="1"/>
  <c r="IY48" i="1"/>
  <c r="IV48" i="1"/>
  <c r="IS48" i="1"/>
  <c r="IW48" i="1"/>
  <c r="IR48" i="1"/>
  <c r="IN48" i="1"/>
  <c r="IQ48" i="1"/>
  <c r="IU48" i="1"/>
  <c r="IE48" i="1" s="1"/>
  <c r="IX48" i="1"/>
  <c r="IW22" i="1"/>
  <c r="IK22" i="1"/>
  <c r="IR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K120" i="1"/>
  <c r="IN75" i="1"/>
  <c r="IW75" i="1"/>
  <c r="IK75" i="1"/>
  <c r="IR75" i="1"/>
  <c r="IY107" i="1"/>
  <c r="IL107" i="1"/>
  <c r="IK107" i="1"/>
  <c r="IW107" i="1"/>
  <c r="IN107" i="1"/>
  <c r="IR107" i="1"/>
  <c r="IX107" i="1"/>
  <c r="IP107" i="1"/>
  <c r="IV107" i="1"/>
  <c r="IS107" i="1"/>
  <c r="IT107" i="1"/>
  <c r="IU107" i="1"/>
  <c r="IE107" i="1" s="1"/>
  <c r="IQ107" i="1"/>
  <c r="IU104" i="1"/>
  <c r="IE104" i="1" s="1"/>
  <c r="IS104" i="1"/>
  <c r="IY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Q37" i="1"/>
  <c r="IP37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L32" i="1"/>
  <c r="IT32" i="1"/>
  <c r="IK32" i="1"/>
  <c r="IU32" i="1"/>
  <c r="IE32" i="1" s="1"/>
  <c r="IY32" i="1"/>
  <c r="IW32" i="1"/>
  <c r="IP32" i="1"/>
  <c r="IX32" i="1"/>
  <c r="IN32" i="1"/>
  <c r="IV32" i="1"/>
  <c r="IR32" i="1"/>
  <c r="IQ32" i="1"/>
  <c r="IS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L49" i="1"/>
  <c r="IK49" i="1"/>
  <c r="IT49" i="1"/>
  <c r="IS49" i="1"/>
  <c r="IR49" i="1"/>
  <c r="IQ49" i="1"/>
  <c r="IW49" i="1"/>
  <c r="IP49" i="1"/>
  <c r="IY49" i="1"/>
  <c r="IU49" i="1"/>
  <c r="IE49" i="1" s="1"/>
  <c r="IN49" i="1"/>
  <c r="IV49" i="1"/>
  <c r="IX49" i="1"/>
  <c r="IX72" i="1"/>
  <c r="IQ72" i="1"/>
  <c r="IU72" i="1"/>
  <c r="IE72" i="1" s="1"/>
  <c r="IY72" i="1"/>
  <c r="IT72" i="1"/>
  <c r="IW72" i="1"/>
  <c r="IK72" i="1"/>
  <c r="IR72" i="1"/>
  <c r="IP72" i="1"/>
  <c r="IS72" i="1"/>
  <c r="IN72" i="1"/>
  <c r="IV72" i="1"/>
  <c r="IL72" i="1"/>
  <c r="IR31" i="1"/>
  <c r="IQ31" i="1"/>
  <c r="IP31" i="1"/>
  <c r="IK31" i="1"/>
  <c r="IN31" i="1"/>
  <c r="IW31" i="1"/>
  <c r="IW18" i="1"/>
  <c r="IR18" i="1"/>
  <c r="IN18" i="1"/>
  <c r="IK18" i="1"/>
  <c r="IR55" i="1"/>
  <c r="IK55" i="1"/>
  <c r="IW55" i="1"/>
  <c r="IQ55" i="1"/>
  <c r="IN55" i="1"/>
  <c r="IP55" i="1"/>
  <c r="IR53" i="1"/>
  <c r="IN53" i="1"/>
  <c r="IK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X119" i="1"/>
  <c r="IU119" i="1"/>
  <c r="IE119" i="1" s="1"/>
  <c r="IQ74" i="1"/>
  <c r="IN74" i="1"/>
  <c r="IP74" i="1"/>
  <c r="IW74" i="1"/>
  <c r="IK74" i="1"/>
  <c r="IR74" i="1"/>
  <c r="IS89" i="1"/>
  <c r="IV89" i="1"/>
  <c r="IQ89" i="1"/>
  <c r="IW89" i="1"/>
  <c r="IR89" i="1"/>
  <c r="IK89" i="1"/>
  <c r="IP89" i="1"/>
  <c r="IX89" i="1"/>
  <c r="IN89" i="1"/>
  <c r="IU89" i="1"/>
  <c r="IE89" i="1" s="1"/>
  <c r="IT89" i="1"/>
  <c r="IY89" i="1"/>
  <c r="IL89" i="1"/>
  <c r="IY103" i="1"/>
  <c r="IK103" i="1"/>
  <c r="IN103" i="1"/>
  <c r="IW103" i="1"/>
  <c r="IV103" i="1"/>
  <c r="IR103" i="1"/>
  <c r="IS103" i="1"/>
  <c r="IQ103" i="1"/>
  <c r="IT103" i="1"/>
  <c r="IX103" i="1"/>
  <c r="IL103" i="1"/>
  <c r="IP103" i="1"/>
  <c r="IU103" i="1"/>
  <c r="IE103" i="1" s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L88" i="1"/>
  <c r="IQ88" i="1"/>
  <c r="IU88" i="1"/>
  <c r="IE88" i="1" s="1"/>
  <c r="IR88" i="1"/>
  <c r="IT88" i="1"/>
  <c r="IX88" i="1"/>
  <c r="IY88" i="1"/>
  <c r="IS88" i="1"/>
  <c r="IW88" i="1"/>
  <c r="IP88" i="1"/>
  <c r="IV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W86" i="1"/>
  <c r="IQ86" i="1"/>
  <c r="IK86" i="1"/>
  <c r="IN86" i="1"/>
  <c r="IP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IW11" i="1" l="1"/>
  <c r="IT11" i="1"/>
  <c r="IP11" i="1"/>
  <c r="IY11" i="1"/>
  <c r="IQ11" i="1"/>
  <c r="IN11" i="1"/>
  <c r="IK11" i="1"/>
  <c r="JA23" i="1" s="1" a="1"/>
  <c r="JA23" i="1" s="1"/>
  <c r="JA9" i="1" a="1"/>
  <c r="IF129" i="1"/>
  <c r="IF73" i="1"/>
  <c r="IF49" i="1"/>
  <c r="IF138" i="1"/>
  <c r="IF10" i="1"/>
  <c r="IF150" i="1"/>
  <c r="IF48" i="1"/>
  <c r="IF148" i="1"/>
  <c r="IF127" i="1"/>
  <c r="IF15" i="1"/>
  <c r="IF128" i="1"/>
  <c r="IF9" i="1"/>
  <c r="IF47" i="1"/>
  <c r="IF122" i="1"/>
  <c r="IF147" i="1"/>
  <c r="IF142" i="1"/>
  <c r="IF143" i="1"/>
  <c r="IF137" i="1"/>
  <c r="IF105" i="1"/>
  <c r="IF91" i="1"/>
  <c r="IF135" i="1"/>
  <c r="IF109" i="1"/>
  <c r="IF145" i="1"/>
  <c r="IF106" i="1"/>
  <c r="IF88" i="1"/>
  <c r="IF103" i="1"/>
  <c r="IF13" i="1"/>
  <c r="IF108" i="1"/>
  <c r="IF92" i="1"/>
  <c r="IF131" i="1"/>
  <c r="IF123" i="1"/>
  <c r="IF141" i="1"/>
  <c r="IF89" i="1"/>
  <c r="IF124" i="1"/>
  <c r="IF107" i="1"/>
  <c r="IF146" i="1"/>
  <c r="IF11" i="1"/>
  <c r="IF134" i="1"/>
  <c r="IF12" i="1"/>
  <c r="IF50" i="1"/>
  <c r="IF71" i="1"/>
  <c r="IF133" i="1"/>
  <c r="IF149" i="1"/>
  <c r="IF104" i="1"/>
  <c r="IF130" i="1"/>
  <c r="IF90" i="1"/>
  <c r="IF132" i="1"/>
  <c r="IF119" i="1"/>
  <c r="IF32" i="1"/>
  <c r="IF110" i="1"/>
  <c r="IF125" i="1"/>
  <c r="IF72" i="1"/>
  <c r="IF144" i="1"/>
  <c r="IF120" i="1"/>
  <c r="IF70" i="1"/>
  <c r="IF139" i="1"/>
  <c r="IF126" i="1"/>
  <c r="IF140" i="1"/>
  <c r="IF14" i="1"/>
  <c r="IF121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Q19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IV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IQ77" i="1" s="1"/>
  <c r="O73" i="1"/>
  <c r="O74" i="1"/>
  <c r="AB75" i="1"/>
  <c r="O76" i="1"/>
  <c r="AB78" i="1"/>
  <c r="AB79" i="1"/>
  <c r="O80" i="1"/>
  <c r="P81" i="1"/>
  <c r="S81" i="1" s="1"/>
  <c r="Y81" i="1" s="1"/>
  <c r="IV81" i="1" s="1"/>
  <c r="O82" i="1"/>
  <c r="AA83" i="1"/>
  <c r="AB85" i="1"/>
  <c r="O86" i="1"/>
  <c r="N87" i="1"/>
  <c r="N89" i="1"/>
  <c r="P90" i="1"/>
  <c r="S90" i="1" s="1"/>
  <c r="Y90" i="1" s="1"/>
  <c r="IQ99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Q113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IQ75" i="1" l="1"/>
  <c r="IV69" i="1"/>
  <c r="JA9" i="1"/>
  <c r="JB15" i="1" s="1" a="1"/>
  <c r="JB15" i="1" s="1"/>
  <c r="JB11" i="1" a="1"/>
  <c r="JB11" i="1" s="1"/>
  <c r="JB10" i="1" a="1"/>
  <c r="JB10" i="1" s="1"/>
  <c r="JB24" i="1" a="1"/>
  <c r="JB24" i="1" s="1"/>
  <c r="JB25" i="1" a="1"/>
  <c r="JB25" i="1" s="1"/>
  <c r="T245" i="7"/>
  <c r="Q245" i="7"/>
  <c r="R245" i="7"/>
  <c r="O245" i="7"/>
  <c r="S245" i="7"/>
  <c r="P245" i="7"/>
  <c r="IQ61" i="1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IQ76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IV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N91" i="1"/>
  <c r="R91" i="1" s="1"/>
  <c r="X91" i="1" s="1"/>
  <c r="AQ91" i="1" s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R90" i="1" s="1"/>
  <c r="X90" i="1" s="1"/>
  <c r="GY21" i="1"/>
  <c r="EA21" i="1"/>
  <c r="AB40" i="1"/>
  <c r="O94" i="1"/>
  <c r="P66" i="1"/>
  <c r="S66" i="1" s="1"/>
  <c r="Y66" i="1" s="1"/>
  <c r="AA86" i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IV78" i="1" s="1"/>
  <c r="Z22" i="1"/>
  <c r="P74" i="1"/>
  <c r="S74" i="1" s="1"/>
  <c r="Y74" i="1" s="1"/>
  <c r="IV74" i="1" s="1"/>
  <c r="P98" i="1"/>
  <c r="S98" i="1" s="1"/>
  <c r="Y98" i="1" s="1"/>
  <c r="IV98" i="1" s="1"/>
  <c r="AB86" i="1"/>
  <c r="N62" i="1"/>
  <c r="P39" i="1"/>
  <c r="S39" i="1" s="1"/>
  <c r="Y39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IQ54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IV38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IQ115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AA65" i="1"/>
  <c r="O81" i="1"/>
  <c r="P57" i="1"/>
  <c r="S57" i="1" s="1"/>
  <c r="Y57" i="1" s="1"/>
  <c r="IV57" i="1" s="1"/>
  <c r="O39" i="1"/>
  <c r="N49" i="1"/>
  <c r="N57" i="1"/>
  <c r="R57" i="1" s="1"/>
  <c r="X57" i="1" s="1"/>
  <c r="IU57" i="1" s="1"/>
  <c r="IE57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AM86" i="1" s="1"/>
  <c r="N86" i="1"/>
  <c r="O84" i="1"/>
  <c r="N84" i="1"/>
  <c r="O83" i="1"/>
  <c r="Z63" i="1"/>
  <c r="Y63" i="1"/>
  <c r="IV63" i="1" s="1"/>
  <c r="N63" i="1"/>
  <c r="AA63" i="1"/>
  <c r="Q62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IQ52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Q114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IQ111" i="1" s="1"/>
  <c r="AB104" i="1"/>
  <c r="O104" i="1"/>
  <c r="AA104" i="1"/>
  <c r="AB96" i="1"/>
  <c r="P96" i="1"/>
  <c r="S96" i="1" s="1"/>
  <c r="Y96" i="1" s="1"/>
  <c r="IV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IQ97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IV76" i="1" s="1"/>
  <c r="AA76" i="1"/>
  <c r="N76" i="1"/>
  <c r="AA52" i="1"/>
  <c r="M276" i="7"/>
  <c r="Q121" i="1"/>
  <c r="AA121" i="1"/>
  <c r="Z121" i="1"/>
  <c r="M244" i="7"/>
  <c r="P89" i="1"/>
  <c r="S89" i="1" s="1"/>
  <c r="Y89" i="1" s="1"/>
  <c r="IQ98" i="1" s="1"/>
  <c r="M237" i="7"/>
  <c r="N82" i="1"/>
  <c r="R82" i="1" s="1"/>
  <c r="X82" i="1" s="1"/>
  <c r="IU82" i="1" s="1"/>
  <c r="IE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IQ78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IV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IQ112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IV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IV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IV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Y14" i="4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Q98" i="1" l="1"/>
  <c r="Q91" i="1"/>
  <c r="IQ96" i="1"/>
  <c r="IV87" i="1"/>
  <c r="AD86" i="1"/>
  <c r="AH86" i="1" s="1"/>
  <c r="IQ95" i="1"/>
  <c r="IV86" i="1"/>
  <c r="IQ94" i="1"/>
  <c r="IV85" i="1"/>
  <c r="IQ93" i="1"/>
  <c r="IV84" i="1"/>
  <c r="IQ59" i="1"/>
  <c r="IV56" i="1"/>
  <c r="IQ64" i="1"/>
  <c r="IV55" i="1"/>
  <c r="JB16" i="1" a="1"/>
  <c r="JB16" i="1" s="1"/>
  <c r="JB9" i="1" a="1"/>
  <c r="JB9" i="1" s="1"/>
  <c r="IQ102" i="1"/>
  <c r="IV82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P117" i="1"/>
  <c r="IQ18" i="1"/>
  <c r="IQ23" i="1"/>
  <c r="IV54" i="1"/>
  <c r="IQ63" i="1"/>
  <c r="IQ42" i="1"/>
  <c r="IV39" i="1"/>
  <c r="IQ36" i="1"/>
  <c r="IQ39" i="1"/>
  <c r="IQ100" i="1"/>
  <c r="IV79" i="1"/>
  <c r="AQ90" i="1"/>
  <c r="IP99" i="1"/>
  <c r="IQ25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IP28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E47" i="1"/>
  <c r="R85" i="1"/>
  <c r="X85" i="1" s="1"/>
  <c r="IU85" i="1" s="1"/>
  <c r="IE85" i="1" s="1"/>
  <c r="HE82" i="1"/>
  <c r="BU82" i="1"/>
  <c r="BM97" i="1"/>
  <c r="AD75" i="1"/>
  <c r="AH75" i="1" s="1"/>
  <c r="AF97" i="1"/>
  <c r="AG97" i="1" s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IU38" i="1" s="1"/>
  <c r="IE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R70" i="1"/>
  <c r="X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IU69" i="1" s="1"/>
  <c r="IE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IP54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IP19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IP52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R108" i="1"/>
  <c r="X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AQ73" i="1" s="1"/>
  <c r="R87" i="1"/>
  <c r="X87" i="1" s="1"/>
  <c r="IU87" i="1" s="1"/>
  <c r="IE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AF88" i="1"/>
  <c r="AI88" i="1" s="1"/>
  <c r="Q88" i="1"/>
  <c r="R88" i="1"/>
  <c r="X88" i="1" s="1"/>
  <c r="Q86" i="1"/>
  <c r="R86" i="1"/>
  <c r="X86" i="1" s="1"/>
  <c r="IU86" i="1" s="1"/>
  <c r="IE86" i="1" s="1"/>
  <c r="R84" i="1"/>
  <c r="X84" i="1" s="1"/>
  <c r="IU84" i="1" s="1"/>
  <c r="IE84" i="1" s="1"/>
  <c r="Q84" i="1"/>
  <c r="R83" i="1"/>
  <c r="X83" i="1" s="1"/>
  <c r="Q83" i="1"/>
  <c r="R81" i="1"/>
  <c r="X81" i="1" s="1"/>
  <c r="IP102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IU55" i="1" s="1"/>
  <c r="IE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F71" i="1"/>
  <c r="Q71" i="1"/>
  <c r="R71" i="1"/>
  <c r="X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AC28" i="1"/>
  <c r="AF49" i="1"/>
  <c r="V21" i="1"/>
  <c r="R47" i="1"/>
  <c r="X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IP59" i="1" l="1"/>
  <c r="IU56" i="1"/>
  <c r="IE56" i="1" s="1"/>
  <c r="AQ37" i="1"/>
  <c r="IU37" i="1"/>
  <c r="IE37" i="1" s="1"/>
  <c r="AQ83" i="1"/>
  <c r="IU83" i="1"/>
  <c r="IE83" i="1" s="1"/>
  <c r="AQ74" i="1"/>
  <c r="IU74" i="1"/>
  <c r="IE74" i="1" s="1"/>
  <c r="AQ68" i="1"/>
  <c r="IU68" i="1"/>
  <c r="IE68" i="1" s="1"/>
  <c r="IP35" i="1"/>
  <c r="IU31" i="1"/>
  <c r="IE31" i="1" s="1"/>
  <c r="AQ20" i="1"/>
  <c r="IU20" i="1"/>
  <c r="IE20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/>
  <c r="JF22" i="1" l="1" a="1"/>
  <c r="JF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W11" i="1"/>
  <c r="W9" i="1"/>
  <c r="IL16" i="1" s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87" i="1" l="1"/>
  <c r="IL86" i="1"/>
  <c r="IL83" i="1"/>
  <c r="IL85" i="1"/>
  <c r="IL84" i="1"/>
  <c r="IL69" i="1"/>
  <c r="IL56" i="1"/>
  <c r="IL57" i="1"/>
  <c r="IL55" i="1"/>
  <c r="IL38" i="1"/>
  <c r="IL23" i="1"/>
  <c r="IL46" i="1"/>
  <c r="IL37" i="1"/>
  <c r="IL82" i="1"/>
  <c r="IL74" i="1"/>
  <c r="IL68" i="1"/>
  <c r="IL45" i="1"/>
  <c r="IL31" i="1"/>
  <c r="IL21" i="1"/>
  <c r="IL20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IS37" i="1" s="1"/>
  <c r="AK24" i="1"/>
  <c r="AK10" i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IY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IT115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IT114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IT112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IY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IT113" i="1" s="1"/>
  <c r="AK106" i="1"/>
  <c r="T106" i="1"/>
  <c r="AL97" i="1"/>
  <c r="AN97" i="1" s="1"/>
  <c r="IY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IT111" i="1" s="1"/>
  <c r="AW103" i="7"/>
  <c r="T104" i="1"/>
  <c r="AK104" i="1"/>
  <c r="U104" i="1"/>
  <c r="AK98" i="1"/>
  <c r="U98" i="1"/>
  <c r="AW97" i="7"/>
  <c r="T98" i="1"/>
  <c r="AL98" i="1"/>
  <c r="AN98" i="1" s="1"/>
  <c r="IY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IY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IY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S56" i="1" s="1"/>
  <c r="AW47" i="7"/>
  <c r="AK55" i="1"/>
  <c r="AO55" i="1" s="1"/>
  <c r="IX55" i="1" s="1"/>
  <c r="AW55" i="7"/>
  <c r="AL63" i="1"/>
  <c r="AN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IT99" i="1" s="1"/>
  <c r="U90" i="1"/>
  <c r="U89" i="1"/>
  <c r="AL89" i="1"/>
  <c r="AN89" i="1" s="1"/>
  <c r="T89" i="1"/>
  <c r="T88" i="1"/>
  <c r="AL88" i="1"/>
  <c r="AN88" i="1" s="1"/>
  <c r="IT97" i="1" s="1"/>
  <c r="AK88" i="1"/>
  <c r="U88" i="1"/>
  <c r="T87" i="1"/>
  <c r="AK87" i="1"/>
  <c r="AL87" i="1"/>
  <c r="AN87" i="1" s="1"/>
  <c r="U85" i="1"/>
  <c r="AL86" i="1"/>
  <c r="AN86" i="1" s="1"/>
  <c r="U86" i="1"/>
  <c r="AK86" i="1"/>
  <c r="T86" i="1"/>
  <c r="T85" i="1"/>
  <c r="AL85" i="1"/>
  <c r="AN85" i="1" s="1"/>
  <c r="AK83" i="1"/>
  <c r="AL84" i="1"/>
  <c r="AN84" i="1" s="1"/>
  <c r="T84" i="1"/>
  <c r="U84" i="1"/>
  <c r="AK84" i="1"/>
  <c r="T83" i="1"/>
  <c r="U83" i="1"/>
  <c r="AL82" i="1"/>
  <c r="AN82" i="1" s="1"/>
  <c r="IY82" i="1" s="1"/>
  <c r="T82" i="1"/>
  <c r="U82" i="1"/>
  <c r="AK82" i="1"/>
  <c r="U81" i="1"/>
  <c r="AL81" i="1"/>
  <c r="AN81" i="1" s="1"/>
  <c r="IY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IT87" i="1" s="1"/>
  <c r="U77" i="1"/>
  <c r="AK77" i="1"/>
  <c r="AL77" i="1"/>
  <c r="AN77" i="1" s="1"/>
  <c r="AK76" i="1"/>
  <c r="T76" i="1"/>
  <c r="AL76" i="1"/>
  <c r="AN76" i="1" s="1"/>
  <c r="U76" i="1"/>
  <c r="AK75" i="1"/>
  <c r="T75" i="1"/>
  <c r="AL75" i="1"/>
  <c r="AN75" i="1" s="1"/>
  <c r="AK74" i="1"/>
  <c r="T74" i="1"/>
  <c r="U74" i="1"/>
  <c r="AL74" i="1"/>
  <c r="AN74" i="1" s="1"/>
  <c r="AL73" i="1"/>
  <c r="AN73" i="1" s="1"/>
  <c r="T73" i="1"/>
  <c r="AK73" i="1"/>
  <c r="U73" i="1"/>
  <c r="T71" i="1"/>
  <c r="AK71" i="1"/>
  <c r="AO71" i="1" s="1"/>
  <c r="IS77" i="1" s="1"/>
  <c r="AL71" i="1"/>
  <c r="AN71" i="1" s="1"/>
  <c r="IT77" i="1" s="1"/>
  <c r="AK72" i="1"/>
  <c r="T72" i="1"/>
  <c r="U72" i="1"/>
  <c r="AL72" i="1"/>
  <c r="AN72" i="1" s="1"/>
  <c r="IT78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IY64" i="1" s="1"/>
  <c r="T63" i="1"/>
  <c r="U63" i="1"/>
  <c r="AK63" i="1"/>
  <c r="AK61" i="1"/>
  <c r="U62" i="1"/>
  <c r="T62" i="1"/>
  <c r="AK62" i="1"/>
  <c r="AL62" i="1"/>
  <c r="AN62" i="1" s="1"/>
  <c r="IY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IX57" i="1" s="1"/>
  <c r="AL58" i="1"/>
  <c r="AN58" i="1" s="1"/>
  <c r="U58" i="1"/>
  <c r="T58" i="1"/>
  <c r="AK58" i="1"/>
  <c r="T57" i="1"/>
  <c r="AL57" i="1"/>
  <c r="U55" i="1"/>
  <c r="AL56" i="1"/>
  <c r="AN56" i="1" s="1"/>
  <c r="IY56" i="1" s="1"/>
  <c r="T56" i="1"/>
  <c r="U56" i="1"/>
  <c r="AK56" i="1"/>
  <c r="T55" i="1"/>
  <c r="AL55" i="1"/>
  <c r="AN55" i="1" s="1"/>
  <c r="IY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AK50" i="1"/>
  <c r="AL50" i="1"/>
  <c r="AN50" i="1" s="1"/>
  <c r="U50" i="1"/>
  <c r="T50" i="1"/>
  <c r="T49" i="1"/>
  <c r="AK49" i="1"/>
  <c r="AO49" i="1" s="1"/>
  <c r="AK48" i="1"/>
  <c r="U48" i="1"/>
  <c r="AL48" i="1"/>
  <c r="AN48" i="1" s="1"/>
  <c r="IT57" i="1" s="1"/>
  <c r="T48" i="1"/>
  <c r="AL47" i="1"/>
  <c r="T47" i="1"/>
  <c r="U47" i="1"/>
  <c r="AL46" i="1"/>
  <c r="AN46" i="1" s="1"/>
  <c r="IT55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IX41" i="1" s="1"/>
  <c r="AL41" i="1"/>
  <c r="AN41" i="1" s="1"/>
  <c r="IY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IY38" i="1" s="1"/>
  <c r="AK38" i="1"/>
  <c r="T38" i="1"/>
  <c r="U38" i="1"/>
  <c r="AL37" i="1"/>
  <c r="AN37" i="1" s="1"/>
  <c r="IY37" i="1" s="1"/>
  <c r="U37" i="1"/>
  <c r="T37" i="1"/>
  <c r="AK37" i="1"/>
  <c r="AK36" i="1"/>
  <c r="AL36" i="1"/>
  <c r="AN36" i="1" s="1"/>
  <c r="IY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IT38" i="1" s="1"/>
  <c r="AL30" i="1"/>
  <c r="AN30" i="1" s="1"/>
  <c r="IT37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IT20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T98" i="1" l="1"/>
  <c r="IT96" i="1"/>
  <c r="IY87" i="1"/>
  <c r="IY77" i="1"/>
  <c r="IT86" i="1"/>
  <c r="IT95" i="1"/>
  <c r="IY86" i="1"/>
  <c r="IY76" i="1"/>
  <c r="IT85" i="1"/>
  <c r="IT94" i="1"/>
  <c r="IY85" i="1"/>
  <c r="IS94" i="1"/>
  <c r="IX85" i="1"/>
  <c r="IT93" i="1"/>
  <c r="IY84" i="1"/>
  <c r="IY75" i="1"/>
  <c r="IT84" i="1"/>
  <c r="IY74" i="1"/>
  <c r="IT83" i="1"/>
  <c r="IY63" i="1"/>
  <c r="IT69" i="1"/>
  <c r="IF55" i="1"/>
  <c r="IY78" i="1"/>
  <c r="IT82" i="1"/>
  <c r="IT75" i="1"/>
  <c r="IT76" i="1"/>
  <c r="IT74" i="1"/>
  <c r="IY61" i="1"/>
  <c r="IT68" i="1"/>
  <c r="IS64" i="1"/>
  <c r="IT54" i="1"/>
  <c r="IY26" i="1"/>
  <c r="IT31" i="1"/>
  <c r="IT35" i="1"/>
  <c r="IY31" i="1"/>
  <c r="IT19" i="1"/>
  <c r="IF25" i="1"/>
  <c r="IF43" i="1"/>
  <c r="IF41" i="1"/>
  <c r="IT102" i="1"/>
  <c r="AS10" i="1"/>
  <c r="AS11" i="1" s="1"/>
  <c r="AS12" i="1" s="1"/>
  <c r="AT12" i="1" s="1"/>
  <c r="AT15" i="7"/>
  <c r="IT59" i="1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T65" i="1"/>
  <c r="IY53" i="1"/>
  <c r="IT62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16" i="1"/>
  <c r="IT21" i="1"/>
  <c r="IY18" i="1"/>
  <c r="IT27" i="1"/>
  <c r="IT25" i="1"/>
  <c r="IY22" i="1"/>
  <c r="IY33" i="1"/>
  <c r="IT40" i="1"/>
  <c r="IT53" i="1"/>
  <c r="IT58" i="1"/>
  <c r="IY54" i="1"/>
  <c r="IT63" i="1"/>
  <c r="IT17" i="1"/>
  <c r="IT22" i="1"/>
  <c r="IT26" i="1"/>
  <c r="IY23" i="1"/>
  <c r="IY66" i="1"/>
  <c r="IT80" i="1"/>
  <c r="IT116" i="1"/>
  <c r="IY100" i="1"/>
  <c r="AT27" i="7"/>
  <c r="IS34" i="1"/>
  <c r="IX30" i="1"/>
  <c r="IT24" i="1"/>
  <c r="IY21" i="1"/>
  <c r="IT43" i="1"/>
  <c r="IY40" i="1"/>
  <c r="IT67" i="1"/>
  <c r="IY46" i="1"/>
  <c r="IS58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IS112" i="1" s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IX98" i="1" s="1"/>
  <c r="IF98" i="1" s="1"/>
  <c r="AP98" i="1"/>
  <c r="AO106" i="1"/>
  <c r="IS113" i="1" s="1"/>
  <c r="AP106" i="1"/>
  <c r="AO119" i="1"/>
  <c r="AP119" i="1"/>
  <c r="AP94" i="1"/>
  <c r="AO94" i="1"/>
  <c r="IX94" i="1" s="1"/>
  <c r="IF94" i="1" s="1"/>
  <c r="AO114" i="1"/>
  <c r="IX114" i="1" s="1"/>
  <c r="IF114" i="1" s="1"/>
  <c r="AP114" i="1"/>
  <c r="AP123" i="1"/>
  <c r="AO123" i="1"/>
  <c r="AO108" i="1"/>
  <c r="IS115" i="1" s="1"/>
  <c r="AP108" i="1"/>
  <c r="AO133" i="1"/>
  <c r="AP133" i="1"/>
  <c r="AP93" i="1"/>
  <c r="AO93" i="1"/>
  <c r="IX93" i="1" s="1"/>
  <c r="IF93" i="1" s="1"/>
  <c r="AO104" i="1"/>
  <c r="IS111" i="1" s="1"/>
  <c r="AP104" i="1"/>
  <c r="AO113" i="1"/>
  <c r="IX113" i="1" s="1"/>
  <c r="IF113" i="1" s="1"/>
  <c r="AP113" i="1"/>
  <c r="AO95" i="1"/>
  <c r="IX95" i="1" s="1"/>
  <c r="IF95" i="1" s="1"/>
  <c r="AP95" i="1"/>
  <c r="AO118" i="1"/>
  <c r="AP118" i="1"/>
  <c r="AO135" i="1"/>
  <c r="AP135" i="1"/>
  <c r="BA58" i="7"/>
  <c r="AP117" i="1"/>
  <c r="AO117" i="1"/>
  <c r="AO103" i="1"/>
  <c r="AP103" i="1"/>
  <c r="AP91" i="1"/>
  <c r="AO91" i="1"/>
  <c r="IS98" i="1" s="1"/>
  <c r="AP125" i="1"/>
  <c r="AO125" i="1"/>
  <c r="AP115" i="1"/>
  <c r="AO115" i="1"/>
  <c r="IX115" i="1" s="1"/>
  <c r="IF115" i="1" s="1"/>
  <c r="AP110" i="1"/>
  <c r="AO110" i="1"/>
  <c r="AP134" i="1"/>
  <c r="AO134" i="1"/>
  <c r="AO109" i="1"/>
  <c r="AP109" i="1"/>
  <c r="BA65" i="7"/>
  <c r="BA67" i="7"/>
  <c r="AP97" i="1"/>
  <c r="AO97" i="1"/>
  <c r="IX97" i="1" s="1"/>
  <c r="IF97" i="1" s="1"/>
  <c r="AO130" i="1"/>
  <c r="AP130" i="1"/>
  <c r="AP137" i="1"/>
  <c r="AO137" i="1"/>
  <c r="AO127" i="1"/>
  <c r="AP127" i="1"/>
  <c r="AP131" i="1"/>
  <c r="AO131" i="1"/>
  <c r="AO96" i="1"/>
  <c r="IX96" i="1" s="1"/>
  <c r="IF96" i="1" s="1"/>
  <c r="AP96" i="1"/>
  <c r="BA74" i="7"/>
  <c r="BA85" i="7"/>
  <c r="BA87" i="7"/>
  <c r="AO99" i="1"/>
  <c r="IX99" i="1" s="1"/>
  <c r="IF99" i="1" s="1"/>
  <c r="AP99" i="1"/>
  <c r="AP112" i="1"/>
  <c r="AO112" i="1"/>
  <c r="IX112" i="1" s="1"/>
  <c r="IF112" i="1" s="1"/>
  <c r="AP121" i="1"/>
  <c r="AO121" i="1"/>
  <c r="AP107" i="1"/>
  <c r="AO107" i="1"/>
  <c r="IS114" i="1" s="1"/>
  <c r="AP100" i="1"/>
  <c r="AO100" i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AP87" i="1"/>
  <c r="AO88" i="1"/>
  <c r="IS97" i="1" s="1"/>
  <c r="AP88" i="1"/>
  <c r="AP86" i="1"/>
  <c r="AO86" i="1"/>
  <c r="AP85" i="1"/>
  <c r="AP84" i="1"/>
  <c r="AO84" i="1"/>
  <c r="AP83" i="1"/>
  <c r="AO83" i="1"/>
  <c r="IX83" i="1" s="1"/>
  <c r="IF83" i="1" s="1"/>
  <c r="AO81" i="1"/>
  <c r="IX81" i="1" s="1"/>
  <c r="IF81" i="1" s="1"/>
  <c r="AP81" i="1"/>
  <c r="AO82" i="1"/>
  <c r="IX82" i="1" s="1"/>
  <c r="IF82" i="1" s="1"/>
  <c r="AP82" i="1"/>
  <c r="AO79" i="1"/>
  <c r="AP79" i="1"/>
  <c r="AP80" i="1"/>
  <c r="AO80" i="1"/>
  <c r="AO77" i="1"/>
  <c r="AP77" i="1"/>
  <c r="AP78" i="1"/>
  <c r="AO78" i="1"/>
  <c r="IS87" i="1" s="1"/>
  <c r="AO75" i="1"/>
  <c r="AP75" i="1"/>
  <c r="AO76" i="1"/>
  <c r="AP76" i="1"/>
  <c r="AP73" i="1"/>
  <c r="AO73" i="1"/>
  <c r="AP74" i="1"/>
  <c r="AO74" i="1"/>
  <c r="AP71" i="1"/>
  <c r="AO72" i="1"/>
  <c r="IS78" i="1" s="1"/>
  <c r="AP72" i="1"/>
  <c r="AO69" i="1"/>
  <c r="AP69" i="1"/>
  <c r="AP70" i="1"/>
  <c r="AO70" i="1"/>
  <c r="AO67" i="1"/>
  <c r="AP67" i="1"/>
  <c r="AO68" i="1"/>
  <c r="IX68" i="1" s="1"/>
  <c r="IF68" i="1" s="1"/>
  <c r="AP68" i="1"/>
  <c r="AO65" i="1"/>
  <c r="AP65" i="1"/>
  <c r="AP66" i="1"/>
  <c r="AO66" i="1"/>
  <c r="AO63" i="1"/>
  <c r="AP63" i="1"/>
  <c r="AO64" i="1"/>
  <c r="IX64" i="1" s="1"/>
  <c r="IF64" i="1" s="1"/>
  <c r="AP64" i="1"/>
  <c r="AP62" i="1"/>
  <c r="AO62" i="1"/>
  <c r="IX62" i="1" s="1"/>
  <c r="IF62" i="1" s="1"/>
  <c r="AO61" i="1"/>
  <c r="AP61" i="1"/>
  <c r="AO59" i="1"/>
  <c r="IX59" i="1" s="1"/>
  <c r="IF59" i="1" s="1"/>
  <c r="AP59" i="1"/>
  <c r="AO60" i="1"/>
  <c r="IX60" i="1" s="1"/>
  <c r="IF60" i="1" s="1"/>
  <c r="AP60" i="1"/>
  <c r="AN57" i="1"/>
  <c r="AP57" i="1"/>
  <c r="AO58" i="1"/>
  <c r="AP58" i="1"/>
  <c r="AP56" i="1"/>
  <c r="AO56" i="1"/>
  <c r="IX56" i="1" s="1"/>
  <c r="IF56" i="1" s="1"/>
  <c r="AP55" i="1"/>
  <c r="AO53" i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AN47" i="1"/>
  <c r="AP47" i="1"/>
  <c r="AO48" i="1"/>
  <c r="AP48" i="1"/>
  <c r="AP45" i="1"/>
  <c r="AO45" i="1"/>
  <c r="IX45" i="1" s="1"/>
  <c r="IF45" i="1" s="1"/>
  <c r="AP46" i="1"/>
  <c r="AO46" i="1"/>
  <c r="IS55" i="1" s="1"/>
  <c r="AP43" i="1"/>
  <c r="AO44" i="1"/>
  <c r="AP44" i="1"/>
  <c r="AO42" i="1"/>
  <c r="IX42" i="1" s="1"/>
  <c r="IF42" i="1" s="1"/>
  <c r="AP42" i="1"/>
  <c r="AP41" i="1"/>
  <c r="AO40" i="1"/>
  <c r="AP40" i="1"/>
  <c r="AO39" i="1"/>
  <c r="AP39" i="1"/>
  <c r="AP37" i="1"/>
  <c r="AO37" i="1"/>
  <c r="IX37" i="1" s="1"/>
  <c r="IF37" i="1" s="1"/>
  <c r="AO38" i="1"/>
  <c r="IX38" i="1" s="1"/>
  <c r="IF38" i="1" s="1"/>
  <c r="AP38" i="1"/>
  <c r="AP35" i="1"/>
  <c r="AO35" i="1"/>
  <c r="IX35" i="1" s="1"/>
  <c r="IF35" i="1" s="1"/>
  <c r="AP36" i="1"/>
  <c r="AO36" i="1"/>
  <c r="IX36" i="1" s="1"/>
  <c r="IF36" i="1" s="1"/>
  <c r="AO33" i="1"/>
  <c r="AP33" i="1"/>
  <c r="AO34" i="1"/>
  <c r="IX34" i="1" s="1"/>
  <c r="IF34" i="1" s="1"/>
  <c r="AP34" i="1"/>
  <c r="AO31" i="1"/>
  <c r="IS38" i="1" s="1"/>
  <c r="AP31" i="1"/>
  <c r="AO32" i="1"/>
  <c r="AP32" i="1"/>
  <c r="AO29" i="1"/>
  <c r="AP29" i="1"/>
  <c r="AP30" i="1"/>
  <c r="AO27" i="1"/>
  <c r="IX27" i="1" s="1"/>
  <c r="IF27" i="1" s="1"/>
  <c r="AP27" i="1"/>
  <c r="AP28" i="1"/>
  <c r="AO28" i="1"/>
  <c r="AP25" i="1"/>
  <c r="AO26" i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IX20" i="1" s="1"/>
  <c r="IF20" i="1" s="1"/>
  <c r="AO17" i="1"/>
  <c r="IX17" i="1" s="1"/>
  <c r="IF17" i="1" s="1"/>
  <c r="AP17" i="1"/>
  <c r="AO18" i="1"/>
  <c r="AP18" i="1"/>
  <c r="AP15" i="1"/>
  <c r="AO15" i="1"/>
  <c r="AO16" i="1"/>
  <c r="AP16" i="1"/>
  <c r="AO13" i="1"/>
  <c r="AP13" i="1"/>
  <c r="AO14" i="1"/>
  <c r="IS20" i="1" s="1"/>
  <c r="AP14" i="1"/>
  <c r="AP11" i="1"/>
  <c r="AO12" i="1"/>
  <c r="AP12" i="1"/>
  <c r="AO10" i="1"/>
  <c r="AP10" i="1"/>
  <c r="AN10" i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S99" i="1" l="1"/>
  <c r="IS96" i="1"/>
  <c r="IX87" i="1"/>
  <c r="IF87" i="1" s="1"/>
  <c r="IS95" i="1"/>
  <c r="IX86" i="1"/>
  <c r="IF86" i="1" s="1"/>
  <c r="IX77" i="1"/>
  <c r="IF77" i="1" s="1"/>
  <c r="IS86" i="1"/>
  <c r="IF85" i="1"/>
  <c r="IX76" i="1"/>
  <c r="IF76" i="1" s="1"/>
  <c r="IS85" i="1"/>
  <c r="IS93" i="1"/>
  <c r="IX84" i="1"/>
  <c r="IF84" i="1" s="1"/>
  <c r="IX75" i="1"/>
  <c r="IF75" i="1" s="1"/>
  <c r="IS84" i="1"/>
  <c r="IX74" i="1"/>
  <c r="IF74" i="1" s="1"/>
  <c r="IS83" i="1"/>
  <c r="IS75" i="1"/>
  <c r="IX69" i="1"/>
  <c r="IF69" i="1" s="1"/>
  <c r="IX63" i="1"/>
  <c r="IF63" i="1" s="1"/>
  <c r="IS69" i="1"/>
  <c r="IS54" i="1"/>
  <c r="IS52" i="1"/>
  <c r="IS57" i="1"/>
  <c r="IT60" i="1"/>
  <c r="IY57" i="1"/>
  <c r="IF57" i="1" s="1"/>
  <c r="IT29" i="1"/>
  <c r="IT56" i="1"/>
  <c r="IS51" i="1"/>
  <c r="IS46" i="1"/>
  <c r="IX78" i="1"/>
  <c r="IF78" i="1" s="1"/>
  <c r="IS82" i="1"/>
  <c r="IS76" i="1"/>
  <c r="IS74" i="1"/>
  <c r="IX61" i="1"/>
  <c r="IF61" i="1" s="1"/>
  <c r="IS68" i="1"/>
  <c r="IT64" i="1"/>
  <c r="IS53" i="1"/>
  <c r="IT52" i="1"/>
  <c r="IS35" i="1"/>
  <c r="IX31" i="1"/>
  <c r="IF31" i="1" s="1"/>
  <c r="IX26" i="1"/>
  <c r="IF26" i="1" s="1"/>
  <c r="IS31" i="1"/>
  <c r="IS19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JI30" i="1" a="1"/>
  <c r="JI30" i="1" s="1"/>
  <c r="JF23" i="1" a="1"/>
  <c r="JF23" i="1" s="1"/>
  <c r="JH23" i="1" s="1" a="1"/>
  <c r="JH23" i="1" s="1"/>
  <c r="JH30" i="1" a="1"/>
  <c r="JH30" i="1" s="1"/>
  <c r="JH29" i="1" a="1"/>
  <c r="JH29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AS15" i="1" l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<sst xmlns="http://schemas.openxmlformats.org/spreadsheetml/2006/main" count="734" uniqueCount="391">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</sst>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0.000000000000000000000000000000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4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175" fontId="0" fillId="0" borderId="0" xfId="0" applyNumberFormat="1"/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75" xfId="0" applyFill="1" applyBorder="1" applyAlignment="1">
      <alignment horizontal="center"/>
    </xf>
    <xf numFmtId="0" fontId="0" fillId="34" borderId="206" xfId="0" applyFill="1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76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1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205" xfId="0" applyFill="1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0" fontId="0" fillId="0" borderId="193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0" fontId="0" fillId="0" borderId="270" xfId="0" applyBorder="1" applyAlignment="1">
      <alignment horizontal="center" vertical="center" wrapText="1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37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122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226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0" fontId="0" fillId="0" borderId="237" xfId="0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5" xfId="0" applyBorder="1" applyAlignment="1">
      <alignment horizontal="center"/>
    </xf>
    <xf numFmtId="0" fontId="39" fillId="0" borderId="192" xfId="0" applyFont="1" applyBorder="1" applyAlignment="1">
      <alignment horizontal="center" vertic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122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0" fillId="0" borderId="229" xfId="0" applyBorder="1" applyAlignment="1">
      <alignment horizontal="center" wrapText="1"/>
    </xf>
    <xf numFmtId="0" fontId="0" fillId="0" borderId="229" xfId="0" applyBorder="1" applyAlignment="1">
      <alignment horizontal="center"/>
    </xf>
    <xf numFmtId="0" fontId="0" fillId="0" borderId="121" xfId="0" applyBorder="1" applyAlignment="1">
      <alignment horizontal="center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 wrapText="1"/>
    </xf>
    <xf numFmtId="167" fontId="32" fillId="0" borderId="224" xfId="0" applyNumberFormat="1" applyFont="1" applyBorder="1" applyAlignment="1">
      <alignment horizontal="center" vertical="center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0" fillId="0" borderId="135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234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8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96" xfId="0" applyBorder="1" applyAlignment="1">
      <alignment horizontal="center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75" xfId="0" applyBorder="1" applyAlignment="1">
      <alignment horizontal="center" wrapText="1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6" xfId="0" applyBorder="1" applyAlignment="1">
      <alignment horizontal="center" vertic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24" fillId="0" borderId="215" xfId="0" applyFont="1" applyBorder="1" applyAlignment="1">
      <alignment horizontal="center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0" fillId="0" borderId="0" xfId="0" applyAlignment="1">
      <alignment horizontal="left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81" xfId="0" applyBorder="1" applyAlignment="1">
      <alignment horizontal="center" vertical="center"/>
    </xf>
    <xf numFmtId="0" fontId="24" fillId="0" borderId="266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3" fontId="26" fillId="63" borderId="0" xfId="0" applyNumberFormat="1" applyFont="1" applyFill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2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0"/>
  <sheetViews>
    <sheetView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2.7109375" style="3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873" t="s">
        <v>77</v>
      </c>
      <c r="D1" s="873"/>
      <c r="E1" s="873"/>
      <c r="F1" s="873"/>
      <c r="G1" s="873"/>
      <c r="H1" s="873"/>
      <c r="I1" s="873"/>
      <c r="J1" s="873"/>
      <c r="K1" s="873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898" t="s">
        <v>80</v>
      </c>
      <c r="B6" s="898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895" t="s">
        <v>379</v>
      </c>
      <c r="AQ7" s="895"/>
      <c r="AR7" s="895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888">
        <v>9</v>
      </c>
      <c r="D9" s="892"/>
      <c r="E9" s="892"/>
      <c r="F9" s="892"/>
      <c r="G9" s="892"/>
      <c r="H9" s="892"/>
      <c r="I9" s="892"/>
      <c r="J9" s="892"/>
      <c r="K9" s="889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910"/>
      <c r="C10" s="911"/>
      <c r="D10" s="911"/>
      <c r="E10" s="911"/>
      <c r="F10" s="911"/>
      <c r="G10" s="911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886"/>
      <c r="B11" s="899" t="s">
        <v>33</v>
      </c>
      <c r="C11" s="904" t="s">
        <v>34</v>
      </c>
      <c r="D11" s="904"/>
      <c r="E11" s="903" t="s">
        <v>39</v>
      </c>
      <c r="F11" s="899" t="s">
        <v>35</v>
      </c>
      <c r="G11" s="899" t="s">
        <v>36</v>
      </c>
      <c r="H11" s="899" t="s">
        <v>43</v>
      </c>
      <c r="I11" s="890" t="s">
        <v>67</v>
      </c>
      <c r="J11" s="904" t="s">
        <v>56</v>
      </c>
      <c r="K11" s="904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913" t="s">
        <v>347</v>
      </c>
      <c r="AN11" s="892"/>
      <c r="AO11" s="892"/>
      <c r="AP11" s="892"/>
      <c r="AQ11" s="892"/>
      <c r="AR11" s="914"/>
      <c r="AS11" s="921" t="s">
        <v>354</v>
      </c>
      <c r="AT11" s="922"/>
      <c r="AU11" s="922"/>
      <c r="AV11" s="923"/>
      <c r="BC11" s="470"/>
    </row>
    <row r="12" spans="1:55" ht="15.75" thickBot="1" x14ac:dyDescent="0.3">
      <c r="A12" s="905"/>
      <c r="B12" s="900"/>
      <c r="C12" s="48" t="s">
        <v>8</v>
      </c>
      <c r="D12" s="49" t="s">
        <v>10</v>
      </c>
      <c r="E12" s="900"/>
      <c r="F12" s="900"/>
      <c r="G12" s="900"/>
      <c r="H12" s="900"/>
      <c r="I12" s="891"/>
      <c r="J12" s="53" t="s">
        <v>8</v>
      </c>
      <c r="K12" s="54" t="s">
        <v>10</v>
      </c>
      <c r="M12" s="31"/>
      <c r="N12" s="31"/>
      <c r="O12" s="882" t="s">
        <v>46</v>
      </c>
      <c r="P12" s="883"/>
      <c r="Q12" s="901" t="s">
        <v>45</v>
      </c>
      <c r="R12" s="902"/>
      <c r="S12" s="902"/>
      <c r="T12" s="902"/>
      <c r="U12" s="902"/>
      <c r="V12" s="902"/>
      <c r="W12" s="902"/>
      <c r="X12" s="902"/>
      <c r="Y12" s="902"/>
      <c r="Z12" s="902"/>
      <c r="AA12" s="902"/>
      <c r="AB12" s="902"/>
      <c r="AC12" s="902"/>
      <c r="AD12" s="902"/>
      <c r="AE12" s="888"/>
      <c r="AF12" s="876" t="s">
        <v>56</v>
      </c>
      <c r="AG12" s="877"/>
      <c r="AH12" s="31"/>
      <c r="AK12" s="896" t="s">
        <v>355</v>
      </c>
      <c r="AL12" s="912"/>
      <c r="AM12" s="915" t="s">
        <v>352</v>
      </c>
      <c r="AN12" s="916"/>
      <c r="AO12" s="897"/>
      <c r="AP12" s="896" t="s">
        <v>380</v>
      </c>
      <c r="AQ12" s="897"/>
      <c r="AR12" s="802" t="s">
        <v>378</v>
      </c>
      <c r="AS12" s="918" t="s">
        <v>352</v>
      </c>
      <c r="AT12" s="897"/>
      <c r="AU12" s="919" t="s">
        <v>353</v>
      </c>
      <c r="AV12" s="920"/>
      <c r="AW12" s="924" t="s">
        <v>351</v>
      </c>
      <c r="AX12" s="925"/>
      <c r="AZ12" s="896" t="s">
        <v>60</v>
      </c>
      <c r="BA12" s="897"/>
      <c r="BC12" s="917" t="s">
        <v>383</v>
      </c>
    </row>
    <row r="13" spans="1:55" ht="15.75" thickBot="1" x14ac:dyDescent="0.3">
      <c r="A13" s="64" t="s">
        <v>57</v>
      </c>
      <c r="B13" s="906" t="s">
        <v>97</v>
      </c>
      <c r="C13" s="908" t="str">
        <f>SUBSTITUTE(ADDRESS(1,COLUMN(Assy.Model!X9),4),"1","")</f>
        <v>X</v>
      </c>
      <c r="D13" s="101" t="str">
        <f>SUBSTITUTE(ADDRESS(1,COLUMN(Assy.Model!Y9),4),"1","")</f>
        <v>Y</v>
      </c>
      <c r="E13" s="893" t="str">
        <f>SUBSTITUTE(ADDRESS(1,COLUMN(Assy.Model!H9),4),"1","")</f>
        <v>H</v>
      </c>
      <c r="F13" s="893" t="str">
        <f>SUBSTITUTE(ADDRESS(1,COLUMN(Assy.Model!AN9),4),"1","")</f>
        <v>AN</v>
      </c>
      <c r="G13" s="893" t="str">
        <f>SUBSTITUTE(ADDRESS(1,COLUMN(Assy.Model!AO9),4),"1","")</f>
        <v>AO</v>
      </c>
      <c r="H13" s="893" t="str">
        <f>SUBSTITUTE(ADDRESS(1,COLUMN(Assy.Model!AO9),4),"1","")</f>
        <v>AO</v>
      </c>
      <c r="I13" s="893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884"/>
      <c r="P13" s="885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917"/>
    </row>
    <row r="14" spans="1:55" x14ac:dyDescent="0.25">
      <c r="A14" s="62" t="s">
        <v>58</v>
      </c>
      <c r="B14" s="907"/>
      <c r="C14" s="909"/>
      <c r="D14" s="102" t="str">
        <f>SUBSTITUTE(ADDRESS(1,COLUMN(Assy.Model!AT9),4),"1","")</f>
        <v>AT</v>
      </c>
      <c r="E14" s="894"/>
      <c r="F14" s="894"/>
      <c r="G14" s="894"/>
      <c r="H14" s="894"/>
      <c r="I14" s="894"/>
      <c r="J14" s="91">
        <v>0</v>
      </c>
      <c r="K14" s="92">
        <v>0</v>
      </c>
      <c r="L14" s="31"/>
      <c r="M14" s="190">
        <v>6.25E-2</v>
      </c>
      <c r="N14" s="31">
        <v>32</v>
      </c>
      <c r="O14" s="880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32" si="10">($AU14-$AT14)/2</f>
        <v>2.5000000000000022E-3</v>
      </c>
      <c r="AX14" s="755">
        <f t="shared" ref="AX14:AX32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28">_xlfn._xlws.FILTER(IF(AJ14:AJ32,AK14:AK32,""),IF(AJ14:AJ32,AK14:AK32,"")&lt;&gt;"")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880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31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30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880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880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880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12.25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880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881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32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888" t="s">
        <v>64</v>
      </c>
      <c r="C21" s="892"/>
      <c r="D21" s="892"/>
      <c r="E21" s="892"/>
      <c r="F21" s="889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886"/>
      <c r="C22" s="888" t="s">
        <v>63</v>
      </c>
      <c r="D22" s="889"/>
      <c r="E22" s="890" t="s">
        <v>60</v>
      </c>
      <c r="F22" s="890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887"/>
      <c r="C23" s="57" t="s">
        <v>8</v>
      </c>
      <c r="D23" s="57" t="s">
        <v>9</v>
      </c>
      <c r="E23" s="891"/>
      <c r="F23" s="891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878">
        <v>0</v>
      </c>
      <c r="E24" s="878">
        <v>2</v>
      </c>
      <c r="F24" s="878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6.125</v>
      </c>
      <c r="D25" s="879"/>
      <c r="E25" s="879"/>
      <c r="F25" s="879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874" t="s">
        <v>311</v>
      </c>
      <c r="C27" s="874"/>
      <c r="D27" s="874"/>
      <c r="E27" s="874"/>
      <c r="F27" s="874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875" t="s">
        <v>390</v>
      </c>
      <c r="C28" s="875"/>
      <c r="D28" s="875"/>
      <c r="E28" s="875"/>
      <c r="F28" s="875"/>
      <c r="G28" s="31"/>
      <c r="H28" s="31"/>
      <c r="I28" s="31"/>
      <c r="AI28" s="842">
        <f t="shared" si="13"/>
        <v>390000.212</v>
      </c>
      <c r="AJ28" s="839" t="b">
        <v>0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CPS-32193r1</v>
      </c>
    </row>
    <row r="29" spans="2:55" x14ac:dyDescent="0.25">
      <c r="B29" s="100"/>
      <c r="D29" s="100"/>
      <c r="AI29" s="842">
        <f t="shared" si="13"/>
        <v>514000.45500000002</v>
      </c>
      <c r="AJ29" s="839" t="b">
        <v>0</v>
      </c>
      <c r="AK29" s="740" t="s">
        <v>336</v>
      </c>
      <c r="AL29" s="744" t="s">
        <v>342</v>
      </c>
      <c r="AM29" s="746">
        <v>0.504</v>
      </c>
      <c r="AN29" s="741">
        <v>0.71</v>
      </c>
      <c r="AO29" s="748">
        <f>0.255*2</f>
        <v>0.51</v>
      </c>
      <c r="AP29" s="829">
        <f>($AM29+AP$9)+0.007</f>
        <v>0.51400000000000001</v>
      </c>
      <c r="AQ29" s="8">
        <f>($AN29-($AO29/2))</f>
        <v>0.45499999999999996</v>
      </c>
      <c r="AR29" s="181">
        <f t="shared" si="18"/>
        <v>0.252</v>
      </c>
      <c r="AS29" s="4">
        <f t="shared" si="14"/>
        <v>0.503</v>
      </c>
      <c r="AT29" s="8">
        <f t="shared" si="14"/>
        <v>0.505</v>
      </c>
      <c r="AU29" s="821">
        <f>($AP29+AU$9)-0.003</f>
        <v>0.51200000000000001</v>
      </c>
      <c r="AV29" s="822">
        <f>($AP29+AV$9)-0.004</f>
        <v>0.51400000000000001</v>
      </c>
      <c r="AW29" s="177">
        <f t="shared" si="10"/>
        <v>3.5000000000000031E-3</v>
      </c>
      <c r="AX29" s="8">
        <f t="shared" si="11"/>
        <v>5.5000000000000049E-3</v>
      </c>
    </row>
    <row r="30" spans="2:55" x14ac:dyDescent="0.25">
      <c r="AF30" s="100"/>
      <c r="AI30" s="842">
        <f t="shared" si="13"/>
        <v>514000.41499999998</v>
      </c>
      <c r="AJ30" s="839" t="b">
        <f>TRUE</f>
        <v>1</v>
      </c>
      <c r="AK30" s="740" t="s">
        <v>334</v>
      </c>
      <c r="AL30" s="744" t="s">
        <v>342</v>
      </c>
      <c r="AM30" s="746">
        <v>0.504</v>
      </c>
      <c r="AN30" s="741">
        <v>0.67</v>
      </c>
      <c r="AO30" s="748">
        <f>0.255*2</f>
        <v>0.51</v>
      </c>
      <c r="AP30" s="829">
        <f>($AM30+AP$9)+0.007</f>
        <v>0.51400000000000001</v>
      </c>
      <c r="AQ30" s="8">
        <f>($AN30-($AO30/2))</f>
        <v>0.41500000000000004</v>
      </c>
      <c r="AR30" s="181">
        <f t="shared" si="18"/>
        <v>0.252</v>
      </c>
      <c r="AS30" s="4">
        <f t="shared" si="14"/>
        <v>0.503</v>
      </c>
      <c r="AT30" s="8">
        <f t="shared" si="14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si="10"/>
        <v>3.5000000000000031E-3</v>
      </c>
      <c r="AX30" s="8">
        <f t="shared" si="11"/>
        <v>5.5000000000000049E-3</v>
      </c>
    </row>
    <row r="31" spans="2:55" x14ac:dyDescent="0.25">
      <c r="AI31" s="842">
        <f t="shared" si="13"/>
        <v>450000.33199999999</v>
      </c>
      <c r="AJ31" s="839" t="b">
        <f>FALSE</f>
        <v>0</v>
      </c>
      <c r="AK31" s="740" t="s">
        <v>340</v>
      </c>
      <c r="AL31" s="744" t="s">
        <v>343</v>
      </c>
      <c r="AM31" s="746">
        <v>0.4415</v>
      </c>
      <c r="AN31" s="741">
        <v>0.55000000000000004</v>
      </c>
      <c r="AO31" s="748">
        <f>0.2181*2</f>
        <v>0.43619999999999998</v>
      </c>
      <c r="AP31" s="829">
        <f>($AM31+AP$9)+0.0055</f>
        <v>0.45</v>
      </c>
      <c r="AQ31" s="833">
        <f>($AN31-($AO31/2))+0.0001</f>
        <v>0.33200000000000007</v>
      </c>
      <c r="AR31" s="181">
        <f t="shared" si="18"/>
        <v>0.22075</v>
      </c>
      <c r="AS31" s="834">
        <f>($AM31+AS$9)+0.0008</f>
        <v>0.44130000000000003</v>
      </c>
      <c r="AT31" s="833">
        <f>($AM31+AT$9)-0.0008</f>
        <v>0.44169999999999998</v>
      </c>
      <c r="AU31" s="821">
        <f>($AP31+AU$9)-0.005</f>
        <v>0.44600000000000001</v>
      </c>
      <c r="AV31" s="822">
        <f>($AP31+AV$9)-0.002</f>
        <v>0.45200000000000001</v>
      </c>
      <c r="AW31" s="177">
        <f t="shared" si="10"/>
        <v>2.150000000000013E-3</v>
      </c>
      <c r="AX31" s="8">
        <f t="shared" si="11"/>
        <v>5.3499999999999936E-3</v>
      </c>
    </row>
    <row r="32" spans="2:55" x14ac:dyDescent="0.25">
      <c r="AI32" s="842">
        <f>ROUND(((ROUND(AP32,6)*1000000)+AQ32),6)</f>
        <v>525000.40700000001</v>
      </c>
      <c r="AJ32" s="839" t="b">
        <f>FALSE</f>
        <v>0</v>
      </c>
      <c r="AK32" s="742" t="s">
        <v>335</v>
      </c>
      <c r="AL32" s="745" t="s">
        <v>344</v>
      </c>
      <c r="AM32" s="747">
        <v>0.51459999999999995</v>
      </c>
      <c r="AN32" s="743">
        <v>0.67</v>
      </c>
      <c r="AO32" s="749">
        <f>0.263*2</f>
        <v>0.52600000000000002</v>
      </c>
      <c r="AP32" s="832">
        <f>($AM32+AP$9)+0.0074</f>
        <v>0.52499999999999991</v>
      </c>
      <c r="AQ32" s="722">
        <f>($AN32-($AO32/2))</f>
        <v>0.40700000000000003</v>
      </c>
      <c r="AR32" s="827">
        <f t="shared" si="18"/>
        <v>0.25729999999999997</v>
      </c>
      <c r="AS32" s="835">
        <f>($AM32+AS$9)+0.0008</f>
        <v>0.51439999999999997</v>
      </c>
      <c r="AT32" s="836">
        <f>($AM32+AT$9)-0.0008</f>
        <v>0.51479999999999992</v>
      </c>
      <c r="AU32" s="823">
        <f>($AP32+AU$9)-0.005</f>
        <v>0.52099999999999991</v>
      </c>
      <c r="AV32" s="824">
        <f>($AP32+AV$9)-0.002</f>
        <v>0.52699999999999991</v>
      </c>
      <c r="AW32" s="180">
        <f t="shared" si="10"/>
        <v>3.0999999999999917E-3</v>
      </c>
      <c r="AX32" s="722">
        <f t="shared" si="11"/>
        <v>6.2999999999999723E-3</v>
      </c>
    </row>
    <row r="33" spans="35:50" ht="15" customHeight="1" x14ac:dyDescent="0.25"/>
    <row r="34" spans="35:50" x14ac:dyDescent="0.25">
      <c r="AQ34" s="1"/>
    </row>
    <row r="35" spans="35:50" x14ac:dyDescent="0.25">
      <c r="AI35" s="468"/>
      <c r="AJ35" s="468"/>
      <c r="AK35" s="468"/>
      <c r="AL35" s="468"/>
    </row>
    <row r="36" spans="35:50" x14ac:dyDescent="0.25">
      <c r="AI36" s="468"/>
      <c r="AJ36" s="468"/>
      <c r="AK36" s="468"/>
      <c r="AL36" s="468"/>
    </row>
    <row r="37" spans="35:50" x14ac:dyDescent="0.25">
      <c r="AI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J39" s="468"/>
      <c r="AK39" s="468"/>
      <c r="AL39" s="468"/>
    </row>
    <row r="40" spans="35:50" x14ac:dyDescent="0.25">
      <c r="AI40" s="468"/>
      <c r="AJ40" s="468"/>
      <c r="AK40" s="468"/>
      <c r="AL40" s="468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</row>
    <row r="41" spans="35:50" x14ac:dyDescent="0.25">
      <c r="AI41" s="468"/>
      <c r="AJ41" s="468"/>
      <c r="AK41" s="468"/>
      <c r="AL41" s="468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ht="15" customHeight="1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</row>
    <row r="46" spans="35:50" x14ac:dyDescent="0.25">
      <c r="AI46" s="468"/>
      <c r="AJ46" s="468"/>
      <c r="AK46" s="468"/>
      <c r="AL46" s="468"/>
      <c r="AM46" s="468"/>
      <c r="AN46" s="468"/>
      <c r="AO46" s="468"/>
      <c r="AP46" s="468"/>
      <c r="AQ46" s="468"/>
      <c r="AR46" s="468"/>
    </row>
    <row r="47" spans="35:50" x14ac:dyDescent="0.25"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J51" s="468"/>
      <c r="AK51" s="468"/>
      <c r="AL51" s="468"/>
    </row>
    <row r="52" spans="2:44" x14ac:dyDescent="0.25">
      <c r="AJ52" s="468"/>
      <c r="AK52" s="468"/>
      <c r="AL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60" spans="2:44" x14ac:dyDescent="0.25">
      <c r="B60" s="31"/>
    </row>
    <row r="61" spans="2:44" x14ac:dyDescent="0.25">
      <c r="B61" s="31"/>
    </row>
    <row r="63" spans="2:44" x14ac:dyDescent="0.25">
      <c r="I63" s="508"/>
      <c r="K63" s="508"/>
    </row>
    <row r="64" spans="2:44" x14ac:dyDescent="0.25">
      <c r="I64" s="508"/>
      <c r="K64" s="508"/>
    </row>
    <row r="65" spans="2:11" x14ac:dyDescent="0.25">
      <c r="I65" s="508"/>
      <c r="K65" s="508"/>
    </row>
    <row r="66" spans="2:11" x14ac:dyDescent="0.25">
      <c r="I66" s="508"/>
    </row>
    <row r="68" spans="2:11" x14ac:dyDescent="0.25">
      <c r="B68" s="31"/>
      <c r="C68" s="31"/>
      <c r="D68" s="31"/>
      <c r="E68" s="31"/>
      <c r="F68" s="31"/>
      <c r="G68" s="31"/>
      <c r="H68" s="31"/>
      <c r="I68" s="31"/>
    </row>
    <row r="69" spans="2:11" x14ac:dyDescent="0.25">
      <c r="B69" s="31"/>
      <c r="C69" s="31"/>
      <c r="D69" s="31"/>
      <c r="E69" s="31"/>
      <c r="F69" s="31"/>
      <c r="G69" s="31"/>
      <c r="H69" s="31"/>
      <c r="I69" s="31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</sheetData>
  <mergeCells count="45">
    <mergeCell ref="AM11:AR11"/>
    <mergeCell ref="AM12:AO12"/>
    <mergeCell ref="AP12:AQ12"/>
    <mergeCell ref="BC12:BC13"/>
    <mergeCell ref="AS12:AT12"/>
    <mergeCell ref="AU12:AV12"/>
    <mergeCell ref="AS11:AV11"/>
    <mergeCell ref="AW12:AX12"/>
    <mergeCell ref="B13:B14"/>
    <mergeCell ref="C13:C14"/>
    <mergeCell ref="B10:G10"/>
    <mergeCell ref="AK12:AL12"/>
    <mergeCell ref="I13:I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92" t="s">
        <v>95</v>
      </c>
      <c r="D3" s="892"/>
      <c r="E3" s="892"/>
      <c r="F3" s="892"/>
      <c r="G3" s="892"/>
      <c r="H3" s="892"/>
      <c r="I3" s="892"/>
      <c r="J3" s="892"/>
      <c r="K3" s="914"/>
      <c r="L3" s="972"/>
      <c r="M3" s="892"/>
      <c r="N3" s="892"/>
      <c r="O3" s="892"/>
      <c r="P3" s="892"/>
      <c r="Q3" s="892"/>
      <c r="R3" s="889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34" t="s">
        <v>86</v>
      </c>
      <c r="C4" s="955" t="s">
        <v>82</v>
      </c>
      <c r="D4" s="892" t="s">
        <v>83</v>
      </c>
      <c r="E4" s="892"/>
      <c r="F4" s="892"/>
      <c r="G4" s="892"/>
      <c r="H4" s="892"/>
      <c r="I4" s="892"/>
      <c r="J4" s="892"/>
      <c r="K4" s="892"/>
      <c r="L4" s="150" t="s">
        <v>91</v>
      </c>
      <c r="M4" s="888" t="s">
        <v>94</v>
      </c>
      <c r="N4" s="892"/>
      <c r="O4" s="892"/>
      <c r="P4" s="914"/>
      <c r="Q4" s="892" t="s">
        <v>52</v>
      </c>
      <c r="R4" s="889"/>
      <c r="S4" s="107"/>
      <c r="T4" s="888">
        <v>350</v>
      </c>
      <c r="U4" s="892"/>
      <c r="V4" s="892" t="s">
        <v>76</v>
      </c>
      <c r="W4" s="892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35"/>
      <c r="C5" s="956"/>
      <c r="D5" s="940" t="s">
        <v>85</v>
      </c>
      <c r="E5" s="958" t="s">
        <v>89</v>
      </c>
      <c r="F5" s="904" t="s">
        <v>34</v>
      </c>
      <c r="G5" s="904"/>
      <c r="H5" s="903" t="s">
        <v>39</v>
      </c>
      <c r="I5" s="899" t="s">
        <v>35</v>
      </c>
      <c r="J5" s="899" t="s">
        <v>36</v>
      </c>
      <c r="K5" s="966" t="s">
        <v>67</v>
      </c>
      <c r="L5" s="151" t="s">
        <v>92</v>
      </c>
      <c r="M5" s="890" t="s">
        <v>90</v>
      </c>
      <c r="N5" s="890" t="s">
        <v>47</v>
      </c>
      <c r="O5" s="968" t="s">
        <v>84</v>
      </c>
      <c r="P5" s="969"/>
      <c r="Q5" s="970" t="s">
        <v>84</v>
      </c>
      <c r="R5" s="971"/>
      <c r="S5" s="107"/>
      <c r="T5" s="882" t="s">
        <v>46</v>
      </c>
      <c r="U5" s="973"/>
      <c r="V5" s="925" t="s">
        <v>45</v>
      </c>
      <c r="W5" s="877"/>
      <c r="X5" s="877"/>
      <c r="Y5" s="877"/>
      <c r="Z5" s="877"/>
      <c r="AA5" s="877"/>
      <c r="AB5" s="877"/>
      <c r="AC5" s="877"/>
      <c r="AD5" s="877"/>
      <c r="AE5" s="877"/>
      <c r="AF5" s="877"/>
      <c r="AG5" s="877"/>
      <c r="AH5" s="877"/>
      <c r="AI5" s="877"/>
      <c r="AJ5" s="877"/>
      <c r="AK5" s="31"/>
      <c r="AL5" s="31"/>
    </row>
    <row r="6" spans="2:38" ht="15" customHeight="1" thickBot="1" x14ac:dyDescent="0.3">
      <c r="B6" s="936"/>
      <c r="C6" s="957"/>
      <c r="D6" s="941"/>
      <c r="E6" s="959"/>
      <c r="F6" s="108" t="s">
        <v>8</v>
      </c>
      <c r="G6" s="109" t="s">
        <v>10</v>
      </c>
      <c r="H6" s="954"/>
      <c r="I6" s="954"/>
      <c r="J6" s="954"/>
      <c r="K6" s="967"/>
      <c r="L6" s="152" t="s">
        <v>93</v>
      </c>
      <c r="M6" s="965"/>
      <c r="N6" s="965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67"/>
      <c r="U6" s="974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42">
        <f>ROW(Assy.Model!B9)</f>
        <v>9</v>
      </c>
      <c r="D7" s="931" t="str">
        <f>SUBSTITUTE(ADDRESS(1,COLUMN(Assy.Model!B9),4),"1","")</f>
        <v>B</v>
      </c>
      <c r="E7" s="945" t="str">
        <f>SUBSTITUTE(ADDRESS(1,COLUMN(Assy.Model!M9),4),"1","")</f>
        <v>M</v>
      </c>
      <c r="F7" s="948" t="str">
        <f>SUBSTITUTE(ADDRESS(1,COLUMN(Assy.Model!X9),4),"1","")</f>
        <v>X</v>
      </c>
      <c r="G7" s="937" t="str">
        <f>SUBSTITUTE(ADDRESS(1,COLUMN(Assy.Model!AT9),4),"1","")</f>
        <v>AT</v>
      </c>
      <c r="H7" s="951" t="str">
        <f>SUBSTITUTE(ADDRESS(1,COLUMN(Assy.Model!H9),4),"1","")</f>
        <v>H</v>
      </c>
      <c r="I7" s="951" t="str">
        <f>SUBSTITUTE(ADDRESS(1,COLUMN(Assy.Model!AN9),4),"1","")</f>
        <v>AN</v>
      </c>
      <c r="J7" s="951" t="str">
        <f>SUBSTITUTE(ADDRESS(1,COLUMN(Assy.Model!AO9),4),"1","")</f>
        <v>AO</v>
      </c>
      <c r="K7" s="960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28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26" t="s">
        <v>81</v>
      </c>
      <c r="C8" s="943"/>
      <c r="D8" s="932"/>
      <c r="E8" s="946"/>
      <c r="F8" s="949"/>
      <c r="G8" s="938"/>
      <c r="H8" s="952"/>
      <c r="I8" s="952"/>
      <c r="J8" s="952"/>
      <c r="K8" s="961"/>
      <c r="L8" s="153" t="s">
        <v>93</v>
      </c>
      <c r="M8" s="963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29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26"/>
      <c r="C9" s="943"/>
      <c r="D9" s="932"/>
      <c r="E9" s="946"/>
      <c r="F9" s="949"/>
      <c r="G9" s="938"/>
      <c r="H9" s="952"/>
      <c r="I9" s="952"/>
      <c r="J9" s="952"/>
      <c r="K9" s="961"/>
      <c r="L9" s="153" t="s">
        <v>92</v>
      </c>
      <c r="M9" s="963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29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26"/>
      <c r="C10" s="943"/>
      <c r="D10" s="932"/>
      <c r="E10" s="946"/>
      <c r="F10" s="949"/>
      <c r="G10" s="938"/>
      <c r="H10" s="952"/>
      <c r="I10" s="952"/>
      <c r="J10" s="952"/>
      <c r="K10" s="961"/>
      <c r="L10" s="153" t="s">
        <v>92</v>
      </c>
      <c r="M10" s="963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29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26"/>
      <c r="C11" s="943"/>
      <c r="D11" s="932"/>
      <c r="E11" s="946"/>
      <c r="F11" s="949"/>
      <c r="G11" s="938"/>
      <c r="H11" s="952"/>
      <c r="I11" s="952"/>
      <c r="J11" s="952"/>
      <c r="K11" s="961"/>
      <c r="L11" s="153" t="s">
        <v>92</v>
      </c>
      <c r="M11" s="963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29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26"/>
      <c r="C12" s="943"/>
      <c r="D12" s="932"/>
      <c r="E12" s="946"/>
      <c r="F12" s="949"/>
      <c r="G12" s="938"/>
      <c r="H12" s="952"/>
      <c r="I12" s="952"/>
      <c r="J12" s="952"/>
      <c r="K12" s="961"/>
      <c r="L12" s="153" t="s">
        <v>92</v>
      </c>
      <c r="M12" s="963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29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26"/>
      <c r="C13" s="943"/>
      <c r="D13" s="932"/>
      <c r="E13" s="946"/>
      <c r="F13" s="949"/>
      <c r="G13" s="938"/>
      <c r="H13" s="952"/>
      <c r="I13" s="952"/>
      <c r="J13" s="952"/>
      <c r="K13" s="961"/>
      <c r="L13" s="153" t="s">
        <v>92</v>
      </c>
      <c r="M13" s="963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29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27"/>
      <c r="C14" s="944"/>
      <c r="D14" s="933"/>
      <c r="E14" s="947"/>
      <c r="F14" s="950"/>
      <c r="G14" s="939"/>
      <c r="H14" s="953"/>
      <c r="I14" s="953"/>
      <c r="J14" s="953"/>
      <c r="K14" s="962"/>
      <c r="L14" s="154" t="s">
        <v>93</v>
      </c>
      <c r="M14" s="964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30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  <mergeCell ref="J7:J14"/>
    <mergeCell ref="K7:K14"/>
    <mergeCell ref="M8:M14"/>
    <mergeCell ref="M5:M6"/>
    <mergeCell ref="K5:K6"/>
    <mergeCell ref="J5:J6"/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>
      <selection activeCell="M1" sqref="M1"/>
    </sheetView>
  </sheetViews>
  <sheetFormatPr defaultRowHeight="15" x14ac:dyDescent="0.25"/>
  <cols>
    <col min="1" max="1" width="9.7109375" style="31" customWidth="1"/>
    <col min="2" max="10" width="9.7109375" customWidth="1"/>
    <col min="11" max="11" width="12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2" width="9.140625" hidden="1" customWidth="1"/>
    <col min="243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992" t="str">
        <f>CONCATENATE(Settings!$C$19," ",Settings!$B$28)</f>
        <v>12.25  Job# --- Assy# --- Post Braze --- yy.mm.dd</v>
      </c>
      <c r="D1" s="992"/>
      <c r="E1" s="992"/>
      <c r="F1" s="992"/>
      <c r="G1" s="992"/>
      <c r="H1" s="992"/>
      <c r="I1" s="992"/>
      <c r="J1" s="992"/>
      <c r="K1" s="992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004" t="s">
        <v>315</v>
      </c>
      <c r="C2" s="1005"/>
      <c r="D2" s="1005"/>
      <c r="E2" s="1005"/>
      <c r="F2" s="1005"/>
      <c r="G2" s="1005"/>
      <c r="H2" s="1005"/>
      <c r="I2" s="1005"/>
      <c r="J2" s="1005"/>
      <c r="K2" s="1006"/>
      <c r="L2" s="991" t="str" cm="1">
        <f t="array" ref="L2">IF(OR($K$9:$K$150="Undefined"),"Undefined Element","")</f>
        <v/>
      </c>
      <c r="M2" s="1015" t="s">
        <v>0</v>
      </c>
      <c r="N2" s="1052" t="s">
        <v>1</v>
      </c>
      <c r="O2" s="1053"/>
      <c r="P2" s="1053"/>
      <c r="Q2" s="1053"/>
      <c r="R2" s="1053"/>
      <c r="S2" s="1053"/>
      <c r="T2" s="1053"/>
      <c r="U2" s="1053"/>
      <c r="V2" s="1053"/>
      <c r="W2" s="1053"/>
      <c r="X2" s="1053"/>
      <c r="Y2" s="1054"/>
      <c r="Z2" s="1052" t="s">
        <v>2</v>
      </c>
      <c r="AA2" s="1053"/>
      <c r="AB2" s="1053"/>
      <c r="AC2" s="1053"/>
      <c r="AD2" s="1053"/>
      <c r="AE2" s="1053"/>
      <c r="AF2" s="1053"/>
      <c r="AG2" s="1053"/>
      <c r="AH2" s="1053"/>
      <c r="AI2" s="1053"/>
      <c r="AJ2" s="1053"/>
      <c r="AK2" s="1053"/>
      <c r="AL2" s="1053"/>
      <c r="AM2" s="1053"/>
      <c r="AN2" s="1053"/>
      <c r="AO2" s="1053"/>
      <c r="AP2" s="1053"/>
      <c r="AQ2" s="1078"/>
      <c r="AS2" s="1060" t="s">
        <v>44</v>
      </c>
      <c r="AT2" s="1061"/>
      <c r="AV2" s="1050" t="s">
        <v>0</v>
      </c>
      <c r="AW2" s="1052" t="s">
        <v>109</v>
      </c>
      <c r="AX2" s="1053"/>
      <c r="AY2" s="1053"/>
      <c r="AZ2" s="1053"/>
      <c r="BA2" s="1053"/>
      <c r="BB2" s="1053"/>
      <c r="BC2" s="1053"/>
      <c r="BD2" s="1053"/>
      <c r="BE2" s="1078"/>
      <c r="BF2" s="1084" t="s">
        <v>115</v>
      </c>
      <c r="BG2" s="1053"/>
      <c r="BH2" s="1053"/>
      <c r="BI2" s="1053"/>
      <c r="BJ2" s="1053"/>
      <c r="BK2" s="1053"/>
      <c r="BL2" s="1053"/>
      <c r="BM2" s="1053"/>
      <c r="BN2" s="1053"/>
      <c r="BO2" s="1053"/>
      <c r="BP2" s="1053"/>
      <c r="BQ2" s="1053"/>
      <c r="BR2" s="1053"/>
      <c r="BS2" s="1053"/>
      <c r="BT2" s="1053"/>
      <c r="BU2" s="1053"/>
      <c r="BV2" s="1053"/>
      <c r="BW2" s="1053"/>
      <c r="BX2" s="1053"/>
      <c r="BY2" s="1053"/>
      <c r="BZ2" s="1053"/>
      <c r="CA2" s="1053"/>
      <c r="CB2" s="1053"/>
      <c r="CC2" s="1053"/>
      <c r="CD2" s="1053"/>
      <c r="CE2" s="1053"/>
      <c r="CF2" s="1053"/>
      <c r="CG2" s="1053"/>
      <c r="CH2" s="1053"/>
      <c r="CI2" s="1053"/>
      <c r="CJ2" s="1053"/>
      <c r="CK2" s="1053"/>
      <c r="CL2" s="1053"/>
      <c r="CM2" s="1053"/>
      <c r="CN2" s="1053"/>
      <c r="CO2" s="1053"/>
      <c r="CP2" s="1053"/>
      <c r="CQ2" s="1053"/>
      <c r="CR2" s="1053"/>
      <c r="CS2" s="1053"/>
      <c r="CT2" s="1053"/>
      <c r="CU2" s="1053"/>
      <c r="CV2" s="1053"/>
      <c r="CW2" s="1053"/>
      <c r="CX2" s="1053"/>
      <c r="CY2" s="1053"/>
      <c r="CZ2" s="1053"/>
      <c r="DA2" s="1053"/>
      <c r="DB2" s="1053"/>
      <c r="DC2" s="1053"/>
      <c r="DD2" s="1053"/>
      <c r="DE2" s="1053"/>
      <c r="DF2" s="1053"/>
      <c r="DG2" s="1053"/>
      <c r="DH2" s="1053"/>
      <c r="DI2" s="1053"/>
      <c r="DJ2" s="1053"/>
      <c r="DK2" s="1053"/>
      <c r="DL2" s="1053"/>
      <c r="DM2" s="1053"/>
      <c r="DN2" s="1053"/>
      <c r="DO2" s="1053"/>
      <c r="DP2" s="1053"/>
      <c r="DQ2" s="1053"/>
      <c r="DR2" s="1053"/>
      <c r="DS2" s="1053"/>
      <c r="DT2" s="1053"/>
      <c r="DU2" s="1053"/>
      <c r="DV2" s="1053"/>
      <c r="DW2" s="1053"/>
      <c r="DX2" s="1053"/>
      <c r="DY2" s="1053"/>
      <c r="DZ2" s="1053"/>
      <c r="EA2" s="1053"/>
      <c r="EB2" s="1053"/>
      <c r="EC2" s="1053"/>
      <c r="ED2" s="1053"/>
      <c r="EE2" s="1053"/>
      <c r="EF2" s="1053"/>
      <c r="EG2" s="1053"/>
      <c r="EH2" s="1053"/>
      <c r="EI2" s="1053"/>
      <c r="EJ2" s="1053"/>
      <c r="EK2" s="1053"/>
      <c r="EL2" s="1053"/>
      <c r="EM2" s="1053"/>
      <c r="EN2" s="1053"/>
      <c r="EO2" s="1053"/>
      <c r="EP2" s="1053"/>
      <c r="EQ2" s="1053"/>
      <c r="ER2" s="1054"/>
      <c r="ES2" s="1210" t="s">
        <v>197</v>
      </c>
      <c r="ET2" s="1211"/>
      <c r="EU2" s="1211"/>
      <c r="EV2" s="1211"/>
      <c r="EW2" s="1211"/>
      <c r="EX2" s="1211"/>
      <c r="EY2" s="1211"/>
      <c r="EZ2" s="1211"/>
      <c r="FA2" s="1211"/>
      <c r="FB2" s="1211"/>
      <c r="FC2" s="1211"/>
      <c r="FD2" s="1211"/>
      <c r="FE2" s="1211"/>
      <c r="FF2" s="1212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181" t="s">
        <v>266</v>
      </c>
      <c r="HQ2" s="1161" t="str">
        <f>IFERROR(CONCATENATE("Sum of Lateral Forces = ",ROUND(HE3,0)," lbs @ ",ROUND(HF3,1),"° Relative to Blade 1"),"")</f>
        <v/>
      </c>
      <c r="HR2" s="1162"/>
      <c r="HS2" s="1162"/>
      <c r="HT2" s="1162"/>
      <c r="HU2" s="1162"/>
      <c r="HV2" s="1163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007"/>
      <c r="C3" s="1008"/>
      <c r="D3" s="1008"/>
      <c r="E3" s="1008"/>
      <c r="F3" s="1008"/>
      <c r="G3" s="1008"/>
      <c r="H3" s="1008"/>
      <c r="I3" s="1008"/>
      <c r="J3" s="1008"/>
      <c r="K3" s="1009"/>
      <c r="L3" s="991"/>
      <c r="M3" s="1007"/>
      <c r="N3" s="1055"/>
      <c r="O3" s="1056"/>
      <c r="P3" s="1056"/>
      <c r="Q3" s="1056"/>
      <c r="R3" s="1056"/>
      <c r="S3" s="1056"/>
      <c r="T3" s="1056"/>
      <c r="U3" s="1056"/>
      <c r="V3" s="1056"/>
      <c r="W3" s="1056"/>
      <c r="X3" s="1056"/>
      <c r="Y3" s="1057"/>
      <c r="Z3" s="1055"/>
      <c r="AA3" s="1056"/>
      <c r="AB3" s="1056"/>
      <c r="AC3" s="1056"/>
      <c r="AD3" s="1056"/>
      <c r="AE3" s="1056"/>
      <c r="AF3" s="1056"/>
      <c r="AG3" s="1056"/>
      <c r="AH3" s="1056"/>
      <c r="AI3" s="1056"/>
      <c r="AJ3" s="1056"/>
      <c r="AK3" s="1056"/>
      <c r="AL3" s="1056"/>
      <c r="AM3" s="1056"/>
      <c r="AN3" s="1056"/>
      <c r="AO3" s="1056"/>
      <c r="AP3" s="1056"/>
      <c r="AQ3" s="1079"/>
      <c r="AS3" s="466">
        <v>100</v>
      </c>
      <c r="AT3" s="463" t="s">
        <v>45</v>
      </c>
      <c r="AV3" s="1051"/>
      <c r="AW3" s="1100"/>
      <c r="AX3" s="1086"/>
      <c r="AY3" s="1086"/>
      <c r="AZ3" s="1086"/>
      <c r="BA3" s="1086"/>
      <c r="BB3" s="1086"/>
      <c r="BC3" s="1086"/>
      <c r="BD3" s="1086"/>
      <c r="BE3" s="1101"/>
      <c r="BF3" s="1085"/>
      <c r="BG3" s="1086"/>
      <c r="BH3" s="1086"/>
      <c r="BI3" s="1086"/>
      <c r="BJ3" s="1086"/>
      <c r="BK3" s="1086"/>
      <c r="BL3" s="1086"/>
      <c r="BM3" s="1086"/>
      <c r="BN3" s="1086"/>
      <c r="BO3" s="1086"/>
      <c r="BP3" s="1086"/>
      <c r="BQ3" s="1086"/>
      <c r="BR3" s="1086"/>
      <c r="BS3" s="1086"/>
      <c r="BT3" s="1086"/>
      <c r="BU3" s="1086"/>
      <c r="BV3" s="1086"/>
      <c r="BW3" s="1086"/>
      <c r="BX3" s="1086"/>
      <c r="BY3" s="1086"/>
      <c r="BZ3" s="1086"/>
      <c r="CA3" s="1086"/>
      <c r="CB3" s="1086"/>
      <c r="CC3" s="1086"/>
      <c r="CD3" s="1086"/>
      <c r="CE3" s="1086"/>
      <c r="CF3" s="1086"/>
      <c r="CG3" s="1086"/>
      <c r="CH3" s="1086"/>
      <c r="CI3" s="1086"/>
      <c r="CJ3" s="1086"/>
      <c r="CK3" s="1086"/>
      <c r="CL3" s="1086"/>
      <c r="CM3" s="1086"/>
      <c r="CN3" s="1086"/>
      <c r="CO3" s="1086"/>
      <c r="CP3" s="1086"/>
      <c r="CQ3" s="1086"/>
      <c r="CR3" s="1086"/>
      <c r="CS3" s="1086"/>
      <c r="CT3" s="1086"/>
      <c r="CU3" s="1086"/>
      <c r="CV3" s="1086"/>
      <c r="CW3" s="1086"/>
      <c r="CX3" s="1086"/>
      <c r="CY3" s="1086"/>
      <c r="CZ3" s="1086"/>
      <c r="DA3" s="1086"/>
      <c r="DB3" s="1086"/>
      <c r="DC3" s="1086"/>
      <c r="DD3" s="1086"/>
      <c r="DE3" s="1086"/>
      <c r="DF3" s="1086"/>
      <c r="DG3" s="1086"/>
      <c r="DH3" s="1086"/>
      <c r="DI3" s="1086"/>
      <c r="DJ3" s="1086"/>
      <c r="DK3" s="1086"/>
      <c r="DL3" s="1086"/>
      <c r="DM3" s="1086"/>
      <c r="DN3" s="1086"/>
      <c r="DO3" s="1086"/>
      <c r="DP3" s="1086"/>
      <c r="DQ3" s="1086"/>
      <c r="DR3" s="1086"/>
      <c r="DS3" s="1086"/>
      <c r="DT3" s="1086"/>
      <c r="DU3" s="1086"/>
      <c r="DV3" s="1086"/>
      <c r="DW3" s="1086"/>
      <c r="DX3" s="1086"/>
      <c r="DY3" s="1086"/>
      <c r="DZ3" s="1086"/>
      <c r="EA3" s="1086"/>
      <c r="EB3" s="1086"/>
      <c r="EC3" s="1086"/>
      <c r="ED3" s="1086"/>
      <c r="EE3" s="1086"/>
      <c r="EF3" s="1086"/>
      <c r="EG3" s="1086"/>
      <c r="EH3" s="1086"/>
      <c r="EI3" s="1086"/>
      <c r="EJ3" s="1086"/>
      <c r="EK3" s="1086"/>
      <c r="EL3" s="1086"/>
      <c r="EM3" s="1086"/>
      <c r="EN3" s="1086"/>
      <c r="EO3" s="1086"/>
      <c r="EP3" s="1086"/>
      <c r="EQ3" s="1086"/>
      <c r="ER3" s="1087"/>
      <c r="ES3" s="1100"/>
      <c r="ET3" s="1086"/>
      <c r="EU3" s="1086"/>
      <c r="EV3" s="1086"/>
      <c r="EW3" s="1086"/>
      <c r="EX3" s="1086"/>
      <c r="EY3" s="1086"/>
      <c r="EZ3" s="1086"/>
      <c r="FA3" s="1086"/>
      <c r="FB3" s="1086"/>
      <c r="FC3" s="1086"/>
      <c r="FD3" s="1086"/>
      <c r="FE3" s="1086"/>
      <c r="FF3" s="1087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197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010"/>
      <c r="C4" s="1011"/>
      <c r="D4" s="1011"/>
      <c r="E4" s="1011"/>
      <c r="F4" s="1011"/>
      <c r="G4" s="1011"/>
      <c r="H4" s="1011"/>
      <c r="I4" s="1011"/>
      <c r="J4" s="1011"/>
      <c r="K4" s="1012"/>
      <c r="L4" s="991"/>
      <c r="M4" s="1007"/>
      <c r="N4" s="1019" t="s">
        <v>3</v>
      </c>
      <c r="O4" s="1014"/>
      <c r="P4" s="1014"/>
      <c r="Q4" s="1013" t="s">
        <v>4</v>
      </c>
      <c r="R4" s="1014"/>
      <c r="S4" s="1035"/>
      <c r="T4" s="1029" t="str">
        <f>N4</f>
        <v>Cartesian Coordinates</v>
      </c>
      <c r="U4" s="996"/>
      <c r="V4" s="1030"/>
      <c r="W4" s="996" t="str">
        <f>$Q$4</f>
        <v>Polar XY; Cartesian Z</v>
      </c>
      <c r="X4" s="996"/>
      <c r="Y4" s="997"/>
      <c r="Z4" s="1019" t="s">
        <v>3</v>
      </c>
      <c r="AA4" s="1014"/>
      <c r="AB4" s="1014"/>
      <c r="AC4" s="1014"/>
      <c r="AD4" s="1014"/>
      <c r="AE4" s="1014"/>
      <c r="AF4" s="1014"/>
      <c r="AG4" s="1047" t="s">
        <v>31</v>
      </c>
      <c r="AH4" s="1014"/>
      <c r="AI4" s="1014"/>
      <c r="AJ4" s="1035"/>
      <c r="AK4" s="1080" t="s">
        <v>32</v>
      </c>
      <c r="AL4" s="1081"/>
      <c r="AM4" s="1081"/>
      <c r="AN4" s="1081"/>
      <c r="AO4" s="1081"/>
      <c r="AP4" s="1081"/>
      <c r="AQ4" s="1082"/>
      <c r="AS4" s="467">
        <v>125</v>
      </c>
      <c r="AT4" s="464" t="s">
        <v>46</v>
      </c>
      <c r="AV4" s="1051"/>
      <c r="AW4" s="1111" t="s">
        <v>112</v>
      </c>
      <c r="AX4" s="1093"/>
      <c r="AY4" s="883"/>
      <c r="AZ4" s="1097"/>
      <c r="BA4" s="1098"/>
      <c r="BB4" s="1102" t="s">
        <v>113</v>
      </c>
      <c r="BC4" s="996" t="str">
        <f>$Q$4</f>
        <v>Polar XY; Cartesian Z</v>
      </c>
      <c r="BD4" s="996"/>
      <c r="BE4" s="1105"/>
      <c r="BF4" s="1120" t="s">
        <v>129</v>
      </c>
      <c r="BG4" s="1121"/>
      <c r="BH4" s="1121"/>
      <c r="BI4" s="1121"/>
      <c r="BJ4" s="1121"/>
      <c r="BK4" s="1121"/>
      <c r="BL4" s="1121"/>
      <c r="BM4" s="1121"/>
      <c r="BN4" s="1121"/>
      <c r="BO4" s="1121"/>
      <c r="BP4" s="1121"/>
      <c r="BQ4" s="1121"/>
      <c r="BR4" s="1121"/>
      <c r="BS4" s="1121"/>
      <c r="BT4" s="1121"/>
      <c r="BU4" s="1121"/>
      <c r="BV4" s="1121"/>
      <c r="BW4" s="1121"/>
      <c r="BX4" s="1121"/>
      <c r="BY4" s="1121"/>
      <c r="BZ4" s="1121"/>
      <c r="CA4" s="1121"/>
      <c r="CB4" s="1121"/>
      <c r="CC4" s="1121"/>
      <c r="CD4" s="1121"/>
      <c r="CE4" s="1121"/>
      <c r="CF4" s="1121"/>
      <c r="CG4" s="1121"/>
      <c r="CH4" s="1121"/>
      <c r="CI4" s="1121"/>
      <c r="CJ4" s="1121"/>
      <c r="CK4" s="1121"/>
      <c r="CL4" s="1121"/>
      <c r="CM4" s="1121"/>
      <c r="CN4" s="1122"/>
      <c r="CO4" s="1088" t="s">
        <v>193</v>
      </c>
      <c r="CP4" s="1089"/>
      <c r="CQ4" s="1089"/>
      <c r="CR4" s="1089"/>
      <c r="CS4" s="1089"/>
      <c r="CT4" s="1089"/>
      <c r="CU4" s="1089"/>
      <c r="CV4" s="1089"/>
      <c r="CW4" s="1089"/>
      <c r="CX4" s="1089"/>
      <c r="CY4" s="1089"/>
      <c r="CZ4" s="1089"/>
      <c r="DA4" s="1090"/>
      <c r="DB4" s="1207" t="s">
        <v>162</v>
      </c>
      <c r="DC4" s="1208"/>
      <c r="DD4" s="1208"/>
      <c r="DE4" s="1208"/>
      <c r="DF4" s="1208"/>
      <c r="DG4" s="1208"/>
      <c r="DH4" s="1208"/>
      <c r="DI4" s="1208"/>
      <c r="DJ4" s="1208"/>
      <c r="DK4" s="1208"/>
      <c r="DL4" s="1208"/>
      <c r="DM4" s="1208"/>
      <c r="DN4" s="1208"/>
      <c r="DO4" s="1208"/>
      <c r="DP4" s="1208"/>
      <c r="DQ4" s="1208"/>
      <c r="DR4" s="1208"/>
      <c r="DS4" s="1208"/>
      <c r="DT4" s="1208"/>
      <c r="DU4" s="1208"/>
      <c r="DV4" s="1208"/>
      <c r="DW4" s="1208"/>
      <c r="DX4" s="1208"/>
      <c r="DY4" s="1208"/>
      <c r="DZ4" s="1208"/>
      <c r="EA4" s="1208"/>
      <c r="EB4" s="1208"/>
      <c r="EC4" s="1208"/>
      <c r="ED4" s="1208"/>
      <c r="EE4" s="1208"/>
      <c r="EF4" s="1208"/>
      <c r="EG4" s="1208"/>
      <c r="EH4" s="1208"/>
      <c r="EI4" s="1208"/>
      <c r="EJ4" s="1208"/>
      <c r="EK4" s="1208"/>
      <c r="EL4" s="1208"/>
      <c r="EM4" s="1208"/>
      <c r="EN4" s="1208"/>
      <c r="EO4" s="1208"/>
      <c r="EP4" s="1208"/>
      <c r="EQ4" s="1208"/>
      <c r="ER4" s="1209"/>
      <c r="ES4" s="1223" t="s">
        <v>196</v>
      </c>
      <c r="ET4" s="1224"/>
      <c r="EU4" s="1224"/>
      <c r="EV4" s="1224"/>
      <c r="EW4" s="1224"/>
      <c r="EX4" s="1224"/>
      <c r="EY4" s="1225"/>
      <c r="EZ4" s="1144" t="s">
        <v>201</v>
      </c>
      <c r="FA4" s="1145"/>
      <c r="FB4" s="1145"/>
      <c r="FC4" s="1145"/>
      <c r="FD4" s="1145"/>
      <c r="FE4" s="1145"/>
      <c r="FF4" s="1146"/>
      <c r="FG4" s="343"/>
      <c r="FP4" s="1181" t="s">
        <v>229</v>
      </c>
      <c r="FZ4" s="1181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1" t="s">
        <v>236</v>
      </c>
      <c r="GK4" s="902"/>
      <c r="GL4" s="902"/>
      <c r="GM4" s="902"/>
      <c r="GN4" s="1173"/>
      <c r="GO4" s="1242" t="s">
        <v>229</v>
      </c>
      <c r="GP4" s="1246" t="s">
        <v>228</v>
      </c>
      <c r="GR4" s="1251" t="s">
        <v>261</v>
      </c>
      <c r="GS4" s="972" t="s">
        <v>259</v>
      </c>
      <c r="GT4" s="892"/>
      <c r="GU4" s="892"/>
      <c r="GV4" s="892"/>
      <c r="GW4" s="892"/>
      <c r="GX4" s="892"/>
      <c r="GY4" s="892"/>
      <c r="GZ4" s="892"/>
      <c r="HA4" s="1167" t="str">
        <f>IFERROR(CONCATENATE("Lateral Forces = ",ROUND(HE3,0)," lbs @ ",ROUND(HF3,1),"° Relative to Blade 1"),"")</f>
        <v/>
      </c>
      <c r="HB4" s="1168"/>
      <c r="HC4" s="1168"/>
      <c r="HD4" s="1168"/>
      <c r="HE4" s="1168"/>
      <c r="HF4" s="1168"/>
      <c r="HG4" s="1168"/>
      <c r="HH4" s="1169"/>
      <c r="HI4" s="1176" t="s">
        <v>0</v>
      </c>
      <c r="HO4" s="1198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898" t="s">
        <v>381</v>
      </c>
      <c r="IF4" s="898"/>
      <c r="IG4" s="767" cm="1">
        <f t="array" ref="IG4">MAX(MOD(IF($IG$9:$IG$150="",0,($IG$9:$IG$150*1000)),100))</f>
        <v>57</v>
      </c>
      <c r="IL4" s="31"/>
      <c r="IM4" s="767"/>
    </row>
    <row r="5" spans="1:283" ht="15" customHeight="1" x14ac:dyDescent="0.25">
      <c r="B5" s="998" t="str">
        <f>CONCATENATE(B7," ; ",E7," ; ",H7)</f>
        <v>Absolute-Point ; Incremental-Vector Point ; Pocket Info.</v>
      </c>
      <c r="C5" s="999"/>
      <c r="D5" s="999"/>
      <c r="E5" s="999"/>
      <c r="F5" s="999"/>
      <c r="G5" s="999"/>
      <c r="H5" s="999"/>
      <c r="I5" s="999"/>
      <c r="J5" s="999"/>
      <c r="K5" s="1000"/>
      <c r="L5" s="843"/>
      <c r="M5" s="1007"/>
      <c r="N5" s="1040" t="s">
        <v>5</v>
      </c>
      <c r="O5" s="978"/>
      <c r="P5" s="978"/>
      <c r="Q5" s="977" t="s">
        <v>6</v>
      </c>
      <c r="R5" s="978"/>
      <c r="S5" s="979"/>
      <c r="T5" s="1045" t="str">
        <f>CONCATENATE("Relative to ",M8,"'s θ about Z Axis")</f>
        <v>Relative to 1.11's θ about Z Axis</v>
      </c>
      <c r="U5" s="1021"/>
      <c r="V5" s="1072"/>
      <c r="W5" s="1021" t="str">
        <f>CONCATENATE("Relative to ",M8,"'s θ about Z Axis")</f>
        <v>Relative to 1.11's θ about Z Axis</v>
      </c>
      <c r="X5" s="1021"/>
      <c r="Y5" s="1031"/>
      <c r="Z5" s="1020" t="str">
        <f>N5</f>
        <v>Relative to World_CS</v>
      </c>
      <c r="AA5" s="1021"/>
      <c r="AB5" s="1021"/>
      <c r="AC5" s="1021"/>
      <c r="AD5" s="1021"/>
      <c r="AE5" s="1021"/>
      <c r="AF5" s="1021"/>
      <c r="AG5" s="1045" t="str">
        <f>N5</f>
        <v>Relative to World_CS</v>
      </c>
      <c r="AH5" s="1021"/>
      <c r="AI5" s="1021"/>
      <c r="AJ5" s="1046"/>
      <c r="AK5" s="1083" t="s">
        <v>7</v>
      </c>
      <c r="AL5" s="978"/>
      <c r="AM5" s="978"/>
      <c r="AN5" s="978"/>
      <c r="AO5" s="978"/>
      <c r="AP5" s="978"/>
      <c r="AQ5" s="979"/>
      <c r="AS5" s="171">
        <f>(((AS4*12)/60)/AS3)</f>
        <v>0.25</v>
      </c>
      <c r="AT5" s="464" t="s">
        <v>47</v>
      </c>
      <c r="AV5" s="1051"/>
      <c r="AW5" s="1112"/>
      <c r="AX5" s="1113"/>
      <c r="AY5" s="1114"/>
      <c r="AZ5" s="1099"/>
      <c r="BA5" s="873"/>
      <c r="BB5" s="1103"/>
      <c r="BC5" s="1108" t="str">
        <f>$W$5</f>
        <v>Relative to 1.11's θ about Z Axis</v>
      </c>
      <c r="BD5" s="1021"/>
      <c r="BE5" s="1046"/>
      <c r="BF5" s="972" t="s">
        <v>128</v>
      </c>
      <c r="BG5" s="892"/>
      <c r="BH5" s="892"/>
      <c r="BI5" s="892"/>
      <c r="BJ5" s="892"/>
      <c r="BK5" s="892"/>
      <c r="BL5" s="892"/>
      <c r="BM5" s="892"/>
      <c r="BN5" s="892"/>
      <c r="BO5" s="892"/>
      <c r="BP5" s="892"/>
      <c r="BQ5" s="892"/>
      <c r="BR5" s="914"/>
      <c r="BS5" s="972" t="s">
        <v>130</v>
      </c>
      <c r="BT5" s="892"/>
      <c r="BU5" s="892"/>
      <c r="BV5" s="892"/>
      <c r="BW5" s="892"/>
      <c r="BX5" s="892"/>
      <c r="BY5" s="892"/>
      <c r="BZ5" s="892"/>
      <c r="CA5" s="892"/>
      <c r="CB5" s="892"/>
      <c r="CC5" s="892"/>
      <c r="CD5" s="892"/>
      <c r="CE5" s="914"/>
      <c r="CF5" s="972" t="s">
        <v>138</v>
      </c>
      <c r="CG5" s="892"/>
      <c r="CH5" s="914"/>
      <c r="CI5" s="972" t="s">
        <v>139</v>
      </c>
      <c r="CJ5" s="892"/>
      <c r="CK5" s="892"/>
      <c r="CL5" s="892"/>
      <c r="CM5" s="892"/>
      <c r="CN5" s="914"/>
      <c r="CO5" s="1091" t="s">
        <v>275</v>
      </c>
      <c r="CP5" s="1091" t="s">
        <v>149</v>
      </c>
      <c r="CQ5" s="1093"/>
      <c r="CR5" s="1093"/>
      <c r="CS5" s="973"/>
      <c r="CT5" s="1093" t="s">
        <v>150</v>
      </c>
      <c r="CU5" s="883"/>
      <c r="CV5" s="972" t="s">
        <v>161</v>
      </c>
      <c r="CW5" s="892"/>
      <c r="CX5" s="892"/>
      <c r="CY5" s="892"/>
      <c r="CZ5" s="892"/>
      <c r="DA5" s="914"/>
      <c r="DB5" s="972" t="s">
        <v>163</v>
      </c>
      <c r="DC5" s="892"/>
      <c r="DD5" s="892"/>
      <c r="DE5" s="892"/>
      <c r="DF5" s="892"/>
      <c r="DG5" s="892"/>
      <c r="DH5" s="914"/>
      <c r="DI5" s="1132" t="s">
        <v>173</v>
      </c>
      <c r="DJ5" s="1132"/>
      <c r="DK5" s="1133"/>
      <c r="DL5" s="1187" t="s">
        <v>174</v>
      </c>
      <c r="DM5" s="1132"/>
      <c r="DN5" s="1188"/>
      <c r="DO5" s="1136" t="s">
        <v>175</v>
      </c>
      <c r="DP5" s="1137"/>
      <c r="DQ5" s="1137"/>
      <c r="DR5" s="1073" t="s">
        <v>187</v>
      </c>
      <c r="DS5" s="1073"/>
      <c r="DT5" s="1073"/>
      <c r="DU5" s="1073"/>
      <c r="DV5" s="1073"/>
      <c r="DW5" s="1073"/>
      <c r="DX5" s="1091" t="s">
        <v>190</v>
      </c>
      <c r="DY5" s="934" t="s">
        <v>149</v>
      </c>
      <c r="DZ5" s="1073"/>
      <c r="EA5" s="1073"/>
      <c r="EB5" s="1073"/>
      <c r="EC5" s="1073" t="s">
        <v>150</v>
      </c>
      <c r="ED5" s="1073"/>
      <c r="EE5" s="1251" t="s">
        <v>194</v>
      </c>
      <c r="EF5" s="1251"/>
      <c r="EG5" s="1199"/>
      <c r="EH5" s="1191" t="s">
        <v>195</v>
      </c>
      <c r="EI5" s="1192"/>
      <c r="EJ5" s="1193"/>
      <c r="EK5" s="1073" t="s">
        <v>188</v>
      </c>
      <c r="EL5" s="1091"/>
      <c r="EM5" s="972" t="s">
        <v>189</v>
      </c>
      <c r="EN5" s="892"/>
      <c r="EO5" s="892"/>
      <c r="EP5" s="892"/>
      <c r="EQ5" s="892"/>
      <c r="ER5" s="1124"/>
      <c r="ES5" s="1111" t="s">
        <v>202</v>
      </c>
      <c r="ET5" s="1093"/>
      <c r="EU5" s="973"/>
      <c r="EV5" s="1226" t="s">
        <v>222</v>
      </c>
      <c r="EW5" s="1227"/>
      <c r="EX5" s="1227"/>
      <c r="EY5" s="1228"/>
      <c r="EZ5" s="1217" t="s">
        <v>200</v>
      </c>
      <c r="FA5" s="968" t="s">
        <v>202</v>
      </c>
      <c r="FB5" s="1153"/>
      <c r="FC5" s="969"/>
      <c r="FD5" s="1157" t="s">
        <v>222</v>
      </c>
      <c r="FE5" s="1158"/>
      <c r="FF5" s="1159"/>
      <c r="FP5" s="1198"/>
      <c r="FQ5" s="31"/>
      <c r="FR5" s="31"/>
      <c r="FS5" s="31"/>
      <c r="FT5" s="31"/>
      <c r="FZ5" s="1198"/>
      <c r="GJ5" s="1239" t="s">
        <v>269</v>
      </c>
      <c r="GK5" s="1201" t="s">
        <v>267</v>
      </c>
      <c r="GL5" s="1203" t="s">
        <v>110</v>
      </c>
      <c r="GM5" s="1203" t="s">
        <v>111</v>
      </c>
      <c r="GN5" s="1204"/>
      <c r="GO5" s="1243"/>
      <c r="GP5" s="1247"/>
      <c r="GQ5" s="31"/>
      <c r="GR5" s="991"/>
      <c r="GS5" s="1099" t="s">
        <v>248</v>
      </c>
      <c r="GT5" s="1257"/>
      <c r="GU5" s="1253" t="s">
        <v>249</v>
      </c>
      <c r="GV5" s="1254"/>
      <c r="GW5" s="1255"/>
      <c r="GX5" s="1256"/>
      <c r="GY5" s="1241" t="s">
        <v>107</v>
      </c>
      <c r="GZ5" s="875"/>
      <c r="HA5" s="1164" t="s">
        <v>248</v>
      </c>
      <c r="HB5" s="1165"/>
      <c r="HC5" s="1165"/>
      <c r="HD5" s="1166"/>
      <c r="HE5" s="1183" t="s">
        <v>249</v>
      </c>
      <c r="HF5" s="1165"/>
      <c r="HG5" s="1165"/>
      <c r="HH5" s="1184"/>
      <c r="HI5" s="1177"/>
      <c r="HN5" s="386" t="s">
        <v>263</v>
      </c>
      <c r="HO5" s="58" t="s">
        <v>264</v>
      </c>
      <c r="HS5" s="1170" t="s">
        <v>274</v>
      </c>
      <c r="HZ5" s="383"/>
    </row>
    <row r="6" spans="1:283" ht="15" customHeight="1" thickBot="1" x14ac:dyDescent="0.4">
      <c r="B6" s="1001"/>
      <c r="C6" s="1002"/>
      <c r="D6" s="1002"/>
      <c r="E6" s="1002"/>
      <c r="F6" s="1002"/>
      <c r="G6" s="1002"/>
      <c r="H6" s="1002"/>
      <c r="I6" s="1002"/>
      <c r="J6" s="1002"/>
      <c r="K6" s="1003"/>
      <c r="L6" s="991" t="str" cm="1">
        <f t="array" ref="L6">IF(OR($K$9:$K$150="Inactive"),"Inactive Element","")</f>
        <v>Inactive Element</v>
      </c>
      <c r="M6" s="1007"/>
      <c r="N6" s="1036" t="s">
        <v>8</v>
      </c>
      <c r="O6" s="1038" t="s">
        <v>9</v>
      </c>
      <c r="P6" s="975" t="s">
        <v>10</v>
      </c>
      <c r="Q6" s="1041" t="s">
        <v>11</v>
      </c>
      <c r="R6" s="1042"/>
      <c r="S6" s="1032" t="s">
        <v>10</v>
      </c>
      <c r="T6" s="1068" t="str">
        <f>N6</f>
        <v>X</v>
      </c>
      <c r="U6" s="1070" t="str">
        <f>O6</f>
        <v>Y</v>
      </c>
      <c r="V6" s="1027" t="str">
        <f>P6</f>
        <v>Z</v>
      </c>
      <c r="W6" s="1017" t="str">
        <f>$Q$6</f>
        <v>Projected XY</v>
      </c>
      <c r="X6" s="1018"/>
      <c r="Y6" s="1066" t="str">
        <f>$S$6</f>
        <v>Z</v>
      </c>
      <c r="Z6" s="1048" t="s">
        <v>12</v>
      </c>
      <c r="AA6" s="1008"/>
      <c r="AB6" s="1008"/>
      <c r="AC6" s="1049"/>
      <c r="AD6" s="1013" t="s">
        <v>13</v>
      </c>
      <c r="AE6" s="1014"/>
      <c r="AF6" s="1014"/>
      <c r="AG6" s="1047" t="s">
        <v>7</v>
      </c>
      <c r="AH6" s="1014"/>
      <c r="AI6" s="1013" t="s">
        <v>14</v>
      </c>
      <c r="AJ6" s="1035"/>
      <c r="AK6" s="1075" t="str">
        <f>AD6</f>
        <v>Unit Vector</v>
      </c>
      <c r="AL6" s="1076"/>
      <c r="AM6" s="1077"/>
      <c r="AN6" s="34" t="s">
        <v>15</v>
      </c>
      <c r="AO6" s="35" t="s">
        <v>16</v>
      </c>
      <c r="AP6" s="737" t="s">
        <v>17</v>
      </c>
      <c r="AQ6" s="1058" t="s">
        <v>108</v>
      </c>
      <c r="AS6" s="172">
        <f>(AS5/360)</f>
        <v>6.9444444444444447E-4</v>
      </c>
      <c r="AT6" s="465" t="s">
        <v>48</v>
      </c>
      <c r="AV6" s="1051"/>
      <c r="AW6" s="1043" t="s">
        <v>105</v>
      </c>
      <c r="AX6" s="1044"/>
      <c r="AY6" s="195" t="s">
        <v>110</v>
      </c>
      <c r="AZ6" s="1109" t="s">
        <v>111</v>
      </c>
      <c r="BA6" s="1110"/>
      <c r="BB6" s="1104"/>
      <c r="BC6" s="1017" t="str">
        <f>$Q$6</f>
        <v>Projected XY</v>
      </c>
      <c r="BD6" s="1018"/>
      <c r="BE6" s="1106" t="str">
        <f>$S$6</f>
        <v>Z</v>
      </c>
      <c r="BF6" s="918" t="s">
        <v>125</v>
      </c>
      <c r="BG6" s="916"/>
      <c r="BH6" s="1123"/>
      <c r="BI6" s="896" t="s">
        <v>126</v>
      </c>
      <c r="BJ6" s="916"/>
      <c r="BK6" s="897"/>
      <c r="BL6" s="919" t="s">
        <v>127</v>
      </c>
      <c r="BM6" s="916"/>
      <c r="BN6" s="920"/>
      <c r="BO6" s="918" t="s">
        <v>135</v>
      </c>
      <c r="BP6" s="916"/>
      <c r="BQ6" s="916"/>
      <c r="BR6" s="920"/>
      <c r="BS6" s="918" t="s">
        <v>125</v>
      </c>
      <c r="BT6" s="916"/>
      <c r="BU6" s="1123"/>
      <c r="BV6" s="896" t="s">
        <v>126</v>
      </c>
      <c r="BW6" s="916"/>
      <c r="BX6" s="897"/>
      <c r="BY6" s="919" t="s">
        <v>127</v>
      </c>
      <c r="BZ6" s="916"/>
      <c r="CA6" s="920"/>
      <c r="CB6" s="918" t="s">
        <v>135</v>
      </c>
      <c r="CC6" s="916"/>
      <c r="CD6" s="916"/>
      <c r="CE6" s="920"/>
      <c r="CF6" s="924" t="s">
        <v>136</v>
      </c>
      <c r="CG6" s="1096"/>
      <c r="CH6" s="1096"/>
      <c r="CI6" s="1127" t="s">
        <v>137</v>
      </c>
      <c r="CJ6" s="1096"/>
      <c r="CK6" s="925"/>
      <c r="CL6" s="1125" t="s">
        <v>140</v>
      </c>
      <c r="CM6" s="1096"/>
      <c r="CN6" s="1126"/>
      <c r="CO6" s="1092"/>
      <c r="CP6" s="1092"/>
      <c r="CQ6" s="988"/>
      <c r="CR6" s="988"/>
      <c r="CS6" s="1094"/>
      <c r="CT6" s="988"/>
      <c r="CU6" s="1095"/>
      <c r="CV6" s="1034" t="s">
        <v>147</v>
      </c>
      <c r="CW6" s="916"/>
      <c r="CX6" s="897"/>
      <c r="CY6" s="1115" t="s">
        <v>148</v>
      </c>
      <c r="CZ6" s="1116"/>
      <c r="DA6" s="1117"/>
      <c r="DB6" s="1128" t="s">
        <v>176</v>
      </c>
      <c r="DC6" s="1129"/>
      <c r="DD6" s="1130"/>
      <c r="DE6" s="1131" t="s">
        <v>177</v>
      </c>
      <c r="DF6" s="1129"/>
      <c r="DG6" s="1130"/>
      <c r="DH6" s="253" t="s">
        <v>29</v>
      </c>
      <c r="DI6" s="1134"/>
      <c r="DJ6" s="1134"/>
      <c r="DK6" s="1135"/>
      <c r="DL6" s="1189"/>
      <c r="DM6" s="1134"/>
      <c r="DN6" s="1190"/>
      <c r="DO6" s="1138"/>
      <c r="DP6" s="1139"/>
      <c r="DQ6" s="1139"/>
      <c r="DR6" s="1074"/>
      <c r="DS6" s="1074"/>
      <c r="DT6" s="1074"/>
      <c r="DU6" s="1074"/>
      <c r="DV6" s="1074"/>
      <c r="DW6" s="1074"/>
      <c r="DX6" s="1092"/>
      <c r="DY6" s="1140"/>
      <c r="DZ6" s="1074"/>
      <c r="EA6" s="1074"/>
      <c r="EB6" s="1074"/>
      <c r="EC6" s="1074"/>
      <c r="ED6" s="1074"/>
      <c r="EE6" s="1258"/>
      <c r="EF6" s="1258"/>
      <c r="EG6" s="1259"/>
      <c r="EH6" s="1194"/>
      <c r="EI6" s="1195"/>
      <c r="EJ6" s="1196"/>
      <c r="EK6" s="1074"/>
      <c r="EL6" s="1092"/>
      <c r="EM6" s="1148" t="s">
        <v>199</v>
      </c>
      <c r="EN6" s="1142"/>
      <c r="EO6" s="1186"/>
      <c r="EP6" s="1141" t="s">
        <v>198</v>
      </c>
      <c r="EQ6" s="1142"/>
      <c r="ER6" s="1143"/>
      <c r="ES6" s="987"/>
      <c r="ET6" s="988"/>
      <c r="EU6" s="1094"/>
      <c r="EV6" s="274" t="s">
        <v>221</v>
      </c>
      <c r="EW6" s="1141" t="s">
        <v>202</v>
      </c>
      <c r="EX6" s="1142"/>
      <c r="EY6" s="1147"/>
      <c r="EZ6" s="1218"/>
      <c r="FA6" s="1154"/>
      <c r="FB6" s="1155"/>
      <c r="FC6" s="1156"/>
      <c r="FD6" s="1148" t="s">
        <v>202</v>
      </c>
      <c r="FE6" s="1142"/>
      <c r="FF6" s="1143"/>
      <c r="FG6" s="1150" t="s">
        <v>224</v>
      </c>
      <c r="FH6" s="1151"/>
      <c r="FI6" s="1152"/>
      <c r="FJ6" s="1073" t="s">
        <v>203</v>
      </c>
      <c r="FK6" s="1091" t="s">
        <v>214</v>
      </c>
      <c r="FL6" s="1093"/>
      <c r="FM6" s="973"/>
      <c r="FN6" s="1118" t="s">
        <v>204</v>
      </c>
      <c r="FO6" s="1220" t="s">
        <v>227</v>
      </c>
      <c r="FP6" s="1213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91" t="s">
        <v>218</v>
      </c>
      <c r="FV6" s="1093"/>
      <c r="FW6" s="973"/>
      <c r="FX6" s="1118" t="s">
        <v>219</v>
      </c>
      <c r="FY6" s="1220" t="s">
        <v>227</v>
      </c>
      <c r="FZ6" s="1213" t="s">
        <v>225</v>
      </c>
      <c r="GA6" s="1215" t="s">
        <v>239</v>
      </c>
      <c r="GB6" s="336" t="s">
        <v>207</v>
      </c>
      <c r="GC6" s="337" t="s">
        <v>240</v>
      </c>
      <c r="GD6" s="338" t="s">
        <v>226</v>
      </c>
      <c r="GE6" s="1237"/>
      <c r="GF6" s="1199" t="s">
        <v>260</v>
      </c>
      <c r="GG6" s="336" t="s">
        <v>207</v>
      </c>
      <c r="GH6" s="337" t="s">
        <v>240</v>
      </c>
      <c r="GI6" s="338" t="s">
        <v>226</v>
      </c>
      <c r="GJ6" s="1240"/>
      <c r="GK6" s="1202"/>
      <c r="GL6" s="1205"/>
      <c r="GM6" s="1205"/>
      <c r="GN6" s="1206"/>
      <c r="GO6" s="1244" t="s">
        <v>238</v>
      </c>
      <c r="GP6" s="1248" t="s">
        <v>225</v>
      </c>
      <c r="GQ6" s="1093" t="s">
        <v>203</v>
      </c>
      <c r="GR6" s="991"/>
      <c r="GS6" s="1174" t="s">
        <v>252</v>
      </c>
      <c r="GT6" s="1175"/>
      <c r="GU6" s="1160" t="s">
        <v>251</v>
      </c>
      <c r="GV6" s="1116"/>
      <c r="GW6" s="1116"/>
      <c r="GX6" s="361" t="s">
        <v>106</v>
      </c>
      <c r="GY6" s="896" t="s">
        <v>250</v>
      </c>
      <c r="GZ6" s="1123"/>
      <c r="HA6" s="1222" t="s">
        <v>252</v>
      </c>
      <c r="HB6" s="1129"/>
      <c r="HC6" s="1129"/>
      <c r="HD6" s="1130"/>
      <c r="HE6" s="896" t="s">
        <v>251</v>
      </c>
      <c r="HF6" s="916"/>
      <c r="HG6" s="916"/>
      <c r="HH6" s="920"/>
      <c r="HI6" s="1177"/>
      <c r="HN6" s="955" t="s">
        <v>238</v>
      </c>
      <c r="HO6" s="958" t="s">
        <v>265</v>
      </c>
      <c r="HP6" s="934" t="s">
        <v>203</v>
      </c>
      <c r="HQ6" s="391"/>
      <c r="HS6" s="1171"/>
      <c r="HT6" s="889" t="s">
        <v>270</v>
      </c>
      <c r="HU6" s="902"/>
      <c r="HV6" s="1173"/>
      <c r="HW6" s="972" t="s">
        <v>258</v>
      </c>
      <c r="HX6" s="892"/>
      <c r="HY6" s="914"/>
      <c r="HZ6" s="972" t="s">
        <v>249</v>
      </c>
      <c r="IA6" s="889"/>
      <c r="IE6" s="853"/>
      <c r="IF6" s="853"/>
    </row>
    <row r="7" spans="1:283" ht="15" customHeight="1" thickBot="1" x14ac:dyDescent="0.4">
      <c r="A7" s="143"/>
      <c r="B7" s="1022" t="s">
        <v>40</v>
      </c>
      <c r="C7" s="1023"/>
      <c r="D7" s="1024"/>
      <c r="E7" s="1025" t="s">
        <v>41</v>
      </c>
      <c r="F7" s="1023"/>
      <c r="G7" s="1026"/>
      <c r="H7" s="993" t="s">
        <v>98</v>
      </c>
      <c r="I7" s="994"/>
      <c r="J7" s="995"/>
      <c r="K7" s="173"/>
      <c r="L7" s="991"/>
      <c r="M7" s="1016"/>
      <c r="N7" s="1037"/>
      <c r="O7" s="1039"/>
      <c r="P7" s="976"/>
      <c r="Q7" s="36" t="s">
        <v>18</v>
      </c>
      <c r="R7" s="2" t="s">
        <v>19</v>
      </c>
      <c r="S7" s="1033"/>
      <c r="T7" s="1069"/>
      <c r="U7" s="1071"/>
      <c r="V7" s="1028"/>
      <c r="W7" s="37" t="str">
        <f>$Q$7</f>
        <v>&lt; θ°</v>
      </c>
      <c r="X7" s="27" t="str">
        <f>$R$7</f>
        <v>r</v>
      </c>
      <c r="Y7" s="1067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059"/>
      <c r="AS7" s="1064" t="s">
        <v>54</v>
      </c>
      <c r="AT7" s="1062" t="s">
        <v>53</v>
      </c>
      <c r="AV7" s="1051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04"/>
      <c r="BC7" s="37" t="str">
        <f>$Q$7</f>
        <v>&lt; θ°</v>
      </c>
      <c r="BD7" s="27" t="str">
        <f>$R$7</f>
        <v>r</v>
      </c>
      <c r="BE7" s="1107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219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49"/>
      <c r="FK7" s="350" t="s">
        <v>211</v>
      </c>
      <c r="FL7" s="351" t="s">
        <v>212</v>
      </c>
      <c r="FM7" s="352" t="s">
        <v>213</v>
      </c>
      <c r="FN7" s="1119"/>
      <c r="FO7" s="1221"/>
      <c r="FP7" s="1214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119"/>
      <c r="FY7" s="1221"/>
      <c r="FZ7" s="1214"/>
      <c r="GA7" s="1216"/>
      <c r="GB7" s="223" t="s">
        <v>232</v>
      </c>
      <c r="GC7" s="131" t="s">
        <v>233</v>
      </c>
      <c r="GD7" s="224" t="s">
        <v>234</v>
      </c>
      <c r="GE7" s="1238"/>
      <c r="GF7" s="1200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1245"/>
      <c r="GP7" s="1249"/>
      <c r="GQ7" s="1250"/>
      <c r="GR7" s="1252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178"/>
      <c r="HJ7" s="31"/>
      <c r="HK7" s="1181" t="s">
        <v>246</v>
      </c>
      <c r="HL7" s="1181" t="s">
        <v>237</v>
      </c>
      <c r="HM7" s="882" t="s">
        <v>245</v>
      </c>
      <c r="HN7" s="956"/>
      <c r="HO7" s="1185"/>
      <c r="HP7" s="1179"/>
      <c r="HQ7" s="392"/>
      <c r="HR7" s="412"/>
      <c r="HS7" s="1171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922" t="s">
        <v>33</v>
      </c>
      <c r="IH7" s="1229" t="s">
        <v>385</v>
      </c>
      <c r="II7" s="918" t="s">
        <v>333</v>
      </c>
      <c r="IJ7" s="919"/>
      <c r="IK7" s="919"/>
      <c r="IL7" s="916"/>
      <c r="IM7" s="916"/>
      <c r="IN7" s="916"/>
      <c r="IO7" s="897"/>
      <c r="IP7" s="896" t="s">
        <v>329</v>
      </c>
      <c r="IQ7" s="916"/>
      <c r="IR7" s="916"/>
      <c r="IS7" s="916"/>
      <c r="IT7" s="916"/>
      <c r="IU7" s="896" t="s">
        <v>328</v>
      </c>
      <c r="IV7" s="916"/>
      <c r="IW7" s="916"/>
      <c r="IX7" s="916"/>
      <c r="IY7" s="897"/>
      <c r="JA7" s="784"/>
      <c r="JB7" s="980" t="s">
        <v>364</v>
      </c>
      <c r="JC7" s="980"/>
      <c r="JD7" s="980"/>
      <c r="JE7" s="981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91"/>
      <c r="M8" s="462" cm="1">
        <f t="array" ref="M8">IF(AND(ISNUMBER('SN#.Run#'!$P$1),COUNT($M$9:$M$150)&gt;='SN#.Run#'!$P$1),INDEX($M$9:$M$150,'SN#.Run#'!$P$1),"")</f>
        <v>1.1100000000000001</v>
      </c>
      <c r="N8" s="608"/>
      <c r="O8" s="609"/>
      <c r="P8" s="619"/>
      <c r="Q8" s="611">
        <f>IFERROR(INDEX(Q$9:Q$150,MATCH($M$8,$M$9:$M$150,0)),"")</f>
        <v>89.995000000721916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-0.21520064904515751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065"/>
      <c r="AT8" s="1063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182"/>
      <c r="HL8" s="1182"/>
      <c r="HM8" s="967"/>
      <c r="HN8" s="957"/>
      <c r="HO8" s="959"/>
      <c r="HP8" s="1180"/>
      <c r="HQ8" s="393" t="s">
        <v>49</v>
      </c>
      <c r="HR8" s="413" t="s">
        <v>51</v>
      </c>
      <c r="HS8" s="1172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1231"/>
      <c r="IH8" s="1230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0</v>
      </c>
      <c r="C9" s="703">
        <v>0.29430088761147705</v>
      </c>
      <c r="D9" s="704">
        <v>-0.73570221887789222</v>
      </c>
      <c r="E9" s="705">
        <v>-0.93969263802333458</v>
      </c>
      <c r="F9" s="703">
        <v>-8.8521302156295598E-2</v>
      </c>
      <c r="G9" s="706">
        <v>0.33036604714967338</v>
      </c>
      <c r="H9" s="705">
        <v>0.26600000000000001</v>
      </c>
      <c r="I9" s="703">
        <v>0.52</v>
      </c>
      <c r="J9" s="569">
        <v>1.101</v>
      </c>
      <c r="K9" s="864">
        <f>IF($J9="","",IF(IFERROR(INDEX(Settings!$AK$14:$AK$32,MATCH((((ROUND($H9,6)*2)*1000000)+ROUND($I9,6)),Settings!$AI$14:$AI$32,0)),"Undefined")="Undefined","Undefined",IFERROR(INDEX(_xlfn.ANCHORARRAY(Settings!$BC$14),MATCH(IFERROR(INDEX(Settings!$AK$14:$AK$32,MATCH((((ROUND($H9,6)*2)*1000000)+ROUND($I9,6)),Settings!$AI$14:$AI$32,0)),"Undefined"),_xlfn.ANCHORARRAY(Settings!$BC$14),0)),"Inactive")))</f>
        <v>1313</v>
      </c>
      <c r="M9" s="167">
        <f t="shared" ref="M9:M40" si="1">IF(J9="","",VALUE(J9))</f>
        <v>1.101</v>
      </c>
      <c r="N9" s="623">
        <f t="shared" ref="N9:N40" si="2">IF(M9="","",B9)</f>
        <v>0</v>
      </c>
      <c r="O9" s="624">
        <f t="shared" ref="O9:O40" si="3">IF(M9="","",C9)</f>
        <v>0.29430088761147705</v>
      </c>
      <c r="P9" s="625">
        <f t="shared" ref="P9:P40" si="4">IF(M9="","",D9)</f>
        <v>-0.73570221887789222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0.29430088761147705</v>
      </c>
      <c r="S9" s="626">
        <f>IF(M9="","",P9)</f>
        <v>-0.73570221887789222</v>
      </c>
      <c r="T9" s="627">
        <f>IF(M9="","",X9*COS(RADIANS(W9)))</f>
        <v>0.29430088649086267</v>
      </c>
      <c r="U9" s="624">
        <f>IF(M9="","",X9*SIN(RADIANS(W9)))</f>
        <v>2.5682593661077548E-5</v>
      </c>
      <c r="V9" s="628">
        <f>IF(M9="","",Y9)</f>
        <v>-0.73570221887789222</v>
      </c>
      <c r="W9" s="583">
        <f t="shared" ref="W9:W14" si="5">IF(M9="","",IF(Q9-$Q$8&lt;0,360+Q9-$Q$8,Q9-$Q$8))</f>
        <v>4.999999278084033E-3</v>
      </c>
      <c r="X9" s="629">
        <f>IF(M9="","",R9)</f>
        <v>0.29430088761147705</v>
      </c>
      <c r="Y9" s="630">
        <f>IF(M9="","",S9)</f>
        <v>-0.73570221887789222</v>
      </c>
      <c r="Z9" s="623">
        <f t="shared" ref="Z9:Z40" si="6">IF(M9="","",-E9)</f>
        <v>0.93969263802333458</v>
      </c>
      <c r="AA9" s="624">
        <f t="shared" ref="AA9:AA40" si="7">IF(M9="","",-F9)</f>
        <v>8.8521302156295598E-2</v>
      </c>
      <c r="AB9" s="624">
        <f t="shared" ref="AB9:AB40" si="8">IF(M9="","",-G9)</f>
        <v>-0.33036604714967338</v>
      </c>
      <c r="AC9" s="628">
        <f>IF(M9="","",SQRT(Z9^2+AA9^2+AB9^2))</f>
        <v>1</v>
      </c>
      <c r="AD9" s="631">
        <f>IF(M9="","",Z9*(1/SQRT(Z9^2+AA9^2+AB9^2)))</f>
        <v>0.93969263802333458</v>
      </c>
      <c r="AE9" s="624">
        <f>IF(M9="","",AA9*(1/SQRT(Z9^2+AA9^2+AB9^2)))</f>
        <v>8.8521302156295598E-2</v>
      </c>
      <c r="AF9" s="625">
        <f>IF(M9="","",AB9*(1/SQRT(Z9^2+AA9^2+AB9^2)))</f>
        <v>-0.33036604714967338</v>
      </c>
      <c r="AG9" s="599">
        <f>IF(M9="","",DEGREES(ATAN2(-AF9,AE9)))</f>
        <v>14.999997834268267</v>
      </c>
      <c r="AH9" s="600">
        <f>IF(M9="","",DEGREES(ACOS(AD9)))</f>
        <v>19.999997112357679</v>
      </c>
      <c r="AI9" s="583">
        <f>IF(M9="","",DEGREES(-ACOS(-AF9)))</f>
        <v>-70.709005437865216</v>
      </c>
      <c r="AJ9" s="601">
        <f>IF(M9="","",DEGREES(ATAN2(-AE9,AD9)))</f>
        <v>95.38151876223948</v>
      </c>
      <c r="AK9" s="627">
        <f>IF(M9="","",(COS(RADIANS((90-$Q$8)-W9))*AD9)+(-SIN(RADIANS((90-$Q$8)-W9))*AE9))</f>
        <v>0.93969263802333458</v>
      </c>
      <c r="AL9" s="624">
        <f>IF(M9="","",(SIN(RADIANS((90-$Q$8)-W9))*AD9)+(COS(RADIANS((90-$Q$8)-W9))*AE9))</f>
        <v>8.8521302156295598E-2</v>
      </c>
      <c r="AM9" s="626">
        <f>IF(M9="","",AF9)</f>
        <v>-0.33036604714967338</v>
      </c>
      <c r="AN9" s="581">
        <f>IF(M9="","",DEGREES(ATAN2(-AM9,AL9)))</f>
        <v>14.999997834268267</v>
      </c>
      <c r="AO9" s="582">
        <f>IF(ROUND(IF(M9="",0,DEGREES(ACOS(AK9))),4)=90,0,IF(M9="","",DEGREES(ACOS(AK9))))</f>
        <v>19.999997112357679</v>
      </c>
      <c r="AP9" s="781">
        <f>IF(M9="","",DEGREES(ATAN2(AK9,AL9)))</f>
        <v>5.3815187622394802</v>
      </c>
      <c r="AQ9" s="584">
        <f t="shared" ref="AQ9:AQ40" si="9">IF(M9="","",DEGREES(ATAN(($AS$5*SIN(RADIANS(90)))/(($X9*2*PI())-($AS$5*COS(RADIANS(90)))))))</f>
        <v>7.6995592326896514</v>
      </c>
      <c r="AS9" s="51">
        <f>IF(M9="","",W9)</f>
        <v>4.999999278084033E-3</v>
      </c>
      <c r="AT9" s="71">
        <f t="shared" ref="AT9:AT40" si="10">IF(M9="","",Y9+(((AS9-$AS$9)*$AS$6)*-1))</f>
        <v>-0.73570221887789222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IFERROR(ROUND(VALUE(IF($IH9&lt;1,$IH9+LARGE((IF($M$9:$M$150="",0,$M$9:$M$150)-MOD(IF($M$9:$M$150="",0,$M$9:$M$150),1)),1),$IH9)),4),"")</f>
        <v/>
      </c>
      <c r="IJ9" s="840">
        <f>IF(ISNUMBER($II9),INDEX($K$9:$K$150,MATCH($II9,$M$9:$M$150,0)),$K9)</f>
        <v>1313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t="str" cm="1">
        <f t="array" ref="JA9:JA11">IFERROR(_xlfn._xlws.SORT(_xlfn.UNIQUE(_xlfn._xlws.FILTER(IF($II$9:$II$150="",$K$9:$K$150,""),IF($II$9:$II$150="",$K$9:$K$150,"")&lt;&gt;"")),,-1),"")</f>
        <v>Inactive</v>
      </c>
      <c r="JB9" s="786" cm="1">
        <f t="array" ref="JB9">IF($JA9="","",COUNT(IF(IF($II$9:$II$150="",$IJ$9:$IJ$150,"")=$JA9,$IG$9:$IG$150,"")))</f>
        <v>1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0</v>
      </c>
      <c r="C10" s="708">
        <v>0.98710297710257899</v>
      </c>
      <c r="D10" s="709">
        <v>-0.60490182438390239</v>
      </c>
      <c r="E10" s="710">
        <v>-0.96592583607220739</v>
      </c>
      <c r="F10" s="708">
        <v>-6.6987279208207198E-2</v>
      </c>
      <c r="G10" s="711">
        <v>0.24999996726497564</v>
      </c>
      <c r="H10" s="710">
        <v>0.314</v>
      </c>
      <c r="I10" s="708">
        <v>0.52</v>
      </c>
      <c r="J10" s="570">
        <v>1.1040000000000001</v>
      </c>
      <c r="K10" s="865">
        <f>IF($J10="","",IF(IFERROR(INDEX(Settings!$AK$14:$AK$32,MATCH((((ROUND($H10,6)*2)*1000000)+ROUND($I10,6)),Settings!$AI$14:$AI$32,0)),"Undefined")="Undefined","Undefined",IFERROR(INDEX(_xlfn.ANCHORARRAY(Settings!$BC$14),MATCH(IFERROR(INDEX(Settings!$AK$14:$AK$32,MATCH((((ROUND($H10,6)*2)*1000000)+ROUND($I10,6)),Settings!$AI$14:$AI$32,0)),"Undefined"),_xlfn.ANCHORARRAY(Settings!$BC$14),0)),"Inactive")))</f>
        <v>1613</v>
      </c>
      <c r="M10" s="168">
        <f t="shared" si="1"/>
        <v>1.1040000000000001</v>
      </c>
      <c r="N10" s="632">
        <f t="shared" si="2"/>
        <v>0</v>
      </c>
      <c r="O10" s="629">
        <f t="shared" si="3"/>
        <v>0.98710297710257899</v>
      </c>
      <c r="P10" s="633">
        <f t="shared" si="4"/>
        <v>-0.60490182438390239</v>
      </c>
      <c r="Q10" s="585">
        <f>IF(M10="","",IF(DEGREES(ATAN2(N10,O10))&lt;0,DEGREES(ATAN2(N10,O10))+360,IF(DEGREES(ATAN2(N10,O10))&gt;360,DEGREES(ATAN2(N10,O10))-360,DEGREES(ATAN2(N10,O10)))))</f>
        <v>90</v>
      </c>
      <c r="R10" s="629">
        <f t="shared" ref="R10:R105" si="79">IF(M10="","",SQRT(N10^2+O10^2))</f>
        <v>0.98710297710257899</v>
      </c>
      <c r="S10" s="634">
        <f t="shared" ref="S10:S105" si="80">IF(M10="","",P10)</f>
        <v>-0.60490182438390239</v>
      </c>
      <c r="T10" s="635">
        <f t="shared" ref="T10:T105" si="81">IF(M10="","",X10*COS(RADIANS(W10)))</f>
        <v>0.98710297334397046</v>
      </c>
      <c r="U10" s="629">
        <f t="shared" ref="U10:U105" si="82">IF(M10="","",X10*SIN(RADIANS(W10)))</f>
        <v>8.6140972486747013E-5</v>
      </c>
      <c r="V10" s="636">
        <f>IF(M10="","",Y10)</f>
        <v>-0.60490182438390239</v>
      </c>
      <c r="W10" s="585">
        <f t="shared" si="5"/>
        <v>4.999999278084033E-3</v>
      </c>
      <c r="X10" s="629">
        <f t="shared" ref="X10:X105" si="83">IF(M10="","",R10)</f>
        <v>0.98710297710257899</v>
      </c>
      <c r="Y10" s="630">
        <f>IF(M10="","",S10)</f>
        <v>-0.60490182438390239</v>
      </c>
      <c r="Z10" s="632">
        <f t="shared" si="6"/>
        <v>0.96592583607220739</v>
      </c>
      <c r="AA10" s="629">
        <f t="shared" si="7"/>
        <v>6.6987279208207198E-2</v>
      </c>
      <c r="AB10" s="629">
        <f t="shared" si="8"/>
        <v>-0.24999996726497564</v>
      </c>
      <c r="AC10" s="636">
        <f t="shared" ref="AC10:AC105" si="84">IF(M10="","",SQRT(Z10^2+AA10^2+AB10^2))</f>
        <v>1</v>
      </c>
      <c r="AD10" s="637">
        <f>IF(M10="","",Z10*(1/SQRT(Z10^2+AA10^2+AB10^2)))</f>
        <v>0.96592583607220739</v>
      </c>
      <c r="AE10" s="629">
        <f t="shared" ref="AE10:AE105" si="85">IF(M10="","",AA10*(1/SQRT(Z10^2+AA10^2+AB10^2)))</f>
        <v>6.6987279208207198E-2</v>
      </c>
      <c r="AF10" s="633">
        <f t="shared" ref="AF10:AF105" si="86">IF(M10="","",AB10*(1/SQRT(Z10^2+AA10^2+AB10^2)))</f>
        <v>-0.24999996726497564</v>
      </c>
      <c r="AG10" s="602">
        <f t="shared" ref="AG10:AG105" si="87">IF(M10="","",DEGREES(ATAN2(-AF10,AE10)))</f>
        <v>14.999997834268267</v>
      </c>
      <c r="AH10" s="603">
        <f t="shared" ref="AH10:AH105" si="88">IF(M10="","",DEGREES(ACOS(AD10)))</f>
        <v>14.999997834268255</v>
      </c>
      <c r="AI10" s="585">
        <f t="shared" ref="AI10:AI105" si="89">IF(M10="","",DEGREES(-ACOS(-AF10)))</f>
        <v>-75.522489751159469</v>
      </c>
      <c r="AJ10" s="586">
        <f t="shared" ref="AJ10:AJ105" si="90">IF(M10="","",DEGREES(ATAN2(-AE10,AD10)))</f>
        <v>93.967129645086573</v>
      </c>
      <c r="AK10" s="635">
        <f>IF(M10="","",(COS(RADIANS((90-$Q$8)-W10))*AD10)+(-SIN(RADIANS((90-$Q$8)-W10))*AE10))</f>
        <v>0.96592583607220739</v>
      </c>
      <c r="AL10" s="629">
        <f t="shared" ref="AL10:AL105" si="91">IF(M10="","",(SIN(RADIANS((90-$Q$8)-W10))*AD10)+(COS(RADIANS((90-$Q$8)-W10))*AE10))</f>
        <v>6.6987279208207198E-2</v>
      </c>
      <c r="AM10" s="634">
        <f t="shared" ref="AM10:AM105" si="92">IF(M10="","",AF10)</f>
        <v>-0.24999996726497564</v>
      </c>
      <c r="AN10" s="581">
        <f t="shared" ref="AN10:AN105" si="93">IF(M10="","",DEGREES(ATAN2(-AM10,AL10)))</f>
        <v>14.999997834268267</v>
      </c>
      <c r="AO10" s="582">
        <f t="shared" ref="AO10:AO54" si="94">IF(ROUND(IF(M10="",0,DEGREES(ACOS(AK10))),4)=90,0,IF(M10="","",DEGREES(ACOS(AK10))))</f>
        <v>14.999997834268255</v>
      </c>
      <c r="AP10" s="585">
        <f t="shared" ref="AP10:AP105" si="95">IF(M10="","",DEGREES(ATAN2(AK10,AL10)))</f>
        <v>3.9671296450865712</v>
      </c>
      <c r="AQ10" s="586">
        <f t="shared" si="9"/>
        <v>2.3082628662568418</v>
      </c>
      <c r="AS10" s="52">
        <f>IF($M10="","",IF(AND($W10&lt;($AS$9+180),$W10&gt;($AS$9-180)),$W10,IF($W10&gt;($AS$9+180),$W10-360,IF($W10&lt;($AS$9-180),$W10+360,"Error"))))</f>
        <v>4.999999278084033E-3</v>
      </c>
      <c r="AT10" s="72">
        <f t="shared" si="10"/>
        <v>-0.60490182438390239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IFERROR(ROUND(VALUE(IF($IH10&lt;1,$IH10+LARGE((IF($M$9:$M$150="",0,$M$9:$M$150)-MOD(IF($M$9:$M$150="",0,$M$9:$M$150),1)),1),$IH10)),4),"")</f>
        <v/>
      </c>
      <c r="IJ10" s="533">
        <f t="shared" ref="IJ10:IJ73" si="112">IF(ISNUMBER($II10),INDEX($K$9:$K$150,MATCH($II10,$M$9:$M$150,0)),$K10)</f>
        <v>1613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>
        <v>1613</v>
      </c>
      <c r="JB10" s="787" cm="1">
        <f t="array" ref="JB10">IF($JA10="","",COUNT(IF(IF($II$9:$II$150="",$IJ$9:$IJ$150,"")=$JA10,$IG$9:$IG$150,"")))</f>
        <v>50</v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0</v>
      </c>
      <c r="C11" s="708">
        <v>1.7144051706459946</v>
      </c>
      <c r="D11" s="709">
        <v>-0.41000123656372944</v>
      </c>
      <c r="E11" s="710">
        <v>-0.96592583607220739</v>
      </c>
      <c r="F11" s="708">
        <v>-6.6987279208207198E-2</v>
      </c>
      <c r="G11" s="711">
        <v>0.24999996726497561</v>
      </c>
      <c r="H11" s="710">
        <v>0.314</v>
      </c>
      <c r="I11" s="708">
        <v>0.52</v>
      </c>
      <c r="J11" s="570">
        <v>1.107</v>
      </c>
      <c r="K11" s="865">
        <f>IF($J11="","",IF(IFERROR(INDEX(Settings!$AK$14:$AK$32,MATCH((((ROUND($H11,6)*2)*1000000)+ROUND($I11,6)),Settings!$AI$14:$AI$32,0)),"Undefined")="Undefined","Undefined",IFERROR(INDEX(_xlfn.ANCHORARRAY(Settings!$BC$14),MATCH(IFERROR(INDEX(Settings!$AK$14:$AK$32,MATCH((((ROUND($H11,6)*2)*1000000)+ROUND($I11,6)),Settings!$AI$14:$AI$32,0)),"Undefined"),_xlfn.ANCHORARRAY(Settings!$BC$14),0)),"Inactive")))</f>
        <v>1613</v>
      </c>
      <c r="L11" s="779" t="s">
        <v>332</v>
      </c>
      <c r="M11" s="168">
        <f t="shared" si="1"/>
        <v>1.107</v>
      </c>
      <c r="N11" s="632">
        <f t="shared" si="2"/>
        <v>0</v>
      </c>
      <c r="O11" s="629">
        <f t="shared" si="3"/>
        <v>1.7144051706459946</v>
      </c>
      <c r="P11" s="633">
        <f t="shared" si="4"/>
        <v>-0.41000123656372944</v>
      </c>
      <c r="Q11" s="585">
        <f t="shared" ref="Q11:Q73" si="113">IF(M11="","",IF(DEGREES(ATAN2(N11,O11))&lt;0,DEGREES(ATAN2(N11,O11))+360,IF(DEGREES(ATAN2(N11,O11))&gt;360,DEGREES(ATAN2(N11,O11))-360,DEGREES(ATAN2(N11,O11)))))</f>
        <v>90</v>
      </c>
      <c r="R11" s="629">
        <f t="shared" si="79"/>
        <v>1.7144051706459946</v>
      </c>
      <c r="S11" s="634">
        <f t="shared" si="80"/>
        <v>-0.41000123656372944</v>
      </c>
      <c r="T11" s="635">
        <f t="shared" si="81"/>
        <v>1.7144051641180253</v>
      </c>
      <c r="U11" s="629">
        <f t="shared" si="82"/>
        <v>1.4961005291386797E-4</v>
      </c>
      <c r="V11" s="636">
        <f t="shared" ref="V11:V105" si="114">IF(M11="","",Y11)</f>
        <v>-0.41000123656372944</v>
      </c>
      <c r="W11" s="585">
        <f t="shared" si="5"/>
        <v>4.999999278084033E-3</v>
      </c>
      <c r="X11" s="629">
        <f>IF(M11="","",R11)</f>
        <v>1.7144051706459946</v>
      </c>
      <c r="Y11" s="630">
        <f>IF(M11="","",S11)</f>
        <v>-0.41000123656372944</v>
      </c>
      <c r="Z11" s="632">
        <f t="shared" si="6"/>
        <v>0.96592583607220739</v>
      </c>
      <c r="AA11" s="629">
        <f t="shared" si="7"/>
        <v>6.6987279208207198E-2</v>
      </c>
      <c r="AB11" s="629">
        <f t="shared" si="8"/>
        <v>-0.24999996726497561</v>
      </c>
      <c r="AC11" s="636">
        <f t="shared" si="84"/>
        <v>1</v>
      </c>
      <c r="AD11" s="637">
        <f t="shared" ref="AD11:AD105" si="115">IF(M11="","",Z11*(1/SQRT(Z11^2+AA11^2+AB11^2)))</f>
        <v>0.96592583607220739</v>
      </c>
      <c r="AE11" s="629">
        <f t="shared" si="85"/>
        <v>6.6987279208207198E-2</v>
      </c>
      <c r="AF11" s="633">
        <f t="shared" si="86"/>
        <v>-0.24999996726497561</v>
      </c>
      <c r="AG11" s="602">
        <f>IF(M11="","",DEGREES(ATAN2(-AF11,AE11)))</f>
        <v>14.999997834268267</v>
      </c>
      <c r="AH11" s="603">
        <f t="shared" si="88"/>
        <v>14.999997834268255</v>
      </c>
      <c r="AI11" s="585">
        <f t="shared" si="89"/>
        <v>-75.522489751159469</v>
      </c>
      <c r="AJ11" s="586">
        <f t="shared" si="90"/>
        <v>93.967129645086573</v>
      </c>
      <c r="AK11" s="635">
        <f>IF(M11="","",(COS(RADIANS((90-$Q$8)-W11))*AD11)+(-SIN(RADIANS((90-$Q$8)-W11))*AE11))</f>
        <v>0.96592583607220739</v>
      </c>
      <c r="AL11" s="629">
        <f t="shared" si="91"/>
        <v>6.6987279208207198E-2</v>
      </c>
      <c r="AM11" s="634">
        <f t="shared" si="92"/>
        <v>-0.24999996726497561</v>
      </c>
      <c r="AN11" s="581">
        <f>IF(M11="","",DEGREES(ATAN2(-AM11,AL11)))</f>
        <v>14.999997834268267</v>
      </c>
      <c r="AO11" s="582">
        <f>IF(ROUND(IF(M11="",0,DEGREES(ACOS(AK11))),4)=90,0,IF(M11="","",DEGREES(ACOS(AK11))))</f>
        <v>14.999997834268255</v>
      </c>
      <c r="AP11" s="585">
        <f t="shared" si="95"/>
        <v>3.9671296450865712</v>
      </c>
      <c r="AQ11" s="586">
        <f t="shared" si="9"/>
        <v>1.3295092028688997</v>
      </c>
      <c r="AS11" s="52">
        <f t="shared" ref="AS11:AS42" si="116">IF(G11="","",IF(AND(W11&lt;(AS10+180),W11&gt;(AS10-180)),W11,IF(W11&gt;(AS10+180),W11-360,IF(W11&lt;(AS10-180),W11+360,"Error"))))</f>
        <v>4.999999278084033E-3</v>
      </c>
      <c r="AT11" s="72">
        <f t="shared" si="10"/>
        <v>-0.41000123656372944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1.107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IFERROR(ROUND(VALUE(IF($IH11&lt;1,$IH11+LARGE((IF($M$9:$M$150="",0,$M$9:$M$150)-MOD(IF($M$9:$M$150="",0,$M$9:$M$150),1)),1),$IH11)),4),"")</f>
        <v/>
      </c>
      <c r="IJ11" s="533">
        <f t="shared" si="112"/>
        <v>1613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>
        <v>1313</v>
      </c>
      <c r="JB11" s="787" cm="1">
        <f t="array" ref="JB11">IF($JA11="","",COUNT(IF(IF($II$9:$II$150="",$IJ$9:$IJ$150,"")=$JA11,$IG$9:$IG$150,"")))</f>
        <v>7</v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2.1308786001252727E-4</v>
      </c>
      <c r="C12" s="708">
        <v>2.4418073551933008</v>
      </c>
      <c r="D12" s="709">
        <v>-0.21520064904515751</v>
      </c>
      <c r="E12" s="710">
        <v>-0.96591604655908048</v>
      </c>
      <c r="F12" s="708">
        <v>-6.1490359010817314E-2</v>
      </c>
      <c r="G12" s="711">
        <v>0.25144607125265883</v>
      </c>
      <c r="H12" s="710">
        <v>0.314</v>
      </c>
      <c r="I12" s="708">
        <v>0.52</v>
      </c>
      <c r="J12" s="570">
        <v>1.1100000000000001</v>
      </c>
      <c r="K12" s="865">
        <f>IF($J12="","",IF(IFERROR(INDEX(Settings!$AK$14:$AK$32,MATCH((((ROUND($H12,6)*2)*1000000)+ROUND($I12,6)),Settings!$AI$14:$AI$32,0)),"Undefined")="Undefined","Undefined",IFERROR(INDEX(_xlfn.ANCHORARRAY(Settings!$BC$14),MATCH(IFERROR(INDEX(Settings!$AK$14:$AK$32,MATCH((((ROUND($H12,6)*2)*1000000)+ROUND($I12,6)),Settings!$AI$14:$AI$32,0)),"Undefined"),_xlfn.ANCHORARRAY(Settings!$BC$14),0)),"Inactive")))</f>
        <v>1613</v>
      </c>
      <c r="L12" s="773" t="s">
        <v>366</v>
      </c>
      <c r="M12" s="168">
        <f t="shared" si="1"/>
        <v>1.1100000000000001</v>
      </c>
      <c r="N12" s="632">
        <f t="shared" si="2"/>
        <v>2.1308786001252727E-4</v>
      </c>
      <c r="O12" s="629">
        <f t="shared" si="3"/>
        <v>2.4418073551933008</v>
      </c>
      <c r="P12" s="633">
        <f t="shared" si="4"/>
        <v>-0.21520064904515751</v>
      </c>
      <c r="Q12" s="585">
        <f>IF(M12="","",IF(DEGREES(ATAN2(N12,O12))&lt;0,DEGREES(ATAN2(N12,O12))+360,IF(DEGREES(ATAN2(N12,O12))&gt;360,DEGREES(ATAN2(N12,O12))-360,DEGREES(ATAN2(N12,O12)))))</f>
        <v>89.995000000721916</v>
      </c>
      <c r="R12" s="629">
        <f t="shared" si="79"/>
        <v>2.4418073644910114</v>
      </c>
      <c r="S12" s="634">
        <f t="shared" si="80"/>
        <v>-0.21520064904515751</v>
      </c>
      <c r="T12" s="635">
        <f>IF(M12="","",X12*COS(RADIANS(W12)))</f>
        <v>2.4418073644910114</v>
      </c>
      <c r="U12" s="629">
        <f t="shared" si="82"/>
        <v>0</v>
      </c>
      <c r="V12" s="636">
        <f t="shared" si="114"/>
        <v>-0.21520064904515751</v>
      </c>
      <c r="W12" s="585">
        <f>IF(M12="","",IF(Q12-$Q$8&lt;0,360+Q12-$Q$8,Q12-$Q$8))</f>
        <v>0</v>
      </c>
      <c r="X12" s="629">
        <f t="shared" si="83"/>
        <v>2.4418073644910114</v>
      </c>
      <c r="Y12" s="630">
        <f>IF(M12="","",S12)</f>
        <v>-0.21520064904515751</v>
      </c>
      <c r="Z12" s="632">
        <f t="shared" si="6"/>
        <v>0.96591604655908048</v>
      </c>
      <c r="AA12" s="629">
        <f t="shared" si="7"/>
        <v>6.1490359010817314E-2</v>
      </c>
      <c r="AB12" s="629">
        <f t="shared" si="8"/>
        <v>-0.25144607125265883</v>
      </c>
      <c r="AC12" s="636">
        <f t="shared" si="84"/>
        <v>1</v>
      </c>
      <c r="AD12" s="637">
        <f t="shared" si="115"/>
        <v>0.96591604655908048</v>
      </c>
      <c r="AE12" s="629">
        <f t="shared" si="85"/>
        <v>6.1490359010817314E-2</v>
      </c>
      <c r="AF12" s="633">
        <f t="shared" si="86"/>
        <v>-0.25144607125265883</v>
      </c>
      <c r="AG12" s="602">
        <f t="shared" si="87"/>
        <v>13.74180783674584</v>
      </c>
      <c r="AH12" s="603">
        <f t="shared" si="88"/>
        <v>15.002164824267121</v>
      </c>
      <c r="AI12" s="585">
        <f t="shared" si="89"/>
        <v>-75.436900261290262</v>
      </c>
      <c r="AJ12" s="586">
        <f t="shared" si="90"/>
        <v>93.642542534606605</v>
      </c>
      <c r="AK12" s="635">
        <f t="shared" ref="AK12:AK105" si="211">IF(M12="","",(COS(RADIANS((90-$Q$8)-W12))*AD12)+(-SIN(RADIANS((90-$Q$8)-W12))*AE12))</f>
        <v>0.96591067683581255</v>
      </c>
      <c r="AL12" s="629">
        <f>IF(M12="","",(SIN(RADIANS((90-$Q$8)-W12))*AD12)+(COS(RADIANS((90-$Q$8)-W12))*AE12))</f>
        <v>6.1574650840953614E-2</v>
      </c>
      <c r="AM12" s="634">
        <f t="shared" si="92"/>
        <v>-0.25144607125265883</v>
      </c>
      <c r="AN12" s="581">
        <f>IF(M12="","",DEGREES(ATAN2(-AM12,AL12)))</f>
        <v>13.759929766052176</v>
      </c>
      <c r="AO12" s="582">
        <f t="shared" si="94"/>
        <v>15.003353327217065</v>
      </c>
      <c r="AP12" s="585">
        <f t="shared" si="95"/>
        <v>3.6475425338846921</v>
      </c>
      <c r="AQ12" s="586">
        <f t="shared" si="9"/>
        <v>0.93354001880830306</v>
      </c>
      <c r="AS12" s="52">
        <f t="shared" si="116"/>
        <v>0</v>
      </c>
      <c r="AT12" s="72">
        <f>IF(M12="","",Y12+(((AS12-$AS$9)*$AS$6)*-1))</f>
        <v>-0.21519717682343661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1.1100000000000001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IFERROR(ROUND(VALUE(IF($IH12&lt;1,$IH12+LARGE((IF($M$9:$M$150="",0,$M$9:$M$150)-MOD(IF($M$9:$M$150="",0,$M$9:$M$150),1)),1),$IH12)),4),"")</f>
        <v/>
      </c>
      <c r="IJ12" s="533">
        <f t="shared" si="112"/>
        <v>1613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2.4219022835932528E-2</v>
      </c>
      <c r="C13" s="708">
        <v>3.1826174496523421</v>
      </c>
      <c r="D13" s="709">
        <v>-8.1100244598337728E-2</v>
      </c>
      <c r="E13" s="710">
        <v>-0.96423026396684608</v>
      </c>
      <c r="F13" s="708">
        <v>5.8733809099453096E-2</v>
      </c>
      <c r="G13" s="711">
        <v>0.25847695781074093</v>
      </c>
      <c r="H13" s="710">
        <v>0.314</v>
      </c>
      <c r="I13" s="708">
        <v>0.52</v>
      </c>
      <c r="J13" s="570">
        <v>1.115</v>
      </c>
      <c r="K13" s="865">
        <f>IF($J13="","",IF(IFERROR(INDEX(Settings!$AK$14:$AK$32,MATCH((((ROUND($H13,6)*2)*1000000)+ROUND($I13,6)),Settings!$AI$14:$AI$32,0)),"Undefined")="Undefined","Undefined",IFERROR(INDEX(_xlfn.ANCHORARRAY(Settings!$BC$14),MATCH(IFERROR(INDEX(Settings!$AK$14:$AK$32,MATCH((((ROUND($H13,6)*2)*1000000)+ROUND($I13,6)),Settings!$AI$14:$AI$32,0)),"Undefined"),_xlfn.ANCHORARRAY(Settings!$BC$14),0)),"Inactive")))</f>
        <v>1613</v>
      </c>
      <c r="L13" s="774">
        <f>IF($L12=$JH$22,$JH$29,IF($L12=$JI$22,$JI$29,""))</f>
        <v>170</v>
      </c>
      <c r="M13" s="168">
        <f t="shared" si="1"/>
        <v>1.115</v>
      </c>
      <c r="N13" s="632">
        <f t="shared" si="2"/>
        <v>2.4219022835932528E-2</v>
      </c>
      <c r="O13" s="629">
        <f t="shared" si="3"/>
        <v>3.1826174496523421</v>
      </c>
      <c r="P13" s="633">
        <f t="shared" si="4"/>
        <v>-8.1100244598337728E-2</v>
      </c>
      <c r="Q13" s="585">
        <f t="shared" si="113"/>
        <v>89.564000062950612</v>
      </c>
      <c r="R13" s="629">
        <f t="shared" si="79"/>
        <v>3.1827095990521515</v>
      </c>
      <c r="S13" s="634">
        <f t="shared" si="80"/>
        <v>-8.1100244598337728E-2</v>
      </c>
      <c r="T13" s="635">
        <f>IF(M13="","",X13*COS(RADIANS(W13)))</f>
        <v>3.1826195510419795</v>
      </c>
      <c r="U13" s="629">
        <f t="shared" si="82"/>
        <v>-2.3941287017524786E-2</v>
      </c>
      <c r="V13" s="636">
        <f t="shared" si="114"/>
        <v>-8.1100244598337728E-2</v>
      </c>
      <c r="W13" s="585">
        <f t="shared" si="5"/>
        <v>359.56900006222872</v>
      </c>
      <c r="X13" s="629">
        <f t="shared" si="83"/>
        <v>3.1827095990521515</v>
      </c>
      <c r="Y13" s="630">
        <f>IF(M13="","",S13)</f>
        <v>-8.1100244598337728E-2</v>
      </c>
      <c r="Z13" s="632">
        <f t="shared" si="6"/>
        <v>0.96423026396684608</v>
      </c>
      <c r="AA13" s="629">
        <f t="shared" si="7"/>
        <v>-5.8733809099453096E-2</v>
      </c>
      <c r="AB13" s="629">
        <f t="shared" si="8"/>
        <v>-0.25847695781074093</v>
      </c>
      <c r="AC13" s="636">
        <f t="shared" si="84"/>
        <v>1</v>
      </c>
      <c r="AD13" s="637">
        <f>IF(M13="","",Z13*(1/SQRT(Z13^2+AA13^2+AB13^2)))</f>
        <v>0.96423026396684608</v>
      </c>
      <c r="AE13" s="629">
        <f t="shared" si="85"/>
        <v>-5.8733809099453096E-2</v>
      </c>
      <c r="AF13" s="633">
        <f t="shared" si="86"/>
        <v>-0.25847695781074093</v>
      </c>
      <c r="AG13" s="602">
        <f>IF(M13="","",DEGREES(ATAN2(-AF13,AE13)))</f>
        <v>-12.801957157160523</v>
      </c>
      <c r="AH13" s="603">
        <f t="shared" si="88"/>
        <v>15.370876099149074</v>
      </c>
      <c r="AI13" s="585">
        <f t="shared" si="89"/>
        <v>-75.02029061448107</v>
      </c>
      <c r="AJ13" s="586">
        <f t="shared" si="90"/>
        <v>86.514269753959127</v>
      </c>
      <c r="AK13" s="635">
        <f t="shared" si="211"/>
        <v>0.96464928498721048</v>
      </c>
      <c r="AL13" s="629">
        <f t="shared" si="91"/>
        <v>-5.1394739561244754E-2</v>
      </c>
      <c r="AM13" s="634">
        <f t="shared" si="92"/>
        <v>-0.25847695781074093</v>
      </c>
      <c r="AN13" s="581">
        <f t="shared" si="93"/>
        <v>-11.245836827371059</v>
      </c>
      <c r="AO13" s="582">
        <f t="shared" si="94"/>
        <v>15.280039954733898</v>
      </c>
      <c r="AP13" s="585">
        <f t="shared" si="95"/>
        <v>-3.0497303089914869</v>
      </c>
      <c r="AQ13" s="586">
        <f t="shared" si="9"/>
        <v>0.71624752662299218</v>
      </c>
      <c r="AS13" s="52">
        <f t="shared" si="116"/>
        <v>-0.43099993777127565</v>
      </c>
      <c r="AT13" s="72">
        <f t="shared" si="10"/>
        <v>-8.0797466864275677E-2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1.115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IFERROR(ROUND(VALUE(IF($IH13&lt;1,$IH13+LARGE((IF($M$9:$M$150="",0,$M$9:$M$150)-MOD(IF($M$9:$M$150="",0,$M$9:$M$150),1)),1),$IH13)),4),"")</f>
        <v/>
      </c>
      <c r="IJ13" s="533">
        <f t="shared" si="112"/>
        <v>1613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8.8717562855194637E-2</v>
      </c>
      <c r="C14" s="708">
        <v>3.9306107660226965</v>
      </c>
      <c r="D14" s="709">
        <v>-0.16630050156231271</v>
      </c>
      <c r="E14" s="710">
        <v>-0.95863831988853232</v>
      </c>
      <c r="F14" s="708">
        <v>0.15881549225671435</v>
      </c>
      <c r="G14" s="711">
        <v>0.23619951536899811</v>
      </c>
      <c r="H14" s="710">
        <v>0.314</v>
      </c>
      <c r="I14" s="708">
        <v>0.52</v>
      </c>
      <c r="J14" s="570">
        <v>1.121</v>
      </c>
      <c r="K14" s="865">
        <f>IF($J14="","",IF(IFERROR(INDEX(Settings!$AK$14:$AK$32,MATCH((((ROUND($H14,6)*2)*1000000)+ROUND($I14,6)),Settings!$AI$14:$AI$32,0)),"Undefined")="Undefined","Undefined",IFERROR(INDEX(_xlfn.ANCHORARRAY(Settings!$BC$14),MATCH(IFERROR(INDEX(Settings!$AK$14:$AK$32,MATCH((((ROUND($H14,6)*2)*1000000)+ROUND($I14,6)),Settings!$AI$14:$AI$32,0)),"Undefined"),_xlfn.ANCHORARRAY(Settings!$BC$14),0)),"Inactive")))</f>
        <v>1613</v>
      </c>
      <c r="L14" s="776" t="s">
        <v>367</v>
      </c>
      <c r="M14" s="168">
        <f t="shared" si="1"/>
        <v>1.121</v>
      </c>
      <c r="N14" s="632">
        <f t="shared" si="2"/>
        <v>8.8717562855194637E-2</v>
      </c>
      <c r="O14" s="629">
        <f t="shared" si="3"/>
        <v>3.9306107660226965</v>
      </c>
      <c r="P14" s="633">
        <f t="shared" si="4"/>
        <v>-0.16630050156231271</v>
      </c>
      <c r="Q14" s="585">
        <f t="shared" si="113"/>
        <v>88.707000186686074</v>
      </c>
      <c r="R14" s="629">
        <f t="shared" si="79"/>
        <v>3.9316118577413635</v>
      </c>
      <c r="S14" s="634">
        <f t="shared" si="80"/>
        <v>-0.16630050156231271</v>
      </c>
      <c r="T14" s="635">
        <f t="shared" si="81"/>
        <v>3.9306184931227977</v>
      </c>
      <c r="U14" s="629">
        <f t="shared" si="82"/>
        <v>-8.837455206993941E-2</v>
      </c>
      <c r="V14" s="636">
        <f t="shared" si="114"/>
        <v>-0.16630050156231271</v>
      </c>
      <c r="W14" s="585">
        <f t="shared" si="5"/>
        <v>358.71200018596414</v>
      </c>
      <c r="X14" s="629">
        <f t="shared" si="83"/>
        <v>3.9316118577413635</v>
      </c>
      <c r="Y14" s="630">
        <f t="shared" ref="Y14:Y75" si="223">IF(M14="","",S14)</f>
        <v>-0.16630050156231271</v>
      </c>
      <c r="Z14" s="632">
        <f t="shared" si="6"/>
        <v>0.95863831988853232</v>
      </c>
      <c r="AA14" s="629">
        <f t="shared" si="7"/>
        <v>-0.15881549225671435</v>
      </c>
      <c r="AB14" s="629">
        <f t="shared" si="8"/>
        <v>-0.23619951536899811</v>
      </c>
      <c r="AC14" s="636">
        <f t="shared" si="84"/>
        <v>1</v>
      </c>
      <c r="AD14" s="637">
        <f>IF(M14="","",Z14*(1/SQRT(Z14^2+AA14^2+AB14^2)))</f>
        <v>0.95863831988853232</v>
      </c>
      <c r="AE14" s="629">
        <f t="shared" si="85"/>
        <v>-0.15881549225671435</v>
      </c>
      <c r="AF14" s="633">
        <f t="shared" si="86"/>
        <v>-0.23619951536899811</v>
      </c>
      <c r="AG14" s="602">
        <f t="shared" si="87"/>
        <v>-33.916040727999949</v>
      </c>
      <c r="AH14" s="603">
        <f t="shared" si="88"/>
        <v>16.536558343057177</v>
      </c>
      <c r="AI14" s="585">
        <f t="shared" si="89"/>
        <v>-76.3376593568658</v>
      </c>
      <c r="AJ14" s="586">
        <f t="shared" si="90"/>
        <v>80.593371395110879</v>
      </c>
      <c r="AK14" s="635">
        <f>IF(M14="","",(COS(RADIANS((90-$Q$8)-W14))*AD14)+(-SIN(RADIANS((90-$Q$8)-W14))*AE14))</f>
        <v>0.9619779269017662</v>
      </c>
      <c r="AL14" s="629">
        <f t="shared" si="91"/>
        <v>-0.13714319922340495</v>
      </c>
      <c r="AM14" s="634">
        <f t="shared" si="92"/>
        <v>-0.23619951536899811</v>
      </c>
      <c r="AN14" s="581">
        <f t="shared" si="93"/>
        <v>-30.140495455001176</v>
      </c>
      <c r="AO14" s="582">
        <f t="shared" si="94"/>
        <v>15.85043863522362</v>
      </c>
      <c r="AP14" s="585">
        <f>IF(M14="","",DEGREES(ATAN2(AK14,AL14)))</f>
        <v>-8.113628791575179</v>
      </c>
      <c r="AQ14" s="586">
        <f t="shared" si="9"/>
        <v>0.57982549915549486</v>
      </c>
      <c r="AS14" s="52">
        <f t="shared" si="116"/>
        <v>-1.2879998140358566</v>
      </c>
      <c r="AT14" s="72">
        <f t="shared" si="10"/>
        <v>-0.16540258502528915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1.121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IFERROR(ROUND(VALUE(IF($IH14&lt;1,$IH14+LARGE((IF($M$9:$M$150="",0,$M$9:$M$150)-MOD(IF($M$9:$M$150="",0,$M$9:$M$150),1)),1),$IH14)),4),"")</f>
        <v/>
      </c>
      <c r="IJ14" s="533">
        <f t="shared" si="112"/>
        <v>1613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0.18400295390954244</v>
      </c>
      <c r="C15" s="708">
        <v>4.6174491804753677</v>
      </c>
      <c r="D15" s="709">
        <v>-0.47080141993708247</v>
      </c>
      <c r="E15" s="710">
        <v>-0.94467636974648916</v>
      </c>
      <c r="F15" s="708">
        <v>0.25287326368180579</v>
      </c>
      <c r="G15" s="711">
        <v>0.2089058854065784</v>
      </c>
      <c r="H15" s="710">
        <v>0.314</v>
      </c>
      <c r="I15" s="708">
        <v>0.52</v>
      </c>
      <c r="J15" s="570">
        <v>1.127</v>
      </c>
      <c r="K15" s="865">
        <f>IF($J15="","",IF(IFERROR(INDEX(Settings!$AK$14:$AK$32,MATCH((((ROUND($H15,6)*2)*1000000)+ROUND($I15,6)),Settings!$AI$14:$AI$32,0)),"Undefined")="Undefined","Undefined",IFERROR(INDEX(_xlfn.ANCHORARRAY(Settings!$BC$14),MATCH(IFERROR(INDEX(Settings!$AK$14:$AK$32,MATCH((((ROUND($H15,6)*2)*1000000)+ROUND($I15,6)),Settings!$AI$14:$AI$32,0)),"Undefined"),_xlfn.ANCHORARRAY(Settings!$BC$14),0)),"Inactive")))</f>
        <v>1613</v>
      </c>
      <c r="L15" s="1313">
        <f>IF($L14=$JH$22,$JH$29,IF($L14=$JI$22,$JI$29,""))</f>
        <v>140</v>
      </c>
      <c r="M15" s="168">
        <f t="shared" si="1"/>
        <v>1.127</v>
      </c>
      <c r="N15" s="632">
        <f t="shared" si="2"/>
        <v>0.18400295390954244</v>
      </c>
      <c r="O15" s="629">
        <f t="shared" si="3"/>
        <v>4.6174491804753677</v>
      </c>
      <c r="P15" s="633">
        <f t="shared" si="4"/>
        <v>-0.47080141993708247</v>
      </c>
      <c r="Q15" s="585">
        <f t="shared" si="113"/>
        <v>87.718000329479992</v>
      </c>
      <c r="R15" s="629">
        <f t="shared" si="79"/>
        <v>4.6211139372796337</v>
      </c>
      <c r="S15" s="634">
        <f t="shared" si="80"/>
        <v>-0.47080141993708247</v>
      </c>
      <c r="T15" s="635">
        <f t="shared" si="81"/>
        <v>4.6174652201779862</v>
      </c>
      <c r="U15" s="629">
        <f t="shared" si="82"/>
        <v>-0.1836000048113863</v>
      </c>
      <c r="V15" s="636">
        <f t="shared" si="114"/>
        <v>-0.47080141993708247</v>
      </c>
      <c r="W15" s="585">
        <f t="shared" ref="W15:W78" si="224">IF(M15="","",IF(Q15-$Q$8&lt;0,360+Q15-$Q$8,Q15-$Q$8))</f>
        <v>357.72300032875808</v>
      </c>
      <c r="X15" s="629">
        <f>IF(M15="","",R15)</f>
        <v>4.6211139372796337</v>
      </c>
      <c r="Y15" s="630">
        <f>IF(M15="","",S15)</f>
        <v>-0.47080141993708247</v>
      </c>
      <c r="Z15" s="632">
        <f t="shared" si="6"/>
        <v>0.94467636974648916</v>
      </c>
      <c r="AA15" s="629">
        <f t="shared" si="7"/>
        <v>-0.25287326368180579</v>
      </c>
      <c r="AB15" s="629">
        <f t="shared" si="8"/>
        <v>-0.2089058854065784</v>
      </c>
      <c r="AC15" s="636">
        <f t="shared" si="84"/>
        <v>1</v>
      </c>
      <c r="AD15" s="637">
        <f t="shared" si="115"/>
        <v>0.94467636974648916</v>
      </c>
      <c r="AE15" s="629">
        <f t="shared" si="85"/>
        <v>-0.25287326368180579</v>
      </c>
      <c r="AF15" s="633">
        <f t="shared" si="86"/>
        <v>-0.2089058854065784</v>
      </c>
      <c r="AG15" s="602">
        <f t="shared" si="87"/>
        <v>-50.438907119729826</v>
      </c>
      <c r="AH15" s="603">
        <f t="shared" si="88"/>
        <v>19.147664864283858</v>
      </c>
      <c r="AI15" s="585">
        <f t="shared" si="89"/>
        <v>-77.941757953178254</v>
      </c>
      <c r="AJ15" s="586">
        <f t="shared" si="90"/>
        <v>75.01426159767027</v>
      </c>
      <c r="AK15" s="635">
        <f t="shared" si="211"/>
        <v>0.95399607467323988</v>
      </c>
      <c r="AL15" s="629">
        <f t="shared" si="91"/>
        <v>-0.21505771446414998</v>
      </c>
      <c r="AM15" s="634">
        <f t="shared" si="92"/>
        <v>-0.2089058854065784</v>
      </c>
      <c r="AN15" s="581">
        <f>IF(M15="","",DEGREES(ATAN2(-AM15,AL15)))</f>
        <v>-45.831319261720076</v>
      </c>
      <c r="AO15" s="582">
        <f t="shared" si="94"/>
        <v>17.446737855936508</v>
      </c>
      <c r="AP15" s="585">
        <f t="shared" si="95"/>
        <v>-12.703738731809695</v>
      </c>
      <c r="AQ15" s="586">
        <f t="shared" si="9"/>
        <v>0.49331618503311581</v>
      </c>
      <c r="AS15" s="52">
        <f t="shared" si="116"/>
        <v>-2.2769996712419243</v>
      </c>
      <c r="AT15" s="72">
        <f t="shared" si="10"/>
        <v>-0.46921669794366577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1.127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IFERROR(ROUND(VALUE(IF($IH15&lt;1,$IH15+LARGE((IF($M$9:$M$150="",0,$M$9:$M$150)-MOD(IF($M$9:$M$150="",0,$M$9:$M$150),1)),1),$IH15)),4),"")</f>
        <v/>
      </c>
      <c r="IJ15" s="533">
        <f t="shared" si="112"/>
        <v>1613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57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0.28854571843550214</v>
      </c>
      <c r="C16" s="708">
        <v>5.1804860779426578</v>
      </c>
      <c r="D16" s="709">
        <v>-0.96700291648079617</v>
      </c>
      <c r="E16" s="710">
        <v>-0.92875093757488225</v>
      </c>
      <c r="F16" s="708">
        <v>0.33224767080816958</v>
      </c>
      <c r="G16" s="711">
        <v>0.16441770341518422</v>
      </c>
      <c r="H16" s="710">
        <v>0.314</v>
      </c>
      <c r="I16" s="708">
        <v>0.52</v>
      </c>
      <c r="J16" s="570">
        <v>1.133</v>
      </c>
      <c r="K16" s="865">
        <f>IF($J16="","",IF(IFERROR(INDEX(Settings!$AK$14:$AK$32,MATCH((((ROUND($H16,6)*2)*1000000)+ROUND($I16,6)),Settings!$AI$14:$AI$32,0)),"Undefined")="Undefined","Undefined",IFERROR(INDEX(_xlfn.ANCHORARRAY(Settings!$BC$14),MATCH(IFERROR(INDEX(Settings!$AK$14:$AK$32,MATCH((((ROUND($H16,6)*2)*1000000)+ROUND($I16,6)),Settings!$AI$14:$AI$32,0)),"Undefined"),_xlfn.ANCHORARRAY(Settings!$BC$14),0)),"Inactive")))</f>
        <v>1613</v>
      </c>
      <c r="L16" s="320"/>
      <c r="M16" s="168">
        <f t="shared" si="1"/>
        <v>1.133</v>
      </c>
      <c r="N16" s="632">
        <f t="shared" si="2"/>
        <v>0.28854571843550214</v>
      </c>
      <c r="O16" s="629">
        <f t="shared" si="3"/>
        <v>5.1804860779426578</v>
      </c>
      <c r="P16" s="633">
        <f t="shared" si="4"/>
        <v>-0.96700291648079617</v>
      </c>
      <c r="Q16" s="585">
        <f>IF(M16="","",IF(DEGREES(ATAN2(N16,O16))&lt;0,DEGREES(ATAN2(N16,O16))+360,IF(DEGREES(ATAN2(N16,O16))&gt;360,DEGREES(ATAN2(N16,O16))-360,DEGREES(ATAN2(N16,O16)))))</f>
        <v>86.812000460290179</v>
      </c>
      <c r="R16" s="629">
        <f t="shared" si="79"/>
        <v>5.1885156485631958</v>
      </c>
      <c r="S16" s="634">
        <f t="shared" si="80"/>
        <v>-0.96700291648079617</v>
      </c>
      <c r="T16" s="635">
        <f t="shared" si="81"/>
        <v>5.1805112385773135</v>
      </c>
      <c r="U16" s="629">
        <f t="shared" si="82"/>
        <v>-0.28809363470808169</v>
      </c>
      <c r="V16" s="636">
        <f t="shared" si="114"/>
        <v>-0.96700291648079617</v>
      </c>
      <c r="W16" s="585">
        <f>IF(M16="","",IF(Q16-$Q$8&lt;0,360+Q16-$Q$8,Q16-$Q$8))</f>
        <v>356.81700045956825</v>
      </c>
      <c r="X16" s="629">
        <f t="shared" si="83"/>
        <v>5.1885156485631958</v>
      </c>
      <c r="Y16" s="630">
        <f t="shared" si="223"/>
        <v>-0.96700291648079617</v>
      </c>
      <c r="Z16" s="632">
        <f t="shared" si="6"/>
        <v>0.92875093757488225</v>
      </c>
      <c r="AA16" s="629">
        <f t="shared" si="7"/>
        <v>-0.33224767080816958</v>
      </c>
      <c r="AB16" s="629">
        <f t="shared" si="8"/>
        <v>-0.16441770341518422</v>
      </c>
      <c r="AC16" s="636">
        <f t="shared" si="84"/>
        <v>1</v>
      </c>
      <c r="AD16" s="637">
        <f t="shared" si="115"/>
        <v>0.92875093757488225</v>
      </c>
      <c r="AE16" s="629">
        <f t="shared" si="85"/>
        <v>-0.33224767080816958</v>
      </c>
      <c r="AF16" s="633">
        <f t="shared" si="86"/>
        <v>-0.16441770341518422</v>
      </c>
      <c r="AG16" s="602">
        <f t="shared" si="87"/>
        <v>-63.670808568807331</v>
      </c>
      <c r="AH16" s="603">
        <f t="shared" si="88"/>
        <v>21.75906133110341</v>
      </c>
      <c r="AI16" s="585">
        <f t="shared" si="89"/>
        <v>-80.536590644363528</v>
      </c>
      <c r="AJ16" s="586">
        <f t="shared" si="90"/>
        <v>70.316040044213054</v>
      </c>
      <c r="AK16" s="635">
        <f t="shared" si="211"/>
        <v>0.94579071881832899</v>
      </c>
      <c r="AL16" s="629">
        <f t="shared" si="91"/>
        <v>-0.28008344292511328</v>
      </c>
      <c r="AM16" s="634">
        <f t="shared" si="92"/>
        <v>-0.16441770341518422</v>
      </c>
      <c r="AN16" s="581">
        <f t="shared" si="93"/>
        <v>-59.585738932340547</v>
      </c>
      <c r="AO16" s="582">
        <f t="shared" si="94"/>
        <v>18.952048035939274</v>
      </c>
      <c r="AP16" s="585">
        <f t="shared" si="95"/>
        <v>-16.495960416077139</v>
      </c>
      <c r="AQ16" s="586">
        <f t="shared" si="9"/>
        <v>0.43937073711734986</v>
      </c>
      <c r="AS16" s="52">
        <f t="shared" si="116"/>
        <v>-3.1829995404317515</v>
      </c>
      <c r="AT16" s="72">
        <f t="shared" si="10"/>
        <v>-0.96478902791155319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1.133</v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IFERROR(ROUND(VALUE(IF($IH16&lt;1,$IH16+LARGE((IF($M$9:$M$150="",0,$M$9:$M$150)-MOD(IF($M$9:$M$150="",0,$M$9:$M$150),1)),1),$IH16)),4),"")</f>
        <v/>
      </c>
      <c r="IJ16" s="533">
        <f t="shared" si="112"/>
        <v>1613</v>
      </c>
      <c r="IK16" s="533" t="str">
        <f t="shared" si="66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1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6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cm="1">
        <f t="array" ref="JB16">IF($JA$9="","",IF(AND(ISTEXT(_xlfn.ANCHORARRAY($JA$9))=FALSE),"",SUM(COUNTIFS($IJ$9:$IJ$150,_xlfn.ANCHORARRAY($JA$9),$II$9:$II$150,"",$IJ$9:$IJ$150,IF(ISTEXT(_xlfn.ANCHORARRAY($JA$9)),_xlfn.ANCHORARRAY($JA$9),"")))))</f>
        <v>1</v>
      </c>
      <c r="JE16" s="31"/>
      <c r="JF16" s="31"/>
      <c r="JG16" s="31"/>
    </row>
    <row r="17" spans="1:269" ht="15" customHeight="1" x14ac:dyDescent="0.25">
      <c r="A17" s="79"/>
      <c r="B17" s="707">
        <v>0.37481578031039242</v>
      </c>
      <c r="C17" s="708">
        <v>5.5696191911631017</v>
      </c>
      <c r="D17" s="709">
        <v>-1.6097048548698423</v>
      </c>
      <c r="E17" s="710">
        <v>-0.90765063001120572</v>
      </c>
      <c r="F17" s="708">
        <v>0.40204781889021007</v>
      </c>
      <c r="G17" s="711">
        <v>0.12053167702262538</v>
      </c>
      <c r="H17" s="710">
        <v>0.314</v>
      </c>
      <c r="I17" s="708">
        <v>0.52</v>
      </c>
      <c r="J17" s="570">
        <v>1.139</v>
      </c>
      <c r="K17" s="865">
        <f>IF($J17="","",IF(IFERROR(INDEX(Settings!$AK$14:$AK$32,MATCH((((ROUND($H17,6)*2)*1000000)+ROUND($I17,6)),Settings!$AI$14:$AI$32,0)),"Undefined")="Undefined","Undefined",IFERROR(INDEX(_xlfn.ANCHORARRAY(Settings!$BC$14),MATCH(IFERROR(INDEX(Settings!$AK$14:$AK$32,MATCH((((ROUND($H17,6)*2)*1000000)+ROUND($I17,6)),Settings!$AI$14:$AI$32,0)),"Undefined"),_xlfn.ANCHORARRAY(Settings!$BC$14),0)),"Inactive")))</f>
        <v>1613</v>
      </c>
      <c r="M17" s="168">
        <f t="shared" si="1"/>
        <v>1.139</v>
      </c>
      <c r="N17" s="632">
        <f t="shared" si="2"/>
        <v>0.37481578031039242</v>
      </c>
      <c r="O17" s="629">
        <f t="shared" si="3"/>
        <v>5.5696191911631017</v>
      </c>
      <c r="P17" s="633">
        <f t="shared" si="4"/>
        <v>-1.6097048548698423</v>
      </c>
      <c r="Q17" s="585">
        <f>IF(M17="","",IF(DEGREES(ATAN2(N17,O17))&lt;0,DEGREES(ATAN2(N17,O17))+360,IF(DEGREES(ATAN2(N17,O17))&gt;360,DEGREES(ATAN2(N17,O17))-360,DEGREES(ATAN2(N17,O17)))))</f>
        <v>86.150000555871145</v>
      </c>
      <c r="R17" s="629">
        <f>IF(M17="","",SQRT(N17^2+O17^2))</f>
        <v>5.5822168359659781</v>
      </c>
      <c r="S17" s="634">
        <f>IF(M17="","",P17)</f>
        <v>-1.6097048548698423</v>
      </c>
      <c r="T17" s="635">
        <f>IF(M17="","",X17*COS(RADIANS(W17)))</f>
        <v>5.5696518787980809</v>
      </c>
      <c r="U17" s="629">
        <f>IF(M17="","",X17*SIN(RADIANS(W17)))</f>
        <v>-0.37432973798915314</v>
      </c>
      <c r="V17" s="636">
        <f>IF(M17="","",Y17)</f>
        <v>-1.6097048548698423</v>
      </c>
      <c r="W17" s="585">
        <f t="shared" si="224"/>
        <v>356.15500055514923</v>
      </c>
      <c r="X17" s="629">
        <f>IF(M17="","",R17)</f>
        <v>5.5822168359659781</v>
      </c>
      <c r="Y17" s="630">
        <f t="shared" si="223"/>
        <v>-1.6097048548698423</v>
      </c>
      <c r="Z17" s="632">
        <f t="shared" si="6"/>
        <v>0.90765063001120572</v>
      </c>
      <c r="AA17" s="629">
        <f t="shared" si="7"/>
        <v>-0.40204781889021007</v>
      </c>
      <c r="AB17" s="629">
        <f t="shared" si="8"/>
        <v>-0.12053167702262538</v>
      </c>
      <c r="AC17" s="636">
        <f>IF(M17="","",SQRT(Z17^2+AA17^2+AB17^2))</f>
        <v>1</v>
      </c>
      <c r="AD17" s="637">
        <f>IF(M17="","",Z17*(1/SQRT(Z17^2+AA17^2+AB17^2)))</f>
        <v>0.90765063001120572</v>
      </c>
      <c r="AE17" s="629">
        <f>IF(M17="","",AA17*(1/SQRT(Z17^2+AA17^2+AB17^2)))</f>
        <v>-0.40204781889021007</v>
      </c>
      <c r="AF17" s="633">
        <f>IF(M17="","",AB17*(1/SQRT(Z17^2+AA17^2+AB17^2)))</f>
        <v>-0.12053167702262538</v>
      </c>
      <c r="AG17" s="602">
        <f>IF(M17="","",DEGREES(ATAN2(-AF17,AE17)))</f>
        <v>-73.311564723617067</v>
      </c>
      <c r="AH17" s="603">
        <f>IF(M17="","",DEGREES(ACOS(AD17)))</f>
        <v>24.817321426065082</v>
      </c>
      <c r="AI17" s="585">
        <f>IF(M17="","",DEGREES(-ACOS(-AF17)))</f>
        <v>-83.077211846407536</v>
      </c>
      <c r="AJ17" s="586">
        <f>IF(M17="","",DEGREES(ATAN2(-AE17,AD17)))</f>
        <v>66.108842631789656</v>
      </c>
      <c r="AK17" s="635">
        <f>IF(M17="","",(COS(RADIANS((90-$Q$8)-W17))*AD17)+(-SIN(RADIANS((90-$Q$8)-W17))*AE17))</f>
        <v>0.93259763776987836</v>
      </c>
      <c r="AL17" s="629">
        <f>IF(M17="","",(SIN(RADIANS((90-$Q$8)-W17))*AD17)+(COS(RADIANS((90-$Q$8)-W17))*AE17))</f>
        <v>-0.34019665027768325</v>
      </c>
      <c r="AM17" s="634">
        <f>IF(M17="","",AF17)</f>
        <v>-0.12053167702262538</v>
      </c>
      <c r="AN17" s="581">
        <f>IF(M17="","",DEGREES(ATAN2(-AM17,AL17)))</f>
        <v>-70.490763213102113</v>
      </c>
      <c r="AO17" s="582">
        <f t="shared" si="94"/>
        <v>21.156570910963868</v>
      </c>
      <c r="AP17" s="585">
        <f>IF(M17="","",DEGREES(ATAN2(AK17,AL17)))</f>
        <v>-20.04115792408151</v>
      </c>
      <c r="AQ17" s="586">
        <f t="shared" si="9"/>
        <v>0.40838399741722747</v>
      </c>
      <c r="AS17" s="52">
        <f t="shared" si="116"/>
        <v>-3.8449994448507709</v>
      </c>
      <c r="AT17" s="72">
        <f t="shared" si="10"/>
        <v>-1.6070312441447527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1.139</v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IFERROR(ROUND(VALUE(IF($IH17&lt;1,$IH17+LARGE((IF($M$9:$M$150="",0,$M$9:$M$150)-MOD(IF($M$9:$M$150="",0,$M$9:$M$150),1)),1),$IH17)),4),"")</f>
        <v/>
      </c>
      <c r="IJ17" s="533">
        <f t="shared" si="112"/>
        <v>1613</v>
      </c>
      <c r="IK17" s="533" t="str">
        <f t="shared" si="66"/>
        <v/>
      </c>
      <c r="IL17" s="727" t="str">
        <f t="shared" ref="IL17:IL80" si="225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226">IF(ISNUMBER($II17),(($IO17*12)/60)/$AS$3,"")</f>
        <v/>
      </c>
      <c r="IO17" s="771"/>
      <c r="IP17" s="9" t="str">
        <f t="shared" ref="IP17:IP80" si="227">IF(ISNUMBER($II17),(INDEX($X$9:$X$150,MATCH($II17,$M$9:$M$150,0))*-1),"")</f>
        <v/>
      </c>
      <c r="IQ17" s="5" t="str">
        <f t="shared" ref="IQ17:IQ80" si="228">IF(ISNUMBER($II17),INDEX($Y$9:$Y$150,MATCH($II17,$M$9:$M$150,0)),"")</f>
        <v/>
      </c>
      <c r="IR17" s="5" t="str">
        <f t="shared" si="71"/>
        <v/>
      </c>
      <c r="IS17" s="5" t="str">
        <f t="shared" ref="IS17:IS80" si="229">IF(ISNUMBER($II17),$IR17*COS(RADIANS(INDEX($AO$9:$AO$150,MATCH($II17,$M$9:$M$150,0)))),"")</f>
        <v/>
      </c>
      <c r="IT17" s="727" t="str">
        <f t="shared" ref="IT17:IT80" si="230">IF(ISNUMBER($II17),(-1*INDEX($AN$9:$AN$150,MATCH($II17,$M$9:$M$150,0))),"")</f>
        <v/>
      </c>
      <c r="IU17" s="9" t="str">
        <f t="shared" ref="IU17:IU80" si="231">IF(ISNUMBER($II17),-$X17,"")</f>
        <v/>
      </c>
      <c r="IV17" s="5" t="str">
        <f t="shared" ref="IV17:IV80" si="232">IF(ISNUMBER($II17),$Y17,"")</f>
        <v/>
      </c>
      <c r="IW17" s="5" t="str">
        <f t="shared" si="76"/>
        <v/>
      </c>
      <c r="IX17" s="5" t="str">
        <f t="shared" ref="IX17:IX80" si="233">IF(ISNUMBER($II17),$IW17*COS(RADIANS($AO17)),"")</f>
        <v/>
      </c>
      <c r="IY17" s="762" t="str">
        <f t="shared" ref="IY17:IY80" si="234">IF(ISNUMBER($II17),(-1*$AN17),"")</f>
        <v/>
      </c>
    </row>
    <row r="18" spans="1:269" ht="15" customHeight="1" x14ac:dyDescent="0.25">
      <c r="A18" s="79"/>
      <c r="B18" s="707">
        <v>0.42247656618057267</v>
      </c>
      <c r="C18" s="708">
        <v>5.764055454846452</v>
      </c>
      <c r="D18" s="709">
        <v>-2.338107051730868</v>
      </c>
      <c r="E18" s="710">
        <v>-0.86620285509917971</v>
      </c>
      <c r="F18" s="708">
        <v>0.49073763514495139</v>
      </c>
      <c r="G18" s="711">
        <v>9.4176362588338114E-2</v>
      </c>
      <c r="H18" s="710">
        <v>0.314</v>
      </c>
      <c r="I18" s="708">
        <v>0.52</v>
      </c>
      <c r="J18" s="570">
        <v>1.145</v>
      </c>
      <c r="K18" s="865">
        <f>IF($J18="","",IF(IFERROR(INDEX(Settings!$AK$14:$AK$32,MATCH((((ROUND($H18,6)*2)*1000000)+ROUND($I18,6)),Settings!$AI$14:$AI$32,0)),"Undefined")="Undefined","Undefined",IFERROR(INDEX(_xlfn.ANCHORARRAY(Settings!$BC$14),MATCH(IFERROR(INDEX(Settings!$AK$14:$AK$32,MATCH((((ROUND($H18,6)*2)*1000000)+ROUND($I18,6)),Settings!$AI$14:$AI$32,0)),"Undefined"),_xlfn.ANCHORARRAY(Settings!$BC$14),0)),"Inactive")))</f>
        <v>1613</v>
      </c>
      <c r="L18" s="779" t="s">
        <v>331</v>
      </c>
      <c r="M18" s="168">
        <f t="shared" si="1"/>
        <v>1.145</v>
      </c>
      <c r="N18" s="632">
        <f t="shared" si="2"/>
        <v>0.42247656618057267</v>
      </c>
      <c r="O18" s="629">
        <f t="shared" si="3"/>
        <v>5.764055454846452</v>
      </c>
      <c r="P18" s="633">
        <f t="shared" si="4"/>
        <v>-2.338107051730868</v>
      </c>
      <c r="Q18" s="585">
        <f t="shared" si="113"/>
        <v>85.808000605249831</v>
      </c>
      <c r="R18" s="629">
        <f>IF(M18="","",SQRT(N18^2+O18^2))</f>
        <v>5.7795174310245718</v>
      </c>
      <c r="S18" s="634">
        <f>IF(M18="","",P18)</f>
        <v>-2.338107051730868</v>
      </c>
      <c r="T18" s="635">
        <f>IF(M18="","",X18*COS(RADIANS(W18)))</f>
        <v>5.7640923009286542</v>
      </c>
      <c r="U18" s="629">
        <f>IF(M18="","",X18*SIN(RADIANS(W18)))</f>
        <v>-0.42197355591539176</v>
      </c>
      <c r="V18" s="636">
        <f>IF(M18="","",Y18)</f>
        <v>-2.338107051730868</v>
      </c>
      <c r="W18" s="585">
        <f t="shared" si="224"/>
        <v>355.81300060452793</v>
      </c>
      <c r="X18" s="629">
        <f>IF(M18="","",R18)</f>
        <v>5.7795174310245718</v>
      </c>
      <c r="Y18" s="630">
        <f t="shared" si="223"/>
        <v>-2.338107051730868</v>
      </c>
      <c r="Z18" s="632">
        <f t="shared" si="6"/>
        <v>0.86620285509917971</v>
      </c>
      <c r="AA18" s="629">
        <f t="shared" si="7"/>
        <v>-0.49073763514495139</v>
      </c>
      <c r="AB18" s="629">
        <f t="shared" si="8"/>
        <v>-9.4176362588338114E-2</v>
      </c>
      <c r="AC18" s="636">
        <f>IF(M18="","",SQRT(Z18^2+AA18^2+AB18^2))</f>
        <v>1</v>
      </c>
      <c r="AD18" s="637">
        <f>IF(M18="","",Z18*(1/SQRT(Z18^2+AA18^2+AB18^2)))</f>
        <v>0.86620285509917971</v>
      </c>
      <c r="AE18" s="629">
        <f>IF(M18="","",AA18*(1/SQRT(Z18^2+AA18^2+AB18^2)))</f>
        <v>-0.49073763514495139</v>
      </c>
      <c r="AF18" s="633">
        <f>IF(M18="","",AB18*(1/SQRT(Z18^2+AA18^2+AB18^2)))</f>
        <v>-9.4176362588338114E-2</v>
      </c>
      <c r="AG18" s="602">
        <f>IF(M18="","",DEGREES(ATAN2(-AF18,AE18)))</f>
        <v>-79.136571554653855</v>
      </c>
      <c r="AH18" s="603">
        <f>IF(M18="","",DEGREES(ACOS(AD18)))</f>
        <v>29.979659323040014</v>
      </c>
      <c r="AI18" s="585">
        <f>IF(M18="","",DEGREES(-ACOS(-AF18)))</f>
        <v>-84.596083670632723</v>
      </c>
      <c r="AJ18" s="586">
        <f>IF(M18="","",DEGREES(ATAN2(-AE18,AD18)))</f>
        <v>60.466758082503944</v>
      </c>
      <c r="AK18" s="635">
        <f>IF(M18="","",(COS(RADIANS((90-$Q$8)-W18))*AD18)+(-SIN(RADIANS((90-$Q$8)-W18))*AE18))</f>
        <v>0.89975789587812416</v>
      </c>
      <c r="AL18" s="629">
        <f>IF(M18="","",(SIN(RADIANS((90-$Q$8)-W18))*AD18)+(COS(RADIANS((90-$Q$8)-W18))*AE18))</f>
        <v>-0.42610625615519976</v>
      </c>
      <c r="AM18" s="634">
        <f>IF(M18="","",AF18)</f>
        <v>-9.4176362588338114E-2</v>
      </c>
      <c r="AN18" s="581">
        <f>IF(M18="","",DEGREES(ATAN2(-AM18,AL18)))</f>
        <v>-77.537060244072507</v>
      </c>
      <c r="AO18" s="582">
        <f t="shared" si="94"/>
        <v>25.873738043307529</v>
      </c>
      <c r="AP18" s="585">
        <f>IF(M18="","",DEGREES(ATAN2(AK18,AL18)))</f>
        <v>-25.341242522745922</v>
      </c>
      <c r="AQ18" s="586">
        <f t="shared" si="9"/>
        <v>0.39444307313217108</v>
      </c>
      <c r="AS18" s="52">
        <f t="shared" si="116"/>
        <v>-4.1869993954720712</v>
      </c>
      <c r="AT18" s="72">
        <f t="shared" si="10"/>
        <v>-2.3351959410400691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1.145</v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IFERROR(ROUND(VALUE(IF($IH18&lt;1,$IH18+LARGE((IF($M$9:$M$150="",0,$M$9:$M$150)-MOD(IF($M$9:$M$150="",0,$M$9:$M$150),1)),1),$IH18)),4),"")</f>
        <v/>
      </c>
      <c r="IJ18" s="533">
        <f t="shared" si="112"/>
        <v>1613</v>
      </c>
      <c r="IK18" s="533" t="str">
        <f t="shared" si="66"/>
        <v/>
      </c>
      <c r="IL18" s="727" t="str">
        <f t="shared" si="225"/>
        <v/>
      </c>
      <c r="IM18" s="759"/>
      <c r="IN18" s="5" t="str">
        <f t="shared" si="226"/>
        <v/>
      </c>
      <c r="IO18" s="771"/>
      <c r="IP18" s="9" t="str">
        <f t="shared" si="227"/>
        <v/>
      </c>
      <c r="IQ18" s="5" t="str">
        <f t="shared" si="228"/>
        <v/>
      </c>
      <c r="IR18" s="5" t="str">
        <f t="shared" si="71"/>
        <v/>
      </c>
      <c r="IS18" s="5" t="str">
        <f t="shared" si="229"/>
        <v/>
      </c>
      <c r="IT18" s="727" t="str">
        <f t="shared" si="230"/>
        <v/>
      </c>
      <c r="IU18" s="9" t="str">
        <f t="shared" si="231"/>
        <v/>
      </c>
      <c r="IV18" s="5" t="str">
        <f t="shared" si="232"/>
        <v/>
      </c>
      <c r="IW18" s="5" t="str">
        <f t="shared" si="76"/>
        <v/>
      </c>
      <c r="IX18" s="5" t="str">
        <f t="shared" si="233"/>
        <v/>
      </c>
      <c r="IY18" s="762" t="str">
        <f t="shared" si="234"/>
        <v/>
      </c>
    </row>
    <row r="19" spans="1:269" ht="15" customHeight="1" thickBot="1" x14ac:dyDescent="0.3">
      <c r="A19" s="79"/>
      <c r="B19" s="707">
        <v>0.44320687852661961</v>
      </c>
      <c r="C19" s="708">
        <v>5.8453392851671007</v>
      </c>
      <c r="D19" s="709">
        <v>-3.0889093161504979</v>
      </c>
      <c r="E19" s="710">
        <v>-0.81062077874397176</v>
      </c>
      <c r="F19" s="708">
        <v>0.58360122988936414</v>
      </c>
      <c r="G19" s="711">
        <v>4.7995390821810716E-2</v>
      </c>
      <c r="H19" s="710">
        <v>0.314</v>
      </c>
      <c r="I19" s="708">
        <v>0.52</v>
      </c>
      <c r="J19" s="570">
        <v>1.151</v>
      </c>
      <c r="K19" s="865">
        <f>IF($J19="","",IF(IFERROR(INDEX(Settings!$AK$14:$AK$32,MATCH((((ROUND($H19,6)*2)*1000000)+ROUND($I19,6)),Settings!$AI$14:$AI$32,0)),"Undefined")="Undefined","Undefined",IFERROR(INDEX(_xlfn.ANCHORARRAY(Settings!$BC$14),MATCH(IFERROR(INDEX(Settings!$AK$14:$AK$32,MATCH((((ROUND($H19,6)*2)*1000000)+ROUND($I19,6)),Settings!$AI$14:$AI$32,0)),"Undefined"),_xlfn.ANCHORARRAY(Settings!$BC$14),0)),"Inactive")))</f>
        <v>1613</v>
      </c>
      <c r="L19" s="775" t="s">
        <v>366</v>
      </c>
      <c r="M19" s="168">
        <f t="shared" si="1"/>
        <v>1.151</v>
      </c>
      <c r="N19" s="632">
        <f t="shared" si="2"/>
        <v>0.44320687852661961</v>
      </c>
      <c r="O19" s="629">
        <f t="shared" si="3"/>
        <v>5.8453392851671007</v>
      </c>
      <c r="P19" s="633">
        <f t="shared" si="4"/>
        <v>-3.0889093161504979</v>
      </c>
      <c r="Q19" s="585">
        <f t="shared" si="113"/>
        <v>85.66400062604086</v>
      </c>
      <c r="R19" s="629">
        <f>IF(M19="","",SQRT(N19^2+O19^2))</f>
        <v>5.8621176801469232</v>
      </c>
      <c r="S19" s="634">
        <f>IF(M19="","",P19)</f>
        <v>-3.0889093161504979</v>
      </c>
      <c r="T19" s="635">
        <f>IF(M19="","",X19*COS(RADIANS(W19)))</f>
        <v>5.845377940000561</v>
      </c>
      <c r="U19" s="629">
        <f>IF(M19="","",X19*SIN(RADIANS(W19)))</f>
        <v>-0.44269677483119807</v>
      </c>
      <c r="V19" s="636">
        <f>IF(M19="","",Y19)</f>
        <v>-3.0889093161504979</v>
      </c>
      <c r="W19" s="585">
        <f t="shared" si="224"/>
        <v>355.66900062531897</v>
      </c>
      <c r="X19" s="629">
        <f>IF(M19="","",R19)</f>
        <v>5.8621176801469232</v>
      </c>
      <c r="Y19" s="630">
        <f t="shared" si="223"/>
        <v>-3.0889093161504979</v>
      </c>
      <c r="Z19" s="632">
        <f t="shared" si="6"/>
        <v>0.81062077874397176</v>
      </c>
      <c r="AA19" s="629">
        <f t="shared" si="7"/>
        <v>-0.58360122988936414</v>
      </c>
      <c r="AB19" s="629">
        <f t="shared" si="8"/>
        <v>-4.7995390821810716E-2</v>
      </c>
      <c r="AC19" s="636">
        <f>IF(M19="","",SQRT(Z19^2+AA19^2+AB19^2))</f>
        <v>1</v>
      </c>
      <c r="AD19" s="637">
        <f>IF(M19="","",Z19*(1/SQRT(Z19^2+AA19^2+AB19^2)))</f>
        <v>0.81062077874397176</v>
      </c>
      <c r="AE19" s="629">
        <f>IF(M19="","",AA19*(1/SQRT(Z19^2+AA19^2+AB19^2)))</f>
        <v>-0.58360122988936414</v>
      </c>
      <c r="AF19" s="633">
        <f>IF(M19="","",AB19*(1/SQRT(Z19^2+AA19^2+AB19^2)))</f>
        <v>-4.7995390821810716E-2</v>
      </c>
      <c r="AG19" s="602">
        <f>IF(M19="","",DEGREES(ATAN2(-AF19,AE19)))</f>
        <v>-85.298572772825779</v>
      </c>
      <c r="AH19" s="603">
        <f>IF(M19="","",DEGREES(ACOS(AD19)))</f>
        <v>35.843372409799045</v>
      </c>
      <c r="AI19" s="585">
        <f>IF(M19="","",DEGREES(-ACOS(-AF19)))</f>
        <v>-87.24900980230295</v>
      </c>
      <c r="AJ19" s="586">
        <f>IF(M19="","",DEGREES(ATAN2(-AE19,AD19)))</f>
        <v>54.24824156674012</v>
      </c>
      <c r="AK19" s="635">
        <f>IF(M19="","",(COS(RADIANS((90-$Q$8)-W19))*AD19)+(-SIN(RADIANS((90-$Q$8)-W19))*AE19))</f>
        <v>0.8524239592957481</v>
      </c>
      <c r="AL19" s="629">
        <f>IF(M19="","",(SIN(RADIANS((90-$Q$8)-W19))*AD19)+(COS(RADIANS((90-$Q$8)-W19))*AE19))</f>
        <v>-0.52064367477039653</v>
      </c>
      <c r="AM19" s="634">
        <f>IF(M19="","",AF19)</f>
        <v>-4.7995390821810716E-2</v>
      </c>
      <c r="AN19" s="581">
        <f>IF(M19="","",DEGREES(ATAN2(-AM19,AL19)))</f>
        <v>-84.733090448270147</v>
      </c>
      <c r="AO19" s="582">
        <f t="shared" si="94"/>
        <v>31.523700463537715</v>
      </c>
      <c r="AP19" s="585">
        <f>IF(M19="","",DEGREES(ATAN2(AK19,AL19)))</f>
        <v>-31.415759059300772</v>
      </c>
      <c r="AQ19" s="586">
        <f t="shared" si="9"/>
        <v>0.38888533954254317</v>
      </c>
      <c r="AS19" s="52">
        <f t="shared" si="116"/>
        <v>-4.3309993746810278</v>
      </c>
      <c r="AT19" s="72">
        <f t="shared" si="10"/>
        <v>-3.0858982054741375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>
        <f t="shared" si="210"/>
        <v>1.151</v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IFERROR(ROUND(VALUE(IF($IH19&lt;1,$IH19+LARGE((IF($M$9:$M$150="",0,$M$9:$M$150)-MOD(IF($M$9:$M$150="",0,$M$9:$M$150),1)),1),$IH19)),4),"")</f>
        <v/>
      </c>
      <c r="IJ19" s="533">
        <f t="shared" si="112"/>
        <v>1613</v>
      </c>
      <c r="IK19" s="533" t="str">
        <f t="shared" si="66"/>
        <v/>
      </c>
      <c r="IL19" s="727" t="str">
        <f t="shared" si="225"/>
        <v/>
      </c>
      <c r="IM19" s="759"/>
      <c r="IN19" s="5" t="str">
        <f t="shared" si="226"/>
        <v/>
      </c>
      <c r="IO19" s="771"/>
      <c r="IP19" s="9" t="str">
        <f t="shared" si="227"/>
        <v/>
      </c>
      <c r="IQ19" s="5" t="str">
        <f t="shared" si="228"/>
        <v/>
      </c>
      <c r="IR19" s="5" t="str">
        <f t="shared" si="71"/>
        <v/>
      </c>
      <c r="IS19" s="5" t="str">
        <f t="shared" si="229"/>
        <v/>
      </c>
      <c r="IT19" s="727" t="str">
        <f t="shared" si="230"/>
        <v/>
      </c>
      <c r="IU19" s="9" t="str">
        <f t="shared" si="231"/>
        <v/>
      </c>
      <c r="IV19" s="5" t="str">
        <f t="shared" si="232"/>
        <v/>
      </c>
      <c r="IW19" s="5" t="str">
        <f t="shared" si="76"/>
        <v/>
      </c>
      <c r="IX19" s="5" t="str">
        <f t="shared" si="233"/>
        <v/>
      </c>
      <c r="IY19" s="762" t="str">
        <f t="shared" si="234"/>
        <v/>
      </c>
      <c r="JB19" s="982" t="s">
        <v>365</v>
      </c>
      <c r="JC19" s="983"/>
      <c r="JD19" s="983"/>
      <c r="JE19" s="983"/>
      <c r="JF19" s="983"/>
      <c r="JG19" s="983"/>
      <c r="JH19" s="983"/>
      <c r="JI19" s="984"/>
    </row>
    <row r="20" spans="1:269" ht="15" customHeight="1" x14ac:dyDescent="0.25">
      <c r="A20" s="79"/>
      <c r="B20" s="707">
        <v>0.46324217932939299</v>
      </c>
      <c r="C20" s="708">
        <v>5.9217263986608124</v>
      </c>
      <c r="D20" s="709">
        <v>-3.8141115033602944</v>
      </c>
      <c r="E20" s="710">
        <v>-0.7719243057347317</v>
      </c>
      <c r="F20" s="708">
        <v>0.63571445336403642</v>
      </c>
      <c r="G20" s="711">
        <v>1.3008419221110988E-7</v>
      </c>
      <c r="H20" s="710">
        <v>0.26600000000000001</v>
      </c>
      <c r="I20" s="708">
        <v>0.52</v>
      </c>
      <c r="J20" s="570">
        <v>1.157</v>
      </c>
      <c r="K20" s="865">
        <f>IF($J20="","",IF(IFERROR(INDEX(Settings!$AK$14:$AK$32,MATCH((((ROUND($H20,6)*2)*1000000)+ROUND($I20,6)),Settings!$AI$14:$AI$32,0)),"Undefined")="Undefined","Undefined",IFERROR(INDEX(_xlfn.ANCHORARRAY(Settings!$BC$14),MATCH(IFERROR(INDEX(Settings!$AK$14:$AK$32,MATCH((((ROUND($H20,6)*2)*1000000)+ROUND($I20,6)),Settings!$AI$14:$AI$32,0)),"Undefined"),_xlfn.ANCHORARRAY(Settings!$BC$14),0)),"Inactive")))</f>
        <v>1313</v>
      </c>
      <c r="L20" s="774">
        <f>IF($L19=$JH$22,$JH$30,IF($L19=$JI$22,$JI$30,""))</f>
        <v>360</v>
      </c>
      <c r="M20" s="168">
        <f t="shared" si="1"/>
        <v>1.157</v>
      </c>
      <c r="N20" s="632">
        <f t="shared" si="2"/>
        <v>0.46324217932939299</v>
      </c>
      <c r="O20" s="629">
        <f t="shared" si="3"/>
        <v>5.9217263986608124</v>
      </c>
      <c r="P20" s="633">
        <f t="shared" si="4"/>
        <v>-3.8141115033602944</v>
      </c>
      <c r="Q20" s="585">
        <f t="shared" si="113"/>
        <v>85.527000645821204</v>
      </c>
      <c r="R20" s="629">
        <f>IF(M20="","",SQRT(N20^2+O20^2))</f>
        <v>5.9398179144908303</v>
      </c>
      <c r="S20" s="634">
        <f>IF(M20="","",P20)</f>
        <v>-3.8141115033602944</v>
      </c>
      <c r="T20" s="635">
        <f>IF(M20="","",X20*COS(RADIANS(W20)))</f>
        <v>5.9217668016129847</v>
      </c>
      <c r="U20" s="629">
        <f>IF(M20="","",X20*SIN(RADIANS(W20)))</f>
        <v>-0.46272540952547431</v>
      </c>
      <c r="V20" s="636">
        <f>IF(M20="","",Y20)</f>
        <v>-3.8141115033602944</v>
      </c>
      <c r="W20" s="585">
        <f t="shared" si="224"/>
        <v>355.53200064509929</v>
      </c>
      <c r="X20" s="629">
        <f>IF(M20="","",R20)</f>
        <v>5.9398179144908303</v>
      </c>
      <c r="Y20" s="630">
        <f t="shared" si="223"/>
        <v>-3.8141115033602944</v>
      </c>
      <c r="Z20" s="632">
        <f t="shared" si="6"/>
        <v>0.7719243057347317</v>
      </c>
      <c r="AA20" s="629">
        <f t="shared" si="7"/>
        <v>-0.63571445336403642</v>
      </c>
      <c r="AB20" s="629">
        <f t="shared" si="8"/>
        <v>-1.3008419221110988E-7</v>
      </c>
      <c r="AC20" s="636">
        <f>IF(M20="","",SQRT(Z20^2+AA20^2+AB20^2))</f>
        <v>1</v>
      </c>
      <c r="AD20" s="637">
        <f>IF(M20="","",Z20*(1/SQRT(Z20^2+AA20^2+AB20^2)))</f>
        <v>0.7719243057347317</v>
      </c>
      <c r="AE20" s="629">
        <f>IF(M20="","",AA20*(1/SQRT(Z20^2+AA20^2+AB20^2)))</f>
        <v>-0.63571445336403642</v>
      </c>
      <c r="AF20" s="633">
        <f>IF(M20="","",AB20*(1/SQRT(Z20^2+AA20^2+AB20^2)))</f>
        <v>-1.3008419221110988E-7</v>
      </c>
      <c r="AG20" s="602">
        <f>IF(M20="","",DEGREES(ATAN2(-AF20,AE20)))</f>
        <v>-89.999988275749985</v>
      </c>
      <c r="AH20" s="603">
        <f>IF(M20="","",DEGREES(ACOS(AD20)))</f>
        <v>39.472994300804658</v>
      </c>
      <c r="AI20" s="585">
        <f>IF(M20="","",DEGREES(-ACOS(-AF20)))</f>
        <v>-89.999992546724798</v>
      </c>
      <c r="AJ20" s="586">
        <f>IF(M20="","",DEGREES(ATAN2(-AE20,AD20)))</f>
        <v>50.527005699195925</v>
      </c>
      <c r="AK20" s="635">
        <f>IF(M20="","",(COS(RADIANS((90-$Q$8)-W20))*AD20)+(-SIN(RADIANS((90-$Q$8)-W20))*AE20))</f>
        <v>0.81915209487729179</v>
      </c>
      <c r="AL20" s="629">
        <f>IF(M20="","",(SIN(RADIANS((90-$Q$8)-W20))*AD20)+(COS(RADIANS((90-$Q$8)-W20))*AE20))</f>
        <v>-0.5735763641034447</v>
      </c>
      <c r="AM20" s="634">
        <f>IF(M20="","",AF20)</f>
        <v>-1.3008419221110988E-7</v>
      </c>
      <c r="AN20" s="581">
        <f>IF(M20="","",DEGREES(ATAN2(-AM20,AL20)))</f>
        <v>-89.999987005609611</v>
      </c>
      <c r="AO20" s="582">
        <f t="shared" si="94"/>
        <v>34.999994946625968</v>
      </c>
      <c r="AP20" s="585">
        <f>IF(M20="","",DEGREES(ATAN2(AK20,AL20)))</f>
        <v>-34.999994946625279</v>
      </c>
      <c r="AQ20" s="586">
        <f t="shared" si="9"/>
        <v>0.38379838694863389</v>
      </c>
      <c r="AS20" s="52">
        <f t="shared" si="116"/>
        <v>-4.4679993549007122</v>
      </c>
      <c r="AT20" s="72">
        <f t="shared" si="10"/>
        <v>-3.8110052538087813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1.157</v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IFERROR(ROUND(VALUE(IF($IH20&lt;1,$IH20+LARGE((IF($M$9:$M$150="",0,$M$9:$M$150)-MOD(IF($M$9:$M$150="",0,$M$9:$M$150),1)),1),$IH20)),4),"")</f>
        <v/>
      </c>
      <c r="IJ20" s="533">
        <f t="shared" si="112"/>
        <v>1313</v>
      </c>
      <c r="IK20" s="533" t="str">
        <f t="shared" si="66"/>
        <v/>
      </c>
      <c r="IL20" s="727" t="str">
        <f t="shared" si="225"/>
        <v/>
      </c>
      <c r="IM20" s="759"/>
      <c r="IN20" s="5" t="str">
        <f t="shared" si="226"/>
        <v/>
      </c>
      <c r="IO20" s="771"/>
      <c r="IP20" s="9" t="str">
        <f t="shared" si="227"/>
        <v/>
      </c>
      <c r="IQ20" s="5" t="str">
        <f t="shared" si="228"/>
        <v/>
      </c>
      <c r="IR20" s="5" t="str">
        <f t="shared" si="71"/>
        <v/>
      </c>
      <c r="IS20" s="5" t="str">
        <f t="shared" si="229"/>
        <v/>
      </c>
      <c r="IT20" s="727" t="str">
        <f t="shared" si="230"/>
        <v/>
      </c>
      <c r="IU20" s="9" t="str">
        <f t="shared" si="231"/>
        <v/>
      </c>
      <c r="IV20" s="5" t="str">
        <f t="shared" si="232"/>
        <v/>
      </c>
      <c r="IW20" s="5" t="str">
        <f t="shared" si="76"/>
        <v/>
      </c>
      <c r="IX20" s="5" t="str">
        <f t="shared" si="233"/>
        <v/>
      </c>
      <c r="IY20" s="762" t="str">
        <f t="shared" si="234"/>
        <v/>
      </c>
      <c r="JA20" s="31"/>
      <c r="JB20" s="985" t="s">
        <v>369</v>
      </c>
      <c r="JC20" s="986"/>
      <c r="JD20" s="986"/>
      <c r="JE20" s="986"/>
      <c r="JF20" s="1232" t="s">
        <v>370</v>
      </c>
      <c r="JG20" s="1233"/>
      <c r="JH20" s="1233"/>
      <c r="JI20" s="1234"/>
    </row>
    <row r="21" spans="1:269" ht="15" customHeight="1" x14ac:dyDescent="0.25">
      <c r="A21" s="79"/>
      <c r="B21" s="707">
        <v>0.98705207358367741</v>
      </c>
      <c r="C21" s="708">
        <v>2.222277069792379</v>
      </c>
      <c r="D21" s="709">
        <v>-0.22879419454729713</v>
      </c>
      <c r="E21" s="710">
        <v>-0.10506086394882855</v>
      </c>
      <c r="F21" s="708">
        <v>-0.23653645400779333</v>
      </c>
      <c r="G21" s="711">
        <v>0.96592583607218263</v>
      </c>
      <c r="H21" s="710">
        <v>0.26250000000000001</v>
      </c>
      <c r="I21" s="708">
        <v>0.40699999999999997</v>
      </c>
      <c r="J21" s="570">
        <v>1.21</v>
      </c>
      <c r="K21" s="865" t="str">
        <f>IF($J21="","",IF(IFERROR(INDEX(Settings!$AK$14:$AK$32,MATCH((((ROUND($H21,6)*2)*1000000)+ROUND($I21,6)),Settings!$AI$14:$AI$32,0)),"Undefined")="Undefined","Undefined",IFERROR(INDEX(_xlfn.ANCHORARRAY(Settings!$BC$14),MATCH(IFERROR(INDEX(Settings!$AK$14:$AK$32,MATCH((((ROUND($H21,6)*2)*1000000)+ROUND($I21,6)),Settings!$AI$14:$AI$32,0)),"Undefined"),_xlfn.ANCHORARRAY(Settings!$BC$14),0)),"Inactive")))</f>
        <v>Inactive</v>
      </c>
      <c r="L21" s="776" t="s">
        <v>367</v>
      </c>
      <c r="M21" s="168">
        <f t="shared" si="1"/>
        <v>1.21</v>
      </c>
      <c r="N21" s="632">
        <f t="shared" si="2"/>
        <v>0.98705207358367741</v>
      </c>
      <c r="O21" s="629">
        <f t="shared" si="3"/>
        <v>2.222277069792379</v>
      </c>
      <c r="P21" s="633">
        <f t="shared" si="4"/>
        <v>-0.22879419454729713</v>
      </c>
      <c r="Q21" s="585">
        <f t="shared" si="113"/>
        <v>66.051003457807283</v>
      </c>
      <c r="R21" s="629">
        <f>IF(M21="","",SQRT(N21^2+O21^2))</f>
        <v>2.4316223331123688</v>
      </c>
      <c r="S21" s="634">
        <f>IF(M21="","",P21)</f>
        <v>-0.22879419454729713</v>
      </c>
      <c r="T21" s="635">
        <f>IF(M21="","",X21*COS(RADIANS(W21)))</f>
        <v>2.2223631978608949</v>
      </c>
      <c r="U21" s="629">
        <f>IF(M21="","",X21*SIN(RADIANS(W21)))</f>
        <v>-0.98685813959471258</v>
      </c>
      <c r="V21" s="636">
        <f>IF(M21="","",Y21)</f>
        <v>-0.22879419454729713</v>
      </c>
      <c r="W21" s="585">
        <f t="shared" si="224"/>
        <v>336.05600345708535</v>
      </c>
      <c r="X21" s="629">
        <f>IF(M21="","",R21)</f>
        <v>2.4316223331123688</v>
      </c>
      <c r="Y21" s="630">
        <f t="shared" si="223"/>
        <v>-0.22879419454729713</v>
      </c>
      <c r="Z21" s="632">
        <f t="shared" si="6"/>
        <v>0.10506086394882855</v>
      </c>
      <c r="AA21" s="629">
        <f t="shared" si="7"/>
        <v>0.23653645400779333</v>
      </c>
      <c r="AB21" s="629">
        <f t="shared" si="8"/>
        <v>-0.96592583607218263</v>
      </c>
      <c r="AC21" s="636">
        <f>IF(M21="","",SQRT(Z21^2+AA21^2+AB21^2))</f>
        <v>1</v>
      </c>
      <c r="AD21" s="637">
        <f>IF(M21="","",Z21*(1/SQRT(Z21^2+AA21^2+AB21^2)))</f>
        <v>0.10506086394882855</v>
      </c>
      <c r="AE21" s="629">
        <f>IF(M21="","",AA21*(1/SQRT(Z21^2+AA21^2+AB21^2)))</f>
        <v>0.23653645400779333</v>
      </c>
      <c r="AF21" s="633">
        <f>IF(M21="","",AB21*(1/SQRT(Z21^2+AA21^2+AB21^2)))</f>
        <v>-0.96592583607218263</v>
      </c>
      <c r="AG21" s="602">
        <f>IF(M21="","",DEGREES(ATAN2(-AF21,AE21)))</f>
        <v>13.759844298266625</v>
      </c>
      <c r="AH21" s="603">
        <f>IF(M21="","",DEGREES(ACOS(AD21)))</f>
        <v>83.969326797264628</v>
      </c>
      <c r="AI21" s="585">
        <f>IF(M21="","",DEGREES(-ACOS(-AF21)))</f>
        <v>-14.999997834273739</v>
      </c>
      <c r="AJ21" s="586">
        <f>IF(M21="","",DEGREES(ATAN2(-AE21,AD21)))</f>
        <v>156.05095325133107</v>
      </c>
      <c r="AK21" s="635">
        <f>IF(M21="","",(COS(RADIANS((90-$Q$8)-W21))*AD21)+(-SIN(RADIANS((90-$Q$8)-W21))*AE21))</f>
        <v>2.2679489676546982E-7</v>
      </c>
      <c r="AL21" s="629">
        <f>IF(M21="","",(SIN(RADIANS((90-$Q$8)-W21))*AD21)+(COS(RADIANS((90-$Q$8)-W21))*AE21))</f>
        <v>0.25881900859133927</v>
      </c>
      <c r="AM21" s="634">
        <f>IF(M21="","",AF21)</f>
        <v>-0.96592583607218263</v>
      </c>
      <c r="AN21" s="581">
        <f>IF(M21="","",DEGREES(ATAN2(-AM21,AL21)))</f>
        <v>14.999997834268264</v>
      </c>
      <c r="AO21" s="582">
        <f>IF(ROUND(IF(M21="",0,DEGREES(ACOS(AK21))),4)=90,0,IF(M21="","",DEGREES(ACOS(AK21))))</f>
        <v>0</v>
      </c>
      <c r="AP21" s="585">
        <f>IF(M21="","",DEGREES(ATAN2(AK21,AL21)))</f>
        <v>89.999949793523797</v>
      </c>
      <c r="AQ21" s="586">
        <f t="shared" si="9"/>
        <v>0.93744952440483043</v>
      </c>
      <c r="AS21" s="52">
        <f t="shared" si="116"/>
        <v>-23.943996542914647</v>
      </c>
      <c r="AT21" s="72">
        <f t="shared" si="10"/>
        <v>-0.21216294694855217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>Nose</v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1.21</v>
      </c>
      <c r="IH21" s="731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>1.1100000000000001</v>
      </c>
      <c r="II21" s="734" cm="1">
        <f t="array" ref="II21">IFERROR(ROUND(VALUE(IF($IH21&lt;1,$IH21+LARGE((IF($M$9:$M$150="",0,$M$9:$M$150)-MOD(IF($M$9:$M$150="",0,$M$9:$M$150),1)),1),$IH21)),4),"")</f>
        <v>1.1100000000000001</v>
      </c>
      <c r="IJ21" s="533">
        <f t="shared" si="112"/>
        <v>1613</v>
      </c>
      <c r="IK21" s="533" t="str">
        <f t="shared" si="66"/>
        <v>Inactive</v>
      </c>
      <c r="IL21" s="727">
        <f t="shared" si="225"/>
        <v>23.943996542914647</v>
      </c>
      <c r="IM21" s="759">
        <v>4.3060819047684197E-2</v>
      </c>
      <c r="IN21" s="5">
        <f t="shared" si="226"/>
        <v>0.78</v>
      </c>
      <c r="IO21" s="771">
        <v>390</v>
      </c>
      <c r="IP21" s="9">
        <f t="shared" si="227"/>
        <v>-2.4418073644910114</v>
      </c>
      <c r="IQ21" s="5">
        <f t="shared" si="228"/>
        <v>-0.21520064904515751</v>
      </c>
      <c r="IR21" s="5">
        <f t="shared" si="71"/>
        <v>0.314</v>
      </c>
      <c r="IS21" s="5">
        <f t="shared" si="229"/>
        <v>0.30329595252644515</v>
      </c>
      <c r="IT21" s="727">
        <f t="shared" si="230"/>
        <v>-13.759929766052176</v>
      </c>
      <c r="IU21" s="9">
        <f t="shared" si="231"/>
        <v>-2.4316223331123688</v>
      </c>
      <c r="IV21" s="5">
        <f t="shared" si="232"/>
        <v>-0.22879419454729713</v>
      </c>
      <c r="IW21" s="5">
        <f t="shared" si="76"/>
        <v>0.26250000000000001</v>
      </c>
      <c r="IX21" s="5">
        <f t="shared" si="233"/>
        <v>0.26250000000000001</v>
      </c>
      <c r="IY21" s="762">
        <f t="shared" si="234"/>
        <v>-14.999997834268264</v>
      </c>
      <c r="JA21" s="765"/>
      <c r="JB21" s="987"/>
      <c r="JC21" s="988"/>
      <c r="JD21" s="988"/>
      <c r="JE21" s="988"/>
      <c r="JF21" s="1235" t="s">
        <v>358</v>
      </c>
      <c r="JG21" s="1236"/>
      <c r="JH21" s="989" t="s">
        <v>371</v>
      </c>
      <c r="JI21" s="990"/>
    </row>
    <row r="22" spans="1:269" ht="15" customHeight="1" thickBot="1" x14ac:dyDescent="0.3">
      <c r="A22" s="79"/>
      <c r="B22" s="707">
        <v>1.1099240791940159</v>
      </c>
      <c r="C22" s="708">
        <v>2.9829027691703294</v>
      </c>
      <c r="D22" s="709">
        <v>-8.8941780866410608E-2</v>
      </c>
      <c r="E22" s="710">
        <v>-2.1255697522925109E-7</v>
      </c>
      <c r="F22" s="708">
        <v>7.9091449944917098E-8</v>
      </c>
      <c r="G22" s="711">
        <v>0.99999999999997435</v>
      </c>
      <c r="H22" s="710">
        <v>0.26250000000000001</v>
      </c>
      <c r="I22" s="708">
        <v>0.40699999999999997</v>
      </c>
      <c r="J22" s="570">
        <v>1.2150000000000001</v>
      </c>
      <c r="K22" s="865" t="str">
        <f>IF($J22="","",IF(IFERROR(INDEX(Settings!$AK$14:$AK$32,MATCH((((ROUND($H22,6)*2)*1000000)+ROUND($I22,6)),Settings!$AI$14:$AI$32,0)),"Undefined")="Undefined","Undefined",IFERROR(INDEX(_xlfn.ANCHORARRAY(Settings!$BC$14),MATCH(IFERROR(INDEX(Settings!$AK$14:$AK$32,MATCH((((ROUND($H22,6)*2)*1000000)+ROUND($I22,6)),Settings!$AI$14:$AI$32,0)),"Undefined"),_xlfn.ANCHORARRAY(Settings!$BC$14),0)),"Inactive")))</f>
        <v>Inactive</v>
      </c>
      <c r="L22" s="1313" t="str">
        <f>IF($L21=$JH$22,$JH$30,IF($L21=$JI$22,$JI$30,""))</f>
        <v/>
      </c>
      <c r="M22" s="168">
        <f t="shared" si="1"/>
        <v>1.2150000000000001</v>
      </c>
      <c r="N22" s="632">
        <f t="shared" si="2"/>
        <v>1.1099240791940159</v>
      </c>
      <c r="O22" s="629">
        <f t="shared" si="3"/>
        <v>2.9829027691703294</v>
      </c>
      <c r="P22" s="633">
        <f t="shared" si="4"/>
        <v>-8.8941780866410608E-2</v>
      </c>
      <c r="Q22" s="585">
        <f t="shared" si="113"/>
        <v>69.590002946838979</v>
      </c>
      <c r="R22" s="629">
        <f t="shared" si="79"/>
        <v>3.1827095990521506</v>
      </c>
      <c r="S22" s="634">
        <f t="shared" si="80"/>
        <v>-8.8941780866410608E-2</v>
      </c>
      <c r="T22" s="635">
        <f t="shared" si="81"/>
        <v>2.9829996169463184</v>
      </c>
      <c r="U22" s="629">
        <f t="shared" si="82"/>
        <v>-1.1096637676327088</v>
      </c>
      <c r="V22" s="636">
        <f t="shared" si="114"/>
        <v>-8.8941780866410608E-2</v>
      </c>
      <c r="W22" s="585">
        <f t="shared" si="224"/>
        <v>339.59500294611706</v>
      </c>
      <c r="X22" s="629">
        <f t="shared" si="83"/>
        <v>3.1827095990521506</v>
      </c>
      <c r="Y22" s="630">
        <f t="shared" si="223"/>
        <v>-8.8941780866410608E-2</v>
      </c>
      <c r="Z22" s="632">
        <f t="shared" si="6"/>
        <v>2.1255697522925109E-7</v>
      </c>
      <c r="AA22" s="629">
        <f t="shared" si="7"/>
        <v>-7.9091449944917098E-8</v>
      </c>
      <c r="AB22" s="629">
        <f t="shared" si="8"/>
        <v>-0.99999999999997435</v>
      </c>
      <c r="AC22" s="636">
        <f t="shared" si="84"/>
        <v>1</v>
      </c>
      <c r="AD22" s="637">
        <f t="shared" si="115"/>
        <v>2.1255697522925109E-7</v>
      </c>
      <c r="AE22" s="629">
        <f t="shared" si="85"/>
        <v>-7.9091449944917098E-8</v>
      </c>
      <c r="AF22" s="633">
        <f t="shared" si="86"/>
        <v>-0.99999999999997435</v>
      </c>
      <c r="AG22" s="602">
        <f t="shared" si="87"/>
        <v>-4.5316062774140642E-6</v>
      </c>
      <c r="AH22" s="603">
        <f t="shared" si="88"/>
        <v>89.999987821382419</v>
      </c>
      <c r="AI22" s="585">
        <f t="shared" si="89"/>
        <v>-1.2976235990044085E-5</v>
      </c>
      <c r="AJ22" s="586">
        <f t="shared" si="90"/>
        <v>69.590002942806819</v>
      </c>
      <c r="AK22" s="635">
        <f t="shared" si="211"/>
        <v>2.2679489670845283E-7</v>
      </c>
      <c r="AL22" s="629">
        <f t="shared" si="91"/>
        <v>-1.5960535945994375E-17</v>
      </c>
      <c r="AM22" s="634">
        <f t="shared" si="92"/>
        <v>-0.99999999999997435</v>
      </c>
      <c r="AN22" s="581">
        <f t="shared" si="93"/>
        <v>-9.1447134847234187E-16</v>
      </c>
      <c r="AO22" s="582">
        <f t="shared" si="94"/>
        <v>0</v>
      </c>
      <c r="AP22" s="585">
        <f t="shared" si="95"/>
        <v>-4.0321513479550677E-9</v>
      </c>
      <c r="AQ22" s="586">
        <f t="shared" si="9"/>
        <v>0.71624752662299229</v>
      </c>
      <c r="AS22" s="52">
        <f t="shared" si="116"/>
        <v>-20.404997053882937</v>
      </c>
      <c r="AT22" s="72">
        <f t="shared" si="10"/>
        <v>-7.4768171801715452E-2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>Nose</v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1.2150000000000001</v>
      </c>
      <c r="IH22" s="731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>1.115</v>
      </c>
      <c r="II22" s="734" cm="1">
        <f t="array" ref="II22">IFERROR(ROUND(VALUE(IF($IH22&lt;1,$IH22+LARGE((IF($M$9:$M$150="",0,$M$9:$M$150)-MOD(IF($M$9:$M$150="",0,$M$9:$M$150),1)),1),$IH22)),4),"")</f>
        <v>1.115</v>
      </c>
      <c r="IJ22" s="533">
        <f t="shared" si="112"/>
        <v>1613</v>
      </c>
      <c r="IK22" s="533" t="str">
        <f t="shared" si="66"/>
        <v>Inactive</v>
      </c>
      <c r="IL22" s="727">
        <f t="shared" si="225"/>
        <v>19.973997116111661</v>
      </c>
      <c r="IM22" s="759">
        <v>4.8012587111313301E-2</v>
      </c>
      <c r="IN22" s="5">
        <f t="shared" si="226"/>
        <v>0.86</v>
      </c>
      <c r="IO22" s="771">
        <v>430</v>
      </c>
      <c r="IP22" s="9">
        <f t="shared" si="227"/>
        <v>-3.1827095990521515</v>
      </c>
      <c r="IQ22" s="5">
        <f t="shared" si="228"/>
        <v>-8.1100244598337728E-2</v>
      </c>
      <c r="IR22" s="5">
        <f t="shared" si="71"/>
        <v>0.314</v>
      </c>
      <c r="IS22" s="5">
        <f t="shared" si="229"/>
        <v>0.30289987548598407</v>
      </c>
      <c r="IT22" s="727">
        <f t="shared" si="230"/>
        <v>11.245836827371059</v>
      </c>
      <c r="IU22" s="9">
        <f t="shared" si="231"/>
        <v>-3.1827095990521506</v>
      </c>
      <c r="IV22" s="5">
        <f t="shared" si="232"/>
        <v>-8.8941780866410608E-2</v>
      </c>
      <c r="IW22" s="5">
        <f t="shared" si="76"/>
        <v>0.26250000000000001</v>
      </c>
      <c r="IX22" s="5">
        <f t="shared" si="233"/>
        <v>0.26250000000000001</v>
      </c>
      <c r="IY22" s="762">
        <f t="shared" si="234"/>
        <v>9.1447134847234187E-16</v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:JG22">IFERROR(TRANSPOSE(_xlfn._xlws.SORT(_xlfn.UNIQUE(_xlfn._xlws.FILTER($IE$9:$IE$150,$IE$9:$IE$150&lt;&gt;"")),,1)),"")</f>
        <v>Nose</v>
      </c>
      <c r="JG22" s="862" t="str">
        <v>Taper</v>
      </c>
      <c r="JH22" s="863" t="str" cm="1">
        <f t="array" ref="JH22:JI22">IFERROR(TRANSPOSE(_xlfn._xlws.SORT(_xlfn.UNIQUE(_xlfn._xlws.FILTER($IE$9:$IE$150,$IE$9:$IE$150&lt;&gt;"")),,1)),"")</f>
        <v>Nose</v>
      </c>
      <c r="JI22" s="862" t="str">
        <v>Taper</v>
      </c>
    </row>
    <row r="23" spans="1:269" ht="15" customHeight="1" thickTop="1" x14ac:dyDescent="0.25">
      <c r="A23" s="79"/>
      <c r="B23" s="707">
        <v>1.2755221892769848</v>
      </c>
      <c r="C23" s="708">
        <v>3.7267694776246345</v>
      </c>
      <c r="D23" s="709">
        <v>-0.17220626046815665</v>
      </c>
      <c r="E23" s="710">
        <v>6.0843814353658481E-2</v>
      </c>
      <c r="F23" s="708">
        <v>0.17777171223532001</v>
      </c>
      <c r="G23" s="711">
        <v>0.98218900858430513</v>
      </c>
      <c r="H23" s="710">
        <v>0.26250000000000001</v>
      </c>
      <c r="I23" s="708">
        <v>0.40699999999999997</v>
      </c>
      <c r="J23" s="570">
        <v>1.2210000000000001</v>
      </c>
      <c r="K23" s="865" t="str">
        <f>IF($J23="","",IF(IFERROR(INDEX(Settings!$AK$14:$AK$32,MATCH((((ROUND($H23,6)*2)*1000000)+ROUND($I23,6)),Settings!$AI$14:$AI$32,0)),"Undefined")="Undefined","Undefined",IFERROR(INDEX(_xlfn.ANCHORARRAY(Settings!$BC$14),MATCH(IFERROR(INDEX(Settings!$AK$14:$AK$32,MATCH((((ROUND($H23,6)*2)*1000000)+ROUND($I23,6)),Settings!$AI$14:$AI$32,0)),"Undefined"),_xlfn.ANCHORARRAY(Settings!$BC$14),0)),"Inactive")))</f>
        <v>Inactive</v>
      </c>
      <c r="M23" s="168">
        <f t="shared" si="1"/>
        <v>1.2210000000000001</v>
      </c>
      <c r="N23" s="632">
        <f t="shared" si="2"/>
        <v>1.2755221892769848</v>
      </c>
      <c r="O23" s="629">
        <f t="shared" si="3"/>
        <v>3.7267694776246345</v>
      </c>
      <c r="P23" s="633">
        <f t="shared" si="4"/>
        <v>-0.17220626046815665</v>
      </c>
      <c r="Q23" s="585">
        <f t="shared" si="113"/>
        <v>71.106002727955698</v>
      </c>
      <c r="R23" s="629">
        <f t="shared" si="79"/>
        <v>3.9390059145287588</v>
      </c>
      <c r="S23" s="634">
        <f t="shared" si="80"/>
        <v>-0.17220626046815665</v>
      </c>
      <c r="T23" s="635">
        <f t="shared" si="81"/>
        <v>3.7268807737273648</v>
      </c>
      <c r="U23" s="629">
        <f t="shared" si="82"/>
        <v>-1.2751969624782911</v>
      </c>
      <c r="V23" s="636">
        <f t="shared" si="114"/>
        <v>-0.17220626046815665</v>
      </c>
      <c r="W23" s="585">
        <f t="shared" si="224"/>
        <v>341.11100272723377</v>
      </c>
      <c r="X23" s="629">
        <f t="shared" si="83"/>
        <v>3.9390059145287588</v>
      </c>
      <c r="Y23" s="630">
        <f t="shared" si="223"/>
        <v>-0.17220626046815665</v>
      </c>
      <c r="Z23" s="632">
        <f t="shared" si="6"/>
        <v>-6.0843814353658481E-2</v>
      </c>
      <c r="AA23" s="629">
        <f t="shared" si="7"/>
        <v>-0.17777171223532001</v>
      </c>
      <c r="AB23" s="629">
        <f t="shared" si="8"/>
        <v>-0.98218900858430513</v>
      </c>
      <c r="AC23" s="636">
        <f t="shared" si="84"/>
        <v>1</v>
      </c>
      <c r="AD23" s="637">
        <f t="shared" si="115"/>
        <v>-6.0843814353658481E-2</v>
      </c>
      <c r="AE23" s="629">
        <f t="shared" si="85"/>
        <v>-0.17777171223532001</v>
      </c>
      <c r="AF23" s="633">
        <f t="shared" si="86"/>
        <v>-0.98218900858430513</v>
      </c>
      <c r="AG23" s="602">
        <f t="shared" si="87"/>
        <v>-10.25920760091185</v>
      </c>
      <c r="AH23" s="603">
        <f t="shared" si="88"/>
        <v>93.488248265295297</v>
      </c>
      <c r="AI23" s="585">
        <f t="shared" si="89"/>
        <v>-10.829998436349372</v>
      </c>
      <c r="AJ23" s="586">
        <f t="shared" si="90"/>
        <v>-18.893928114536997</v>
      </c>
      <c r="AK23" s="635">
        <f t="shared" si="211"/>
        <v>2.267948966822031E-7</v>
      </c>
      <c r="AL23" s="629">
        <f t="shared" si="91"/>
        <v>-0.18789558647325502</v>
      </c>
      <c r="AM23" s="634">
        <f t="shared" si="92"/>
        <v>-0.98218900858430513</v>
      </c>
      <c r="AN23" s="581">
        <f t="shared" si="93"/>
        <v>-10.829998436341691</v>
      </c>
      <c r="AO23" s="582">
        <f t="shared" si="94"/>
        <v>0</v>
      </c>
      <c r="AP23" s="585">
        <f t="shared" si="95"/>
        <v>-89.999930842492688</v>
      </c>
      <c r="AQ23" s="586">
        <f t="shared" si="9"/>
        <v>0.57873716090982696</v>
      </c>
      <c r="AS23" s="52">
        <f t="shared" si="116"/>
        <v>-18.888997272766233</v>
      </c>
      <c r="AT23" s="72">
        <f t="shared" si="10"/>
        <v>-0.159085429029237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>Nose</v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1.2210000000000001</v>
      </c>
      <c r="IH23" s="731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>1.121</v>
      </c>
      <c r="II23" s="734" cm="1">
        <f t="array" ref="II23">IFERROR(ROUND(VALUE(IF($IH23&lt;1,$IH23+LARGE((IF($M$9:$M$150="",0,$M$9:$M$150)-MOD(IF($M$9:$M$150="",0,$M$9:$M$150),1)),1),$IH23)),4),"")</f>
        <v>1.121</v>
      </c>
      <c r="IJ23" s="533">
        <f t="shared" si="112"/>
        <v>1613</v>
      </c>
      <c r="IK23" s="533" t="str">
        <f t="shared" si="66"/>
        <v>Inactive</v>
      </c>
      <c r="IL23" s="727">
        <f t="shared" si="225"/>
        <v>17.600997458730376</v>
      </c>
      <c r="IM23" s="759">
        <v>3.9035524796700999E-2</v>
      </c>
      <c r="IN23" s="5">
        <f t="shared" si="226"/>
        <v>0.9</v>
      </c>
      <c r="IO23" s="771">
        <v>450</v>
      </c>
      <c r="IP23" s="9">
        <f t="shared" si="227"/>
        <v>-3.9316118577413635</v>
      </c>
      <c r="IQ23" s="5">
        <f t="shared" si="228"/>
        <v>-0.16630050156231271</v>
      </c>
      <c r="IR23" s="5">
        <f t="shared" si="71"/>
        <v>0.314</v>
      </c>
      <c r="IS23" s="5">
        <f t="shared" si="229"/>
        <v>0.30206106904715457</v>
      </c>
      <c r="IT23" s="727">
        <f t="shared" si="230"/>
        <v>30.140495455001176</v>
      </c>
      <c r="IU23" s="9">
        <f t="shared" si="231"/>
        <v>-3.9390059145287588</v>
      </c>
      <c r="IV23" s="5">
        <f t="shared" si="232"/>
        <v>-0.17220626046815665</v>
      </c>
      <c r="IW23" s="5">
        <f t="shared" si="76"/>
        <v>0.26250000000000001</v>
      </c>
      <c r="IX23" s="5">
        <f t="shared" si="233"/>
        <v>0.26250000000000001</v>
      </c>
      <c r="IY23" s="762">
        <f t="shared" si="234"/>
        <v>10.829998436341691</v>
      </c>
      <c r="JA23" s="855" cm="1">
        <f t="array" ref="JA23:JA24">IFERROR(_xlfn._xlws.SORT(_xlfn.UNIQUE(_xlfn._xlws.FILTER($IK$9:$IK$150,$IK$9:$IK$150&lt;&gt;"")),,1),"")</f>
        <v>1313</v>
      </c>
      <c r="JB23" s="859" cm="1">
        <f t="array" ref="JB23">IF($JA23="","",COUNT(IF(IF($II$9:$II$150&lt;&gt;"",$IK$9:$IK$150,"")=$JA23,$IG$9:$IG$150,"")))</f>
        <v>23</v>
      </c>
      <c r="JC23" s="199"/>
      <c r="JD23" s="199"/>
      <c r="JE23" s="871"/>
      <c r="JF23" s="796" cm="1">
        <f t="array" ref="JF23:JG24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>4</v>
      </c>
      <c r="JG23" s="801">
        <v>19</v>
      </c>
      <c r="JH23" s="800" cm="1">
        <f t="array" ref="JH23:JI24">IF(_xlfn.ANCHORARRAY($JF$23)="","",_xlfn.MINIFS($IO$9:$IO$150,$IK$9:$IK$150,_xlfn.ANCHORARRAY($JA$23),$IE$9:$IE$150,_xlfn.ANCHORARRAY($JH$22),$II$9:$II$150,"&lt;&gt;"&amp;"",$IF$9:$IF$150,"&lt;&gt;"&amp;"Gage"))</f>
        <v>170</v>
      </c>
      <c r="JI23" s="801">
        <v>140</v>
      </c>
    </row>
    <row r="24" spans="1:269" ht="15" customHeight="1" x14ac:dyDescent="0.25">
      <c r="A24" s="79"/>
      <c r="B24" s="707">
        <v>1.1202427527333183</v>
      </c>
      <c r="C24" s="708">
        <v>4.5071213211716525</v>
      </c>
      <c r="D24" s="709">
        <v>-0.42554002219107512</v>
      </c>
      <c r="E24" s="710">
        <v>-0.79940309542768195</v>
      </c>
      <c r="F24" s="708">
        <v>0.48174359888995555</v>
      </c>
      <c r="G24" s="711">
        <v>0.35899553750596119</v>
      </c>
      <c r="H24" s="710">
        <v>0.26600000000000001</v>
      </c>
      <c r="I24" s="708">
        <v>0.52</v>
      </c>
      <c r="J24" s="570">
        <v>1.2270000000000001</v>
      </c>
      <c r="K24" s="865">
        <f>IF($J24="","",IF(IFERROR(INDEX(Settings!$AK$14:$AK$32,MATCH((((ROUND($H24,6)*2)*1000000)+ROUND($I24,6)),Settings!$AI$14:$AI$32,0)),"Undefined")="Undefined","Undefined",IFERROR(INDEX(_xlfn.ANCHORARRAY(Settings!$BC$14),MATCH(IFERROR(INDEX(Settings!$AK$14:$AK$32,MATCH((((ROUND($H24,6)*2)*1000000)+ROUND($I24,6)),Settings!$AI$14:$AI$32,0)),"Undefined"),_xlfn.ANCHORARRAY(Settings!$BC$14),0)),"Inactive")))</f>
        <v>1313</v>
      </c>
      <c r="M24" s="168">
        <f t="shared" si="1"/>
        <v>1.2270000000000001</v>
      </c>
      <c r="N24" s="632">
        <f t="shared" si="2"/>
        <v>1.1202427527333183</v>
      </c>
      <c r="O24" s="629">
        <f t="shared" si="3"/>
        <v>4.5071213211716525</v>
      </c>
      <c r="P24" s="633">
        <f t="shared" si="4"/>
        <v>-0.42554002219107512</v>
      </c>
      <c r="Q24" s="585">
        <f t="shared" si="113"/>
        <v>76.042002015285576</v>
      </c>
      <c r="R24" s="629">
        <f t="shared" si="79"/>
        <v>4.6442530539163807</v>
      </c>
      <c r="S24" s="634">
        <f t="shared" si="80"/>
        <v>-0.42554002219107512</v>
      </c>
      <c r="T24" s="635">
        <f t="shared" si="81"/>
        <v>4.5072190636178568</v>
      </c>
      <c r="U24" s="629">
        <f t="shared" si="82"/>
        <v>-1.1198494279908353</v>
      </c>
      <c r="V24" s="636">
        <f t="shared" si="114"/>
        <v>-0.42554002219107512</v>
      </c>
      <c r="W24" s="585">
        <f t="shared" si="224"/>
        <v>346.04700201456365</v>
      </c>
      <c r="X24" s="629">
        <f t="shared" si="83"/>
        <v>4.6442530539163807</v>
      </c>
      <c r="Y24" s="630">
        <f t="shared" si="223"/>
        <v>-0.42554002219107512</v>
      </c>
      <c r="Z24" s="632">
        <f t="shared" si="6"/>
        <v>0.79940309542768195</v>
      </c>
      <c r="AA24" s="629">
        <f t="shared" si="7"/>
        <v>-0.48174359888995555</v>
      </c>
      <c r="AB24" s="629">
        <f t="shared" si="8"/>
        <v>-0.35899553750596119</v>
      </c>
      <c r="AC24" s="636">
        <f t="shared" si="84"/>
        <v>1</v>
      </c>
      <c r="AD24" s="637">
        <f t="shared" si="115"/>
        <v>0.79940309542768195</v>
      </c>
      <c r="AE24" s="629">
        <f t="shared" si="85"/>
        <v>-0.48174359888995555</v>
      </c>
      <c r="AF24" s="633">
        <f t="shared" si="86"/>
        <v>-0.35899553750596119</v>
      </c>
      <c r="AG24" s="602">
        <f t="shared" si="87"/>
        <v>-53.306505024914756</v>
      </c>
      <c r="AH24" s="603">
        <f t="shared" si="88"/>
        <v>36.926860089142956</v>
      </c>
      <c r="AI24" s="585">
        <f t="shared" si="89"/>
        <v>-68.961478643117573</v>
      </c>
      <c r="AJ24" s="586">
        <f t="shared" si="90"/>
        <v>58.92560829129765</v>
      </c>
      <c r="AK24" s="635">
        <f>IF(M24="","",(COS(RADIANS((90-$Q$8)-W24))*AD24)+(-SIN(RADIANS((90-$Q$8)-W24))*AE24))</f>
        <v>0.89200060006451376</v>
      </c>
      <c r="AL24" s="629">
        <f t="shared" si="91"/>
        <v>-0.27469461868655753</v>
      </c>
      <c r="AM24" s="634">
        <f t="shared" si="92"/>
        <v>-0.35899553750596119</v>
      </c>
      <c r="AN24" s="581">
        <f t="shared" si="93"/>
        <v>-37.422334184574588</v>
      </c>
      <c r="AO24" s="582">
        <f t="shared" si="94"/>
        <v>26.874272018015176</v>
      </c>
      <c r="AP24" s="585">
        <f t="shared" si="95"/>
        <v>-17.116393723987908</v>
      </c>
      <c r="AQ24" s="586">
        <f t="shared" si="9"/>
        <v>0.49085845056223149</v>
      </c>
      <c r="AS24" s="52">
        <f t="shared" si="116"/>
        <v>-13.952997985436355</v>
      </c>
      <c r="AT24" s="72">
        <f t="shared" si="10"/>
        <v>-0.41584696803502341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>Taper</v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1.2270000000000001</v>
      </c>
      <c r="IH24" s="731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>1.127</v>
      </c>
      <c r="II24" s="734" cm="1">
        <f t="array" ref="II24">IFERROR(ROUND(VALUE(IF($IH24&lt;1,$IH24+LARGE((IF($M$9:$M$150="",0,$M$9:$M$150)-MOD(IF($M$9:$M$150="",0,$M$9:$M$150),1)),1),$IH24)),4),"")</f>
        <v>1.127</v>
      </c>
      <c r="IJ24" s="533">
        <f t="shared" si="112"/>
        <v>1613</v>
      </c>
      <c r="IK24" s="533">
        <f t="shared" si="66"/>
        <v>1313</v>
      </c>
      <c r="IL24" s="727">
        <f t="shared" si="225"/>
        <v>11.67599831419443</v>
      </c>
      <c r="IM24" s="759">
        <v>1.1911469070672E-2</v>
      </c>
      <c r="IN24" s="5">
        <f t="shared" si="226"/>
        <v>0.34</v>
      </c>
      <c r="IO24" s="771">
        <v>170</v>
      </c>
      <c r="IP24" s="9">
        <f t="shared" si="227"/>
        <v>-4.6211139372796337</v>
      </c>
      <c r="IQ24" s="5">
        <f t="shared" si="228"/>
        <v>-0.47080141993708247</v>
      </c>
      <c r="IR24" s="5">
        <f t="shared" si="71"/>
        <v>0.314</v>
      </c>
      <c r="IS24" s="5">
        <f t="shared" si="229"/>
        <v>0.29955476744739734</v>
      </c>
      <c r="IT24" s="727">
        <f t="shared" si="230"/>
        <v>45.831319261720076</v>
      </c>
      <c r="IU24" s="9">
        <f t="shared" si="231"/>
        <v>-4.6442530539163807</v>
      </c>
      <c r="IV24" s="5">
        <f t="shared" si="232"/>
        <v>-0.42554002219107512</v>
      </c>
      <c r="IW24" s="5">
        <f t="shared" si="76"/>
        <v>0.26600000000000001</v>
      </c>
      <c r="IX24" s="5">
        <f t="shared" si="233"/>
        <v>0.23727215961716067</v>
      </c>
      <c r="IY24" s="762">
        <f t="shared" si="234"/>
        <v>37.422334184574588</v>
      </c>
      <c r="JA24" s="798" t="str">
        <v>Inactive</v>
      </c>
      <c r="JB24" s="856" cm="1">
        <f t="array" ref="JB24">IF($JA24="","",COUNT(IF(IF($II$9:$II$150&lt;&gt;"",$IK$9:$IK$150,"")=$JA24,$IG$9:$IG$150,"")))</f>
        <v>11</v>
      </c>
      <c r="JC24" s="5"/>
      <c r="JD24" s="5"/>
      <c r="JE24" s="10"/>
      <c r="JF24" s="247">
        <v>11</v>
      </c>
      <c r="JG24" s="803" t="str">
        <v/>
      </c>
      <c r="JH24" s="787">
        <v>360</v>
      </c>
      <c r="JI24" s="803" t="str">
        <v/>
      </c>
    </row>
    <row r="25" spans="1:269" ht="15" customHeight="1" x14ac:dyDescent="0.25">
      <c r="A25" s="79"/>
      <c r="B25" s="707">
        <v>1.2514839228736034</v>
      </c>
      <c r="C25" s="708">
        <v>5.0702926219928539</v>
      </c>
      <c r="D25" s="709">
        <v>-0.92558570476999358</v>
      </c>
      <c r="E25" s="710">
        <v>-0.7678362904734084</v>
      </c>
      <c r="F25" s="708">
        <v>0.56647210893896038</v>
      </c>
      <c r="G25" s="711">
        <v>0.29922697209022159</v>
      </c>
      <c r="H25" s="710">
        <v>0.26600000000000001</v>
      </c>
      <c r="I25" s="708">
        <v>0.52</v>
      </c>
      <c r="J25" s="570">
        <v>1.2330000000000001</v>
      </c>
      <c r="K25" s="865">
        <f>IF($J25="","",IF(IFERROR(INDEX(Settings!$AK$14:$AK$32,MATCH((((ROUND($H25,6)*2)*1000000)+ROUND($I25,6)),Settings!$AI$14:$AI$32,0)),"Undefined")="Undefined","Undefined",IFERROR(INDEX(_xlfn.ANCHORARRAY(Settings!$BC$14),MATCH(IFERROR(INDEX(Settings!$AK$14:$AK$32,MATCH((((ROUND($H25,6)*2)*1000000)+ROUND($I25,6)),Settings!$AI$14:$AI$32,0)),"Undefined"),_xlfn.ANCHORARRAY(Settings!$BC$14),0)),"Inactive")))</f>
        <v>1313</v>
      </c>
      <c r="L25" s="320"/>
      <c r="M25" s="168">
        <f t="shared" si="1"/>
        <v>1.2330000000000001</v>
      </c>
      <c r="N25" s="632">
        <f t="shared" si="2"/>
        <v>1.2514839228736034</v>
      </c>
      <c r="O25" s="629">
        <f t="shared" si="3"/>
        <v>5.0702926219928539</v>
      </c>
      <c r="P25" s="633">
        <f t="shared" si="4"/>
        <v>-0.92558570476999358</v>
      </c>
      <c r="Q25" s="585">
        <f t="shared" si="113"/>
        <v>76.135002001858027</v>
      </c>
      <c r="R25" s="629">
        <f>IF(M25="","",SQRT(N25^2+O25^2))</f>
        <v>5.2224591220847554</v>
      </c>
      <c r="S25" s="634">
        <f>IF(M25="","",P25)</f>
        <v>-0.92558570476999358</v>
      </c>
      <c r="T25" s="635">
        <f>IF(M25="","",X25*COS(RADIANS(W25)))</f>
        <v>5.070401815245658</v>
      </c>
      <c r="U25" s="629">
        <f>IF(M25="","",X25*SIN(RADIANS(W25)))</f>
        <v>-1.2510414516712889</v>
      </c>
      <c r="V25" s="636">
        <f>IF(M25="","",Y25)</f>
        <v>-0.92558570476999358</v>
      </c>
      <c r="W25" s="585">
        <f t="shared" si="224"/>
        <v>346.14000200113611</v>
      </c>
      <c r="X25" s="629">
        <f>IF(M25="","",R25)</f>
        <v>5.2224591220847554</v>
      </c>
      <c r="Y25" s="630">
        <f t="shared" si="223"/>
        <v>-0.92558570476999358</v>
      </c>
      <c r="Z25" s="632">
        <f t="shared" si="6"/>
        <v>0.7678362904734084</v>
      </c>
      <c r="AA25" s="629">
        <f t="shared" si="7"/>
        <v>-0.56647210893896038</v>
      </c>
      <c r="AB25" s="629">
        <f t="shared" si="8"/>
        <v>-0.29922697209022159</v>
      </c>
      <c r="AC25" s="636">
        <f>IF(M25="","",SQRT(Z25^2+AA25^2+AB25^2))</f>
        <v>1</v>
      </c>
      <c r="AD25" s="637">
        <f>IF(M25="","",Z25*(1/SQRT(Z25^2+AA25^2+AB25^2)))</f>
        <v>0.7678362904734084</v>
      </c>
      <c r="AE25" s="629">
        <f>IF(M25="","",AA25*(1/SQRT(Z25^2+AA25^2+AB25^2)))</f>
        <v>-0.56647210893896038</v>
      </c>
      <c r="AF25" s="633">
        <f>IF(M25="","",AB25*(1/SQRT(Z25^2+AA25^2+AB25^2)))</f>
        <v>-0.29922697209022159</v>
      </c>
      <c r="AG25" s="602">
        <f>IF(M25="","",DEGREES(ATAN2(-AF25,AE25)))</f>
        <v>-62.155688570978938</v>
      </c>
      <c r="AH25" s="603">
        <f>IF(M25="","",DEGREES(ACOS(AD25)))</f>
        <v>39.840014761787678</v>
      </c>
      <c r="AI25" s="585">
        <f>IF(M25="","",DEGREES(-ACOS(-AF25)))</f>
        <v>-72.588820798480469</v>
      </c>
      <c r="AJ25" s="586">
        <f>IF(M25="","",DEGREES(ATAN2(-AE25,AD25)))</f>
        <v>53.581906015982057</v>
      </c>
      <c r="AK25" s="635">
        <f>IF(M25="","",(COS(RADIANS((90-$Q$8)-W25))*AD25)+(-SIN(RADIANS((90-$Q$8)-W25))*AE25))</f>
        <v>0.88121042367144264</v>
      </c>
      <c r="AL25" s="629">
        <f>IF(M25="","",(SIN(RADIANS((90-$Q$8)-W25))*AD25)+(COS(RADIANS((90-$Q$8)-W25))*AE25))</f>
        <v>-0.36596640335762276</v>
      </c>
      <c r="AM25" s="634">
        <f>IF(M25="","",AF25)</f>
        <v>-0.29922697209022159</v>
      </c>
      <c r="AN25" s="581">
        <f>IF(M25="","",DEGREES(ATAN2(-AM25,AL25)))</f>
        <v>-50.729362380478946</v>
      </c>
      <c r="AO25" s="582">
        <f>IF(ROUND(IF(M25="",0,DEGREES(ACOS(AK25))),4)=90,0,IF(M25="","",DEGREES(ACOS(AK25))))</f>
        <v>28.211277425907149</v>
      </c>
      <c r="AP25" s="585">
        <f>IF(M25="","",DEGREES(ATAN2(AK25,AL25)))</f>
        <v>-22.55309598587597</v>
      </c>
      <c r="AQ25" s="586">
        <f t="shared" si="9"/>
        <v>0.4365151494231122</v>
      </c>
      <c r="AS25" s="52">
        <f t="shared" si="116"/>
        <v>-13.859997998863889</v>
      </c>
      <c r="AT25" s="72">
        <f t="shared" si="10"/>
        <v>-0.91595723393795059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>Taper</v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1.2330000000000001</v>
      </c>
      <c r="IH25" s="731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>1.133</v>
      </c>
      <c r="II25" s="734" cm="1">
        <f t="array" ref="II25">IFERROR(ROUND(VALUE(IF($IH25&lt;1,$IH25+LARGE((IF($M$9:$M$150="",0,$M$9:$M$150)-MOD(IF($M$9:$M$150="",0,$M$9:$M$150),1)),1),$IH25)),4),"")</f>
        <v>1.133</v>
      </c>
      <c r="IJ25" s="533">
        <f t="shared" si="112"/>
        <v>1613</v>
      </c>
      <c r="IK25" s="533">
        <f t="shared" si="66"/>
        <v>1313</v>
      </c>
      <c r="IL25" s="727">
        <f t="shared" si="225"/>
        <v>10.676998458432138</v>
      </c>
      <c r="IM25" s="759">
        <v>9.7296161538545194E-3</v>
      </c>
      <c r="IN25" s="5">
        <f t="shared" si="226"/>
        <v>0.32</v>
      </c>
      <c r="IO25" s="771">
        <v>160</v>
      </c>
      <c r="IP25" s="9">
        <f t="shared" si="227"/>
        <v>-5.1885156485631958</v>
      </c>
      <c r="IQ25" s="5">
        <f t="shared" si="228"/>
        <v>-0.96700291648079617</v>
      </c>
      <c r="IR25" s="5">
        <f t="shared" si="71"/>
        <v>0.314</v>
      </c>
      <c r="IS25" s="5">
        <f t="shared" si="229"/>
        <v>0.29697828570895529</v>
      </c>
      <c r="IT25" s="727">
        <f t="shared" si="230"/>
        <v>59.585738932340547</v>
      </c>
      <c r="IU25" s="9">
        <f t="shared" si="231"/>
        <v>-5.2224591220847554</v>
      </c>
      <c r="IV25" s="5">
        <f t="shared" si="232"/>
        <v>-0.92558570476999358</v>
      </c>
      <c r="IW25" s="5">
        <f t="shared" si="76"/>
        <v>0.26600000000000001</v>
      </c>
      <c r="IX25" s="5">
        <f t="shared" si="233"/>
        <v>0.23440197269660376</v>
      </c>
      <c r="IY25" s="762">
        <f t="shared" si="234"/>
        <v>50.729362380478946</v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1.3573913831080517</v>
      </c>
      <c r="C26" s="708">
        <v>5.4600304131980124</v>
      </c>
      <c r="D26" s="709">
        <v>-1.574284601471494</v>
      </c>
      <c r="E26" s="710">
        <v>-0.72910561354169945</v>
      </c>
      <c r="F26" s="708">
        <v>0.64287003233686146</v>
      </c>
      <c r="G26" s="711">
        <v>0.23478314638232631</v>
      </c>
      <c r="H26" s="710">
        <v>0.26600000000000001</v>
      </c>
      <c r="I26" s="708">
        <v>0.52</v>
      </c>
      <c r="J26" s="570">
        <v>1.2390000000000001</v>
      </c>
      <c r="K26" s="865">
        <f>IF($J26="","",IF(IFERROR(INDEX(Settings!$AK$14:$AK$32,MATCH((((ROUND($H26,6)*2)*1000000)+ROUND($I26,6)),Settings!$AI$14:$AI$32,0)),"Undefined")="Undefined","Undefined",IFERROR(INDEX(_xlfn.ANCHORARRAY(Settings!$BC$14),MATCH(IFERROR(INDEX(Settings!$AK$14:$AK$32,MATCH((((ROUND($H26,6)*2)*1000000)+ROUND($I26,6)),Settings!$AI$14:$AI$32,0)),"Undefined"),_xlfn.ANCHORARRAY(Settings!$BC$14),0)),"Inactive")))</f>
        <v>1313</v>
      </c>
      <c r="L26" s="320"/>
      <c r="M26" s="168">
        <f t="shared" si="1"/>
        <v>1.2390000000000001</v>
      </c>
      <c r="N26" s="632">
        <f t="shared" si="2"/>
        <v>1.3573913831080517</v>
      </c>
      <c r="O26" s="629">
        <f t="shared" si="3"/>
        <v>5.4600304131980124</v>
      </c>
      <c r="P26" s="633">
        <f t="shared" si="4"/>
        <v>-1.574284601471494</v>
      </c>
      <c r="Q26" s="585">
        <f t="shared" si="113"/>
        <v>76.039002015718708</v>
      </c>
      <c r="R26" s="629">
        <f>IF(M26="","",SQRT(N26^2+O26^2))</f>
        <v>5.6262281752505601</v>
      </c>
      <c r="S26" s="634">
        <f>IF(M26="","",P26)</f>
        <v>-1.574284601471494</v>
      </c>
      <c r="T26" s="635">
        <f>IF(M26="","",X26*COS(RADIANS(W26)))</f>
        <v>5.4601488471348771</v>
      </c>
      <c r="U26" s="629">
        <f>IF(M26="","",X26*SIN(RADIANS(W26)))</f>
        <v>-1.3569149004690442</v>
      </c>
      <c r="V26" s="636">
        <f>IF(M26="","",Y26)</f>
        <v>-1.574284601471494</v>
      </c>
      <c r="W26" s="585">
        <f t="shared" si="224"/>
        <v>346.04400201499681</v>
      </c>
      <c r="X26" s="629">
        <f>IF(M26="","",R26)</f>
        <v>5.6262281752505601</v>
      </c>
      <c r="Y26" s="630">
        <f t="shared" si="223"/>
        <v>-1.574284601471494</v>
      </c>
      <c r="Z26" s="632">
        <f t="shared" si="6"/>
        <v>0.72910561354169945</v>
      </c>
      <c r="AA26" s="629">
        <f t="shared" si="7"/>
        <v>-0.64287003233686146</v>
      </c>
      <c r="AB26" s="629">
        <f t="shared" si="8"/>
        <v>-0.23478314638232631</v>
      </c>
      <c r="AC26" s="636">
        <f>IF(M26="","",SQRT(Z26^2+AA26^2+AB26^2))</f>
        <v>1</v>
      </c>
      <c r="AD26" s="637">
        <f>IF(M26="","",Z26*(1/SQRT(Z26^2+AA26^2+AB26^2)))</f>
        <v>0.72910561354169945</v>
      </c>
      <c r="AE26" s="629">
        <f>IF(M26="","",AA26*(1/SQRT(Z26^2+AA26^2+AB26^2)))</f>
        <v>-0.64287003233686146</v>
      </c>
      <c r="AF26" s="633">
        <f>IF(M26="","",AB26*(1/SQRT(Z26^2+AA26^2+AB26^2)))</f>
        <v>-0.23478314638232631</v>
      </c>
      <c r="AG26" s="602">
        <f>IF(M26="","",DEGREES(ATAN2(-AF26,AE26)))</f>
        <v>-69.937255229860909</v>
      </c>
      <c r="AH26" s="603">
        <f>IF(M26="","",DEGREES(ACOS(AD26)))</f>
        <v>43.188533202492906</v>
      </c>
      <c r="AI26" s="585">
        <f>IF(M26="","",DEGREES(-ACOS(-AF26)))</f>
        <v>-76.421159655343246</v>
      </c>
      <c r="AJ26" s="586">
        <f>IF(M26="","",DEGREES(ATAN2(-AE26,AD26)))</f>
        <v>48.596596946477469</v>
      </c>
      <c r="AK26" s="635">
        <f>IF(M26="","",(COS(RADIANS((90-$Q$8)-W26))*AD26)+(-SIN(RADIANS((90-$Q$8)-W26))*AE26))</f>
        <v>0.86266765505069032</v>
      </c>
      <c r="AL26" s="629">
        <f>IF(M26="","",(SIN(RADIANS((90-$Q$8)-W26))*AD26)+(COS(RADIANS((90-$Q$8)-W26))*AE26))</f>
        <v>-0.44797476614666404</v>
      </c>
      <c r="AM26" s="634">
        <f>IF(M26="","",AF26)</f>
        <v>-0.23478314638232631</v>
      </c>
      <c r="AN26" s="581">
        <f>IF(M26="","",DEGREES(ATAN2(-AM26,AL26)))</f>
        <v>-62.341009428635473</v>
      </c>
      <c r="AO26" s="582">
        <f t="shared" si="94"/>
        <v>30.382560396340295</v>
      </c>
      <c r="AP26" s="585">
        <f>IF(M26="","",DEGREES(ATAN2(AK26,AL26)))</f>
        <v>-27.442405069241261</v>
      </c>
      <c r="AQ26" s="586">
        <f t="shared" si="9"/>
        <v>0.40518950823270827</v>
      </c>
      <c r="AS26" s="52">
        <f t="shared" si="116"/>
        <v>-13.955997985003194</v>
      </c>
      <c r="AT26" s="72">
        <f t="shared" si="10"/>
        <v>-1.5645894639824098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>Taper</v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>
        <f t="shared" si="210"/>
        <v>1.2390000000000001</v>
      </c>
      <c r="IH26" s="731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>1.139</v>
      </c>
      <c r="II26" s="734" cm="1">
        <f t="array" ref="II26">IFERROR(ROUND(VALUE(IF($IH26&lt;1,$IH26+LARGE((IF($M$9:$M$150="",0,$M$9:$M$150)-MOD(IF($M$9:$M$150="",0,$M$9:$M$150),1)),1),$IH26)),4),"")</f>
        <v>1.139</v>
      </c>
      <c r="IJ26" s="533">
        <f t="shared" si="112"/>
        <v>1613</v>
      </c>
      <c r="IK26" s="533">
        <f t="shared" si="66"/>
        <v>1313</v>
      </c>
      <c r="IL26" s="727">
        <f t="shared" si="225"/>
        <v>10.110998540152423</v>
      </c>
      <c r="IM26" s="759">
        <v>7.7435142043985397E-3</v>
      </c>
      <c r="IN26" s="5">
        <f t="shared" si="226"/>
        <v>0.3</v>
      </c>
      <c r="IO26" s="771">
        <v>150</v>
      </c>
      <c r="IP26" s="9">
        <f t="shared" si="227"/>
        <v>-5.5822168359659781</v>
      </c>
      <c r="IQ26" s="5">
        <f t="shared" si="228"/>
        <v>-1.6097048548698423</v>
      </c>
      <c r="IR26" s="5">
        <f t="shared" si="71"/>
        <v>0.314</v>
      </c>
      <c r="IS26" s="5">
        <f t="shared" si="229"/>
        <v>0.29283565825974178</v>
      </c>
      <c r="IT26" s="727">
        <f t="shared" si="230"/>
        <v>70.490763213102113</v>
      </c>
      <c r="IU26" s="9">
        <f t="shared" si="231"/>
        <v>-5.6262281752505601</v>
      </c>
      <c r="IV26" s="5">
        <f t="shared" si="232"/>
        <v>-1.574284601471494</v>
      </c>
      <c r="IW26" s="5">
        <f t="shared" si="76"/>
        <v>0.26600000000000001</v>
      </c>
      <c r="IX26" s="5">
        <f t="shared" si="233"/>
        <v>0.22946959624348368</v>
      </c>
      <c r="IY26" s="762">
        <f t="shared" si="234"/>
        <v>62.341009428635473</v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1.4139924150231884</v>
      </c>
      <c r="C27" s="708">
        <v>5.6510422191123677</v>
      </c>
      <c r="D27" s="709">
        <v>-2.3160312758760231</v>
      </c>
      <c r="E27" s="710">
        <v>-0.70593761388194554</v>
      </c>
      <c r="F27" s="708">
        <v>0.69264979303052532</v>
      </c>
      <c r="G27" s="711">
        <v>0.14794711731370702</v>
      </c>
      <c r="H27" s="710">
        <v>0.26600000000000001</v>
      </c>
      <c r="I27" s="708">
        <v>0.52</v>
      </c>
      <c r="J27" s="570">
        <v>1.2450000000000001</v>
      </c>
      <c r="K27" s="865">
        <f>IF($J27="","",IF(IFERROR(INDEX(Settings!$AK$14:$AK$32,MATCH((((ROUND($H27,6)*2)*1000000)+ROUND($I27,6)),Settings!$AI$14:$AI$32,0)),"Undefined")="Undefined","Undefined",IFERROR(INDEX(_xlfn.ANCHORARRAY(Settings!$BC$14),MATCH(IFERROR(INDEX(Settings!$AK$14:$AK$32,MATCH((((ROUND($H27,6)*2)*1000000)+ROUND($I27,6)),Settings!$AI$14:$AI$32,0)),"Undefined"),_xlfn.ANCHORARRAY(Settings!$BC$14),0)),"Inactive")))</f>
        <v>1313</v>
      </c>
      <c r="L27" s="320"/>
      <c r="M27" s="168">
        <f t="shared" si="1"/>
        <v>1.2450000000000001</v>
      </c>
      <c r="N27" s="632">
        <f t="shared" si="2"/>
        <v>1.4139924150231884</v>
      </c>
      <c r="O27" s="629">
        <f t="shared" si="3"/>
        <v>5.6510422191123677</v>
      </c>
      <c r="P27" s="633">
        <f t="shared" si="4"/>
        <v>-2.3160312758760231</v>
      </c>
      <c r="Q27" s="585">
        <f t="shared" si="113"/>
        <v>75.952002028279963</v>
      </c>
      <c r="R27" s="629">
        <f t="shared" si="79"/>
        <v>5.8252598836389726</v>
      </c>
      <c r="S27" s="634">
        <f t="shared" si="80"/>
        <v>-2.3160312758760231</v>
      </c>
      <c r="T27" s="635">
        <f t="shared" si="81"/>
        <v>5.6511655916930286</v>
      </c>
      <c r="U27" s="629">
        <f t="shared" si="82"/>
        <v>-1.413499263246474</v>
      </c>
      <c r="V27" s="636">
        <f t="shared" si="114"/>
        <v>-2.3160312758760231</v>
      </c>
      <c r="W27" s="585">
        <f t="shared" si="224"/>
        <v>345.95700202755802</v>
      </c>
      <c r="X27" s="629">
        <f t="shared" si="83"/>
        <v>5.8252598836389726</v>
      </c>
      <c r="Y27" s="630">
        <f t="shared" si="223"/>
        <v>-2.3160312758760231</v>
      </c>
      <c r="Z27" s="632">
        <f t="shared" si="6"/>
        <v>0.70593761388194554</v>
      </c>
      <c r="AA27" s="629">
        <f t="shared" si="7"/>
        <v>-0.69264979303052532</v>
      </c>
      <c r="AB27" s="629">
        <f t="shared" si="8"/>
        <v>-0.14794711731370702</v>
      </c>
      <c r="AC27" s="636">
        <f t="shared" si="84"/>
        <v>1</v>
      </c>
      <c r="AD27" s="637">
        <f t="shared" si="115"/>
        <v>0.70593761388194554</v>
      </c>
      <c r="AE27" s="629">
        <f t="shared" si="85"/>
        <v>-0.69264979303052532</v>
      </c>
      <c r="AF27" s="633">
        <f t="shared" si="86"/>
        <v>-0.14794711731370702</v>
      </c>
      <c r="AG27" s="602">
        <f t="shared" si="87"/>
        <v>-77.943039585009899</v>
      </c>
      <c r="AH27" s="603">
        <f t="shared" si="88"/>
        <v>45.094657687706253</v>
      </c>
      <c r="AI27" s="585">
        <f t="shared" si="89"/>
        <v>-81.492022306646447</v>
      </c>
      <c r="AJ27" s="586">
        <f t="shared" si="90"/>
        <v>45.544344345864232</v>
      </c>
      <c r="AK27" s="635">
        <f t="shared" si="211"/>
        <v>0.85295504629314212</v>
      </c>
      <c r="AL27" s="629">
        <f t="shared" si="91"/>
        <v>-0.5005790042357231</v>
      </c>
      <c r="AM27" s="634">
        <f t="shared" si="92"/>
        <v>-0.14794711731370702</v>
      </c>
      <c r="AN27" s="581">
        <f t="shared" si="93"/>
        <v>-73.534850779716407</v>
      </c>
      <c r="AO27" s="582">
        <f t="shared" si="94"/>
        <v>31.465453900874696</v>
      </c>
      <c r="AP27" s="585">
        <f t="shared" si="95"/>
        <v>-30.40765768241571</v>
      </c>
      <c r="AQ27" s="586">
        <f t="shared" si="9"/>
        <v>0.39134583274043655</v>
      </c>
      <c r="AS27" s="52">
        <f t="shared" si="116"/>
        <v>-14.042997972441981</v>
      </c>
      <c r="AT27" s="72">
        <f t="shared" si="10"/>
        <v>-2.3062757217289951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>Taper</v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>
        <f t="shared" si="210"/>
        <v>1.2450000000000001</v>
      </c>
      <c r="IH27" s="731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>1.145</v>
      </c>
      <c r="II27" s="734" cm="1">
        <f t="array" ref="II27">IFERROR(ROUND(VALUE(IF($IH27&lt;1,$IH27+LARGE((IF($M$9:$M$150="",0,$M$9:$M$150)-MOD(IF($M$9:$M$150="",0,$M$9:$M$150),1)),1),$IH27)),4),"")</f>
        <v>1.145</v>
      </c>
      <c r="IJ27" s="533">
        <f t="shared" si="112"/>
        <v>1613</v>
      </c>
      <c r="IK27" s="533">
        <f t="shared" si="66"/>
        <v>1313</v>
      </c>
      <c r="IL27" s="727">
        <f t="shared" si="225"/>
        <v>9.8559985769699097</v>
      </c>
      <c r="IM27" s="759">
        <v>5.4654224254914001E-3</v>
      </c>
      <c r="IN27" s="5">
        <f t="shared" si="226"/>
        <v>0.3</v>
      </c>
      <c r="IO27" s="771">
        <v>150</v>
      </c>
      <c r="IP27" s="9">
        <f t="shared" si="227"/>
        <v>-5.7795174310245718</v>
      </c>
      <c r="IQ27" s="5">
        <f t="shared" si="228"/>
        <v>-2.338107051730868</v>
      </c>
      <c r="IR27" s="5">
        <f t="shared" si="71"/>
        <v>0.314</v>
      </c>
      <c r="IS27" s="5">
        <f t="shared" si="229"/>
        <v>0.28252397930573098</v>
      </c>
      <c r="IT27" s="727">
        <f t="shared" si="230"/>
        <v>77.537060244072507</v>
      </c>
      <c r="IU27" s="9">
        <f t="shared" si="231"/>
        <v>-5.8252598836389726</v>
      </c>
      <c r="IV27" s="5">
        <f t="shared" si="232"/>
        <v>-2.3160312758760231</v>
      </c>
      <c r="IW27" s="5">
        <f t="shared" si="76"/>
        <v>0.26600000000000001</v>
      </c>
      <c r="IX27" s="5">
        <f t="shared" si="233"/>
        <v>0.22688604231397583</v>
      </c>
      <c r="IY27" s="762">
        <f t="shared" si="234"/>
        <v>73.534850779716407</v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2.7777850701617148</v>
      </c>
      <c r="C28" s="708">
        <v>1.2761677323517273</v>
      </c>
      <c r="D28" s="709">
        <v>-0.11910026872641039</v>
      </c>
      <c r="E28" s="710">
        <v>-0.37497876330148971</v>
      </c>
      <c r="F28" s="708">
        <v>0.88967201713831567</v>
      </c>
      <c r="G28" s="711">
        <v>0.26052759737487674</v>
      </c>
      <c r="H28" s="710">
        <v>0.314</v>
      </c>
      <c r="I28" s="708">
        <v>0.52</v>
      </c>
      <c r="J28" s="570">
        <v>2.1139999999999999</v>
      </c>
      <c r="K28" s="865">
        <f>IF($J28="","",IF(IFERROR(INDEX(Settings!$AK$14:$AK$32,MATCH((((ROUND($H28,6)*2)*1000000)+ROUND($I28,6)),Settings!$AI$14:$AI$32,0)),"Undefined")="Undefined","Undefined",IFERROR(INDEX(_xlfn.ANCHORARRAY(Settings!$BC$14),MATCH(IFERROR(INDEX(Settings!$AK$14:$AK$32,MATCH((((ROUND($H28,6)*2)*1000000)+ROUND($I28,6)),Settings!$AI$14:$AI$32,0)),"Undefined"),_xlfn.ANCHORARRAY(Settings!$BC$14),0)),"Inactive")))</f>
        <v>1613</v>
      </c>
      <c r="L28" s="320"/>
      <c r="M28" s="168">
        <f t="shared" si="1"/>
        <v>2.1139999999999999</v>
      </c>
      <c r="N28" s="632">
        <f t="shared" si="2"/>
        <v>2.7777850701617148</v>
      </c>
      <c r="O28" s="629">
        <f t="shared" si="3"/>
        <v>1.2761677323517273</v>
      </c>
      <c r="P28" s="633">
        <f t="shared" si="4"/>
        <v>-0.11910026872641039</v>
      </c>
      <c r="Q28" s="585">
        <f t="shared" si="113"/>
        <v>24.674957454200133</v>
      </c>
      <c r="R28" s="629">
        <f t="shared" si="79"/>
        <v>3.0569092196382073</v>
      </c>
      <c r="S28" s="634">
        <f t="shared" si="80"/>
        <v>-0.11910026872641039</v>
      </c>
      <c r="T28" s="635">
        <f t="shared" si="81"/>
        <v>1.2764101349340686</v>
      </c>
      <c r="U28" s="629">
        <f t="shared" si="82"/>
        <v>-2.7776736929572317</v>
      </c>
      <c r="V28" s="636">
        <f t="shared" si="114"/>
        <v>-0.11910026872641039</v>
      </c>
      <c r="W28" s="585">
        <f t="shared" si="224"/>
        <v>294.67995745347821</v>
      </c>
      <c r="X28" s="629">
        <f t="shared" si="83"/>
        <v>3.0569092196382073</v>
      </c>
      <c r="Y28" s="630">
        <f t="shared" si="223"/>
        <v>-0.11910026872641039</v>
      </c>
      <c r="Z28" s="632">
        <f t="shared" si="6"/>
        <v>0.37497876330148971</v>
      </c>
      <c r="AA28" s="629">
        <f t="shared" si="7"/>
        <v>-0.88967201713831567</v>
      </c>
      <c r="AB28" s="629">
        <f t="shared" si="8"/>
        <v>-0.26052759737487674</v>
      </c>
      <c r="AC28" s="636">
        <f t="shared" si="84"/>
        <v>1</v>
      </c>
      <c r="AD28" s="637">
        <f t="shared" si="115"/>
        <v>0.37497876330148971</v>
      </c>
      <c r="AE28" s="629">
        <f t="shared" si="85"/>
        <v>-0.88967201713831567</v>
      </c>
      <c r="AF28" s="633">
        <f t="shared" si="86"/>
        <v>-0.26052759737487674</v>
      </c>
      <c r="AG28" s="602">
        <f t="shared" si="87"/>
        <v>-73.678093058548882</v>
      </c>
      <c r="AH28" s="603">
        <f t="shared" si="88"/>
        <v>67.976999714189944</v>
      </c>
      <c r="AI28" s="585">
        <f t="shared" si="89"/>
        <v>-74.89862979939889</v>
      </c>
      <c r="AJ28" s="586">
        <f t="shared" si="90"/>
        <v>22.854439186213124</v>
      </c>
      <c r="AK28" s="635">
        <f t="shared" si="211"/>
        <v>0.96497907940462502</v>
      </c>
      <c r="AL28" s="629">
        <f t="shared" si="91"/>
        <v>-3.0671604416406484E-2</v>
      </c>
      <c r="AM28" s="634">
        <f t="shared" si="92"/>
        <v>-0.26052759737487674</v>
      </c>
      <c r="AN28" s="581">
        <f t="shared" si="93"/>
        <v>-6.714456903861115</v>
      </c>
      <c r="AO28" s="582">
        <f t="shared" si="94"/>
        <v>15.208174108501202</v>
      </c>
      <c r="AP28" s="585">
        <f t="shared" si="95"/>
        <v>-1.8205182679869938</v>
      </c>
      <c r="AQ28" s="586">
        <f t="shared" si="9"/>
        <v>0.74571985633111293</v>
      </c>
      <c r="AS28" s="52">
        <f t="shared" si="116"/>
        <v>-65.32004254652179</v>
      </c>
      <c r="AT28" s="72">
        <f t="shared" si="10"/>
        <v>-7.3735655847382703E-2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2.1139999999999999</v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IFERROR(ROUND(VALUE(IF($IH28&lt;1,$IH28+LARGE((IF($M$9:$M$150="",0,$M$9:$M$150)-MOD(IF($M$9:$M$150="",0,$M$9:$M$150),1)),1),$IH28)),4),"")</f>
        <v/>
      </c>
      <c r="IJ28" s="533">
        <f t="shared" si="112"/>
        <v>1613</v>
      </c>
      <c r="IK28" s="533" t="str">
        <f t="shared" si="66"/>
        <v/>
      </c>
      <c r="IL28" s="727" t="str">
        <f t="shared" si="225"/>
        <v/>
      </c>
      <c r="IM28" s="759"/>
      <c r="IN28" s="5" t="str">
        <f t="shared" si="226"/>
        <v/>
      </c>
      <c r="IO28" s="771"/>
      <c r="IP28" s="9" t="str">
        <f t="shared" si="227"/>
        <v/>
      </c>
      <c r="IQ28" s="5" t="str">
        <f t="shared" si="228"/>
        <v/>
      </c>
      <c r="IR28" s="5" t="str">
        <f t="shared" si="71"/>
        <v/>
      </c>
      <c r="IS28" s="5" t="str">
        <f t="shared" si="229"/>
        <v/>
      </c>
      <c r="IT28" s="727" t="str">
        <f t="shared" si="230"/>
        <v/>
      </c>
      <c r="IU28" s="9" t="str">
        <f t="shared" si="231"/>
        <v/>
      </c>
      <c r="IV28" s="5" t="str">
        <f t="shared" si="232"/>
        <v/>
      </c>
      <c r="IW28" s="5" t="str">
        <f t="shared" si="76"/>
        <v/>
      </c>
      <c r="IX28" s="5" t="str">
        <f t="shared" si="233"/>
        <v/>
      </c>
      <c r="IY28" s="762" t="str">
        <f t="shared" si="234"/>
        <v/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3.4834115429492432</v>
      </c>
      <c r="C29" s="708">
        <v>1.5411600671560841</v>
      </c>
      <c r="D29" s="709">
        <v>-0.16640041138364078</v>
      </c>
      <c r="E29" s="710">
        <v>-0.27629677922628815</v>
      </c>
      <c r="F29" s="708">
        <v>0.93024162261456744</v>
      </c>
      <c r="G29" s="711">
        <v>0.24147590634387628</v>
      </c>
      <c r="H29" s="710">
        <v>0.314</v>
      </c>
      <c r="I29" s="708">
        <v>0.52</v>
      </c>
      <c r="J29" s="570">
        <v>2.12</v>
      </c>
      <c r="K29" s="865">
        <f>IF($J29="","",IF(IFERROR(INDEX(Settings!$AK$14:$AK$32,MATCH((((ROUND($H29,6)*2)*1000000)+ROUND($I29,6)),Settings!$AI$14:$AI$32,0)),"Undefined")="Undefined","Undefined",IFERROR(INDEX(_xlfn.ANCHORARRAY(Settings!$BC$14),MATCH(IFERROR(INDEX(Settings!$AK$14:$AK$32,MATCH((((ROUND($H29,6)*2)*1000000)+ROUND($I29,6)),Settings!$AI$14:$AI$32,0)),"Undefined"),_xlfn.ANCHORARRAY(Settings!$BC$14),0)),"Inactive")))</f>
        <v>1613</v>
      </c>
      <c r="L29" s="320"/>
      <c r="M29" s="168">
        <f t="shared" si="1"/>
        <v>2.12</v>
      </c>
      <c r="N29" s="632">
        <f t="shared" si="2"/>
        <v>3.4834115429492432</v>
      </c>
      <c r="O29" s="629">
        <f t="shared" si="3"/>
        <v>1.5411600671560841</v>
      </c>
      <c r="P29" s="633">
        <f t="shared" si="4"/>
        <v>-0.16640041138364078</v>
      </c>
      <c r="Q29" s="585">
        <f t="shared" si="113"/>
        <v>23.865957571005271</v>
      </c>
      <c r="R29" s="629">
        <f>IF(M29="","",SQRT(N29^2+O29^2))</f>
        <v>3.8091114882802488</v>
      </c>
      <c r="S29" s="634">
        <f>IF(M29="","",P29)</f>
        <v>-0.16640041138364078</v>
      </c>
      <c r="T29" s="635">
        <f>IF(M29="","",X29*COS(RADIANS(W29)))</f>
        <v>1.5414640462466389</v>
      </c>
      <c r="U29" s="629">
        <f>IF(M29="","",X29*SIN(RADIANS(W29)))</f>
        <v>-3.4832770381176275</v>
      </c>
      <c r="V29" s="636">
        <f>IF(M29="","",Y29)</f>
        <v>-0.16640041138364078</v>
      </c>
      <c r="W29" s="585">
        <f t="shared" si="224"/>
        <v>293.87095757028334</v>
      </c>
      <c r="X29" s="629">
        <f>IF(M29="","",R29)</f>
        <v>3.8091114882802488</v>
      </c>
      <c r="Y29" s="630">
        <f t="shared" si="223"/>
        <v>-0.16640041138364078</v>
      </c>
      <c r="Z29" s="632">
        <f t="shared" si="6"/>
        <v>0.27629677922628815</v>
      </c>
      <c r="AA29" s="629">
        <f t="shared" si="7"/>
        <v>-0.93024162261456744</v>
      </c>
      <c r="AB29" s="629">
        <f t="shared" si="8"/>
        <v>-0.24147590634387628</v>
      </c>
      <c r="AC29" s="636">
        <f>IF(M29="","",SQRT(Z29^2+AA29^2+AB29^2))</f>
        <v>1</v>
      </c>
      <c r="AD29" s="637">
        <f>IF(M29="","",Z29*(1/SQRT(Z29^2+AA29^2+AB29^2)))</f>
        <v>0.27629677922628815</v>
      </c>
      <c r="AE29" s="629">
        <f>IF(M29="","",AA29*(1/SQRT(Z29^2+AA29^2+AB29^2)))</f>
        <v>-0.93024162261456744</v>
      </c>
      <c r="AF29" s="633">
        <f>IF(M29="","",AB29*(1/SQRT(Z29^2+AA29^2+AB29^2)))</f>
        <v>-0.24147590634387628</v>
      </c>
      <c r="AG29" s="602">
        <f>IF(M29="","",DEGREES(ATAN2(-AF29,AE29)))</f>
        <v>-75.448108132281163</v>
      </c>
      <c r="AH29" s="603">
        <f>IF(M29="","",DEGREES(ACOS(AD29)))</f>
        <v>73.960691351664465</v>
      </c>
      <c r="AI29" s="585">
        <f>IF(M29="","",DEGREES(-ACOS(-AF29)))</f>
        <v>-76.026334073430959</v>
      </c>
      <c r="AJ29" s="586">
        <f>IF(M29="","",DEGREES(ATAN2(-AE29,AD29)))</f>
        <v>16.542269485155053</v>
      </c>
      <c r="AK29" s="635">
        <f>IF(M29="","",(COS(RADIANS((90-$Q$8)-W29))*AD29)+(-SIN(RADIANS((90-$Q$8)-W29))*AE29))</f>
        <v>0.96249006626741129</v>
      </c>
      <c r="AL29" s="629">
        <f>IF(M29="","",(SIN(RADIANS((90-$Q$8)-W29))*AD29)+(COS(RADIANS((90-$Q$8)-W29))*AE29))</f>
        <v>-0.12370229986527265</v>
      </c>
      <c r="AM29" s="634">
        <f>IF(M29="","",AF29)</f>
        <v>-0.24147590634387628</v>
      </c>
      <c r="AN29" s="581">
        <f>IF(M29="","",DEGREES(ATAN2(-AM29,AL29)))</f>
        <v>-27.12497204208637</v>
      </c>
      <c r="AO29" s="582">
        <f t="shared" si="94"/>
        <v>15.742646433086161</v>
      </c>
      <c r="AP29" s="585">
        <f>IF(M29="","",DEGREES(ATAN2(AK29,AL29)))</f>
        <v>-7.3236880858501818</v>
      </c>
      <c r="AQ29" s="586">
        <f t="shared" si="9"/>
        <v>0.5984712521913117</v>
      </c>
      <c r="AS29" s="52">
        <f t="shared" si="116"/>
        <v>-66.129042429716662</v>
      </c>
      <c r="AT29" s="72">
        <f t="shared" si="10"/>
        <v>-0.1204739930301722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2.12</v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IFERROR(ROUND(VALUE(IF($IH29&lt;1,$IH29+LARGE((IF($M$9:$M$150="",0,$M$9:$M$150)-MOD(IF($M$9:$M$150="",0,$M$9:$M$150),1)),1),$IH29)),4),"")</f>
        <v/>
      </c>
      <c r="IJ29" s="533">
        <f t="shared" si="112"/>
        <v>1613</v>
      </c>
      <c r="IK29" s="533" t="str">
        <f t="shared" si="66"/>
        <v/>
      </c>
      <c r="IL29" s="727" t="str">
        <f t="shared" si="225"/>
        <v/>
      </c>
      <c r="IM29" s="759"/>
      <c r="IN29" s="5" t="str">
        <f t="shared" si="226"/>
        <v/>
      </c>
      <c r="IO29" s="771"/>
      <c r="IP29" s="9" t="str">
        <f t="shared" si="227"/>
        <v/>
      </c>
      <c r="IQ29" s="5" t="str">
        <f t="shared" si="228"/>
        <v/>
      </c>
      <c r="IR29" s="5" t="str">
        <f t="shared" si="71"/>
        <v/>
      </c>
      <c r="IS29" s="5" t="str">
        <f t="shared" si="229"/>
        <v/>
      </c>
      <c r="IT29" s="727" t="str">
        <f t="shared" si="230"/>
        <v/>
      </c>
      <c r="IU29" s="9" t="str">
        <f t="shared" si="231"/>
        <v/>
      </c>
      <c r="IV29" s="5" t="str">
        <f t="shared" si="232"/>
        <v/>
      </c>
      <c r="IW29" s="5" t="str">
        <f t="shared" si="76"/>
        <v/>
      </c>
      <c r="IX29" s="5" t="str">
        <f t="shared" si="233"/>
        <v/>
      </c>
      <c r="IY29" s="762" t="str">
        <f t="shared" si="234"/>
        <v/>
      </c>
      <c r="JA29" s="470" t="s">
        <v>387</v>
      </c>
      <c r="JB29" s="804" cm="1">
        <f t="array" ref="JB29">IF(AND(ISNUMBER($JA$23)=FALSE),"",SUM(COUNTIFS($IK$9:$IK$150,_xlfn.ANCHORARRAY($JA$23),$II$9:$II$150,"&lt;&gt;"&amp;"",$IK$9:$IK$150,IF(ISNUMBER(_xlfn.ANCHORARRAY($JA$23)),_xlfn.ANCHORARRAY($JA$23),""))))</f>
        <v>23</v>
      </c>
      <c r="JC29" s="468"/>
      <c r="JD29" s="468"/>
      <c r="JE29" s="468"/>
      <c r="JF29" s="468"/>
      <c r="JG29" s="468"/>
      <c r="JH29" s="804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>170</v>
      </c>
      <c r="JI29" s="804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>140</v>
      </c>
    </row>
    <row r="30" spans="1:269" ht="15" customHeight="1" x14ac:dyDescent="0.25">
      <c r="A30" s="79"/>
      <c r="B30" s="707">
        <v>4.1579671967361014</v>
      </c>
      <c r="C30" s="708">
        <v>1.7548513502944636</v>
      </c>
      <c r="D30" s="709">
        <v>-0.4358012238964914</v>
      </c>
      <c r="E30" s="710">
        <v>-0.19045307823629931</v>
      </c>
      <c r="F30" s="708">
        <v>0.96074952538239411</v>
      </c>
      <c r="G30" s="711">
        <v>0.20171260364147431</v>
      </c>
      <c r="H30" s="710">
        <v>0.314</v>
      </c>
      <c r="I30" s="708">
        <v>0.52</v>
      </c>
      <c r="J30" s="570">
        <v>2.1259999999999999</v>
      </c>
      <c r="K30" s="865">
        <f>IF($J30="","",IF(IFERROR(INDEX(Settings!$AK$14:$AK$32,MATCH((((ROUND($H30,6)*2)*1000000)+ROUND($I30,6)),Settings!$AI$14:$AI$32,0)),"Undefined")="Undefined","Undefined",IFERROR(INDEX(_xlfn.ANCHORARRAY(Settings!$BC$14),MATCH(IFERROR(INDEX(Settings!$AK$14:$AK$32,MATCH((((ROUND($H30,6)*2)*1000000)+ROUND($I30,6)),Settings!$AI$14:$AI$32,0)),"Undefined"),_xlfn.ANCHORARRAY(Settings!$BC$14),0)),"Inactive")))</f>
        <v>1613</v>
      </c>
      <c r="L30" s="320"/>
      <c r="M30" s="168">
        <f t="shared" si="1"/>
        <v>2.1259999999999999</v>
      </c>
      <c r="N30" s="632">
        <f t="shared" si="2"/>
        <v>4.1579671967361014</v>
      </c>
      <c r="O30" s="629">
        <f t="shared" si="3"/>
        <v>1.7548513502944636</v>
      </c>
      <c r="P30" s="633">
        <f t="shared" si="4"/>
        <v>-0.4358012238964914</v>
      </c>
      <c r="Q30" s="585">
        <f t="shared" si="113"/>
        <v>22.88195771307727</v>
      </c>
      <c r="R30" s="629">
        <f>IF(M30="","",SQRT(N30^2+O30^2))</f>
        <v>4.5131136115506525</v>
      </c>
      <c r="S30" s="634">
        <f>IF(M30="","",P30)</f>
        <v>-0.4358012238964914</v>
      </c>
      <c r="T30" s="635">
        <f>IF(M30="","",X30*COS(RADIANS(W30)))</f>
        <v>1.7552141946485005</v>
      </c>
      <c r="U30" s="629">
        <f>IF(M30="","",X30*SIN(RADIANS(W30)))</f>
        <v>-4.1578140412563176</v>
      </c>
      <c r="V30" s="636">
        <f>IF(M30="","",Y30)</f>
        <v>-0.4358012238964914</v>
      </c>
      <c r="W30" s="585">
        <f t="shared" si="224"/>
        <v>292.88695771235535</v>
      </c>
      <c r="X30" s="629">
        <f>IF(M30="","",R30)</f>
        <v>4.5131136115506525</v>
      </c>
      <c r="Y30" s="630">
        <f t="shared" si="223"/>
        <v>-0.4358012238964914</v>
      </c>
      <c r="Z30" s="632">
        <f t="shared" si="6"/>
        <v>0.19045307823629931</v>
      </c>
      <c r="AA30" s="629">
        <f t="shared" si="7"/>
        <v>-0.96074952538239411</v>
      </c>
      <c r="AB30" s="629">
        <f t="shared" si="8"/>
        <v>-0.20171260364147431</v>
      </c>
      <c r="AC30" s="636">
        <f>IF(M30="","",SQRT(Z30^2+AA30^2+AB30^2))</f>
        <v>1</v>
      </c>
      <c r="AD30" s="637">
        <f>IF(M30="","",Z30*(1/SQRT(Z30^2+AA30^2+AB30^2)))</f>
        <v>0.19045307823629931</v>
      </c>
      <c r="AE30" s="629">
        <f>IF(M30="","",AA30*(1/SQRT(Z30^2+AA30^2+AB30^2)))</f>
        <v>-0.96074952538239411</v>
      </c>
      <c r="AF30" s="633">
        <f>IF(M30="","",AB30*(1/SQRT(Z30^2+AA30^2+AB30^2)))</f>
        <v>-0.20171260364147431</v>
      </c>
      <c r="AG30" s="602">
        <f>IF(M30="","",DEGREES(ATAN2(-AF30,AE30)))</f>
        <v>-78.142779584799712</v>
      </c>
      <c r="AH30" s="603">
        <f>IF(M30="","",DEGREES(ACOS(AD30)))</f>
        <v>79.020773499571831</v>
      </c>
      <c r="AI30" s="585">
        <f>IF(M30="","",DEGREES(-ACOS(-AF30)))</f>
        <v>-78.362874675102702</v>
      </c>
      <c r="AJ30" s="586">
        <f>IF(M30="","",DEGREES(ATAN2(-AE30,AD30)))</f>
        <v>11.212598657536844</v>
      </c>
      <c r="AK30" s="635">
        <f>IF(M30="","",(COS(RADIANS((90-$Q$8)-W30))*AD30)+(-SIN(RADIANS((90-$Q$8)-W30))*AE30))</f>
        <v>0.95920072591372085</v>
      </c>
      <c r="AL30" s="629">
        <f>IF(M30="","",(SIN(RADIANS((90-$Q$8)-W30))*AD30)+(COS(RADIANS((90-$Q$8)-W30))*AE30))</f>
        <v>-0.19810601439322489</v>
      </c>
      <c r="AM30" s="634">
        <f>IF(M30="","",AF30)</f>
        <v>-0.20171260364147431</v>
      </c>
      <c r="AN30" s="581">
        <f>IF(M30="","",DEGREES(ATAN2(-AM30,AL30)))</f>
        <v>-44.483173798200951</v>
      </c>
      <c r="AO30" s="582">
        <f>IF(ROUND(IF(M30="",0,DEGREES(ACOS(AK30))),4)=90,0,IF(M30="","",DEGREES(ACOS(AK30))))</f>
        <v>16.422965996855634</v>
      </c>
      <c r="AP30" s="585">
        <f>IF(M30="","",DEGREES(ATAN2(AK30,AL30)))</f>
        <v>-11.669359055540427</v>
      </c>
      <c r="AQ30" s="586">
        <f t="shared" si="9"/>
        <v>0.50512080263184478</v>
      </c>
      <c r="AS30" s="52">
        <f t="shared" si="116"/>
        <v>-67.113042287644646</v>
      </c>
      <c r="AT30" s="72">
        <f t="shared" si="10"/>
        <v>-0.38919147230835061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2.1259999999999999</v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IFERROR(ROUND(VALUE(IF($IH30&lt;1,$IH30+LARGE((IF($M$9:$M$150="",0,$M$9:$M$150)-MOD(IF($M$9:$M$150="",0,$M$9:$M$150),1)),1),$IH30)),4),"")</f>
        <v/>
      </c>
      <c r="IJ30" s="533">
        <f t="shared" si="112"/>
        <v>1613</v>
      </c>
      <c r="IK30" s="533" t="str">
        <f t="shared" si="66"/>
        <v/>
      </c>
      <c r="IL30" s="727" t="str">
        <f t="shared" si="225"/>
        <v/>
      </c>
      <c r="IM30" s="759"/>
      <c r="IN30" s="5" t="str">
        <f t="shared" si="226"/>
        <v/>
      </c>
      <c r="IO30" s="771"/>
      <c r="IP30" s="9" t="str">
        <f t="shared" si="227"/>
        <v/>
      </c>
      <c r="IQ30" s="5" t="str">
        <f t="shared" si="228"/>
        <v/>
      </c>
      <c r="IR30" s="5" t="str">
        <f t="shared" si="71"/>
        <v/>
      </c>
      <c r="IS30" s="5" t="str">
        <f t="shared" si="229"/>
        <v/>
      </c>
      <c r="IT30" s="727" t="str">
        <f t="shared" si="230"/>
        <v/>
      </c>
      <c r="IU30" s="9" t="str">
        <f t="shared" si="231"/>
        <v/>
      </c>
      <c r="IV30" s="5" t="str">
        <f t="shared" si="232"/>
        <v/>
      </c>
      <c r="IW30" s="5" t="str">
        <f t="shared" si="76"/>
        <v/>
      </c>
      <c r="IX30" s="5" t="str">
        <f t="shared" si="233"/>
        <v/>
      </c>
      <c r="IY30" s="762" t="str">
        <f t="shared" si="234"/>
        <v/>
      </c>
      <c r="JA30" s="31" t="s">
        <v>331</v>
      </c>
      <c r="JB30" s="804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>11</v>
      </c>
      <c r="JH30" s="804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>360</v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707">
        <v>4.7346780602572656</v>
      </c>
      <c r="C31" s="708">
        <v>1.908125503748882</v>
      </c>
      <c r="D31" s="709">
        <v>-0.90270263207113921</v>
      </c>
      <c r="E31" s="710">
        <v>-0.1017229654746146</v>
      </c>
      <c r="F31" s="708">
        <v>0.97926784669286904</v>
      </c>
      <c r="G31" s="711">
        <v>0.17517683273926901</v>
      </c>
      <c r="H31" s="710">
        <v>0.314</v>
      </c>
      <c r="I31" s="708">
        <v>0.52</v>
      </c>
      <c r="J31" s="570">
        <v>2.1320000000000001</v>
      </c>
      <c r="K31" s="865">
        <f>IF($J31="","",IF(IFERROR(INDEX(Settings!$AK$14:$AK$32,MATCH((((ROUND($H31,6)*2)*1000000)+ROUND($I31,6)),Settings!$AI$14:$AI$32,0)),"Undefined")="Undefined","Undefined",IFERROR(INDEX(_xlfn.ANCHORARRAY(Settings!$BC$14),MATCH(IFERROR(INDEX(Settings!$AK$14:$AK$32,MATCH((((ROUND($H31,6)*2)*1000000)+ROUND($I31,6)),Settings!$AI$14:$AI$32,0)),"Undefined"),_xlfn.ANCHORARRAY(Settings!$BC$14),0)),"Inactive")))</f>
        <v>1613</v>
      </c>
      <c r="L31" s="320"/>
      <c r="M31" s="168">
        <f t="shared" si="1"/>
        <v>2.1320000000000001</v>
      </c>
      <c r="N31" s="632">
        <f t="shared" si="2"/>
        <v>4.7346780602572656</v>
      </c>
      <c r="O31" s="629">
        <f t="shared" si="3"/>
        <v>1.908125503748882</v>
      </c>
      <c r="P31" s="633">
        <f t="shared" si="4"/>
        <v>-0.90270263207113921</v>
      </c>
      <c r="Q31" s="585">
        <f t="shared" si="113"/>
        <v>21.9499578476414</v>
      </c>
      <c r="R31" s="629">
        <f>IF(M31="","",SQRT(N31^2+O31^2))</f>
        <v>5.1047153958216347</v>
      </c>
      <c r="S31" s="634">
        <f>IF(M31="","",P31)</f>
        <v>-0.90270263207113921</v>
      </c>
      <c r="T31" s="635">
        <f>IF(M31="","",X31*COS(RADIANS(W31)))</f>
        <v>1.9085386750289648</v>
      </c>
      <c r="U31" s="629">
        <f>IF(M31="","",X31*SIN(RADIANS(W31)))</f>
        <v>-4.7345115268902989</v>
      </c>
      <c r="V31" s="636">
        <f>IF(M31="","",Y31)</f>
        <v>-0.90270263207113921</v>
      </c>
      <c r="W31" s="585">
        <f t="shared" si="224"/>
        <v>291.95495784691946</v>
      </c>
      <c r="X31" s="629">
        <f>IF(M31="","",R31)</f>
        <v>5.1047153958216347</v>
      </c>
      <c r="Y31" s="630">
        <f t="shared" si="223"/>
        <v>-0.90270263207113921</v>
      </c>
      <c r="Z31" s="632">
        <f t="shared" si="6"/>
        <v>0.1017229654746146</v>
      </c>
      <c r="AA31" s="629">
        <f t="shared" si="7"/>
        <v>-0.97926784669286904</v>
      </c>
      <c r="AB31" s="629">
        <f t="shared" si="8"/>
        <v>-0.17517683273926901</v>
      </c>
      <c r="AC31" s="636">
        <f>IF(M31="","",SQRT(Z31^2+AA31^2+AB31^2))</f>
        <v>1</v>
      </c>
      <c r="AD31" s="637">
        <f>IF(M31="","",Z31*(1/SQRT(Z31^2+AA31^2+AB31^2)))</f>
        <v>0.1017229654746146</v>
      </c>
      <c r="AE31" s="629">
        <f>IF(M31="","",AA31*(1/SQRT(Z31^2+AA31^2+AB31^2)))</f>
        <v>-0.97926784669286904</v>
      </c>
      <c r="AF31" s="633">
        <f>IF(M31="","",AB31*(1/SQRT(Z31^2+AA31^2+AB31^2)))</f>
        <v>-0.17517683273926901</v>
      </c>
      <c r="AG31" s="602">
        <f>IF(M31="","",DEGREES(ATAN2(-AF31,AE31)))</f>
        <v>-79.857889598791118</v>
      </c>
      <c r="AH31" s="603">
        <f>IF(M31="","",DEGREES(ACOS(AD31)))</f>
        <v>84.161604861741552</v>
      </c>
      <c r="AI31" s="585">
        <f>IF(M31="","",DEGREES(-ACOS(-AF31)))</f>
        <v>-79.911051158652128</v>
      </c>
      <c r="AJ31" s="586">
        <f>IF(M31="","",DEGREES(ATAN2(-AE31,AD31)))</f>
        <v>5.9304185333732775</v>
      </c>
      <c r="AK31" s="635">
        <f>IF(M31="","",(COS(RADIANS((90-$Q$8)-W31))*AD31)+(-SIN(RADIANS((90-$Q$8)-W31))*AE31))</f>
        <v>0.94630509225748227</v>
      </c>
      <c r="AL31" s="629">
        <f>IF(M31="","",(SIN(RADIANS((90-$Q$8)-W31))*AD31)+(COS(RADIANS((90-$Q$8)-W31))*AE31))</f>
        <v>-0.27169790142545469</v>
      </c>
      <c r="AM31" s="634">
        <f>IF(M31="","",AF31)</f>
        <v>-0.17517683273926901</v>
      </c>
      <c r="AN31" s="581">
        <f>IF(M31="","",DEGREES(ATAN2(-AM31,AL31)))</f>
        <v>-57.18815865266545</v>
      </c>
      <c r="AO31" s="582">
        <f t="shared" si="94"/>
        <v>18.86109410766278</v>
      </c>
      <c r="AP31" s="585">
        <f>IF(M31="","",DEGREES(ATAN2(AK31,AL31)))</f>
        <v>-16.019539314268108</v>
      </c>
      <c r="AQ31" s="586">
        <f t="shared" si="9"/>
        <v>0.44658326451444652</v>
      </c>
      <c r="AS31" s="52">
        <f t="shared" si="116"/>
        <v>-68.045042153080544</v>
      </c>
      <c r="AT31" s="72">
        <f t="shared" si="10"/>
        <v>-0.85544565835422348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2.1320000000000001</v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IFERROR(ROUND(VALUE(IF($IH31&lt;1,$IH31+LARGE((IF($M$9:$M$150="",0,$M$9:$M$150)-MOD(IF($M$9:$M$150="",0,$M$9:$M$150),1)),1),$IH31)),4),"")</f>
        <v/>
      </c>
      <c r="IJ31" s="533">
        <f t="shared" si="112"/>
        <v>1613</v>
      </c>
      <c r="IK31" s="533" t="str">
        <f t="shared" si="66"/>
        <v/>
      </c>
      <c r="IL31" s="727" t="str">
        <f t="shared" si="225"/>
        <v/>
      </c>
      <c r="IM31" s="759"/>
      <c r="IN31" s="5" t="str">
        <f t="shared" si="226"/>
        <v/>
      </c>
      <c r="IO31" s="771"/>
      <c r="IP31" s="9" t="str">
        <f t="shared" si="227"/>
        <v/>
      </c>
      <c r="IQ31" s="5" t="str">
        <f t="shared" si="228"/>
        <v/>
      </c>
      <c r="IR31" s="5" t="str">
        <f t="shared" si="71"/>
        <v/>
      </c>
      <c r="IS31" s="5" t="str">
        <f t="shared" si="229"/>
        <v/>
      </c>
      <c r="IT31" s="727" t="str">
        <f t="shared" si="230"/>
        <v/>
      </c>
      <c r="IU31" s="9" t="str">
        <f t="shared" si="231"/>
        <v/>
      </c>
      <c r="IV31" s="5" t="str">
        <f t="shared" si="232"/>
        <v/>
      </c>
      <c r="IW31" s="5" t="str">
        <f t="shared" si="76"/>
        <v/>
      </c>
      <c r="IX31" s="5" t="str">
        <f t="shared" si="233"/>
        <v/>
      </c>
      <c r="IY31" s="762" t="str">
        <f t="shared" si="234"/>
        <v/>
      </c>
    </row>
    <row r="32" spans="1:269" ht="15" customHeight="1" x14ac:dyDescent="0.25">
      <c r="A32" s="79"/>
      <c r="B32" s="707">
        <v>5.1547198220027184</v>
      </c>
      <c r="C32" s="708">
        <v>2.0033137875755767</v>
      </c>
      <c r="D32" s="709">
        <v>-1.5248045083303967</v>
      </c>
      <c r="E32" s="710">
        <v>-3.808079931116521E-2</v>
      </c>
      <c r="F32" s="708">
        <v>0.99198475132401431</v>
      </c>
      <c r="G32" s="711">
        <v>0.12048280318973502</v>
      </c>
      <c r="H32" s="710">
        <v>0.314</v>
      </c>
      <c r="I32" s="708">
        <v>0.52</v>
      </c>
      <c r="J32" s="570">
        <v>2.1379999999999999</v>
      </c>
      <c r="K32" s="865">
        <f>IF($J32="","",IF(IFERROR(INDEX(Settings!$AK$14:$AK$32,MATCH((((ROUND($H32,6)*2)*1000000)+ROUND($I32,6)),Settings!$AI$14:$AI$32,0)),"Undefined")="Undefined","Undefined",IFERROR(INDEX(_xlfn.ANCHORARRAY(Settings!$BC$14),MATCH(IFERROR(INDEX(Settings!$AK$14:$AK$32,MATCH((((ROUND($H32,6)*2)*1000000)+ROUND($I32,6)),Settings!$AI$14:$AI$32,0)),"Undefined"),_xlfn.ANCHORARRAY(Settings!$BC$14),0)),"Inactive")))</f>
        <v>1613</v>
      </c>
      <c r="L32" s="320"/>
      <c r="M32" s="168">
        <f t="shared" si="1"/>
        <v>2.1379999999999999</v>
      </c>
      <c r="N32" s="632">
        <f t="shared" si="2"/>
        <v>5.1547198220027184</v>
      </c>
      <c r="O32" s="629">
        <f t="shared" si="3"/>
        <v>2.0033137875755767</v>
      </c>
      <c r="P32" s="633">
        <f t="shared" si="4"/>
        <v>-1.5248045083303967</v>
      </c>
      <c r="Q32" s="585">
        <f t="shared" si="113"/>
        <v>21.237957950441473</v>
      </c>
      <c r="R32" s="629">
        <f t="shared" si="79"/>
        <v>5.5303166794351064</v>
      </c>
      <c r="S32" s="634">
        <f t="shared" si="80"/>
        <v>-1.5248045083303967</v>
      </c>
      <c r="T32" s="635">
        <f t="shared" si="81"/>
        <v>2.0037636140465631</v>
      </c>
      <c r="U32" s="629">
        <f t="shared" si="82"/>
        <v>-5.1545449802927514</v>
      </c>
      <c r="V32" s="636">
        <f t="shared" si="114"/>
        <v>-1.5248045083303967</v>
      </c>
      <c r="W32" s="585">
        <f t="shared" si="224"/>
        <v>291.24295794971954</v>
      </c>
      <c r="X32" s="629">
        <f t="shared" si="83"/>
        <v>5.5303166794351064</v>
      </c>
      <c r="Y32" s="630">
        <f t="shared" si="223"/>
        <v>-1.5248045083303967</v>
      </c>
      <c r="Z32" s="632">
        <f t="shared" si="6"/>
        <v>3.808079931116521E-2</v>
      </c>
      <c r="AA32" s="629">
        <f t="shared" si="7"/>
        <v>-0.99198475132401431</v>
      </c>
      <c r="AB32" s="629">
        <f t="shared" si="8"/>
        <v>-0.12048280318973502</v>
      </c>
      <c r="AC32" s="636">
        <f t="shared" si="84"/>
        <v>1</v>
      </c>
      <c r="AD32" s="637">
        <f t="shared" si="115"/>
        <v>3.808079931116521E-2</v>
      </c>
      <c r="AE32" s="629">
        <f t="shared" si="85"/>
        <v>-0.99198475132401431</v>
      </c>
      <c r="AF32" s="633">
        <f t="shared" si="86"/>
        <v>-0.12048280318973502</v>
      </c>
      <c r="AG32" s="602">
        <f t="shared" si="87"/>
        <v>-83.074985124662149</v>
      </c>
      <c r="AH32" s="603">
        <f t="shared" si="88"/>
        <v>87.817603235980684</v>
      </c>
      <c r="AI32" s="585">
        <f t="shared" si="89"/>
        <v>-83.080032667641547</v>
      </c>
      <c r="AJ32" s="586">
        <f t="shared" si="90"/>
        <v>2.1984191139602469</v>
      </c>
      <c r="AK32" s="635">
        <f t="shared" si="211"/>
        <v>0.93840760880376739</v>
      </c>
      <c r="AL32" s="629">
        <f t="shared" si="91"/>
        <v>-0.32384418147426858</v>
      </c>
      <c r="AM32" s="634">
        <f t="shared" si="92"/>
        <v>-0.12048280318973502</v>
      </c>
      <c r="AN32" s="581">
        <f t="shared" si="93"/>
        <v>-69.592814673283286</v>
      </c>
      <c r="AO32" s="582">
        <f t="shared" si="94"/>
        <v>20.214168087889522</v>
      </c>
      <c r="AP32" s="585">
        <f t="shared" si="95"/>
        <v>-19.039538836481228</v>
      </c>
      <c r="AQ32" s="586">
        <f t="shared" si="9"/>
        <v>0.41221641183986191</v>
      </c>
      <c r="AS32" s="52">
        <f t="shared" si="116"/>
        <v>-68.757042050280461</v>
      </c>
      <c r="AT32" s="72">
        <f t="shared" si="10"/>
        <v>-1.4770530902404255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2.1379999999999999</v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IFERROR(ROUND(VALUE(IF($IH32&lt;1,$IH32+LARGE((IF($M$9:$M$150="",0,$M$9:$M$150)-MOD(IF($M$9:$M$150="",0,$M$9:$M$150),1)),1),$IH32)),4),"")</f>
        <v/>
      </c>
      <c r="IJ32" s="533">
        <f t="shared" si="112"/>
        <v>1613</v>
      </c>
      <c r="IK32" s="533" t="str">
        <f t="shared" si="66"/>
        <v/>
      </c>
      <c r="IL32" s="727" t="str">
        <f t="shared" si="225"/>
        <v/>
      </c>
      <c r="IM32" s="759"/>
      <c r="IN32" s="5" t="str">
        <f t="shared" si="226"/>
        <v/>
      </c>
      <c r="IO32" s="771"/>
      <c r="IP32" s="9" t="str">
        <f t="shared" si="227"/>
        <v/>
      </c>
      <c r="IQ32" s="5" t="str">
        <f t="shared" si="228"/>
        <v/>
      </c>
      <c r="IR32" s="5" t="str">
        <f t="shared" si="71"/>
        <v/>
      </c>
      <c r="IS32" s="5" t="str">
        <f t="shared" si="229"/>
        <v/>
      </c>
      <c r="IT32" s="727" t="str">
        <f t="shared" si="230"/>
        <v/>
      </c>
      <c r="IU32" s="9" t="str">
        <f t="shared" si="231"/>
        <v/>
      </c>
      <c r="IV32" s="5" t="str">
        <f t="shared" si="232"/>
        <v/>
      </c>
      <c r="IW32" s="5" t="str">
        <f t="shared" si="76"/>
        <v/>
      </c>
      <c r="IX32" s="5" t="str">
        <f t="shared" si="233"/>
        <v/>
      </c>
      <c r="IY32" s="762" t="str">
        <f t="shared" si="234"/>
        <v/>
      </c>
    </row>
    <row r="33" spans="1:267" ht="15" customHeight="1" x14ac:dyDescent="0.25">
      <c r="A33" s="79"/>
      <c r="B33" s="707">
        <v>5.3794981123286041</v>
      </c>
      <c r="C33" s="708">
        <v>2.0487412959081768</v>
      </c>
      <c r="D33" s="709">
        <v>-2.2443066783489427</v>
      </c>
      <c r="E33" s="710">
        <v>6.0327353768099931E-2</v>
      </c>
      <c r="F33" s="708">
        <v>0.99327918041624774</v>
      </c>
      <c r="G33" s="711">
        <v>9.8777933461707698E-2</v>
      </c>
      <c r="H33" s="710">
        <v>0.314</v>
      </c>
      <c r="I33" s="708">
        <v>0.52</v>
      </c>
      <c r="J33" s="570">
        <v>2.1440000000000001</v>
      </c>
      <c r="K33" s="865">
        <f>IF($J33="","",IF(IFERROR(INDEX(Settings!$AK$14:$AK$32,MATCH((((ROUND($H33,6)*2)*1000000)+ROUND($I33,6)),Settings!$AI$14:$AI$32,0)),"Undefined")="Undefined","Undefined",IFERROR(INDEX(_xlfn.ANCHORARRAY(Settings!$BC$14),MATCH(IFERROR(INDEX(Settings!$AK$14:$AK$32,MATCH((((ROUND($H33,6)*2)*1000000)+ROUND($I33,6)),Settings!$AI$14:$AI$32,0)),"Undefined"),_xlfn.ANCHORARRAY(Settings!$BC$14),0)),"Inactive")))</f>
        <v>1613</v>
      </c>
      <c r="L33" s="320"/>
      <c r="M33" s="168">
        <f t="shared" si="1"/>
        <v>2.1440000000000001</v>
      </c>
      <c r="N33" s="632">
        <f t="shared" si="2"/>
        <v>5.3794981123286041</v>
      </c>
      <c r="O33" s="629">
        <f t="shared" si="3"/>
        <v>2.0487412959081768</v>
      </c>
      <c r="P33" s="633">
        <f t="shared" si="4"/>
        <v>-2.2443066783489427</v>
      </c>
      <c r="Q33" s="585">
        <f t="shared" si="113"/>
        <v>20.848958006606111</v>
      </c>
      <c r="R33" s="629">
        <f t="shared" si="79"/>
        <v>5.7564173613547629</v>
      </c>
      <c r="S33" s="634">
        <f t="shared" si="80"/>
        <v>-2.2443066783489427</v>
      </c>
      <c r="T33" s="635">
        <f t="shared" si="81"/>
        <v>2.0492107378095965</v>
      </c>
      <c r="U33" s="629">
        <f t="shared" si="82"/>
        <v>-5.3793193054653647</v>
      </c>
      <c r="V33" s="636">
        <f t="shared" si="114"/>
        <v>-2.2443066783489427</v>
      </c>
      <c r="W33" s="585">
        <f t="shared" si="224"/>
        <v>290.85395800588418</v>
      </c>
      <c r="X33" s="629">
        <f t="shared" si="83"/>
        <v>5.7564173613547629</v>
      </c>
      <c r="Y33" s="630">
        <f t="shared" si="223"/>
        <v>-2.2443066783489427</v>
      </c>
      <c r="Z33" s="632">
        <f t="shared" si="6"/>
        <v>-6.0327353768099931E-2</v>
      </c>
      <c r="AA33" s="629">
        <f t="shared" si="7"/>
        <v>-0.99327918041624774</v>
      </c>
      <c r="AB33" s="629">
        <f t="shared" si="8"/>
        <v>-9.8777933461707698E-2</v>
      </c>
      <c r="AC33" s="636">
        <f t="shared" si="84"/>
        <v>1</v>
      </c>
      <c r="AD33" s="637">
        <f t="shared" si="115"/>
        <v>-6.0327353768099931E-2</v>
      </c>
      <c r="AE33" s="629">
        <f t="shared" si="85"/>
        <v>-0.99327918041624774</v>
      </c>
      <c r="AF33" s="633">
        <f t="shared" si="86"/>
        <v>-9.8777933461707698E-2</v>
      </c>
      <c r="AG33" s="602">
        <f t="shared" si="87"/>
        <v>-84.320819485742206</v>
      </c>
      <c r="AH33" s="603">
        <f t="shared" si="88"/>
        <v>93.458602794579164</v>
      </c>
      <c r="AI33" s="585">
        <f t="shared" si="89"/>
        <v>-84.331197196559444</v>
      </c>
      <c r="AJ33" s="586">
        <f t="shared" si="90"/>
        <v>-3.4756210406794605</v>
      </c>
      <c r="AK33" s="635">
        <f t="shared" si="211"/>
        <v>0.90677030650510049</v>
      </c>
      <c r="AL33" s="629">
        <f t="shared" si="91"/>
        <v>-0.40989087706568988</v>
      </c>
      <c r="AM33" s="634">
        <f t="shared" si="92"/>
        <v>-9.8777933461707698E-2</v>
      </c>
      <c r="AN33" s="581">
        <f t="shared" si="93"/>
        <v>-76.450865744065638</v>
      </c>
      <c r="AO33" s="582">
        <f t="shared" si="94"/>
        <v>24.937220909829371</v>
      </c>
      <c r="AP33" s="585">
        <f t="shared" si="95"/>
        <v>-24.324579047285564</v>
      </c>
      <c r="AQ33" s="586">
        <f t="shared" si="9"/>
        <v>0.39602589318735709</v>
      </c>
      <c r="AS33" s="52">
        <f t="shared" si="116"/>
        <v>-69.146041994115819</v>
      </c>
      <c r="AT33" s="72">
        <f t="shared" si="10"/>
        <v>-2.1962851214090859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2.1440000000000001</v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IFERROR(ROUND(VALUE(IF($IH33&lt;1,$IH33+LARGE((IF($M$9:$M$150="",0,$M$9:$M$150)-MOD(IF($M$9:$M$150="",0,$M$9:$M$150),1)),1),$IH33)),4),"")</f>
        <v/>
      </c>
      <c r="IJ33" s="533">
        <f t="shared" si="112"/>
        <v>1613</v>
      </c>
      <c r="IK33" s="533" t="str">
        <f t="shared" si="66"/>
        <v/>
      </c>
      <c r="IL33" s="727" t="str">
        <f t="shared" si="225"/>
        <v/>
      </c>
      <c r="IM33" s="759"/>
      <c r="IN33" s="5" t="str">
        <f t="shared" si="226"/>
        <v/>
      </c>
      <c r="IO33" s="771"/>
      <c r="IP33" s="9" t="str">
        <f t="shared" si="227"/>
        <v/>
      </c>
      <c r="IQ33" s="5" t="str">
        <f t="shared" si="228"/>
        <v/>
      </c>
      <c r="IR33" s="5" t="str">
        <f t="shared" si="71"/>
        <v/>
      </c>
      <c r="IS33" s="5" t="str">
        <f t="shared" si="229"/>
        <v/>
      </c>
      <c r="IT33" s="727" t="str">
        <f t="shared" si="230"/>
        <v/>
      </c>
      <c r="IU33" s="9" t="str">
        <f t="shared" si="231"/>
        <v/>
      </c>
      <c r="IV33" s="5" t="str">
        <f t="shared" si="232"/>
        <v/>
      </c>
      <c r="IW33" s="5" t="str">
        <f t="shared" si="76"/>
        <v/>
      </c>
      <c r="IX33" s="5" t="str">
        <f t="shared" si="233"/>
        <v/>
      </c>
      <c r="IY33" s="762" t="str">
        <f t="shared" si="234"/>
        <v/>
      </c>
    </row>
    <row r="34" spans="1:267" ht="15" customHeight="1" x14ac:dyDescent="0.25">
      <c r="A34" s="79"/>
      <c r="B34" s="707">
        <v>5.4780028251527977</v>
      </c>
      <c r="C34" s="708">
        <v>2.0673383488824073</v>
      </c>
      <c r="D34" s="709">
        <v>-2.9931089367365522</v>
      </c>
      <c r="E34" s="710">
        <v>0.1688829028883336</v>
      </c>
      <c r="F34" s="708">
        <v>0.98393140480715813</v>
      </c>
      <c r="G34" s="711">
        <v>5.7944419457113976E-2</v>
      </c>
      <c r="H34" s="710">
        <v>0.314</v>
      </c>
      <c r="I34" s="708">
        <v>0.52</v>
      </c>
      <c r="J34" s="570">
        <v>2.15</v>
      </c>
      <c r="K34" s="865">
        <f>IF($J34="","",IF(IFERROR(INDEX(Settings!$AK$14:$AK$32,MATCH((((ROUND($H34,6)*2)*1000000)+ROUND($I34,6)),Settings!$AI$14:$AI$32,0)),"Undefined")="Undefined","Undefined",IFERROR(INDEX(_xlfn.ANCHORARRAY(Settings!$BC$14),MATCH(IFERROR(INDEX(Settings!$AK$14:$AK$32,MATCH((((ROUND($H34,6)*2)*1000000)+ROUND($I34,6)),Settings!$AI$14:$AI$32,0)),"Undefined"),_xlfn.ANCHORARRAY(Settings!$BC$14),0)),"Inactive")))</f>
        <v>1613</v>
      </c>
      <c r="L34" s="320"/>
      <c r="M34" s="168">
        <f t="shared" si="1"/>
        <v>2.15</v>
      </c>
      <c r="N34" s="632">
        <f t="shared" si="2"/>
        <v>5.4780028251527977</v>
      </c>
      <c r="O34" s="629">
        <f t="shared" si="3"/>
        <v>2.0673383488824073</v>
      </c>
      <c r="P34" s="633">
        <f t="shared" si="4"/>
        <v>-2.9931089367365522</v>
      </c>
      <c r="Q34" s="585">
        <f t="shared" si="113"/>
        <v>20.675958031584212</v>
      </c>
      <c r="R34" s="629">
        <f>IF(M34="","",SQRT(N34^2+O34^2))</f>
        <v>5.8551176590348613</v>
      </c>
      <c r="S34" s="634">
        <f>IF(M34="","",P34)</f>
        <v>-2.9931089367365522</v>
      </c>
      <c r="T34" s="635">
        <f>IF(M34="","",X34*COS(RADIANS(W34)))</f>
        <v>2.0678163868696049</v>
      </c>
      <c r="U34" s="629">
        <f>IF(M34="","",X34*SIN(RADIANS(W34)))</f>
        <v>-5.4778223950156884</v>
      </c>
      <c r="V34" s="636">
        <f>IF(M34="","",Y34)</f>
        <v>-2.9931089367365522</v>
      </c>
      <c r="W34" s="585">
        <f t="shared" si="224"/>
        <v>290.68095803086231</v>
      </c>
      <c r="X34" s="629">
        <f>IF(M34="","",R34)</f>
        <v>5.8551176590348613</v>
      </c>
      <c r="Y34" s="630">
        <f t="shared" si="223"/>
        <v>-2.9931089367365522</v>
      </c>
      <c r="Z34" s="632">
        <f t="shared" si="6"/>
        <v>-0.1688829028883336</v>
      </c>
      <c r="AA34" s="629">
        <f t="shared" si="7"/>
        <v>-0.98393140480715813</v>
      </c>
      <c r="AB34" s="629">
        <f t="shared" si="8"/>
        <v>-5.7944419457113976E-2</v>
      </c>
      <c r="AC34" s="636">
        <f>IF(M34="","",SQRT(Z34^2+AA34^2+AB34^2))</f>
        <v>1</v>
      </c>
      <c r="AD34" s="637">
        <f>IF(M34="","",Z34*(1/SQRT(Z34^2+AA34^2+AB34^2)))</f>
        <v>-0.1688829028883336</v>
      </c>
      <c r="AE34" s="629">
        <f>IF(M34="","",AA34*(1/SQRT(Z34^2+AA34^2+AB34^2)))</f>
        <v>-0.98393140480715813</v>
      </c>
      <c r="AF34" s="633">
        <f>IF(M34="","",AB34*(1/SQRT(Z34^2+AA34^2+AB34^2)))</f>
        <v>-5.7944419457113976E-2</v>
      </c>
      <c r="AG34" s="602">
        <f>IF(M34="","",DEGREES(ATAN2(-AF34,AE34)))</f>
        <v>-86.629703435147945</v>
      </c>
      <c r="AH34" s="603">
        <f>IF(M34="","",DEGREES(ACOS(AD34)))</f>
        <v>99.72287502911071</v>
      </c>
      <c r="AI34" s="585">
        <f>IF(M34="","",DEGREES(-ACOS(-AF34)))</f>
        <v>-86.67816867504537</v>
      </c>
      <c r="AJ34" s="586">
        <f>IF(M34="","",DEGREES(ATAN2(-AE34,AD34)))</f>
        <v>-9.7393981085670749</v>
      </c>
      <c r="AK34" s="635">
        <f>IF(M34="","",(COS(RADIANS((90-$Q$8)-W34))*AD34)+(-SIN(RADIANS((90-$Q$8)-W34))*AE34))</f>
        <v>0.86092905509766549</v>
      </c>
      <c r="AL34" s="629">
        <f>IF(M34="","",(SIN(RADIANS((90-$Q$8)-W34))*AD34)+(COS(RADIANS((90-$Q$8)-W34))*AE34))</f>
        <v>-0.50541429178686548</v>
      </c>
      <c r="AM34" s="634">
        <f>IF(M34="","",AF34)</f>
        <v>-5.7944419457113976E-2</v>
      </c>
      <c r="AN34" s="581">
        <f>IF(M34="","",DEGREES(ATAN2(-AM34,AL34)))</f>
        <v>-83.459744878346697</v>
      </c>
      <c r="AO34" s="582">
        <f t="shared" si="94"/>
        <v>30.578942280356578</v>
      </c>
      <c r="AP34" s="585">
        <f>IF(M34="","",DEGREES(ATAN2(AK34,AL34)))</f>
        <v>-30.415356140151275</v>
      </c>
      <c r="AQ34" s="586">
        <f t="shared" si="9"/>
        <v>0.38935025280170976</v>
      </c>
      <c r="AS34" s="52">
        <f t="shared" si="116"/>
        <v>-69.319041969137686</v>
      </c>
      <c r="AT34" s="72">
        <f t="shared" si="10"/>
        <v>-2.9449672409251524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2.15</v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IFERROR(ROUND(VALUE(IF($IH34&lt;1,$IH34+LARGE((IF($M$9:$M$150="",0,$M$9:$M$150)-MOD(IF($M$9:$M$150="",0,$M$9:$M$150),1)),1),$IH34)),4),"")</f>
        <v/>
      </c>
      <c r="IJ34" s="533">
        <f t="shared" si="112"/>
        <v>1613</v>
      </c>
      <c r="IK34" s="533" t="str">
        <f t="shared" si="66"/>
        <v/>
      </c>
      <c r="IL34" s="727" t="str">
        <f t="shared" si="225"/>
        <v/>
      </c>
      <c r="IM34" s="759"/>
      <c r="IN34" s="5" t="str">
        <f t="shared" si="226"/>
        <v/>
      </c>
      <c r="IO34" s="771"/>
      <c r="IP34" s="9" t="str">
        <f t="shared" si="227"/>
        <v/>
      </c>
      <c r="IQ34" s="5" t="str">
        <f t="shared" si="228"/>
        <v/>
      </c>
      <c r="IR34" s="5" t="str">
        <f t="shared" si="71"/>
        <v/>
      </c>
      <c r="IS34" s="5" t="str">
        <f t="shared" si="229"/>
        <v/>
      </c>
      <c r="IT34" s="727" t="str">
        <f t="shared" si="230"/>
        <v/>
      </c>
      <c r="IU34" s="9" t="str">
        <f t="shared" si="231"/>
        <v/>
      </c>
      <c r="IV34" s="5" t="str">
        <f t="shared" si="232"/>
        <v/>
      </c>
      <c r="IW34" s="5" t="str">
        <f t="shared" si="76"/>
        <v/>
      </c>
      <c r="IX34" s="5" t="str">
        <f t="shared" si="233"/>
        <v/>
      </c>
      <c r="IY34" s="762" t="str">
        <f t="shared" si="234"/>
        <v/>
      </c>
      <c r="JG34" s="470"/>
    </row>
    <row r="35" spans="1:267" ht="15" customHeight="1" x14ac:dyDescent="0.25">
      <c r="A35" s="79"/>
      <c r="B35" s="707">
        <v>5.5626829016847914</v>
      </c>
      <c r="C35" s="708">
        <v>2.0827855912698268</v>
      </c>
      <c r="D35" s="709">
        <v>-3.7174111212319412</v>
      </c>
      <c r="E35" s="710">
        <v>0.24992437092290612</v>
      </c>
      <c r="F35" s="708">
        <v>0.96826536074506597</v>
      </c>
      <c r="G35" s="711">
        <v>1.3008419215060828E-7</v>
      </c>
      <c r="H35" s="710">
        <v>0.26600000000000001</v>
      </c>
      <c r="I35" s="708">
        <v>0.52</v>
      </c>
      <c r="J35" s="570">
        <v>2.1560000000000001</v>
      </c>
      <c r="K35" s="865">
        <f>IF($J35="","",IF(IFERROR(INDEX(Settings!$AK$14:$AK$32,MATCH((((ROUND($H35,6)*2)*1000000)+ROUND($I35,6)),Settings!$AI$14:$AI$32,0)),"Undefined")="Undefined","Undefined",IFERROR(INDEX(_xlfn.ANCHORARRAY(Settings!$BC$14),MATCH(IFERROR(INDEX(Settings!$AK$14:$AK$32,MATCH((((ROUND($H35,6)*2)*1000000)+ROUND($I35,6)),Settings!$AI$14:$AI$32,0)),"Undefined"),_xlfn.ANCHORARRAY(Settings!$BC$14),0)),"Inactive")))</f>
        <v>1313</v>
      </c>
      <c r="L35" s="320"/>
      <c r="M35" s="168">
        <f t="shared" si="1"/>
        <v>2.1560000000000001</v>
      </c>
      <c r="N35" s="632">
        <f t="shared" si="2"/>
        <v>5.5626829016847914</v>
      </c>
      <c r="O35" s="629">
        <f t="shared" si="3"/>
        <v>2.0827855912698268</v>
      </c>
      <c r="P35" s="633">
        <f t="shared" si="4"/>
        <v>-3.7174111212319412</v>
      </c>
      <c r="Q35" s="585">
        <f t="shared" si="113"/>
        <v>20.526958083933277</v>
      </c>
      <c r="R35" s="629">
        <f>IF(M35="","",SQRT(N35^2+O35^2))</f>
        <v>5.9398179167292273</v>
      </c>
      <c r="S35" s="634">
        <f>IF(M35="","",P35)</f>
        <v>-3.7174111212319412</v>
      </c>
      <c r="T35" s="635">
        <f>IF(M35="","",X35*COS(RADIANS(W35)))</f>
        <v>2.0832710189278569</v>
      </c>
      <c r="U35" s="629">
        <f>IF(M35="","",X35*SIN(RADIANS(W35)))</f>
        <v>-5.5625011231992412</v>
      </c>
      <c r="V35" s="636">
        <f>IF(M35="","",Y35)</f>
        <v>-3.7174111212319412</v>
      </c>
      <c r="W35" s="585">
        <f t="shared" si="224"/>
        <v>290.53195808321135</v>
      </c>
      <c r="X35" s="629">
        <f>IF(M35="","",R35)</f>
        <v>5.9398179167292273</v>
      </c>
      <c r="Y35" s="630">
        <f t="shared" si="223"/>
        <v>-3.7174111212319412</v>
      </c>
      <c r="Z35" s="632">
        <f t="shared" si="6"/>
        <v>-0.24992437092290612</v>
      </c>
      <c r="AA35" s="629">
        <f t="shared" si="7"/>
        <v>-0.96826536074506597</v>
      </c>
      <c r="AB35" s="629">
        <f t="shared" si="8"/>
        <v>-1.3008419215060828E-7</v>
      </c>
      <c r="AC35" s="636">
        <f>IF(M35="","",SQRT(Z35^2+AA35^2+AB35^2))</f>
        <v>1</v>
      </c>
      <c r="AD35" s="637">
        <f>IF(M35="","",Z35*(1/SQRT(Z35^2+AA35^2+AB35^2)))</f>
        <v>-0.24992437092290612</v>
      </c>
      <c r="AE35" s="629">
        <f>IF(M35="","",AA35*(1/SQRT(Z35^2+AA35^2+AB35^2)))</f>
        <v>-0.96826536074506597</v>
      </c>
      <c r="AF35" s="633">
        <f>IF(M35="","",AB35*(1/SQRT(Z35^2+AA35^2+AB35^2)))</f>
        <v>-1.3008419215060828E-7</v>
      </c>
      <c r="AG35" s="602">
        <f>IF(M35="","",DEGREES(ATAN2(-AF35,AE35)))</f>
        <v>-89.999992302445705</v>
      </c>
      <c r="AH35" s="603">
        <f>IF(M35="","",DEGREES(ACOS(AD35)))</f>
        <v>104.473036893528</v>
      </c>
      <c r="AI35" s="585">
        <f>IF(M35="","",DEGREES(-ACOS(-AF35)))</f>
        <v>-89.999992546724812</v>
      </c>
      <c r="AJ35" s="586">
        <f>IF(M35="","",DEGREES(ATAN2(-AE35,AD35)))</f>
        <v>-14.473036893528132</v>
      </c>
      <c r="AK35" s="635">
        <f>IF(M35="","",(COS(RADIANS((90-$Q$8)-W35))*AD35)+(-SIN(RADIANS((90-$Q$8)-W35))*AE35))</f>
        <v>0.81915209456859761</v>
      </c>
      <c r="AL35" s="629">
        <f>IF(M35="","",(SIN(RADIANS((90-$Q$8)-W35))*AD35)+(COS(RADIANS((90-$Q$8)-W35))*AE35))</f>
        <v>-0.57357636454430583</v>
      </c>
      <c r="AM35" s="634">
        <f>IF(M35="","",AF35)</f>
        <v>-1.3008419215060828E-7</v>
      </c>
      <c r="AN35" s="581">
        <f>IF(M35="","",DEGREES(ATAN2(-AM35,AL35)))</f>
        <v>-89.999987005609626</v>
      </c>
      <c r="AO35" s="582">
        <f t="shared" si="94"/>
        <v>34.999994977462102</v>
      </c>
      <c r="AP35" s="585">
        <f>IF(M35="","",DEGREES(ATAN2(AK35,AL35)))</f>
        <v>-34.999994977461412</v>
      </c>
      <c r="AQ35" s="586">
        <f t="shared" si="9"/>
        <v>0.38379838680400524</v>
      </c>
      <c r="AS35" s="52">
        <f t="shared" si="116"/>
        <v>-69.46804191678865</v>
      </c>
      <c r="AT35" s="72">
        <f t="shared" si="10"/>
        <v>-3.6691659532346725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2.1560000000000001</v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IFERROR(ROUND(VALUE(IF($IH35&lt;1,$IH35+LARGE((IF($M$9:$M$150="",0,$M$9:$M$150)-MOD(IF($M$9:$M$150="",0,$M$9:$M$150),1)),1),$IH35)),4),"")</f>
        <v/>
      </c>
      <c r="IJ35" s="533">
        <f t="shared" si="112"/>
        <v>1313</v>
      </c>
      <c r="IK35" s="533" t="str">
        <f t="shared" si="66"/>
        <v/>
      </c>
      <c r="IL35" s="727" t="str">
        <f t="shared" si="225"/>
        <v/>
      </c>
      <c r="IM35" s="759"/>
      <c r="IN35" s="5" t="str">
        <f t="shared" si="226"/>
        <v/>
      </c>
      <c r="IO35" s="771"/>
      <c r="IP35" s="9" t="str">
        <f t="shared" si="227"/>
        <v/>
      </c>
      <c r="IQ35" s="5" t="str">
        <f t="shared" si="228"/>
        <v/>
      </c>
      <c r="IR35" s="5" t="str">
        <f t="shared" si="71"/>
        <v/>
      </c>
      <c r="IS35" s="5" t="str">
        <f t="shared" si="229"/>
        <v/>
      </c>
      <c r="IT35" s="727" t="str">
        <f t="shared" si="230"/>
        <v/>
      </c>
      <c r="IU35" s="9" t="str">
        <f t="shared" si="231"/>
        <v/>
      </c>
      <c r="IV35" s="5" t="str">
        <f t="shared" si="232"/>
        <v/>
      </c>
      <c r="IW35" s="5" t="str">
        <f t="shared" si="76"/>
        <v/>
      </c>
      <c r="IX35" s="5" t="str">
        <f t="shared" si="233"/>
        <v/>
      </c>
      <c r="IY35" s="762" t="str">
        <f t="shared" si="234"/>
        <v/>
      </c>
    </row>
    <row r="36" spans="1:267" ht="15" customHeight="1" x14ac:dyDescent="0.25">
      <c r="A36" s="79"/>
      <c r="B36" s="707">
        <v>3.7947617475263149</v>
      </c>
      <c r="C36" s="708">
        <v>0.39522723350472116</v>
      </c>
      <c r="D36" s="709">
        <v>-0.1724474348226776</v>
      </c>
      <c r="E36" s="710">
        <v>0.15610715705109371</v>
      </c>
      <c r="F36" s="708">
        <v>1.625890351077279E-2</v>
      </c>
      <c r="G36" s="711">
        <v>0.98760629988576554</v>
      </c>
      <c r="H36" s="710">
        <v>0.26250000000000001</v>
      </c>
      <c r="I36" s="708">
        <v>0.40699999999999997</v>
      </c>
      <c r="J36" s="570">
        <v>2.2200000000000002</v>
      </c>
      <c r="K36" s="865" t="str">
        <f>IF($J36="","",IF(IFERROR(INDEX(Settings!$AK$14:$AK$32,MATCH((((ROUND($H36,6)*2)*1000000)+ROUND($I36,6)),Settings!$AI$14:$AI$32,0)),"Undefined")="Undefined","Undefined",IFERROR(INDEX(_xlfn.ANCHORARRAY(Settings!$BC$14),MATCH(IFERROR(INDEX(Settings!$AK$14:$AK$32,MATCH((((ROUND($H36,6)*2)*1000000)+ROUND($I36,6)),Settings!$AI$14:$AI$32,0)),"Undefined"),_xlfn.ANCHORARRAY(Settings!$BC$14),0)),"Inactive")))</f>
        <v>Inactive</v>
      </c>
      <c r="L36" s="320"/>
      <c r="M36" s="168">
        <f t="shared" si="1"/>
        <v>2.2200000000000002</v>
      </c>
      <c r="N36" s="632">
        <f t="shared" si="2"/>
        <v>3.7947617475263149</v>
      </c>
      <c r="O36" s="629">
        <f t="shared" si="3"/>
        <v>0.39522723350472116</v>
      </c>
      <c r="P36" s="633">
        <f t="shared" si="4"/>
        <v>-0.1724474348226776</v>
      </c>
      <c r="Q36" s="585">
        <f t="shared" si="113"/>
        <v>5.9459601583327775</v>
      </c>
      <c r="R36" s="629">
        <f>IF(M36="","",SQRT(N36^2+O36^2))</f>
        <v>3.8152878379740587</v>
      </c>
      <c r="S36" s="634">
        <f>IF(M36="","",P36)</f>
        <v>-0.1724474348226776</v>
      </c>
      <c r="T36" s="635">
        <f>IF(M36="","",X36*COS(RADIANS(W36)))</f>
        <v>0.39555838738568821</v>
      </c>
      <c r="U36" s="629">
        <f>IF(M36="","",X36*SIN(RADIANS(W36)))</f>
        <v>-3.7947272429993699</v>
      </c>
      <c r="V36" s="636">
        <f>IF(M36="","",Y36)</f>
        <v>-0.1724474348226776</v>
      </c>
      <c r="W36" s="585">
        <f t="shared" si="224"/>
        <v>275.95096015761084</v>
      </c>
      <c r="X36" s="629">
        <f>IF(M36="","",R36)</f>
        <v>3.8152878379740587</v>
      </c>
      <c r="Y36" s="630">
        <f t="shared" si="223"/>
        <v>-0.1724474348226776</v>
      </c>
      <c r="Z36" s="632">
        <f t="shared" si="6"/>
        <v>-0.15610715705109371</v>
      </c>
      <c r="AA36" s="629">
        <f t="shared" si="7"/>
        <v>-1.625890351077279E-2</v>
      </c>
      <c r="AB36" s="629">
        <f t="shared" si="8"/>
        <v>-0.98760629988576554</v>
      </c>
      <c r="AC36" s="636">
        <f>IF(M36="","",SQRT(Z36^2+AA36^2+AB36^2))</f>
        <v>1</v>
      </c>
      <c r="AD36" s="637">
        <f>IF(M36="","",Z36*(1/SQRT(Z36^2+AA36^2+AB36^2)))</f>
        <v>-0.15610715705109371</v>
      </c>
      <c r="AE36" s="629">
        <f>IF(M36="","",AA36*(1/SQRT(Z36^2+AA36^2+AB36^2)))</f>
        <v>-1.625890351077279E-2</v>
      </c>
      <c r="AF36" s="633">
        <f>IF(M36="","",AB36*(1/SQRT(Z36^2+AA36^2+AB36^2)))</f>
        <v>-0.98760629988576554</v>
      </c>
      <c r="AG36" s="602">
        <f>IF(M36="","",DEGREES(ATAN2(-AF36,AE36)))</f>
        <v>-0.94317179238079685</v>
      </c>
      <c r="AH36" s="603">
        <f>IF(M36="","",DEGREES(ACOS(AD36)))</f>
        <v>98.981013368462825</v>
      </c>
      <c r="AI36" s="585">
        <f>IF(M36="","",DEGREES(-ACOS(-AF36)))</f>
        <v>-9.0299986962387528</v>
      </c>
      <c r="AJ36" s="586">
        <f>IF(M36="","",DEGREES(ATAN2(-AE36,AD36)))</f>
        <v>-84.053957049312203</v>
      </c>
      <c r="AK36" s="635">
        <f>IF(M36="","",(COS(RADIANS((90-$Q$8)-W36))*AD36)+(-SIN(RADIANS((90-$Q$8)-W36))*AE36))</f>
        <v>2.2679489684179766E-7</v>
      </c>
      <c r="AL36" s="629">
        <f>IF(M36="","",(SIN(RADIANS((90-$Q$8)-W36))*AD36)+(COS(RADIANS((90-$Q$8)-W36))*AE36))</f>
        <v>-0.15695157350563904</v>
      </c>
      <c r="AM36" s="634">
        <f>IF(M36="","",AF36)</f>
        <v>-0.98760629988576554</v>
      </c>
      <c r="AN36" s="581">
        <f>IF(M36="","",DEGREES(ATAN2(-AM36,AL36)))</f>
        <v>-9.0299986962294998</v>
      </c>
      <c r="AO36" s="582">
        <f t="shared" si="94"/>
        <v>0</v>
      </c>
      <c r="AP36" s="585">
        <f>IF(M36="","",DEGREES(ATAN2(AK36,AL36)))</f>
        <v>-89.999917207644913</v>
      </c>
      <c r="AQ36" s="586">
        <f t="shared" si="9"/>
        <v>0.59750249185366766</v>
      </c>
      <c r="AS36" s="52">
        <f t="shared" si="116"/>
        <v>-84.049039842389163</v>
      </c>
      <c r="AT36" s="72">
        <f t="shared" si="10"/>
        <v>-0.11407657382151978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>Nose</v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>
        <f t="shared" si="210"/>
        <v>2.2200000000000002</v>
      </c>
      <c r="IH36" s="731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>2.12</v>
      </c>
      <c r="II36" s="734" cm="1">
        <f t="array" ref="II36">IFERROR(ROUND(VALUE(IF($IH36&lt;1,$IH36+LARGE((IF($M$9:$M$150="",0,$M$9:$M$150)-MOD(IF($M$9:$M$150="",0,$M$9:$M$150),1)),1),$IH36)),4),"")</f>
        <v>2.12</v>
      </c>
      <c r="IJ36" s="533">
        <f t="shared" si="112"/>
        <v>1613</v>
      </c>
      <c r="IK36" s="533" t="str">
        <f t="shared" si="66"/>
        <v>Inactive</v>
      </c>
      <c r="IL36" s="727">
        <f t="shared" si="225"/>
        <v>17.919997412672501</v>
      </c>
      <c r="IM36" s="759">
        <v>4.06977618408738E-2</v>
      </c>
      <c r="IN36" s="5">
        <f t="shared" si="226"/>
        <v>0.9</v>
      </c>
      <c r="IO36" s="771">
        <v>450</v>
      </c>
      <c r="IP36" s="9">
        <f t="shared" si="227"/>
        <v>-3.8091114882802488</v>
      </c>
      <c r="IQ36" s="5">
        <f t="shared" si="228"/>
        <v>-0.16640041138364078</v>
      </c>
      <c r="IR36" s="5">
        <f t="shared" si="71"/>
        <v>0.314</v>
      </c>
      <c r="IS36" s="5">
        <f t="shared" si="229"/>
        <v>0.30222188080796714</v>
      </c>
      <c r="IT36" s="727">
        <f t="shared" si="230"/>
        <v>27.12497204208637</v>
      </c>
      <c r="IU36" s="9">
        <f t="shared" si="231"/>
        <v>-3.8152878379740587</v>
      </c>
      <c r="IV36" s="5">
        <f t="shared" si="232"/>
        <v>-0.1724474348226776</v>
      </c>
      <c r="IW36" s="5">
        <f t="shared" si="76"/>
        <v>0.26250000000000001</v>
      </c>
      <c r="IX36" s="5">
        <f t="shared" si="233"/>
        <v>0.26250000000000001</v>
      </c>
      <c r="IY36" s="762">
        <f t="shared" si="234"/>
        <v>9.0299986962294998</v>
      </c>
    </row>
    <row r="37" spans="1:267" ht="15" customHeight="1" x14ac:dyDescent="0.25">
      <c r="A37" s="79"/>
      <c r="B37" s="707">
        <v>4.4511121978311454</v>
      </c>
      <c r="C37" s="708">
        <v>0.86415725668411136</v>
      </c>
      <c r="D37" s="709">
        <v>-0.39057969497096778</v>
      </c>
      <c r="E37" s="710">
        <v>7.7194312826123934E-2</v>
      </c>
      <c r="F37" s="708">
        <v>0.93178905406322576</v>
      </c>
      <c r="G37" s="711">
        <v>0.35469733124913921</v>
      </c>
      <c r="H37" s="710">
        <v>0.26600000000000001</v>
      </c>
      <c r="I37" s="708">
        <v>0.52</v>
      </c>
      <c r="J37" s="570">
        <v>2.226</v>
      </c>
      <c r="K37" s="865">
        <f>IF($J37="","",IF(IFERROR(INDEX(Settings!$AK$14:$AK$32,MATCH((((ROUND($H37,6)*2)*1000000)+ROUND($I37,6)),Settings!$AI$14:$AI$32,0)),"Undefined")="Undefined","Undefined",IFERROR(INDEX(_xlfn.ANCHORARRAY(Settings!$BC$14),MATCH(IFERROR(INDEX(Settings!$AK$14:$AK$32,MATCH((((ROUND($H37,6)*2)*1000000)+ROUND($I37,6)),Settings!$AI$14:$AI$32,0)),"Undefined"),_xlfn.ANCHORARRAY(Settings!$BC$14),0)),"Inactive")))</f>
        <v>1313</v>
      </c>
      <c r="L37" s="320"/>
      <c r="M37" s="168">
        <f t="shared" si="1"/>
        <v>2.226</v>
      </c>
      <c r="N37" s="632">
        <f t="shared" si="2"/>
        <v>4.4511121978311454</v>
      </c>
      <c r="O37" s="629">
        <f t="shared" si="3"/>
        <v>0.86415725668411136</v>
      </c>
      <c r="P37" s="633">
        <f t="shared" si="4"/>
        <v>-0.39057969497096778</v>
      </c>
      <c r="Q37" s="585">
        <f t="shared" si="113"/>
        <v>10.98695943050253</v>
      </c>
      <c r="R37" s="629">
        <f t="shared" si="79"/>
        <v>4.5342218254030113</v>
      </c>
      <c r="S37" s="634">
        <f t="shared" si="80"/>
        <v>-0.39057969497096778</v>
      </c>
      <c r="T37" s="635">
        <f t="shared" si="81"/>
        <v>0.86454568615320515</v>
      </c>
      <c r="U37" s="629">
        <f t="shared" si="82"/>
        <v>-4.4510367689466346</v>
      </c>
      <c r="V37" s="636">
        <f t="shared" si="114"/>
        <v>-0.39057969497096778</v>
      </c>
      <c r="W37" s="585">
        <f t="shared" si="224"/>
        <v>280.99195942978059</v>
      </c>
      <c r="X37" s="629">
        <f t="shared" si="83"/>
        <v>4.5342218254030113</v>
      </c>
      <c r="Y37" s="630">
        <f t="shared" si="223"/>
        <v>-0.39057969497096778</v>
      </c>
      <c r="Z37" s="632">
        <f t="shared" si="6"/>
        <v>-7.7194312826123934E-2</v>
      </c>
      <c r="AA37" s="629">
        <f t="shared" si="7"/>
        <v>-0.93178905406322576</v>
      </c>
      <c r="AB37" s="629">
        <f t="shared" si="8"/>
        <v>-0.35469733124913921</v>
      </c>
      <c r="AC37" s="636">
        <f t="shared" si="84"/>
        <v>1</v>
      </c>
      <c r="AD37" s="637">
        <f t="shared" si="115"/>
        <v>-7.7194312826123934E-2</v>
      </c>
      <c r="AE37" s="629">
        <f t="shared" si="85"/>
        <v>-0.93178905406322576</v>
      </c>
      <c r="AF37" s="633">
        <f t="shared" si="86"/>
        <v>-0.35469733124913921</v>
      </c>
      <c r="AG37" s="602">
        <f t="shared" si="87"/>
        <v>-69.160037724897307</v>
      </c>
      <c r="AH37" s="603">
        <f t="shared" si="88"/>
        <v>94.427312805413379</v>
      </c>
      <c r="AI37" s="585">
        <f t="shared" si="89"/>
        <v>-69.225104342875881</v>
      </c>
      <c r="AJ37" s="586">
        <f t="shared" si="90"/>
        <v>-4.735869277368165</v>
      </c>
      <c r="AK37" s="635">
        <f t="shared" si="211"/>
        <v>0.89999778481949788</v>
      </c>
      <c r="AL37" s="629">
        <f t="shared" si="91"/>
        <v>-0.25336493546806199</v>
      </c>
      <c r="AM37" s="634">
        <f t="shared" si="92"/>
        <v>-0.35469733124913921</v>
      </c>
      <c r="AN37" s="581">
        <f t="shared" si="93"/>
        <v>-35.538715187126826</v>
      </c>
      <c r="AO37" s="582">
        <f t="shared" si="94"/>
        <v>25.842223937221394</v>
      </c>
      <c r="AP37" s="585">
        <f t="shared" si="95"/>
        <v>-15.722828707870672</v>
      </c>
      <c r="AQ37" s="586">
        <f t="shared" si="9"/>
        <v>0.50276942907006772</v>
      </c>
      <c r="AS37" s="52">
        <f t="shared" si="116"/>
        <v>-79.008040570219407</v>
      </c>
      <c r="AT37" s="72">
        <f t="shared" si="10"/>
        <v>-0.33570952790881675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>Nose</v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>
        <f t="shared" si="210"/>
        <v>2.226</v>
      </c>
      <c r="IH37" s="731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>2.1259999999999999</v>
      </c>
      <c r="II37" s="734" cm="1">
        <f t="array" ref="II37">IFERROR(ROUND(VALUE(IF($IH37&lt;1,$IH37+LARGE((IF($M$9:$M$150="",0,$M$9:$M$150)-MOD(IF($M$9:$M$150="",0,$M$9:$M$150),1)),1),$IH37)),4),"")</f>
        <v>2.1259999999999999</v>
      </c>
      <c r="IJ37" s="533">
        <f t="shared" si="112"/>
        <v>1613</v>
      </c>
      <c r="IK37" s="533">
        <f t="shared" si="66"/>
        <v>1313</v>
      </c>
      <c r="IL37" s="727">
        <f t="shared" si="225"/>
        <v>11.894998282574761</v>
      </c>
      <c r="IM37" s="759">
        <v>1.2312670722223499E-2</v>
      </c>
      <c r="IN37" s="5">
        <f t="shared" si="226"/>
        <v>0.34</v>
      </c>
      <c r="IO37" s="771">
        <v>170</v>
      </c>
      <c r="IP37" s="9">
        <f t="shared" si="227"/>
        <v>-4.5131136115506525</v>
      </c>
      <c r="IQ37" s="5">
        <f t="shared" si="228"/>
        <v>-0.4358012238964914</v>
      </c>
      <c r="IR37" s="5">
        <f t="shared" si="71"/>
        <v>0.314</v>
      </c>
      <c r="IS37" s="5">
        <f t="shared" si="229"/>
        <v>0.30118902793690833</v>
      </c>
      <c r="IT37" s="727">
        <f t="shared" si="230"/>
        <v>44.483173798200951</v>
      </c>
      <c r="IU37" s="9">
        <f t="shared" si="231"/>
        <v>-4.5342218254030113</v>
      </c>
      <c r="IV37" s="5">
        <f t="shared" si="232"/>
        <v>-0.39057969497096778</v>
      </c>
      <c r="IW37" s="5">
        <f t="shared" si="76"/>
        <v>0.26600000000000001</v>
      </c>
      <c r="IX37" s="5">
        <f t="shared" si="233"/>
        <v>0.23939941076198645</v>
      </c>
      <c r="IY37" s="762">
        <f t="shared" si="234"/>
        <v>35.538715187126826</v>
      </c>
    </row>
    <row r="38" spans="1:267" ht="15" customHeight="1" x14ac:dyDescent="0.25">
      <c r="A38" s="79"/>
      <c r="B38" s="707">
        <v>5.0401692747385072</v>
      </c>
      <c r="C38" s="708">
        <v>0.99249283164101865</v>
      </c>
      <c r="D38" s="709">
        <v>-0.86038767065740174</v>
      </c>
      <c r="E38" s="710">
        <v>0.17631912323214513</v>
      </c>
      <c r="F38" s="708">
        <v>0.93334151463458803</v>
      </c>
      <c r="G38" s="711">
        <v>0.31270622610088977</v>
      </c>
      <c r="H38" s="710">
        <v>0.26600000000000001</v>
      </c>
      <c r="I38" s="708">
        <v>0.52</v>
      </c>
      <c r="J38" s="570">
        <v>2.2320000000000002</v>
      </c>
      <c r="K38" s="865">
        <f>IF($J38="","",IF(IFERROR(INDEX(Settings!$AK$14:$AK$32,MATCH((((ROUND($H38,6)*2)*1000000)+ROUND($I38,6)),Settings!$AI$14:$AI$32,0)),"Undefined")="Undefined","Undefined",IFERROR(INDEX(_xlfn.ANCHORARRAY(Settings!$BC$14),MATCH(IFERROR(INDEX(Settings!$AK$14:$AK$32,MATCH((((ROUND($H38,6)*2)*1000000)+ROUND($I38,6)),Settings!$AI$14:$AI$32,0)),"Undefined"),_xlfn.ANCHORARRAY(Settings!$BC$14),0)),"Inactive")))</f>
        <v>1313</v>
      </c>
      <c r="L38" s="320"/>
      <c r="M38" s="168">
        <f t="shared" si="1"/>
        <v>2.2320000000000002</v>
      </c>
      <c r="N38" s="632">
        <f t="shared" si="2"/>
        <v>5.0401692747385072</v>
      </c>
      <c r="O38" s="629">
        <f t="shared" si="3"/>
        <v>0.99249283164101865</v>
      </c>
      <c r="P38" s="633">
        <f t="shared" si="4"/>
        <v>-0.86038767065740174</v>
      </c>
      <c r="Q38" s="585">
        <f t="shared" si="113"/>
        <v>11.13995940841207</v>
      </c>
      <c r="R38" s="629">
        <f t="shared" si="79"/>
        <v>5.1369590555966953</v>
      </c>
      <c r="S38" s="634">
        <f t="shared" si="80"/>
        <v>-0.86038767065740174</v>
      </c>
      <c r="T38" s="635">
        <f t="shared" si="81"/>
        <v>0.99293266554133497</v>
      </c>
      <c r="U38" s="629">
        <f t="shared" si="82"/>
        <v>-5.0400826442210125</v>
      </c>
      <c r="V38" s="636">
        <f t="shared" si="114"/>
        <v>-0.86038767065740174</v>
      </c>
      <c r="W38" s="585">
        <f t="shared" si="224"/>
        <v>281.14495940769018</v>
      </c>
      <c r="X38" s="629">
        <f t="shared" si="83"/>
        <v>5.1369590555966953</v>
      </c>
      <c r="Y38" s="630">
        <f t="shared" si="223"/>
        <v>-0.86038767065740174</v>
      </c>
      <c r="Z38" s="632">
        <f t="shared" si="6"/>
        <v>-0.17631912323214513</v>
      </c>
      <c r="AA38" s="629">
        <f t="shared" si="7"/>
        <v>-0.93334151463458803</v>
      </c>
      <c r="AB38" s="629">
        <f t="shared" si="8"/>
        <v>-0.31270622610088977</v>
      </c>
      <c r="AC38" s="636">
        <f t="shared" si="84"/>
        <v>1</v>
      </c>
      <c r="AD38" s="637">
        <f t="shared" si="115"/>
        <v>-0.17631912323214513</v>
      </c>
      <c r="AE38" s="629">
        <f t="shared" si="85"/>
        <v>-0.93334151463458803</v>
      </c>
      <c r="AF38" s="633">
        <f t="shared" si="86"/>
        <v>-0.31270622610088977</v>
      </c>
      <c r="AG38" s="602">
        <f t="shared" si="87"/>
        <v>-71.477118387012737</v>
      </c>
      <c r="AH38" s="603">
        <f t="shared" si="88"/>
        <v>100.15543206821854</v>
      </c>
      <c r="AI38" s="585">
        <f t="shared" si="89"/>
        <v>-71.777603840675923</v>
      </c>
      <c r="AJ38" s="586">
        <f t="shared" si="90"/>
        <v>-10.697772153458041</v>
      </c>
      <c r="AK38" s="635">
        <f t="shared" si="211"/>
        <v>0.88168967476496984</v>
      </c>
      <c r="AL38" s="629">
        <f t="shared" si="91"/>
        <v>-0.35332440273858973</v>
      </c>
      <c r="AM38" s="634">
        <f t="shared" si="92"/>
        <v>-0.31270622610088977</v>
      </c>
      <c r="AN38" s="581">
        <f t="shared" si="93"/>
        <v>-48.489886537793659</v>
      </c>
      <c r="AO38" s="582">
        <f t="shared" si="94"/>
        <v>28.153135565656481</v>
      </c>
      <c r="AP38" s="585">
        <f t="shared" si="95"/>
        <v>-21.83773156187014</v>
      </c>
      <c r="AQ38" s="586">
        <f t="shared" si="9"/>
        <v>0.44378026356081318</v>
      </c>
      <c r="AS38" s="52">
        <f t="shared" si="116"/>
        <v>-78.85504059230982</v>
      </c>
      <c r="AT38" s="72">
        <f t="shared" si="10"/>
        <v>-0.80562375357991012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>Taper</v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>
        <f t="shared" si="210"/>
        <v>2.2320000000000002</v>
      </c>
      <c r="IH38" s="731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>2.1320000000000001</v>
      </c>
      <c r="II38" s="734" cm="1">
        <f t="array" ref="II38">IFERROR(ROUND(VALUE(IF($IH38&lt;1,$IH38+LARGE((IF($M$9:$M$150="",0,$M$9:$M$150)-MOD(IF($M$9:$M$150="",0,$M$9:$M$150),1)),1),$IH38)),4),"")</f>
        <v>2.1320000000000001</v>
      </c>
      <c r="IJ38" s="533">
        <f t="shared" si="112"/>
        <v>1613</v>
      </c>
      <c r="IK38" s="533">
        <f t="shared" si="66"/>
        <v>1313</v>
      </c>
      <c r="IL38" s="727">
        <f t="shared" si="225"/>
        <v>10.809998439229275</v>
      </c>
      <c r="IM38" s="759">
        <v>1.00742732105343E-2</v>
      </c>
      <c r="IN38" s="5">
        <f t="shared" si="226"/>
        <v>0.32</v>
      </c>
      <c r="IO38" s="771">
        <v>160</v>
      </c>
      <c r="IP38" s="9">
        <f t="shared" si="227"/>
        <v>-5.1047153958216347</v>
      </c>
      <c r="IQ38" s="5">
        <f t="shared" si="228"/>
        <v>-0.90270263207113921</v>
      </c>
      <c r="IR38" s="5">
        <f t="shared" si="71"/>
        <v>0.314</v>
      </c>
      <c r="IS38" s="5">
        <f t="shared" si="229"/>
        <v>0.29713979896884946</v>
      </c>
      <c r="IT38" s="727">
        <f t="shared" si="230"/>
        <v>57.18815865266545</v>
      </c>
      <c r="IU38" s="9">
        <f t="shared" si="231"/>
        <v>-5.1369590555966953</v>
      </c>
      <c r="IV38" s="5">
        <f t="shared" si="232"/>
        <v>-0.86038767065740174</v>
      </c>
      <c r="IW38" s="5">
        <f t="shared" si="76"/>
        <v>0.26600000000000001</v>
      </c>
      <c r="IX38" s="5">
        <f t="shared" si="233"/>
        <v>0.23452945348748203</v>
      </c>
      <c r="IY38" s="762">
        <f t="shared" si="234"/>
        <v>48.489886537793659</v>
      </c>
    </row>
    <row r="39" spans="1:267" ht="15" customHeight="1" x14ac:dyDescent="0.25">
      <c r="A39" s="79"/>
      <c r="B39" s="707">
        <v>5.4690663853039423</v>
      </c>
      <c r="C39" s="708">
        <v>1.0688213938894668</v>
      </c>
      <c r="D39" s="709">
        <v>-1.4884549472204729</v>
      </c>
      <c r="E39" s="710">
        <v>0.25375243322866131</v>
      </c>
      <c r="F39" s="708">
        <v>0.93727653382631049</v>
      </c>
      <c r="G39" s="711">
        <v>0.23900293255328711</v>
      </c>
      <c r="H39" s="710">
        <v>0.26600000000000001</v>
      </c>
      <c r="I39" s="708">
        <v>0.52</v>
      </c>
      <c r="J39" s="570">
        <v>2.238</v>
      </c>
      <c r="K39" s="865">
        <f>IF($J39="","",IF(IFERROR(INDEX(Settings!$AK$14:$AK$32,MATCH((((ROUND($H39,6)*2)*1000000)+ROUND($I39,6)),Settings!$AI$14:$AI$32,0)),"Undefined")="Undefined","Undefined",IFERROR(INDEX(_xlfn.ANCHORARRAY(Settings!$BC$14),MATCH(IFERROR(INDEX(Settings!$AK$14:$AK$32,MATCH((((ROUND($H39,6)*2)*1000000)+ROUND($I39,6)),Settings!$AI$14:$AI$32,0)),"Undefined"),_xlfn.ANCHORARRAY(Settings!$BC$14),0)),"Inactive")))</f>
        <v>1313</v>
      </c>
      <c r="L39" s="320"/>
      <c r="M39" s="168">
        <f t="shared" si="1"/>
        <v>2.238</v>
      </c>
      <c r="N39" s="632">
        <f t="shared" si="2"/>
        <v>5.4690663853039423</v>
      </c>
      <c r="O39" s="629">
        <f t="shared" si="3"/>
        <v>1.0688213938894668</v>
      </c>
      <c r="P39" s="633">
        <f t="shared" si="4"/>
        <v>-1.4884549472204729</v>
      </c>
      <c r="Q39" s="585">
        <f t="shared" si="113"/>
        <v>11.057959420251402</v>
      </c>
      <c r="R39" s="629">
        <f t="shared" si="79"/>
        <v>5.5725278194816896</v>
      </c>
      <c r="S39" s="634">
        <f t="shared" si="80"/>
        <v>-1.4884549472204729</v>
      </c>
      <c r="T39" s="635">
        <f t="shared" si="81"/>
        <v>1.0692986558273525</v>
      </c>
      <c r="U39" s="629">
        <f t="shared" si="82"/>
        <v>-5.4689730922306774</v>
      </c>
      <c r="V39" s="636">
        <f t="shared" si="114"/>
        <v>-1.4884549472204729</v>
      </c>
      <c r="W39" s="585">
        <f t="shared" si="224"/>
        <v>281.06295941952948</v>
      </c>
      <c r="X39" s="629">
        <f t="shared" si="83"/>
        <v>5.5725278194816896</v>
      </c>
      <c r="Y39" s="630">
        <f t="shared" si="223"/>
        <v>-1.4884549472204729</v>
      </c>
      <c r="Z39" s="632">
        <f t="shared" si="6"/>
        <v>-0.25375243322866131</v>
      </c>
      <c r="AA39" s="629">
        <f t="shared" si="7"/>
        <v>-0.93727653382631049</v>
      </c>
      <c r="AB39" s="629">
        <f t="shared" si="8"/>
        <v>-0.23900293255328711</v>
      </c>
      <c r="AC39" s="636">
        <f t="shared" si="84"/>
        <v>1</v>
      </c>
      <c r="AD39" s="637">
        <f t="shared" si="115"/>
        <v>-0.25375243322866131</v>
      </c>
      <c r="AE39" s="629">
        <f t="shared" si="85"/>
        <v>-0.93727653382631049</v>
      </c>
      <c r="AF39" s="633">
        <f t="shared" si="86"/>
        <v>-0.23900293255328711</v>
      </c>
      <c r="AG39" s="602">
        <f t="shared" si="87"/>
        <v>-75.694596444794286</v>
      </c>
      <c r="AH39" s="603">
        <f t="shared" si="88"/>
        <v>104.69967353691928</v>
      </c>
      <c r="AI39" s="585">
        <f t="shared" si="89"/>
        <v>-76.172299883297114</v>
      </c>
      <c r="AJ39" s="586">
        <f t="shared" si="90"/>
        <v>-15.14875454590528</v>
      </c>
      <c r="AK39" s="635">
        <f t="shared" si="211"/>
        <v>0.87120454356904797</v>
      </c>
      <c r="AL39" s="629">
        <f t="shared" si="91"/>
        <v>-0.42881259484252088</v>
      </c>
      <c r="AM39" s="634">
        <f t="shared" si="92"/>
        <v>-0.23900293255328711</v>
      </c>
      <c r="AN39" s="581">
        <f t="shared" si="93"/>
        <v>-60.866458749909064</v>
      </c>
      <c r="AO39" s="582">
        <f t="shared" si="94"/>
        <v>29.401081643128755</v>
      </c>
      <c r="AP39" s="585">
        <f t="shared" si="95"/>
        <v>-26.206713966156659</v>
      </c>
      <c r="AQ39" s="586">
        <f t="shared" si="9"/>
        <v>0.40909403513242476</v>
      </c>
      <c r="AS39" s="52">
        <f t="shared" si="116"/>
        <v>-78.937040580470523</v>
      </c>
      <c r="AT39" s="72">
        <f t="shared" si="10"/>
        <v>-1.4336340857067587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>Taper</v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>
        <f t="shared" si="210"/>
        <v>2.238</v>
      </c>
      <c r="IH39" s="731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>2.1379999999999999</v>
      </c>
      <c r="II39" s="734" cm="1">
        <f t="array" ref="II39">IFERROR(ROUND(VALUE(IF($IH39&lt;1,$IH39+LARGE((IF($M$9:$M$150="",0,$M$9:$M$150)-MOD(IF($M$9:$M$150="",0,$M$9:$M$150),1)),1),$IH39)),4),"")</f>
        <v>2.1379999999999999</v>
      </c>
      <c r="IJ39" s="533">
        <f t="shared" si="112"/>
        <v>1613</v>
      </c>
      <c r="IK39" s="533">
        <f t="shared" si="66"/>
        <v>1313</v>
      </c>
      <c r="IL39" s="727">
        <f t="shared" si="225"/>
        <v>10.179998530190062</v>
      </c>
      <c r="IM39" s="759">
        <v>8.0756469051731505E-3</v>
      </c>
      <c r="IN39" s="5">
        <f t="shared" si="226"/>
        <v>0.3</v>
      </c>
      <c r="IO39" s="771">
        <v>150</v>
      </c>
      <c r="IP39" s="9">
        <f t="shared" si="227"/>
        <v>-5.5303166794351064</v>
      </c>
      <c r="IQ39" s="5">
        <f t="shared" si="228"/>
        <v>-1.5248045083303967</v>
      </c>
      <c r="IR39" s="5">
        <f t="shared" si="71"/>
        <v>0.314</v>
      </c>
      <c r="IS39" s="5">
        <f t="shared" si="229"/>
        <v>0.29465998916438296</v>
      </c>
      <c r="IT39" s="727">
        <f t="shared" si="230"/>
        <v>69.592814673283286</v>
      </c>
      <c r="IU39" s="9">
        <f t="shared" si="231"/>
        <v>-5.5725278194816896</v>
      </c>
      <c r="IV39" s="5">
        <f t="shared" si="232"/>
        <v>-1.4884549472204729</v>
      </c>
      <c r="IW39" s="5">
        <f t="shared" si="76"/>
        <v>0.26600000000000001</v>
      </c>
      <c r="IX39" s="5">
        <f t="shared" si="233"/>
        <v>0.23174040858936679</v>
      </c>
      <c r="IY39" s="762">
        <f t="shared" si="234"/>
        <v>60.866458749909064</v>
      </c>
    </row>
    <row r="40" spans="1:267" ht="15" customHeight="1" x14ac:dyDescent="0.25">
      <c r="A40" s="79"/>
      <c r="B40" s="707">
        <v>5.6969165256086924</v>
      </c>
      <c r="C40" s="708">
        <v>1.1035467782534187</v>
      </c>
      <c r="D40" s="709">
        <v>-2.2195077723715713</v>
      </c>
      <c r="E40" s="710">
        <v>0.32385152551799029</v>
      </c>
      <c r="F40" s="708">
        <v>0.9316951235333415</v>
      </c>
      <c r="G40" s="711">
        <v>0.16451257156783516</v>
      </c>
      <c r="H40" s="710">
        <v>0.26600000000000001</v>
      </c>
      <c r="I40" s="708">
        <v>0.52</v>
      </c>
      <c r="J40" s="570">
        <v>2.2440000000000002</v>
      </c>
      <c r="K40" s="865">
        <f>IF($J40="","",IF(IFERROR(INDEX(Settings!$AK$14:$AK$32,MATCH((((ROUND($H40,6)*2)*1000000)+ROUND($I40,6)),Settings!$AI$14:$AI$32,0)),"Undefined")="Undefined","Undefined",IFERROR(INDEX(_xlfn.ANCHORARRAY(Settings!$BC$14),MATCH(IFERROR(INDEX(Settings!$AK$14:$AK$32,MATCH((((ROUND($H40,6)*2)*1000000)+ROUND($I40,6)),Settings!$AI$14:$AI$32,0)),"Undefined"),_xlfn.ANCHORARRAY(Settings!$BC$14),0)),"Inactive")))</f>
        <v>1313</v>
      </c>
      <c r="L40" s="320"/>
      <c r="M40" s="168">
        <f t="shared" si="1"/>
        <v>2.2440000000000002</v>
      </c>
      <c r="N40" s="632">
        <f t="shared" si="2"/>
        <v>5.6969165256086924</v>
      </c>
      <c r="O40" s="629">
        <f t="shared" si="3"/>
        <v>1.1035467782534187</v>
      </c>
      <c r="P40" s="633">
        <f t="shared" si="4"/>
        <v>-2.2195077723715713</v>
      </c>
      <c r="Q40" s="585">
        <f t="shared" si="113"/>
        <v>10.962959433967699</v>
      </c>
      <c r="R40" s="629">
        <f t="shared" si="79"/>
        <v>5.8028159880825889</v>
      </c>
      <c r="S40" s="634">
        <f t="shared" si="80"/>
        <v>-2.2195077723715713</v>
      </c>
      <c r="T40" s="635">
        <f t="shared" si="81"/>
        <v>1.1040439237319277</v>
      </c>
      <c r="U40" s="629">
        <f t="shared" si="82"/>
        <v>-5.6968202013068243</v>
      </c>
      <c r="V40" s="636">
        <f t="shared" si="114"/>
        <v>-2.2195077723715713</v>
      </c>
      <c r="W40" s="585">
        <f t="shared" si="224"/>
        <v>280.96795943324577</v>
      </c>
      <c r="X40" s="629">
        <f t="shared" si="83"/>
        <v>5.8028159880825889</v>
      </c>
      <c r="Y40" s="630">
        <f t="shared" si="223"/>
        <v>-2.2195077723715713</v>
      </c>
      <c r="Z40" s="632">
        <f t="shared" si="6"/>
        <v>-0.32385152551799029</v>
      </c>
      <c r="AA40" s="629">
        <f t="shared" si="7"/>
        <v>-0.9316951235333415</v>
      </c>
      <c r="AB40" s="629">
        <f t="shared" si="8"/>
        <v>-0.16451257156783516</v>
      </c>
      <c r="AC40" s="636">
        <f t="shared" si="84"/>
        <v>1</v>
      </c>
      <c r="AD40" s="637">
        <f t="shared" si="115"/>
        <v>-0.32385152551799029</v>
      </c>
      <c r="AE40" s="629">
        <f t="shared" si="85"/>
        <v>-0.9316951235333415</v>
      </c>
      <c r="AF40" s="633">
        <f t="shared" si="86"/>
        <v>-0.16451257156783516</v>
      </c>
      <c r="AG40" s="602">
        <f t="shared" si="87"/>
        <v>-79.986307773303238</v>
      </c>
      <c r="AH40" s="603">
        <f t="shared" si="88"/>
        <v>108.89600952765039</v>
      </c>
      <c r="AI40" s="585">
        <f t="shared" si="89"/>
        <v>-80.531080061426081</v>
      </c>
      <c r="AJ40" s="586">
        <f t="shared" si="90"/>
        <v>-19.167138728723298</v>
      </c>
      <c r="AK40" s="635">
        <f t="shared" si="211"/>
        <v>0.85310374284400536</v>
      </c>
      <c r="AL40" s="629">
        <f t="shared" si="91"/>
        <v>-0.49512586050587881</v>
      </c>
      <c r="AM40" s="634">
        <f t="shared" si="92"/>
        <v>-0.16451257156783516</v>
      </c>
      <c r="AN40" s="581">
        <f t="shared" si="93"/>
        <v>-71.620202741837389</v>
      </c>
      <c r="AO40" s="582">
        <f t="shared" si="94"/>
        <v>31.449128376315585</v>
      </c>
      <c r="AP40" s="585">
        <f t="shared" si="95"/>
        <v>-30.130098162690992</v>
      </c>
      <c r="AQ40" s="586">
        <f t="shared" si="9"/>
        <v>0.39285941687844306</v>
      </c>
      <c r="AS40" s="52">
        <f t="shared" si="116"/>
        <v>-79.032040566754233</v>
      </c>
      <c r="AT40" s="72">
        <f t="shared" si="10"/>
        <v>-2.16462093864516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>Taper</v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>
        <f t="shared" si="210"/>
        <v>2.2440000000000002</v>
      </c>
      <c r="IH40" s="731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>2.1440000000000001</v>
      </c>
      <c r="II40" s="734" cm="1">
        <f t="array" ref="II40">IFERROR(ROUND(VALUE(IF($IH40&lt;1,$IH40+LARGE((IF($M$9:$M$150="",0,$M$9:$M$150)-MOD(IF($M$9:$M$150="",0,$M$9:$M$150),1)),1),$IH40)),4),"")</f>
        <v>2.1440000000000001</v>
      </c>
      <c r="IJ40" s="533">
        <f t="shared" si="112"/>
        <v>1613</v>
      </c>
      <c r="IK40" s="533">
        <f t="shared" si="66"/>
        <v>1313</v>
      </c>
      <c r="IL40" s="727">
        <f t="shared" si="225"/>
        <v>9.8859985726384139</v>
      </c>
      <c r="IM40" s="759">
        <v>5.9163490177594098E-3</v>
      </c>
      <c r="IN40" s="5">
        <f t="shared" si="226"/>
        <v>0.3</v>
      </c>
      <c r="IO40" s="771">
        <v>150</v>
      </c>
      <c r="IP40" s="9">
        <f t="shared" si="227"/>
        <v>-5.7564173613547629</v>
      </c>
      <c r="IQ40" s="5">
        <f t="shared" si="228"/>
        <v>-2.2443066783489427</v>
      </c>
      <c r="IR40" s="5">
        <f t="shared" si="71"/>
        <v>0.314</v>
      </c>
      <c r="IS40" s="5">
        <f t="shared" si="229"/>
        <v>0.28472587624260154</v>
      </c>
      <c r="IT40" s="727">
        <f t="shared" si="230"/>
        <v>76.450865744065638</v>
      </c>
      <c r="IU40" s="9">
        <f t="shared" si="231"/>
        <v>-5.8028159880825889</v>
      </c>
      <c r="IV40" s="5">
        <f t="shared" si="232"/>
        <v>-2.2195077723715713</v>
      </c>
      <c r="IW40" s="5">
        <f t="shared" si="76"/>
        <v>0.26600000000000001</v>
      </c>
      <c r="IX40" s="5">
        <f t="shared" si="233"/>
        <v>0.22692559559650544</v>
      </c>
      <c r="IY40" s="762">
        <f t="shared" si="234"/>
        <v>71.620202741837389</v>
      </c>
    </row>
    <row r="41" spans="1:267" ht="15" customHeight="1" x14ac:dyDescent="0.25">
      <c r="A41" s="79"/>
      <c r="B41" s="707">
        <v>0.43431554368760344</v>
      </c>
      <c r="C41" s="708">
        <v>-0.30411140094846495</v>
      </c>
      <c r="D41" s="709">
        <v>-0.72340218178098026</v>
      </c>
      <c r="E41" s="710">
        <v>0.48327680144980684</v>
      </c>
      <c r="F41" s="708">
        <v>0.82587943137992426</v>
      </c>
      <c r="G41" s="711">
        <v>0.29045946017304536</v>
      </c>
      <c r="H41" s="710">
        <v>0.314</v>
      </c>
      <c r="I41" s="708">
        <v>0.52</v>
      </c>
      <c r="J41" s="570">
        <v>3.1019999999999999</v>
      </c>
      <c r="K41" s="865">
        <f>IF($J41="","",IF(IFERROR(INDEX(Settings!$AK$14:$AK$32,MATCH((((ROUND($H41,6)*2)*1000000)+ROUND($I41,6)),Settings!$AI$14:$AI$32,0)),"Undefined")="Undefined","Undefined",IFERROR(INDEX(_xlfn.ANCHORARRAY(Settings!$BC$14),MATCH(IFERROR(INDEX(Settings!$AK$14:$AK$32,MATCH((((ROUND($H41,6)*2)*1000000)+ROUND($I41,6)),Settings!$AI$14:$AI$32,0)),"Undefined"),_xlfn.ANCHORARRAY(Settings!$BC$14),0)),"Inactive")))</f>
        <v>1613</v>
      </c>
      <c r="L41" s="320"/>
      <c r="M41" s="168">
        <f t="shared" ref="M41:M72" si="239">IF(J41="","",VALUE(J41))</f>
        <v>3.1019999999999999</v>
      </c>
      <c r="N41" s="632">
        <f t="shared" ref="N41:N72" si="240">IF(M41="","",B41)</f>
        <v>0.43431554368760344</v>
      </c>
      <c r="O41" s="629">
        <f t="shared" ref="O41:O72" si="241">IF(M41="","",C41)</f>
        <v>-0.30411140094846495</v>
      </c>
      <c r="P41" s="633">
        <f t="shared" ref="P41:P72" si="242">IF(M41="","",D41)</f>
        <v>-0.72340218178098026</v>
      </c>
      <c r="Q41" s="585">
        <f t="shared" si="113"/>
        <v>324.9999660702029</v>
      </c>
      <c r="R41" s="629">
        <f t="shared" si="79"/>
        <v>0.53020159908802289</v>
      </c>
      <c r="S41" s="634">
        <f t="shared" si="80"/>
        <v>-0.72340218178098026</v>
      </c>
      <c r="T41" s="635">
        <f t="shared" si="81"/>
        <v>-0.30407349861486538</v>
      </c>
      <c r="U41" s="629">
        <f t="shared" si="82"/>
        <v>-0.43434208075618463</v>
      </c>
      <c r="V41" s="636">
        <f t="shared" si="114"/>
        <v>-0.72340218178098026</v>
      </c>
      <c r="W41" s="585">
        <f t="shared" si="224"/>
        <v>235.00496606948099</v>
      </c>
      <c r="X41" s="629">
        <f t="shared" si="83"/>
        <v>0.53020159908802289</v>
      </c>
      <c r="Y41" s="630">
        <f t="shared" si="223"/>
        <v>-0.72340218178098026</v>
      </c>
      <c r="Z41" s="632">
        <f t="shared" ref="Z41:Z72" si="243">IF(M41="","",-E41)</f>
        <v>-0.48327680144980684</v>
      </c>
      <c r="AA41" s="629">
        <f t="shared" ref="AA41:AA72" si="244">IF(M41="","",-F41)</f>
        <v>-0.82587943137992426</v>
      </c>
      <c r="AB41" s="629">
        <f t="shared" ref="AB41:AB72" si="245">IF(M41="","",-G41)</f>
        <v>-0.29045946017304536</v>
      </c>
      <c r="AC41" s="636">
        <f t="shared" si="84"/>
        <v>1</v>
      </c>
      <c r="AD41" s="637">
        <f t="shared" si="115"/>
        <v>-0.48327680144980684</v>
      </c>
      <c r="AE41" s="629">
        <f t="shared" si="85"/>
        <v>-0.82587943137992426</v>
      </c>
      <c r="AF41" s="633">
        <f t="shared" si="86"/>
        <v>-0.29045946017304536</v>
      </c>
      <c r="AG41" s="602">
        <f t="shared" si="87"/>
        <v>-70.623370912380253</v>
      </c>
      <c r="AH41" s="603">
        <f t="shared" si="88"/>
        <v>118.89963469300343</v>
      </c>
      <c r="AI41" s="585">
        <f t="shared" si="89"/>
        <v>-73.114534769632428</v>
      </c>
      <c r="AJ41" s="586">
        <f t="shared" si="90"/>
        <v>-30.334731981014414</v>
      </c>
      <c r="AK41" s="635">
        <f t="shared" si="211"/>
        <v>0.95371696400905337</v>
      </c>
      <c r="AL41" s="629">
        <f t="shared" si="91"/>
        <v>7.782836601996157E-2</v>
      </c>
      <c r="AM41" s="634">
        <f t="shared" si="92"/>
        <v>-0.29045946017304536</v>
      </c>
      <c r="AN41" s="581">
        <f t="shared" si="93"/>
        <v>14.999997834268274</v>
      </c>
      <c r="AO41" s="582">
        <f t="shared" si="94"/>
        <v>17.49999747331298</v>
      </c>
      <c r="AP41" s="585">
        <f t="shared" si="95"/>
        <v>4.6653019487827061</v>
      </c>
      <c r="AQ41" s="586">
        <f t="shared" ref="AQ41:AQ72" si="246">IF(M41="","",DEGREES(ATAN(($AS$5*SIN(RADIANS(90)))/(($X41*2*PI())-($AS$5*COS(RADIANS(90)))))))</f>
        <v>4.2916910711134246</v>
      </c>
      <c r="AS41" s="52">
        <f t="shared" si="116"/>
        <v>-124.99503393051901</v>
      </c>
      <c r="AT41" s="72">
        <f t="shared" ref="AT41:AT72" si="247">IF(M41="","",Y41+(((AS41-$AS$9)*$AS$6)*-1))</f>
        <v>-0.63659660266306561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>
        <f t="shared" si="210"/>
        <v>3.1019999999999999</v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IFERROR(ROUND(VALUE(IF($IH41&lt;1,$IH41+LARGE((IF($M$9:$M$150="",0,$M$9:$M$150)-MOD(IF($M$9:$M$150="",0,$M$9:$M$150),1)),1),$IH41)),4),"")</f>
        <v/>
      </c>
      <c r="IJ41" s="533">
        <f t="shared" si="112"/>
        <v>1613</v>
      </c>
      <c r="IK41" s="533" t="str">
        <f t="shared" ref="IK41:IK72" si="382">IF(ISNUMBER($II41),INDEX($K$9:$K$150,MATCH($IG41,$M$9:$M$150,0)),"")</f>
        <v/>
      </c>
      <c r="IL41" s="727" t="str">
        <f t="shared" si="225"/>
        <v/>
      </c>
      <c r="IM41" s="759"/>
      <c r="IN41" s="5" t="str">
        <f t="shared" si="226"/>
        <v/>
      </c>
      <c r="IO41" s="771"/>
      <c r="IP41" s="9" t="str">
        <f t="shared" si="227"/>
        <v/>
      </c>
      <c r="IQ41" s="5" t="str">
        <f t="shared" si="228"/>
        <v/>
      </c>
      <c r="IR41" s="5" t="str">
        <f t="shared" ref="IR41:IR72" si="383">IF(ISNUMBER($II41),INDEX($H$9:$H$150,MATCH($II41,$M$9:$M$150,0)),"")</f>
        <v/>
      </c>
      <c r="IS41" s="5" t="str">
        <f t="shared" si="229"/>
        <v/>
      </c>
      <c r="IT41" s="727" t="str">
        <f t="shared" si="230"/>
        <v/>
      </c>
      <c r="IU41" s="9" t="str">
        <f t="shared" si="231"/>
        <v/>
      </c>
      <c r="IV41" s="5" t="str">
        <f t="shared" si="232"/>
        <v/>
      </c>
      <c r="IW41" s="5" t="str">
        <f t="shared" ref="IW41:IW72" si="384">IF(ISNUMBER($II41),$H41,"")</f>
        <v/>
      </c>
      <c r="IX41" s="5" t="str">
        <f t="shared" si="233"/>
        <v/>
      </c>
      <c r="IY41" s="762" t="str">
        <f t="shared" si="234"/>
        <v/>
      </c>
    </row>
    <row r="42" spans="1:267" ht="15" customHeight="1" x14ac:dyDescent="0.25">
      <c r="A42" s="79"/>
      <c r="B42" s="707">
        <v>1.0071500584004307</v>
      </c>
      <c r="C42" s="708">
        <v>-0.7052149518410743</v>
      </c>
      <c r="D42" s="709">
        <v>-0.54000162864491208</v>
      </c>
      <c r="E42" s="710">
        <v>0.49916002344389943</v>
      </c>
      <c r="F42" s="708">
        <v>0.82966215254342957</v>
      </c>
      <c r="G42" s="711">
        <v>0.24999996726497564</v>
      </c>
      <c r="H42" s="710">
        <v>0.314</v>
      </c>
      <c r="I42" s="708">
        <v>0.52</v>
      </c>
      <c r="J42" s="570">
        <v>3.105</v>
      </c>
      <c r="K42" s="865">
        <f>IF($J42="","",IF(IFERROR(INDEX(Settings!$AK$14:$AK$32,MATCH((((ROUND($H42,6)*2)*1000000)+ROUND($I42,6)),Settings!$AI$14:$AI$32,0)),"Undefined")="Undefined","Undefined",IFERROR(INDEX(_xlfn.ANCHORARRAY(Settings!$BC$14),MATCH(IFERROR(INDEX(Settings!$AK$14:$AK$32,MATCH((((ROUND($H42,6)*2)*1000000)+ROUND($I42,6)),Settings!$AI$14:$AI$32,0)),"Undefined"),_xlfn.ANCHORARRAY(Settings!$BC$14),0)),"Inactive")))</f>
        <v>1613</v>
      </c>
      <c r="L42" s="320"/>
      <c r="M42" s="168">
        <f t="shared" si="239"/>
        <v>3.105</v>
      </c>
      <c r="N42" s="632">
        <f t="shared" si="240"/>
        <v>1.0071500584004307</v>
      </c>
      <c r="O42" s="629">
        <f t="shared" si="241"/>
        <v>-0.7052149518410743</v>
      </c>
      <c r="P42" s="633">
        <f t="shared" si="242"/>
        <v>-0.54000162864491208</v>
      </c>
      <c r="Q42" s="585">
        <f t="shared" si="113"/>
        <v>324.9999660702029</v>
      </c>
      <c r="R42" s="629">
        <f t="shared" ref="R42:R47" si="385">IF(M42="","",SQRT(N42^2+O42^2))</f>
        <v>1.2295037081831839</v>
      </c>
      <c r="S42" s="634">
        <f t="shared" ref="S42:S47" si="386">IF(M42="","",P42)</f>
        <v>-0.54000162864491208</v>
      </c>
      <c r="T42" s="635">
        <f t="shared" ref="T42:T47" si="387">IF(M42="","",X42*COS(RADIANS(W42)))</f>
        <v>-0.7051270587457128</v>
      </c>
      <c r="U42" s="629">
        <f t="shared" ref="U42:U47" si="388">IF(M42="","",X42*SIN(RADIANS(W42)))</f>
        <v>-1.0072115961707448</v>
      </c>
      <c r="V42" s="636">
        <f t="shared" ref="V42:V47" si="389">IF(M42="","",Y42)</f>
        <v>-0.54000162864491208</v>
      </c>
      <c r="W42" s="585">
        <f t="shared" si="224"/>
        <v>235.00496606948099</v>
      </c>
      <c r="X42" s="629">
        <f t="shared" ref="X42:X47" si="390">IF(M42="","",R42)</f>
        <v>1.2295037081831839</v>
      </c>
      <c r="Y42" s="630">
        <f t="shared" si="223"/>
        <v>-0.54000162864491208</v>
      </c>
      <c r="Z42" s="632">
        <f t="shared" si="243"/>
        <v>-0.49916002344389943</v>
      </c>
      <c r="AA42" s="629">
        <f t="shared" si="244"/>
        <v>-0.82966215254342957</v>
      </c>
      <c r="AB42" s="629">
        <f t="shared" si="245"/>
        <v>-0.24999996726497564</v>
      </c>
      <c r="AC42" s="636">
        <f t="shared" ref="AC42:AC47" si="391">IF(M42="","",SQRT(Z42^2+AA42^2+AB42^2))</f>
        <v>1</v>
      </c>
      <c r="AD42" s="637">
        <f t="shared" ref="AD42:AD47" si="392">IF(M42="","",Z42*(1/SQRT(Z42^2+AA42^2+AB42^2)))</f>
        <v>-0.49916002344389943</v>
      </c>
      <c r="AE42" s="629">
        <f t="shared" ref="AE42:AE47" si="393">IF(M42="","",AA42*(1/SQRT(Z42^2+AA42^2+AB42^2)))</f>
        <v>-0.82966215254342957</v>
      </c>
      <c r="AF42" s="633">
        <f t="shared" ref="AF42:AF47" si="394">IF(M42="","",AB42*(1/SQRT(Z42^2+AA42^2+AB42^2)))</f>
        <v>-0.24999996726497564</v>
      </c>
      <c r="AG42" s="602">
        <f t="shared" ref="AG42:AG47" si="395">IF(M42="","",DEGREES(ATAN2(-AF42,AE42)))</f>
        <v>-73.231004817230939</v>
      </c>
      <c r="AH42" s="603">
        <f t="shared" ref="AH42:AH47" si="396">IF(M42="","",DEGREES(ACOS(AD42)))</f>
        <v>119.94444314080609</v>
      </c>
      <c r="AI42" s="585">
        <f t="shared" ref="AI42:AI47" si="397">IF(M42="","",DEGREES(-ACOS(-AF42)))</f>
        <v>-75.522489751159469</v>
      </c>
      <c r="AJ42" s="586">
        <f t="shared" ref="AJ42:AJ47" si="398">IF(M42="","",DEGREES(ATAN2(-AE42,AD42)))</f>
        <v>-31.032904284710551</v>
      </c>
      <c r="AK42" s="635">
        <f t="shared" ref="AK42:AK47" si="399">IF(M42="","",(COS(RADIANS((90-$Q$8)-W42))*AD42)+(-SIN(RADIANS((90-$Q$8)-W42))*AE42))</f>
        <v>0.9659258360722075</v>
      </c>
      <c r="AL42" s="629">
        <f t="shared" ref="AL42:AL47" si="400">IF(M42="","",(SIN(RADIANS((90-$Q$8)-W42))*AD42)+(COS(RADIANS((90-$Q$8)-W42))*AE42))</f>
        <v>6.698727920820724E-2</v>
      </c>
      <c r="AM42" s="634">
        <f t="shared" ref="AM42:AM47" si="401">IF(M42="","",AF42)</f>
        <v>-0.24999996726497564</v>
      </c>
      <c r="AN42" s="581">
        <f t="shared" ref="AN42:AN47" si="402">IF(M42="","",DEGREES(ATAN2(-AM42,AL42)))</f>
        <v>14.999997834268278</v>
      </c>
      <c r="AO42" s="582">
        <f t="shared" si="94"/>
        <v>14.99999783426823</v>
      </c>
      <c r="AP42" s="585">
        <f t="shared" ref="AP42:AP47" si="403">IF(M42="","",DEGREES(ATAN2(AK42,AL42)))</f>
        <v>3.9671296450865734</v>
      </c>
      <c r="AQ42" s="586">
        <f t="shared" si="246"/>
        <v>1.8535375559866956</v>
      </c>
      <c r="AS42" s="52">
        <f t="shared" si="116"/>
        <v>-124.99503393051901</v>
      </c>
      <c r="AT42" s="72">
        <f t="shared" si="247"/>
        <v>-0.45319604952699744</v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>
        <f t="shared" si="210"/>
        <v>3.105</v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IFERROR(ROUND(VALUE(IF($IH42&lt;1,$IH42+LARGE((IF($M$9:$M$150="",0,$M$9:$M$150)-MOD(IF($M$9:$M$150="",0,$M$9:$M$150),1)),1),$IH42)),4),"")</f>
        <v/>
      </c>
      <c r="IJ42" s="533">
        <f t="shared" si="112"/>
        <v>1613</v>
      </c>
      <c r="IK42" s="533" t="str">
        <f t="shared" si="382"/>
        <v/>
      </c>
      <c r="IL42" s="727" t="str">
        <f t="shared" si="225"/>
        <v/>
      </c>
      <c r="IM42" s="759"/>
      <c r="IN42" s="5" t="str">
        <f t="shared" si="226"/>
        <v/>
      </c>
      <c r="IO42" s="771"/>
      <c r="IP42" s="9" t="str">
        <f t="shared" si="227"/>
        <v/>
      </c>
      <c r="IQ42" s="5" t="str">
        <f t="shared" si="228"/>
        <v/>
      </c>
      <c r="IR42" s="5" t="str">
        <f t="shared" si="383"/>
        <v/>
      </c>
      <c r="IS42" s="5" t="str">
        <f t="shared" si="229"/>
        <v/>
      </c>
      <c r="IT42" s="727" t="str">
        <f t="shared" si="230"/>
        <v/>
      </c>
      <c r="IU42" s="9" t="str">
        <f t="shared" si="231"/>
        <v/>
      </c>
      <c r="IV42" s="5" t="str">
        <f t="shared" si="232"/>
        <v/>
      </c>
      <c r="IW42" s="5" t="str">
        <f t="shared" si="384"/>
        <v/>
      </c>
      <c r="IX42" s="5" t="str">
        <f t="shared" si="233"/>
        <v/>
      </c>
      <c r="IY42" s="762" t="str">
        <f t="shared" si="234"/>
        <v/>
      </c>
    </row>
    <row r="43" spans="1:267" ht="15" customHeight="1" x14ac:dyDescent="0.25">
      <c r="A43" s="79"/>
      <c r="B43" s="707">
        <v>1.6030028054361962</v>
      </c>
      <c r="C43" s="708">
        <v>-1.1224360628367618</v>
      </c>
      <c r="D43" s="709">
        <v>-0.34510104082473914</v>
      </c>
      <c r="E43" s="710">
        <v>0.49916002344389948</v>
      </c>
      <c r="F43" s="708">
        <v>0.82966215254342957</v>
      </c>
      <c r="G43" s="711">
        <v>0.24999996726497564</v>
      </c>
      <c r="H43" s="710">
        <v>0.314</v>
      </c>
      <c r="I43" s="708">
        <v>0.52</v>
      </c>
      <c r="J43" s="570">
        <v>3.1080000000000001</v>
      </c>
      <c r="K43" s="865">
        <f>IF($J43="","",IF(IFERROR(INDEX(Settings!$AK$14:$AK$32,MATCH((((ROUND($H43,6)*2)*1000000)+ROUND($I43,6)),Settings!$AI$14:$AI$32,0)),"Undefined")="Undefined","Undefined",IFERROR(INDEX(_xlfn.ANCHORARRAY(Settings!$BC$14),MATCH(IFERROR(INDEX(Settings!$AK$14:$AK$32,MATCH((((ROUND($H43,6)*2)*1000000)+ROUND($I43,6)),Settings!$AI$14:$AI$32,0)),"Undefined"),_xlfn.ANCHORARRAY(Settings!$BC$14),0)),"Inactive")))</f>
        <v>1613</v>
      </c>
      <c r="L43" s="320"/>
      <c r="M43" s="168">
        <f t="shared" si="239"/>
        <v>3.1080000000000001</v>
      </c>
      <c r="N43" s="632">
        <f t="shared" si="240"/>
        <v>1.6030028054361962</v>
      </c>
      <c r="O43" s="629">
        <f t="shared" si="241"/>
        <v>-1.1224360628367618</v>
      </c>
      <c r="P43" s="633">
        <f t="shared" si="242"/>
        <v>-0.34510104082473914</v>
      </c>
      <c r="Q43" s="585">
        <f t="shared" si="113"/>
        <v>324.9999660702029</v>
      </c>
      <c r="R43" s="629">
        <f t="shared" si="385"/>
        <v>1.9569059020282009</v>
      </c>
      <c r="S43" s="634">
        <f t="shared" si="386"/>
        <v>-0.34510104082473914</v>
      </c>
      <c r="T43" s="635">
        <f t="shared" si="387"/>
        <v>-1.1222961701988496</v>
      </c>
      <c r="U43" s="629">
        <f t="shared" si="388"/>
        <v>-1.6031007503428476</v>
      </c>
      <c r="V43" s="636">
        <f t="shared" si="389"/>
        <v>-0.34510104082473914</v>
      </c>
      <c r="W43" s="585">
        <f t="shared" si="224"/>
        <v>235.00496606948099</v>
      </c>
      <c r="X43" s="629">
        <f t="shared" si="390"/>
        <v>1.9569059020282009</v>
      </c>
      <c r="Y43" s="630">
        <f t="shared" si="223"/>
        <v>-0.34510104082473914</v>
      </c>
      <c r="Z43" s="632">
        <f t="shared" si="243"/>
        <v>-0.49916002344389948</v>
      </c>
      <c r="AA43" s="629">
        <f t="shared" si="244"/>
        <v>-0.82966215254342957</v>
      </c>
      <c r="AB43" s="629">
        <f t="shared" si="245"/>
        <v>-0.24999996726497564</v>
      </c>
      <c r="AC43" s="636">
        <f t="shared" si="391"/>
        <v>1</v>
      </c>
      <c r="AD43" s="637">
        <f t="shared" si="392"/>
        <v>-0.49916002344389948</v>
      </c>
      <c r="AE43" s="629">
        <f t="shared" si="393"/>
        <v>-0.82966215254342957</v>
      </c>
      <c r="AF43" s="633">
        <f t="shared" si="394"/>
        <v>-0.24999996726497564</v>
      </c>
      <c r="AG43" s="602">
        <f t="shared" si="395"/>
        <v>-73.231004817230939</v>
      </c>
      <c r="AH43" s="603">
        <f t="shared" si="396"/>
        <v>119.94444314080609</v>
      </c>
      <c r="AI43" s="585">
        <f t="shared" si="397"/>
        <v>-75.522489751159469</v>
      </c>
      <c r="AJ43" s="586">
        <f t="shared" si="398"/>
        <v>-31.032904284710551</v>
      </c>
      <c r="AK43" s="635">
        <f t="shared" si="399"/>
        <v>0.9659258360722075</v>
      </c>
      <c r="AL43" s="629">
        <f t="shared" si="400"/>
        <v>6.6987279208207184E-2</v>
      </c>
      <c r="AM43" s="634">
        <f t="shared" si="401"/>
        <v>-0.24999996726497564</v>
      </c>
      <c r="AN43" s="581">
        <f t="shared" si="402"/>
        <v>14.999997834268264</v>
      </c>
      <c r="AO43" s="582">
        <f t="shared" si="94"/>
        <v>14.99999783426823</v>
      </c>
      <c r="AP43" s="585">
        <f t="shared" si="403"/>
        <v>3.9671296450865703</v>
      </c>
      <c r="AQ43" s="586">
        <f t="shared" si="246"/>
        <v>1.1648043751027541</v>
      </c>
      <c r="AS43" s="52">
        <f t="shared" ref="AS43:AS74" si="406">IF(G43="","",IF(AND(W43&lt;(AS42+180),W43&gt;(AS42-180)),W43,IF(W43&gt;(AS42+180),W43-360,IF(W43&lt;(AS42-180),W43+360,"Error"))))</f>
        <v>-124.99503393051901</v>
      </c>
      <c r="AT43" s="72">
        <f t="shared" si="247"/>
        <v>-0.25829546170682449</v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>
        <f t="shared" si="210"/>
        <v>3.1080000000000001</v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IFERROR(ROUND(VALUE(IF($IH43&lt;1,$IH43+LARGE((IF($M$9:$M$150="",0,$M$9:$M$150)-MOD(IF($M$9:$M$150="",0,$M$9:$M$150),1)),1),$IH43)),4),"")</f>
        <v/>
      </c>
      <c r="IJ43" s="533">
        <f t="shared" si="112"/>
        <v>1613</v>
      </c>
      <c r="IK43" s="533" t="str">
        <f t="shared" si="382"/>
        <v/>
      </c>
      <c r="IL43" s="727" t="str">
        <f t="shared" si="225"/>
        <v/>
      </c>
      <c r="IM43" s="759"/>
      <c r="IN43" s="5" t="str">
        <f t="shared" si="226"/>
        <v/>
      </c>
      <c r="IO43" s="771"/>
      <c r="IP43" s="9" t="str">
        <f t="shared" si="227"/>
        <v/>
      </c>
      <c r="IQ43" s="5" t="str">
        <f t="shared" si="228"/>
        <v/>
      </c>
      <c r="IR43" s="5" t="str">
        <f t="shared" si="383"/>
        <v/>
      </c>
      <c r="IS43" s="5" t="str">
        <f t="shared" si="229"/>
        <v/>
      </c>
      <c r="IT43" s="727" t="str">
        <f t="shared" si="230"/>
        <v/>
      </c>
      <c r="IU43" s="9" t="str">
        <f t="shared" si="231"/>
        <v/>
      </c>
      <c r="IV43" s="5" t="str">
        <f t="shared" si="232"/>
        <v/>
      </c>
      <c r="IW43" s="5" t="str">
        <f t="shared" si="384"/>
        <v/>
      </c>
      <c r="IX43" s="5" t="str">
        <f t="shared" si="233"/>
        <v/>
      </c>
      <c r="IY43" s="762" t="str">
        <f t="shared" si="234"/>
        <v/>
      </c>
    </row>
    <row r="44" spans="1:267" ht="15" customHeight="1" x14ac:dyDescent="0.25">
      <c r="A44" s="79"/>
      <c r="B44" s="707">
        <v>2.196485059672816</v>
      </c>
      <c r="C44" s="708">
        <v>-1.5425151008953157</v>
      </c>
      <c r="D44" s="709">
        <v>-0.15090045511577263</v>
      </c>
      <c r="E44" s="710">
        <v>0.52837162678019567</v>
      </c>
      <c r="F44" s="708">
        <v>0.80898275497856686</v>
      </c>
      <c r="G44" s="711">
        <v>0.25762438968571599</v>
      </c>
      <c r="H44" s="710">
        <v>0.314</v>
      </c>
      <c r="I44" s="708">
        <v>0.52</v>
      </c>
      <c r="J44" s="570">
        <v>3.1120000000000001</v>
      </c>
      <c r="K44" s="865">
        <f>IF($J44="","",IF(IFERROR(INDEX(Settings!$AK$14:$AK$32,MATCH((((ROUND($H44,6)*2)*1000000)+ROUND($I44,6)),Settings!$AI$14:$AI$32,0)),"Undefined")="Undefined","Undefined",IFERROR(INDEX(_xlfn.ANCHORARRAY(Settings!$BC$14),MATCH(IFERROR(INDEX(Settings!$AK$14:$AK$32,MATCH((((ROUND($H44,6)*2)*1000000)+ROUND($I44,6)),Settings!$AI$14:$AI$32,0)),"Undefined"),_xlfn.ANCHORARRAY(Settings!$BC$14),0)),"Inactive")))</f>
        <v>1613</v>
      </c>
      <c r="L44" s="320"/>
      <c r="M44" s="168">
        <f t="shared" si="239"/>
        <v>3.1120000000000001</v>
      </c>
      <c r="N44" s="632">
        <f t="shared" si="240"/>
        <v>2.196485059672816</v>
      </c>
      <c r="O44" s="629">
        <f t="shared" si="241"/>
        <v>-1.5425151008953157</v>
      </c>
      <c r="P44" s="633">
        <f t="shared" si="242"/>
        <v>-0.15090045511577263</v>
      </c>
      <c r="Q44" s="585">
        <f t="shared" si="113"/>
        <v>324.92096608160909</v>
      </c>
      <c r="R44" s="629">
        <f t="shared" si="385"/>
        <v>2.6840080949684149</v>
      </c>
      <c r="S44" s="634">
        <f t="shared" si="386"/>
        <v>-0.15090045511577263</v>
      </c>
      <c r="T44" s="635">
        <f t="shared" si="387"/>
        <v>-1.5423234155684626</v>
      </c>
      <c r="U44" s="629">
        <f t="shared" si="388"/>
        <v>-2.196619661125979</v>
      </c>
      <c r="V44" s="636">
        <f t="shared" si="389"/>
        <v>-0.15090045511577263</v>
      </c>
      <c r="W44" s="585">
        <f t="shared" si="224"/>
        <v>234.92596608088718</v>
      </c>
      <c r="X44" s="629">
        <f t="shared" si="390"/>
        <v>2.6840080949684149</v>
      </c>
      <c r="Y44" s="630">
        <f t="shared" si="223"/>
        <v>-0.15090045511577263</v>
      </c>
      <c r="Z44" s="632">
        <f t="shared" si="243"/>
        <v>-0.52837162678019567</v>
      </c>
      <c r="AA44" s="629">
        <f t="shared" si="244"/>
        <v>-0.80898275497856686</v>
      </c>
      <c r="AB44" s="629">
        <f t="shared" si="245"/>
        <v>-0.25762438968571599</v>
      </c>
      <c r="AC44" s="636">
        <f t="shared" si="391"/>
        <v>1</v>
      </c>
      <c r="AD44" s="637">
        <f t="shared" si="392"/>
        <v>-0.52837162678019567</v>
      </c>
      <c r="AE44" s="629">
        <f t="shared" si="393"/>
        <v>-0.80898275497856686</v>
      </c>
      <c r="AF44" s="633">
        <f t="shared" si="394"/>
        <v>-0.25762438968571599</v>
      </c>
      <c r="AG44" s="602">
        <f t="shared" si="395"/>
        <v>-72.335677410951561</v>
      </c>
      <c r="AH44" s="603">
        <f t="shared" si="396"/>
        <v>121.89549809476212</v>
      </c>
      <c r="AI44" s="585">
        <f t="shared" si="397"/>
        <v>-75.070851602438182</v>
      </c>
      <c r="AJ44" s="586">
        <f t="shared" si="398"/>
        <v>-33.14979390106798</v>
      </c>
      <c r="AK44" s="635">
        <f t="shared" si="399"/>
        <v>0.96569744066548857</v>
      </c>
      <c r="AL44" s="629">
        <f t="shared" si="400"/>
        <v>3.2528863047873779E-2</v>
      </c>
      <c r="AM44" s="634">
        <f t="shared" si="401"/>
        <v>-0.25762438968571599</v>
      </c>
      <c r="AN44" s="581">
        <f t="shared" si="402"/>
        <v>7.1963516742266282</v>
      </c>
      <c r="AO44" s="582">
        <f t="shared" si="94"/>
        <v>15.050475643880663</v>
      </c>
      <c r="AP44" s="585">
        <f t="shared" si="403"/>
        <v>1.9292400173229176</v>
      </c>
      <c r="AQ44" s="586">
        <f t="shared" si="246"/>
        <v>0.84931176591189217</v>
      </c>
      <c r="AS44" s="52">
        <f t="shared" si="406"/>
        <v>-125.07403391911282</v>
      </c>
      <c r="AT44" s="72">
        <f t="shared" si="247"/>
        <v>-6.4040014894667832E-2</v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>
        <f t="shared" si="210"/>
        <v>3.1120000000000001</v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IFERROR(ROUND(VALUE(IF($IH44&lt;1,$IH44+LARGE((IF($M$9:$M$150="",0,$M$9:$M$150)-MOD(IF($M$9:$M$150="",0,$M$9:$M$150),1)),1),$IH44)),4),"")</f>
        <v/>
      </c>
      <c r="IJ44" s="533">
        <f t="shared" si="112"/>
        <v>1613</v>
      </c>
      <c r="IK44" s="533" t="str">
        <f t="shared" si="382"/>
        <v/>
      </c>
      <c r="IL44" s="727" t="str">
        <f t="shared" si="225"/>
        <v/>
      </c>
      <c r="IM44" s="759"/>
      <c r="IN44" s="5" t="str">
        <f t="shared" si="226"/>
        <v/>
      </c>
      <c r="IO44" s="771"/>
      <c r="IP44" s="9" t="str">
        <f t="shared" si="227"/>
        <v/>
      </c>
      <c r="IQ44" s="5" t="str">
        <f t="shared" si="228"/>
        <v/>
      </c>
      <c r="IR44" s="5" t="str">
        <f t="shared" si="383"/>
        <v/>
      </c>
      <c r="IS44" s="5" t="str">
        <f t="shared" si="229"/>
        <v/>
      </c>
      <c r="IT44" s="727" t="str">
        <f t="shared" si="230"/>
        <v/>
      </c>
      <c r="IU44" s="9" t="str">
        <f t="shared" si="231"/>
        <v/>
      </c>
      <c r="IV44" s="5" t="str">
        <f t="shared" si="232"/>
        <v/>
      </c>
      <c r="IW44" s="5" t="str">
        <f t="shared" si="384"/>
        <v/>
      </c>
      <c r="IX44" s="5" t="str">
        <f t="shared" si="233"/>
        <v/>
      </c>
      <c r="IY44" s="762" t="str">
        <f t="shared" si="234"/>
        <v/>
      </c>
    </row>
    <row r="45" spans="1:267" ht="15" customHeight="1" x14ac:dyDescent="0.25">
      <c r="A45" s="79"/>
      <c r="B45" s="707">
        <v>2.7897015108526739</v>
      </c>
      <c r="C45" s="708">
        <v>-2.0038681806211041</v>
      </c>
      <c r="D45" s="709">
        <v>-8.4300254249566817E-2</v>
      </c>
      <c r="E45" s="710">
        <v>0.62828022789316595</v>
      </c>
      <c r="F45" s="708">
        <v>0.73547276502127135</v>
      </c>
      <c r="G45" s="711">
        <v>0.25366073237786968</v>
      </c>
      <c r="H45" s="710">
        <v>0.314</v>
      </c>
      <c r="I45" s="708">
        <v>0.52</v>
      </c>
      <c r="J45" s="570">
        <v>3.117</v>
      </c>
      <c r="K45" s="865">
        <f>IF($J45="","",IF(IFERROR(INDEX(Settings!$AK$14:$AK$32,MATCH((((ROUND($H45,6)*2)*1000000)+ROUND($I45,6)),Settings!$AI$14:$AI$32,0)),"Undefined")="Undefined","Undefined",IFERROR(INDEX(_xlfn.ANCHORARRAY(Settings!$BC$14),MATCH(IFERROR(INDEX(Settings!$AK$14:$AK$32,MATCH((((ROUND($H45,6)*2)*1000000)+ROUND($I45,6)),Settings!$AI$14:$AI$32,0)),"Undefined"),_xlfn.ANCHORARRAY(Settings!$BC$14),0)),"Inactive")))</f>
        <v>1613</v>
      </c>
      <c r="L45" s="320"/>
      <c r="M45" s="168">
        <f t="shared" si="239"/>
        <v>3.117</v>
      </c>
      <c r="N45" s="632">
        <f t="shared" si="240"/>
        <v>2.7897015108526739</v>
      </c>
      <c r="O45" s="629">
        <f t="shared" si="241"/>
        <v>-2.0038681806211041</v>
      </c>
      <c r="P45" s="633">
        <f t="shared" si="242"/>
        <v>-8.4300254249566817E-2</v>
      </c>
      <c r="Q45" s="585">
        <f t="shared" si="113"/>
        <v>324.30996616982657</v>
      </c>
      <c r="R45" s="629">
        <f t="shared" si="385"/>
        <v>3.4348103593880444</v>
      </c>
      <c r="S45" s="634">
        <f t="shared" si="386"/>
        <v>-8.4300254249566817E-2</v>
      </c>
      <c r="T45" s="635">
        <f t="shared" si="387"/>
        <v>-2.0036247256438378</v>
      </c>
      <c r="U45" s="629">
        <f t="shared" si="388"/>
        <v>-2.789876370692451</v>
      </c>
      <c r="V45" s="636">
        <f t="shared" si="389"/>
        <v>-8.4300254249566817E-2</v>
      </c>
      <c r="W45" s="585">
        <f t="shared" si="224"/>
        <v>234.31496616910465</v>
      </c>
      <c r="X45" s="629">
        <f t="shared" si="390"/>
        <v>3.4348103593880444</v>
      </c>
      <c r="Y45" s="630">
        <f t="shared" si="223"/>
        <v>-8.4300254249566817E-2</v>
      </c>
      <c r="Z45" s="632">
        <f t="shared" si="243"/>
        <v>-0.62828022789316595</v>
      </c>
      <c r="AA45" s="629">
        <f t="shared" si="244"/>
        <v>-0.73547276502127135</v>
      </c>
      <c r="AB45" s="629">
        <f t="shared" si="245"/>
        <v>-0.25366073237786968</v>
      </c>
      <c r="AC45" s="636">
        <f t="shared" si="391"/>
        <v>1</v>
      </c>
      <c r="AD45" s="637">
        <f t="shared" si="392"/>
        <v>-0.62828022789316595</v>
      </c>
      <c r="AE45" s="629">
        <f t="shared" si="393"/>
        <v>-0.73547276502127135</v>
      </c>
      <c r="AF45" s="633">
        <f t="shared" si="394"/>
        <v>-0.25366073237786968</v>
      </c>
      <c r="AG45" s="602">
        <f t="shared" si="395"/>
        <v>-70.97095220706629</v>
      </c>
      <c r="AH45" s="603">
        <f t="shared" si="396"/>
        <v>128.92335453371106</v>
      </c>
      <c r="AI45" s="585">
        <f t="shared" si="397"/>
        <v>-75.30575825643119</v>
      </c>
      <c r="AJ45" s="586">
        <f t="shared" si="398"/>
        <v>-40.505726746048282</v>
      </c>
      <c r="AK45" s="635">
        <f t="shared" si="399"/>
        <v>0.96387861178722445</v>
      </c>
      <c r="AL45" s="629">
        <f t="shared" si="400"/>
        <v>-8.1205015785084877E-2</v>
      </c>
      <c r="AM45" s="634">
        <f t="shared" si="401"/>
        <v>-0.25366073237786968</v>
      </c>
      <c r="AN45" s="581">
        <f t="shared" si="402"/>
        <v>-17.751552007912018</v>
      </c>
      <c r="AO45" s="582">
        <f t="shared" si="94"/>
        <v>15.446705535741847</v>
      </c>
      <c r="AP45" s="585">
        <f t="shared" si="403"/>
        <v>-4.8156929158748216</v>
      </c>
      <c r="AQ45" s="586">
        <f t="shared" si="246"/>
        <v>0.66368283274413276</v>
      </c>
      <c r="AS45" s="52">
        <f t="shared" si="406"/>
        <v>-125.68503383089535</v>
      </c>
      <c r="AT45" s="72">
        <f t="shared" si="247"/>
        <v>2.984491465831407E-3</v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>
        <f t="shared" si="210"/>
        <v>3.117</v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IFERROR(ROUND(VALUE(IF($IH45&lt;1,$IH45+LARGE((IF($M$9:$M$150="",0,$M$9:$M$150)-MOD(IF($M$9:$M$150="",0,$M$9:$M$150),1)),1),$IH45)),4),"")</f>
        <v/>
      </c>
      <c r="IJ45" s="533">
        <f t="shared" si="112"/>
        <v>1613</v>
      </c>
      <c r="IK45" s="533" t="str">
        <f t="shared" si="382"/>
        <v/>
      </c>
      <c r="IL45" s="727" t="str">
        <f t="shared" si="225"/>
        <v/>
      </c>
      <c r="IM45" s="759"/>
      <c r="IN45" s="5" t="str">
        <f t="shared" si="226"/>
        <v/>
      </c>
      <c r="IO45" s="771"/>
      <c r="IP45" s="9" t="str">
        <f t="shared" si="227"/>
        <v/>
      </c>
      <c r="IQ45" s="5" t="str">
        <f t="shared" si="228"/>
        <v/>
      </c>
      <c r="IR45" s="5" t="str">
        <f t="shared" si="383"/>
        <v/>
      </c>
      <c r="IS45" s="5" t="str">
        <f t="shared" si="229"/>
        <v/>
      </c>
      <c r="IT45" s="727" t="str">
        <f t="shared" si="230"/>
        <v/>
      </c>
      <c r="IU45" s="9" t="str">
        <f t="shared" si="231"/>
        <v/>
      </c>
      <c r="IV45" s="5" t="str">
        <f t="shared" si="232"/>
        <v/>
      </c>
      <c r="IW45" s="5" t="str">
        <f t="shared" si="384"/>
        <v/>
      </c>
      <c r="IX45" s="5" t="str">
        <f t="shared" si="233"/>
        <v/>
      </c>
      <c r="IY45" s="762" t="str">
        <f t="shared" si="234"/>
        <v/>
      </c>
    </row>
    <row r="46" spans="1:267" ht="15" customHeight="1" x14ac:dyDescent="0.25">
      <c r="A46" s="79"/>
      <c r="B46" s="707">
        <v>3.3479328260781958</v>
      </c>
      <c r="C46" s="708">
        <v>-2.4882110918884721</v>
      </c>
      <c r="D46" s="709">
        <v>-0.24400073590621951</v>
      </c>
      <c r="E46" s="710">
        <v>0.70389463777450312</v>
      </c>
      <c r="F46" s="708">
        <v>0.67408110507984054</v>
      </c>
      <c r="G46" s="711">
        <v>0.22393526449990403</v>
      </c>
      <c r="H46" s="710">
        <v>0.314</v>
      </c>
      <c r="I46" s="708">
        <v>0.52</v>
      </c>
      <c r="J46" s="570">
        <v>3.1230000000000002</v>
      </c>
      <c r="K46" s="865">
        <f>IF($J46="","",IF(IFERROR(INDEX(Settings!$AK$14:$AK$32,MATCH((((ROUND($H46,6)*2)*1000000)+ROUND($I46,6)),Settings!$AI$14:$AI$32,0)),"Undefined")="Undefined","Undefined",IFERROR(INDEX(_xlfn.ANCHORARRAY(Settings!$BC$14),MATCH(IFERROR(INDEX(Settings!$AK$14:$AK$32,MATCH((((ROUND($H46,6)*2)*1000000)+ROUND($I46,6)),Settings!$AI$14:$AI$32,0)),"Undefined"),_xlfn.ANCHORARRAY(Settings!$BC$14),0)),"Inactive")))</f>
        <v>1613</v>
      </c>
      <c r="L46" s="320"/>
      <c r="M46" s="168">
        <f t="shared" si="239"/>
        <v>3.1230000000000002</v>
      </c>
      <c r="N46" s="632">
        <f t="shared" si="240"/>
        <v>3.3479328260781958</v>
      </c>
      <c r="O46" s="629">
        <f t="shared" si="241"/>
        <v>-2.4882110918884721</v>
      </c>
      <c r="P46" s="633">
        <f t="shared" si="242"/>
        <v>-0.24400073590621951</v>
      </c>
      <c r="Q46" s="585">
        <f t="shared" si="113"/>
        <v>323.37996630410191</v>
      </c>
      <c r="R46" s="629">
        <f t="shared" si="385"/>
        <v>4.1713125806787428</v>
      </c>
      <c r="S46" s="634">
        <f t="shared" si="386"/>
        <v>-0.24400073590621951</v>
      </c>
      <c r="T46" s="635">
        <f t="shared" si="387"/>
        <v>-2.487918920201869</v>
      </c>
      <c r="U46" s="629">
        <f t="shared" si="388"/>
        <v>-3.3481499506787804</v>
      </c>
      <c r="V46" s="636">
        <f t="shared" si="389"/>
        <v>-0.24400073590621951</v>
      </c>
      <c r="W46" s="585">
        <f t="shared" si="224"/>
        <v>233.38496630338</v>
      </c>
      <c r="X46" s="629">
        <f t="shared" si="390"/>
        <v>4.1713125806787428</v>
      </c>
      <c r="Y46" s="630">
        <f t="shared" si="223"/>
        <v>-0.24400073590621951</v>
      </c>
      <c r="Z46" s="632">
        <f t="shared" si="243"/>
        <v>-0.70389463777450312</v>
      </c>
      <c r="AA46" s="629">
        <f t="shared" si="244"/>
        <v>-0.67408110507984054</v>
      </c>
      <c r="AB46" s="629">
        <f t="shared" si="245"/>
        <v>-0.22393526449990403</v>
      </c>
      <c r="AC46" s="636">
        <f t="shared" si="391"/>
        <v>1</v>
      </c>
      <c r="AD46" s="637">
        <f t="shared" si="392"/>
        <v>-0.70389463777450312</v>
      </c>
      <c r="AE46" s="629">
        <f t="shared" si="393"/>
        <v>-0.67408110507984054</v>
      </c>
      <c r="AF46" s="633">
        <f t="shared" si="394"/>
        <v>-0.22393526449990403</v>
      </c>
      <c r="AG46" s="602">
        <f t="shared" si="395"/>
        <v>-71.623090064637836</v>
      </c>
      <c r="AH46" s="603">
        <f t="shared" si="396"/>
        <v>134.74031255256978</v>
      </c>
      <c r="AI46" s="585">
        <f t="shared" si="397"/>
        <v>-77.059724206794229</v>
      </c>
      <c r="AJ46" s="586">
        <f t="shared" si="398"/>
        <v>-46.239443540155946</v>
      </c>
      <c r="AK46" s="635">
        <f t="shared" si="399"/>
        <v>0.96090058628859609</v>
      </c>
      <c r="AL46" s="629">
        <f t="shared" si="400"/>
        <v>-0.16285902057789242</v>
      </c>
      <c r="AM46" s="634">
        <f t="shared" si="401"/>
        <v>-0.22393526449990403</v>
      </c>
      <c r="AN46" s="581">
        <f t="shared" si="402"/>
        <v>-36.026873024613622</v>
      </c>
      <c r="AO46" s="582">
        <f t="shared" si="94"/>
        <v>16.074891934551854</v>
      </c>
      <c r="AP46" s="585">
        <f t="shared" si="403"/>
        <v>-9.6194098442578309</v>
      </c>
      <c r="AQ46" s="586">
        <f t="shared" si="246"/>
        <v>0.54650843122598824</v>
      </c>
      <c r="AS46" s="52">
        <f t="shared" si="406"/>
        <v>-126.61503369662</v>
      </c>
      <c r="AT46" s="72">
        <f t="shared" si="247"/>
        <v>-0.15607015695073473</v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>
        <f t="shared" si="210"/>
        <v>3.1230000000000002</v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IFERROR(ROUND(VALUE(IF($IH46&lt;1,$IH46+LARGE((IF($M$9:$M$150="",0,$M$9:$M$150)-MOD(IF($M$9:$M$150="",0,$M$9:$M$150),1)),1),$IH46)),4),"")</f>
        <v/>
      </c>
      <c r="IJ46" s="533">
        <f t="shared" si="112"/>
        <v>1613</v>
      </c>
      <c r="IK46" s="533" t="str">
        <f t="shared" si="382"/>
        <v/>
      </c>
      <c r="IL46" s="727" t="str">
        <f t="shared" si="225"/>
        <v/>
      </c>
      <c r="IM46" s="759"/>
      <c r="IN46" s="5" t="str">
        <f t="shared" si="226"/>
        <v/>
      </c>
      <c r="IO46" s="771"/>
      <c r="IP46" s="9" t="str">
        <f t="shared" si="227"/>
        <v/>
      </c>
      <c r="IQ46" s="5" t="str">
        <f t="shared" si="228"/>
        <v/>
      </c>
      <c r="IR46" s="5" t="str">
        <f t="shared" si="383"/>
        <v/>
      </c>
      <c r="IS46" s="5" t="str">
        <f t="shared" si="229"/>
        <v/>
      </c>
      <c r="IT46" s="727" t="str">
        <f t="shared" si="230"/>
        <v/>
      </c>
      <c r="IU46" s="9" t="str">
        <f t="shared" si="231"/>
        <v/>
      </c>
      <c r="IV46" s="5" t="str">
        <f t="shared" si="232"/>
        <v/>
      </c>
      <c r="IW46" s="5" t="str">
        <f t="shared" si="384"/>
        <v/>
      </c>
      <c r="IX46" s="5" t="str">
        <f t="shared" si="233"/>
        <v/>
      </c>
      <c r="IY46" s="762" t="str">
        <f t="shared" si="234"/>
        <v/>
      </c>
    </row>
    <row r="47" spans="1:267" ht="15" customHeight="1" x14ac:dyDescent="0.25">
      <c r="A47" s="79"/>
      <c r="B47" s="707">
        <v>3.8239722013405348</v>
      </c>
      <c r="C47" s="708">
        <v>-2.9450712531091794</v>
      </c>
      <c r="D47" s="709">
        <v>-0.61680186027441064</v>
      </c>
      <c r="E47" s="710">
        <v>0.76838508422741092</v>
      </c>
      <c r="F47" s="708">
        <v>0.61091345556280052</v>
      </c>
      <c r="G47" s="711">
        <v>0.19070687493940255</v>
      </c>
      <c r="H47" s="710">
        <v>0.314</v>
      </c>
      <c r="I47" s="708">
        <v>0.52</v>
      </c>
      <c r="J47" s="570">
        <v>3.129</v>
      </c>
      <c r="K47" s="865">
        <f>IF($J47="","",IF(IFERROR(INDEX(Settings!$AK$14:$AK$32,MATCH((((ROUND($H47,6)*2)*1000000)+ROUND($I47,6)),Settings!$AI$14:$AI$32,0)),"Undefined")="Undefined","Undefined",IFERROR(INDEX(_xlfn.ANCHORARRAY(Settings!$BC$14),MATCH(IFERROR(INDEX(Settings!$AK$14:$AK$32,MATCH((((ROUND($H47,6)*2)*1000000)+ROUND($I47,6)),Settings!$AI$14:$AI$32,0)),"Undefined"),_xlfn.ANCHORARRAY(Settings!$BC$14),0)),"Inactive")))</f>
        <v>1613</v>
      </c>
      <c r="L47" s="320"/>
      <c r="M47" s="168">
        <f t="shared" si="239"/>
        <v>3.129</v>
      </c>
      <c r="N47" s="632">
        <f t="shared" si="240"/>
        <v>3.8239722013405348</v>
      </c>
      <c r="O47" s="629">
        <f t="shared" si="241"/>
        <v>-2.9450712531091794</v>
      </c>
      <c r="P47" s="633">
        <f t="shared" si="242"/>
        <v>-0.61680186027441064</v>
      </c>
      <c r="Q47" s="585">
        <f t="shared" si="113"/>
        <v>322.39796644588517</v>
      </c>
      <c r="R47" s="629">
        <f t="shared" si="385"/>
        <v>4.8266145570695045</v>
      </c>
      <c r="S47" s="634">
        <f t="shared" si="386"/>
        <v>-0.61680186027441064</v>
      </c>
      <c r="T47" s="635">
        <f t="shared" si="387"/>
        <v>-2.9447375374166946</v>
      </c>
      <c r="U47" s="629">
        <f t="shared" si="388"/>
        <v>-3.8242291926928633</v>
      </c>
      <c r="V47" s="636">
        <f t="shared" si="389"/>
        <v>-0.61680186027441064</v>
      </c>
      <c r="W47" s="585">
        <f t="shared" si="224"/>
        <v>232.40296644516326</v>
      </c>
      <c r="X47" s="629">
        <f t="shared" si="390"/>
        <v>4.8266145570695045</v>
      </c>
      <c r="Y47" s="630">
        <f t="shared" si="223"/>
        <v>-0.61680186027441064</v>
      </c>
      <c r="Z47" s="632">
        <f t="shared" si="243"/>
        <v>-0.76838508422741092</v>
      </c>
      <c r="AA47" s="629">
        <f t="shared" si="244"/>
        <v>-0.61091345556280052</v>
      </c>
      <c r="AB47" s="629">
        <f t="shared" si="245"/>
        <v>-0.19070687493940255</v>
      </c>
      <c r="AC47" s="636">
        <f t="shared" si="391"/>
        <v>1</v>
      </c>
      <c r="AD47" s="637">
        <f t="shared" si="392"/>
        <v>-0.76838508422741092</v>
      </c>
      <c r="AE47" s="629">
        <f t="shared" si="393"/>
        <v>-0.61091345556280052</v>
      </c>
      <c r="AF47" s="633">
        <f t="shared" si="394"/>
        <v>-0.19070687493940255</v>
      </c>
      <c r="AG47" s="602">
        <f t="shared" si="395"/>
        <v>-72.66337149700594</v>
      </c>
      <c r="AH47" s="603">
        <f t="shared" si="396"/>
        <v>140.20909148834994</v>
      </c>
      <c r="AI47" s="585">
        <f t="shared" si="397"/>
        <v>-79.005960522488891</v>
      </c>
      <c r="AJ47" s="586">
        <f t="shared" si="398"/>
        <v>-51.513138878858136</v>
      </c>
      <c r="AK47" s="635">
        <f t="shared" si="399"/>
        <v>0.95285522388292732</v>
      </c>
      <c r="AL47" s="629">
        <f t="shared" si="400"/>
        <v>-0.23600383507448269</v>
      </c>
      <c r="AM47" s="634">
        <f t="shared" si="401"/>
        <v>-0.19070687493940255</v>
      </c>
      <c r="AN47" s="581">
        <f t="shared" si="402"/>
        <v>-51.059471636099886</v>
      </c>
      <c r="AO47" s="582">
        <f t="shared" si="94"/>
        <v>17.663452196824004</v>
      </c>
      <c r="AP47" s="585">
        <f t="shared" si="403"/>
        <v>-13.911105324743279</v>
      </c>
      <c r="AQ47" s="586">
        <f t="shared" si="246"/>
        <v>0.47231345405259445</v>
      </c>
      <c r="AS47" s="52">
        <f t="shared" si="406"/>
        <v>-127.59703355483674</v>
      </c>
      <c r="AT47" s="72">
        <f t="shared" si="247"/>
        <v>-0.52818933697294201</v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>
        <f t="shared" si="210"/>
        <v>3.129</v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IFERROR(ROUND(VALUE(IF($IH47&lt;1,$IH47+LARGE((IF($M$9:$M$150="",0,$M$9:$M$150)-MOD(IF($M$9:$M$150="",0,$M$9:$M$150),1)),1),$IH47)),4),"")</f>
        <v/>
      </c>
      <c r="IJ47" s="533">
        <f t="shared" si="112"/>
        <v>1613</v>
      </c>
      <c r="IK47" s="533" t="str">
        <f t="shared" si="382"/>
        <v/>
      </c>
      <c r="IL47" s="727" t="str">
        <f t="shared" si="225"/>
        <v/>
      </c>
      <c r="IM47" s="759"/>
      <c r="IN47" s="5" t="str">
        <f t="shared" si="226"/>
        <v/>
      </c>
      <c r="IO47" s="771"/>
      <c r="IP47" s="9" t="str">
        <f t="shared" si="227"/>
        <v/>
      </c>
      <c r="IQ47" s="5" t="str">
        <f t="shared" si="228"/>
        <v/>
      </c>
      <c r="IR47" s="5" t="str">
        <f t="shared" si="383"/>
        <v/>
      </c>
      <c r="IS47" s="5" t="str">
        <f t="shared" si="229"/>
        <v/>
      </c>
      <c r="IT47" s="727" t="str">
        <f t="shared" si="230"/>
        <v/>
      </c>
      <c r="IU47" s="9" t="str">
        <f t="shared" si="231"/>
        <v/>
      </c>
      <c r="IV47" s="5" t="str">
        <f t="shared" si="232"/>
        <v/>
      </c>
      <c r="IW47" s="5" t="str">
        <f t="shared" si="384"/>
        <v/>
      </c>
      <c r="IX47" s="5" t="str">
        <f t="shared" si="233"/>
        <v/>
      </c>
      <c r="IY47" s="762" t="str">
        <f t="shared" si="234"/>
        <v/>
      </c>
    </row>
    <row r="48" spans="1:267" ht="15" customHeight="1" x14ac:dyDescent="0.25">
      <c r="A48" s="79"/>
      <c r="B48" s="707">
        <v>4.1833627429830802</v>
      </c>
      <c r="C48" s="708">
        <v>-3.3206923146190475</v>
      </c>
      <c r="D48" s="709">
        <v>-1.1676035214922209</v>
      </c>
      <c r="E48" s="710">
        <v>0.81849946460144984</v>
      </c>
      <c r="F48" s="708">
        <v>0.55659650065769217</v>
      </c>
      <c r="G48" s="711">
        <v>0.1423339801409057</v>
      </c>
      <c r="H48" s="710">
        <v>0.314</v>
      </c>
      <c r="I48" s="708">
        <v>0.52</v>
      </c>
      <c r="J48" s="570">
        <v>3.1349999999999998</v>
      </c>
      <c r="K48" s="865">
        <f>IF($J48="","",IF(IFERROR(INDEX(Settings!$AK$14:$AK$32,MATCH((((ROUND($H48,6)*2)*1000000)+ROUND($I48,6)),Settings!$AI$14:$AI$32,0)),"Undefined")="Undefined","Undefined",IFERROR(INDEX(_xlfn.ANCHORARRAY(Settings!$BC$14),MATCH(IFERROR(INDEX(Settings!$AK$14:$AK$32,MATCH((((ROUND($H48,6)*2)*1000000)+ROUND($I48,6)),Settings!$AI$14:$AI$32,0)),"Undefined"),_xlfn.ANCHORARRAY(Settings!$BC$14),0)),"Inactive")))</f>
        <v>1613</v>
      </c>
      <c r="L48" s="320"/>
      <c r="M48" s="168">
        <f t="shared" si="239"/>
        <v>3.1349999999999998</v>
      </c>
      <c r="N48" s="632">
        <f t="shared" si="240"/>
        <v>4.1833627429830802</v>
      </c>
      <c r="O48" s="629">
        <f t="shared" si="241"/>
        <v>-3.3206923146190475</v>
      </c>
      <c r="P48" s="633">
        <f t="shared" si="242"/>
        <v>-1.1676035214922209</v>
      </c>
      <c r="Q48" s="585">
        <f t="shared" si="113"/>
        <v>321.55796656716615</v>
      </c>
      <c r="R48" s="629">
        <f t="shared" si="79"/>
        <v>5.3411161088061858</v>
      </c>
      <c r="S48" s="634">
        <f t="shared" si="80"/>
        <v>-1.1676035214922209</v>
      </c>
      <c r="T48" s="635">
        <f t="shared" si="81"/>
        <v>-3.320327234759612</v>
      </c>
      <c r="U48" s="629">
        <f t="shared" si="82"/>
        <v>-4.1836525120834924</v>
      </c>
      <c r="V48" s="636">
        <f t="shared" si="114"/>
        <v>-1.1676035214922209</v>
      </c>
      <c r="W48" s="585">
        <f t="shared" si="224"/>
        <v>231.56296656644423</v>
      </c>
      <c r="X48" s="629">
        <f t="shared" si="83"/>
        <v>5.3411161088061858</v>
      </c>
      <c r="Y48" s="630">
        <f t="shared" si="223"/>
        <v>-1.1676035214922209</v>
      </c>
      <c r="Z48" s="632">
        <f t="shared" si="243"/>
        <v>-0.81849946460144984</v>
      </c>
      <c r="AA48" s="629">
        <f t="shared" si="244"/>
        <v>-0.55659650065769217</v>
      </c>
      <c r="AB48" s="629">
        <f t="shared" si="245"/>
        <v>-0.1423339801409057</v>
      </c>
      <c r="AC48" s="636">
        <f t="shared" si="84"/>
        <v>1</v>
      </c>
      <c r="AD48" s="637">
        <f t="shared" si="115"/>
        <v>-0.81849946460144984</v>
      </c>
      <c r="AE48" s="629">
        <f t="shared" si="85"/>
        <v>-0.55659650065769217</v>
      </c>
      <c r="AF48" s="633">
        <f t="shared" si="86"/>
        <v>-0.1423339801409057</v>
      </c>
      <c r="AG48" s="602">
        <f t="shared" si="87"/>
        <v>-75.65561206505626</v>
      </c>
      <c r="AH48" s="603">
        <f t="shared" si="88"/>
        <v>144.93486527680523</v>
      </c>
      <c r="AI48" s="585">
        <f t="shared" si="89"/>
        <v>-81.817073790304192</v>
      </c>
      <c r="AJ48" s="586">
        <f t="shared" si="90"/>
        <v>-55.783490607898706</v>
      </c>
      <c r="AK48" s="635">
        <f t="shared" si="211"/>
        <v>0.94482685688627233</v>
      </c>
      <c r="AL48" s="629">
        <f t="shared" si="91"/>
        <v>-0.29503092821542615</v>
      </c>
      <c r="AM48" s="634">
        <f t="shared" si="92"/>
        <v>-0.1423339801409057</v>
      </c>
      <c r="AN48" s="581">
        <f t="shared" si="93"/>
        <v>-64.245596121270665</v>
      </c>
      <c r="AO48" s="582">
        <f t="shared" si="94"/>
        <v>19.121360352317858</v>
      </c>
      <c r="AP48" s="585">
        <f t="shared" si="95"/>
        <v>-17.341457175064882</v>
      </c>
      <c r="AQ48" s="586">
        <f t="shared" si="246"/>
        <v>0.42681799375662027</v>
      </c>
      <c r="AS48" s="52">
        <f t="shared" si="406"/>
        <v>-128.43703343355577</v>
      </c>
      <c r="AT48" s="72">
        <f t="shared" si="247"/>
        <v>-1.0784076649416419</v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>
        <f t="shared" si="210"/>
        <v>3.1349999999999998</v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IFERROR(ROUND(VALUE(IF($IH48&lt;1,$IH48+LARGE((IF($M$9:$M$150="",0,$M$9:$M$150)-MOD(IF($M$9:$M$150="",0,$M$9:$M$150),1)),1),$IH48)),4),"")</f>
        <v/>
      </c>
      <c r="IJ48" s="533">
        <f t="shared" si="112"/>
        <v>1613</v>
      </c>
      <c r="IK48" s="533" t="str">
        <f t="shared" si="382"/>
        <v/>
      </c>
      <c r="IL48" s="727" t="str">
        <f t="shared" si="225"/>
        <v/>
      </c>
      <c r="IM48" s="759"/>
      <c r="IN48" s="5" t="str">
        <f t="shared" si="226"/>
        <v/>
      </c>
      <c r="IO48" s="771"/>
      <c r="IP48" s="9" t="str">
        <f t="shared" si="227"/>
        <v/>
      </c>
      <c r="IQ48" s="5" t="str">
        <f t="shared" si="228"/>
        <v/>
      </c>
      <c r="IR48" s="5" t="str">
        <f t="shared" si="383"/>
        <v/>
      </c>
      <c r="IS48" s="5" t="str">
        <f t="shared" si="229"/>
        <v/>
      </c>
      <c r="IT48" s="727" t="str">
        <f t="shared" si="230"/>
        <v/>
      </c>
      <c r="IU48" s="9" t="str">
        <f t="shared" si="231"/>
        <v/>
      </c>
      <c r="IV48" s="5" t="str">
        <f t="shared" si="232"/>
        <v/>
      </c>
      <c r="IW48" s="5" t="str">
        <f t="shared" si="384"/>
        <v/>
      </c>
      <c r="IX48" s="5" t="str">
        <f t="shared" si="233"/>
        <v/>
      </c>
      <c r="IY48" s="762" t="str">
        <f t="shared" si="234"/>
        <v/>
      </c>
    </row>
    <row r="49" spans="1:259" ht="15" customHeight="1" x14ac:dyDescent="0.25">
      <c r="A49" s="79"/>
      <c r="B49" s="707">
        <v>4.405076744393762</v>
      </c>
      <c r="C49" s="708">
        <v>-3.5669104669306009</v>
      </c>
      <c r="D49" s="709">
        <v>-1.846705569663998</v>
      </c>
      <c r="E49" s="710">
        <v>0.86368416696749406</v>
      </c>
      <c r="F49" s="708">
        <v>0.49251136078270524</v>
      </c>
      <c r="G49" s="711">
        <v>0.1071551176082315</v>
      </c>
      <c r="H49" s="710">
        <v>0.314</v>
      </c>
      <c r="I49" s="708">
        <v>0.52</v>
      </c>
      <c r="J49" s="570">
        <v>3.141</v>
      </c>
      <c r="K49" s="865">
        <f>IF($J49="","",IF(IFERROR(INDEX(Settings!$AK$14:$AK$32,MATCH((((ROUND($H49,6)*2)*1000000)+ROUND($I49,6)),Settings!$AI$14:$AI$32,0)),"Undefined")="Undefined","Undefined",IFERROR(INDEX(_xlfn.ANCHORARRAY(Settings!$BC$14),MATCH(IFERROR(INDEX(Settings!$AK$14:$AK$32,MATCH((((ROUND($H49,6)*2)*1000000)+ROUND($I49,6)),Settings!$AI$14:$AI$32,0)),"Undefined"),_xlfn.ANCHORARRAY(Settings!$BC$14),0)),"Inactive")))</f>
        <v>1613</v>
      </c>
      <c r="L49" s="320"/>
      <c r="M49" s="168">
        <f t="shared" si="239"/>
        <v>3.141</v>
      </c>
      <c r="N49" s="632">
        <f t="shared" si="240"/>
        <v>4.405076744393762</v>
      </c>
      <c r="O49" s="629">
        <f t="shared" si="241"/>
        <v>-3.5669104669306009</v>
      </c>
      <c r="P49" s="633">
        <f t="shared" si="242"/>
        <v>-1.846705569663998</v>
      </c>
      <c r="Q49" s="585">
        <f t="shared" si="113"/>
        <v>321.0019666474426</v>
      </c>
      <c r="R49" s="629">
        <f t="shared" si="79"/>
        <v>5.6681170950411586</v>
      </c>
      <c r="S49" s="634">
        <f t="shared" si="80"/>
        <v>-1.846705569663998</v>
      </c>
      <c r="T49" s="635">
        <f t="shared" si="81"/>
        <v>-3.5665260379398416</v>
      </c>
      <c r="U49" s="629">
        <f t="shared" si="82"/>
        <v>-4.4053879992340006</v>
      </c>
      <c r="V49" s="636">
        <f t="shared" si="114"/>
        <v>-1.846705569663998</v>
      </c>
      <c r="W49" s="585">
        <f t="shared" si="224"/>
        <v>231.00696664672068</v>
      </c>
      <c r="X49" s="629">
        <f t="shared" si="83"/>
        <v>5.6681170950411586</v>
      </c>
      <c r="Y49" s="630">
        <f t="shared" si="223"/>
        <v>-1.846705569663998</v>
      </c>
      <c r="Z49" s="632">
        <f t="shared" si="243"/>
        <v>-0.86368416696749406</v>
      </c>
      <c r="AA49" s="629">
        <f t="shared" si="244"/>
        <v>-0.49251136078270524</v>
      </c>
      <c r="AB49" s="629">
        <f t="shared" si="245"/>
        <v>-0.1071551176082315</v>
      </c>
      <c r="AC49" s="636">
        <f t="shared" si="84"/>
        <v>1</v>
      </c>
      <c r="AD49" s="637">
        <f t="shared" si="115"/>
        <v>-0.86368416696749406</v>
      </c>
      <c r="AE49" s="629">
        <f t="shared" si="85"/>
        <v>-0.49251136078270524</v>
      </c>
      <c r="AF49" s="633">
        <f t="shared" si="86"/>
        <v>-0.1071551176082315</v>
      </c>
      <c r="AG49" s="602">
        <f t="shared" si="87"/>
        <v>-77.72551448508618</v>
      </c>
      <c r="AH49" s="603">
        <f t="shared" si="88"/>
        <v>149.73279226276964</v>
      </c>
      <c r="AI49" s="585">
        <f t="shared" si="89"/>
        <v>-83.848653631567274</v>
      </c>
      <c r="AJ49" s="586">
        <f t="shared" si="90"/>
        <v>-60.306276687629698</v>
      </c>
      <c r="AK49" s="635">
        <f t="shared" si="211"/>
        <v>0.92627487205680037</v>
      </c>
      <c r="AL49" s="629">
        <f t="shared" si="91"/>
        <v>-0.36129301427861055</v>
      </c>
      <c r="AM49" s="634">
        <f t="shared" si="92"/>
        <v>-0.1071551176082315</v>
      </c>
      <c r="AN49" s="581">
        <f t="shared" si="93"/>
        <v>-73.480283326109742</v>
      </c>
      <c r="AO49" s="582">
        <f t="shared" si="94"/>
        <v>22.138613285457538</v>
      </c>
      <c r="AP49" s="585">
        <f t="shared" si="95"/>
        <v>-21.308243335072273</v>
      </c>
      <c r="AQ49" s="586">
        <f t="shared" si="246"/>
        <v>0.40219514680860724</v>
      </c>
      <c r="AS49" s="52">
        <f t="shared" si="406"/>
        <v>-128.99303335327932</v>
      </c>
      <c r="AT49" s="72">
        <f t="shared" si="247"/>
        <v>-1.7571236020580554</v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>
        <f t="shared" si="210"/>
        <v>3.141</v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IFERROR(ROUND(VALUE(IF($IH49&lt;1,$IH49+LARGE((IF($M$9:$M$150="",0,$M$9:$M$150)-MOD(IF($M$9:$M$150="",0,$M$9:$M$150),1)),1),$IH49)),4),"")</f>
        <v/>
      </c>
      <c r="IJ49" s="533">
        <f t="shared" si="112"/>
        <v>1613</v>
      </c>
      <c r="IK49" s="533" t="str">
        <f t="shared" si="382"/>
        <v/>
      </c>
      <c r="IL49" s="727" t="str">
        <f t="shared" si="225"/>
        <v/>
      </c>
      <c r="IM49" s="759"/>
      <c r="IN49" s="5" t="str">
        <f t="shared" si="226"/>
        <v/>
      </c>
      <c r="IO49" s="771"/>
      <c r="IP49" s="9" t="str">
        <f t="shared" si="227"/>
        <v/>
      </c>
      <c r="IQ49" s="5" t="str">
        <f t="shared" si="228"/>
        <v/>
      </c>
      <c r="IR49" s="5" t="str">
        <f t="shared" si="383"/>
        <v/>
      </c>
      <c r="IS49" s="5" t="str">
        <f t="shared" si="229"/>
        <v/>
      </c>
      <c r="IT49" s="727" t="str">
        <f t="shared" si="230"/>
        <v/>
      </c>
      <c r="IU49" s="9" t="str">
        <f t="shared" si="231"/>
        <v/>
      </c>
      <c r="IV49" s="5" t="str">
        <f t="shared" si="232"/>
        <v/>
      </c>
      <c r="IW49" s="5" t="str">
        <f t="shared" si="384"/>
        <v/>
      </c>
      <c r="IX49" s="5" t="str">
        <f t="shared" si="233"/>
        <v/>
      </c>
      <c r="IY49" s="762" t="str">
        <f t="shared" si="234"/>
        <v/>
      </c>
    </row>
    <row r="50" spans="1:259" ht="15" customHeight="1" x14ac:dyDescent="0.25">
      <c r="A50" s="79"/>
      <c r="B50" s="707">
        <v>4.5047589684941922</v>
      </c>
      <c r="C50" s="708">
        <v>-3.6815958008142791</v>
      </c>
      <c r="D50" s="709">
        <v>-2.5871078027171333</v>
      </c>
      <c r="E50" s="710">
        <v>0.91488608795475235</v>
      </c>
      <c r="F50" s="708">
        <v>0.39522312844915231</v>
      </c>
      <c r="G50" s="711">
        <v>8.235365690553309E-2</v>
      </c>
      <c r="H50" s="710">
        <v>0.314</v>
      </c>
      <c r="I50" s="708">
        <v>0.52</v>
      </c>
      <c r="J50" s="570">
        <v>3.1469999999999998</v>
      </c>
      <c r="K50" s="865">
        <f>IF($J50="","",IF(IFERROR(INDEX(Settings!$AK$14:$AK$32,MATCH((((ROUND($H50,6)*2)*1000000)+ROUND($I50,6)),Settings!$AI$14:$AI$32,0)),"Undefined")="Undefined","Undefined",IFERROR(INDEX(_xlfn.ANCHORARRAY(Settings!$BC$14),MATCH(IFERROR(INDEX(Settings!$AK$14:$AK$32,MATCH((((ROUND($H50,6)*2)*1000000)+ROUND($I50,6)),Settings!$AI$14:$AI$32,0)),"Undefined"),_xlfn.ANCHORARRAY(Settings!$BC$14),0)),"Inactive")))</f>
        <v>1613</v>
      </c>
      <c r="L50" s="320"/>
      <c r="M50" s="168">
        <f t="shared" si="239"/>
        <v>3.1469999999999998</v>
      </c>
      <c r="N50" s="632">
        <f t="shared" si="240"/>
        <v>4.5047589684941922</v>
      </c>
      <c r="O50" s="629">
        <f t="shared" si="241"/>
        <v>-3.6815958008142791</v>
      </c>
      <c r="P50" s="633">
        <f t="shared" si="242"/>
        <v>-2.5871078027171333</v>
      </c>
      <c r="Q50" s="585">
        <f t="shared" si="113"/>
        <v>320.74196668498195</v>
      </c>
      <c r="R50" s="629">
        <f t="shared" si="79"/>
        <v>5.8178175465377215</v>
      </c>
      <c r="S50" s="634">
        <f t="shared" si="80"/>
        <v>-2.5871078027171333</v>
      </c>
      <c r="T50" s="635">
        <f t="shared" si="81"/>
        <v>-3.6812026724730194</v>
      </c>
      <c r="U50" s="629">
        <f t="shared" si="82"/>
        <v>-4.5050802311368106</v>
      </c>
      <c r="V50" s="636">
        <f t="shared" si="114"/>
        <v>-2.5871078027171333</v>
      </c>
      <c r="W50" s="585">
        <f t="shared" si="224"/>
        <v>230.74696668426003</v>
      </c>
      <c r="X50" s="629">
        <f t="shared" si="83"/>
        <v>5.8178175465377215</v>
      </c>
      <c r="Y50" s="630">
        <f t="shared" si="223"/>
        <v>-2.5871078027171333</v>
      </c>
      <c r="Z50" s="632">
        <f t="shared" si="243"/>
        <v>-0.91488608795475235</v>
      </c>
      <c r="AA50" s="629">
        <f t="shared" si="244"/>
        <v>-0.39522312844915231</v>
      </c>
      <c r="AB50" s="629">
        <f t="shared" si="245"/>
        <v>-8.235365690553309E-2</v>
      </c>
      <c r="AC50" s="636">
        <f t="shared" si="84"/>
        <v>1</v>
      </c>
      <c r="AD50" s="637">
        <f t="shared" si="115"/>
        <v>-0.91488608795475235</v>
      </c>
      <c r="AE50" s="629">
        <f t="shared" si="85"/>
        <v>-0.39522312844915231</v>
      </c>
      <c r="AF50" s="633">
        <f t="shared" si="86"/>
        <v>-8.235365690553309E-2</v>
      </c>
      <c r="AG50" s="602">
        <f t="shared" si="87"/>
        <v>-78.229556795019093</v>
      </c>
      <c r="AH50" s="603">
        <f t="shared" si="88"/>
        <v>156.18955520868531</v>
      </c>
      <c r="AI50" s="585">
        <f t="shared" si="89"/>
        <v>-85.276133092764894</v>
      </c>
      <c r="AJ50" s="586">
        <f t="shared" si="90"/>
        <v>-66.636059876588902</v>
      </c>
      <c r="AK50" s="635">
        <f t="shared" si="211"/>
        <v>0.88497545185811155</v>
      </c>
      <c r="AL50" s="629">
        <f t="shared" si="91"/>
        <v>-0.458297201390994</v>
      </c>
      <c r="AM50" s="634">
        <f t="shared" si="92"/>
        <v>-8.235365690553309E-2</v>
      </c>
      <c r="AN50" s="581">
        <f t="shared" si="93"/>
        <v>-79.812961071721361</v>
      </c>
      <c r="AO50" s="582">
        <f t="shared" si="94"/>
        <v>27.75149945145381</v>
      </c>
      <c r="AP50" s="585">
        <f t="shared" si="95"/>
        <v>-27.378026561570845</v>
      </c>
      <c r="AQ50" s="586">
        <f t="shared" si="246"/>
        <v>0.39184643916705042</v>
      </c>
      <c r="AS50" s="52">
        <f t="shared" si="406"/>
        <v>-129.25303331573997</v>
      </c>
      <c r="AT50" s="72">
        <f t="shared" si="247"/>
        <v>-2.4973452795817042</v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>
        <f t="shared" si="210"/>
        <v>3.1469999999999998</v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IFERROR(ROUND(VALUE(IF($IH50&lt;1,$IH50+LARGE((IF($M$9:$M$150="",0,$M$9:$M$150)-MOD(IF($M$9:$M$150="",0,$M$9:$M$150),1)),1),$IH50)),4),"")</f>
        <v/>
      </c>
      <c r="IJ50" s="533">
        <f t="shared" si="112"/>
        <v>1613</v>
      </c>
      <c r="IK50" s="533" t="str">
        <f t="shared" si="382"/>
        <v/>
      </c>
      <c r="IL50" s="727" t="str">
        <f t="shared" si="225"/>
        <v/>
      </c>
      <c r="IM50" s="759"/>
      <c r="IN50" s="5" t="str">
        <f t="shared" si="226"/>
        <v/>
      </c>
      <c r="IO50" s="771"/>
      <c r="IP50" s="9" t="str">
        <f t="shared" si="227"/>
        <v/>
      </c>
      <c r="IQ50" s="5" t="str">
        <f t="shared" si="228"/>
        <v/>
      </c>
      <c r="IR50" s="5" t="str">
        <f t="shared" si="383"/>
        <v/>
      </c>
      <c r="IS50" s="5" t="str">
        <f t="shared" si="229"/>
        <v/>
      </c>
      <c r="IT50" s="727" t="str">
        <f t="shared" si="230"/>
        <v/>
      </c>
      <c r="IU50" s="9" t="str">
        <f t="shared" si="231"/>
        <v/>
      </c>
      <c r="IV50" s="5" t="str">
        <f t="shared" si="232"/>
        <v/>
      </c>
      <c r="IW50" s="5" t="str">
        <f t="shared" si="384"/>
        <v/>
      </c>
      <c r="IX50" s="5" t="str">
        <f t="shared" si="233"/>
        <v/>
      </c>
      <c r="IY50" s="762" t="str">
        <f t="shared" si="234"/>
        <v/>
      </c>
    </row>
    <row r="51" spans="1:259" ht="15" customHeight="1" x14ac:dyDescent="0.25">
      <c r="A51" s="79"/>
      <c r="B51" s="707">
        <v>4.5850872506812825</v>
      </c>
      <c r="C51" s="708">
        <v>-3.7760312182165752</v>
      </c>
      <c r="D51" s="709">
        <v>-3.306309971830875</v>
      </c>
      <c r="E51" s="710">
        <v>0.96350454499707949</v>
      </c>
      <c r="F51" s="708">
        <v>0.267691971807064</v>
      </c>
      <c r="G51" s="711">
        <v>1.3008419205995495E-7</v>
      </c>
      <c r="H51" s="710">
        <v>0.26600000000000001</v>
      </c>
      <c r="I51" s="708">
        <v>0.52</v>
      </c>
      <c r="J51" s="570">
        <v>3.153</v>
      </c>
      <c r="K51" s="865">
        <f>IF($J51="","",IF(IFERROR(INDEX(Settings!$AK$14:$AK$32,MATCH((((ROUND($H51,6)*2)*1000000)+ROUND($I51,6)),Settings!$AI$14:$AI$32,0)),"Undefined")="Undefined","Undefined",IFERROR(INDEX(_xlfn.ANCHORARRAY(Settings!$BC$14),MATCH(IFERROR(INDEX(Settings!$AK$14:$AK$32,MATCH((((ROUND($H51,6)*2)*1000000)+ROUND($I51,6)),Settings!$AI$14:$AI$32,0)),"Undefined"),_xlfn.ANCHORARRAY(Settings!$BC$14),0)),"Inactive")))</f>
        <v>1313</v>
      </c>
      <c r="L51" s="320"/>
      <c r="M51" s="168">
        <f t="shared" si="239"/>
        <v>3.153</v>
      </c>
      <c r="N51" s="632">
        <f t="shared" si="240"/>
        <v>4.5850872506812825</v>
      </c>
      <c r="O51" s="629">
        <f t="shared" si="241"/>
        <v>-3.7760312182165752</v>
      </c>
      <c r="P51" s="633">
        <f t="shared" si="242"/>
        <v>-3.306309971830875</v>
      </c>
      <c r="Q51" s="585">
        <f t="shared" si="113"/>
        <v>320.52696671602405</v>
      </c>
      <c r="R51" s="629">
        <f t="shared" si="79"/>
        <v>5.9398179144908294</v>
      </c>
      <c r="S51" s="634">
        <f t="shared" si="80"/>
        <v>-3.306309971830875</v>
      </c>
      <c r="T51" s="635">
        <f t="shared" si="81"/>
        <v>-3.7756310795517232</v>
      </c>
      <c r="U51" s="629">
        <f t="shared" si="82"/>
        <v>-4.5854167540616491</v>
      </c>
      <c r="V51" s="636">
        <f t="shared" si="114"/>
        <v>-3.306309971830875</v>
      </c>
      <c r="W51" s="585">
        <f t="shared" si="224"/>
        <v>230.53196671530213</v>
      </c>
      <c r="X51" s="629">
        <f t="shared" si="83"/>
        <v>5.9398179144908294</v>
      </c>
      <c r="Y51" s="630">
        <f t="shared" si="223"/>
        <v>-3.306309971830875</v>
      </c>
      <c r="Z51" s="632">
        <f t="shared" si="243"/>
        <v>-0.96350454499707949</v>
      </c>
      <c r="AA51" s="629">
        <f t="shared" si="244"/>
        <v>-0.267691971807064</v>
      </c>
      <c r="AB51" s="629">
        <f t="shared" si="245"/>
        <v>-1.3008419205995495E-7</v>
      </c>
      <c r="AC51" s="636">
        <f t="shared" si="84"/>
        <v>1</v>
      </c>
      <c r="AD51" s="637">
        <f t="shared" si="115"/>
        <v>-0.96350454499707949</v>
      </c>
      <c r="AE51" s="629">
        <f t="shared" si="85"/>
        <v>-0.267691971807064</v>
      </c>
      <c r="AF51" s="633">
        <f t="shared" si="86"/>
        <v>-1.3008419205995495E-7</v>
      </c>
      <c r="AG51" s="602">
        <f t="shared" si="87"/>
        <v>-89.999972157270406</v>
      </c>
      <c r="AH51" s="603">
        <f t="shared" si="88"/>
        <v>164.47302823059943</v>
      </c>
      <c r="AI51" s="585">
        <f t="shared" si="89"/>
        <v>-89.999992546724812</v>
      </c>
      <c r="AJ51" s="586">
        <f t="shared" si="90"/>
        <v>-74.473028230601187</v>
      </c>
      <c r="AK51" s="635">
        <f t="shared" si="211"/>
        <v>0.81915209487729235</v>
      </c>
      <c r="AL51" s="629">
        <f t="shared" si="91"/>
        <v>-0.57357636410344393</v>
      </c>
      <c r="AM51" s="634">
        <f t="shared" si="92"/>
        <v>-1.3008419205995495E-7</v>
      </c>
      <c r="AN51" s="581">
        <f t="shared" si="93"/>
        <v>-89.999987005609626</v>
      </c>
      <c r="AO51" s="582">
        <f t="shared" si="94"/>
        <v>34.999994946625911</v>
      </c>
      <c r="AP51" s="585">
        <f t="shared" si="95"/>
        <v>-34.999994946625229</v>
      </c>
      <c r="AQ51" s="586">
        <f t="shared" si="246"/>
        <v>0.38379838694863389</v>
      </c>
      <c r="AS51" s="52">
        <f t="shared" si="406"/>
        <v>-129.46803328469787</v>
      </c>
      <c r="AT51" s="72">
        <f t="shared" si="247"/>
        <v>-3.2163981431614475</v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>
        <f t="shared" si="210"/>
        <v>3.153</v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IFERROR(ROUND(VALUE(IF($IH51&lt;1,$IH51+LARGE((IF($M$9:$M$150="",0,$M$9:$M$150)-MOD(IF($M$9:$M$150="",0,$M$9:$M$150),1)),1),$IH51)),4),"")</f>
        <v/>
      </c>
      <c r="IJ51" s="533">
        <f t="shared" si="112"/>
        <v>1313</v>
      </c>
      <c r="IK51" s="533" t="str">
        <f t="shared" si="382"/>
        <v/>
      </c>
      <c r="IL51" s="727" t="str">
        <f t="shared" si="225"/>
        <v/>
      </c>
      <c r="IM51" s="759"/>
      <c r="IN51" s="5" t="str">
        <f t="shared" si="226"/>
        <v/>
      </c>
      <c r="IO51" s="771"/>
      <c r="IP51" s="9" t="str">
        <f t="shared" si="227"/>
        <v/>
      </c>
      <c r="IQ51" s="5" t="str">
        <f t="shared" si="228"/>
        <v/>
      </c>
      <c r="IR51" s="5" t="str">
        <f t="shared" si="383"/>
        <v/>
      </c>
      <c r="IS51" s="5" t="str">
        <f t="shared" si="229"/>
        <v/>
      </c>
      <c r="IT51" s="727" t="str">
        <f t="shared" si="230"/>
        <v/>
      </c>
      <c r="IU51" s="9" t="str">
        <f t="shared" si="231"/>
        <v/>
      </c>
      <c r="IV51" s="5" t="str">
        <f t="shared" si="232"/>
        <v/>
      </c>
      <c r="IW51" s="5" t="str">
        <f t="shared" si="384"/>
        <v/>
      </c>
      <c r="IX51" s="5" t="str">
        <f t="shared" si="233"/>
        <v/>
      </c>
      <c r="IY51" s="762" t="str">
        <f t="shared" si="234"/>
        <v/>
      </c>
    </row>
    <row r="52" spans="1:259" ht="15" customHeight="1" x14ac:dyDescent="0.25">
      <c r="A52" s="79"/>
      <c r="B52" s="707">
        <v>0.88061168106460352</v>
      </c>
      <c r="C52" s="708">
        <v>-1.7361581769513814</v>
      </c>
      <c r="D52" s="709">
        <v>-0.36331793360422759</v>
      </c>
      <c r="E52" s="710">
        <v>-0.11707823752833646</v>
      </c>
      <c r="F52" s="708">
        <v>0.23082453401992087</v>
      </c>
      <c r="G52" s="711">
        <v>0.96592583607218263</v>
      </c>
      <c r="H52" s="710">
        <v>0.26250000000000001</v>
      </c>
      <c r="I52" s="708">
        <v>0.40699999999999997</v>
      </c>
      <c r="J52" s="570">
        <v>3.2080000000000002</v>
      </c>
      <c r="K52" s="865" t="str">
        <f>IF($J52="","",IF(IFERROR(INDEX(Settings!$AK$14:$AK$32,MATCH((((ROUND($H52,6)*2)*1000000)+ROUND($I52,6)),Settings!$AI$14:$AI$32,0)),"Undefined")="Undefined","Undefined",IFERROR(INDEX(_xlfn.ANCHORARRAY(Settings!$BC$14),MATCH(IFERROR(INDEX(Settings!$AK$14:$AK$32,MATCH((((ROUND($H52,6)*2)*1000000)+ROUND($I52,6)),Settings!$AI$14:$AI$32,0)),"Undefined"),_xlfn.ANCHORARRAY(Settings!$BC$14),0)),"Inactive")))</f>
        <v>Inactive</v>
      </c>
      <c r="L52" s="320"/>
      <c r="M52" s="168">
        <f t="shared" si="239"/>
        <v>3.2080000000000002</v>
      </c>
      <c r="N52" s="632">
        <f t="shared" si="240"/>
        <v>0.88061168106460352</v>
      </c>
      <c r="O52" s="629">
        <f t="shared" si="241"/>
        <v>-1.7361581769513814</v>
      </c>
      <c r="P52" s="633">
        <f t="shared" si="242"/>
        <v>-0.36331793360422759</v>
      </c>
      <c r="Q52" s="585">
        <f t="shared" si="113"/>
        <v>296.89497012806225</v>
      </c>
      <c r="R52" s="629">
        <f t="shared" si="79"/>
        <v>1.9467208706495576</v>
      </c>
      <c r="S52" s="634">
        <f t="shared" si="80"/>
        <v>-0.36331793360422759</v>
      </c>
      <c r="T52" s="635">
        <f t="shared" si="81"/>
        <v>-1.7360813224854454</v>
      </c>
      <c r="U52" s="629">
        <f t="shared" si="82"/>
        <v>-0.88076318607203286</v>
      </c>
      <c r="V52" s="636">
        <f t="shared" si="114"/>
        <v>-0.36331793360422759</v>
      </c>
      <c r="W52" s="585">
        <f t="shared" si="224"/>
        <v>206.89997012734034</v>
      </c>
      <c r="X52" s="629">
        <f t="shared" si="83"/>
        <v>1.9467208706495576</v>
      </c>
      <c r="Y52" s="630">
        <f t="shared" si="223"/>
        <v>-0.36331793360422759</v>
      </c>
      <c r="Z52" s="632">
        <f t="shared" si="243"/>
        <v>0.11707823752833646</v>
      </c>
      <c r="AA52" s="629">
        <f t="shared" si="244"/>
        <v>-0.23082453401992087</v>
      </c>
      <c r="AB52" s="629">
        <f t="shared" si="245"/>
        <v>-0.96592583607218263</v>
      </c>
      <c r="AC52" s="636">
        <f t="shared" si="84"/>
        <v>1</v>
      </c>
      <c r="AD52" s="637">
        <f t="shared" si="115"/>
        <v>0.11707823752833646</v>
      </c>
      <c r="AE52" s="629">
        <f t="shared" si="85"/>
        <v>-0.23082453401992087</v>
      </c>
      <c r="AF52" s="633">
        <f t="shared" si="86"/>
        <v>-0.96592583607218263</v>
      </c>
      <c r="AG52" s="602">
        <f t="shared" si="87"/>
        <v>-13.439764670504923</v>
      </c>
      <c r="AH52" s="603">
        <f t="shared" si="88"/>
        <v>83.276490829539995</v>
      </c>
      <c r="AI52" s="585">
        <f t="shared" si="89"/>
        <v>-14.999997834273739</v>
      </c>
      <c r="AJ52" s="586">
        <f t="shared" si="90"/>
        <v>26.89491992158602</v>
      </c>
      <c r="AK52" s="635">
        <f t="shared" si="211"/>
        <v>2.267948967932254E-7</v>
      </c>
      <c r="AL52" s="629">
        <f t="shared" si="91"/>
        <v>0.25881900859133927</v>
      </c>
      <c r="AM52" s="634">
        <f t="shared" si="92"/>
        <v>-0.96592583607218263</v>
      </c>
      <c r="AN52" s="581">
        <f t="shared" si="93"/>
        <v>14.999997834268264</v>
      </c>
      <c r="AO52" s="582">
        <f t="shared" si="94"/>
        <v>0</v>
      </c>
      <c r="AP52" s="585">
        <f t="shared" si="95"/>
        <v>89.999949793523783</v>
      </c>
      <c r="AQ52" s="586">
        <f t="shared" si="246"/>
        <v>1.1708968124413921</v>
      </c>
      <c r="AS52" s="52">
        <f t="shared" si="406"/>
        <v>-153.10002987265966</v>
      </c>
      <c r="AT52" s="72">
        <f t="shared" si="247"/>
        <v>-0.25699499619315969</v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>Nose</v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>
        <f t="shared" si="210"/>
        <v>3.2080000000000002</v>
      </c>
      <c r="IH52" s="731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>3.1080000000000001</v>
      </c>
      <c r="II52" s="734" cm="1">
        <f t="array" ref="II52">IFERROR(ROUND(VALUE(IF($IH52&lt;1,$IH52+LARGE((IF($M$9:$M$150="",0,$M$9:$M$150)-MOD(IF($M$9:$M$150="",0,$M$9:$M$150),1)),1),$IH52)),4),"")</f>
        <v>3.1080000000000001</v>
      </c>
      <c r="IJ52" s="533">
        <f t="shared" si="112"/>
        <v>1613</v>
      </c>
      <c r="IK52" s="533" t="str">
        <f t="shared" si="382"/>
        <v>Inactive</v>
      </c>
      <c r="IL52" s="727">
        <f t="shared" si="225"/>
        <v>28.104995942140647</v>
      </c>
      <c r="IM52" s="759">
        <v>4.4101108712564903E-2</v>
      </c>
      <c r="IN52" s="5">
        <f t="shared" si="226"/>
        <v>0.72</v>
      </c>
      <c r="IO52" s="771">
        <v>360</v>
      </c>
      <c r="IP52" s="9">
        <f t="shared" si="227"/>
        <v>-1.9569059020282009</v>
      </c>
      <c r="IQ52" s="5">
        <f t="shared" si="228"/>
        <v>-0.34510104082473914</v>
      </c>
      <c r="IR52" s="5">
        <f t="shared" si="383"/>
        <v>0.314</v>
      </c>
      <c r="IS52" s="5">
        <f t="shared" si="229"/>
        <v>0.30330071252667318</v>
      </c>
      <c r="IT52" s="727">
        <f t="shared" si="230"/>
        <v>-14.999997834268264</v>
      </c>
      <c r="IU52" s="9">
        <f t="shared" si="231"/>
        <v>-1.9467208706495576</v>
      </c>
      <c r="IV52" s="5">
        <f t="shared" si="232"/>
        <v>-0.36331793360422759</v>
      </c>
      <c r="IW52" s="5">
        <f t="shared" si="384"/>
        <v>0.26250000000000001</v>
      </c>
      <c r="IX52" s="5">
        <f t="shared" si="233"/>
        <v>0.26250000000000001</v>
      </c>
      <c r="IY52" s="762">
        <f t="shared" si="234"/>
        <v>-14.999997834268264</v>
      </c>
    </row>
    <row r="53" spans="1:259" ht="15" customHeight="1" x14ac:dyDescent="0.25">
      <c r="A53" s="79"/>
      <c r="B53" s="707">
        <v>1.4393731623958994</v>
      </c>
      <c r="C53" s="708">
        <v>-2.2557153287057936</v>
      </c>
      <c r="D53" s="709">
        <v>-0.16227415595719952</v>
      </c>
      <c r="E53" s="710">
        <v>-0.11183907800417493</v>
      </c>
      <c r="F53" s="708">
        <v>0.17526916303356485</v>
      </c>
      <c r="G53" s="711">
        <v>0.97814760702088821</v>
      </c>
      <c r="H53" s="710">
        <v>0.26250000000000001</v>
      </c>
      <c r="I53" s="708">
        <v>0.40699999999999997</v>
      </c>
      <c r="J53" s="570">
        <v>3.2109999999999999</v>
      </c>
      <c r="K53" s="865" t="str">
        <f>IF($J53="","",IF(IFERROR(INDEX(Settings!$AK$14:$AK$32,MATCH((((ROUND($H53,6)*2)*1000000)+ROUND($I53,6)),Settings!$AI$14:$AI$32,0)),"Undefined")="Undefined","Undefined",IFERROR(INDEX(_xlfn.ANCHORARRAY(Settings!$BC$14),MATCH(IFERROR(INDEX(Settings!$AK$14:$AK$32,MATCH((((ROUND($H53,6)*2)*1000000)+ROUND($I53,6)),Settings!$AI$14:$AI$32,0)),"Undefined"),_xlfn.ANCHORARRAY(Settings!$BC$14),0)),"Inactive")))</f>
        <v>Inactive</v>
      </c>
      <c r="L53" s="320"/>
      <c r="M53" s="168">
        <f t="shared" si="239"/>
        <v>3.2109999999999999</v>
      </c>
      <c r="N53" s="632">
        <f t="shared" si="240"/>
        <v>1.4393731623958994</v>
      </c>
      <c r="O53" s="629">
        <f t="shared" si="241"/>
        <v>-2.2557153287057936</v>
      </c>
      <c r="P53" s="633">
        <f t="shared" si="242"/>
        <v>-0.16227415595719952</v>
      </c>
      <c r="Q53" s="585">
        <f t="shared" si="113"/>
        <v>302.54196931273646</v>
      </c>
      <c r="R53" s="629">
        <f t="shared" ref="R53:R58" si="410">IF(M53="","",SQRT(N53^2+O53^2))</f>
        <v>2.675826366710639</v>
      </c>
      <c r="S53" s="634">
        <f t="shared" ref="S53:S58" si="411">IF(M53="","",P53)</f>
        <v>-0.16227415595719952</v>
      </c>
      <c r="T53" s="635">
        <f t="shared" ref="T53:T58" si="412">IF(M53="","",X53*COS(RADIANS(W53)))</f>
        <v>-2.2555897111307206</v>
      </c>
      <c r="U53" s="629">
        <f t="shared" ref="U53:U58" si="413">IF(M53="","",X53*SIN(RADIANS(W53)))</f>
        <v>-1.4395700051838713</v>
      </c>
      <c r="V53" s="636">
        <f t="shared" ref="V53:V58" si="414">IF(M53="","",Y53)</f>
        <v>-0.16227415595719952</v>
      </c>
      <c r="W53" s="585">
        <f t="shared" si="224"/>
        <v>212.54696931201454</v>
      </c>
      <c r="X53" s="629">
        <f t="shared" ref="X53:X58" si="415">IF(M53="","",R53)</f>
        <v>2.675826366710639</v>
      </c>
      <c r="Y53" s="630">
        <f t="shared" si="223"/>
        <v>-0.16227415595719952</v>
      </c>
      <c r="Z53" s="632">
        <f t="shared" si="243"/>
        <v>0.11183907800417493</v>
      </c>
      <c r="AA53" s="629">
        <f t="shared" si="244"/>
        <v>-0.17526916303356485</v>
      </c>
      <c r="AB53" s="629">
        <f t="shared" si="245"/>
        <v>-0.97814760702088821</v>
      </c>
      <c r="AC53" s="636">
        <f t="shared" ref="AC53:AC58" si="416">IF(M53="","",SQRT(Z53^2+AA53^2+AB53^2))</f>
        <v>1</v>
      </c>
      <c r="AD53" s="637">
        <f t="shared" ref="AD53:AD58" si="417">IF(M53="","",Z53*(1/SQRT(Z53^2+AA53^2+AB53^2)))</f>
        <v>0.11183907800417493</v>
      </c>
      <c r="AE53" s="629">
        <f t="shared" ref="AE53:AE58" si="418">IF(M53="","",AA53*(1/SQRT(Z53^2+AA53^2+AB53^2)))</f>
        <v>-0.17526916303356485</v>
      </c>
      <c r="AF53" s="633">
        <f t="shared" ref="AF53:AF58" si="419">IF(M53="","",AB53*(1/SQRT(Z53^2+AA53^2+AB53^2)))</f>
        <v>-0.97814760702088821</v>
      </c>
      <c r="AG53" s="602">
        <f t="shared" ref="AG53:AG58" si="420">IF(M53="","",DEGREES(ATAN2(-AF53,AE53)))</f>
        <v>-10.158724459083849</v>
      </c>
      <c r="AH53" s="603">
        <f t="shared" ref="AH53:AH58" si="421">IF(M53="","",DEGREES(ACOS(AD53)))</f>
        <v>83.57865876414391</v>
      </c>
      <c r="AI53" s="585">
        <f t="shared" ref="AI53:AI58" si="422">IF(M53="","",DEGREES(-ACOS(-AF53)))</f>
        <v>-11.999998267421518</v>
      </c>
      <c r="AJ53" s="586">
        <f t="shared" ref="AJ53:AJ58" si="423">IF(M53="","",DEGREES(ATAN2(-AE53,AD53)))</f>
        <v>32.541906813161773</v>
      </c>
      <c r="AK53" s="635">
        <f t="shared" ref="AK53:AK58" si="424">IF(M53="","",(COS(RADIANS((90-$Q$8)-W53))*AD53)+(-SIN(RADIANS((90-$Q$8)-W53))*AE53))</f>
        <v>2.2679489676546982E-7</v>
      </c>
      <c r="AL53" s="629">
        <f t="shared" ref="AL53:AL58" si="425">IF(M53="","",(SIN(RADIANS((90-$Q$8)-W53))*AD53)+(COS(RADIANS((90-$Q$8)-W53))*AE53))</f>
        <v>0.20791166123923599</v>
      </c>
      <c r="AM53" s="634">
        <f t="shared" ref="AM53:AM58" si="426">IF(M53="","",AF53)</f>
        <v>-0.97814760702088821</v>
      </c>
      <c r="AN53" s="581">
        <f t="shared" ref="AN53:AN58" si="427">IF(M53="","",DEGREES(ATAN2(-AM53,AL53)))</f>
        <v>11.999998267414613</v>
      </c>
      <c r="AO53" s="582">
        <f t="shared" si="94"/>
        <v>0</v>
      </c>
      <c r="AP53" s="585">
        <f t="shared" ref="AP53:AP58" si="428">IF(M53="","",DEGREES(ATAN2(AK53,AL53)))</f>
        <v>89.999937500425304</v>
      </c>
      <c r="AQ53" s="586">
        <f t="shared" si="246"/>
        <v>0.85190827801085145</v>
      </c>
      <c r="AS53" s="52">
        <f t="shared" si="406"/>
        <v>-147.45303068798546</v>
      </c>
      <c r="AT53" s="72">
        <f t="shared" si="247"/>
        <v>-5.9872745757710941E-2</v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>
        <f t="shared" si="210"/>
        <v>3.2109999999999999</v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IFERROR(ROUND(VALUE(IF($IH53&lt;1,$IH53+LARGE((IF($M$9:$M$150="",0,$M$9:$M$150)-MOD(IF($M$9:$M$150="",0,$M$9:$M$150),1)),1),$IH53)),4),"")</f>
        <v/>
      </c>
      <c r="IJ53" s="533" t="str">
        <f t="shared" si="112"/>
        <v>Inactive</v>
      </c>
      <c r="IK53" s="533" t="str">
        <f t="shared" si="382"/>
        <v/>
      </c>
      <c r="IL53" s="727" t="str">
        <f t="shared" si="225"/>
        <v/>
      </c>
      <c r="IM53" s="759"/>
      <c r="IN53" s="5" t="str">
        <f t="shared" si="226"/>
        <v/>
      </c>
      <c r="IO53" s="771"/>
      <c r="IP53" s="9" t="str">
        <f t="shared" si="227"/>
        <v/>
      </c>
      <c r="IQ53" s="5" t="str">
        <f t="shared" si="228"/>
        <v/>
      </c>
      <c r="IR53" s="5" t="str">
        <f t="shared" si="383"/>
        <v/>
      </c>
      <c r="IS53" s="5" t="str">
        <f t="shared" si="229"/>
        <v/>
      </c>
      <c r="IT53" s="727" t="str">
        <f t="shared" si="230"/>
        <v/>
      </c>
      <c r="IU53" s="9" t="str">
        <f t="shared" si="231"/>
        <v/>
      </c>
      <c r="IV53" s="5" t="str">
        <f t="shared" si="232"/>
        <v/>
      </c>
      <c r="IW53" s="5" t="str">
        <f t="shared" si="384"/>
        <v/>
      </c>
      <c r="IX53" s="5" t="str">
        <f t="shared" si="233"/>
        <v/>
      </c>
      <c r="IY53" s="762" t="str">
        <f t="shared" si="234"/>
        <v/>
      </c>
    </row>
    <row r="54" spans="1:259" ht="15" customHeight="1" x14ac:dyDescent="0.25">
      <c r="A54" s="79"/>
      <c r="B54" s="707">
        <v>1.9843516708477917</v>
      </c>
      <c r="C54" s="708">
        <v>-2.8066524940806183</v>
      </c>
      <c r="D54" s="709">
        <v>-9.1192093559983534E-2</v>
      </c>
      <c r="E54" s="710">
        <v>3.6349801082070303E-2</v>
      </c>
      <c r="F54" s="708">
        <v>-5.1412500014844022E-2</v>
      </c>
      <c r="G54" s="711">
        <v>0.99801575478722659</v>
      </c>
      <c r="H54" s="710">
        <v>0.26250000000000001</v>
      </c>
      <c r="I54" s="708">
        <v>0.40699999999999997</v>
      </c>
      <c r="J54" s="570">
        <v>3.2170000000000001</v>
      </c>
      <c r="K54" s="865" t="str">
        <f>IF($J54="","",IF(IFERROR(INDEX(Settings!$AK$14:$AK$32,MATCH((((ROUND($H54,6)*2)*1000000)+ROUND($I54,6)),Settings!$AI$14:$AI$32,0)),"Undefined")="Undefined","Undefined",IFERROR(INDEX(_xlfn.ANCHORARRAY(Settings!$BC$14),MATCH(IFERROR(INDEX(Settings!$AK$14:$AK$32,MATCH((((ROUND($H54,6)*2)*1000000)+ROUND($I54,6)),Settings!$AI$14:$AI$32,0)),"Undefined"),_xlfn.ANCHORARRAY(Settings!$BC$14),0)),"Inactive")))</f>
        <v>Inactive</v>
      </c>
      <c r="L54" s="320"/>
      <c r="M54" s="168">
        <f t="shared" si="239"/>
        <v>3.2170000000000001</v>
      </c>
      <c r="N54" s="632">
        <f t="shared" si="240"/>
        <v>1.9843516708477917</v>
      </c>
      <c r="O54" s="629">
        <f t="shared" si="241"/>
        <v>-2.8066524940806183</v>
      </c>
      <c r="P54" s="633">
        <f t="shared" si="242"/>
        <v>-9.1192093559983534E-2</v>
      </c>
      <c r="Q54" s="585">
        <f t="shared" si="113"/>
        <v>305.26096892016147</v>
      </c>
      <c r="R54" s="629">
        <f t="shared" si="410"/>
        <v>3.4372881427260906</v>
      </c>
      <c r="S54" s="634">
        <f t="shared" si="411"/>
        <v>-9.1192093559983534E-2</v>
      </c>
      <c r="T54" s="635">
        <f t="shared" si="412"/>
        <v>-2.8064793160680339</v>
      </c>
      <c r="U54" s="629">
        <f t="shared" si="413"/>
        <v>-1.9845965898911742</v>
      </c>
      <c r="V54" s="636">
        <f t="shared" si="414"/>
        <v>-9.1192093559983534E-2</v>
      </c>
      <c r="W54" s="585">
        <f t="shared" si="224"/>
        <v>215.26596891943956</v>
      </c>
      <c r="X54" s="629">
        <f t="shared" si="415"/>
        <v>3.4372881427260906</v>
      </c>
      <c r="Y54" s="630">
        <f t="shared" si="223"/>
        <v>-9.1192093559983534E-2</v>
      </c>
      <c r="Z54" s="632">
        <f t="shared" si="243"/>
        <v>-3.6349801082070303E-2</v>
      </c>
      <c r="AA54" s="629">
        <f t="shared" si="244"/>
        <v>5.1412500014844022E-2</v>
      </c>
      <c r="AB54" s="629">
        <f t="shared" si="245"/>
        <v>-0.99801575478722659</v>
      </c>
      <c r="AC54" s="636">
        <f t="shared" si="416"/>
        <v>1</v>
      </c>
      <c r="AD54" s="637">
        <f t="shared" si="417"/>
        <v>-3.6349801082070303E-2</v>
      </c>
      <c r="AE54" s="629">
        <f t="shared" si="418"/>
        <v>5.1412500014844022E-2</v>
      </c>
      <c r="AF54" s="633">
        <f t="shared" si="419"/>
        <v>-0.99801575478722659</v>
      </c>
      <c r="AG54" s="602">
        <f t="shared" si="420"/>
        <v>2.9489691341069424</v>
      </c>
      <c r="AH54" s="603">
        <f t="shared" si="421"/>
        <v>92.08314910694429</v>
      </c>
      <c r="AI54" s="585">
        <f t="shared" si="422"/>
        <v>-3.6099994788039083</v>
      </c>
      <c r="AJ54" s="586">
        <f t="shared" si="423"/>
        <v>-144.73882470403109</v>
      </c>
      <c r="AK54" s="635">
        <f t="shared" si="424"/>
        <v>2.2679489666138641E-7</v>
      </c>
      <c r="AL54" s="629">
        <f t="shared" si="425"/>
        <v>-6.2964698017468332E-2</v>
      </c>
      <c r="AM54" s="634">
        <f t="shared" si="426"/>
        <v>-0.99801575478722659</v>
      </c>
      <c r="AN54" s="581">
        <f t="shared" si="427"/>
        <v>-3.6099994787805652</v>
      </c>
      <c r="AO54" s="582">
        <f t="shared" si="94"/>
        <v>0</v>
      </c>
      <c r="AP54" s="585">
        <f t="shared" si="428"/>
        <v>-89.999793624192563</v>
      </c>
      <c r="AQ54" s="586">
        <f t="shared" si="246"/>
        <v>0.66320445698371311</v>
      </c>
      <c r="AS54" s="52">
        <f t="shared" si="406"/>
        <v>-144.73403108056044</v>
      </c>
      <c r="AT54" s="72">
        <f t="shared" si="247"/>
        <v>9.3211224676821164E-3</v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>Nose</v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>
        <f t="shared" si="210"/>
        <v>3.2170000000000001</v>
      </c>
      <c r="IH54" s="731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>3.117</v>
      </c>
      <c r="II54" s="734" cm="1">
        <f t="array" ref="II54">IFERROR(ROUND(VALUE(IF($IH54&lt;1,$IH54+LARGE((IF($M$9:$M$150="",0,$M$9:$M$150)-MOD(IF($M$9:$M$150="",0,$M$9:$M$150),1)),1),$IH54)),4),"")</f>
        <v>3.117</v>
      </c>
      <c r="IJ54" s="533">
        <f t="shared" si="112"/>
        <v>1613</v>
      </c>
      <c r="IK54" s="533" t="str">
        <f t="shared" si="382"/>
        <v>Inactive</v>
      </c>
      <c r="IL54" s="727">
        <f t="shared" si="225"/>
        <v>19.048997249665092</v>
      </c>
      <c r="IM54" s="759">
        <v>4.5389192606074998E-2</v>
      </c>
      <c r="IN54" s="5">
        <f t="shared" si="226"/>
        <v>0.88</v>
      </c>
      <c r="IO54" s="771">
        <v>440</v>
      </c>
      <c r="IP54" s="9">
        <f t="shared" si="227"/>
        <v>-3.4348103593880444</v>
      </c>
      <c r="IQ54" s="5">
        <f t="shared" si="228"/>
        <v>-8.4300254249566817E-2</v>
      </c>
      <c r="IR54" s="5">
        <f t="shared" si="383"/>
        <v>0.314</v>
      </c>
      <c r="IS54" s="5">
        <f t="shared" si="229"/>
        <v>0.30265788410118849</v>
      </c>
      <c r="IT54" s="727">
        <f t="shared" si="230"/>
        <v>17.751552007912018</v>
      </c>
      <c r="IU54" s="9">
        <f t="shared" si="231"/>
        <v>-3.4372881427260906</v>
      </c>
      <c r="IV54" s="5">
        <f t="shared" si="232"/>
        <v>-9.1192093559983534E-2</v>
      </c>
      <c r="IW54" s="5">
        <f t="shared" si="384"/>
        <v>0.26250000000000001</v>
      </c>
      <c r="IX54" s="5">
        <f t="shared" si="233"/>
        <v>0.26250000000000001</v>
      </c>
      <c r="IY54" s="762">
        <f t="shared" si="234"/>
        <v>3.6099994787805652</v>
      </c>
    </row>
    <row r="55" spans="1:259" ht="15" customHeight="1" x14ac:dyDescent="0.25">
      <c r="A55" s="79"/>
      <c r="B55" s="707">
        <v>2.730817473823298</v>
      </c>
      <c r="C55" s="708">
        <v>-3.1736391319101127</v>
      </c>
      <c r="D55" s="709">
        <v>-0.19790669003418515</v>
      </c>
      <c r="E55" s="710">
        <v>0.81614248834899206</v>
      </c>
      <c r="F55" s="708">
        <v>0.43380879427693647</v>
      </c>
      <c r="G55" s="711">
        <v>0.38173468367376051</v>
      </c>
      <c r="H55" s="710">
        <v>0.26600000000000001</v>
      </c>
      <c r="I55" s="708">
        <v>0.52</v>
      </c>
      <c r="J55" s="570">
        <v>3.2229999999999999</v>
      </c>
      <c r="K55" s="865">
        <f>IF($J55="","",IF(IFERROR(INDEX(Settings!$AK$14:$AK$32,MATCH((((ROUND($H55,6)*2)*1000000)+ROUND($I55,6)),Settings!$AI$14:$AI$32,0)),"Undefined")="Undefined","Undefined",IFERROR(INDEX(_xlfn.ANCHORARRAY(Settings!$BC$14),MATCH(IFERROR(INDEX(Settings!$AK$14:$AK$32,MATCH((((ROUND($H55,6)*2)*1000000)+ROUND($I55,6)),Settings!$AI$14:$AI$32,0)),"Undefined"),_xlfn.ANCHORARRAY(Settings!$BC$14),0)),"Inactive")))</f>
        <v>1313</v>
      </c>
      <c r="L55" s="320"/>
      <c r="M55" s="168">
        <f t="shared" si="239"/>
        <v>3.2229999999999999</v>
      </c>
      <c r="N55" s="632">
        <f t="shared" si="240"/>
        <v>2.730817473823298</v>
      </c>
      <c r="O55" s="629">
        <f t="shared" si="241"/>
        <v>-3.1736391319101127</v>
      </c>
      <c r="P55" s="633">
        <f t="shared" si="242"/>
        <v>-0.19790669003418515</v>
      </c>
      <c r="Q55" s="585">
        <f t="shared" si="113"/>
        <v>310.71096813327893</v>
      </c>
      <c r="R55" s="629">
        <f t="shared" si="410"/>
        <v>4.1868065891476087</v>
      </c>
      <c r="S55" s="634">
        <f t="shared" si="411"/>
        <v>-0.19790669003418515</v>
      </c>
      <c r="T55" s="635">
        <f t="shared" si="412"/>
        <v>-3.1734008110795586</v>
      </c>
      <c r="U55" s="629">
        <f t="shared" si="413"/>
        <v>-2.7310944156453898</v>
      </c>
      <c r="V55" s="636">
        <f t="shared" si="414"/>
        <v>-0.19790669003418515</v>
      </c>
      <c r="W55" s="585">
        <f t="shared" si="224"/>
        <v>220.71596813255701</v>
      </c>
      <c r="X55" s="629">
        <f t="shared" si="415"/>
        <v>4.1868065891476087</v>
      </c>
      <c r="Y55" s="630">
        <f t="shared" si="223"/>
        <v>-0.19790669003418515</v>
      </c>
      <c r="Z55" s="632">
        <f t="shared" si="243"/>
        <v>-0.81614248834899206</v>
      </c>
      <c r="AA55" s="629">
        <f t="shared" si="244"/>
        <v>-0.43380879427693647</v>
      </c>
      <c r="AB55" s="629">
        <f t="shared" si="245"/>
        <v>-0.38173468367376051</v>
      </c>
      <c r="AC55" s="636">
        <f t="shared" si="416"/>
        <v>1</v>
      </c>
      <c r="AD55" s="637">
        <f t="shared" si="417"/>
        <v>-0.81614248834899206</v>
      </c>
      <c r="AE55" s="629">
        <f t="shared" si="418"/>
        <v>-0.43380879427693647</v>
      </c>
      <c r="AF55" s="633">
        <f t="shared" si="419"/>
        <v>-0.38173468367376051</v>
      </c>
      <c r="AG55" s="602">
        <f t="shared" si="420"/>
        <v>-48.653492302584681</v>
      </c>
      <c r="AH55" s="603">
        <f t="shared" si="421"/>
        <v>144.70048567640043</v>
      </c>
      <c r="AI55" s="585">
        <f t="shared" si="422"/>
        <v>-67.558825579689653</v>
      </c>
      <c r="AJ55" s="586">
        <f t="shared" si="423"/>
        <v>-62.007764814513784</v>
      </c>
      <c r="AK55" s="635">
        <f t="shared" si="424"/>
        <v>0.90159272791176126</v>
      </c>
      <c r="AL55" s="629">
        <f t="shared" si="425"/>
        <v>-0.20349246732280513</v>
      </c>
      <c r="AM55" s="634">
        <f t="shared" si="426"/>
        <v>-0.38173468367376051</v>
      </c>
      <c r="AN55" s="581">
        <f t="shared" si="427"/>
        <v>-28.060874547352096</v>
      </c>
      <c r="AO55" s="582">
        <f>IF(ROUND(IF(M55="",0,DEGREES(ACOS(AK55))),4)=90,0,IF(M55="","",DEGREES(ACOS(AK55))))</f>
        <v>25.63177955797353</v>
      </c>
      <c r="AP55" s="585">
        <f t="shared" si="428"/>
        <v>-12.718732947792695</v>
      </c>
      <c r="AQ55" s="586">
        <f t="shared" si="246"/>
        <v>0.54448610338580361</v>
      </c>
      <c r="AS55" s="52">
        <f t="shared" si="406"/>
        <v>-139.28403186744299</v>
      </c>
      <c r="AT55" s="72">
        <f t="shared" si="247"/>
        <v>-0.10117819568229551</v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>Nose</v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>
        <f t="shared" si="210"/>
        <v>3.2229999999999999</v>
      </c>
      <c r="IH55" s="731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>3.1230000000000002</v>
      </c>
      <c r="II55" s="734" cm="1">
        <f t="array" ref="II55">IFERROR(ROUND(VALUE(IF($IH55&lt;1,$IH55+LARGE((IF($M$9:$M$150="",0,$M$9:$M$150)-MOD(IF($M$9:$M$150="",0,$M$9:$M$150),1)),1),$IH55)),4),"")</f>
        <v>3.1230000000000002</v>
      </c>
      <c r="IJ55" s="533">
        <f t="shared" si="112"/>
        <v>1613</v>
      </c>
      <c r="IK55" s="533">
        <f t="shared" si="382"/>
        <v>1313</v>
      </c>
      <c r="IL55" s="727">
        <f t="shared" si="225"/>
        <v>12.668998170822988</v>
      </c>
      <c r="IM55" s="759">
        <v>1.35627199425549E-2</v>
      </c>
      <c r="IN55" s="5">
        <f t="shared" si="226"/>
        <v>0.36</v>
      </c>
      <c r="IO55" s="771">
        <v>180</v>
      </c>
      <c r="IP55" s="9">
        <f t="shared" si="227"/>
        <v>-4.1713125806787428</v>
      </c>
      <c r="IQ55" s="5">
        <f t="shared" si="228"/>
        <v>-0.24400073590621951</v>
      </c>
      <c r="IR55" s="5">
        <f t="shared" si="383"/>
        <v>0.314</v>
      </c>
      <c r="IS55" s="5">
        <f t="shared" si="229"/>
        <v>0.30172278409461917</v>
      </c>
      <c r="IT55" s="727">
        <f t="shared" si="230"/>
        <v>36.026873024613622</v>
      </c>
      <c r="IU55" s="9">
        <f t="shared" si="231"/>
        <v>-4.1868065891476087</v>
      </c>
      <c r="IV55" s="5">
        <f t="shared" si="232"/>
        <v>-0.19790669003418515</v>
      </c>
      <c r="IW55" s="5">
        <f t="shared" si="384"/>
        <v>0.26600000000000001</v>
      </c>
      <c r="IX55" s="5">
        <f t="shared" si="233"/>
        <v>0.2398236656245285</v>
      </c>
      <c r="IY55" s="762">
        <f t="shared" si="234"/>
        <v>28.060874547352096</v>
      </c>
    </row>
    <row r="56" spans="1:259" ht="15" customHeight="1" x14ac:dyDescent="0.25">
      <c r="A56" s="79"/>
      <c r="B56" s="707">
        <v>3.1912521327495069</v>
      </c>
      <c r="C56" s="708">
        <v>-3.6566588323860327</v>
      </c>
      <c r="D56" s="709">
        <v>-0.5726796276869901</v>
      </c>
      <c r="E56" s="710">
        <v>0.87172811826909313</v>
      </c>
      <c r="F56" s="708">
        <v>0.35610582812791708</v>
      </c>
      <c r="G56" s="711">
        <v>0.33656905233897627</v>
      </c>
      <c r="H56" s="710">
        <v>0.26600000000000001</v>
      </c>
      <c r="I56" s="708">
        <v>0.52</v>
      </c>
      <c r="J56" s="570">
        <v>3.2290000000000001</v>
      </c>
      <c r="K56" s="865">
        <f>IF($J56="","",IF(IFERROR(INDEX(Settings!$AK$14:$AK$32,MATCH((((ROUND($H56,6)*2)*1000000)+ROUND($I56,6)),Settings!$AI$14:$AI$32,0)),"Undefined")="Undefined","Undefined",IFERROR(INDEX(_xlfn.ANCHORARRAY(Settings!$BC$14),MATCH(IFERROR(INDEX(Settings!$AK$14:$AK$32,MATCH((((ROUND($H56,6)*2)*1000000)+ROUND($I56,6)),Settings!$AI$14:$AI$32,0)),"Undefined"),_xlfn.ANCHORARRAY(Settings!$BC$14),0)),"Inactive")))</f>
        <v>1313</v>
      </c>
      <c r="L56" s="320"/>
      <c r="M56" s="168">
        <f t="shared" si="239"/>
        <v>3.2290000000000001</v>
      </c>
      <c r="N56" s="632">
        <f t="shared" si="240"/>
        <v>3.1912521327495069</v>
      </c>
      <c r="O56" s="629">
        <f t="shared" si="241"/>
        <v>-3.6566588323860327</v>
      </c>
      <c r="P56" s="633">
        <f t="shared" si="242"/>
        <v>-0.5726796276869901</v>
      </c>
      <c r="Q56" s="585">
        <f t="shared" si="113"/>
        <v>311.1119680753817</v>
      </c>
      <c r="R56" s="629">
        <f t="shared" si="410"/>
        <v>4.8533744952604945</v>
      </c>
      <c r="S56" s="634">
        <f t="shared" si="411"/>
        <v>-0.5726796276869901</v>
      </c>
      <c r="T56" s="635">
        <f t="shared" si="412"/>
        <v>-3.6563803292181865</v>
      </c>
      <c r="U56" s="629">
        <f t="shared" si="413"/>
        <v>-3.1915712242328804</v>
      </c>
      <c r="V56" s="636">
        <f t="shared" si="414"/>
        <v>-0.5726796276869901</v>
      </c>
      <c r="W56" s="585">
        <f t="shared" si="224"/>
        <v>221.11696807465978</v>
      </c>
      <c r="X56" s="629">
        <f t="shared" si="415"/>
        <v>4.8533744952604945</v>
      </c>
      <c r="Y56" s="630">
        <f t="shared" si="223"/>
        <v>-0.5726796276869901</v>
      </c>
      <c r="Z56" s="632">
        <f t="shared" si="243"/>
        <v>-0.87172811826909313</v>
      </c>
      <c r="AA56" s="629">
        <f t="shared" si="244"/>
        <v>-0.35610582812791708</v>
      </c>
      <c r="AB56" s="629">
        <f t="shared" si="245"/>
        <v>-0.33656905233897627</v>
      </c>
      <c r="AC56" s="636">
        <f t="shared" si="416"/>
        <v>1</v>
      </c>
      <c r="AD56" s="637">
        <f t="shared" si="417"/>
        <v>-0.87172811826909313</v>
      </c>
      <c r="AE56" s="629">
        <f t="shared" si="418"/>
        <v>-0.35610582812791708</v>
      </c>
      <c r="AF56" s="633">
        <f t="shared" si="419"/>
        <v>-0.33656905233897627</v>
      </c>
      <c r="AG56" s="602">
        <f t="shared" si="420"/>
        <v>-46.615589283911099</v>
      </c>
      <c r="AH56" s="603">
        <f t="shared" si="421"/>
        <v>150.6600832243831</v>
      </c>
      <c r="AI56" s="585">
        <f t="shared" si="422"/>
        <v>-70.332020516555517</v>
      </c>
      <c r="AJ56" s="586">
        <f t="shared" si="423"/>
        <v>-67.7797096250453</v>
      </c>
      <c r="AK56" s="635">
        <f t="shared" si="424"/>
        <v>0.89093388751028102</v>
      </c>
      <c r="AL56" s="629">
        <f t="shared" si="425"/>
        <v>-0.30489027713828715</v>
      </c>
      <c r="AM56" s="634">
        <f t="shared" si="426"/>
        <v>-0.33656905233897627</v>
      </c>
      <c r="AN56" s="581">
        <f t="shared" si="427"/>
        <v>-42.172717594638115</v>
      </c>
      <c r="AO56" s="582">
        <f t="shared" ref="AO56:AO119" si="461">IF(ROUND(IF(M56="",0,DEGREES(ACOS(AK56))),4)=90,0,IF(M56="","",DEGREES(ACOS(AK56))))</f>
        <v>27.009165658528495</v>
      </c>
      <c r="AP56" s="585">
        <f t="shared" si="428"/>
        <v>-18.891677700426989</v>
      </c>
      <c r="AQ56" s="586">
        <f t="shared" si="246"/>
        <v>0.46970938733582607</v>
      </c>
      <c r="AS56" s="52">
        <f t="shared" si="406"/>
        <v>-138.88303192534022</v>
      </c>
      <c r="AT56" s="72">
        <f t="shared" si="247"/>
        <v>-0.47622960551711629</v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>Taper</v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>
        <f t="shared" si="210"/>
        <v>3.2290000000000001</v>
      </c>
      <c r="IH56" s="731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>3.129</v>
      </c>
      <c r="II56" s="734" cm="1">
        <f t="array" ref="II56">IFERROR(ROUND(VALUE(IF($IH56&lt;1,$IH56+LARGE((IF($M$9:$M$150="",0,$M$9:$M$150)-MOD(IF($M$9:$M$150="",0,$M$9:$M$150),1)),1),$IH56)),4),"")</f>
        <v>3.129</v>
      </c>
      <c r="IJ56" s="533">
        <f t="shared" si="112"/>
        <v>1613</v>
      </c>
      <c r="IK56" s="533">
        <f t="shared" si="382"/>
        <v>1313</v>
      </c>
      <c r="IL56" s="727">
        <f t="shared" si="225"/>
        <v>11.285998370503478</v>
      </c>
      <c r="IM56" s="759">
        <v>1.1154456062041501E-2</v>
      </c>
      <c r="IN56" s="5">
        <f t="shared" si="226"/>
        <v>0.34</v>
      </c>
      <c r="IO56" s="771">
        <v>170</v>
      </c>
      <c r="IP56" s="9">
        <f t="shared" si="227"/>
        <v>-4.8266145570695045</v>
      </c>
      <c r="IQ56" s="5">
        <f t="shared" si="228"/>
        <v>-0.61680186027441064</v>
      </c>
      <c r="IR56" s="5">
        <f t="shared" si="383"/>
        <v>0.314</v>
      </c>
      <c r="IS56" s="5">
        <f t="shared" si="229"/>
        <v>0.2991965402992392</v>
      </c>
      <c r="IT56" s="727">
        <f t="shared" si="230"/>
        <v>51.059471636099886</v>
      </c>
      <c r="IU56" s="9">
        <f t="shared" si="231"/>
        <v>-4.8533744952604945</v>
      </c>
      <c r="IV56" s="5">
        <f t="shared" si="232"/>
        <v>-0.5726796276869901</v>
      </c>
      <c r="IW56" s="5">
        <f t="shared" si="384"/>
        <v>0.26600000000000001</v>
      </c>
      <c r="IX56" s="5">
        <f t="shared" si="233"/>
        <v>0.2369884140777348</v>
      </c>
      <c r="IY56" s="762">
        <f t="shared" si="234"/>
        <v>42.172717594638115</v>
      </c>
    </row>
    <row r="57" spans="1:259" ht="15" customHeight="1" x14ac:dyDescent="0.25">
      <c r="A57" s="79"/>
      <c r="B57" s="707">
        <v>3.5363679811794033</v>
      </c>
      <c r="C57" s="708">
        <v>-4.0522485408706279</v>
      </c>
      <c r="D57" s="709">
        <v>-1.1281737160911751</v>
      </c>
      <c r="E57" s="710">
        <v>0.91912469514332806</v>
      </c>
      <c r="F57" s="708">
        <v>0.28563309873663484</v>
      </c>
      <c r="G57" s="711">
        <v>0.27133655795670453</v>
      </c>
      <c r="H57" s="710">
        <v>0.26600000000000001</v>
      </c>
      <c r="I57" s="708">
        <v>0.52</v>
      </c>
      <c r="J57" s="570">
        <v>3.2349999999999999</v>
      </c>
      <c r="K57" s="865">
        <f>IF($J57="","",IF(IFERROR(INDEX(Settings!$AK$14:$AK$32,MATCH((((ROUND($H57,6)*2)*1000000)+ROUND($I57,6)),Settings!$AI$14:$AI$32,0)),"Undefined")="Undefined","Undefined",IFERROR(INDEX(_xlfn.ANCHORARRAY(Settings!$BC$14),MATCH(IFERROR(INDEX(Settings!$AK$14:$AK$32,MATCH((((ROUND($H57,6)*2)*1000000)+ROUND($I57,6)),Settings!$AI$14:$AI$32,0)),"Undefined"),_xlfn.ANCHORARRAY(Settings!$BC$14),0)),"Inactive")))</f>
        <v>1313</v>
      </c>
      <c r="L57" s="320"/>
      <c r="M57" s="168">
        <f t="shared" si="239"/>
        <v>3.2349999999999999</v>
      </c>
      <c r="N57" s="632">
        <f t="shared" si="240"/>
        <v>3.5363679811794033</v>
      </c>
      <c r="O57" s="629">
        <f t="shared" si="241"/>
        <v>-4.0522485408706279</v>
      </c>
      <c r="P57" s="633">
        <f t="shared" si="242"/>
        <v>-1.1281737160911751</v>
      </c>
      <c r="Q57" s="585">
        <f t="shared" si="113"/>
        <v>311.1109680755261</v>
      </c>
      <c r="R57" s="629">
        <f t="shared" si="410"/>
        <v>5.3783470262989743</v>
      </c>
      <c r="S57" s="634">
        <f t="shared" si="411"/>
        <v>-1.1281737160911751</v>
      </c>
      <c r="T57" s="635">
        <f t="shared" si="412"/>
        <v>-4.051939919161593</v>
      </c>
      <c r="U57" s="629">
        <f t="shared" si="413"/>
        <v>-3.5367215930581479</v>
      </c>
      <c r="V57" s="636">
        <f t="shared" si="414"/>
        <v>-1.1281737160911751</v>
      </c>
      <c r="W57" s="585">
        <f t="shared" si="224"/>
        <v>221.11596807480419</v>
      </c>
      <c r="X57" s="629">
        <f t="shared" si="415"/>
        <v>5.3783470262989743</v>
      </c>
      <c r="Y57" s="630">
        <f t="shared" si="223"/>
        <v>-1.1281737160911751</v>
      </c>
      <c r="Z57" s="632">
        <f t="shared" si="243"/>
        <v>-0.91912469514332806</v>
      </c>
      <c r="AA57" s="629">
        <f t="shared" si="244"/>
        <v>-0.28563309873663484</v>
      </c>
      <c r="AB57" s="629">
        <f t="shared" si="245"/>
        <v>-0.27133655795670453</v>
      </c>
      <c r="AC57" s="636">
        <f t="shared" si="416"/>
        <v>1</v>
      </c>
      <c r="AD57" s="637">
        <f t="shared" si="417"/>
        <v>-0.91912469514332806</v>
      </c>
      <c r="AE57" s="629">
        <f t="shared" si="418"/>
        <v>-0.28563309873663484</v>
      </c>
      <c r="AF57" s="633">
        <f t="shared" si="419"/>
        <v>-0.27133655795670453</v>
      </c>
      <c r="AG57" s="602">
        <f t="shared" si="420"/>
        <v>-46.470370260841293</v>
      </c>
      <c r="AH57" s="603">
        <f t="shared" si="421"/>
        <v>156.79845194570038</v>
      </c>
      <c r="AI57" s="585">
        <f t="shared" si="422"/>
        <v>-74.256184679614577</v>
      </c>
      <c r="AJ57" s="586">
        <f t="shared" si="423"/>
        <v>-72.736509446004078</v>
      </c>
      <c r="AK57" s="635">
        <f t="shared" si="424"/>
        <v>0.8803123759695477</v>
      </c>
      <c r="AL57" s="629">
        <f t="shared" si="425"/>
        <v>-0.38913570002128778</v>
      </c>
      <c r="AM57" s="634">
        <f t="shared" si="426"/>
        <v>-0.27133655795670453</v>
      </c>
      <c r="AN57" s="581">
        <f t="shared" si="427"/>
        <v>-55.112705460072569</v>
      </c>
      <c r="AO57" s="582">
        <f t="shared" si="461"/>
        <v>28.319931869645174</v>
      </c>
      <c r="AP57" s="585">
        <f t="shared" si="428"/>
        <v>-23.847477521530177</v>
      </c>
      <c r="AQ57" s="586">
        <f t="shared" si="246"/>
        <v>0.42386350910925202</v>
      </c>
      <c r="AS57" s="52">
        <f t="shared" si="406"/>
        <v>-138.88403192519581</v>
      </c>
      <c r="AT57" s="72">
        <f t="shared" si="247"/>
        <v>-1.0317229994769572</v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>Taper</v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>
        <f t="shared" si="210"/>
        <v>3.2349999999999999</v>
      </c>
      <c r="IH57" s="731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>3.1349999999999998</v>
      </c>
      <c r="II57" s="734" cm="1">
        <f t="array" ref="II57">IFERROR(ROUND(VALUE(IF($IH57&lt;1,$IH57+LARGE((IF($M$9:$M$150="",0,$M$9:$M$150)-MOD(IF($M$9:$M$150="",0,$M$9:$M$150),1)),1),$IH57)),4),"")</f>
        <v>3.1349999999999998</v>
      </c>
      <c r="IJ57" s="533">
        <f t="shared" si="112"/>
        <v>1613</v>
      </c>
      <c r="IK57" s="533">
        <f t="shared" si="382"/>
        <v>1313</v>
      </c>
      <c r="IL57" s="727">
        <f t="shared" si="225"/>
        <v>10.446998491640045</v>
      </c>
      <c r="IM57" s="759">
        <v>9.0647432541203395E-3</v>
      </c>
      <c r="IN57" s="5">
        <f t="shared" si="226"/>
        <v>0.32</v>
      </c>
      <c r="IO57" s="771">
        <v>160</v>
      </c>
      <c r="IP57" s="9">
        <f t="shared" si="227"/>
        <v>-5.3411161088061858</v>
      </c>
      <c r="IQ57" s="5">
        <f t="shared" si="228"/>
        <v>-1.1676035214922209</v>
      </c>
      <c r="IR57" s="5">
        <f t="shared" si="383"/>
        <v>0.314</v>
      </c>
      <c r="IS57" s="5">
        <f t="shared" si="229"/>
        <v>0.2966756330622895</v>
      </c>
      <c r="IT57" s="727">
        <f t="shared" si="230"/>
        <v>64.245596121270665</v>
      </c>
      <c r="IU57" s="9">
        <f t="shared" si="231"/>
        <v>-5.3783470262989743</v>
      </c>
      <c r="IV57" s="5">
        <f t="shared" si="232"/>
        <v>-1.1281737160911751</v>
      </c>
      <c r="IW57" s="5">
        <f t="shared" si="384"/>
        <v>0.26600000000000001</v>
      </c>
      <c r="IX57" s="5">
        <f t="shared" si="233"/>
        <v>0.2341630920078997</v>
      </c>
      <c r="IY57" s="762">
        <f t="shared" si="234"/>
        <v>55.112705460072569</v>
      </c>
    </row>
    <row r="58" spans="1:259" ht="15" customHeight="1" x14ac:dyDescent="0.25">
      <c r="A58" s="79"/>
      <c r="B58" s="707">
        <v>3.7498790443094605</v>
      </c>
      <c r="C58" s="708">
        <v>-4.3131390522305759</v>
      </c>
      <c r="D58" s="709">
        <v>-1.8137144880643818</v>
      </c>
      <c r="E58" s="710">
        <v>0.95592577060496775</v>
      </c>
      <c r="F58" s="708">
        <v>0.2015765624158633</v>
      </c>
      <c r="G58" s="711">
        <v>0.21347789248046814</v>
      </c>
      <c r="H58" s="710">
        <v>0.26600000000000001</v>
      </c>
      <c r="I58" s="708">
        <v>0.52</v>
      </c>
      <c r="J58" s="570">
        <v>3.2410000000000001</v>
      </c>
      <c r="K58" s="865">
        <f>IF($J58="","",IF(IFERROR(INDEX(Settings!$AK$14:$AK$32,MATCH((((ROUND($H58,6)*2)*1000000)+ROUND($I58,6)),Settings!$AI$14:$AI$32,0)),"Undefined")="Undefined","Undefined",IFERROR(INDEX(_xlfn.ANCHORARRAY(Settings!$BC$14),MATCH(IFERROR(INDEX(Settings!$AK$14:$AK$32,MATCH((((ROUND($H58,6)*2)*1000000)+ROUND($I58,6)),Settings!$AI$14:$AI$32,0)),"Undefined"),_xlfn.ANCHORARRAY(Settings!$BC$14),0)),"Inactive")))</f>
        <v>1313</v>
      </c>
      <c r="L58" s="320"/>
      <c r="M58" s="168">
        <f t="shared" si="239"/>
        <v>3.2410000000000001</v>
      </c>
      <c r="N58" s="632">
        <f t="shared" si="240"/>
        <v>3.7498790443094605</v>
      </c>
      <c r="O58" s="629">
        <f t="shared" si="241"/>
        <v>-4.3131390522305759</v>
      </c>
      <c r="P58" s="633">
        <f t="shared" si="242"/>
        <v>-1.8137144880643818</v>
      </c>
      <c r="Q58" s="585">
        <f t="shared" si="113"/>
        <v>311.00396809097498</v>
      </c>
      <c r="R58" s="629">
        <f t="shared" si="410"/>
        <v>5.7153093818994352</v>
      </c>
      <c r="S58" s="634">
        <f t="shared" si="411"/>
        <v>-1.8137144880643818</v>
      </c>
      <c r="T58" s="635">
        <f t="shared" si="412"/>
        <v>-4.3128117971756534</v>
      </c>
      <c r="U58" s="629">
        <f t="shared" si="413"/>
        <v>-3.7502554223639502</v>
      </c>
      <c r="V58" s="636">
        <f t="shared" si="414"/>
        <v>-1.8137144880643818</v>
      </c>
      <c r="W58" s="585">
        <f t="shared" si="224"/>
        <v>221.00896809025306</v>
      </c>
      <c r="X58" s="629">
        <f t="shared" si="415"/>
        <v>5.7153093818994352</v>
      </c>
      <c r="Y58" s="630">
        <f t="shared" si="223"/>
        <v>-1.8137144880643818</v>
      </c>
      <c r="Z58" s="632">
        <f t="shared" si="243"/>
        <v>-0.95592577060496775</v>
      </c>
      <c r="AA58" s="629">
        <f t="shared" si="244"/>
        <v>-0.2015765624158633</v>
      </c>
      <c r="AB58" s="629">
        <f t="shared" si="245"/>
        <v>-0.21347789248046814</v>
      </c>
      <c r="AC58" s="636">
        <f t="shared" si="416"/>
        <v>1</v>
      </c>
      <c r="AD58" s="637">
        <f t="shared" si="417"/>
        <v>-0.95592577060496775</v>
      </c>
      <c r="AE58" s="629">
        <f t="shared" si="418"/>
        <v>-0.2015765624158633</v>
      </c>
      <c r="AF58" s="633">
        <f t="shared" si="419"/>
        <v>-0.21347789248046814</v>
      </c>
      <c r="AG58" s="602">
        <f t="shared" si="420"/>
        <v>-43.357542773038695</v>
      </c>
      <c r="AH58" s="603">
        <f t="shared" si="421"/>
        <v>162.92588739272642</v>
      </c>
      <c r="AI58" s="585">
        <f t="shared" si="422"/>
        <v>-77.673756087894674</v>
      </c>
      <c r="AJ58" s="586">
        <f t="shared" si="423"/>
        <v>-78.092458917111742</v>
      </c>
      <c r="AK58" s="635">
        <f t="shared" si="424"/>
        <v>0.85365956126693632</v>
      </c>
      <c r="AL58" s="629">
        <f t="shared" si="425"/>
        <v>-0.47507109244789858</v>
      </c>
      <c r="AM58" s="634">
        <f t="shared" si="426"/>
        <v>-0.21347789248046814</v>
      </c>
      <c r="AN58" s="581">
        <f t="shared" si="427"/>
        <v>-65.802761584343031</v>
      </c>
      <c r="AO58" s="582">
        <f t="shared" si="461"/>
        <v>31.388037104638208</v>
      </c>
      <c r="AP58" s="585">
        <f t="shared" si="428"/>
        <v>-29.096427008086728</v>
      </c>
      <c r="AQ58" s="586">
        <f t="shared" si="246"/>
        <v>0.39887426045444718</v>
      </c>
      <c r="AS58" s="52">
        <f t="shared" si="406"/>
        <v>-138.99103190974694</v>
      </c>
      <c r="AT58" s="72">
        <f t="shared" si="247"/>
        <v>-1.7171894659053366</v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>Taper</v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>
        <f t="shared" si="210"/>
        <v>3.2410000000000001</v>
      </c>
      <c r="IH58" s="731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>3.141</v>
      </c>
      <c r="II58" s="734" cm="1">
        <f t="array" ref="II58">IFERROR(ROUND(VALUE(IF($IH58&lt;1,$IH58+LARGE((IF($M$9:$M$150="",0,$M$9:$M$150)-MOD(IF($M$9:$M$150="",0,$M$9:$M$150),1)),1),$IH58)),4),"")</f>
        <v>3.141</v>
      </c>
      <c r="IJ58" s="533">
        <f t="shared" si="112"/>
        <v>1613</v>
      </c>
      <c r="IK58" s="533">
        <f t="shared" si="382"/>
        <v>1313</v>
      </c>
      <c r="IL58" s="727">
        <f t="shared" si="225"/>
        <v>9.9979985564676213</v>
      </c>
      <c r="IM58" s="759">
        <v>7.0947639970151697E-3</v>
      </c>
      <c r="IN58" s="5">
        <f t="shared" si="226"/>
        <v>0.28000000000000003</v>
      </c>
      <c r="IO58" s="771">
        <v>140</v>
      </c>
      <c r="IP58" s="9">
        <f t="shared" si="227"/>
        <v>-5.6681170950411586</v>
      </c>
      <c r="IQ58" s="5">
        <f t="shared" si="228"/>
        <v>-1.846705569663998</v>
      </c>
      <c r="IR58" s="5">
        <f t="shared" si="383"/>
        <v>0.314</v>
      </c>
      <c r="IS58" s="5">
        <f t="shared" si="229"/>
        <v>0.29085030982583532</v>
      </c>
      <c r="IT58" s="727">
        <f t="shared" si="230"/>
        <v>73.480283326109742</v>
      </c>
      <c r="IU58" s="9">
        <f t="shared" si="231"/>
        <v>-5.7153093818994352</v>
      </c>
      <c r="IV58" s="5">
        <f t="shared" si="232"/>
        <v>-1.8137144880643818</v>
      </c>
      <c r="IW58" s="5">
        <f t="shared" si="384"/>
        <v>0.26600000000000001</v>
      </c>
      <c r="IX58" s="5">
        <f t="shared" si="233"/>
        <v>0.22707344329700507</v>
      </c>
      <c r="IY58" s="762">
        <f t="shared" si="234"/>
        <v>65.802761584343031</v>
      </c>
    </row>
    <row r="59" spans="1:259" ht="15" customHeight="1" x14ac:dyDescent="0.25">
      <c r="A59" s="79"/>
      <c r="B59" s="707">
        <v>-0.60627719584895845</v>
      </c>
      <c r="C59" s="708">
        <v>-3.2527913307462506</v>
      </c>
      <c r="D59" s="709">
        <v>-0.10950023977272315</v>
      </c>
      <c r="E59" s="710">
        <v>0.93578189841369042</v>
      </c>
      <c r="F59" s="708">
        <v>-0.24200673706140424</v>
      </c>
      <c r="G59" s="711">
        <v>0.25640783493911018</v>
      </c>
      <c r="H59" s="710">
        <v>0.314</v>
      </c>
      <c r="I59" s="708">
        <v>0.52</v>
      </c>
      <c r="J59" s="570">
        <v>4.1159999999999997</v>
      </c>
      <c r="K59" s="865">
        <f>IF($J59="","",IF(IFERROR(INDEX(Settings!$AK$14:$AK$32,MATCH((((ROUND($H59,6)*2)*1000000)+ROUND($I59,6)),Settings!$AI$14:$AI$32,0)),"Undefined")="Undefined","Undefined",IFERROR(INDEX(_xlfn.ANCHORARRAY(Settings!$BC$14),MATCH(IFERROR(INDEX(Settings!$AK$14:$AK$32,MATCH((((ROUND($H59,6)*2)*1000000)+ROUND($I59,6)),Settings!$AI$14:$AI$32,0)),"Undefined"),_xlfn.ANCHORARRAY(Settings!$BC$14),0)),"Inactive")))</f>
        <v>1613</v>
      </c>
      <c r="L59" s="320"/>
      <c r="M59" s="168">
        <f t="shared" si="239"/>
        <v>4.1159999999999997</v>
      </c>
      <c r="N59" s="632">
        <f t="shared" si="240"/>
        <v>-0.60627719584895845</v>
      </c>
      <c r="O59" s="629">
        <f t="shared" si="241"/>
        <v>-3.2527913307462506</v>
      </c>
      <c r="P59" s="633">
        <f t="shared" si="242"/>
        <v>-0.10950023977272315</v>
      </c>
      <c r="Q59" s="585">
        <f t="shared" si="113"/>
        <v>259.44197553560559</v>
      </c>
      <c r="R59" s="629">
        <f t="shared" si="79"/>
        <v>3.3088099793708978</v>
      </c>
      <c r="S59" s="634">
        <f t="shared" si="80"/>
        <v>-0.10950023977272315</v>
      </c>
      <c r="T59" s="635">
        <f t="shared" si="81"/>
        <v>-3.2528442260190737</v>
      </c>
      <c r="U59" s="629">
        <f t="shared" si="82"/>
        <v>0.60599333398876276</v>
      </c>
      <c r="V59" s="636">
        <f t="shared" si="114"/>
        <v>-0.10950023977272315</v>
      </c>
      <c r="W59" s="585">
        <f t="shared" si="224"/>
        <v>169.44697553488368</v>
      </c>
      <c r="X59" s="629">
        <f t="shared" si="83"/>
        <v>3.3088099793708978</v>
      </c>
      <c r="Y59" s="630">
        <f t="shared" si="223"/>
        <v>-0.10950023977272315</v>
      </c>
      <c r="Z59" s="632">
        <f t="shared" si="243"/>
        <v>-0.93578189841369042</v>
      </c>
      <c r="AA59" s="629">
        <f t="shared" si="244"/>
        <v>0.24200673706140424</v>
      </c>
      <c r="AB59" s="629">
        <f t="shared" si="245"/>
        <v>-0.25640783493911018</v>
      </c>
      <c r="AC59" s="636">
        <f t="shared" si="84"/>
        <v>1</v>
      </c>
      <c r="AD59" s="637">
        <f t="shared" si="115"/>
        <v>-0.93578189841369042</v>
      </c>
      <c r="AE59" s="629">
        <f t="shared" si="85"/>
        <v>0.24200673706140424</v>
      </c>
      <c r="AF59" s="633">
        <f t="shared" si="86"/>
        <v>-0.25640783493911018</v>
      </c>
      <c r="AG59" s="602">
        <f t="shared" si="87"/>
        <v>43.344966877738379</v>
      </c>
      <c r="AH59" s="603">
        <f t="shared" si="88"/>
        <v>159.35483540414731</v>
      </c>
      <c r="AI59" s="585">
        <f t="shared" si="89"/>
        <v>-75.142977993890582</v>
      </c>
      <c r="AJ59" s="586">
        <f t="shared" si="90"/>
        <v>-104.49983259574591</v>
      </c>
      <c r="AK59" s="635">
        <f t="shared" si="211"/>
        <v>0.96428215353669144</v>
      </c>
      <c r="AL59" s="629">
        <f t="shared" si="91"/>
        <v>-6.6445094269468263E-2</v>
      </c>
      <c r="AM59" s="634">
        <f t="shared" si="92"/>
        <v>-0.25640783493911018</v>
      </c>
      <c r="AN59" s="581">
        <f t="shared" si="93"/>
        <v>-14.527961727834233</v>
      </c>
      <c r="AO59" s="582">
        <f t="shared" si="461"/>
        <v>15.359655827892999</v>
      </c>
      <c r="AP59" s="585">
        <f t="shared" si="95"/>
        <v>-3.9418081313515136</v>
      </c>
      <c r="AQ59" s="586">
        <f t="shared" si="246"/>
        <v>0.68895366333081864</v>
      </c>
      <c r="AS59" s="52">
        <f t="shared" si="406"/>
        <v>-190.55302446511632</v>
      </c>
      <c r="AT59" s="72">
        <f t="shared" si="247"/>
        <v>2.2831721660884083E-2</v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>
        <f t="shared" si="210"/>
        <v>4.1159999999999997</v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IFERROR(ROUND(VALUE(IF($IH59&lt;1,$IH59+LARGE((IF($M$9:$M$150="",0,$M$9:$M$150)-MOD(IF($M$9:$M$150="",0,$M$9:$M$150),1)),1),$IH59)),4),"")</f>
        <v/>
      </c>
      <c r="IJ59" s="533">
        <f t="shared" si="112"/>
        <v>1613</v>
      </c>
      <c r="IK59" s="533" t="str">
        <f>IF(ISNUMBER($II59),INDEX($K$9:$K$150,MATCH($IG59,$M$9:$M$150,0)),"")</f>
        <v/>
      </c>
      <c r="IL59" s="727" t="str">
        <f t="shared" si="225"/>
        <v/>
      </c>
      <c r="IM59" s="759"/>
      <c r="IN59" s="5" t="str">
        <f t="shared" si="226"/>
        <v/>
      </c>
      <c r="IO59" s="771"/>
      <c r="IP59" s="9" t="str">
        <f t="shared" si="227"/>
        <v/>
      </c>
      <c r="IQ59" s="5" t="str">
        <f t="shared" si="228"/>
        <v/>
      </c>
      <c r="IR59" s="5" t="str">
        <f t="shared" si="383"/>
        <v/>
      </c>
      <c r="IS59" s="5" t="str">
        <f t="shared" si="229"/>
        <v/>
      </c>
      <c r="IT59" s="727" t="str">
        <f t="shared" si="230"/>
        <v/>
      </c>
      <c r="IU59" s="9" t="str">
        <f t="shared" si="231"/>
        <v/>
      </c>
      <c r="IV59" s="5" t="str">
        <f t="shared" si="232"/>
        <v/>
      </c>
      <c r="IW59" s="5" t="str">
        <f t="shared" si="384"/>
        <v/>
      </c>
      <c r="IX59" s="5" t="str">
        <f t="shared" si="233"/>
        <v/>
      </c>
      <c r="IY59" s="762" t="str">
        <f t="shared" si="234"/>
        <v/>
      </c>
    </row>
    <row r="60" spans="1:259" ht="15" customHeight="1" x14ac:dyDescent="0.25">
      <c r="A60" s="79"/>
      <c r="B60" s="707">
        <v>-0.80482348973033757</v>
      </c>
      <c r="C60" s="708">
        <v>-3.9717898311582585</v>
      </c>
      <c r="D60" s="709">
        <v>-0.23240061044024118</v>
      </c>
      <c r="E60" s="710">
        <v>0.91402448164637384</v>
      </c>
      <c r="F60" s="708">
        <v>-0.33299587413730947</v>
      </c>
      <c r="G60" s="711">
        <v>0.231674329088501</v>
      </c>
      <c r="H60" s="710">
        <v>0.314</v>
      </c>
      <c r="I60" s="708">
        <v>0.52</v>
      </c>
      <c r="J60" s="570">
        <v>4.1219999999999999</v>
      </c>
      <c r="K60" s="865">
        <f>IF($J60="","",IF(IFERROR(INDEX(Settings!$AK$14:$AK$32,MATCH((((ROUND($H60,6)*2)*1000000)+ROUND($I60,6)),Settings!$AI$14:$AI$32,0)),"Undefined")="Undefined","Undefined",IFERROR(INDEX(_xlfn.ANCHORARRAY(Settings!$BC$14),MATCH(IFERROR(INDEX(Settings!$AK$14:$AK$32,MATCH((((ROUND($H60,6)*2)*1000000)+ROUND($I60,6)),Settings!$AI$14:$AI$32,0)),"Undefined"),_xlfn.ANCHORARRAY(Settings!$BC$14),0)),"Inactive")))</f>
        <v>1613</v>
      </c>
      <c r="L60" s="320"/>
      <c r="M60" s="168">
        <f t="shared" si="239"/>
        <v>4.1219999999999999</v>
      </c>
      <c r="N60" s="632">
        <f t="shared" si="240"/>
        <v>-0.80482348973033757</v>
      </c>
      <c r="O60" s="629">
        <f t="shared" si="241"/>
        <v>-3.9717898311582585</v>
      </c>
      <c r="P60" s="633">
        <f t="shared" si="242"/>
        <v>-0.23240061044024118</v>
      </c>
      <c r="Q60" s="585">
        <f t="shared" si="113"/>
        <v>258.54497566511634</v>
      </c>
      <c r="R60" s="629">
        <f t="shared" si="79"/>
        <v>4.0525122223768637</v>
      </c>
      <c r="S60" s="634">
        <f t="shared" si="80"/>
        <v>-0.23240061044024118</v>
      </c>
      <c r="T60" s="635">
        <f t="shared" si="81"/>
        <v>-3.9718600501235444</v>
      </c>
      <c r="U60" s="629">
        <f t="shared" si="82"/>
        <v>0.8044768826675277</v>
      </c>
      <c r="V60" s="636">
        <f t="shared" si="114"/>
        <v>-0.23240061044024118</v>
      </c>
      <c r="W60" s="585">
        <f t="shared" si="224"/>
        <v>168.54997566439442</v>
      </c>
      <c r="X60" s="629">
        <f t="shared" si="83"/>
        <v>4.0525122223768637</v>
      </c>
      <c r="Y60" s="630">
        <f t="shared" si="223"/>
        <v>-0.23240061044024118</v>
      </c>
      <c r="Z60" s="632">
        <f t="shared" si="243"/>
        <v>-0.91402448164637384</v>
      </c>
      <c r="AA60" s="629">
        <f t="shared" si="244"/>
        <v>0.33299587413730947</v>
      </c>
      <c r="AB60" s="629">
        <f t="shared" si="245"/>
        <v>-0.231674329088501</v>
      </c>
      <c r="AC60" s="636">
        <f t="shared" si="84"/>
        <v>1</v>
      </c>
      <c r="AD60" s="637">
        <f t="shared" si="115"/>
        <v>-0.91402448164637384</v>
      </c>
      <c r="AE60" s="629">
        <f t="shared" si="85"/>
        <v>0.33299587413730947</v>
      </c>
      <c r="AF60" s="633">
        <f t="shared" si="86"/>
        <v>-0.231674329088501</v>
      </c>
      <c r="AG60" s="602">
        <f t="shared" si="87"/>
        <v>55.172609263403032</v>
      </c>
      <c r="AH60" s="603">
        <f t="shared" si="88"/>
        <v>156.06756818506045</v>
      </c>
      <c r="AI60" s="585">
        <f t="shared" si="89"/>
        <v>-76.604333439022327</v>
      </c>
      <c r="AJ60" s="586">
        <f t="shared" si="90"/>
        <v>-110.01760947001014</v>
      </c>
      <c r="AK60" s="635">
        <f t="shared" si="211"/>
        <v>0.961950471511554</v>
      </c>
      <c r="AL60" s="629">
        <f t="shared" si="91"/>
        <v>-0.14483886080776875</v>
      </c>
      <c r="AM60" s="634">
        <f t="shared" si="92"/>
        <v>-0.231674329088501</v>
      </c>
      <c r="AN60" s="581">
        <f t="shared" si="93"/>
        <v>-32.012924006491673</v>
      </c>
      <c r="AO60" s="582">
        <f t="shared" si="461"/>
        <v>15.856197122859033</v>
      </c>
      <c r="AP60" s="585">
        <f t="shared" si="95"/>
        <v>-8.5625851351264988</v>
      </c>
      <c r="AQ60" s="586">
        <f t="shared" si="246"/>
        <v>0.56252844082742215</v>
      </c>
      <c r="AS60" s="52">
        <f t="shared" si="406"/>
        <v>-191.45002433560558</v>
      </c>
      <c r="AT60" s="72">
        <f t="shared" si="247"/>
        <v>-9.9445732429905315E-2</v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>
        <f t="shared" si="210"/>
        <v>4.1219999999999999</v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IFERROR(ROUND(VALUE(IF($IH60&lt;1,$IH60+LARGE((IF($M$9:$M$150="",0,$M$9:$M$150)-MOD(IF($M$9:$M$150="",0,$M$9:$M$150),1)),1),$IH60)),4),"")</f>
        <v/>
      </c>
      <c r="IJ60" s="533">
        <f t="shared" si="112"/>
        <v>1613</v>
      </c>
      <c r="IK60" s="533" t="str">
        <f t="shared" si="382"/>
        <v/>
      </c>
      <c r="IL60" s="727" t="str">
        <f t="shared" si="225"/>
        <v/>
      </c>
      <c r="IM60" s="759"/>
      <c r="IN60" s="5" t="str">
        <f t="shared" si="226"/>
        <v/>
      </c>
      <c r="IO60" s="771"/>
      <c r="IP60" s="9" t="str">
        <f t="shared" si="227"/>
        <v/>
      </c>
      <c r="IQ60" s="5" t="str">
        <f t="shared" si="228"/>
        <v/>
      </c>
      <c r="IR60" s="5" t="str">
        <f t="shared" si="383"/>
        <v/>
      </c>
      <c r="IS60" s="5" t="str">
        <f t="shared" si="229"/>
        <v/>
      </c>
      <c r="IT60" s="727" t="str">
        <f t="shared" si="230"/>
        <v/>
      </c>
      <c r="IU60" s="9" t="str">
        <f t="shared" si="231"/>
        <v/>
      </c>
      <c r="IV60" s="5" t="str">
        <f t="shared" si="232"/>
        <v/>
      </c>
      <c r="IW60" s="5" t="str">
        <f t="shared" si="384"/>
        <v/>
      </c>
      <c r="IX60" s="5" t="str">
        <f t="shared" si="233"/>
        <v/>
      </c>
      <c r="IY60" s="762" t="str">
        <f t="shared" si="234"/>
        <v/>
      </c>
    </row>
    <row r="61" spans="1:259" ht="15" customHeight="1" x14ac:dyDescent="0.25">
      <c r="A61" s="79"/>
      <c r="B61" s="707">
        <v>-1.0183238747234333</v>
      </c>
      <c r="C61" s="708">
        <v>-4.614693021735282</v>
      </c>
      <c r="D61" s="709">
        <v>-0.57120163226412313</v>
      </c>
      <c r="E61" s="710">
        <v>0.88237111495993381</v>
      </c>
      <c r="F61" s="708">
        <v>-0.42592900365406727</v>
      </c>
      <c r="G61" s="711">
        <v>0.20001424781904134</v>
      </c>
      <c r="H61" s="710">
        <v>0.314</v>
      </c>
      <c r="I61" s="708">
        <v>0.52</v>
      </c>
      <c r="J61" s="570">
        <v>4.1280000000000001</v>
      </c>
      <c r="K61" s="865">
        <f>IF($J61="","",IF(IFERROR(INDEX(Settings!$AK$14:$AK$32,MATCH((((ROUND($H61,6)*2)*1000000)+ROUND($I61,6)),Settings!$AI$14:$AI$32,0)),"Undefined")="Undefined","Undefined",IFERROR(INDEX(_xlfn.ANCHORARRAY(Settings!$BC$14),MATCH(IFERROR(INDEX(Settings!$AK$14:$AK$32,MATCH((((ROUND($H61,6)*2)*1000000)+ROUND($I61,6)),Settings!$AI$14:$AI$32,0)),"Undefined"),_xlfn.ANCHORARRAY(Settings!$BC$14),0)),"Inactive")))</f>
        <v>1613</v>
      </c>
      <c r="L61" s="320"/>
      <c r="M61" s="168">
        <f t="shared" si="239"/>
        <v>4.1280000000000001</v>
      </c>
      <c r="N61" s="632">
        <f t="shared" si="240"/>
        <v>-1.0183238747234333</v>
      </c>
      <c r="O61" s="629">
        <f t="shared" si="241"/>
        <v>-4.614693021735282</v>
      </c>
      <c r="P61" s="633">
        <f t="shared" si="242"/>
        <v>-0.57120163226412313</v>
      </c>
      <c r="Q61" s="585">
        <f t="shared" si="113"/>
        <v>257.55597580791027</v>
      </c>
      <c r="R61" s="629">
        <f t="shared" si="79"/>
        <v>4.7257142527541864</v>
      </c>
      <c r="S61" s="634">
        <f t="shared" si="80"/>
        <v>-0.57120163226412313</v>
      </c>
      <c r="T61" s="635">
        <f t="shared" si="81"/>
        <v>-4.6147818696732239</v>
      </c>
      <c r="U61" s="629">
        <f t="shared" si="82"/>
        <v>1.0179211629686076</v>
      </c>
      <c r="V61" s="636">
        <f t="shared" si="114"/>
        <v>-0.57120163226412313</v>
      </c>
      <c r="W61" s="585">
        <f t="shared" si="224"/>
        <v>167.56097580718836</v>
      </c>
      <c r="X61" s="629">
        <f t="shared" si="83"/>
        <v>4.7257142527541864</v>
      </c>
      <c r="Y61" s="630">
        <f t="shared" si="223"/>
        <v>-0.57120163226412313</v>
      </c>
      <c r="Z61" s="632">
        <f t="shared" si="243"/>
        <v>-0.88237111495993381</v>
      </c>
      <c r="AA61" s="629">
        <f t="shared" si="244"/>
        <v>0.42592900365406727</v>
      </c>
      <c r="AB61" s="629">
        <f t="shared" si="245"/>
        <v>-0.20001424781904134</v>
      </c>
      <c r="AC61" s="636">
        <f t="shared" si="84"/>
        <v>1</v>
      </c>
      <c r="AD61" s="637">
        <f t="shared" si="115"/>
        <v>-0.88237111495993381</v>
      </c>
      <c r="AE61" s="629">
        <f t="shared" si="85"/>
        <v>0.42592900365406727</v>
      </c>
      <c r="AF61" s="633">
        <f t="shared" si="86"/>
        <v>-0.20001424781904134</v>
      </c>
      <c r="AG61" s="602">
        <f t="shared" si="87"/>
        <v>64.845471804185635</v>
      </c>
      <c r="AH61" s="603">
        <f t="shared" si="88"/>
        <v>151.92972586658303</v>
      </c>
      <c r="AI61" s="585">
        <f t="shared" si="89"/>
        <v>-78.462207792528105</v>
      </c>
      <c r="AJ61" s="586">
        <f t="shared" si="90"/>
        <v>-115.76704953477604</v>
      </c>
      <c r="AK61" s="635">
        <f t="shared" si="211"/>
        <v>0.95342317778070962</v>
      </c>
      <c r="AL61" s="629">
        <f t="shared" si="91"/>
        <v>-0.22578428807141679</v>
      </c>
      <c r="AM61" s="634">
        <f t="shared" si="92"/>
        <v>-0.20001424781904134</v>
      </c>
      <c r="AN61" s="581">
        <f t="shared" si="93"/>
        <v>-48.463411942271208</v>
      </c>
      <c r="AO61" s="582">
        <f t="shared" si="461"/>
        <v>17.555888372199998</v>
      </c>
      <c r="AP61" s="585">
        <f t="shared" si="95"/>
        <v>-13.323025342686305</v>
      </c>
      <c r="AQ61" s="586">
        <f t="shared" si="246"/>
        <v>0.48239750486958966</v>
      </c>
      <c r="AS61" s="52">
        <f t="shared" si="406"/>
        <v>-192.43902419281164</v>
      </c>
      <c r="AT61" s="72">
        <f t="shared" si="247"/>
        <v>-0.43755994879739413</v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>
        <f t="shared" si="210"/>
        <v>4.1280000000000001</v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IFERROR(ROUND(VALUE(IF($IH61&lt;1,$IH61+LARGE((IF($M$9:$M$150="",0,$M$9:$M$150)-MOD(IF($M$9:$M$150="",0,$M$9:$M$150),1)),1),$IH61)),4),"")</f>
        <v/>
      </c>
      <c r="IJ61" s="533">
        <f t="shared" si="112"/>
        <v>1613</v>
      </c>
      <c r="IK61" s="533" t="str">
        <f t="shared" si="382"/>
        <v/>
      </c>
      <c r="IL61" s="727" t="str">
        <f t="shared" si="225"/>
        <v/>
      </c>
      <c r="IM61" s="759"/>
      <c r="IN61" s="5" t="str">
        <f t="shared" si="226"/>
        <v/>
      </c>
      <c r="IO61" s="771"/>
      <c r="IP61" s="9" t="str">
        <f t="shared" si="227"/>
        <v/>
      </c>
      <c r="IQ61" s="5" t="str">
        <f t="shared" si="228"/>
        <v/>
      </c>
      <c r="IR61" s="5" t="str">
        <f t="shared" si="383"/>
        <v/>
      </c>
      <c r="IS61" s="5" t="str">
        <f t="shared" si="229"/>
        <v/>
      </c>
      <c r="IT61" s="727" t="str">
        <f t="shared" si="230"/>
        <v/>
      </c>
      <c r="IU61" s="9" t="str">
        <f t="shared" si="231"/>
        <v/>
      </c>
      <c r="IV61" s="5" t="str">
        <f t="shared" si="232"/>
        <v/>
      </c>
      <c r="IW61" s="5" t="str">
        <f t="shared" si="384"/>
        <v/>
      </c>
      <c r="IX61" s="5" t="str">
        <f t="shared" si="233"/>
        <v/>
      </c>
      <c r="IY61" s="762" t="str">
        <f t="shared" si="234"/>
        <v/>
      </c>
    </row>
    <row r="62" spans="1:259" ht="15" customHeight="1" x14ac:dyDescent="0.25">
      <c r="A62" s="79"/>
      <c r="B62" s="707">
        <v>-1.2133571215447847</v>
      </c>
      <c r="C62" s="708">
        <v>-5.1256590933139305</v>
      </c>
      <c r="D62" s="709">
        <v>-1.0954032132560911</v>
      </c>
      <c r="E62" s="710">
        <v>0.85356053464113035</v>
      </c>
      <c r="F62" s="708">
        <v>-0.49788661948758484</v>
      </c>
      <c r="G62" s="711">
        <v>0.15343835191493904</v>
      </c>
      <c r="H62" s="710">
        <v>0.314</v>
      </c>
      <c r="I62" s="708">
        <v>0.52</v>
      </c>
      <c r="J62" s="570">
        <v>4.1340000000000003</v>
      </c>
      <c r="K62" s="865">
        <f>IF($J62="","",IF(IFERROR(INDEX(Settings!$AK$14:$AK$32,MATCH((((ROUND($H62,6)*2)*1000000)+ROUND($I62,6)),Settings!$AI$14:$AI$32,0)),"Undefined")="Undefined","Undefined",IFERROR(INDEX(_xlfn.ANCHORARRAY(Settings!$BC$14),MATCH(IFERROR(INDEX(Settings!$AK$14:$AK$32,MATCH((((ROUND($H62,6)*2)*1000000)+ROUND($I62,6)),Settings!$AI$14:$AI$32,0)),"Undefined"),_xlfn.ANCHORARRAY(Settings!$BC$14),0)),"Inactive")))</f>
        <v>1613</v>
      </c>
      <c r="L62" s="320"/>
      <c r="M62" s="168">
        <f t="shared" si="239"/>
        <v>4.1340000000000003</v>
      </c>
      <c r="N62" s="632">
        <f t="shared" si="240"/>
        <v>-1.2133571215447847</v>
      </c>
      <c r="O62" s="629">
        <f t="shared" si="241"/>
        <v>-5.1256590933139305</v>
      </c>
      <c r="P62" s="633">
        <f t="shared" si="242"/>
        <v>-1.0954032132560911</v>
      </c>
      <c r="Q62" s="585">
        <f t="shared" si="113"/>
        <v>256.68197593410025</v>
      </c>
      <c r="R62" s="629">
        <f t="shared" si="79"/>
        <v>5.2673158862247123</v>
      </c>
      <c r="S62" s="634">
        <f t="shared" si="80"/>
        <v>-1.0954032132560911</v>
      </c>
      <c r="T62" s="635">
        <f t="shared" si="81"/>
        <v>-5.125764959165318</v>
      </c>
      <c r="U62" s="629">
        <f t="shared" si="82"/>
        <v>1.2129098188522467</v>
      </c>
      <c r="V62" s="636">
        <f t="shared" si="114"/>
        <v>-1.0954032132560911</v>
      </c>
      <c r="W62" s="585">
        <f t="shared" si="224"/>
        <v>166.68697593337833</v>
      </c>
      <c r="X62" s="629">
        <f t="shared" si="83"/>
        <v>5.2673158862247123</v>
      </c>
      <c r="Y62" s="630">
        <f t="shared" si="223"/>
        <v>-1.0954032132560911</v>
      </c>
      <c r="Z62" s="632">
        <f t="shared" si="243"/>
        <v>-0.85356053464113035</v>
      </c>
      <c r="AA62" s="629">
        <f t="shared" si="244"/>
        <v>0.49788661948758484</v>
      </c>
      <c r="AB62" s="629">
        <f t="shared" si="245"/>
        <v>-0.15343835191493904</v>
      </c>
      <c r="AC62" s="636">
        <f t="shared" si="84"/>
        <v>1</v>
      </c>
      <c r="AD62" s="637">
        <f t="shared" si="115"/>
        <v>-0.85356053464113035</v>
      </c>
      <c r="AE62" s="629">
        <f t="shared" si="85"/>
        <v>0.49788661948758484</v>
      </c>
      <c r="AF62" s="633">
        <f t="shared" si="86"/>
        <v>-0.15343835191493904</v>
      </c>
      <c r="AG62" s="602">
        <f t="shared" si="87"/>
        <v>72.871784900943538</v>
      </c>
      <c r="AH62" s="603">
        <f t="shared" si="88"/>
        <v>148.60107084105817</v>
      </c>
      <c r="AI62" s="585">
        <f t="shared" si="89"/>
        <v>-81.17376299220706</v>
      </c>
      <c r="AJ62" s="586">
        <f t="shared" si="90"/>
        <v>-120.25525055479036</v>
      </c>
      <c r="AK62" s="635">
        <f t="shared" si="211"/>
        <v>0.945296370885228</v>
      </c>
      <c r="AL62" s="629">
        <f t="shared" si="91"/>
        <v>-0.28787400603883123</v>
      </c>
      <c r="AM62" s="634">
        <f t="shared" si="92"/>
        <v>-0.15343835191493904</v>
      </c>
      <c r="AN62" s="581">
        <f t="shared" si="93"/>
        <v>-61.942150735205814</v>
      </c>
      <c r="AO62" s="582">
        <f t="shared" si="461"/>
        <v>19.039066475675561</v>
      </c>
      <c r="AP62" s="585">
        <f t="shared" si="95"/>
        <v>-16.937226488890591</v>
      </c>
      <c r="AQ62" s="586">
        <f t="shared" si="246"/>
        <v>0.43279790339165453</v>
      </c>
      <c r="AS62" s="52">
        <f t="shared" si="406"/>
        <v>-193.31302406662167</v>
      </c>
      <c r="AT62" s="72">
        <f t="shared" si="247"/>
        <v>-0.96115458543254961</v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>
        <f t="shared" si="210"/>
        <v>4.1340000000000003</v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IFERROR(ROUND(VALUE(IF($IH62&lt;1,$IH62+LARGE((IF($M$9:$M$150="",0,$M$9:$M$150)-MOD(IF($M$9:$M$150="",0,$M$9:$M$150),1)),1),$IH62)),4),"")</f>
        <v/>
      </c>
      <c r="IJ62" s="533">
        <f t="shared" si="112"/>
        <v>1613</v>
      </c>
      <c r="IK62" s="533" t="str">
        <f t="shared" si="382"/>
        <v/>
      </c>
      <c r="IL62" s="727" t="str">
        <f t="shared" si="225"/>
        <v/>
      </c>
      <c r="IM62" s="759"/>
      <c r="IN62" s="5" t="str">
        <f t="shared" si="226"/>
        <v/>
      </c>
      <c r="IO62" s="771"/>
      <c r="IP62" s="9" t="str">
        <f t="shared" si="227"/>
        <v/>
      </c>
      <c r="IQ62" s="5" t="str">
        <f t="shared" si="228"/>
        <v/>
      </c>
      <c r="IR62" s="5" t="str">
        <f t="shared" si="383"/>
        <v/>
      </c>
      <c r="IS62" s="5" t="str">
        <f t="shared" si="229"/>
        <v/>
      </c>
      <c r="IT62" s="727" t="str">
        <f t="shared" si="230"/>
        <v/>
      </c>
      <c r="IU62" s="9" t="str">
        <f t="shared" si="231"/>
        <v/>
      </c>
      <c r="IV62" s="5" t="str">
        <f t="shared" si="232"/>
        <v/>
      </c>
      <c r="IW62" s="5" t="str">
        <f t="shared" si="384"/>
        <v/>
      </c>
      <c r="IX62" s="5" t="str">
        <f t="shared" si="233"/>
        <v/>
      </c>
      <c r="IY62" s="762" t="str">
        <f t="shared" si="234"/>
        <v/>
      </c>
    </row>
    <row r="63" spans="1:259" ht="15" customHeight="1" x14ac:dyDescent="0.25">
      <c r="A63" s="79"/>
      <c r="B63" s="707">
        <v>-1.354798863948421</v>
      </c>
      <c r="C63" s="708">
        <v>-5.4626203159090618</v>
      </c>
      <c r="D63" s="709">
        <v>-1.7571052089493102</v>
      </c>
      <c r="E63" s="710">
        <v>0.8217946298634109</v>
      </c>
      <c r="F63" s="708">
        <v>-0.55940201842912141</v>
      </c>
      <c r="G63" s="711">
        <v>0.10827265631305377</v>
      </c>
      <c r="H63" s="710">
        <v>0.314</v>
      </c>
      <c r="I63" s="708">
        <v>0.52</v>
      </c>
      <c r="J63" s="570">
        <v>4.1399999999999997</v>
      </c>
      <c r="K63" s="865">
        <f>IF($J63="","",IF(IFERROR(INDEX(Settings!$AK$14:$AK$32,MATCH((((ROUND($H63,6)*2)*1000000)+ROUND($I63,6)),Settings!$AI$14:$AI$32,0)),"Undefined")="Undefined","Undefined",IFERROR(INDEX(_xlfn.ANCHORARRAY(Settings!$BC$14),MATCH(IFERROR(INDEX(Settings!$AK$14:$AK$32,MATCH((((ROUND($H63,6)*2)*1000000)+ROUND($I63,6)),Settings!$AI$14:$AI$32,0)),"Undefined"),_xlfn.ANCHORARRAY(Settings!$BC$14),0)),"Inactive")))</f>
        <v>1613</v>
      </c>
      <c r="L63" s="320"/>
      <c r="M63" s="168">
        <f t="shared" si="239"/>
        <v>4.1399999999999997</v>
      </c>
      <c r="N63" s="632">
        <f t="shared" si="240"/>
        <v>-1.354798863948421</v>
      </c>
      <c r="O63" s="629">
        <f t="shared" si="241"/>
        <v>-5.4626203159090618</v>
      </c>
      <c r="P63" s="633">
        <f t="shared" si="242"/>
        <v>-1.7571052089493102</v>
      </c>
      <c r="Q63" s="585">
        <f t="shared" si="113"/>
        <v>256.07097602231772</v>
      </c>
      <c r="R63" s="629">
        <f t="shared" si="79"/>
        <v>5.6281169744007942</v>
      </c>
      <c r="S63" s="634">
        <f t="shared" si="80"/>
        <v>-1.7571052089493102</v>
      </c>
      <c r="T63" s="635">
        <f t="shared" si="81"/>
        <v>-5.4627385235961219</v>
      </c>
      <c r="U63" s="629">
        <f t="shared" si="82"/>
        <v>1.354322155307667</v>
      </c>
      <c r="V63" s="636">
        <f t="shared" si="114"/>
        <v>-1.7571052089493102</v>
      </c>
      <c r="W63" s="585">
        <f t="shared" si="224"/>
        <v>166.07597602159581</v>
      </c>
      <c r="X63" s="629">
        <f t="shared" si="83"/>
        <v>5.6281169744007942</v>
      </c>
      <c r="Y63" s="630">
        <f t="shared" si="223"/>
        <v>-1.7571052089493102</v>
      </c>
      <c r="Z63" s="632">
        <f t="shared" si="243"/>
        <v>-0.8217946298634109</v>
      </c>
      <c r="AA63" s="629">
        <f t="shared" si="244"/>
        <v>0.55940201842912141</v>
      </c>
      <c r="AB63" s="629">
        <f t="shared" si="245"/>
        <v>-0.10827265631305377</v>
      </c>
      <c r="AC63" s="636">
        <f t="shared" si="84"/>
        <v>1</v>
      </c>
      <c r="AD63" s="637">
        <f t="shared" si="115"/>
        <v>-0.8217946298634109</v>
      </c>
      <c r="AE63" s="629">
        <f t="shared" si="85"/>
        <v>0.55940201842912141</v>
      </c>
      <c r="AF63" s="633">
        <f t="shared" si="86"/>
        <v>-0.10827265631305377</v>
      </c>
      <c r="AG63" s="602">
        <f t="shared" si="87"/>
        <v>79.04580922083872</v>
      </c>
      <c r="AH63" s="603">
        <f t="shared" si="88"/>
        <v>145.26484868918905</v>
      </c>
      <c r="AI63" s="585">
        <f t="shared" si="89"/>
        <v>-83.784248664521172</v>
      </c>
      <c r="AJ63" s="586">
        <f t="shared" si="90"/>
        <v>-124.24342428603775</v>
      </c>
      <c r="AK63" s="635">
        <f t="shared" si="211"/>
        <v>0.93228859377317685</v>
      </c>
      <c r="AL63" s="629">
        <f t="shared" si="91"/>
        <v>-0.34513042435483454</v>
      </c>
      <c r="AM63" s="634">
        <f t="shared" si="92"/>
        <v>-0.10827265631305377</v>
      </c>
      <c r="AN63" s="581">
        <f t="shared" si="93"/>
        <v>-72.582566537476822</v>
      </c>
      <c r="AO63" s="582">
        <f t="shared" si="461"/>
        <v>21.205577565565772</v>
      </c>
      <c r="AP63" s="585">
        <f t="shared" si="95"/>
        <v>-20.314400308355459</v>
      </c>
      <c r="AQ63" s="586">
        <f t="shared" si="246"/>
        <v>0.40505353094247915</v>
      </c>
      <c r="AS63" s="52">
        <f t="shared" si="406"/>
        <v>-193.92402397840419</v>
      </c>
      <c r="AT63" s="72">
        <f t="shared" si="247"/>
        <v>-1.6224322756314753</v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>
        <f t="shared" si="210"/>
        <v>4.1399999999999997</v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IFERROR(ROUND(VALUE(IF($IH63&lt;1,$IH63+LARGE((IF($M$9:$M$150="",0,$M$9:$M$150)-MOD(IF($M$9:$M$150="",0,$M$9:$M$150),1)),1),$IH63)),4),"")</f>
        <v/>
      </c>
      <c r="IJ63" s="533">
        <f t="shared" si="112"/>
        <v>1613</v>
      </c>
      <c r="IK63" s="533" t="str">
        <f t="shared" si="382"/>
        <v/>
      </c>
      <c r="IL63" s="727" t="str">
        <f t="shared" si="225"/>
        <v/>
      </c>
      <c r="IM63" s="759"/>
      <c r="IN63" s="5" t="str">
        <f t="shared" si="226"/>
        <v/>
      </c>
      <c r="IO63" s="771"/>
      <c r="IP63" s="9" t="str">
        <f t="shared" si="227"/>
        <v/>
      </c>
      <c r="IQ63" s="5" t="str">
        <f t="shared" si="228"/>
        <v/>
      </c>
      <c r="IR63" s="5" t="str">
        <f t="shared" si="383"/>
        <v/>
      </c>
      <c r="IS63" s="5" t="str">
        <f t="shared" si="229"/>
        <v/>
      </c>
      <c r="IT63" s="727" t="str">
        <f t="shared" si="230"/>
        <v/>
      </c>
      <c r="IU63" s="9" t="str">
        <f t="shared" si="231"/>
        <v/>
      </c>
      <c r="IV63" s="5" t="str">
        <f t="shared" si="232"/>
        <v/>
      </c>
      <c r="IW63" s="5" t="str">
        <f t="shared" si="384"/>
        <v/>
      </c>
      <c r="IX63" s="5" t="str">
        <f t="shared" si="233"/>
        <v/>
      </c>
      <c r="IY63" s="762" t="str">
        <f t="shared" si="234"/>
        <v/>
      </c>
    </row>
    <row r="64" spans="1:259" ht="15" customHeight="1" x14ac:dyDescent="0.25">
      <c r="A64" s="79"/>
      <c r="B64" s="707">
        <v>-1.4254390017986023</v>
      </c>
      <c r="C64" s="708">
        <v>-5.622128295365501</v>
      </c>
      <c r="D64" s="709">
        <v>-2.4924074266207983</v>
      </c>
      <c r="E64" s="710">
        <v>0.75643085942452037</v>
      </c>
      <c r="F64" s="708">
        <v>-0.64802437187395445</v>
      </c>
      <c r="G64" s="711">
        <v>8.8751159810159769E-2</v>
      </c>
      <c r="H64" s="710">
        <v>0.314</v>
      </c>
      <c r="I64" s="708">
        <v>0.52</v>
      </c>
      <c r="J64" s="570">
        <v>4.1459999999999999</v>
      </c>
      <c r="K64" s="865">
        <f>IF($J64="","",IF(IFERROR(INDEX(Settings!$AK$14:$AK$32,MATCH((((ROUND($H64,6)*2)*1000000)+ROUND($I64,6)),Settings!$AI$14:$AI$32,0)),"Undefined")="Undefined","Undefined",IFERROR(INDEX(_xlfn.ANCHORARRAY(Settings!$BC$14),MATCH(IFERROR(INDEX(Settings!$AK$14:$AK$32,MATCH((((ROUND($H64,6)*2)*1000000)+ROUND($I64,6)),Settings!$AI$14:$AI$32,0)),"Undefined"),_xlfn.ANCHORARRAY(Settings!$BC$14),0)),"Inactive")))</f>
        <v>1613</v>
      </c>
      <c r="L64" s="320"/>
      <c r="M64" s="168">
        <f t="shared" si="239"/>
        <v>4.1459999999999999</v>
      </c>
      <c r="N64" s="632">
        <f t="shared" si="240"/>
        <v>-1.4254390017986023</v>
      </c>
      <c r="O64" s="629">
        <f t="shared" si="241"/>
        <v>-5.622128295365501</v>
      </c>
      <c r="P64" s="633">
        <f t="shared" si="242"/>
        <v>-2.4924074266207983</v>
      </c>
      <c r="Q64" s="585">
        <f t="shared" si="113"/>
        <v>255.77297606534358</v>
      </c>
      <c r="R64" s="629">
        <f t="shared" si="79"/>
        <v>5.8000174928527581</v>
      </c>
      <c r="S64" s="634">
        <f t="shared" si="80"/>
        <v>-2.4924074266207983</v>
      </c>
      <c r="T64" s="635">
        <f t="shared" si="81"/>
        <v>-5.622252666959251</v>
      </c>
      <c r="U64" s="629">
        <f t="shared" si="82"/>
        <v>1.4249483731937751</v>
      </c>
      <c r="V64" s="636">
        <f t="shared" si="114"/>
        <v>-2.4924074266207983</v>
      </c>
      <c r="W64" s="585">
        <f t="shared" si="224"/>
        <v>165.77797606462167</v>
      </c>
      <c r="X64" s="629">
        <f t="shared" si="83"/>
        <v>5.8000174928527581</v>
      </c>
      <c r="Y64" s="630">
        <f t="shared" si="223"/>
        <v>-2.4924074266207983</v>
      </c>
      <c r="Z64" s="632">
        <f t="shared" si="243"/>
        <v>-0.75643085942452037</v>
      </c>
      <c r="AA64" s="629">
        <f t="shared" si="244"/>
        <v>0.64802437187395445</v>
      </c>
      <c r="AB64" s="629">
        <f t="shared" si="245"/>
        <v>-8.8751159810159769E-2</v>
      </c>
      <c r="AC64" s="636">
        <f t="shared" si="84"/>
        <v>1</v>
      </c>
      <c r="AD64" s="637">
        <f t="shared" si="115"/>
        <v>-0.75643085942452037</v>
      </c>
      <c r="AE64" s="629">
        <f t="shared" si="85"/>
        <v>0.64802437187395445</v>
      </c>
      <c r="AF64" s="633">
        <f t="shared" si="86"/>
        <v>-8.8751159810159769E-2</v>
      </c>
      <c r="AG64" s="602">
        <f t="shared" si="87"/>
        <v>82.201487302669008</v>
      </c>
      <c r="AH64" s="603">
        <f t="shared" si="88"/>
        <v>139.15055265406497</v>
      </c>
      <c r="AI64" s="585">
        <f t="shared" si="89"/>
        <v>-84.908233693307423</v>
      </c>
      <c r="AJ64" s="586">
        <f t="shared" si="90"/>
        <v>-130.58622971268557</v>
      </c>
      <c r="AK64" s="635">
        <f t="shared" si="211"/>
        <v>0.89249223100141906</v>
      </c>
      <c r="AL64" s="629">
        <f t="shared" si="91"/>
        <v>-0.44224523653111436</v>
      </c>
      <c r="AM64" s="634">
        <f t="shared" si="92"/>
        <v>-8.8751159810159769E-2</v>
      </c>
      <c r="AN64" s="581">
        <f t="shared" si="93"/>
        <v>-78.652437222834507</v>
      </c>
      <c r="AO64" s="582">
        <f t="shared" si="461"/>
        <v>26.811890290056262</v>
      </c>
      <c r="AP64" s="585">
        <f t="shared" si="95"/>
        <v>-26.359205778029153</v>
      </c>
      <c r="AQ64" s="586">
        <f t="shared" si="246"/>
        <v>0.39304896470689571</v>
      </c>
      <c r="AS64" s="52">
        <f t="shared" si="406"/>
        <v>-194.22202393537833</v>
      </c>
      <c r="AT64" s="72">
        <f t="shared" si="247"/>
        <v>-2.357527548888398</v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>
        <f t="shared" si="210"/>
        <v>4.1459999999999999</v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IFERROR(ROUND(VALUE(IF($IH64&lt;1,$IH64+LARGE((IF($M$9:$M$150="",0,$M$9:$M$150)-MOD(IF($M$9:$M$150="",0,$M$9:$M$150),1)),1),$IH64)),4),"")</f>
        <v/>
      </c>
      <c r="IJ64" s="533">
        <f t="shared" si="112"/>
        <v>1613</v>
      </c>
      <c r="IK64" s="533" t="str">
        <f t="shared" si="382"/>
        <v/>
      </c>
      <c r="IL64" s="727" t="str">
        <f t="shared" si="225"/>
        <v/>
      </c>
      <c r="IM64" s="759"/>
      <c r="IN64" s="5" t="str">
        <f t="shared" si="226"/>
        <v/>
      </c>
      <c r="IO64" s="771"/>
      <c r="IP64" s="9" t="str">
        <f t="shared" si="227"/>
        <v/>
      </c>
      <c r="IQ64" s="5" t="str">
        <f t="shared" si="228"/>
        <v/>
      </c>
      <c r="IR64" s="5" t="str">
        <f t="shared" si="383"/>
        <v/>
      </c>
      <c r="IS64" s="5" t="str">
        <f t="shared" si="229"/>
        <v/>
      </c>
      <c r="IT64" s="727" t="str">
        <f t="shared" si="230"/>
        <v/>
      </c>
      <c r="IU64" s="9" t="str">
        <f t="shared" si="231"/>
        <v/>
      </c>
      <c r="IV64" s="5" t="str">
        <f t="shared" si="232"/>
        <v/>
      </c>
      <c r="IW64" s="5" t="str">
        <f t="shared" si="384"/>
        <v/>
      </c>
      <c r="IX64" s="5" t="str">
        <f t="shared" si="233"/>
        <v/>
      </c>
      <c r="IY64" s="762" t="str">
        <f t="shared" si="234"/>
        <v/>
      </c>
    </row>
    <row r="65" spans="1:259" ht="15" customHeight="1" x14ac:dyDescent="0.25">
      <c r="A65" s="79"/>
      <c r="B65" s="707">
        <v>-1.4845039487698783</v>
      </c>
      <c r="C65" s="708">
        <v>-5.7513202753788786</v>
      </c>
      <c r="D65" s="709">
        <v>-3.2080095848769075</v>
      </c>
      <c r="E65" s="710">
        <v>0.64980605906346156</v>
      </c>
      <c r="F65" s="708">
        <v>-0.7601000497331889</v>
      </c>
      <c r="G65" s="711">
        <v>1.3008419207734734E-7</v>
      </c>
      <c r="H65" s="710">
        <v>0.26600000000000001</v>
      </c>
      <c r="I65" s="708">
        <v>0.52</v>
      </c>
      <c r="J65" s="570">
        <v>4.1520000000000001</v>
      </c>
      <c r="K65" s="865">
        <f>IF($J65="","",IF(IFERROR(INDEX(Settings!$AK$14:$AK$32,MATCH((((ROUND($H65,6)*2)*1000000)+ROUND($I65,6)),Settings!$AI$14:$AI$32,0)),"Undefined")="Undefined","Undefined",IFERROR(INDEX(_xlfn.ANCHORARRAY(Settings!$BC$14),MATCH(IFERROR(INDEX(Settings!$AK$14:$AK$32,MATCH((((ROUND($H65,6)*2)*1000000)+ROUND($I65,6)),Settings!$AI$14:$AI$32,0)),"Undefined"),_xlfn.ANCHORARRAY(Settings!$BC$14),0)),"Inactive")))</f>
        <v>1313</v>
      </c>
      <c r="L65" s="320"/>
      <c r="M65" s="168">
        <f t="shared" si="239"/>
        <v>4.1520000000000001</v>
      </c>
      <c r="N65" s="632">
        <f t="shared" si="240"/>
        <v>-1.4845039487698783</v>
      </c>
      <c r="O65" s="629">
        <f t="shared" si="241"/>
        <v>-5.7513202753788786</v>
      </c>
      <c r="P65" s="633">
        <f t="shared" si="242"/>
        <v>-3.2080095848769075</v>
      </c>
      <c r="Q65" s="585">
        <f t="shared" si="113"/>
        <v>255.52697613169769</v>
      </c>
      <c r="R65" s="629">
        <f t="shared" si="79"/>
        <v>5.9398179167292273</v>
      </c>
      <c r="S65" s="634">
        <f t="shared" si="80"/>
        <v>-3.2080095848769075</v>
      </c>
      <c r="T65" s="635">
        <f t="shared" si="81"/>
        <v>-5.7514498008689356</v>
      </c>
      <c r="U65" s="629">
        <f t="shared" si="82"/>
        <v>1.4840020458146994</v>
      </c>
      <c r="V65" s="636">
        <f t="shared" si="114"/>
        <v>-3.2080095848769075</v>
      </c>
      <c r="W65" s="585">
        <f t="shared" si="224"/>
        <v>165.53197613097578</v>
      </c>
      <c r="X65" s="629">
        <f t="shared" si="83"/>
        <v>5.9398179167292273</v>
      </c>
      <c r="Y65" s="630">
        <f t="shared" si="223"/>
        <v>-3.2080095848769075</v>
      </c>
      <c r="Z65" s="632">
        <f t="shared" si="243"/>
        <v>-0.64980605906346156</v>
      </c>
      <c r="AA65" s="629">
        <f t="shared" si="244"/>
        <v>0.7601000497331889</v>
      </c>
      <c r="AB65" s="629">
        <f t="shared" si="245"/>
        <v>-1.3008419207734734E-7</v>
      </c>
      <c r="AC65" s="636">
        <f t="shared" si="84"/>
        <v>1</v>
      </c>
      <c r="AD65" s="637">
        <f t="shared" si="115"/>
        <v>-0.64980605906346156</v>
      </c>
      <c r="AE65" s="629">
        <f t="shared" si="85"/>
        <v>0.7601000497331889</v>
      </c>
      <c r="AF65" s="633">
        <f t="shared" si="86"/>
        <v>-1.3008419207734734E-7</v>
      </c>
      <c r="AG65" s="602">
        <f t="shared" si="87"/>
        <v>89.999990194349834</v>
      </c>
      <c r="AH65" s="603">
        <f t="shared" si="88"/>
        <v>130.52698115423587</v>
      </c>
      <c r="AI65" s="585">
        <f t="shared" si="89"/>
        <v>-89.999992546724812</v>
      </c>
      <c r="AJ65" s="586">
        <f t="shared" si="90"/>
        <v>-139.4730188457637</v>
      </c>
      <c r="AK65" s="635">
        <f t="shared" si="211"/>
        <v>0.81915209456859772</v>
      </c>
      <c r="AL65" s="629">
        <f t="shared" si="91"/>
        <v>-0.57357636454430572</v>
      </c>
      <c r="AM65" s="634">
        <f t="shared" si="92"/>
        <v>-1.3008419207734734E-7</v>
      </c>
      <c r="AN65" s="581">
        <f t="shared" si="93"/>
        <v>-89.999987005609626</v>
      </c>
      <c r="AO65" s="582">
        <f t="shared" si="461"/>
        <v>34.999994977462087</v>
      </c>
      <c r="AP65" s="585">
        <f t="shared" si="95"/>
        <v>-34.999994977461405</v>
      </c>
      <c r="AQ65" s="586">
        <f t="shared" si="246"/>
        <v>0.38379838680400524</v>
      </c>
      <c r="AS65" s="52">
        <f t="shared" si="406"/>
        <v>-194.46802386902422</v>
      </c>
      <c r="AT65" s="72">
        <f t="shared" si="247"/>
        <v>-3.0729588738572531</v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>
        <f t="shared" si="210"/>
        <v>4.1520000000000001</v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IFERROR(ROUND(VALUE(IF($IH65&lt;1,$IH65+LARGE((IF($M$9:$M$150="",0,$M$9:$M$150)-MOD(IF($M$9:$M$150="",0,$M$9:$M$150),1)),1),$IH65)),4),"")</f>
        <v/>
      </c>
      <c r="IJ65" s="533">
        <f t="shared" si="112"/>
        <v>1313</v>
      </c>
      <c r="IK65" s="533" t="str">
        <f t="shared" si="382"/>
        <v/>
      </c>
      <c r="IL65" s="727" t="str">
        <f t="shared" si="225"/>
        <v/>
      </c>
      <c r="IM65" s="759"/>
      <c r="IN65" s="5" t="str">
        <f t="shared" si="226"/>
        <v/>
      </c>
      <c r="IO65" s="771"/>
      <c r="IP65" s="9" t="str">
        <f t="shared" si="227"/>
        <v/>
      </c>
      <c r="IQ65" s="5" t="str">
        <f t="shared" si="228"/>
        <v/>
      </c>
      <c r="IR65" s="5" t="str">
        <f t="shared" si="383"/>
        <v/>
      </c>
      <c r="IS65" s="5" t="str">
        <f t="shared" si="229"/>
        <v/>
      </c>
      <c r="IT65" s="727" t="str">
        <f t="shared" si="230"/>
        <v/>
      </c>
      <c r="IU65" s="9" t="str">
        <f t="shared" si="231"/>
        <v/>
      </c>
      <c r="IV65" s="5" t="str">
        <f t="shared" si="232"/>
        <v/>
      </c>
      <c r="IW65" s="5" t="str">
        <f t="shared" si="384"/>
        <v/>
      </c>
      <c r="IX65" s="5" t="str">
        <f t="shared" si="233"/>
        <v/>
      </c>
      <c r="IY65" s="762" t="str">
        <f t="shared" si="234"/>
        <v/>
      </c>
    </row>
    <row r="66" spans="1:259" ht="15" customHeight="1" x14ac:dyDescent="0.25">
      <c r="A66" s="79"/>
      <c r="B66" s="707">
        <v>-1.9541638976062903</v>
      </c>
      <c r="C66" s="708">
        <v>-3.5600514966829966</v>
      </c>
      <c r="D66" s="709">
        <v>-0.23823364004873021</v>
      </c>
      <c r="E66" s="710">
        <v>-0.1052955158979948</v>
      </c>
      <c r="F66" s="708">
        <v>-0.19182545561705394</v>
      </c>
      <c r="G66" s="711">
        <v>0.9757642383839884</v>
      </c>
      <c r="H66" s="710">
        <v>0.26250000000000001</v>
      </c>
      <c r="I66" s="708">
        <v>0.40699999999999997</v>
      </c>
      <c r="J66" s="570">
        <v>4.2220000000000004</v>
      </c>
      <c r="K66" s="865" t="str">
        <f>IF($J66="","",IF(IFERROR(INDEX(Settings!$AK$14:$AK$32,MATCH((((ROUND($H66,6)*2)*1000000)+ROUND($I66,6)),Settings!$AI$14:$AI$32,0)),"Undefined")="Undefined","Undefined",IFERROR(INDEX(_xlfn.ANCHORARRAY(Settings!$BC$14),MATCH(IFERROR(INDEX(Settings!$AK$14:$AK$32,MATCH((((ROUND($H66,6)*2)*1000000)+ROUND($I66,6)),Settings!$AI$14:$AI$32,0)),"Undefined"),_xlfn.ANCHORARRAY(Settings!$BC$14),0)),"Inactive")))</f>
        <v>Inactive</v>
      </c>
      <c r="L66" s="320"/>
      <c r="M66" s="168">
        <f t="shared" si="239"/>
        <v>4.2220000000000004</v>
      </c>
      <c r="N66" s="632">
        <f t="shared" si="240"/>
        <v>-1.9541638976062903</v>
      </c>
      <c r="O66" s="629">
        <f t="shared" si="241"/>
        <v>-3.5600514966829966</v>
      </c>
      <c r="P66" s="633">
        <f t="shared" si="242"/>
        <v>-0.23823364004873021</v>
      </c>
      <c r="Q66" s="585">
        <f t="shared" si="113"/>
        <v>241.23697816408199</v>
      </c>
      <c r="R66" s="629">
        <f t="shared" si="79"/>
        <v>4.0611233911003799</v>
      </c>
      <c r="S66" s="634">
        <f t="shared" si="80"/>
        <v>-0.23823364004873021</v>
      </c>
      <c r="T66" s="635">
        <f t="shared" si="81"/>
        <v>-3.5602220160731739</v>
      </c>
      <c r="U66" s="629">
        <f t="shared" si="82"/>
        <v>1.9538532171098506</v>
      </c>
      <c r="V66" s="636">
        <f t="shared" si="114"/>
        <v>-0.23823364004873021</v>
      </c>
      <c r="W66" s="585">
        <f t="shared" si="224"/>
        <v>151.24197816336007</v>
      </c>
      <c r="X66" s="629">
        <f t="shared" si="83"/>
        <v>4.0611233911003799</v>
      </c>
      <c r="Y66" s="630">
        <f t="shared" si="223"/>
        <v>-0.23823364004873021</v>
      </c>
      <c r="Z66" s="632">
        <f t="shared" si="243"/>
        <v>0.1052955158979948</v>
      </c>
      <c r="AA66" s="629">
        <f t="shared" si="244"/>
        <v>0.19182545561705394</v>
      </c>
      <c r="AB66" s="629">
        <f t="shared" si="245"/>
        <v>-0.9757642383839884</v>
      </c>
      <c r="AC66" s="636">
        <f t="shared" si="84"/>
        <v>1</v>
      </c>
      <c r="AD66" s="637">
        <f t="shared" si="115"/>
        <v>0.1052955158979948</v>
      </c>
      <c r="AE66" s="629">
        <f t="shared" si="85"/>
        <v>0.19182545561705394</v>
      </c>
      <c r="AF66" s="633">
        <f t="shared" si="86"/>
        <v>-0.9757642383839884</v>
      </c>
      <c r="AG66" s="602">
        <f t="shared" si="87"/>
        <v>11.121943790373122</v>
      </c>
      <c r="AH66" s="603">
        <f t="shared" si="88"/>
        <v>83.955807243220661</v>
      </c>
      <c r="AI66" s="585">
        <f t="shared" si="89"/>
        <v>-12.639998175016618</v>
      </c>
      <c r="AJ66" s="586">
        <f t="shared" si="90"/>
        <v>151.2370375467921</v>
      </c>
      <c r="AK66" s="635">
        <f t="shared" si="211"/>
        <v>2.2679489676546982E-7</v>
      </c>
      <c r="AL66" s="629">
        <f t="shared" si="91"/>
        <v>-0.21882447552973541</v>
      </c>
      <c r="AM66" s="634">
        <f t="shared" si="92"/>
        <v>-0.9757642383839884</v>
      </c>
      <c r="AN66" s="581">
        <f t="shared" si="93"/>
        <v>-12.639998175010067</v>
      </c>
      <c r="AO66" s="582">
        <f t="shared" si="461"/>
        <v>0</v>
      </c>
      <c r="AP66" s="585">
        <f t="shared" si="95"/>
        <v>-89.999940617289866</v>
      </c>
      <c r="AQ66" s="586">
        <f t="shared" si="246"/>
        <v>0.56133573709523954</v>
      </c>
      <c r="AS66" s="52">
        <f t="shared" si="406"/>
        <v>-208.75802183663993</v>
      </c>
      <c r="AT66" s="72">
        <f t="shared" si="247"/>
        <v>-9.3259319329342699E-2</v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>Nose</v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>
        <f t="shared" si="210"/>
        <v>4.2220000000000004</v>
      </c>
      <c r="IH66" s="731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>4.1219999999999999</v>
      </c>
      <c r="II66" s="734" cm="1">
        <f t="array" ref="II66">IFERROR(ROUND(VALUE(IF($IH66&lt;1,$IH66+LARGE((IF($M$9:$M$150="",0,$M$9:$M$150)-MOD(IF($M$9:$M$150="",0,$M$9:$M$150),1)),1),$IH66)),4),"")</f>
        <v>4.1219999999999999</v>
      </c>
      <c r="IJ66" s="533">
        <f t="shared" si="112"/>
        <v>1613</v>
      </c>
      <c r="IK66" s="533" t="str">
        <f t="shared" si="382"/>
        <v>Inactive</v>
      </c>
      <c r="IL66" s="727">
        <f t="shared" si="225"/>
        <v>17.30799750103435</v>
      </c>
      <c r="IM66" s="759">
        <v>3.7671093037314501E-2</v>
      </c>
      <c r="IN66" s="5">
        <f t="shared" si="226"/>
        <v>0.92</v>
      </c>
      <c r="IO66" s="771">
        <v>460</v>
      </c>
      <c r="IP66" s="9">
        <f t="shared" si="227"/>
        <v>-4.0525122223768637</v>
      </c>
      <c r="IQ66" s="5">
        <f t="shared" si="228"/>
        <v>-0.23240061044024118</v>
      </c>
      <c r="IR66" s="5">
        <f t="shared" si="383"/>
        <v>0.314</v>
      </c>
      <c r="IS66" s="5">
        <f t="shared" si="229"/>
        <v>0.30205244805462794</v>
      </c>
      <c r="IT66" s="727">
        <f t="shared" si="230"/>
        <v>32.012924006491673</v>
      </c>
      <c r="IU66" s="9">
        <f t="shared" si="231"/>
        <v>-4.0611233911003799</v>
      </c>
      <c r="IV66" s="5">
        <f t="shared" si="232"/>
        <v>-0.23823364004873021</v>
      </c>
      <c r="IW66" s="5">
        <f t="shared" si="384"/>
        <v>0.26250000000000001</v>
      </c>
      <c r="IX66" s="5">
        <f t="shared" si="233"/>
        <v>0.26250000000000001</v>
      </c>
      <c r="IY66" s="762">
        <f t="shared" si="234"/>
        <v>12.639998175010067</v>
      </c>
    </row>
    <row r="67" spans="1:259" ht="15" customHeight="1" x14ac:dyDescent="0.25">
      <c r="A67" s="79"/>
      <c r="B67" s="707">
        <v>-1.9259089647425336</v>
      </c>
      <c r="C67" s="708">
        <v>-4.3427814859474037</v>
      </c>
      <c r="D67" s="709">
        <v>-0.52646911972948995</v>
      </c>
      <c r="E67" s="710">
        <v>0.69733171856123677</v>
      </c>
      <c r="F67" s="708">
        <v>-0.62655996887684706</v>
      </c>
      <c r="G67" s="711">
        <v>0.34806763665913665</v>
      </c>
      <c r="H67" s="710">
        <v>0.26600000000000001</v>
      </c>
      <c r="I67" s="708">
        <v>0.52</v>
      </c>
      <c r="J67" s="570">
        <v>4.2279999999999998</v>
      </c>
      <c r="K67" s="865">
        <f>IF($J67="","",IF(IFERROR(INDEX(Settings!$AK$14:$AK$32,MATCH((((ROUND($H67,6)*2)*1000000)+ROUND($I67,6)),Settings!$AI$14:$AI$32,0)),"Undefined")="Undefined","Undefined",IFERROR(INDEX(_xlfn.ANCHORARRAY(Settings!$BC$14),MATCH(IFERROR(INDEX(Settings!$AK$14:$AK$32,MATCH((((ROUND($H67,6)*2)*1000000)+ROUND($I67,6)),Settings!$AI$14:$AI$32,0)),"Undefined"),_xlfn.ANCHORARRAY(Settings!$BC$14),0)),"Inactive")))</f>
        <v>1313</v>
      </c>
      <c r="L67" s="320"/>
      <c r="M67" s="168">
        <f t="shared" si="239"/>
        <v>4.2279999999999998</v>
      </c>
      <c r="N67" s="632">
        <f t="shared" si="240"/>
        <v>-1.9259089647425336</v>
      </c>
      <c r="O67" s="629">
        <f t="shared" si="241"/>
        <v>-4.3427814859474037</v>
      </c>
      <c r="P67" s="633">
        <f t="shared" si="242"/>
        <v>-0.52646911972948995</v>
      </c>
      <c r="Q67" s="585">
        <f t="shared" si="113"/>
        <v>246.08397746426189</v>
      </c>
      <c r="R67" s="629">
        <f>IF(M67="","",SQRT(N67^2+O67^2))</f>
        <v>4.7506711499706231</v>
      </c>
      <c r="S67" s="634">
        <f>IF(M67="","",P67)</f>
        <v>-0.52646911972948995</v>
      </c>
      <c r="T67" s="635">
        <f>IF(M67="","",X67*COS(RADIANS(W67)))</f>
        <v>-4.3429495366494857</v>
      </c>
      <c r="U67" s="629">
        <f>IF(M67="","",X67*SIN(RADIANS(W67)))</f>
        <v>1.9255299782862951</v>
      </c>
      <c r="V67" s="636">
        <f>IF(M67="","",Y67)</f>
        <v>-0.52646911972948995</v>
      </c>
      <c r="W67" s="585">
        <f t="shared" si="224"/>
        <v>156.08897746353998</v>
      </c>
      <c r="X67" s="629">
        <f>IF(M67="","",R67)</f>
        <v>4.7506711499706231</v>
      </c>
      <c r="Y67" s="630">
        <f t="shared" si="223"/>
        <v>-0.52646911972948995</v>
      </c>
      <c r="Z67" s="632">
        <f t="shared" si="243"/>
        <v>-0.69733171856123677</v>
      </c>
      <c r="AA67" s="629">
        <f t="shared" si="244"/>
        <v>0.62655996887684706</v>
      </c>
      <c r="AB67" s="629">
        <f t="shared" si="245"/>
        <v>-0.34806763665913665</v>
      </c>
      <c r="AC67" s="636">
        <f>IF(M67="","",SQRT(Z67^2+AA67^2+AB67^2))</f>
        <v>1</v>
      </c>
      <c r="AD67" s="637">
        <f>IF(M67="","",Z67*(1/SQRT(Z67^2+AA67^2+AB67^2)))</f>
        <v>-0.69733171856123677</v>
      </c>
      <c r="AE67" s="629">
        <f>IF(M67="","",AA67*(1/SQRT(Z67^2+AA67^2+AB67^2)))</f>
        <v>0.62655996887684706</v>
      </c>
      <c r="AF67" s="633">
        <f>IF(M67="","",AB67*(1/SQRT(Z67^2+AA67^2+AB67^2)))</f>
        <v>-0.34806763665913665</v>
      </c>
      <c r="AG67" s="602">
        <f>IF(M67="","",DEGREES(ATAN2(-AF67,AE67)))</f>
        <v>60.946879772821688</v>
      </c>
      <c r="AH67" s="603">
        <f>IF(M67="","",DEGREES(ACOS(AD67)))</f>
        <v>134.21331749843574</v>
      </c>
      <c r="AI67" s="585">
        <f>IF(M67="","",DEGREES(-ACOS(-AF67)))</f>
        <v>-69.630831395792157</v>
      </c>
      <c r="AJ67" s="586">
        <f>IF(M67="","",DEGREES(ATAN2(-AE67,AD67)))</f>
        <v>-131.94003169269538</v>
      </c>
      <c r="AK67" s="635">
        <f>IF(M67="","",(COS(RADIANS((90-$Q$8)-W67))*AD67)+(-SIN(RADIANS((90-$Q$8)-W67))*AE67))</f>
        <v>0.8914649329003832</v>
      </c>
      <c r="AL67" s="629">
        <f>IF(M67="","",(SIN(RADIANS((90-$Q$8)-W67))*AD67)+(COS(RADIANS((90-$Q$8)-W67))*AE67))</f>
        <v>-0.29006756750701868</v>
      </c>
      <c r="AM67" s="634">
        <f>IF(M67="","",AF67)</f>
        <v>-0.34806763665913665</v>
      </c>
      <c r="AN67" s="581">
        <f>IF(M67="","",DEGREES(ATAN2(-AM67,AL67)))</f>
        <v>-39.806659479199709</v>
      </c>
      <c r="AO67" s="582">
        <f t="shared" si="461"/>
        <v>26.942089172814658</v>
      </c>
      <c r="AP67" s="585">
        <f>IF(M67="","",DEGREES(ATAN2(AK67,AL67)))</f>
        <v>-18.024009156957263</v>
      </c>
      <c r="AQ67" s="586">
        <f t="shared" si="246"/>
        <v>0.47986342492466616</v>
      </c>
      <c r="AS67" s="52">
        <f t="shared" si="406"/>
        <v>-203.91102253646002</v>
      </c>
      <c r="AT67" s="72">
        <f t="shared" si="247"/>
        <v>-0.38486077074633851</v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>Taper</v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>
        <f t="shared" si="210"/>
        <v>4.2279999999999998</v>
      </c>
      <c r="IH67" s="731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>4.1280000000000001</v>
      </c>
      <c r="II67" s="734" cm="1">
        <f t="array" ref="II67">IFERROR(ROUND(VALUE(IF($IH67&lt;1,$IH67+LARGE((IF($M$9:$M$150="",0,$M$9:$M$150)-MOD(IF($M$9:$M$150="",0,$M$9:$M$150),1)),1),$IH67)),4),"")</f>
        <v>4.1280000000000001</v>
      </c>
      <c r="IJ67" s="533">
        <f t="shared" si="112"/>
        <v>1613</v>
      </c>
      <c r="IK67" s="533">
        <f t="shared" si="382"/>
        <v>1313</v>
      </c>
      <c r="IL67" s="727">
        <f t="shared" si="225"/>
        <v>11.47199834364838</v>
      </c>
      <c r="IM67" s="759">
        <v>1.15278048879632E-2</v>
      </c>
      <c r="IN67" s="5">
        <f t="shared" si="226"/>
        <v>0.34</v>
      </c>
      <c r="IO67" s="771">
        <v>170</v>
      </c>
      <c r="IP67" s="9">
        <f t="shared" si="227"/>
        <v>-4.7257142527541864</v>
      </c>
      <c r="IQ67" s="5">
        <f t="shared" si="228"/>
        <v>-0.57120163226412313</v>
      </c>
      <c r="IR67" s="5">
        <f t="shared" si="383"/>
        <v>0.314</v>
      </c>
      <c r="IS67" s="5">
        <f t="shared" si="229"/>
        <v>0.29937487782314282</v>
      </c>
      <c r="IT67" s="727">
        <f t="shared" si="230"/>
        <v>48.463411942271208</v>
      </c>
      <c r="IU67" s="9">
        <f t="shared" si="231"/>
        <v>-4.7506711499706231</v>
      </c>
      <c r="IV67" s="5">
        <f t="shared" si="232"/>
        <v>-0.52646911972948995</v>
      </c>
      <c r="IW67" s="5">
        <f t="shared" si="384"/>
        <v>0.26600000000000001</v>
      </c>
      <c r="IX67" s="5">
        <f t="shared" si="233"/>
        <v>0.23712967215150194</v>
      </c>
      <c r="IY67" s="762">
        <f t="shared" si="234"/>
        <v>39.806659479199709</v>
      </c>
    </row>
    <row r="68" spans="1:259" ht="15" customHeight="1" x14ac:dyDescent="0.25">
      <c r="A68" s="79"/>
      <c r="B68" s="707">
        <v>-2.1463218396010482</v>
      </c>
      <c r="C68" s="708">
        <v>-4.849156557725796</v>
      </c>
      <c r="D68" s="709">
        <v>-1.0549513630499205</v>
      </c>
      <c r="E68" s="710">
        <v>0.65242200027039821</v>
      </c>
      <c r="F68" s="708">
        <v>-0.70206346192989744</v>
      </c>
      <c r="G68" s="711">
        <v>0.28539871931419031</v>
      </c>
      <c r="H68" s="710">
        <v>0.26600000000000001</v>
      </c>
      <c r="I68" s="708">
        <v>0.52</v>
      </c>
      <c r="J68" s="570">
        <v>4.234</v>
      </c>
      <c r="K68" s="865">
        <f>IF($J68="","",IF(IFERROR(INDEX(Settings!$AK$14:$AK$32,MATCH((((ROUND($H68,6)*2)*1000000)+ROUND($I68,6)),Settings!$AI$14:$AI$32,0)),"Undefined")="Undefined","Undefined",IFERROR(INDEX(_xlfn.ANCHORARRAY(Settings!$BC$14),MATCH(IFERROR(INDEX(Settings!$AK$14:$AK$32,MATCH((((ROUND($H68,6)*2)*1000000)+ROUND($I68,6)),Settings!$AI$14:$AI$32,0)),"Undefined"),_xlfn.ANCHORARRAY(Settings!$BC$14),0)),"Inactive")))</f>
        <v>1313</v>
      </c>
      <c r="L68" s="320"/>
      <c r="M68" s="168">
        <f t="shared" si="239"/>
        <v>4.234</v>
      </c>
      <c r="N68" s="632">
        <f t="shared" si="240"/>
        <v>-2.1463218396010482</v>
      </c>
      <c r="O68" s="629">
        <f t="shared" si="241"/>
        <v>-4.849156557725796</v>
      </c>
      <c r="P68" s="633">
        <f t="shared" si="242"/>
        <v>-1.0549513630499205</v>
      </c>
      <c r="Q68" s="585">
        <f t="shared" si="113"/>
        <v>246.12497745834224</v>
      </c>
      <c r="R68" s="629">
        <f>IF(M68="","",SQRT(N68^2+O68^2))</f>
        <v>5.302925302178366</v>
      </c>
      <c r="S68" s="634">
        <f>IF(M68="","",P68)</f>
        <v>-1.0549513630499205</v>
      </c>
      <c r="T68" s="635">
        <f>IF(M68="","",X68*COS(RADIANS(W68)))</f>
        <v>-4.8493438411488441</v>
      </c>
      <c r="U68" s="629">
        <f>IF(M68="","",X68*SIN(RADIANS(W68)))</f>
        <v>2.1458986627507106</v>
      </c>
      <c r="V68" s="636">
        <f>IF(M68="","",Y68)</f>
        <v>-1.0549513630499205</v>
      </c>
      <c r="W68" s="585">
        <f t="shared" si="224"/>
        <v>156.12997745762033</v>
      </c>
      <c r="X68" s="629">
        <f>IF(M68="","",R68)</f>
        <v>5.302925302178366</v>
      </c>
      <c r="Y68" s="630">
        <f t="shared" si="223"/>
        <v>-1.0549513630499205</v>
      </c>
      <c r="Z68" s="632">
        <f t="shared" si="243"/>
        <v>-0.65242200027039821</v>
      </c>
      <c r="AA68" s="629">
        <f t="shared" si="244"/>
        <v>0.70206346192989744</v>
      </c>
      <c r="AB68" s="629">
        <f t="shared" si="245"/>
        <v>-0.28539871931419031</v>
      </c>
      <c r="AC68" s="636">
        <f>IF(M68="","",SQRT(Z68^2+AA68^2+AB68^2))</f>
        <v>1</v>
      </c>
      <c r="AD68" s="637">
        <f>IF(M68="","",Z68*(1/SQRT(Z68^2+AA68^2+AB68^2)))</f>
        <v>-0.65242200027039821</v>
      </c>
      <c r="AE68" s="629">
        <f>IF(M68="","",AA68*(1/SQRT(Z68^2+AA68^2+AB68^2)))</f>
        <v>0.70206346192989744</v>
      </c>
      <c r="AF68" s="633">
        <f>IF(M68="","",AB68*(1/SQRT(Z68^2+AA68^2+AB68^2)))</f>
        <v>-0.28539871931419031</v>
      </c>
      <c r="AG68" s="602">
        <f>IF(M68="","",DEGREES(ATAN2(-AF68,AE68)))</f>
        <v>67.877562998264978</v>
      </c>
      <c r="AH68" s="603">
        <f>IF(M68="","",DEGREES(ACOS(AD68)))</f>
        <v>130.72446019744521</v>
      </c>
      <c r="AI68" s="585">
        <f>IF(M68="","",DEGREES(-ACOS(-AF68)))</f>
        <v>-73.417316576119433</v>
      </c>
      <c r="AJ68" s="586">
        <f>IF(M68="","",DEGREES(ATAN2(-AE68,AD68)))</f>
        <v>-137.09893268220327</v>
      </c>
      <c r="AK68" s="635">
        <f>IF(M68="","",(COS(RADIANS((90-$Q$8)-W68))*AD68)+(-SIN(RADIANS((90-$Q$8)-W68))*AE68))</f>
        <v>0.88074983070631674</v>
      </c>
      <c r="AL68" s="629">
        <f>IF(M68="","",(SIN(RADIANS((90-$Q$8)-W68))*AD68)+(COS(RADIANS((90-$Q$8)-W68))*AE68))</f>
        <v>-0.37792500145480518</v>
      </c>
      <c r="AM68" s="634">
        <f>IF(M68="","",AF68)</f>
        <v>-0.28539871931419031</v>
      </c>
      <c r="AN68" s="581">
        <f>IF(M68="","",DEGREES(ATAN2(-AM68,AL68)))</f>
        <v>-52.940886251228854</v>
      </c>
      <c r="AO68" s="582">
        <f t="shared" si="461"/>
        <v>28.267052259583025</v>
      </c>
      <c r="AP68" s="585">
        <f>IF(M68="","",DEGREES(ATAN2(AK68,AL68)))</f>
        <v>-23.223910140545517</v>
      </c>
      <c r="AQ68" s="586">
        <f t="shared" si="246"/>
        <v>0.42989175266643581</v>
      </c>
      <c r="AS68" s="52">
        <f t="shared" si="406"/>
        <v>-203.87002254237967</v>
      </c>
      <c r="AT68" s="72">
        <f t="shared" si="247"/>
        <v>-0.91337148628488041</v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>Taper</v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>
        <f t="shared" si="210"/>
        <v>4.234</v>
      </c>
      <c r="IH68" s="731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>4.1340000000000003</v>
      </c>
      <c r="II68" s="734" cm="1">
        <f t="array" ref="II68">IFERROR(ROUND(VALUE(IF($IH68&lt;1,$IH68+LARGE((IF($M$9:$M$150="",0,$M$9:$M$150)-MOD(IF($M$9:$M$150="",0,$M$9:$M$150),1)),1),$IH68)),4),"")</f>
        <v>4.1340000000000003</v>
      </c>
      <c r="IJ68" s="533">
        <f t="shared" si="112"/>
        <v>1613</v>
      </c>
      <c r="IK68" s="533">
        <f t="shared" si="382"/>
        <v>1313</v>
      </c>
      <c r="IL68" s="727">
        <f t="shared" si="225"/>
        <v>10.556998475758007</v>
      </c>
      <c r="IM68" s="759">
        <v>9.3957861428468296E-3</v>
      </c>
      <c r="IN68" s="5">
        <f t="shared" si="226"/>
        <v>0.32</v>
      </c>
      <c r="IO68" s="771">
        <v>160</v>
      </c>
      <c r="IP68" s="9">
        <f t="shared" si="227"/>
        <v>-5.2673158862247123</v>
      </c>
      <c r="IQ68" s="5">
        <f t="shared" si="228"/>
        <v>-1.0954032132560911</v>
      </c>
      <c r="IR68" s="5">
        <f t="shared" si="383"/>
        <v>0.314</v>
      </c>
      <c r="IS68" s="5">
        <f t="shared" si="229"/>
        <v>0.29682306045796159</v>
      </c>
      <c r="IT68" s="727">
        <f t="shared" si="230"/>
        <v>61.942150735205814</v>
      </c>
      <c r="IU68" s="9">
        <f t="shared" si="231"/>
        <v>-5.302925302178366</v>
      </c>
      <c r="IV68" s="5">
        <f t="shared" si="232"/>
        <v>-1.0549513630499205</v>
      </c>
      <c r="IW68" s="5">
        <f t="shared" si="384"/>
        <v>0.26600000000000001</v>
      </c>
      <c r="IX68" s="5">
        <f t="shared" si="233"/>
        <v>0.23427945496788027</v>
      </c>
      <c r="IY68" s="762">
        <f t="shared" si="234"/>
        <v>52.940886251228854</v>
      </c>
    </row>
    <row r="69" spans="1:259" ht="15" customHeight="1" x14ac:dyDescent="0.25">
      <c r="A69" s="79"/>
      <c r="B69" s="707">
        <v>-2.3057550523720107</v>
      </c>
      <c r="C69" s="708">
        <v>-5.1839177398772627</v>
      </c>
      <c r="D69" s="709">
        <v>-1.7230305625352247</v>
      </c>
      <c r="E69" s="710">
        <v>0.60246061321674671</v>
      </c>
      <c r="F69" s="708">
        <v>-0.76750812827622317</v>
      </c>
      <c r="G69" s="711">
        <v>0.21902621430420216</v>
      </c>
      <c r="H69" s="710">
        <v>0.26600000000000001</v>
      </c>
      <c r="I69" s="708">
        <v>0.52</v>
      </c>
      <c r="J69" s="570">
        <v>4.24</v>
      </c>
      <c r="K69" s="865">
        <f>IF($J69="","",IF(IFERROR(INDEX(Settings!$AK$14:$AK$32,MATCH((((ROUND($H69,6)*2)*1000000)+ROUND($I69,6)),Settings!$AI$14:$AI$32,0)),"Undefined")="Undefined","Undefined",IFERROR(INDEX(_xlfn.ANCHORARRAY(Settings!$BC$14),MATCH(IFERROR(INDEX(Settings!$AK$14:$AK$32,MATCH((((ROUND($H69,6)*2)*1000000)+ROUND($I69,6)),Settings!$AI$14:$AI$32,0)),"Undefined"),_xlfn.ANCHORARRAY(Settings!$BC$14),0)),"Inactive")))</f>
        <v>1313</v>
      </c>
      <c r="L69" s="320"/>
      <c r="M69" s="168">
        <f t="shared" si="239"/>
        <v>4.24</v>
      </c>
      <c r="N69" s="632">
        <f t="shared" si="240"/>
        <v>-2.3057550523720107</v>
      </c>
      <c r="O69" s="629">
        <f t="shared" si="241"/>
        <v>-5.1839177398772627</v>
      </c>
      <c r="P69" s="633">
        <f t="shared" si="242"/>
        <v>-1.7230305625352247</v>
      </c>
      <c r="Q69" s="585">
        <f t="shared" si="113"/>
        <v>246.02097747335796</v>
      </c>
      <c r="R69" s="629">
        <f t="shared" si="79"/>
        <v>5.6735799540813066</v>
      </c>
      <c r="S69" s="634">
        <f t="shared" si="80"/>
        <v>-1.7230305625352247</v>
      </c>
      <c r="T69" s="635">
        <f t="shared" si="81"/>
        <v>-5.184118935196107</v>
      </c>
      <c r="U69" s="629">
        <f t="shared" si="82"/>
        <v>2.3053026614946739</v>
      </c>
      <c r="V69" s="636">
        <f t="shared" si="114"/>
        <v>-1.7230305625352247</v>
      </c>
      <c r="W69" s="585">
        <f t="shared" si="224"/>
        <v>156.02597747263604</v>
      </c>
      <c r="X69" s="629">
        <f t="shared" si="83"/>
        <v>5.6735799540813066</v>
      </c>
      <c r="Y69" s="630">
        <f t="shared" si="223"/>
        <v>-1.7230305625352247</v>
      </c>
      <c r="Z69" s="632">
        <f t="shared" si="243"/>
        <v>-0.60246061321674671</v>
      </c>
      <c r="AA69" s="629">
        <f t="shared" si="244"/>
        <v>0.76750812827622317</v>
      </c>
      <c r="AB69" s="629">
        <f t="shared" si="245"/>
        <v>-0.21902621430420216</v>
      </c>
      <c r="AC69" s="636">
        <f t="shared" si="84"/>
        <v>1</v>
      </c>
      <c r="AD69" s="637">
        <f t="shared" si="115"/>
        <v>-0.60246061321674671</v>
      </c>
      <c r="AE69" s="629">
        <f t="shared" si="85"/>
        <v>0.76750812827622317</v>
      </c>
      <c r="AF69" s="633">
        <f t="shared" si="86"/>
        <v>-0.21902621430420216</v>
      </c>
      <c r="AG69" s="602">
        <f t="shared" si="87"/>
        <v>74.072676077166122</v>
      </c>
      <c r="AH69" s="603">
        <f t="shared" si="88"/>
        <v>127.04633009990219</v>
      </c>
      <c r="AI69" s="585">
        <f t="shared" si="89"/>
        <v>-77.348155676150398</v>
      </c>
      <c r="AJ69" s="586">
        <f t="shared" si="90"/>
        <v>-141.8696229457986</v>
      </c>
      <c r="AK69" s="635">
        <f t="shared" si="211"/>
        <v>0.86238178443602775</v>
      </c>
      <c r="AL69" s="629">
        <f t="shared" si="91"/>
        <v>-0.45642652784484639</v>
      </c>
      <c r="AM69" s="634">
        <f t="shared" si="92"/>
        <v>-0.21902621430420216</v>
      </c>
      <c r="AN69" s="581">
        <f t="shared" si="93"/>
        <v>-64.364964865438424</v>
      </c>
      <c r="AO69" s="582">
        <f t="shared" si="461"/>
        <v>30.414929365913977</v>
      </c>
      <c r="AP69" s="585">
        <f t="shared" si="95"/>
        <v>-27.890600419156563</v>
      </c>
      <c r="AQ69" s="586">
        <f t="shared" si="246"/>
        <v>0.40180790218701817</v>
      </c>
      <c r="AS69" s="52">
        <f t="shared" si="406"/>
        <v>-203.97402252736396</v>
      </c>
      <c r="AT69" s="72">
        <f t="shared" si="247"/>
        <v>-1.5813784635583898</v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>Taper</v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>
        <f t="shared" si="210"/>
        <v>4.24</v>
      </c>
      <c r="IH69" s="731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>4.1399999999999997</v>
      </c>
      <c r="II69" s="734" cm="1">
        <f t="array" ref="II69">IFERROR(ROUND(VALUE(IF($IH69&lt;1,$IH69+LARGE((IF($M$9:$M$150="",0,$M$9:$M$150)-MOD(IF($M$9:$M$150="",0,$M$9:$M$150),1)),1),$IH69)),4),"")</f>
        <v>4.1399999999999997</v>
      </c>
      <c r="IJ69" s="533">
        <f t="shared" si="112"/>
        <v>1613</v>
      </c>
      <c r="IK69" s="533">
        <f t="shared" si="382"/>
        <v>1313</v>
      </c>
      <c r="IL69" s="727">
        <f t="shared" si="225"/>
        <v>10.049998548959763</v>
      </c>
      <c r="IM69" s="759">
        <v>7.4261626143277198E-3</v>
      </c>
      <c r="IN69" s="5">
        <f t="shared" si="226"/>
        <v>0.3</v>
      </c>
      <c r="IO69" s="771">
        <v>150</v>
      </c>
      <c r="IP69" s="9">
        <f t="shared" si="227"/>
        <v>-5.6281169744007942</v>
      </c>
      <c r="IQ69" s="5">
        <f t="shared" si="228"/>
        <v>-1.7571052089493102</v>
      </c>
      <c r="IR69" s="5">
        <f t="shared" si="383"/>
        <v>0.314</v>
      </c>
      <c r="IS69" s="5">
        <f t="shared" si="229"/>
        <v>0.29273861844477755</v>
      </c>
      <c r="IT69" s="727">
        <f t="shared" si="230"/>
        <v>72.582566537476822</v>
      </c>
      <c r="IU69" s="9">
        <f t="shared" si="231"/>
        <v>-5.6735799540813066</v>
      </c>
      <c r="IV69" s="5">
        <f t="shared" si="232"/>
        <v>-1.7230305625352247</v>
      </c>
      <c r="IW69" s="5">
        <f t="shared" si="384"/>
        <v>0.26600000000000001</v>
      </c>
      <c r="IX69" s="5">
        <f t="shared" si="233"/>
        <v>0.22939355465998343</v>
      </c>
      <c r="IY69" s="762">
        <f t="shared" si="234"/>
        <v>64.364964865438424</v>
      </c>
    </row>
    <row r="70" spans="1:259" ht="15" customHeight="1" x14ac:dyDescent="0.25">
      <c r="A70" s="79"/>
      <c r="B70" s="707">
        <v>-0.68798040905691349</v>
      </c>
      <c r="C70" s="708">
        <v>-0.32081029067958017</v>
      </c>
      <c r="D70" s="709">
        <v>-0.66600200866205828</v>
      </c>
      <c r="E70" s="710">
        <v>0.46892874510133487</v>
      </c>
      <c r="F70" s="708">
        <v>-0.84711619532694482</v>
      </c>
      <c r="G70" s="711">
        <v>0.24999996726497561</v>
      </c>
      <c r="H70" s="710">
        <v>0.314</v>
      </c>
      <c r="I70" s="708">
        <v>0.52</v>
      </c>
      <c r="J70" s="570">
        <v>5.1029999999999998</v>
      </c>
      <c r="K70" s="865">
        <f>IF($J70="","",IF(IFERROR(INDEX(Settings!$AK$14:$AK$32,MATCH((((ROUND($H70,6)*2)*1000000)+ROUND($I70,6)),Settings!$AI$14:$AI$32,0)),"Undefined")="Undefined","Undefined",IFERROR(INDEX(_xlfn.ANCHORARRAY(Settings!$BC$14),MATCH(IFERROR(INDEX(Settings!$AK$14:$AK$32,MATCH((((ROUND($H70,6)*2)*1000000)+ROUND($I70,6)),Settings!$AI$14:$AI$32,0)),"Undefined"),_xlfn.ANCHORARRAY(Settings!$BC$14),0)),"Inactive")))</f>
        <v>1613</v>
      </c>
      <c r="L70" s="320"/>
      <c r="M70" s="168">
        <f t="shared" si="239"/>
        <v>5.1029999999999998</v>
      </c>
      <c r="N70" s="632">
        <f t="shared" si="240"/>
        <v>-0.68798040905691349</v>
      </c>
      <c r="O70" s="629">
        <f t="shared" si="241"/>
        <v>-0.32081029067958017</v>
      </c>
      <c r="P70" s="633">
        <f t="shared" si="242"/>
        <v>-0.66600200866205828</v>
      </c>
      <c r="Q70" s="585">
        <f t="shared" si="113"/>
        <v>204.99998339605673</v>
      </c>
      <c r="R70" s="629">
        <f t="shared" si="79"/>
        <v>0.75910228945250502</v>
      </c>
      <c r="S70" s="634">
        <f t="shared" si="80"/>
        <v>-0.66600200866205828</v>
      </c>
      <c r="T70" s="635">
        <f t="shared" si="81"/>
        <v>-0.32087032706591723</v>
      </c>
      <c r="U70" s="629">
        <f t="shared" si="82"/>
        <v>0.68795241046212352</v>
      </c>
      <c r="V70" s="636">
        <f t="shared" si="114"/>
        <v>-0.66600200866205828</v>
      </c>
      <c r="W70" s="585">
        <f t="shared" si="224"/>
        <v>115.00498339533482</v>
      </c>
      <c r="X70" s="629">
        <f t="shared" si="83"/>
        <v>0.75910228945250502</v>
      </c>
      <c r="Y70" s="630">
        <f t="shared" si="223"/>
        <v>-0.66600200866205828</v>
      </c>
      <c r="Z70" s="632">
        <f t="shared" si="243"/>
        <v>-0.46892874510133487</v>
      </c>
      <c r="AA70" s="629">
        <f t="shared" si="244"/>
        <v>0.84711619532694482</v>
      </c>
      <c r="AB70" s="629">
        <f t="shared" si="245"/>
        <v>-0.24999996726497561</v>
      </c>
      <c r="AC70" s="636">
        <f t="shared" si="84"/>
        <v>1</v>
      </c>
      <c r="AD70" s="637">
        <f t="shared" si="115"/>
        <v>-0.46892874510133487</v>
      </c>
      <c r="AE70" s="629">
        <f t="shared" si="85"/>
        <v>0.84711619532694482</v>
      </c>
      <c r="AF70" s="633">
        <f t="shared" si="86"/>
        <v>-0.24999996726497561</v>
      </c>
      <c r="AG70" s="602">
        <f t="shared" si="87"/>
        <v>73.557675922032189</v>
      </c>
      <c r="AH70" s="603">
        <f t="shared" si="88"/>
        <v>117.96478150797752</v>
      </c>
      <c r="AI70" s="585">
        <f t="shared" si="89"/>
        <v>-75.522489751159469</v>
      </c>
      <c r="AJ70" s="586">
        <f t="shared" si="90"/>
        <v>-151.03288695885672</v>
      </c>
      <c r="AK70" s="635">
        <f t="shared" si="211"/>
        <v>0.9659258360722075</v>
      </c>
      <c r="AL70" s="629">
        <f t="shared" si="91"/>
        <v>6.6987279208206907E-2</v>
      </c>
      <c r="AM70" s="634">
        <f t="shared" si="92"/>
        <v>-0.24999996726497561</v>
      </c>
      <c r="AN70" s="581">
        <f t="shared" si="93"/>
        <v>14.999997834268207</v>
      </c>
      <c r="AO70" s="582">
        <f t="shared" si="461"/>
        <v>14.99999783426823</v>
      </c>
      <c r="AP70" s="585">
        <f t="shared" si="95"/>
        <v>3.9671296450865539</v>
      </c>
      <c r="AQ70" s="586">
        <f t="shared" si="246"/>
        <v>3.0004418843116407</v>
      </c>
      <c r="AS70" s="52">
        <f t="shared" si="406"/>
        <v>-244.99501660466518</v>
      </c>
      <c r="AT70" s="72">
        <f t="shared" si="247"/>
        <v>-0.49586310824265323</v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>
        <f t="shared" si="210"/>
        <v>5.1029999999999998</v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IFERROR(ROUND(VALUE(IF($IH70&lt;1,$IH70+LARGE((IF($M$9:$M$150="",0,$M$9:$M$150)-MOD(IF($M$9:$M$150="",0,$M$9:$M$150),1)),1),$IH70)),4),"")</f>
        <v/>
      </c>
      <c r="IJ70" s="533">
        <f t="shared" si="112"/>
        <v>1613</v>
      </c>
      <c r="IK70" s="533" t="str">
        <f t="shared" si="382"/>
        <v/>
      </c>
      <c r="IL70" s="727" t="str">
        <f t="shared" si="225"/>
        <v/>
      </c>
      <c r="IM70" s="759"/>
      <c r="IN70" s="5" t="str">
        <f t="shared" si="226"/>
        <v/>
      </c>
      <c r="IO70" s="771"/>
      <c r="IP70" s="9" t="str">
        <f t="shared" si="227"/>
        <v/>
      </c>
      <c r="IQ70" s="5" t="str">
        <f t="shared" si="228"/>
        <v/>
      </c>
      <c r="IR70" s="5" t="str">
        <f t="shared" si="383"/>
        <v/>
      </c>
      <c r="IS70" s="5" t="str">
        <f t="shared" si="229"/>
        <v/>
      </c>
      <c r="IT70" s="727" t="str">
        <f t="shared" si="230"/>
        <v/>
      </c>
      <c r="IU70" s="9" t="str">
        <f t="shared" si="231"/>
        <v/>
      </c>
      <c r="IV70" s="5" t="str">
        <f t="shared" si="232"/>
        <v/>
      </c>
      <c r="IW70" s="5" t="str">
        <f t="shared" si="384"/>
        <v/>
      </c>
      <c r="IX70" s="5" t="str">
        <f t="shared" si="233"/>
        <v/>
      </c>
      <c r="IY70" s="762" t="str">
        <f t="shared" si="234"/>
        <v/>
      </c>
    </row>
    <row r="71" spans="1:259" ht="15" customHeight="1" x14ac:dyDescent="0.25">
      <c r="A71" s="79"/>
      <c r="B71" s="707">
        <v>-1.3340892664099282</v>
      </c>
      <c r="C71" s="708">
        <v>-0.62209557091337364</v>
      </c>
      <c r="D71" s="709">
        <v>-0.47500143260432071</v>
      </c>
      <c r="E71" s="710">
        <v>0.46892874510133475</v>
      </c>
      <c r="F71" s="708">
        <v>-0.84711619532694482</v>
      </c>
      <c r="G71" s="711">
        <v>0.24999996726497561</v>
      </c>
      <c r="H71" s="710">
        <v>0.314</v>
      </c>
      <c r="I71" s="708">
        <v>0.52</v>
      </c>
      <c r="J71" s="570">
        <v>5.1059999999999999</v>
      </c>
      <c r="K71" s="865">
        <f>IF($J71="","",IF(IFERROR(INDEX(Settings!$AK$14:$AK$32,MATCH((((ROUND($H71,6)*2)*1000000)+ROUND($I71,6)),Settings!$AI$14:$AI$32,0)),"Undefined")="Undefined","Undefined",IFERROR(INDEX(_xlfn.ANCHORARRAY(Settings!$BC$14),MATCH(IFERROR(INDEX(Settings!$AK$14:$AK$32,MATCH((((ROUND($H71,6)*2)*1000000)+ROUND($I71,6)),Settings!$AI$14:$AI$32,0)),"Undefined"),_xlfn.ANCHORARRAY(Settings!$BC$14),0)),"Inactive")))</f>
        <v>1613</v>
      </c>
      <c r="L71" s="320"/>
      <c r="M71" s="168">
        <f t="shared" si="239"/>
        <v>5.1059999999999999</v>
      </c>
      <c r="N71" s="632">
        <f t="shared" si="240"/>
        <v>-1.3340892664099282</v>
      </c>
      <c r="O71" s="629">
        <f t="shared" si="241"/>
        <v>-0.62209557091337364</v>
      </c>
      <c r="P71" s="633">
        <f t="shared" si="242"/>
        <v>-0.47500143260432071</v>
      </c>
      <c r="Q71" s="585">
        <f t="shared" si="113"/>
        <v>204.99998339605673</v>
      </c>
      <c r="R71" s="629">
        <f t="shared" si="79"/>
        <v>1.4720044395653895</v>
      </c>
      <c r="S71" s="634">
        <f t="shared" si="80"/>
        <v>-0.47500143260432071</v>
      </c>
      <c r="T71" s="635">
        <f t="shared" si="81"/>
        <v>-0.62221198977872483</v>
      </c>
      <c r="U71" s="629">
        <f t="shared" si="82"/>
        <v>1.3340349732581289</v>
      </c>
      <c r="V71" s="636">
        <f t="shared" si="114"/>
        <v>-0.47500143260432071</v>
      </c>
      <c r="W71" s="585">
        <f t="shared" si="224"/>
        <v>115.00498339533482</v>
      </c>
      <c r="X71" s="629">
        <f t="shared" si="83"/>
        <v>1.4720044395653895</v>
      </c>
      <c r="Y71" s="630">
        <f t="shared" si="223"/>
        <v>-0.47500143260432071</v>
      </c>
      <c r="Z71" s="632">
        <f t="shared" si="243"/>
        <v>-0.46892874510133475</v>
      </c>
      <c r="AA71" s="629">
        <f t="shared" si="244"/>
        <v>0.84711619532694482</v>
      </c>
      <c r="AB71" s="629">
        <f t="shared" si="245"/>
        <v>-0.24999996726497561</v>
      </c>
      <c r="AC71" s="636">
        <f t="shared" si="84"/>
        <v>1</v>
      </c>
      <c r="AD71" s="637">
        <f t="shared" si="115"/>
        <v>-0.46892874510133475</v>
      </c>
      <c r="AE71" s="629">
        <f t="shared" si="85"/>
        <v>0.84711619532694482</v>
      </c>
      <c r="AF71" s="633">
        <f t="shared" si="86"/>
        <v>-0.24999996726497561</v>
      </c>
      <c r="AG71" s="602">
        <f t="shared" si="87"/>
        <v>73.557675922032189</v>
      </c>
      <c r="AH71" s="603">
        <f t="shared" si="88"/>
        <v>117.96478150797752</v>
      </c>
      <c r="AI71" s="585">
        <f t="shared" si="89"/>
        <v>-75.522489751159469</v>
      </c>
      <c r="AJ71" s="586">
        <f t="shared" si="90"/>
        <v>-151.03288695885672</v>
      </c>
      <c r="AK71" s="635">
        <f t="shared" si="211"/>
        <v>0.9659258360722075</v>
      </c>
      <c r="AL71" s="629">
        <f t="shared" si="91"/>
        <v>6.6987279208206796E-2</v>
      </c>
      <c r="AM71" s="634">
        <f t="shared" si="92"/>
        <v>-0.24999996726497561</v>
      </c>
      <c r="AN71" s="581">
        <f t="shared" si="93"/>
        <v>14.999997834268182</v>
      </c>
      <c r="AO71" s="582">
        <f t="shared" si="461"/>
        <v>14.99999783426823</v>
      </c>
      <c r="AP71" s="585">
        <f t="shared" si="95"/>
        <v>3.9671296450865472</v>
      </c>
      <c r="AQ71" s="586">
        <f t="shared" si="246"/>
        <v>1.5483456407705449</v>
      </c>
      <c r="AS71" s="52">
        <f t="shared" si="406"/>
        <v>-244.99501660466518</v>
      </c>
      <c r="AT71" s="72">
        <f t="shared" si="247"/>
        <v>-0.30486253218491566</v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>
        <f t="shared" si="210"/>
        <v>5.1059999999999999</v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IFERROR(ROUND(VALUE(IF($IH71&lt;1,$IH71+LARGE((IF($M$9:$M$150="",0,$M$9:$M$150)-MOD(IF($M$9:$M$150="",0,$M$9:$M$150),1)),1),$IH71)),4),"")</f>
        <v/>
      </c>
      <c r="IJ71" s="533">
        <f t="shared" si="112"/>
        <v>1613</v>
      </c>
      <c r="IK71" s="533" t="str">
        <f t="shared" si="382"/>
        <v/>
      </c>
      <c r="IL71" s="727" t="str">
        <f t="shared" si="225"/>
        <v/>
      </c>
      <c r="IM71" s="759"/>
      <c r="IN71" s="5" t="str">
        <f t="shared" si="226"/>
        <v/>
      </c>
      <c r="IO71" s="771"/>
      <c r="IP71" s="9" t="str">
        <f t="shared" si="227"/>
        <v/>
      </c>
      <c r="IQ71" s="5" t="str">
        <f t="shared" si="228"/>
        <v/>
      </c>
      <c r="IR71" s="5" t="str">
        <f t="shared" si="383"/>
        <v/>
      </c>
      <c r="IS71" s="5" t="str">
        <f t="shared" si="229"/>
        <v/>
      </c>
      <c r="IT71" s="727" t="str">
        <f t="shared" si="230"/>
        <v/>
      </c>
      <c r="IU71" s="9" t="str">
        <f t="shared" si="231"/>
        <v/>
      </c>
      <c r="IV71" s="5" t="str">
        <f t="shared" si="232"/>
        <v/>
      </c>
      <c r="IW71" s="5" t="str">
        <f t="shared" si="384"/>
        <v/>
      </c>
      <c r="IX71" s="5" t="str">
        <f t="shared" si="233"/>
        <v/>
      </c>
      <c r="IY71" s="762" t="str">
        <f t="shared" si="234"/>
        <v/>
      </c>
    </row>
    <row r="72" spans="1:259" ht="15" customHeight="1" x14ac:dyDescent="0.25">
      <c r="A72" s="79"/>
      <c r="B72" s="707">
        <v>-1.9932489970213016</v>
      </c>
      <c r="C72" s="708">
        <v>-0.92946656868871125</v>
      </c>
      <c r="D72" s="709">
        <v>-0.28010084478414793</v>
      </c>
      <c r="E72" s="710">
        <v>0.46892874510133487</v>
      </c>
      <c r="F72" s="708">
        <v>-0.84711619532694482</v>
      </c>
      <c r="G72" s="711">
        <v>0.24999996726497561</v>
      </c>
      <c r="H72" s="710">
        <v>0.314</v>
      </c>
      <c r="I72" s="708">
        <v>0.52</v>
      </c>
      <c r="J72" s="570">
        <v>5.109</v>
      </c>
      <c r="K72" s="865">
        <f>IF($J72="","",IF(IFERROR(INDEX(Settings!$AK$14:$AK$32,MATCH((((ROUND($H72,6)*2)*1000000)+ROUND($I72,6)),Settings!$AI$14:$AI$32,0)),"Undefined")="Undefined","Undefined",IFERROR(INDEX(_xlfn.ANCHORARRAY(Settings!$BC$14),MATCH(IFERROR(INDEX(Settings!$AK$14:$AK$32,MATCH((((ROUND($H72,6)*2)*1000000)+ROUND($I72,6)),Settings!$AI$14:$AI$32,0)),"Undefined"),_xlfn.ANCHORARRAY(Settings!$BC$14),0)),"Inactive")))</f>
        <v>1613</v>
      </c>
      <c r="L72" s="320"/>
      <c r="M72" s="168">
        <f t="shared" si="239"/>
        <v>5.109</v>
      </c>
      <c r="N72" s="632">
        <f t="shared" si="240"/>
        <v>-1.9932489970213016</v>
      </c>
      <c r="O72" s="629">
        <f t="shared" si="241"/>
        <v>-0.92946656868871125</v>
      </c>
      <c r="P72" s="633">
        <f t="shared" si="242"/>
        <v>-0.28010084478414793</v>
      </c>
      <c r="Q72" s="585">
        <f t="shared" si="113"/>
        <v>204.99998339605673</v>
      </c>
      <c r="R72" s="629">
        <f t="shared" si="79"/>
        <v>2.1993066331088058</v>
      </c>
      <c r="S72" s="634">
        <f t="shared" si="80"/>
        <v>-0.28010084478414793</v>
      </c>
      <c r="T72" s="635">
        <f t="shared" si="81"/>
        <v>-0.9296405089132812</v>
      </c>
      <c r="U72" s="629">
        <f t="shared" si="82"/>
        <v>1.993167878183834</v>
      </c>
      <c r="V72" s="636">
        <f t="shared" si="114"/>
        <v>-0.28010084478414793</v>
      </c>
      <c r="W72" s="585">
        <f t="shared" si="224"/>
        <v>115.00498339533482</v>
      </c>
      <c r="X72" s="629">
        <f t="shared" si="83"/>
        <v>2.1993066331088058</v>
      </c>
      <c r="Y72" s="630">
        <f t="shared" si="223"/>
        <v>-0.28010084478414793</v>
      </c>
      <c r="Z72" s="632">
        <f t="shared" si="243"/>
        <v>-0.46892874510133487</v>
      </c>
      <c r="AA72" s="629">
        <f t="shared" si="244"/>
        <v>0.84711619532694482</v>
      </c>
      <c r="AB72" s="629">
        <f t="shared" si="245"/>
        <v>-0.24999996726497561</v>
      </c>
      <c r="AC72" s="636">
        <f t="shared" si="84"/>
        <v>1</v>
      </c>
      <c r="AD72" s="637">
        <f t="shared" si="115"/>
        <v>-0.46892874510133487</v>
      </c>
      <c r="AE72" s="629">
        <f t="shared" si="85"/>
        <v>0.84711619532694482</v>
      </c>
      <c r="AF72" s="633">
        <f t="shared" si="86"/>
        <v>-0.24999996726497561</v>
      </c>
      <c r="AG72" s="602">
        <f t="shared" si="87"/>
        <v>73.557675922032189</v>
      </c>
      <c r="AH72" s="603">
        <f t="shared" si="88"/>
        <v>117.96478150797752</v>
      </c>
      <c r="AI72" s="585">
        <f t="shared" si="89"/>
        <v>-75.522489751159469</v>
      </c>
      <c r="AJ72" s="586">
        <f t="shared" si="90"/>
        <v>-151.03288695885672</v>
      </c>
      <c r="AK72" s="635">
        <f t="shared" si="211"/>
        <v>0.9659258360722075</v>
      </c>
      <c r="AL72" s="629">
        <f t="shared" si="91"/>
        <v>6.6987279208206907E-2</v>
      </c>
      <c r="AM72" s="634">
        <f t="shared" si="92"/>
        <v>-0.24999996726497561</v>
      </c>
      <c r="AN72" s="581">
        <f t="shared" si="93"/>
        <v>14.999997834268207</v>
      </c>
      <c r="AO72" s="582">
        <f t="shared" si="461"/>
        <v>14.99999783426823</v>
      </c>
      <c r="AP72" s="585">
        <f t="shared" si="95"/>
        <v>3.9671296450865539</v>
      </c>
      <c r="AQ72" s="586">
        <f t="shared" si="246"/>
        <v>1.0364530014793738</v>
      </c>
      <c r="AS72" s="52">
        <f t="shared" si="406"/>
        <v>-244.99501660466518</v>
      </c>
      <c r="AT72" s="72">
        <f t="shared" si="247"/>
        <v>-0.10996194436474288</v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>
        <f t="shared" si="210"/>
        <v>5.109</v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IFERROR(ROUND(VALUE(IF($IH72&lt;1,$IH72+LARGE((IF($M$9:$M$150="",0,$M$9:$M$150)-MOD(IF($M$9:$M$150="",0,$M$9:$M$150),1)),1),$IH72)),4),"")</f>
        <v/>
      </c>
      <c r="IJ72" s="533">
        <f t="shared" si="112"/>
        <v>1613</v>
      </c>
      <c r="IK72" s="533" t="str">
        <f t="shared" si="382"/>
        <v/>
      </c>
      <c r="IL72" s="727" t="str">
        <f t="shared" si="225"/>
        <v/>
      </c>
      <c r="IM72" s="759"/>
      <c r="IN72" s="5" t="str">
        <f t="shared" si="226"/>
        <v/>
      </c>
      <c r="IO72" s="771"/>
      <c r="IP72" s="9" t="str">
        <f t="shared" si="227"/>
        <v/>
      </c>
      <c r="IQ72" s="5" t="str">
        <f t="shared" si="228"/>
        <v/>
      </c>
      <c r="IR72" s="5" t="str">
        <f t="shared" si="383"/>
        <v/>
      </c>
      <c r="IS72" s="5" t="str">
        <f t="shared" si="229"/>
        <v/>
      </c>
      <c r="IT72" s="727" t="str">
        <f t="shared" si="230"/>
        <v/>
      </c>
      <c r="IU72" s="9" t="str">
        <f t="shared" si="231"/>
        <v/>
      </c>
      <c r="IV72" s="5" t="str">
        <f t="shared" si="232"/>
        <v/>
      </c>
      <c r="IW72" s="5" t="str">
        <f t="shared" si="384"/>
        <v/>
      </c>
      <c r="IX72" s="5" t="str">
        <f t="shared" si="233"/>
        <v/>
      </c>
      <c r="IY72" s="762" t="str">
        <f t="shared" si="234"/>
        <v/>
      </c>
    </row>
    <row r="73" spans="1:259" ht="15" customHeight="1" x14ac:dyDescent="0.25">
      <c r="A73" s="79"/>
      <c r="B73" s="707">
        <v>-2.6618494497053766</v>
      </c>
      <c r="C73" s="708">
        <v>-1.2283679855914467</v>
      </c>
      <c r="D73" s="709">
        <v>-0.10340031185534057</v>
      </c>
      <c r="E73" s="710">
        <v>0.39562895490739125</v>
      </c>
      <c r="F73" s="708">
        <v>-0.88051720697421199</v>
      </c>
      <c r="G73" s="711">
        <v>0.26108844911488943</v>
      </c>
      <c r="H73" s="710">
        <v>0.314</v>
      </c>
      <c r="I73" s="708">
        <v>0.52</v>
      </c>
      <c r="J73" s="570">
        <v>5.1130000000000004</v>
      </c>
      <c r="K73" s="865">
        <f>IF($J73="","",IF(IFERROR(INDEX(Settings!$AK$14:$AK$32,MATCH((((ROUND($H73,6)*2)*1000000)+ROUND($I73,6)),Settings!$AI$14:$AI$32,0)),"Undefined")="Undefined","Undefined",IFERROR(INDEX(_xlfn.ANCHORARRAY(Settings!$BC$14),MATCH(IFERROR(INDEX(Settings!$AK$14:$AK$32,MATCH((((ROUND($H73,6)*2)*1000000)+ROUND($I73,6)),Settings!$AI$14:$AI$32,0)),"Undefined"),_xlfn.ANCHORARRAY(Settings!$BC$14),0)),"Inactive")))</f>
        <v>1613</v>
      </c>
      <c r="L73" s="320"/>
      <c r="M73" s="168">
        <f t="shared" ref="M73:M104" si="464">IF(J73="","",VALUE(J73))</f>
        <v>5.1130000000000004</v>
      </c>
      <c r="N73" s="632">
        <f t="shared" ref="N73:N104" si="465">IF(M73="","",B73)</f>
        <v>-2.6618494497053766</v>
      </c>
      <c r="O73" s="629">
        <f t="shared" ref="O73:O104" si="466">IF(M73="","",C73)</f>
        <v>-1.2283679855914467</v>
      </c>
      <c r="P73" s="633">
        <f t="shared" ref="P73:P104" si="467">IF(M73="","",D73)</f>
        <v>-0.10340031185534057</v>
      </c>
      <c r="Q73" s="585">
        <f t="shared" si="113"/>
        <v>204.77198342897586</v>
      </c>
      <c r="R73" s="629">
        <f>IF(M73="","",SQRT(N73^2+O73^2))</f>
        <v>2.9316088417322672</v>
      </c>
      <c r="S73" s="634">
        <f>IF(M73="","",P73)</f>
        <v>-0.10340031185534057</v>
      </c>
      <c r="T73" s="635">
        <f>IF(M73="","",X73*COS(RADIANS(W73)))</f>
        <v>-1.2286002710657853</v>
      </c>
      <c r="U73" s="629">
        <f>IF(M73="","",X73*SIN(RADIANS(W73)))</f>
        <v>2.6617422442565477</v>
      </c>
      <c r="V73" s="636">
        <f>IF(M73="","",Y73)</f>
        <v>-0.10340031185534057</v>
      </c>
      <c r="W73" s="585">
        <f t="shared" si="224"/>
        <v>114.77698342825394</v>
      </c>
      <c r="X73" s="629">
        <f>IF(M73="","",R73)</f>
        <v>2.9316088417322672</v>
      </c>
      <c r="Y73" s="630">
        <f t="shared" si="223"/>
        <v>-0.10340031185534057</v>
      </c>
      <c r="Z73" s="632">
        <f t="shared" ref="Z73:Z104" si="468">IF(M73="","",-E73)</f>
        <v>-0.39562895490739125</v>
      </c>
      <c r="AA73" s="629">
        <f t="shared" ref="AA73:AA104" si="469">IF(M73="","",-F73)</f>
        <v>0.88051720697421199</v>
      </c>
      <c r="AB73" s="629">
        <f t="shared" ref="AB73:AB104" si="470">IF(M73="","",-G73)</f>
        <v>-0.26108844911488943</v>
      </c>
      <c r="AC73" s="636">
        <f>IF(M73="","",SQRT(Z73^2+AA73^2+AB73^2))</f>
        <v>1</v>
      </c>
      <c r="AD73" s="637">
        <f>IF(M73="","",Z73*(1/SQRT(Z73^2+AA73^2+AB73^2)))</f>
        <v>-0.39562895490739125</v>
      </c>
      <c r="AE73" s="629">
        <f>IF(M73="","",AA73*(1/SQRT(Z73^2+AA73^2+AB73^2)))</f>
        <v>0.88051720697421199</v>
      </c>
      <c r="AF73" s="633">
        <f>IF(M73="","",AB73*(1/SQRT(Z73^2+AA73^2+AB73^2)))</f>
        <v>-0.26108844911488943</v>
      </c>
      <c r="AG73" s="602">
        <f>IF(M73="","",DEGREES(ATAN2(-AF73,AE73)))</f>
        <v>73.484006804529656</v>
      </c>
      <c r="AH73" s="603">
        <f>IF(M73="","",DEGREES(ACOS(AD73)))</f>
        <v>113.30520614026757</v>
      </c>
      <c r="AI73" s="585">
        <f>IF(M73="","",DEGREES(-ACOS(-AF73)))</f>
        <v>-74.865343339647595</v>
      </c>
      <c r="AJ73" s="586">
        <f>IF(M73="","",DEGREES(ATAN2(-AE73,AD73)))</f>
        <v>-155.80493571352233</v>
      </c>
      <c r="AK73" s="635">
        <f>IF(M73="","",(COS(RADIANS((90-$Q$8)-W73))*AD73)+(-SIN(RADIANS((90-$Q$8)-W73))*AE73))</f>
        <v>0.96526594712736791</v>
      </c>
      <c r="AL73" s="629">
        <f>IF(M73="","",(SIN(RADIANS((90-$Q$8)-W73))*AD73)+(COS(RADIANS((90-$Q$8)-W73))*AE73))</f>
        <v>-9.7197250520400513E-3</v>
      </c>
      <c r="AM73" s="634">
        <f>IF(M73="","",AF73)</f>
        <v>-0.26108844911488943</v>
      </c>
      <c r="AN73" s="581">
        <f>IF(M73="","",DEGREES(ATAN2(-AM73,AL73)))</f>
        <v>-2.1320061067196496</v>
      </c>
      <c r="AO73" s="582">
        <f t="shared" si="461"/>
        <v>15.145391722151091</v>
      </c>
      <c r="AP73" s="585">
        <f>IF(M73="","",DEGREES(ATAN2(AK73,AL73)))</f>
        <v>-0.576919142498169</v>
      </c>
      <c r="AQ73" s="586">
        <f t="shared" ref="AQ73:AQ104" si="471">IF(M73="","",DEGREES(ATAN(($AS$5*SIN(RADIANS(90)))/(($X73*2*PI())-($AS$5*COS(RADIANS(90)))))))</f>
        <v>0.77758895858079069</v>
      </c>
      <c r="AS73" s="52">
        <f t="shared" si="406"/>
        <v>-245.22301657174606</v>
      </c>
      <c r="AT73" s="72">
        <f t="shared" ref="AT73:AT104" si="472">IF(M73="","",Y73+(((AS73-$AS$9)*$AS$6)*-1))</f>
        <v>6.6896921874537302E-2</v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>
        <f t="shared" si="210"/>
        <v>5.1130000000000004</v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IFERROR(ROUND(VALUE(IF($IH73&lt;1,$IH73+LARGE((IF($M$9:$M$150="",0,$M$9:$M$150)-MOD(IF($M$9:$M$150="",0,$M$9:$M$150),1)),1),$IH73)),4),"")</f>
        <v/>
      </c>
      <c r="IJ73" s="533">
        <f t="shared" si="112"/>
        <v>1613</v>
      </c>
      <c r="IK73" s="533" t="str">
        <f t="shared" ref="IK73:IK104" si="517">IF(ISNUMBER($II73),INDEX($K$9:$K$150,MATCH($IG73,$M$9:$M$150,0)),"")</f>
        <v/>
      </c>
      <c r="IL73" s="727" t="str">
        <f t="shared" si="225"/>
        <v/>
      </c>
      <c r="IM73" s="759"/>
      <c r="IN73" s="5" t="str">
        <f t="shared" si="226"/>
        <v/>
      </c>
      <c r="IO73" s="771"/>
      <c r="IP73" s="9" t="str">
        <f t="shared" si="227"/>
        <v/>
      </c>
      <c r="IQ73" s="5" t="str">
        <f t="shared" si="228"/>
        <v/>
      </c>
      <c r="IR73" s="5" t="str">
        <f t="shared" ref="IR73:IR104" si="518">IF(ISNUMBER($II73),INDEX($H$9:$H$150,MATCH($II73,$M$9:$M$150,0)),"")</f>
        <v/>
      </c>
      <c r="IS73" s="5" t="str">
        <f t="shared" si="229"/>
        <v/>
      </c>
      <c r="IT73" s="727" t="str">
        <f t="shared" si="230"/>
        <v/>
      </c>
      <c r="IU73" s="9" t="str">
        <f t="shared" si="231"/>
        <v/>
      </c>
      <c r="IV73" s="5" t="str">
        <f t="shared" si="232"/>
        <v/>
      </c>
      <c r="IW73" s="5" t="str">
        <f t="shared" ref="IW73:IW104" si="519">IF(ISNUMBER($II73),$H73,"")</f>
        <v/>
      </c>
      <c r="IX73" s="5" t="str">
        <f t="shared" si="233"/>
        <v/>
      </c>
      <c r="IY73" s="762" t="str">
        <f t="shared" si="234"/>
        <v/>
      </c>
    </row>
    <row r="74" spans="1:259" ht="15" customHeight="1" x14ac:dyDescent="0.25">
      <c r="A74" s="79"/>
      <c r="B74" s="707">
        <v>-3.3661762223062492</v>
      </c>
      <c r="C74" s="708">
        <v>-1.5001252127649707</v>
      </c>
      <c r="D74" s="709">
        <v>-0.11270033990422518</v>
      </c>
      <c r="E74" s="710">
        <v>0.29163078201639719</v>
      </c>
      <c r="F74" s="708">
        <v>-0.92431075395409024</v>
      </c>
      <c r="G74" s="711">
        <v>0.24617294145646068</v>
      </c>
      <c r="H74" s="710">
        <v>0.314</v>
      </c>
      <c r="I74" s="708">
        <v>0.52</v>
      </c>
      <c r="J74" s="570">
        <v>5.1189999999999998</v>
      </c>
      <c r="K74" s="865">
        <f>IF($J74="","",IF(IFERROR(INDEX(Settings!$AK$14:$AK$32,MATCH((((ROUND($H74,6)*2)*1000000)+ROUND($I74,6)),Settings!$AI$14:$AI$32,0)),"Undefined")="Undefined","Undefined",IFERROR(INDEX(_xlfn.ANCHORARRAY(Settings!$BC$14),MATCH(IFERROR(INDEX(Settings!$AK$14:$AK$32,MATCH((((ROUND($H74,6)*2)*1000000)+ROUND($I74,6)),Settings!$AI$14:$AI$32,0)),"Undefined"),_xlfn.ANCHORARRAY(Settings!$BC$14),0)),"Inactive")))</f>
        <v>1613</v>
      </c>
      <c r="L74" s="320"/>
      <c r="M74" s="168">
        <f t="shared" si="464"/>
        <v>5.1189999999999998</v>
      </c>
      <c r="N74" s="632">
        <f t="shared" si="465"/>
        <v>-3.3661762223062492</v>
      </c>
      <c r="O74" s="629">
        <f t="shared" si="466"/>
        <v>-1.5001252127649707</v>
      </c>
      <c r="P74" s="633">
        <f t="shared" si="467"/>
        <v>-0.11270033990422518</v>
      </c>
      <c r="Q74" s="585">
        <f t="shared" ref="Q74:Q129" si="520">IF(M74="","",IF(DEGREES(ATAN2(N74,O74))&lt;0,DEGREES(ATAN2(N74,O74))+360,IF(DEGREES(ATAN2(N74,O74))&gt;360,DEGREES(ATAN2(N74,O74))-360,DEGREES(ATAN2(N74,O74)))))</f>
        <v>204.01998353755118</v>
      </c>
      <c r="R74" s="629">
        <f>IF(M74="","",SQRT(N74^2+O74^2))</f>
        <v>3.6853111148983229</v>
      </c>
      <c r="S74" s="634">
        <f>IF(M74="","",P74)</f>
        <v>-0.11270033990422518</v>
      </c>
      <c r="T74" s="635">
        <f>IF(M74="","",X74*COS(RADIANS(W74)))</f>
        <v>-1.5004189613015404</v>
      </c>
      <c r="U74" s="629">
        <f>IF(M74="","",X74*SIN(RADIANS(W74)))</f>
        <v>3.366045298887097</v>
      </c>
      <c r="V74" s="636">
        <f>IF(M74="","",Y74)</f>
        <v>-0.11270033990422518</v>
      </c>
      <c r="W74" s="585">
        <f t="shared" si="224"/>
        <v>114.02498353682927</v>
      </c>
      <c r="X74" s="629">
        <f>IF(M74="","",R74)</f>
        <v>3.6853111148983229</v>
      </c>
      <c r="Y74" s="630">
        <f t="shared" si="223"/>
        <v>-0.11270033990422518</v>
      </c>
      <c r="Z74" s="632">
        <f t="shared" si="468"/>
        <v>-0.29163078201639719</v>
      </c>
      <c r="AA74" s="629">
        <f t="shared" si="469"/>
        <v>0.92431075395409024</v>
      </c>
      <c r="AB74" s="629">
        <f t="shared" si="470"/>
        <v>-0.24617294145646068</v>
      </c>
      <c r="AC74" s="636">
        <f>IF(M74="","",SQRT(Z74^2+AA74^2+AB74^2))</f>
        <v>1</v>
      </c>
      <c r="AD74" s="637">
        <f>IF(M74="","",Z74*(1/SQRT(Z74^2+AA74^2+AB74^2)))</f>
        <v>-0.29163078201639719</v>
      </c>
      <c r="AE74" s="629">
        <f>IF(M74="","",AA74*(1/SQRT(Z74^2+AA74^2+AB74^2)))</f>
        <v>0.92431075395409024</v>
      </c>
      <c r="AF74" s="633">
        <f>IF(M74="","",AB74*(1/SQRT(Z74^2+AA74^2+AB74^2)))</f>
        <v>-0.24617294145646068</v>
      </c>
      <c r="AG74" s="602">
        <f>IF(M74="","",DEGREES(ATAN2(-AF74,AE74)))</f>
        <v>75.086520437986422</v>
      </c>
      <c r="AH74" s="603">
        <f>IF(M74="","",DEGREES(ACOS(AD74)))</f>
        <v>106.9556138131146</v>
      </c>
      <c r="AI74" s="585">
        <f>IF(M74="","",DEGREES(-ACOS(-AF74)))</f>
        <v>-75.74883848641764</v>
      </c>
      <c r="AJ74" s="586">
        <f>IF(M74="","",DEGREES(ATAN2(-AE74,AD74)))</f>
        <v>-162.48890908743553</v>
      </c>
      <c r="AK74" s="635">
        <f>IF(M74="","",(COS(RADIANS((90-$Q$8)-W74))*AD74)+(-SIN(RADIANS((90-$Q$8)-W74))*AE74))</f>
        <v>0.96297855466167237</v>
      </c>
      <c r="AL74" s="629">
        <f>IF(M74="","",(SIN(RADIANS((90-$Q$8)-W74))*AD74)+(COS(RADIANS((90-$Q$8)-W74))*AE74))</f>
        <v>-0.10986894991939572</v>
      </c>
      <c r="AM74" s="634">
        <f>IF(M74="","",AF74)</f>
        <v>-0.24617294145646068</v>
      </c>
      <c r="AN74" s="581">
        <f>IF(M74="","",DEGREES(ATAN2(-AM74,AL74)))</f>
        <v>-24.051588334262071</v>
      </c>
      <c r="AO74" s="582">
        <f t="shared" si="461"/>
        <v>15.639157514735112</v>
      </c>
      <c r="AP74" s="585">
        <f>IF(M74="","",DEGREES(ATAN2(AK74,AL74)))</f>
        <v>-6.5088926249867338</v>
      </c>
      <c r="AQ74" s="586">
        <f t="shared" si="471"/>
        <v>0.61857411423923758</v>
      </c>
      <c r="AS74" s="52">
        <f t="shared" si="406"/>
        <v>-245.97501646317073</v>
      </c>
      <c r="AT74" s="72">
        <f t="shared" si="472"/>
        <v>5.8119115972475405E-2</v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>
        <f t="shared" si="210"/>
        <v>5.1189999999999998</v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IFERROR(ROUND(VALUE(IF($IH74&lt;1,$IH74+LARGE((IF($M$9:$M$150="",0,$M$9:$M$150)-MOD(IF($M$9:$M$150="",0,$M$9:$M$150),1)),1),$IH74)),4),"")</f>
        <v/>
      </c>
      <c r="IJ74" s="533">
        <f t="shared" ref="IJ74:IJ137" si="542">IF(ISNUMBER($II74),INDEX($K$9:$K$150,MATCH($II74,$M$9:$M$150,0)),$K74)</f>
        <v>1613</v>
      </c>
      <c r="IK74" s="533" t="str">
        <f t="shared" si="517"/>
        <v/>
      </c>
      <c r="IL74" s="727" t="str">
        <f t="shared" si="225"/>
        <v/>
      </c>
      <c r="IM74" s="759"/>
      <c r="IN74" s="5" t="str">
        <f t="shared" si="226"/>
        <v/>
      </c>
      <c r="IO74" s="771"/>
      <c r="IP74" s="9" t="str">
        <f t="shared" si="227"/>
        <v/>
      </c>
      <c r="IQ74" s="5" t="str">
        <f t="shared" si="228"/>
        <v/>
      </c>
      <c r="IR74" s="5" t="str">
        <f t="shared" si="518"/>
        <v/>
      </c>
      <c r="IS74" s="5" t="str">
        <f t="shared" si="229"/>
        <v/>
      </c>
      <c r="IT74" s="727" t="str">
        <f t="shared" si="230"/>
        <v/>
      </c>
      <c r="IU74" s="9" t="str">
        <f t="shared" si="231"/>
        <v/>
      </c>
      <c r="IV74" s="5" t="str">
        <f t="shared" si="232"/>
        <v/>
      </c>
      <c r="IW74" s="5" t="str">
        <f t="shared" si="519"/>
        <v/>
      </c>
      <c r="IX74" s="5" t="str">
        <f t="shared" si="233"/>
        <v/>
      </c>
      <c r="IY74" s="762" t="str">
        <f t="shared" si="234"/>
        <v/>
      </c>
    </row>
    <row r="75" spans="1:259" ht="15" customHeight="1" x14ac:dyDescent="0.25">
      <c r="A75" s="79"/>
      <c r="B75" s="707">
        <v>-4.0505707678961143</v>
      </c>
      <c r="C75" s="708">
        <v>-1.7232866694752436</v>
      </c>
      <c r="D75" s="709">
        <v>-0.3463010444439501</v>
      </c>
      <c r="E75" s="710">
        <v>0.20379456623279452</v>
      </c>
      <c r="F75" s="708">
        <v>-0.95632072877275598</v>
      </c>
      <c r="G75" s="711">
        <v>0.20956726484241778</v>
      </c>
      <c r="H75" s="710">
        <v>0.314</v>
      </c>
      <c r="I75" s="708">
        <v>0.52</v>
      </c>
      <c r="J75" s="570">
        <v>5.125</v>
      </c>
      <c r="K75" s="865">
        <f>IF($J75="","",IF(IFERROR(INDEX(Settings!$AK$14:$AK$32,MATCH((((ROUND($H75,6)*2)*1000000)+ROUND($I75,6)),Settings!$AI$14:$AI$32,0)),"Undefined")="Undefined","Undefined",IFERROR(INDEX(_xlfn.ANCHORARRAY(Settings!$BC$14),MATCH(IFERROR(INDEX(Settings!$AK$14:$AK$32,MATCH((((ROUND($H75,6)*2)*1000000)+ROUND($I75,6)),Settings!$AI$14:$AI$32,0)),"Undefined"),_xlfn.ANCHORARRAY(Settings!$BC$14),0)),"Inactive")))</f>
        <v>1613</v>
      </c>
      <c r="L75" s="320"/>
      <c r="M75" s="168">
        <f t="shared" si="464"/>
        <v>5.125</v>
      </c>
      <c r="N75" s="632">
        <f t="shared" si="465"/>
        <v>-4.0505707678961143</v>
      </c>
      <c r="O75" s="629">
        <f t="shared" si="466"/>
        <v>-1.7232866694752436</v>
      </c>
      <c r="P75" s="633">
        <f t="shared" si="467"/>
        <v>-0.3463010444439501</v>
      </c>
      <c r="Q75" s="585">
        <f t="shared" si="520"/>
        <v>203.04698367803499</v>
      </c>
      <c r="R75" s="629">
        <f>IF(M75="","",SQRT(N75^2+O75^2))</f>
        <v>4.4019132761704425</v>
      </c>
      <c r="S75" s="634">
        <f>IF(M75="","",P75)</f>
        <v>-0.3463010444439501</v>
      </c>
      <c r="T75" s="635">
        <f>IF(M75="","",X75*COS(RADIANS(W75)))</f>
        <v>-1.7236401418443958</v>
      </c>
      <c r="U75" s="629">
        <f>IF(M75="","",X75*SIN(RADIANS(W75)))</f>
        <v>4.0504203673629027</v>
      </c>
      <c r="V75" s="636">
        <f>IF(M75="","",Y75)</f>
        <v>-0.3463010444439501</v>
      </c>
      <c r="W75" s="585">
        <f t="shared" si="224"/>
        <v>113.05198367731307</v>
      </c>
      <c r="X75" s="629">
        <f>IF(M75="","",R75)</f>
        <v>4.4019132761704425</v>
      </c>
      <c r="Y75" s="630">
        <f t="shared" si="223"/>
        <v>-0.3463010444439501</v>
      </c>
      <c r="Z75" s="632">
        <f t="shared" si="468"/>
        <v>-0.20379456623279452</v>
      </c>
      <c r="AA75" s="629">
        <f t="shared" si="469"/>
        <v>0.95632072877275598</v>
      </c>
      <c r="AB75" s="629">
        <f t="shared" si="470"/>
        <v>-0.20956726484241778</v>
      </c>
      <c r="AC75" s="636">
        <f>IF(M75="","",SQRT(Z75^2+AA75^2+AB75^2))</f>
        <v>1</v>
      </c>
      <c r="AD75" s="637">
        <f>IF(M75="","",Z75*(1/SQRT(Z75^2+AA75^2+AB75^2)))</f>
        <v>-0.20379456623279452</v>
      </c>
      <c r="AE75" s="629">
        <f>IF(M75="","",AA75*(1/SQRT(Z75^2+AA75^2+AB75^2)))</f>
        <v>0.95632072877275598</v>
      </c>
      <c r="AF75" s="633">
        <f>IF(M75="","",AB75*(1/SQRT(Z75^2+AA75^2+AB75^2)))</f>
        <v>-0.20956726484241778</v>
      </c>
      <c r="AG75" s="602">
        <f>IF(M75="","",DEGREES(ATAN2(-AF75,AE75)))</f>
        <v>77.639638680194579</v>
      </c>
      <c r="AH75" s="603">
        <f>IF(M75="","",DEGREES(ACOS(AD75)))</f>
        <v>101.75894320260832</v>
      </c>
      <c r="AI75" s="585">
        <f>IF(M75="","",DEGREES(-ACOS(-AF75)))</f>
        <v>-77.903005927876421</v>
      </c>
      <c r="AJ75" s="586">
        <f>IF(M75="","",DEGREES(ATAN2(-AE75,AD75)))</f>
        <v>-167.97006243623215</v>
      </c>
      <c r="AK75" s="635">
        <f>IF(M75="","",(COS(RADIANS((90-$Q$8)-W75))*AD75)+(-SIN(RADIANS((90-$Q$8)-W75))*AE75))</f>
        <v>0.95977384899231999</v>
      </c>
      <c r="AL75" s="629">
        <f>IF(M75="","",(SIN(RADIANS((90-$Q$8)-W75))*AD75)+(COS(RADIANS((90-$Q$8)-W75))*AE75))</f>
        <v>-0.18685748659589579</v>
      </c>
      <c r="AM75" s="634">
        <f>IF(M75="","",AF75)</f>
        <v>-0.20956726484241778</v>
      </c>
      <c r="AN75" s="581">
        <f>IF(M75="","",DEGREES(ATAN2(-AM75,AL75)))</f>
        <v>-41.72130999327819</v>
      </c>
      <c r="AO75" s="582">
        <f t="shared" si="461"/>
        <v>16.306417594944556</v>
      </c>
      <c r="AP75" s="585">
        <f>IF(M75="","",DEGREES(ATAN2(AK75,AL75)))</f>
        <v>-11.017046114267158</v>
      </c>
      <c r="AQ75" s="586">
        <f t="shared" si="471"/>
        <v>0.51788038637655287</v>
      </c>
      <c r="AS75" s="52">
        <f t="shared" ref="AS75:AS106" si="543">IF(G75="","",IF(AND(W75&lt;(AS74+180),W75&gt;(AS74-180)),W75,IF(W75&gt;(AS74+180),W75-360,IF(W75&lt;(AS74-180),W75+360,"Error"))))</f>
        <v>-246.94801632268693</v>
      </c>
      <c r="AT75" s="72">
        <f t="shared" si="472"/>
        <v>-0.17480589422036327</v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>
        <f t="shared" ref="IG75:IG138" si="643">$M75</f>
        <v>5.125</v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IFERROR(ROUND(VALUE(IF($IH75&lt;1,$IH75+LARGE((IF($M$9:$M$150="",0,$M$9:$M$150)-MOD(IF($M$9:$M$150="",0,$M$9:$M$150),1)),1),$IH75)),4),"")</f>
        <v/>
      </c>
      <c r="IJ75" s="533">
        <f t="shared" si="542"/>
        <v>1613</v>
      </c>
      <c r="IK75" s="533" t="str">
        <f t="shared" si="517"/>
        <v/>
      </c>
      <c r="IL75" s="727" t="str">
        <f t="shared" si="225"/>
        <v/>
      </c>
      <c r="IM75" s="759"/>
      <c r="IN75" s="5" t="str">
        <f t="shared" si="226"/>
        <v/>
      </c>
      <c r="IO75" s="771"/>
      <c r="IP75" s="9" t="str">
        <f t="shared" si="227"/>
        <v/>
      </c>
      <c r="IQ75" s="5" t="str">
        <f t="shared" si="228"/>
        <v/>
      </c>
      <c r="IR75" s="5" t="str">
        <f t="shared" si="518"/>
        <v/>
      </c>
      <c r="IS75" s="5" t="str">
        <f t="shared" si="229"/>
        <v/>
      </c>
      <c r="IT75" s="727" t="str">
        <f t="shared" si="230"/>
        <v/>
      </c>
      <c r="IU75" s="9" t="str">
        <f t="shared" si="231"/>
        <v/>
      </c>
      <c r="IV75" s="5" t="str">
        <f t="shared" si="232"/>
        <v/>
      </c>
      <c r="IW75" s="5" t="str">
        <f t="shared" si="519"/>
        <v/>
      </c>
      <c r="IX75" s="5" t="str">
        <f t="shared" si="233"/>
        <v/>
      </c>
      <c r="IY75" s="762" t="str">
        <f t="shared" si="234"/>
        <v/>
      </c>
    </row>
    <row r="76" spans="1:259" ht="15" customHeight="1" x14ac:dyDescent="0.25">
      <c r="A76" s="79"/>
      <c r="B76" s="707">
        <v>-4.6480503865995599</v>
      </c>
      <c r="C76" s="708">
        <v>-1.8868090404672009</v>
      </c>
      <c r="D76" s="709">
        <v>-0.78280236093192068</v>
      </c>
      <c r="E76" s="710">
        <v>0.12196569896386103</v>
      </c>
      <c r="F76" s="708">
        <v>-0.97766701333070249</v>
      </c>
      <c r="G76" s="711">
        <v>0.17114782885354096</v>
      </c>
      <c r="H76" s="710">
        <v>0.314</v>
      </c>
      <c r="I76" s="708">
        <v>0.52</v>
      </c>
      <c r="J76" s="570">
        <v>5.1310000000000002</v>
      </c>
      <c r="K76" s="865">
        <f>IF($J76="","",IF(IFERROR(INDEX(Settings!$AK$14:$AK$32,MATCH((((ROUND($H76,6)*2)*1000000)+ROUND($I76,6)),Settings!$AI$14:$AI$32,0)),"Undefined")="Undefined","Undefined",IFERROR(INDEX(_xlfn.ANCHORARRAY(Settings!$BC$14),MATCH(IFERROR(INDEX(Settings!$AK$14:$AK$32,MATCH((((ROUND($H76,6)*2)*1000000)+ROUND($I76,6)),Settings!$AI$14:$AI$32,0)),"Undefined"),_xlfn.ANCHORARRAY(Settings!$BC$14),0)),"Inactive")))</f>
        <v>1613</v>
      </c>
      <c r="L76" s="320"/>
      <c r="M76" s="168">
        <f t="shared" si="464"/>
        <v>5.1310000000000002</v>
      </c>
      <c r="N76" s="632">
        <f t="shared" si="465"/>
        <v>-4.6480503865995599</v>
      </c>
      <c r="O76" s="629">
        <f t="shared" si="466"/>
        <v>-1.8868090404672009</v>
      </c>
      <c r="P76" s="633">
        <f t="shared" si="467"/>
        <v>-0.78280236093192068</v>
      </c>
      <c r="Q76" s="585">
        <f t="shared" si="520"/>
        <v>202.09398381563116</v>
      </c>
      <c r="R76" s="629">
        <f t="shared" si="79"/>
        <v>5.0164151295080313</v>
      </c>
      <c r="S76" s="634">
        <f t="shared" si="80"/>
        <v>-0.78280236093192068</v>
      </c>
      <c r="T76" s="635">
        <f t="shared" si="81"/>
        <v>-1.8872146521389124</v>
      </c>
      <c r="U76" s="629">
        <f t="shared" si="82"/>
        <v>4.6478857137745209</v>
      </c>
      <c r="V76" s="636">
        <f t="shared" si="114"/>
        <v>-0.78280236093192068</v>
      </c>
      <c r="W76" s="585">
        <f t="shared" si="224"/>
        <v>112.09898381490925</v>
      </c>
      <c r="X76" s="629">
        <f t="shared" si="83"/>
        <v>5.0164151295080313</v>
      </c>
      <c r="Y76" s="630">
        <f t="shared" ref="Y76:Y129" si="644">IF(M76="","",S76)</f>
        <v>-0.78280236093192068</v>
      </c>
      <c r="Z76" s="632">
        <f t="shared" si="468"/>
        <v>-0.12196569896386103</v>
      </c>
      <c r="AA76" s="629">
        <f t="shared" si="469"/>
        <v>0.97766701333070249</v>
      </c>
      <c r="AB76" s="629">
        <f t="shared" si="470"/>
        <v>-0.17114782885354096</v>
      </c>
      <c r="AC76" s="636">
        <f t="shared" si="84"/>
        <v>1</v>
      </c>
      <c r="AD76" s="637">
        <f t="shared" si="115"/>
        <v>-0.12196569896386103</v>
      </c>
      <c r="AE76" s="629">
        <f t="shared" si="85"/>
        <v>0.97766701333070249</v>
      </c>
      <c r="AF76" s="633">
        <f t="shared" si="86"/>
        <v>-0.17114782885354096</v>
      </c>
      <c r="AG76" s="602">
        <f t="shared" si="87"/>
        <v>80.070564414640643</v>
      </c>
      <c r="AH76" s="603">
        <f t="shared" si="88"/>
        <v>97.005562260001838</v>
      </c>
      <c r="AI76" s="585">
        <f t="shared" si="89"/>
        <v>-80.145437050811523</v>
      </c>
      <c r="AJ76" s="586">
        <f t="shared" si="90"/>
        <v>-172.88898730670365</v>
      </c>
      <c r="AK76" s="635">
        <f t="shared" si="211"/>
        <v>0.95174968567195806</v>
      </c>
      <c r="AL76" s="629">
        <f t="shared" si="91"/>
        <v>-0.25471740518081698</v>
      </c>
      <c r="AM76" s="634">
        <f t="shared" si="92"/>
        <v>-0.17114782885354096</v>
      </c>
      <c r="AN76" s="581">
        <f t="shared" si="93"/>
        <v>-56.102349967648045</v>
      </c>
      <c r="AO76" s="582">
        <f t="shared" si="461"/>
        <v>17.87103052163884</v>
      </c>
      <c r="AP76" s="585">
        <f t="shared" si="95"/>
        <v>-14.982971122334803</v>
      </c>
      <c r="AQ76" s="586">
        <f t="shared" si="471"/>
        <v>0.45444381446354098</v>
      </c>
      <c r="AS76" s="52">
        <f t="shared" si="543"/>
        <v>-247.90101618509075</v>
      </c>
      <c r="AT76" s="72">
        <f t="shared" si="472"/>
        <v>-0.61064540524833122</v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>
        <f t="shared" si="643"/>
        <v>5.1310000000000002</v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IFERROR(ROUND(VALUE(IF($IH76&lt;1,$IH76+LARGE((IF($M$9:$M$150="",0,$M$9:$M$150)-MOD(IF($M$9:$M$150="",0,$M$9:$M$150),1)),1),$IH76)),4),"")</f>
        <v/>
      </c>
      <c r="IJ76" s="533">
        <f t="shared" si="542"/>
        <v>1613</v>
      </c>
      <c r="IK76" s="533" t="str">
        <f t="shared" si="517"/>
        <v/>
      </c>
      <c r="IL76" s="727" t="str">
        <f t="shared" si="225"/>
        <v/>
      </c>
      <c r="IM76" s="759"/>
      <c r="IN76" s="5" t="str">
        <f t="shared" si="226"/>
        <v/>
      </c>
      <c r="IO76" s="771"/>
      <c r="IP76" s="9" t="str">
        <f t="shared" si="227"/>
        <v/>
      </c>
      <c r="IQ76" s="5" t="str">
        <f t="shared" si="228"/>
        <v/>
      </c>
      <c r="IR76" s="5" t="str">
        <f t="shared" si="518"/>
        <v/>
      </c>
      <c r="IS76" s="5" t="str">
        <f t="shared" si="229"/>
        <v/>
      </c>
      <c r="IT76" s="727" t="str">
        <f t="shared" si="230"/>
        <v/>
      </c>
      <c r="IU76" s="9" t="str">
        <f t="shared" si="231"/>
        <v/>
      </c>
      <c r="IV76" s="5" t="str">
        <f t="shared" si="232"/>
        <v/>
      </c>
      <c r="IW76" s="5" t="str">
        <f t="shared" si="519"/>
        <v/>
      </c>
      <c r="IX76" s="5" t="str">
        <f t="shared" si="233"/>
        <v/>
      </c>
      <c r="IY76" s="762" t="str">
        <f t="shared" si="234"/>
        <v/>
      </c>
    </row>
    <row r="77" spans="1:259" ht="15" customHeight="1" x14ac:dyDescent="0.25">
      <c r="A77" s="79"/>
      <c r="B77" s="707">
        <v>-5.0977255792341243</v>
      </c>
      <c r="C77" s="708">
        <v>-1.9912092876761538</v>
      </c>
      <c r="D77" s="709">
        <v>-1.3826041699341767</v>
      </c>
      <c r="E77" s="710">
        <v>4.5290265025342717E-2</v>
      </c>
      <c r="F77" s="708">
        <v>-0.99017322070427694</v>
      </c>
      <c r="G77" s="711">
        <v>0.13230942859091216</v>
      </c>
      <c r="H77" s="710">
        <v>0.314</v>
      </c>
      <c r="I77" s="708">
        <v>0.52</v>
      </c>
      <c r="J77" s="570">
        <v>5.1369999999999996</v>
      </c>
      <c r="K77" s="865">
        <f>IF($J77="","",IF(IFERROR(INDEX(Settings!$AK$14:$AK$32,MATCH((((ROUND($H77,6)*2)*1000000)+ROUND($I77,6)),Settings!$AI$14:$AI$32,0)),"Undefined")="Undefined","Undefined",IFERROR(INDEX(_xlfn.ANCHORARRAY(Settings!$BC$14),MATCH(IFERROR(INDEX(Settings!$AK$14:$AK$32,MATCH((((ROUND($H77,6)*2)*1000000)+ROUND($I77,6)),Settings!$AI$14:$AI$32,0)),"Undefined"),_xlfn.ANCHORARRAY(Settings!$BC$14),0)),"Inactive")))</f>
        <v>1613</v>
      </c>
      <c r="L77" s="320"/>
      <c r="M77" s="168">
        <f t="shared" si="464"/>
        <v>5.1369999999999996</v>
      </c>
      <c r="N77" s="632">
        <f t="shared" si="465"/>
        <v>-5.0977255792341243</v>
      </c>
      <c r="O77" s="629">
        <f t="shared" si="466"/>
        <v>-1.9912092876761538</v>
      </c>
      <c r="P77" s="633">
        <f t="shared" si="467"/>
        <v>-1.3826041699341767</v>
      </c>
      <c r="Q77" s="585">
        <f t="shared" si="520"/>
        <v>201.33598392507278</v>
      </c>
      <c r="R77" s="629">
        <f t="shared" si="79"/>
        <v>5.472816506014583</v>
      </c>
      <c r="S77" s="634">
        <f t="shared" si="80"/>
        <v>-1.3826041699341767</v>
      </c>
      <c r="T77" s="635">
        <f t="shared" si="81"/>
        <v>-1.9916541405080013</v>
      </c>
      <c r="U77" s="629">
        <f t="shared" si="82"/>
        <v>5.0975517940579085</v>
      </c>
      <c r="V77" s="636">
        <f t="shared" si="114"/>
        <v>-1.3826041699341767</v>
      </c>
      <c r="W77" s="585">
        <f t="shared" si="224"/>
        <v>111.34098392435087</v>
      </c>
      <c r="X77" s="629">
        <f t="shared" si="83"/>
        <v>5.472816506014583</v>
      </c>
      <c r="Y77" s="630">
        <f t="shared" si="644"/>
        <v>-1.3826041699341767</v>
      </c>
      <c r="Z77" s="632">
        <f t="shared" si="468"/>
        <v>-4.5290265025342717E-2</v>
      </c>
      <c r="AA77" s="629">
        <f t="shared" si="469"/>
        <v>0.99017322070427694</v>
      </c>
      <c r="AB77" s="629">
        <f t="shared" si="470"/>
        <v>-0.13230942859091216</v>
      </c>
      <c r="AC77" s="636">
        <f t="shared" si="84"/>
        <v>1</v>
      </c>
      <c r="AD77" s="637">
        <f t="shared" si="115"/>
        <v>-4.5290265025342717E-2</v>
      </c>
      <c r="AE77" s="629">
        <f t="shared" si="85"/>
        <v>0.99017322070427694</v>
      </c>
      <c r="AF77" s="633">
        <f t="shared" si="86"/>
        <v>-0.13230942859091216</v>
      </c>
      <c r="AG77" s="602">
        <f t="shared" si="87"/>
        <v>82.389078195709146</v>
      </c>
      <c r="AH77" s="603">
        <f t="shared" si="88"/>
        <v>92.595828986188536</v>
      </c>
      <c r="AI77" s="585">
        <f t="shared" si="89"/>
        <v>-82.396934184942864</v>
      </c>
      <c r="AJ77" s="586">
        <f t="shared" si="90"/>
        <v>-177.38113129395808</v>
      </c>
      <c r="AK77" s="635">
        <f t="shared" si="211"/>
        <v>0.93878787015245047</v>
      </c>
      <c r="AL77" s="629">
        <f t="shared" si="91"/>
        <v>-0.31807475530222795</v>
      </c>
      <c r="AM77" s="634">
        <f t="shared" si="92"/>
        <v>-0.13230942859091216</v>
      </c>
      <c r="AN77" s="581">
        <f t="shared" si="93"/>
        <v>-67.414174339006962</v>
      </c>
      <c r="AO77" s="582">
        <f t="shared" si="461"/>
        <v>20.151018678131951</v>
      </c>
      <c r="AP77" s="585">
        <f t="shared" si="95"/>
        <v>-18.717115219030866</v>
      </c>
      <c r="AQ77" s="586">
        <f t="shared" si="471"/>
        <v>0.41654721377700504</v>
      </c>
      <c r="AS77" s="52">
        <f t="shared" si="543"/>
        <v>-248.65901607564913</v>
      </c>
      <c r="AT77" s="72">
        <f t="shared" si="472"/>
        <v>-1.2099208254376994</v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>
        <f t="shared" si="643"/>
        <v>5.1369999999999996</v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IFERROR(ROUND(VALUE(IF($IH77&lt;1,$IH77+LARGE((IF($M$9:$M$150="",0,$M$9:$M$150)-MOD(IF($M$9:$M$150="",0,$M$9:$M$150),1)),1),$IH77)),4),"")</f>
        <v/>
      </c>
      <c r="IJ77" s="533">
        <f t="shared" si="542"/>
        <v>1613</v>
      </c>
      <c r="IK77" s="533" t="str">
        <f t="shared" si="517"/>
        <v/>
      </c>
      <c r="IL77" s="727" t="str">
        <f t="shared" si="225"/>
        <v/>
      </c>
      <c r="IM77" s="759"/>
      <c r="IN77" s="5" t="str">
        <f t="shared" si="226"/>
        <v/>
      </c>
      <c r="IO77" s="771"/>
      <c r="IP77" s="9" t="str">
        <f t="shared" si="227"/>
        <v/>
      </c>
      <c r="IQ77" s="5" t="str">
        <f t="shared" si="228"/>
        <v/>
      </c>
      <c r="IR77" s="5" t="str">
        <f t="shared" si="518"/>
        <v/>
      </c>
      <c r="IS77" s="5" t="str">
        <f t="shared" si="229"/>
        <v/>
      </c>
      <c r="IT77" s="727" t="str">
        <f t="shared" si="230"/>
        <v/>
      </c>
      <c r="IU77" s="9" t="str">
        <f t="shared" si="231"/>
        <v/>
      </c>
      <c r="IV77" s="5" t="str">
        <f t="shared" si="232"/>
        <v/>
      </c>
      <c r="IW77" s="5" t="str">
        <f t="shared" si="519"/>
        <v/>
      </c>
      <c r="IX77" s="5" t="str">
        <f t="shared" si="233"/>
        <v/>
      </c>
      <c r="IY77" s="762" t="str">
        <f t="shared" si="234"/>
        <v/>
      </c>
    </row>
    <row r="78" spans="1:259" ht="15" customHeight="1" x14ac:dyDescent="0.25">
      <c r="A78" s="79"/>
      <c r="B78" s="707">
        <v>-5.3538185999412828</v>
      </c>
      <c r="C78" s="708">
        <v>-2.0436733714930906</v>
      </c>
      <c r="D78" s="709">
        <v>-2.0910063064750211</v>
      </c>
      <c r="E78" s="710">
        <v>-4.2015377826148781E-2</v>
      </c>
      <c r="F78" s="708">
        <v>-0.99385610601707863</v>
      </c>
      <c r="G78" s="711">
        <v>0.10239506120265511</v>
      </c>
      <c r="H78" s="710">
        <v>0.314</v>
      </c>
      <c r="I78" s="708">
        <v>0.52</v>
      </c>
      <c r="J78" s="570">
        <v>5.1429999999999998</v>
      </c>
      <c r="K78" s="865">
        <f>IF($J78="","",IF(IFERROR(INDEX(Settings!$AK$14:$AK$32,MATCH((((ROUND($H78,6)*2)*1000000)+ROUND($I78,6)),Settings!$AI$14:$AI$32,0)),"Undefined")="Undefined","Undefined",IFERROR(INDEX(_xlfn.ANCHORARRAY(Settings!$BC$14),MATCH(IFERROR(INDEX(Settings!$AK$14:$AK$32,MATCH((((ROUND($H78,6)*2)*1000000)+ROUND($I78,6)),Settings!$AI$14:$AI$32,0)),"Undefined"),_xlfn.ANCHORARRAY(Settings!$BC$14),0)),"Inactive")))</f>
        <v>1613</v>
      </c>
      <c r="L78" s="320"/>
      <c r="M78" s="168">
        <f t="shared" si="464"/>
        <v>5.1429999999999998</v>
      </c>
      <c r="N78" s="632">
        <f t="shared" si="465"/>
        <v>-5.3538185999412828</v>
      </c>
      <c r="O78" s="629">
        <f t="shared" si="466"/>
        <v>-2.0436733714930906</v>
      </c>
      <c r="P78" s="633">
        <f t="shared" si="467"/>
        <v>-2.0910063064750211</v>
      </c>
      <c r="Q78" s="585">
        <f t="shared" si="520"/>
        <v>200.89298398903406</v>
      </c>
      <c r="R78" s="629">
        <f>IF(M78="","",SQRT(N78^2+O78^2))</f>
        <v>5.7306172835417284</v>
      </c>
      <c r="S78" s="634">
        <f>IF(M78="","",P78)</f>
        <v>-2.0910063064750211</v>
      </c>
      <c r="T78" s="635">
        <f>IF(M78="","",X78*COS(RADIANS(W78)))</f>
        <v>-2.0441405724539283</v>
      </c>
      <c r="U78" s="629">
        <f>IF(M78="","",X78*SIN(RADIANS(W78)))</f>
        <v>5.3536402354355959</v>
      </c>
      <c r="V78" s="636">
        <f>IF(M78="","",Y78)</f>
        <v>-2.0910063064750211</v>
      </c>
      <c r="W78" s="585">
        <f t="shared" si="224"/>
        <v>110.89798398831215</v>
      </c>
      <c r="X78" s="629">
        <f>IF(M78="","",R78)</f>
        <v>5.7306172835417284</v>
      </c>
      <c r="Y78" s="630">
        <f t="shared" si="644"/>
        <v>-2.0910063064750211</v>
      </c>
      <c r="Z78" s="632">
        <f t="shared" si="468"/>
        <v>4.2015377826148781E-2</v>
      </c>
      <c r="AA78" s="629">
        <f t="shared" si="469"/>
        <v>0.99385610601707863</v>
      </c>
      <c r="AB78" s="629">
        <f t="shared" si="470"/>
        <v>-0.10239506120265511</v>
      </c>
      <c r="AC78" s="636">
        <f>IF(M78="","",SQRT(Z78^2+AA78^2+AB78^2))</f>
        <v>1</v>
      </c>
      <c r="AD78" s="637">
        <f>IF(M78="","",Z78*(1/SQRT(Z78^2+AA78^2+AB78^2)))</f>
        <v>4.2015377826148781E-2</v>
      </c>
      <c r="AE78" s="629">
        <f>IF(M78="","",AA78*(1/SQRT(Z78^2+AA78^2+AB78^2)))</f>
        <v>0.99385610601707863</v>
      </c>
      <c r="AF78" s="633">
        <f>IF(M78="","",AB78*(1/SQRT(Z78^2+AA78^2+AB78^2)))</f>
        <v>-0.10239506120265511</v>
      </c>
      <c r="AG78" s="602">
        <f>IF(M78="","",DEGREES(ATAN2(-AF78,AE78)))</f>
        <v>84.117681879647051</v>
      </c>
      <c r="AH78" s="603">
        <f>IF(M78="","",DEGREES(ACOS(AD78)))</f>
        <v>87.591987347002586</v>
      </c>
      <c r="AI78" s="585">
        <f>IF(M78="","",DEGREES(-ACOS(-AF78)))</f>
        <v>-84.122894480123961</v>
      </c>
      <c r="AJ78" s="586">
        <f>IF(M78="","",DEGREES(ATAN2(-AE78,AD78)))</f>
        <v>177.57925594438242</v>
      </c>
      <c r="AK78" s="635">
        <f>IF(M78="","",(COS(RADIANS((90-$Q$8)-W78))*AD78)+(-SIN(RADIANS((90-$Q$8)-W78))*AE78))</f>
        <v>0.91352455384483033</v>
      </c>
      <c r="AL78" s="629">
        <f>IF(M78="","",(SIN(RADIANS((90-$Q$8)-W78))*AD78)+(COS(RADIANS((90-$Q$8)-W78))*AE78))</f>
        <v>-0.39368533242160364</v>
      </c>
      <c r="AM78" s="634">
        <f>IF(M78="","",AF78)</f>
        <v>-0.10239506120265511</v>
      </c>
      <c r="AN78" s="581">
        <f>IF(M78="","",DEGREES(ATAN2(-AM78,AL78)))</f>
        <v>-75.420757086749546</v>
      </c>
      <c r="AO78" s="582">
        <f t="shared" si="461"/>
        <v>24.002944485799635</v>
      </c>
      <c r="AP78" s="585">
        <f>IF(M78="","",DEGREES(ATAN2(AK78,AL78)))</f>
        <v>-23.313728044651622</v>
      </c>
      <c r="AQ78" s="586">
        <f t="shared" si="471"/>
        <v>0.39780880255447565</v>
      </c>
      <c r="AS78" s="52">
        <f t="shared" si="543"/>
        <v>-249.10201601168785</v>
      </c>
      <c r="AT78" s="72">
        <f t="shared" si="472"/>
        <v>-1.9180153231340724</v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>
        <f t="shared" si="643"/>
        <v>5.1429999999999998</v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IFERROR(ROUND(VALUE(IF($IH78&lt;1,$IH78+LARGE((IF($M$9:$M$150="",0,$M$9:$M$150)-MOD(IF($M$9:$M$150="",0,$M$9:$M$150),1)),1),$IH78)),4),"")</f>
        <v/>
      </c>
      <c r="IJ78" s="533">
        <f t="shared" si="542"/>
        <v>1613</v>
      </c>
      <c r="IK78" s="533" t="str">
        <f t="shared" si="517"/>
        <v/>
      </c>
      <c r="IL78" s="727" t="str">
        <f t="shared" si="225"/>
        <v/>
      </c>
      <c r="IM78" s="759"/>
      <c r="IN78" s="5" t="str">
        <f t="shared" si="226"/>
        <v/>
      </c>
      <c r="IO78" s="771"/>
      <c r="IP78" s="9" t="str">
        <f t="shared" si="227"/>
        <v/>
      </c>
      <c r="IQ78" s="5" t="str">
        <f t="shared" si="228"/>
        <v/>
      </c>
      <c r="IR78" s="5" t="str">
        <f t="shared" si="518"/>
        <v/>
      </c>
      <c r="IS78" s="5" t="str">
        <f t="shared" si="229"/>
        <v/>
      </c>
      <c r="IT78" s="727" t="str">
        <f t="shared" si="230"/>
        <v/>
      </c>
      <c r="IU78" s="9" t="str">
        <f t="shared" si="231"/>
        <v/>
      </c>
      <c r="IV78" s="5" t="str">
        <f t="shared" si="232"/>
        <v/>
      </c>
      <c r="IW78" s="5" t="str">
        <f t="shared" si="519"/>
        <v/>
      </c>
      <c r="IX78" s="5" t="str">
        <f t="shared" si="233"/>
        <v/>
      </c>
      <c r="IY78" s="762" t="str">
        <f t="shared" si="234"/>
        <v/>
      </c>
    </row>
    <row r="79" spans="1:259" ht="15" customHeight="1" x14ac:dyDescent="0.25">
      <c r="A79" s="79"/>
      <c r="B79" s="707">
        <v>-5.4682204507629271</v>
      </c>
      <c r="C79" s="708">
        <v>-2.0655031569436164</v>
      </c>
      <c r="D79" s="709">
        <v>-2.837508557925811</v>
      </c>
      <c r="E79" s="710">
        <v>-0.15117917492142938</v>
      </c>
      <c r="F79" s="708">
        <v>-0.98623722292113591</v>
      </c>
      <c r="G79" s="711">
        <v>6.6940250932316495E-2</v>
      </c>
      <c r="H79" s="710">
        <v>0.314</v>
      </c>
      <c r="I79" s="708">
        <v>0.52</v>
      </c>
      <c r="J79" s="570">
        <v>5.149</v>
      </c>
      <c r="K79" s="865">
        <f>IF($J79="","",IF(IFERROR(INDEX(Settings!$AK$14:$AK$32,MATCH((((ROUND($H79,6)*2)*1000000)+ROUND($I79,6)),Settings!$AI$14:$AI$32,0)),"Undefined")="Undefined","Undefined",IFERROR(INDEX(_xlfn.ANCHORARRAY(Settings!$BC$14),MATCH(IFERROR(INDEX(Settings!$AK$14:$AK$32,MATCH((((ROUND($H79,6)*2)*1000000)+ROUND($I79,6)),Settings!$AI$14:$AI$32,0)),"Undefined"),_xlfn.ANCHORARRAY(Settings!$BC$14),0)),"Inactive")))</f>
        <v>1613</v>
      </c>
      <c r="L79" s="320"/>
      <c r="M79" s="168">
        <f>IF(J79="","",VALUE(J79))</f>
        <v>5.149</v>
      </c>
      <c r="N79" s="632">
        <f t="shared" si="465"/>
        <v>-5.4682204507629271</v>
      </c>
      <c r="O79" s="629">
        <f t="shared" si="466"/>
        <v>-2.0655031569436164</v>
      </c>
      <c r="P79" s="633">
        <f t="shared" si="467"/>
        <v>-2.837508557925811</v>
      </c>
      <c r="Q79" s="585">
        <f t="shared" si="520"/>
        <v>200.6929840179105</v>
      </c>
      <c r="R79" s="629">
        <f>IF(M79="","",SQRT(N79^2+O79^2))</f>
        <v>5.8453176294779698</v>
      </c>
      <c r="S79" s="634">
        <f>IF(M79="","",P79)</f>
        <v>-2.837508557925811</v>
      </c>
      <c r="T79" s="635">
        <f>IF(M79="","",X79*COS(RADIANS(W79)))</f>
        <v>-2.0659803412647153</v>
      </c>
      <c r="U79" s="629">
        <f>IF(M79="","",X79*SIN(RADIANS(W79)))</f>
        <v>5.4680401808137518</v>
      </c>
      <c r="V79" s="636">
        <f>IF(M79="","",Y79)</f>
        <v>-2.837508557925811</v>
      </c>
      <c r="W79" s="585">
        <f t="shared" ref="W79:W129" si="645">IF(M79="","",IF(Q79-$Q$8&lt;0,360+Q79-$Q$8,Q79-$Q$8))</f>
        <v>110.69798401718859</v>
      </c>
      <c r="X79" s="629">
        <f>IF(M79="","",R79)</f>
        <v>5.8453176294779698</v>
      </c>
      <c r="Y79" s="630">
        <f t="shared" si="644"/>
        <v>-2.837508557925811</v>
      </c>
      <c r="Z79" s="632">
        <f t="shared" si="468"/>
        <v>0.15117917492142938</v>
      </c>
      <c r="AA79" s="629">
        <f t="shared" si="469"/>
        <v>0.98623722292113591</v>
      </c>
      <c r="AB79" s="629">
        <f t="shared" si="470"/>
        <v>-6.6940250932316495E-2</v>
      </c>
      <c r="AC79" s="636">
        <f>IF(M79="","",SQRT(Z79^2+AA79^2+AB79^2))</f>
        <v>1</v>
      </c>
      <c r="AD79" s="637">
        <f>IF(M79="","",Z79*(1/SQRT(Z79^2+AA79^2+AB79^2)))</f>
        <v>0.15117917492142938</v>
      </c>
      <c r="AE79" s="629">
        <f>IF(M79="","",AA79*(1/SQRT(Z79^2+AA79^2+AB79^2)))</f>
        <v>0.98623722292113591</v>
      </c>
      <c r="AF79" s="633">
        <f>IF(M79="","",AB79*(1/SQRT(Z79^2+AA79^2+AB79^2)))</f>
        <v>-6.6940250932316495E-2</v>
      </c>
      <c r="AG79" s="602">
        <f>IF(M79="","",DEGREES(ATAN2(-AF79,AE79)))</f>
        <v>86.11703939463824</v>
      </c>
      <c r="AH79" s="603">
        <f>IF(M79="","",DEGREES(ACOS(AD79)))</f>
        <v>81.304732354029539</v>
      </c>
      <c r="AI79" s="585">
        <f>IF(M79="","",DEGREES(-ACOS(-AF79)))</f>
        <v>-86.161735952480015</v>
      </c>
      <c r="AJ79" s="586">
        <f>IF(M79="","",DEGREES(ATAN2(-AE79,AD79)))</f>
        <v>171.28503291806143</v>
      </c>
      <c r="AK79" s="635">
        <f>IF(M79="","",(COS(RADIANS((90-$Q$8)-W79))*AD79)+(-SIN(RADIANS((90-$Q$8)-W79))*AE79))</f>
        <v>0.86919168652095835</v>
      </c>
      <c r="AL79" s="629">
        <f>IF(M79="","",(SIN(RADIANS((90-$Q$8)-W79))*AD79)+(COS(RADIANS((90-$Q$8)-W79))*AE79))</f>
        <v>-0.48992327449098649</v>
      </c>
      <c r="AM79" s="634">
        <f>IF(M79="","",AF79)</f>
        <v>-6.6940250932316495E-2</v>
      </c>
      <c r="AN79" s="581">
        <f>IF(M79="","",DEGREES(ATAN2(-AM79,AL79)))</f>
        <v>-82.219618104887502</v>
      </c>
      <c r="AO79" s="582">
        <f t="shared" si="461"/>
        <v>29.635156295113308</v>
      </c>
      <c r="AP79" s="585">
        <f>IF(M79="","",DEGREES(ATAN2(AK79,AL79)))</f>
        <v>-29.407951099849072</v>
      </c>
      <c r="AQ79" s="586">
        <f t="shared" si="471"/>
        <v>0.39000300197066956</v>
      </c>
      <c r="AS79" s="52">
        <f t="shared" si="543"/>
        <v>-249.30201598281141</v>
      </c>
      <c r="AT79" s="72">
        <f t="shared" si="472"/>
        <v>-2.6643786857160268</v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>
        <f t="shared" si="643"/>
        <v>5.149</v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IFERROR(ROUND(VALUE(IF($IH79&lt;1,$IH79+LARGE((IF($M$9:$M$150="",0,$M$9:$M$150)-MOD(IF($M$9:$M$150="",0,$M$9:$M$150),1)),1),$IH79)),4),"")</f>
        <v/>
      </c>
      <c r="IJ79" s="533">
        <f t="shared" si="542"/>
        <v>1613</v>
      </c>
      <c r="IK79" s="533" t="str">
        <f t="shared" si="517"/>
        <v/>
      </c>
      <c r="IL79" s="727" t="str">
        <f t="shared" si="225"/>
        <v/>
      </c>
      <c r="IM79" s="759"/>
      <c r="IN79" s="5" t="str">
        <f t="shared" si="226"/>
        <v/>
      </c>
      <c r="IO79" s="771"/>
      <c r="IP79" s="9" t="str">
        <f t="shared" si="227"/>
        <v/>
      </c>
      <c r="IQ79" s="5" t="str">
        <f t="shared" si="228"/>
        <v/>
      </c>
      <c r="IR79" s="5" t="str">
        <f t="shared" si="518"/>
        <v/>
      </c>
      <c r="IS79" s="5" t="str">
        <f t="shared" si="229"/>
        <v/>
      </c>
      <c r="IT79" s="727" t="str">
        <f t="shared" si="230"/>
        <v/>
      </c>
      <c r="IU79" s="9" t="str">
        <f t="shared" si="231"/>
        <v/>
      </c>
      <c r="IV79" s="5" t="str">
        <f t="shared" si="232"/>
        <v/>
      </c>
      <c r="IW79" s="5" t="str">
        <f t="shared" si="519"/>
        <v/>
      </c>
      <c r="IX79" s="5" t="str">
        <f t="shared" si="233"/>
        <v/>
      </c>
      <c r="IY79" s="762" t="str">
        <f t="shared" si="234"/>
        <v/>
      </c>
    </row>
    <row r="80" spans="1:259" ht="15" customHeight="1" x14ac:dyDescent="0.25">
      <c r="A80" s="79"/>
      <c r="B80" s="707">
        <v>-5.562681955978598</v>
      </c>
      <c r="C80" s="708">
        <v>-2.082788110667118</v>
      </c>
      <c r="D80" s="709">
        <v>-3.5606107388019885</v>
      </c>
      <c r="E80" s="710">
        <v>-0.2499239317275958</v>
      </c>
      <c r="F80" s="708">
        <v>-0.96826547410811004</v>
      </c>
      <c r="G80" s="711">
        <v>1.3008419225801865E-7</v>
      </c>
      <c r="H80" s="710">
        <v>0.26600000000000001</v>
      </c>
      <c r="I80" s="708">
        <v>0.52</v>
      </c>
      <c r="J80" s="570">
        <v>5.1550000000000002</v>
      </c>
      <c r="K80" s="865">
        <f>IF($J80="","",IF(IFERROR(INDEX(Settings!$AK$14:$AK$32,MATCH((((ROUND($H80,6)*2)*1000000)+ROUND($I80,6)),Settings!$AI$14:$AI$32,0)),"Undefined")="Undefined","Undefined",IFERROR(INDEX(_xlfn.ANCHORARRAY(Settings!$BC$14),MATCH(IFERROR(INDEX(Settings!$AK$14:$AK$32,MATCH((((ROUND($H80,6)*2)*1000000)+ROUND($I80,6)),Settings!$AI$14:$AI$32,0)),"Undefined"),_xlfn.ANCHORARRAY(Settings!$BC$14),0)),"Inactive")))</f>
        <v>1313</v>
      </c>
      <c r="L80" s="320"/>
      <c r="M80" s="168">
        <f t="shared" si="464"/>
        <v>5.1550000000000002</v>
      </c>
      <c r="N80" s="632">
        <f t="shared" si="465"/>
        <v>-5.562681955978598</v>
      </c>
      <c r="O80" s="629">
        <f t="shared" si="466"/>
        <v>-2.082788110667118</v>
      </c>
      <c r="P80" s="633">
        <f t="shared" si="467"/>
        <v>-3.5606107388019885</v>
      </c>
      <c r="Q80" s="585">
        <f t="shared" si="520"/>
        <v>200.52698404187794</v>
      </c>
      <c r="R80" s="629">
        <f t="shared" si="79"/>
        <v>5.9398179144908294</v>
      </c>
      <c r="S80" s="634">
        <f t="shared" si="80"/>
        <v>-3.5606107388019885</v>
      </c>
      <c r="T80" s="635">
        <f t="shared" si="81"/>
        <v>-2.0832735382426129</v>
      </c>
      <c r="U80" s="629">
        <f t="shared" si="82"/>
        <v>5.5625001772731917</v>
      </c>
      <c r="V80" s="636">
        <f t="shared" si="114"/>
        <v>-3.5606107388019885</v>
      </c>
      <c r="W80" s="585">
        <f t="shared" si="645"/>
        <v>110.53198404115602</v>
      </c>
      <c r="X80" s="629">
        <f t="shared" si="83"/>
        <v>5.9398179144908294</v>
      </c>
      <c r="Y80" s="630">
        <f t="shared" si="644"/>
        <v>-3.5606107388019885</v>
      </c>
      <c r="Z80" s="632">
        <f t="shared" si="468"/>
        <v>0.2499239317275958</v>
      </c>
      <c r="AA80" s="629">
        <f t="shared" si="469"/>
        <v>0.96826547410811004</v>
      </c>
      <c r="AB80" s="629">
        <f t="shared" si="470"/>
        <v>-1.3008419225801865E-7</v>
      </c>
      <c r="AC80" s="636">
        <f t="shared" si="84"/>
        <v>1</v>
      </c>
      <c r="AD80" s="637">
        <f t="shared" si="115"/>
        <v>0.2499239317275958</v>
      </c>
      <c r="AE80" s="629">
        <f t="shared" si="85"/>
        <v>0.96826547410811004</v>
      </c>
      <c r="AF80" s="633">
        <f t="shared" si="86"/>
        <v>-1.3008419225801865E-7</v>
      </c>
      <c r="AG80" s="602">
        <f t="shared" si="87"/>
        <v>89.9999923024466</v>
      </c>
      <c r="AH80" s="603">
        <f t="shared" si="88"/>
        <v>75.526989095252759</v>
      </c>
      <c r="AI80" s="585">
        <f t="shared" si="89"/>
        <v>-89.999992546724798</v>
      </c>
      <c r="AJ80" s="586">
        <f t="shared" si="90"/>
        <v>165.52698909525265</v>
      </c>
      <c r="AK80" s="635">
        <f t="shared" si="211"/>
        <v>0.81915209487729179</v>
      </c>
      <c r="AL80" s="629">
        <f t="shared" si="91"/>
        <v>-0.57357636410344481</v>
      </c>
      <c r="AM80" s="634">
        <f t="shared" si="92"/>
        <v>-1.3008419225801865E-7</v>
      </c>
      <c r="AN80" s="581">
        <f t="shared" si="93"/>
        <v>-89.999987005609611</v>
      </c>
      <c r="AO80" s="582">
        <f t="shared" si="461"/>
        <v>34.999994946625968</v>
      </c>
      <c r="AP80" s="585">
        <f t="shared" si="95"/>
        <v>-34.999994946625293</v>
      </c>
      <c r="AQ80" s="586">
        <f t="shared" si="471"/>
        <v>0.38379838694863389</v>
      </c>
      <c r="AS80" s="52">
        <f t="shared" si="543"/>
        <v>-249.46801595884398</v>
      </c>
      <c r="AT80" s="72">
        <f t="shared" si="472"/>
        <v>-3.3873655888310705</v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>
        <f t="shared" si="643"/>
        <v>5.1550000000000002</v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IFERROR(ROUND(VALUE(IF($IH80&lt;1,$IH80+LARGE((IF($M$9:$M$150="",0,$M$9:$M$150)-MOD(IF($M$9:$M$150="",0,$M$9:$M$150),1)),1),$IH80)),4),"")</f>
        <v/>
      </c>
      <c r="IJ80" s="533">
        <f t="shared" si="542"/>
        <v>1313</v>
      </c>
      <c r="IK80" s="533" t="str">
        <f t="shared" si="517"/>
        <v/>
      </c>
      <c r="IL80" s="727" t="str">
        <f t="shared" si="225"/>
        <v/>
      </c>
      <c r="IM80" s="759"/>
      <c r="IN80" s="5" t="str">
        <f t="shared" si="226"/>
        <v/>
      </c>
      <c r="IO80" s="771"/>
      <c r="IP80" s="9" t="str">
        <f t="shared" si="227"/>
        <v/>
      </c>
      <c r="IQ80" s="5" t="str">
        <f t="shared" si="228"/>
        <v/>
      </c>
      <c r="IR80" s="5" t="str">
        <f t="shared" si="518"/>
        <v/>
      </c>
      <c r="IS80" s="5" t="str">
        <f t="shared" si="229"/>
        <v/>
      </c>
      <c r="IT80" s="727" t="str">
        <f t="shared" si="230"/>
        <v/>
      </c>
      <c r="IU80" s="9" t="str">
        <f t="shared" si="231"/>
        <v/>
      </c>
      <c r="IV80" s="5" t="str">
        <f t="shared" si="232"/>
        <v/>
      </c>
      <c r="IW80" s="5" t="str">
        <f t="shared" si="519"/>
        <v/>
      </c>
      <c r="IX80" s="5" t="str">
        <f t="shared" si="233"/>
        <v/>
      </c>
      <c r="IY80" s="762" t="str">
        <f t="shared" si="234"/>
        <v/>
      </c>
    </row>
    <row r="81" spans="1:259" ht="15" customHeight="1" x14ac:dyDescent="0.25">
      <c r="A81" s="79"/>
      <c r="B81" s="707">
        <v>-2.1888338429637431</v>
      </c>
      <c r="C81" s="708">
        <v>3.5493591790686306E-2</v>
      </c>
      <c r="D81" s="709">
        <v>-0.29589995249381862</v>
      </c>
      <c r="E81" s="710">
        <v>0.25878498330542349</v>
      </c>
      <c r="F81" s="708">
        <v>-4.1966205293007064E-3</v>
      </c>
      <c r="G81" s="711">
        <v>0.96592583607218252</v>
      </c>
      <c r="H81" s="710">
        <v>0.26250000000000001</v>
      </c>
      <c r="I81" s="708">
        <v>0.40699999999999997</v>
      </c>
      <c r="J81" s="570">
        <v>5.2089999999999996</v>
      </c>
      <c r="K81" s="865" t="str">
        <f>IF($J81="","",IF(IFERROR(INDEX(Settings!$AK$14:$AK$32,MATCH((((ROUND($H81,6)*2)*1000000)+ROUND($I81,6)),Settings!$AI$14:$AI$32,0)),"Undefined")="Undefined","Undefined",IFERROR(INDEX(_xlfn.ANCHORARRAY(Settings!$BC$14),MATCH(IFERROR(INDEX(Settings!$AK$14:$AK$32,MATCH((((ROUND($H81,6)*2)*1000000)+ROUND($I81,6)),Settings!$AI$14:$AI$32,0)),"Undefined"),_xlfn.ANCHORARRAY(Settings!$BC$14),0)),"Inactive")))</f>
        <v>Inactive</v>
      </c>
      <c r="L81" s="320"/>
      <c r="M81" s="168">
        <f t="shared" si="464"/>
        <v>5.2089999999999996</v>
      </c>
      <c r="N81" s="632">
        <f t="shared" si="465"/>
        <v>-2.1888338429637431</v>
      </c>
      <c r="O81" s="629">
        <f t="shared" si="466"/>
        <v>3.5493591790686306E-2</v>
      </c>
      <c r="P81" s="633">
        <f t="shared" si="467"/>
        <v>-0.29589995249381862</v>
      </c>
      <c r="Q81" s="585">
        <f t="shared" si="520"/>
        <v>179.07098713974059</v>
      </c>
      <c r="R81" s="629">
        <f t="shared" si="79"/>
        <v>2.1891216017301627</v>
      </c>
      <c r="S81" s="634">
        <f t="shared" si="80"/>
        <v>-0.29589995249381862</v>
      </c>
      <c r="T81" s="635">
        <f t="shared" si="81"/>
        <v>3.5302579896664285E-2</v>
      </c>
      <c r="U81" s="629">
        <f t="shared" si="82"/>
        <v>2.1888369320290337</v>
      </c>
      <c r="V81" s="636">
        <f t="shared" si="114"/>
        <v>-0.29589995249381862</v>
      </c>
      <c r="W81" s="585">
        <f t="shared" si="645"/>
        <v>89.075987139018679</v>
      </c>
      <c r="X81" s="629">
        <f t="shared" si="83"/>
        <v>2.1891216017301627</v>
      </c>
      <c r="Y81" s="630">
        <f t="shared" si="644"/>
        <v>-0.29589995249381862</v>
      </c>
      <c r="Z81" s="632">
        <f t="shared" si="468"/>
        <v>-0.25878498330542349</v>
      </c>
      <c r="AA81" s="629">
        <f t="shared" si="469"/>
        <v>4.1966205293007064E-3</v>
      </c>
      <c r="AB81" s="629">
        <f t="shared" si="470"/>
        <v>-0.96592583607218252</v>
      </c>
      <c r="AC81" s="636">
        <f t="shared" si="84"/>
        <v>1</v>
      </c>
      <c r="AD81" s="637">
        <f t="shared" si="115"/>
        <v>-0.25878498330542349</v>
      </c>
      <c r="AE81" s="629">
        <f t="shared" si="85"/>
        <v>4.1966205293007064E-3</v>
      </c>
      <c r="AF81" s="633">
        <f t="shared" si="86"/>
        <v>-0.96592583607218252</v>
      </c>
      <c r="AG81" s="602">
        <f t="shared" si="87"/>
        <v>0.24892918552876925</v>
      </c>
      <c r="AH81" s="603">
        <f t="shared" si="88"/>
        <v>104.99797956743306</v>
      </c>
      <c r="AI81" s="585">
        <f t="shared" si="89"/>
        <v>-14.999997834273763</v>
      </c>
      <c r="AJ81" s="586">
        <f t="shared" si="90"/>
        <v>-90.929063066735608</v>
      </c>
      <c r="AK81" s="635">
        <f t="shared" si="211"/>
        <v>2.2679489670995867E-7</v>
      </c>
      <c r="AL81" s="629">
        <f t="shared" si="91"/>
        <v>0.25881900859133938</v>
      </c>
      <c r="AM81" s="634">
        <f t="shared" si="92"/>
        <v>-0.96592583607218252</v>
      </c>
      <c r="AN81" s="581">
        <f t="shared" si="93"/>
        <v>14.999997834268274</v>
      </c>
      <c r="AO81" s="582">
        <f t="shared" si="461"/>
        <v>0</v>
      </c>
      <c r="AP81" s="585">
        <f t="shared" si="95"/>
        <v>89.999949793523797</v>
      </c>
      <c r="AQ81" s="586">
        <f t="shared" si="471"/>
        <v>1.0412741075777299</v>
      </c>
      <c r="AS81" s="52">
        <f t="shared" si="543"/>
        <v>-270.92401286098129</v>
      </c>
      <c r="AT81" s="72">
        <f t="shared" si="472"/>
        <v>-0.10775480467419404</v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>Nose</v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>
        <f t="shared" si="643"/>
        <v>5.2089999999999996</v>
      </c>
      <c r="IH81" s="731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>5.109</v>
      </c>
      <c r="II81" s="734" cm="1">
        <f t="array" ref="II81">IFERROR(ROUND(VALUE(IF($IH81&lt;1,$IH81+LARGE((IF($M$9:$M$150="",0,$M$9:$M$150)-MOD(IF($M$9:$M$150="",0,$M$9:$M$150),1)),1),$IH81)),4),"")</f>
        <v>5.109</v>
      </c>
      <c r="IJ81" s="533">
        <f t="shared" si="542"/>
        <v>1613</v>
      </c>
      <c r="IK81" s="533" t="str">
        <f t="shared" si="517"/>
        <v>Inactive</v>
      </c>
      <c r="IL81" s="727">
        <f t="shared" ref="IL81:IL144" si="647">IF(ISNUMBER($II81),IFERROR(IF(INDEX($W$9:$W$150,MATCH($II81,$M$9:$M$150,0))&lt;$W81,((INDEX($W$9:$W$150,MATCH($II81,$M$9:$M$150,0))+360)-$W81),INDEX($W$9:$W$150,MATCH($II81,$M$9:$M$150,0))-$W81),""),"")</f>
        <v>25.92899625631614</v>
      </c>
      <c r="IM81" s="759">
        <v>4.3364096735819098E-2</v>
      </c>
      <c r="IN81" s="5">
        <f t="shared" ref="IN81:IN144" si="648">IF(ISNUMBER($II81),(($IO81*12)/60)/$AS$3,"")</f>
        <v>0.76</v>
      </c>
      <c r="IO81" s="771">
        <v>380</v>
      </c>
      <c r="IP81" s="9">
        <f t="shared" ref="IP81:IP144" si="649">IF(ISNUMBER($II81),(INDEX($X$9:$X$150,MATCH($II81,$M$9:$M$150,0))*-1),"")</f>
        <v>-2.1993066331088058</v>
      </c>
      <c r="IQ81" s="5">
        <f t="shared" ref="IQ81:IQ144" si="650">IF(ISNUMBER($II81),INDEX($Y$9:$Y$150,MATCH($II81,$M$9:$M$150,0)),"")</f>
        <v>-0.28010084478414793</v>
      </c>
      <c r="IR81" s="5">
        <f t="shared" si="518"/>
        <v>0.314</v>
      </c>
      <c r="IS81" s="5">
        <f t="shared" ref="IS81:IS144" si="651">IF(ISNUMBER($II81),$IR81*COS(RADIANS(INDEX($AO$9:$AO$150,MATCH($II81,$M$9:$M$150,0)))),"")</f>
        <v>0.30330071252667318</v>
      </c>
      <c r="IT81" s="727">
        <f t="shared" ref="IT81:IT144" si="652">IF(ISNUMBER($II81),(-1*INDEX($AN$9:$AN$150,MATCH($II81,$M$9:$M$150,0))),"")</f>
        <v>-14.999997834268207</v>
      </c>
      <c r="IU81" s="9">
        <f t="shared" ref="IU81:IU144" si="653">IF(ISNUMBER($II81),-$X81,"")</f>
        <v>-2.1891216017301627</v>
      </c>
      <c r="IV81" s="5">
        <f t="shared" ref="IV81:IV144" si="654">IF(ISNUMBER($II81),$Y81,"")</f>
        <v>-0.29589995249381862</v>
      </c>
      <c r="IW81" s="5">
        <f t="shared" si="519"/>
        <v>0.26250000000000001</v>
      </c>
      <c r="IX81" s="5">
        <f t="shared" ref="IX81:IX144" si="655">IF(ISNUMBER($II81),$IW81*COS(RADIANS($AO81)),"")</f>
        <v>0.26250000000000001</v>
      </c>
      <c r="IY81" s="762">
        <f t="shared" ref="IY81:IY144" si="656">IF(ISNUMBER($II81),(-1*$AN81),"")</f>
        <v>-14.999997834268274</v>
      </c>
    </row>
    <row r="82" spans="1:259" ht="15" customHeight="1" x14ac:dyDescent="0.25">
      <c r="A82" s="79"/>
      <c r="B82" s="707">
        <v>-2.9213934705753872</v>
      </c>
      <c r="C82" s="708">
        <v>-0.18891734860446913</v>
      </c>
      <c r="D82" s="709">
        <v>-0.11267742584444346</v>
      </c>
      <c r="E82" s="710">
        <v>0.10431058727155974</v>
      </c>
      <c r="F82" s="708">
        <v>6.7452110905862461E-3</v>
      </c>
      <c r="G82" s="711">
        <v>0.99452189694868243</v>
      </c>
      <c r="H82" s="710">
        <v>0.26250000000000001</v>
      </c>
      <c r="I82" s="708">
        <v>0.40699999999999997</v>
      </c>
      <c r="J82" s="570">
        <v>5.2130000000000001</v>
      </c>
      <c r="K82" s="865" t="str">
        <f>IF($J82="","",IF(IFERROR(INDEX(Settings!$AK$14:$AK$32,MATCH((((ROUND($H82,6)*2)*1000000)+ROUND($I82,6)),Settings!$AI$14:$AI$32,0)),"Undefined")="Undefined","Undefined",IFERROR(INDEX(_xlfn.ANCHORARRAY(Settings!$BC$14),MATCH(IFERROR(INDEX(Settings!$AK$14:$AK$32,MATCH((((ROUND($H82,6)*2)*1000000)+ROUND($I82,6)),Settings!$AI$14:$AI$32,0)),"Undefined"),_xlfn.ANCHORARRAY(Settings!$BC$14),0)),"Inactive")))</f>
        <v>Inactive</v>
      </c>
      <c r="L82" s="320"/>
      <c r="M82" s="168">
        <f t="shared" si="464"/>
        <v>5.2130000000000001</v>
      </c>
      <c r="N82" s="632">
        <f t="shared" si="465"/>
        <v>-2.9213934705753872</v>
      </c>
      <c r="O82" s="629">
        <f t="shared" si="466"/>
        <v>-0.18891734860446913</v>
      </c>
      <c r="P82" s="633">
        <f t="shared" si="467"/>
        <v>-0.11267742584444346</v>
      </c>
      <c r="Q82" s="585">
        <f t="shared" si="520"/>
        <v>183.69998647139579</v>
      </c>
      <c r="R82" s="629">
        <f t="shared" si="79"/>
        <v>2.9274954439801011</v>
      </c>
      <c r="S82" s="634">
        <f t="shared" si="80"/>
        <v>-0.11267742584444346</v>
      </c>
      <c r="T82" s="635">
        <f t="shared" si="81"/>
        <v>-0.18917228752203202</v>
      </c>
      <c r="U82" s="629">
        <f t="shared" si="82"/>
        <v>2.9213769733052137</v>
      </c>
      <c r="V82" s="636">
        <f t="shared" si="114"/>
        <v>-0.11267742584444346</v>
      </c>
      <c r="W82" s="585">
        <f t="shared" si="645"/>
        <v>93.704986470673873</v>
      </c>
      <c r="X82" s="629">
        <f t="shared" si="83"/>
        <v>2.9274954439801011</v>
      </c>
      <c r="Y82" s="630">
        <f t="shared" si="644"/>
        <v>-0.11267742584444346</v>
      </c>
      <c r="Z82" s="632">
        <f t="shared" si="468"/>
        <v>-0.10431058727155974</v>
      </c>
      <c r="AA82" s="629">
        <f t="shared" si="469"/>
        <v>-6.7452110905862461E-3</v>
      </c>
      <c r="AB82" s="629">
        <f t="shared" si="470"/>
        <v>-0.99452189694868243</v>
      </c>
      <c r="AC82" s="636">
        <f t="shared" si="84"/>
        <v>1</v>
      </c>
      <c r="AD82" s="637">
        <f t="shared" si="115"/>
        <v>-0.10431058727155974</v>
      </c>
      <c r="AE82" s="629">
        <f t="shared" si="85"/>
        <v>-6.7452110905862461E-3</v>
      </c>
      <c r="AF82" s="633">
        <f t="shared" si="86"/>
        <v>-0.99452189694868243</v>
      </c>
      <c r="AG82" s="602">
        <f t="shared" si="87"/>
        <v>-0.38859496487360884</v>
      </c>
      <c r="AH82" s="603">
        <f t="shared" si="88"/>
        <v>95.987448007454987</v>
      </c>
      <c r="AI82" s="585">
        <f t="shared" si="89"/>
        <v>-5.999999133721337</v>
      </c>
      <c r="AJ82" s="586">
        <f t="shared" si="90"/>
        <v>-86.300137842995341</v>
      </c>
      <c r="AK82" s="635">
        <f t="shared" si="211"/>
        <v>2.2679489671689756E-7</v>
      </c>
      <c r="AL82" s="629">
        <f t="shared" si="91"/>
        <v>0.10452844823081807</v>
      </c>
      <c r="AM82" s="634">
        <f t="shared" si="92"/>
        <v>-0.99452189694868243</v>
      </c>
      <c r="AN82" s="581">
        <f t="shared" si="93"/>
        <v>5.9999991337073073</v>
      </c>
      <c r="AO82" s="582">
        <f t="shared" si="461"/>
        <v>0</v>
      </c>
      <c r="AP82" s="585">
        <f t="shared" si="95"/>
        <v>89.999875685608885</v>
      </c>
      <c r="AQ82" s="586">
        <f t="shared" si="471"/>
        <v>0.77868140745853731</v>
      </c>
      <c r="AS82" s="52">
        <f t="shared" si="543"/>
        <v>-266.29501352932613</v>
      </c>
      <c r="AT82" s="72">
        <f t="shared" si="472"/>
        <v>7.2253139105976139E-2</v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>Nose</v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>
        <f t="shared" si="643"/>
        <v>5.2130000000000001</v>
      </c>
      <c r="IH82" s="731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>5.1130000000000004</v>
      </c>
      <c r="II82" s="734" cm="1">
        <f t="array" ref="II82">IFERROR(ROUND(VALUE(IF($IH82&lt;1,$IH82+LARGE((IF($M$9:$M$150="",0,$M$9:$M$150)-MOD(IF($M$9:$M$150="",0,$M$9:$M$150),1)),1),$IH82)),4),"")</f>
        <v>5.1130000000000004</v>
      </c>
      <c r="IJ82" s="533">
        <f t="shared" si="542"/>
        <v>1613</v>
      </c>
      <c r="IK82" s="533" t="str">
        <f t="shared" si="517"/>
        <v>Inactive</v>
      </c>
      <c r="IL82" s="727">
        <f t="shared" si="647"/>
        <v>21.071996957580069</v>
      </c>
      <c r="IM82" s="759">
        <v>4.9464625716678097E-2</v>
      </c>
      <c r="IN82" s="5">
        <f t="shared" si="648"/>
        <v>0.84</v>
      </c>
      <c r="IO82" s="771">
        <v>420</v>
      </c>
      <c r="IP82" s="9">
        <f t="shared" si="649"/>
        <v>-2.9316088417322672</v>
      </c>
      <c r="IQ82" s="5">
        <f t="shared" si="650"/>
        <v>-0.10340031185534057</v>
      </c>
      <c r="IR82" s="5">
        <f t="shared" si="518"/>
        <v>0.314</v>
      </c>
      <c r="IS82" s="5">
        <f t="shared" si="651"/>
        <v>0.30309350739799351</v>
      </c>
      <c r="IT82" s="727">
        <f t="shared" si="652"/>
        <v>2.1320061067196496</v>
      </c>
      <c r="IU82" s="9">
        <f t="shared" si="653"/>
        <v>-2.9274954439801011</v>
      </c>
      <c r="IV82" s="5">
        <f t="shared" si="654"/>
        <v>-0.11267742584444346</v>
      </c>
      <c r="IW82" s="5">
        <f t="shared" si="519"/>
        <v>0.26250000000000001</v>
      </c>
      <c r="IX82" s="5">
        <f t="shared" si="655"/>
        <v>0.26250000000000001</v>
      </c>
      <c r="IY82" s="762">
        <f t="shared" si="656"/>
        <v>-5.9999991337073073</v>
      </c>
    </row>
    <row r="83" spans="1:259" ht="15" customHeight="1" x14ac:dyDescent="0.25">
      <c r="A83" s="79"/>
      <c r="B83" s="707">
        <v>-3.6716571997095198</v>
      </c>
      <c r="C83" s="708">
        <v>-0.37003920847914423</v>
      </c>
      <c r="D83" s="709">
        <v>-0.11895500736059988</v>
      </c>
      <c r="E83" s="710">
        <v>-0.12504604801610114</v>
      </c>
      <c r="F83" s="708">
        <v>-1.2602695471245168E-2</v>
      </c>
      <c r="G83" s="711">
        <v>0.99207089360711209</v>
      </c>
      <c r="H83" s="710">
        <v>0.26250000000000001</v>
      </c>
      <c r="I83" s="708">
        <v>0.40699999999999997</v>
      </c>
      <c r="J83" s="570">
        <v>5.2190000000000003</v>
      </c>
      <c r="K83" s="865" t="str">
        <f>IF($J83="","",IF(IFERROR(INDEX(Settings!$AK$14:$AK$32,MATCH((((ROUND($H83,6)*2)*1000000)+ROUND($I83,6)),Settings!$AI$14:$AI$32,0)),"Undefined")="Undefined","Undefined",IFERROR(INDEX(_xlfn.ANCHORARRAY(Settings!$BC$14),MATCH(IFERROR(INDEX(Settings!$AK$14:$AK$32,MATCH((((ROUND($H83,6)*2)*1000000)+ROUND($I83,6)),Settings!$AI$14:$AI$32,0)),"Undefined"),_xlfn.ANCHORARRAY(Settings!$BC$14),0)),"Inactive")))</f>
        <v>Inactive</v>
      </c>
      <c r="L83" s="320"/>
      <c r="M83" s="168">
        <f t="shared" si="464"/>
        <v>5.2190000000000003</v>
      </c>
      <c r="N83" s="632">
        <f t="shared" si="465"/>
        <v>-3.6716571997095198</v>
      </c>
      <c r="O83" s="629">
        <f t="shared" si="466"/>
        <v>-0.37003920847914423</v>
      </c>
      <c r="P83" s="633">
        <f t="shared" si="467"/>
        <v>-0.11895500736059988</v>
      </c>
      <c r="Q83" s="585">
        <f t="shared" si="520"/>
        <v>185.75498617469054</v>
      </c>
      <c r="R83" s="629">
        <f t="shared" si="79"/>
        <v>3.6902568485121225</v>
      </c>
      <c r="S83" s="634">
        <f t="shared" si="80"/>
        <v>-0.11895500736059988</v>
      </c>
      <c r="T83" s="635">
        <f t="shared" si="81"/>
        <v>-0.37035961955916857</v>
      </c>
      <c r="U83" s="629">
        <f t="shared" si="82"/>
        <v>3.6716248937208453</v>
      </c>
      <c r="V83" s="636">
        <f t="shared" si="114"/>
        <v>-0.11895500736059988</v>
      </c>
      <c r="W83" s="585">
        <f t="shared" si="645"/>
        <v>95.759986173968628</v>
      </c>
      <c r="X83" s="629">
        <f t="shared" si="83"/>
        <v>3.6902568485121225</v>
      </c>
      <c r="Y83" s="630">
        <f t="shared" si="644"/>
        <v>-0.11895500736059988</v>
      </c>
      <c r="Z83" s="632">
        <f t="shared" si="468"/>
        <v>0.12504604801610114</v>
      </c>
      <c r="AA83" s="629">
        <f t="shared" si="469"/>
        <v>1.2602695471245168E-2</v>
      </c>
      <c r="AB83" s="629">
        <f t="shared" si="470"/>
        <v>-0.99207089360711209</v>
      </c>
      <c r="AC83" s="636">
        <f t="shared" si="84"/>
        <v>1</v>
      </c>
      <c r="AD83" s="637">
        <f t="shared" si="115"/>
        <v>0.12504604801610114</v>
      </c>
      <c r="AE83" s="629">
        <f t="shared" si="85"/>
        <v>1.2602695471245168E-2</v>
      </c>
      <c r="AF83" s="633">
        <f t="shared" si="86"/>
        <v>-0.99207089360711209</v>
      </c>
      <c r="AG83" s="602">
        <f t="shared" si="87"/>
        <v>0.72781333167176476</v>
      </c>
      <c r="AH83" s="603">
        <f t="shared" si="88"/>
        <v>82.816584996887016</v>
      </c>
      <c r="AI83" s="585">
        <f t="shared" si="89"/>
        <v>-7.2199989575727672</v>
      </c>
      <c r="AJ83" s="586">
        <f t="shared" si="90"/>
        <v>95.755089567751455</v>
      </c>
      <c r="AK83" s="635">
        <f t="shared" si="211"/>
        <v>2.2679489667873365E-7</v>
      </c>
      <c r="AL83" s="629">
        <f t="shared" si="91"/>
        <v>-0.12567952123371007</v>
      </c>
      <c r="AM83" s="634">
        <f t="shared" si="92"/>
        <v>-0.99207089360711209</v>
      </c>
      <c r="AN83" s="581">
        <f t="shared" si="93"/>
        <v>-7.2199989575611294</v>
      </c>
      <c r="AO83" s="582">
        <f t="shared" si="461"/>
        <v>0</v>
      </c>
      <c r="AP83" s="585">
        <f t="shared" si="95"/>
        <v>-89.999896606939089</v>
      </c>
      <c r="AQ83" s="586">
        <f t="shared" si="471"/>
        <v>0.61774515688582288</v>
      </c>
      <c r="AS83" s="52">
        <f t="shared" si="543"/>
        <v>-264.24001382603137</v>
      </c>
      <c r="AT83" s="72">
        <f t="shared" si="472"/>
        <v>6.4548474462531702E-2</v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>Nose</v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>
        <f t="shared" si="643"/>
        <v>5.2190000000000003</v>
      </c>
      <c r="IH83" s="731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>5.1189999999999998</v>
      </c>
      <c r="II83" s="734" cm="1">
        <f t="array" ref="II83">IFERROR(ROUND(VALUE(IF($IH83&lt;1,$IH83+LARGE((IF($M$9:$M$150="",0,$M$9:$M$150)-MOD(IF($M$9:$M$150="",0,$M$9:$M$150),1)),1),$IH83)),4),"")</f>
        <v>5.1189999999999998</v>
      </c>
      <c r="IJ83" s="533">
        <f t="shared" si="542"/>
        <v>1613</v>
      </c>
      <c r="IK83" s="533" t="str">
        <f>IF(ISNUMBER($II83),INDEX($K$9:$K$150,MATCH($IG83,$M$9:$M$150,0)),"")</f>
        <v>Inactive</v>
      </c>
      <c r="IL83" s="727">
        <f>IF(ISNUMBER($II83),IFERROR(IF(INDEX($W$9:$W$150,MATCH($II83,$M$9:$M$150,0))&lt;$W83,((INDEX($W$9:$W$150,MATCH($II83,$M$9:$M$150,0))+360)-$W83),INDEX($W$9:$W$150,MATCH($II83,$M$9:$M$150,0))-$W83),""),"")</f>
        <v>18.26499736286064</v>
      </c>
      <c r="IM83" s="759">
        <v>4.2313936881892202E-2</v>
      </c>
      <c r="IN83" s="5">
        <f t="shared" si="648"/>
        <v>0.9</v>
      </c>
      <c r="IO83" s="771">
        <v>450</v>
      </c>
      <c r="IP83" s="9">
        <f t="shared" si="649"/>
        <v>-3.6853111148983229</v>
      </c>
      <c r="IQ83" s="5">
        <f t="shared" si="650"/>
        <v>-0.11270033990422518</v>
      </c>
      <c r="IR83" s="5">
        <f t="shared" si="518"/>
        <v>0.314</v>
      </c>
      <c r="IS83" s="5">
        <f t="shared" si="651"/>
        <v>0.30237526616376514</v>
      </c>
      <c r="IT83" s="727">
        <f t="shared" si="652"/>
        <v>24.051588334262071</v>
      </c>
      <c r="IU83" s="9">
        <f t="shared" si="653"/>
        <v>-3.6902568485121225</v>
      </c>
      <c r="IV83" s="5">
        <f t="shared" si="654"/>
        <v>-0.11895500736059988</v>
      </c>
      <c r="IW83" s="5">
        <f t="shared" si="519"/>
        <v>0.26250000000000001</v>
      </c>
      <c r="IX83" s="5">
        <f t="shared" si="655"/>
        <v>0.26250000000000001</v>
      </c>
      <c r="IY83" s="762">
        <f t="shared" si="656"/>
        <v>7.2199989575611294</v>
      </c>
    </row>
    <row r="84" spans="1:259" ht="15" customHeight="1" x14ac:dyDescent="0.25">
      <c r="A84" s="79"/>
      <c r="B84" s="707">
        <v>-4.341192981420634</v>
      </c>
      <c r="C84" s="708">
        <v>-0.83715958320271544</v>
      </c>
      <c r="D84" s="709">
        <v>-0.30070866036761945</v>
      </c>
      <c r="E84" s="710">
        <v>-6.250227032183453E-2</v>
      </c>
      <c r="F84" s="708">
        <v>-0.92918007069184927</v>
      </c>
      <c r="G84" s="711">
        <v>0.36430462861965734</v>
      </c>
      <c r="H84" s="710">
        <v>0.26600000000000001</v>
      </c>
      <c r="I84" s="708">
        <v>0.52</v>
      </c>
      <c r="J84" s="570">
        <v>5.2249999999999996</v>
      </c>
      <c r="K84" s="865">
        <f>IF($J84="","",IF(IFERROR(INDEX(Settings!$AK$14:$AK$32,MATCH((((ROUND($H84,6)*2)*1000000)+ROUND($I84,6)),Settings!$AI$14:$AI$32,0)),"Undefined")="Undefined","Undefined",IFERROR(INDEX(_xlfn.ANCHORARRAY(Settings!$BC$14),MATCH(IFERROR(INDEX(Settings!$AK$14:$AK$32,MATCH((((ROUND($H84,6)*2)*1000000)+ROUND($I84,6)),Settings!$AI$14:$AI$32,0)),"Undefined"),_xlfn.ANCHORARRAY(Settings!$BC$14),0)),"Inactive")))</f>
        <v>1313</v>
      </c>
      <c r="L84" s="320"/>
      <c r="M84" s="168">
        <f t="shared" si="464"/>
        <v>5.2249999999999996</v>
      </c>
      <c r="N84" s="632">
        <f t="shared" si="465"/>
        <v>-4.341192981420634</v>
      </c>
      <c r="O84" s="629">
        <f t="shared" si="466"/>
        <v>-0.83715958320271544</v>
      </c>
      <c r="P84" s="633">
        <f t="shared" si="467"/>
        <v>-0.30070866036761945</v>
      </c>
      <c r="Q84" s="585">
        <f t="shared" si="520"/>
        <v>190.91498542967881</v>
      </c>
      <c r="R84" s="629">
        <f t="shared" si="79"/>
        <v>4.4211754850586873</v>
      </c>
      <c r="S84" s="634">
        <f t="shared" si="80"/>
        <v>-0.30070866036761945</v>
      </c>
      <c r="T84" s="635">
        <f t="shared" si="81"/>
        <v>-0.83753842051482041</v>
      </c>
      <c r="U84" s="629">
        <f t="shared" si="82"/>
        <v>4.3411199089457853</v>
      </c>
      <c r="V84" s="636">
        <f t="shared" si="114"/>
        <v>-0.30070866036761945</v>
      </c>
      <c r="W84" s="585">
        <f t="shared" si="645"/>
        <v>100.91998542895689</v>
      </c>
      <c r="X84" s="629">
        <f t="shared" si="83"/>
        <v>4.4211754850586873</v>
      </c>
      <c r="Y84" s="630">
        <f t="shared" si="644"/>
        <v>-0.30070866036761945</v>
      </c>
      <c r="Z84" s="632">
        <f t="shared" si="468"/>
        <v>6.250227032183453E-2</v>
      </c>
      <c r="AA84" s="629">
        <f t="shared" si="469"/>
        <v>0.92918007069184927</v>
      </c>
      <c r="AB84" s="629">
        <f t="shared" si="470"/>
        <v>-0.36430462861965734</v>
      </c>
      <c r="AC84" s="636">
        <f t="shared" si="84"/>
        <v>1</v>
      </c>
      <c r="AD84" s="637">
        <f t="shared" si="115"/>
        <v>6.250227032183453E-2</v>
      </c>
      <c r="AE84" s="629">
        <f t="shared" si="85"/>
        <v>0.92918007069184927</v>
      </c>
      <c r="AF84" s="633">
        <f t="shared" si="86"/>
        <v>-0.36430462861965734</v>
      </c>
      <c r="AG84" s="602">
        <f t="shared" si="87"/>
        <v>68.591290803557428</v>
      </c>
      <c r="AH84" s="603">
        <f t="shared" si="88"/>
        <v>86.416547966850516</v>
      </c>
      <c r="AI84" s="585">
        <f t="shared" si="89"/>
        <v>-68.635205368866352</v>
      </c>
      <c r="AJ84" s="586">
        <f t="shared" si="90"/>
        <v>176.15173652108939</v>
      </c>
      <c r="AK84" s="635">
        <f t="shared" si="211"/>
        <v>0.90053553410099141</v>
      </c>
      <c r="AL84" s="629">
        <f t="shared" si="91"/>
        <v>-0.23731390475009248</v>
      </c>
      <c r="AM84" s="634">
        <f t="shared" si="92"/>
        <v>-0.36430462861965734</v>
      </c>
      <c r="AN84" s="581">
        <f t="shared" si="93"/>
        <v>-33.080869133542805</v>
      </c>
      <c r="AO84" s="582">
        <f t="shared" si="461"/>
        <v>25.771449667669398</v>
      </c>
      <c r="AP84" s="585">
        <f t="shared" si="95"/>
        <v>-14.763248908589416</v>
      </c>
      <c r="AQ84" s="586">
        <f t="shared" si="471"/>
        <v>0.51562420350243887</v>
      </c>
      <c r="AS84" s="52">
        <f t="shared" si="543"/>
        <v>-259.08001457104308</v>
      </c>
      <c r="AT84" s="72">
        <f t="shared" si="472"/>
        <v>-0.12078851136045196</v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B84" s="872"/>
      <c r="IE84" s="849" t="str">
        <f>IFERROR(IF($IU84="","",IF($IU84&lt;(((Settings!$C$19/2)*-1)*$IE$8),"Taper","Nose")),"")</f>
        <v>Nose</v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>
        <f t="shared" si="643"/>
        <v>5.2249999999999996</v>
      </c>
      <c r="IH84" s="731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>5.125</v>
      </c>
      <c r="II84" s="734" cm="1">
        <f t="array" ref="II84">IFERROR(ROUND(VALUE(IF($IH84&lt;1,$IH84+LARGE((IF($M$9:$M$150="",0,$M$9:$M$150)-MOD(IF($M$9:$M$150="",0,$M$9:$M$150),1)),1),$IH84)),4),"")</f>
        <v>5.125</v>
      </c>
      <c r="IJ84" s="533">
        <f t="shared" si="542"/>
        <v>1613</v>
      </c>
      <c r="IK84" s="533">
        <f t="shared" si="517"/>
        <v>1313</v>
      </c>
      <c r="IL84" s="727">
        <f t="shared" si="647"/>
        <v>12.131998248356183</v>
      </c>
      <c r="IM84" s="759">
        <v>1.27111514795372E-2</v>
      </c>
      <c r="IN84" s="5">
        <f t="shared" si="648"/>
        <v>0.34</v>
      </c>
      <c r="IO84" s="771">
        <v>170</v>
      </c>
      <c r="IP84" s="9">
        <f t="shared" si="649"/>
        <v>-4.4019132761704425</v>
      </c>
      <c r="IQ84" s="5">
        <f t="shared" si="650"/>
        <v>-0.3463010444439501</v>
      </c>
      <c r="IR84" s="5">
        <f t="shared" si="518"/>
        <v>0.314</v>
      </c>
      <c r="IS84" s="5">
        <f t="shared" si="651"/>
        <v>0.30136898858358846</v>
      </c>
      <c r="IT84" s="727">
        <f t="shared" si="652"/>
        <v>41.72130999327819</v>
      </c>
      <c r="IU84" s="9">
        <f t="shared" si="653"/>
        <v>-4.4211754850586873</v>
      </c>
      <c r="IV84" s="5">
        <f t="shared" si="654"/>
        <v>-0.30070866036761945</v>
      </c>
      <c r="IW84" s="5">
        <f t="shared" si="519"/>
        <v>0.26600000000000001</v>
      </c>
      <c r="IX84" s="5">
        <f t="shared" si="655"/>
        <v>0.23954245207086372</v>
      </c>
      <c r="IY84" s="762">
        <f t="shared" si="656"/>
        <v>33.080869133542805</v>
      </c>
    </row>
    <row r="85" spans="1:259" ht="15" customHeight="1" x14ac:dyDescent="0.25">
      <c r="A85" s="79"/>
      <c r="B85" s="707">
        <v>-4.9516173279349625</v>
      </c>
      <c r="C85" s="708">
        <v>-0.97496804652071978</v>
      </c>
      <c r="D85" s="709">
        <v>-0.74010971299887152</v>
      </c>
      <c r="E85" s="710">
        <v>-0.15437646030674648</v>
      </c>
      <c r="F85" s="708">
        <v>-0.93738306875596</v>
      </c>
      <c r="G85" s="711">
        <v>0.31221929939197995</v>
      </c>
      <c r="H85" s="710">
        <v>0.26600000000000001</v>
      </c>
      <c r="I85" s="708">
        <v>0.52</v>
      </c>
      <c r="J85" s="570">
        <v>5.2309999999999999</v>
      </c>
      <c r="K85" s="865">
        <f>IF($J85="","",IF(IFERROR(INDEX(Settings!$AK$14:$AK$32,MATCH((((ROUND($H85,6)*2)*1000000)+ROUND($I85,6)),Settings!$AI$14:$AI$32,0)),"Undefined")="Undefined","Undefined",IFERROR(INDEX(_xlfn.ANCHORARRAY(Settings!$BC$14),MATCH(IFERROR(INDEX(Settings!$AK$14:$AK$32,MATCH((((ROUND($H85,6)*2)*1000000)+ROUND($I85,6)),Settings!$AI$14:$AI$32,0)),"Undefined"),_xlfn.ANCHORARRAY(Settings!$BC$14),0)),"Inactive")))</f>
        <v>1313</v>
      </c>
      <c r="L85" s="320"/>
      <c r="M85" s="168">
        <f t="shared" si="464"/>
        <v>5.2309999999999999</v>
      </c>
      <c r="N85" s="632">
        <f t="shared" si="465"/>
        <v>-4.9516173279349625</v>
      </c>
      <c r="O85" s="629">
        <f t="shared" si="466"/>
        <v>-0.97496804652071978</v>
      </c>
      <c r="P85" s="633">
        <f t="shared" si="467"/>
        <v>-0.74010971299887152</v>
      </c>
      <c r="Q85" s="585">
        <f t="shared" si="520"/>
        <v>191.13898539733722</v>
      </c>
      <c r="R85" s="629">
        <f t="shared" si="79"/>
        <v>5.0466896926641134</v>
      </c>
      <c r="S85" s="634">
        <f t="shared" si="80"/>
        <v>-0.74010971299887152</v>
      </c>
      <c r="T85" s="635">
        <f t="shared" si="81"/>
        <v>-0.97540015287373594</v>
      </c>
      <c r="U85" s="629">
        <f t="shared" si="82"/>
        <v>4.9515322270804312</v>
      </c>
      <c r="V85" s="636">
        <f t="shared" si="114"/>
        <v>-0.74010971299887152</v>
      </c>
      <c r="W85" s="585">
        <f t="shared" si="645"/>
        <v>101.14398539661531</v>
      </c>
      <c r="X85" s="629">
        <f t="shared" si="83"/>
        <v>5.0466896926641134</v>
      </c>
      <c r="Y85" s="630">
        <f t="shared" si="644"/>
        <v>-0.74010971299887152</v>
      </c>
      <c r="Z85" s="632">
        <f t="shared" si="468"/>
        <v>0.15437646030674648</v>
      </c>
      <c r="AA85" s="629">
        <f t="shared" si="469"/>
        <v>0.93738306875596</v>
      </c>
      <c r="AB85" s="629">
        <f t="shared" si="470"/>
        <v>-0.31221929939197995</v>
      </c>
      <c r="AC85" s="636">
        <f t="shared" si="84"/>
        <v>1</v>
      </c>
      <c r="AD85" s="637">
        <f t="shared" si="115"/>
        <v>0.15437646030674648</v>
      </c>
      <c r="AE85" s="629">
        <f t="shared" si="85"/>
        <v>0.93738306875596</v>
      </c>
      <c r="AF85" s="633">
        <f t="shared" si="86"/>
        <v>-0.31221929939197995</v>
      </c>
      <c r="AG85" s="602">
        <f t="shared" si="87"/>
        <v>71.578349612534893</v>
      </c>
      <c r="AH85" s="603">
        <f t="shared" si="88"/>
        <v>81.119365203766122</v>
      </c>
      <c r="AI85" s="585">
        <f t="shared" si="89"/>
        <v>-71.806973210518493</v>
      </c>
      <c r="AJ85" s="586">
        <f t="shared" si="90"/>
        <v>170.64797557874206</v>
      </c>
      <c r="AK85" s="635">
        <f t="shared" si="211"/>
        <v>0.88990019274595311</v>
      </c>
      <c r="AL85" s="629">
        <f t="shared" si="91"/>
        <v>-0.33256090575697062</v>
      </c>
      <c r="AM85" s="634">
        <f t="shared" si="92"/>
        <v>-0.31221929939197995</v>
      </c>
      <c r="AN85" s="581">
        <f t="shared" si="93"/>
        <v>-46.806975075663011</v>
      </c>
      <c r="AO85" s="582">
        <f t="shared" si="461"/>
        <v>27.13929217057964</v>
      </c>
      <c r="AP85" s="585">
        <f t="shared" si="95"/>
        <v>-20.491009818595177</v>
      </c>
      <c r="AQ85" s="586">
        <f t="shared" si="471"/>
        <v>0.45171776689965332</v>
      </c>
      <c r="AS85" s="52">
        <f t="shared" si="543"/>
        <v>-258.85601460338466</v>
      </c>
      <c r="AT85" s="72">
        <f t="shared" si="472"/>
        <v>-0.56034511952480015</v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B85" s="872"/>
      <c r="IE85" s="849" t="str">
        <f>IFERROR(IF($IU85="","",IF($IU85&lt;(((Settings!$C$19/2)*-1)*$IE$8),"Taper","Nose")),"")</f>
        <v>Taper</v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>
        <f t="shared" si="643"/>
        <v>5.2309999999999999</v>
      </c>
      <c r="IH85" s="731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>5.1310000000000002</v>
      </c>
      <c r="II85" s="734" cm="1">
        <f t="array" ref="II85">IFERROR(ROUND(VALUE(IF($IH85&lt;1,$IH85+LARGE((IF($M$9:$M$150="",0,$M$9:$M$150)-MOD(IF($M$9:$M$150="",0,$M$9:$M$150),1)),1),$IH85)),4),"")</f>
        <v>5.1310000000000002</v>
      </c>
      <c r="IJ85" s="533">
        <f t="shared" si="542"/>
        <v>1613</v>
      </c>
      <c r="IK85" s="533">
        <f t="shared" si="517"/>
        <v>1313</v>
      </c>
      <c r="IL85" s="727">
        <f t="shared" si="647"/>
        <v>10.95499841829394</v>
      </c>
      <c r="IM85" s="759">
        <v>1.0432883955667599E-2</v>
      </c>
      <c r="IN85" s="5">
        <f t="shared" si="648"/>
        <v>0.32</v>
      </c>
      <c r="IO85" s="771">
        <v>160</v>
      </c>
      <c r="IP85" s="9">
        <f t="shared" si="649"/>
        <v>-5.0164151295080313</v>
      </c>
      <c r="IQ85" s="5">
        <f t="shared" si="650"/>
        <v>-0.78280236093192068</v>
      </c>
      <c r="IR85" s="5">
        <f t="shared" si="518"/>
        <v>0.314</v>
      </c>
      <c r="IS85" s="5">
        <f t="shared" si="651"/>
        <v>0.29884940130099485</v>
      </c>
      <c r="IT85" s="727">
        <f t="shared" si="652"/>
        <v>56.102349967648045</v>
      </c>
      <c r="IU85" s="9">
        <f t="shared" si="653"/>
        <v>-5.0466896926641134</v>
      </c>
      <c r="IV85" s="5">
        <f t="shared" si="654"/>
        <v>-0.74010971299887152</v>
      </c>
      <c r="IW85" s="5">
        <f t="shared" si="519"/>
        <v>0.26600000000000001</v>
      </c>
      <c r="IX85" s="5">
        <f t="shared" si="655"/>
        <v>0.23671345127042354</v>
      </c>
      <c r="IY85" s="762">
        <f t="shared" si="656"/>
        <v>46.806975075663011</v>
      </c>
    </row>
    <row r="86" spans="1:259" ht="15" customHeight="1" x14ac:dyDescent="0.25">
      <c r="A86" s="79"/>
      <c r="B86" s="707">
        <v>-5.4107842276910958</v>
      </c>
      <c r="C86" s="708">
        <v>-1.0592967751544942</v>
      </c>
      <c r="D86" s="709">
        <v>-1.3450329190312593</v>
      </c>
      <c r="E86" s="710">
        <v>-0.2440265091774283</v>
      </c>
      <c r="F86" s="708">
        <v>-0.9358773175587437</v>
      </c>
      <c r="G86" s="711">
        <v>0.25413521853086218</v>
      </c>
      <c r="H86" s="710">
        <v>0.26600000000000001</v>
      </c>
      <c r="I86" s="708">
        <v>0.52</v>
      </c>
      <c r="J86" s="570">
        <v>5.2370000000000001</v>
      </c>
      <c r="K86" s="865">
        <f>IF($J86="","",IF(IFERROR(INDEX(Settings!$AK$14:$AK$32,MATCH((((ROUND($H86,6)*2)*1000000)+ROUND($I86,6)),Settings!$AI$14:$AI$32,0)),"Undefined")="Undefined","Undefined",IFERROR(INDEX(_xlfn.ANCHORARRAY(Settings!$BC$14),MATCH(IFERROR(INDEX(Settings!$AK$14:$AK$32,MATCH((((ROUND($H86,6)*2)*1000000)+ROUND($I86,6)),Settings!$AI$14:$AI$32,0)),"Undefined"),_xlfn.ANCHORARRAY(Settings!$BC$14),0)),"Inactive")))</f>
        <v>1313</v>
      </c>
      <c r="L86" s="320"/>
      <c r="M86" s="168">
        <f t="shared" si="464"/>
        <v>5.2370000000000001</v>
      </c>
      <c r="N86" s="632">
        <f t="shared" si="465"/>
        <v>-5.4107842276910958</v>
      </c>
      <c r="O86" s="629">
        <f t="shared" si="466"/>
        <v>-1.0592967751544942</v>
      </c>
      <c r="P86" s="633">
        <f t="shared" si="467"/>
        <v>-1.3450329190312593</v>
      </c>
      <c r="Q86" s="585">
        <f t="shared" si="520"/>
        <v>191.07698540628891</v>
      </c>
      <c r="R86" s="629">
        <f t="shared" si="79"/>
        <v>5.513501212159424</v>
      </c>
      <c r="S86" s="634">
        <f t="shared" si="80"/>
        <v>-1.3450329190312593</v>
      </c>
      <c r="T86" s="635">
        <f t="shared" si="81"/>
        <v>-1.059768951051659</v>
      </c>
      <c r="U86" s="629">
        <f t="shared" si="82"/>
        <v>5.4106917660194158</v>
      </c>
      <c r="V86" s="636">
        <f t="shared" si="114"/>
        <v>-1.3450329190312593</v>
      </c>
      <c r="W86" s="585">
        <f t="shared" si="645"/>
        <v>101.081985405567</v>
      </c>
      <c r="X86" s="629">
        <f t="shared" si="83"/>
        <v>5.513501212159424</v>
      </c>
      <c r="Y86" s="630">
        <f t="shared" si="644"/>
        <v>-1.3450329190312593</v>
      </c>
      <c r="Z86" s="632">
        <f t="shared" si="468"/>
        <v>0.2440265091774283</v>
      </c>
      <c r="AA86" s="629">
        <f t="shared" si="469"/>
        <v>0.9358773175587437</v>
      </c>
      <c r="AB86" s="629">
        <f t="shared" si="470"/>
        <v>-0.25413521853086218</v>
      </c>
      <c r="AC86" s="636">
        <f t="shared" si="84"/>
        <v>1</v>
      </c>
      <c r="AD86" s="637">
        <f t="shared" si="115"/>
        <v>0.2440265091774283</v>
      </c>
      <c r="AE86" s="629">
        <f t="shared" si="85"/>
        <v>0.9358773175587437</v>
      </c>
      <c r="AF86" s="633">
        <f t="shared" si="86"/>
        <v>-0.25413521853086218</v>
      </c>
      <c r="AG86" s="602">
        <f t="shared" si="87"/>
        <v>74.80781225281909</v>
      </c>
      <c r="AH86" s="603">
        <f t="shared" si="88"/>
        <v>75.875689244969394</v>
      </c>
      <c r="AI86" s="585">
        <f t="shared" si="89"/>
        <v>-75.277651160838346</v>
      </c>
      <c r="AJ86" s="586">
        <f t="shared" si="90"/>
        <v>165.38574099668617</v>
      </c>
      <c r="AK86" s="635">
        <f t="shared" si="211"/>
        <v>0.87155757290470981</v>
      </c>
      <c r="AL86" s="629">
        <f t="shared" si="91"/>
        <v>-0.41928831108763631</v>
      </c>
      <c r="AM86" s="634">
        <f t="shared" si="92"/>
        <v>-0.25413521853086218</v>
      </c>
      <c r="AN86" s="581">
        <f t="shared" si="93"/>
        <v>-58.779489470163483</v>
      </c>
      <c r="AO86" s="582">
        <f t="shared" si="461"/>
        <v>29.359852914256912</v>
      </c>
      <c r="AP86" s="585">
        <f t="shared" si="95"/>
        <v>-25.691244409602753</v>
      </c>
      <c r="AQ86" s="586">
        <f t="shared" si="471"/>
        <v>0.41347357512528632</v>
      </c>
      <c r="AS86" s="52">
        <f t="shared" si="543"/>
        <v>-258.91801459443298</v>
      </c>
      <c r="AT86" s="72">
        <f t="shared" si="472"/>
        <v>-1.1652252700078489</v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>Taper</v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>
        <f t="shared" si="643"/>
        <v>5.2370000000000001</v>
      </c>
      <c r="IH86" s="731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>5.1369999999999996</v>
      </c>
      <c r="II86" s="734" cm="1">
        <f t="array" ref="II86">IFERROR(ROUND(VALUE(IF($IH86&lt;1,$IH86+LARGE((IF($M$9:$M$150="",0,$M$9:$M$150)-MOD(IF($M$9:$M$150="",0,$M$9:$M$150),1)),1),$IH86)),4),"")</f>
        <v>5.1369999999999996</v>
      </c>
      <c r="IJ86" s="533">
        <f t="shared" si="542"/>
        <v>1613</v>
      </c>
      <c r="IK86" s="533">
        <f t="shared" si="517"/>
        <v>1313</v>
      </c>
      <c r="IL86" s="727">
        <f t="shared" si="647"/>
        <v>10.258998518783869</v>
      </c>
      <c r="IM86" s="759">
        <v>8.3985757688553094E-3</v>
      </c>
      <c r="IN86" s="5">
        <f t="shared" si="648"/>
        <v>0.3</v>
      </c>
      <c r="IO86" s="771">
        <v>150</v>
      </c>
      <c r="IP86" s="9">
        <f t="shared" si="649"/>
        <v>-5.472816506014583</v>
      </c>
      <c r="IQ86" s="5">
        <f t="shared" si="650"/>
        <v>-1.3826041699341767</v>
      </c>
      <c r="IR86" s="5">
        <f t="shared" si="518"/>
        <v>0.314</v>
      </c>
      <c r="IS86" s="5">
        <f t="shared" si="651"/>
        <v>0.29477939122786945</v>
      </c>
      <c r="IT86" s="727">
        <f t="shared" si="652"/>
        <v>67.414174339006962</v>
      </c>
      <c r="IU86" s="9">
        <f t="shared" si="653"/>
        <v>-5.513501212159424</v>
      </c>
      <c r="IV86" s="5">
        <f t="shared" si="654"/>
        <v>-1.3450329190312593</v>
      </c>
      <c r="IW86" s="5">
        <f t="shared" si="519"/>
        <v>0.26600000000000001</v>
      </c>
      <c r="IX86" s="5">
        <f t="shared" si="655"/>
        <v>0.23183431439265281</v>
      </c>
      <c r="IY86" s="762">
        <f t="shared" si="656"/>
        <v>58.779489470163483</v>
      </c>
    </row>
    <row r="87" spans="1:259" ht="15" customHeight="1" x14ac:dyDescent="0.25">
      <c r="A87" s="79"/>
      <c r="B87" s="707">
        <v>-5.6717939067772356</v>
      </c>
      <c r="C87" s="708">
        <v>-1.1000181942287899</v>
      </c>
      <c r="D87" s="709">
        <v>-2.0634761544350169</v>
      </c>
      <c r="E87" s="710">
        <v>-0.31769175252654608</v>
      </c>
      <c r="F87" s="708">
        <v>-0.93078155972789978</v>
      </c>
      <c r="G87" s="711">
        <v>0.18088017704300849</v>
      </c>
      <c r="H87" s="710">
        <v>0.26600000000000001</v>
      </c>
      <c r="I87" s="708">
        <v>0.52</v>
      </c>
      <c r="J87" s="570">
        <v>5.2430000000000003</v>
      </c>
      <c r="K87" s="865">
        <f>IF($J87="","",IF(IFERROR(INDEX(Settings!$AK$14:$AK$32,MATCH((((ROUND($H87,6)*2)*1000000)+ROUND($I87,6)),Settings!$AI$14:$AI$32,0)),"Undefined")="Undefined","Undefined",IFERROR(INDEX(_xlfn.ANCHORARRAY(Settings!$BC$14),MATCH(IFERROR(INDEX(Settings!$AK$14:$AK$32,MATCH((((ROUND($H87,6)*2)*1000000)+ROUND($I87,6)),Settings!$AI$14:$AI$32,0)),"Undefined"),_xlfn.ANCHORARRAY(Settings!$BC$14),0)),"Inactive")))</f>
        <v>1313</v>
      </c>
      <c r="L87" s="320"/>
      <c r="M87" s="168">
        <f t="shared" si="464"/>
        <v>5.2430000000000003</v>
      </c>
      <c r="N87" s="632">
        <f t="shared" si="465"/>
        <v>-5.6717939067772356</v>
      </c>
      <c r="O87" s="629">
        <f t="shared" si="466"/>
        <v>-1.1000181942287899</v>
      </c>
      <c r="P87" s="633">
        <f t="shared" si="467"/>
        <v>-2.0634761544350169</v>
      </c>
      <c r="Q87" s="585">
        <f t="shared" si="520"/>
        <v>190.97598542087152</v>
      </c>
      <c r="R87" s="629">
        <f t="shared" si="79"/>
        <v>5.7774809518153969</v>
      </c>
      <c r="S87" s="634">
        <f t="shared" si="80"/>
        <v>-2.0634761544350169</v>
      </c>
      <c r="T87" s="635">
        <f t="shared" si="81"/>
        <v>-1.1005131473589813</v>
      </c>
      <c r="U87" s="629">
        <f t="shared" si="82"/>
        <v>5.6716978904980273</v>
      </c>
      <c r="V87" s="636">
        <f t="shared" si="114"/>
        <v>-2.0634761544350169</v>
      </c>
      <c r="W87" s="585">
        <f t="shared" si="645"/>
        <v>100.98098542014961</v>
      </c>
      <c r="X87" s="629">
        <f t="shared" si="83"/>
        <v>5.7774809518153969</v>
      </c>
      <c r="Y87" s="630">
        <f t="shared" si="644"/>
        <v>-2.0634761544350169</v>
      </c>
      <c r="Z87" s="632">
        <f t="shared" si="468"/>
        <v>0.31769175252654608</v>
      </c>
      <c r="AA87" s="629">
        <f t="shared" si="469"/>
        <v>0.93078155972789978</v>
      </c>
      <c r="AB87" s="629">
        <f t="shared" si="470"/>
        <v>-0.18088017704300849</v>
      </c>
      <c r="AC87" s="636">
        <f t="shared" si="84"/>
        <v>1</v>
      </c>
      <c r="AD87" s="637">
        <f t="shared" si="115"/>
        <v>0.31769175252654608</v>
      </c>
      <c r="AE87" s="629">
        <f t="shared" si="85"/>
        <v>0.93078155972789978</v>
      </c>
      <c r="AF87" s="633">
        <f t="shared" si="86"/>
        <v>-0.18088017704300849</v>
      </c>
      <c r="AG87" s="602">
        <f t="shared" si="87"/>
        <v>79.002694743081847</v>
      </c>
      <c r="AH87" s="603">
        <f t="shared" si="88"/>
        <v>71.47661084450327</v>
      </c>
      <c r="AI87" s="585">
        <f t="shared" si="89"/>
        <v>-79.578968182911396</v>
      </c>
      <c r="AJ87" s="586">
        <f t="shared" si="90"/>
        <v>161.15434443877905</v>
      </c>
      <c r="AK87" s="635">
        <f t="shared" si="211"/>
        <v>0.85326710934817773</v>
      </c>
      <c r="AL87" s="629">
        <f t="shared" si="91"/>
        <v>-0.48909876472701808</v>
      </c>
      <c r="AM87" s="634">
        <f t="shared" si="92"/>
        <v>-0.18088017704300849</v>
      </c>
      <c r="AN87" s="581">
        <f t="shared" si="93"/>
        <v>-69.704425902355297</v>
      </c>
      <c r="AO87" s="582">
        <f t="shared" si="461"/>
        <v>31.431183451558944</v>
      </c>
      <c r="AP87" s="585">
        <f t="shared" si="95"/>
        <v>-29.821640982092468</v>
      </c>
      <c r="AQ87" s="586">
        <f t="shared" si="471"/>
        <v>0.3945821042654406</v>
      </c>
      <c r="AS87" s="52">
        <f t="shared" si="543"/>
        <v>-259.01901457985036</v>
      </c>
      <c r="AT87" s="72">
        <f t="shared" si="472"/>
        <v>-1.8835983665328444</v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>Taper</v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>
        <f t="shared" si="643"/>
        <v>5.2430000000000003</v>
      </c>
      <c r="IH87" s="731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>5.1429999999999998</v>
      </c>
      <c r="II87" s="734" cm="1">
        <f t="array" ref="II87">IFERROR(ROUND(VALUE(IF($IH87&lt;1,$IH87+LARGE((IF($M$9:$M$150="",0,$M$9:$M$150)-MOD(IF($M$9:$M$150="",0,$M$9:$M$150),1)),1),$IH87)),4),"")</f>
        <v>5.1429999999999998</v>
      </c>
      <c r="IJ87" s="533">
        <f t="shared" si="542"/>
        <v>1613</v>
      </c>
      <c r="IK87" s="533">
        <f t="shared" si="517"/>
        <v>1313</v>
      </c>
      <c r="IL87" s="727">
        <f t="shared" si="647"/>
        <v>9.9169985681625406</v>
      </c>
      <c r="IM87" s="759">
        <v>6.3300205281205399E-3</v>
      </c>
      <c r="IN87" s="5">
        <f t="shared" si="648"/>
        <v>0.3</v>
      </c>
      <c r="IO87" s="771">
        <v>150</v>
      </c>
      <c r="IP87" s="9">
        <f t="shared" si="649"/>
        <v>-5.7306172835417284</v>
      </c>
      <c r="IQ87" s="5">
        <f t="shared" si="650"/>
        <v>-2.0910063064750211</v>
      </c>
      <c r="IR87" s="5">
        <f t="shared" si="518"/>
        <v>0.314</v>
      </c>
      <c r="IS87" s="5">
        <f t="shared" si="651"/>
        <v>0.28684670990727679</v>
      </c>
      <c r="IT87" s="727">
        <f t="shared" si="652"/>
        <v>75.420757086749546</v>
      </c>
      <c r="IU87" s="9">
        <f t="shared" si="653"/>
        <v>-5.7774809518153969</v>
      </c>
      <c r="IV87" s="5">
        <f t="shared" si="654"/>
        <v>-2.0634761544350169</v>
      </c>
      <c r="IW87" s="5">
        <f t="shared" si="519"/>
        <v>0.26600000000000001</v>
      </c>
      <c r="IX87" s="5">
        <f t="shared" si="655"/>
        <v>0.22696905108661528</v>
      </c>
      <c r="IY87" s="762">
        <f t="shared" si="656"/>
        <v>69.704425902355297</v>
      </c>
    </row>
    <row r="88" spans="1:259" ht="15" customHeight="1" x14ac:dyDescent="0.25">
      <c r="A88" s="79"/>
      <c r="B88" s="707">
        <v>-2.2954481240470503</v>
      </c>
      <c r="C88" s="708">
        <v>1.6159632682789729</v>
      </c>
      <c r="D88" s="709">
        <v>-0.15400037398512806</v>
      </c>
      <c r="E88" s="710">
        <v>-0.54647546999195928</v>
      </c>
      <c r="F88" s="708">
        <v>-0.79605180271292653</v>
      </c>
      <c r="G88" s="711">
        <v>0.26012706144222514</v>
      </c>
      <c r="H88" s="710">
        <v>0.314</v>
      </c>
      <c r="I88" s="708">
        <v>0.52</v>
      </c>
      <c r="J88" s="570">
        <v>6.1120000000000001</v>
      </c>
      <c r="K88" s="865">
        <f>IF($J88="","",IF(IFERROR(INDEX(Settings!$AK$14:$AK$32,MATCH((((ROUND($H88,6)*2)*1000000)+ROUND($I88,6)),Settings!$AI$14:$AI$32,0)),"Undefined")="Undefined","Undefined",IFERROR(INDEX(_xlfn.ANCHORARRAY(Settings!$BC$14),MATCH(IFERROR(INDEX(Settings!$AK$14:$AK$32,MATCH((((ROUND($H88,6)*2)*1000000)+ROUND($I88,6)),Settings!$AI$14:$AI$32,0)),"Undefined"),_xlfn.ANCHORARRAY(Settings!$BC$14),0)),"Inactive")))</f>
        <v>1613</v>
      </c>
      <c r="L88" s="320"/>
      <c r="M88" s="168">
        <f t="shared" si="464"/>
        <v>6.1120000000000001</v>
      </c>
      <c r="N88" s="632">
        <f t="shared" si="465"/>
        <v>-2.2954481240470503</v>
      </c>
      <c r="O88" s="629">
        <f t="shared" si="466"/>
        <v>1.6159632682789729</v>
      </c>
      <c r="P88" s="633">
        <f t="shared" si="467"/>
        <v>-0.15400037398512806</v>
      </c>
      <c r="Q88" s="585">
        <f t="shared" si="520"/>
        <v>144.85499207991904</v>
      </c>
      <c r="R88" s="629">
        <f t="shared" si="79"/>
        <v>2.8072084665407346</v>
      </c>
      <c r="S88" s="634">
        <f t="shared" si="80"/>
        <v>-0.15400037398512806</v>
      </c>
      <c r="T88" s="635">
        <f t="shared" si="81"/>
        <v>1.6157629465171528</v>
      </c>
      <c r="U88" s="629">
        <f t="shared" si="82"/>
        <v>2.2955891346842083</v>
      </c>
      <c r="V88" s="636">
        <f t="shared" si="114"/>
        <v>-0.15400037398512806</v>
      </c>
      <c r="W88" s="585">
        <f t="shared" si="645"/>
        <v>54.859992079197127</v>
      </c>
      <c r="X88" s="629">
        <f t="shared" si="83"/>
        <v>2.8072084665407346</v>
      </c>
      <c r="Y88" s="630">
        <f t="shared" si="644"/>
        <v>-0.15400037398512806</v>
      </c>
      <c r="Z88" s="632">
        <f t="shared" si="468"/>
        <v>0.54647546999195928</v>
      </c>
      <c r="AA88" s="629">
        <f t="shared" si="469"/>
        <v>0.79605180271292653</v>
      </c>
      <c r="AB88" s="629">
        <f t="shared" si="470"/>
        <v>-0.26012706144222514</v>
      </c>
      <c r="AC88" s="636">
        <f t="shared" si="84"/>
        <v>1</v>
      </c>
      <c r="AD88" s="637">
        <f t="shared" si="115"/>
        <v>0.54647546999195928</v>
      </c>
      <c r="AE88" s="629">
        <f t="shared" si="85"/>
        <v>0.79605180271292653</v>
      </c>
      <c r="AF88" s="633">
        <f t="shared" si="86"/>
        <v>-0.26012706144222514</v>
      </c>
      <c r="AG88" s="602">
        <f t="shared" si="87"/>
        <v>71.904082163066846</v>
      </c>
      <c r="AH88" s="603">
        <f t="shared" si="88"/>
        <v>56.87445013547481</v>
      </c>
      <c r="AI88" s="585">
        <f t="shared" si="89"/>
        <v>-74.922398347642698</v>
      </c>
      <c r="AJ88" s="586">
        <f t="shared" si="90"/>
        <v>145.53109100838319</v>
      </c>
      <c r="AK88" s="635">
        <f t="shared" si="211"/>
        <v>0.96550717056083113</v>
      </c>
      <c r="AL88" s="629">
        <f t="shared" si="91"/>
        <v>1.1393660564151031E-2</v>
      </c>
      <c r="AM88" s="634">
        <f t="shared" si="92"/>
        <v>-0.26012706144222514</v>
      </c>
      <c r="AN88" s="581">
        <f t="shared" si="93"/>
        <v>2.5079731217783068</v>
      </c>
      <c r="AO88" s="582">
        <f t="shared" si="461"/>
        <v>15.0924014196007</v>
      </c>
      <c r="AP88" s="585">
        <f t="shared" si="95"/>
        <v>0.67609892846414499</v>
      </c>
      <c r="AQ88" s="586">
        <f t="shared" si="471"/>
        <v>0.81204300107643557</v>
      </c>
      <c r="AS88" s="52">
        <f t="shared" si="543"/>
        <v>-305.14000792080287</v>
      </c>
      <c r="AT88" s="72">
        <f t="shared" si="472"/>
        <v>5.7905881514928176E-2</v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>
        <f t="shared" si="643"/>
        <v>6.1120000000000001</v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IFERROR(ROUND(VALUE(IF($IH88&lt;1,$IH88+LARGE((IF($M$9:$M$150="",0,$M$9:$M$150)-MOD(IF($M$9:$M$150="",0,$M$9:$M$150),1)),1),$IH88)),4),"")</f>
        <v/>
      </c>
      <c r="IJ88" s="533">
        <f t="shared" si="542"/>
        <v>1613</v>
      </c>
      <c r="IK88" s="533" t="str">
        <f t="shared" si="517"/>
        <v/>
      </c>
      <c r="IL88" s="727" t="str">
        <f t="shared" si="647"/>
        <v/>
      </c>
      <c r="IM88" s="759"/>
      <c r="IN88" s="5" t="str">
        <f t="shared" si="648"/>
        <v/>
      </c>
      <c r="IO88" s="771"/>
      <c r="IP88" s="9" t="str">
        <f t="shared" si="649"/>
        <v/>
      </c>
      <c r="IQ88" s="5" t="str">
        <f t="shared" si="650"/>
        <v/>
      </c>
      <c r="IR88" s="5" t="str">
        <f t="shared" si="518"/>
        <v/>
      </c>
      <c r="IS88" s="5" t="str">
        <f t="shared" si="651"/>
        <v/>
      </c>
      <c r="IT88" s="727" t="str">
        <f t="shared" si="652"/>
        <v/>
      </c>
      <c r="IU88" s="9" t="str">
        <f t="shared" si="653"/>
        <v/>
      </c>
      <c r="IV88" s="5" t="str">
        <f t="shared" si="654"/>
        <v/>
      </c>
      <c r="IW88" s="5" t="str">
        <f t="shared" si="519"/>
        <v/>
      </c>
      <c r="IX88" s="5" t="str">
        <f t="shared" si="655"/>
        <v/>
      </c>
      <c r="IY88" s="762" t="str">
        <f t="shared" si="656"/>
        <v/>
      </c>
    </row>
    <row r="89" spans="1:259" ht="15" customHeight="1" x14ac:dyDescent="0.25">
      <c r="A89" s="79"/>
      <c r="B89" s="707">
        <v>-2.8865927798625641</v>
      </c>
      <c r="C89" s="708">
        <v>2.0842520835845524</v>
      </c>
      <c r="D89" s="709">
        <v>-0.12530028742566687</v>
      </c>
      <c r="E89" s="710">
        <v>-0.64159915218876351</v>
      </c>
      <c r="F89" s="708">
        <v>-0.72507570710643221</v>
      </c>
      <c r="G89" s="711">
        <v>0.25023138666995226</v>
      </c>
      <c r="H89" s="710">
        <v>0.314</v>
      </c>
      <c r="I89" s="708">
        <v>0.52</v>
      </c>
      <c r="J89" s="570">
        <v>6.1180000000000003</v>
      </c>
      <c r="K89" s="865">
        <f>IF($J89="","",IF(IFERROR(INDEX(Settings!$AK$14:$AK$32,MATCH((((ROUND($H89,6)*2)*1000000)+ROUND($I89,6)),Settings!$AI$14:$AI$32,0)),"Undefined")="Undefined","Undefined",IFERROR(INDEX(_xlfn.ANCHORARRAY(Settings!$BC$14),MATCH(IFERROR(INDEX(Settings!$AK$14:$AK$32,MATCH((((ROUND($H89,6)*2)*1000000)+ROUND($I89,6)),Settings!$AI$14:$AI$32,0)),"Undefined"),_xlfn.ANCHORARRAY(Settings!$BC$14),0)),"Inactive")))</f>
        <v>1613</v>
      </c>
      <c r="L89" s="320"/>
      <c r="M89" s="168">
        <f t="shared" si="464"/>
        <v>6.1180000000000003</v>
      </c>
      <c r="N89" s="632">
        <f t="shared" si="465"/>
        <v>-2.8865927798625641</v>
      </c>
      <c r="O89" s="629">
        <f t="shared" si="466"/>
        <v>2.0842520835845524</v>
      </c>
      <c r="P89" s="633">
        <f t="shared" si="467"/>
        <v>-0.12530028742566687</v>
      </c>
      <c r="Q89" s="585">
        <f t="shared" si="520"/>
        <v>144.16899217896517</v>
      </c>
      <c r="R89" s="629">
        <f t="shared" si="79"/>
        <v>3.5604107381987875</v>
      </c>
      <c r="S89" s="634">
        <f t="shared" si="80"/>
        <v>-0.12530028742566687</v>
      </c>
      <c r="T89" s="635">
        <f t="shared" si="81"/>
        <v>2.0840001729441378</v>
      </c>
      <c r="U89" s="629">
        <f t="shared" si="82"/>
        <v>2.8867746541512447</v>
      </c>
      <c r="V89" s="636">
        <f t="shared" si="114"/>
        <v>-0.12530028742566687</v>
      </c>
      <c r="W89" s="585">
        <f t="shared" si="645"/>
        <v>54.173992178243253</v>
      </c>
      <c r="X89" s="629">
        <f t="shared" si="83"/>
        <v>3.5604107381987875</v>
      </c>
      <c r="Y89" s="630">
        <f t="shared" si="644"/>
        <v>-0.12530028742566687</v>
      </c>
      <c r="Z89" s="632">
        <f t="shared" si="468"/>
        <v>0.64159915218876351</v>
      </c>
      <c r="AA89" s="629">
        <f t="shared" si="469"/>
        <v>0.72507570710643221</v>
      </c>
      <c r="AB89" s="629">
        <f t="shared" si="470"/>
        <v>-0.25023138666995226</v>
      </c>
      <c r="AC89" s="636">
        <f t="shared" si="84"/>
        <v>1</v>
      </c>
      <c r="AD89" s="637">
        <f t="shared" si="115"/>
        <v>0.64159915218876351</v>
      </c>
      <c r="AE89" s="629">
        <f t="shared" si="85"/>
        <v>0.72507570710643221</v>
      </c>
      <c r="AF89" s="633">
        <f t="shared" si="86"/>
        <v>-0.25023138666995226</v>
      </c>
      <c r="AG89" s="602">
        <f t="shared" si="87"/>
        <v>70.959897700752734</v>
      </c>
      <c r="AH89" s="603">
        <f t="shared" si="88"/>
        <v>50.088832132637584</v>
      </c>
      <c r="AI89" s="585">
        <f t="shared" si="89"/>
        <v>-75.508795125407062</v>
      </c>
      <c r="AJ89" s="586">
        <f t="shared" si="90"/>
        <v>138.49528610963867</v>
      </c>
      <c r="AK89" s="635">
        <f t="shared" si="211"/>
        <v>0.96344296290322073</v>
      </c>
      <c r="AL89" s="629">
        <f t="shared" si="91"/>
        <v>-9.5717868538198636E-2</v>
      </c>
      <c r="AM89" s="634">
        <f t="shared" si="92"/>
        <v>-0.25023138666995226</v>
      </c>
      <c r="AN89" s="581">
        <f t="shared" si="93"/>
        <v>-20.932724059184295</v>
      </c>
      <c r="AO89" s="582">
        <f t="shared" si="461"/>
        <v>15.540147116079467</v>
      </c>
      <c r="AP89" s="585">
        <f t="shared" si="95"/>
        <v>-5.6737060693265073</v>
      </c>
      <c r="AQ89" s="586">
        <f t="shared" si="471"/>
        <v>0.64027212120345867</v>
      </c>
      <c r="AS89" s="52">
        <f t="shared" si="543"/>
        <v>-305.82600782175678</v>
      </c>
      <c r="AT89" s="72">
        <f t="shared" si="472"/>
        <v>8.7082356894496227E-2</v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>
        <f t="shared" si="643"/>
        <v>6.1180000000000003</v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IFERROR(ROUND(VALUE(IF($IH89&lt;1,$IH89+LARGE((IF($M$9:$M$150="",0,$M$9:$M$150)-MOD(IF($M$9:$M$150="",0,$M$9:$M$150),1)),1),$IH89)),4),"")</f>
        <v/>
      </c>
      <c r="IJ89" s="533">
        <f t="shared" si="542"/>
        <v>1613</v>
      </c>
      <c r="IK89" s="533" t="str">
        <f t="shared" si="517"/>
        <v/>
      </c>
      <c r="IL89" s="727" t="str">
        <f t="shared" si="647"/>
        <v/>
      </c>
      <c r="IM89" s="759"/>
      <c r="IN89" s="5" t="str">
        <f t="shared" si="648"/>
        <v/>
      </c>
      <c r="IO89" s="771"/>
      <c r="IP89" s="9" t="str">
        <f t="shared" si="649"/>
        <v/>
      </c>
      <c r="IQ89" s="5" t="str">
        <f t="shared" si="650"/>
        <v/>
      </c>
      <c r="IR89" s="5" t="str">
        <f t="shared" si="518"/>
        <v/>
      </c>
      <c r="IS89" s="5" t="str">
        <f t="shared" si="651"/>
        <v/>
      </c>
      <c r="IT89" s="727" t="str">
        <f t="shared" si="652"/>
        <v/>
      </c>
      <c r="IU89" s="9" t="str">
        <f t="shared" si="653"/>
        <v/>
      </c>
      <c r="IV89" s="5" t="str">
        <f t="shared" si="654"/>
        <v/>
      </c>
      <c r="IW89" s="5" t="str">
        <f t="shared" si="519"/>
        <v/>
      </c>
      <c r="IX89" s="5" t="str">
        <f t="shared" si="655"/>
        <v/>
      </c>
      <c r="IY89" s="762" t="str">
        <f t="shared" si="656"/>
        <v/>
      </c>
    </row>
    <row r="90" spans="1:259" ht="15" customHeight="1" x14ac:dyDescent="0.25">
      <c r="A90" s="79"/>
      <c r="B90" s="707">
        <v>-3.4340935718593122</v>
      </c>
      <c r="C90" s="708">
        <v>2.5677224645762462</v>
      </c>
      <c r="D90" s="709">
        <v>-0.32240088188105975</v>
      </c>
      <c r="E90" s="710">
        <v>-0.71530616029307947</v>
      </c>
      <c r="F90" s="708">
        <v>-0.66426636797661232</v>
      </c>
      <c r="G90" s="711">
        <v>0.21699605854008375</v>
      </c>
      <c r="H90" s="710">
        <v>0.314</v>
      </c>
      <c r="I90" s="708">
        <v>0.52</v>
      </c>
      <c r="J90" s="570">
        <v>6.1239999999999997</v>
      </c>
      <c r="K90" s="865">
        <f>IF($J90="","",IF(IFERROR(INDEX(Settings!$AK$14:$AK$32,MATCH((((ROUND($H90,6)*2)*1000000)+ROUND($I90,6)),Settings!$AI$14:$AI$32,0)),"Undefined")="Undefined","Undefined",IFERROR(INDEX(_xlfn.ANCHORARRAY(Settings!$BC$14),MATCH(IFERROR(INDEX(Settings!$AK$14:$AK$32,MATCH((((ROUND($H90,6)*2)*1000000)+ROUND($I90,6)),Settings!$AI$14:$AI$32,0)),"Undefined"),_xlfn.ANCHORARRAY(Settings!$BC$14),0)),"Inactive")))</f>
        <v>1613</v>
      </c>
      <c r="L90" s="320"/>
      <c r="M90" s="168">
        <f t="shared" si="464"/>
        <v>6.1239999999999997</v>
      </c>
      <c r="N90" s="632">
        <f t="shared" si="465"/>
        <v>-3.4340935718593122</v>
      </c>
      <c r="O90" s="629">
        <f t="shared" si="466"/>
        <v>2.5677224645762462</v>
      </c>
      <c r="P90" s="633">
        <f t="shared" si="467"/>
        <v>-0.32240088188105975</v>
      </c>
      <c r="Q90" s="585">
        <f t="shared" si="520"/>
        <v>143.2139923168501</v>
      </c>
      <c r="R90" s="629">
        <f t="shared" si="79"/>
        <v>4.2879129323454039</v>
      </c>
      <c r="S90" s="634">
        <f t="shared" si="80"/>
        <v>-0.32240088188105975</v>
      </c>
      <c r="T90" s="635">
        <f t="shared" si="81"/>
        <v>2.5674227736444841</v>
      </c>
      <c r="U90" s="629">
        <f t="shared" si="82"/>
        <v>3.4343176348070408</v>
      </c>
      <c r="V90" s="636">
        <f t="shared" si="114"/>
        <v>-0.32240088188105975</v>
      </c>
      <c r="W90" s="585">
        <f t="shared" si="645"/>
        <v>53.21899231612818</v>
      </c>
      <c r="X90" s="629">
        <f t="shared" si="83"/>
        <v>4.2879129323454039</v>
      </c>
      <c r="Y90" s="630">
        <f t="shared" si="644"/>
        <v>-0.32240088188105975</v>
      </c>
      <c r="Z90" s="632">
        <f t="shared" si="468"/>
        <v>0.71530616029307947</v>
      </c>
      <c r="AA90" s="629">
        <f t="shared" si="469"/>
        <v>0.66426636797661232</v>
      </c>
      <c r="AB90" s="629">
        <f t="shared" si="470"/>
        <v>-0.21699605854008375</v>
      </c>
      <c r="AC90" s="636">
        <f t="shared" si="84"/>
        <v>1</v>
      </c>
      <c r="AD90" s="637">
        <f t="shared" si="115"/>
        <v>0.71530616029307947</v>
      </c>
      <c r="AE90" s="629">
        <f t="shared" si="85"/>
        <v>0.66426636797661232</v>
      </c>
      <c r="AF90" s="633">
        <f t="shared" si="86"/>
        <v>-0.21699605854008375</v>
      </c>
      <c r="AG90" s="602">
        <f t="shared" si="87"/>
        <v>71.909325270226404</v>
      </c>
      <c r="AH90" s="603">
        <f t="shared" si="88"/>
        <v>44.331704272035026</v>
      </c>
      <c r="AI90" s="585">
        <f t="shared" si="89"/>
        <v>-77.467341929895838</v>
      </c>
      <c r="AJ90" s="586">
        <f t="shared" si="90"/>
        <v>132.88120489044996</v>
      </c>
      <c r="AK90" s="635">
        <f t="shared" si="211"/>
        <v>0.96034145890475098</v>
      </c>
      <c r="AL90" s="629">
        <f t="shared" si="91"/>
        <v>-0.17509138438759098</v>
      </c>
      <c r="AM90" s="634">
        <f t="shared" si="92"/>
        <v>-0.21699605854008375</v>
      </c>
      <c r="AN90" s="581">
        <f t="shared" si="93"/>
        <v>-38.89962227990894</v>
      </c>
      <c r="AO90" s="582">
        <f t="shared" si="461"/>
        <v>16.190186025980495</v>
      </c>
      <c r="AP90" s="585">
        <f t="shared" si="95"/>
        <v>-10.332787426400104</v>
      </c>
      <c r="AQ90" s="586">
        <f t="shared" si="471"/>
        <v>0.53164820259842416</v>
      </c>
      <c r="AS90" s="52">
        <f t="shared" si="543"/>
        <v>-306.78100768387185</v>
      </c>
      <c r="AT90" s="72">
        <f t="shared" si="472"/>
        <v>-0.10935504321220563</v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>
        <f t="shared" si="643"/>
        <v>6.1239999999999997</v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IFERROR(ROUND(VALUE(IF($IH90&lt;1,$IH90+LARGE((IF($M$9:$M$150="",0,$M$9:$M$150)-MOD(IF($M$9:$M$150="",0,$M$9:$M$150),1)),1),$IH90)),4),"")</f>
        <v/>
      </c>
      <c r="IJ90" s="533">
        <f t="shared" si="542"/>
        <v>1613</v>
      </c>
      <c r="IK90" s="533" t="str">
        <f t="shared" si="517"/>
        <v/>
      </c>
      <c r="IL90" s="727" t="str">
        <f t="shared" si="647"/>
        <v/>
      </c>
      <c r="IM90" s="759"/>
      <c r="IN90" s="5" t="str">
        <f t="shared" si="648"/>
        <v/>
      </c>
      <c r="IO90" s="771"/>
      <c r="IP90" s="9" t="str">
        <f t="shared" si="649"/>
        <v/>
      </c>
      <c r="IQ90" s="5" t="str">
        <f t="shared" si="650"/>
        <v/>
      </c>
      <c r="IR90" s="5" t="str">
        <f t="shared" si="518"/>
        <v/>
      </c>
      <c r="IS90" s="5" t="str">
        <f t="shared" si="651"/>
        <v/>
      </c>
      <c r="IT90" s="727" t="str">
        <f t="shared" si="652"/>
        <v/>
      </c>
      <c r="IU90" s="9" t="str">
        <f t="shared" si="653"/>
        <v/>
      </c>
      <c r="IV90" s="5" t="str">
        <f t="shared" si="654"/>
        <v/>
      </c>
      <c r="IW90" s="5" t="str">
        <f t="shared" si="519"/>
        <v/>
      </c>
      <c r="IX90" s="5" t="str">
        <f t="shared" si="655"/>
        <v/>
      </c>
      <c r="IY90" s="762" t="str">
        <f t="shared" si="656"/>
        <v/>
      </c>
    </row>
    <row r="91" spans="1:259" ht="15" customHeight="1" x14ac:dyDescent="0.25">
      <c r="A91" s="79"/>
      <c r="B91" s="707">
        <v>-3.892682231860586</v>
      </c>
      <c r="C91" s="708">
        <v>3.0147982070412227</v>
      </c>
      <c r="D91" s="709">
        <v>-0.72740210336474342</v>
      </c>
      <c r="E91" s="710">
        <v>-0.7773092923960222</v>
      </c>
      <c r="F91" s="708">
        <v>-0.60249020350005478</v>
      </c>
      <c r="G91" s="711">
        <v>0.18109615854914707</v>
      </c>
      <c r="H91" s="710">
        <v>0.314</v>
      </c>
      <c r="I91" s="708">
        <v>0.52</v>
      </c>
      <c r="J91" s="570">
        <v>6.13</v>
      </c>
      <c r="K91" s="865">
        <f>IF($J91="","",IF(IFERROR(INDEX(Settings!$AK$14:$AK$32,MATCH((((ROUND($H91,6)*2)*1000000)+ROUND($I91,6)),Settings!$AI$14:$AI$32,0)),"Undefined")="Undefined","Undefined",IFERROR(INDEX(_xlfn.ANCHORARRAY(Settings!$BC$14),MATCH(IFERROR(INDEX(Settings!$AK$14:$AK$32,MATCH((((ROUND($H91,6)*2)*1000000)+ROUND($I91,6)),Settings!$AI$14:$AI$32,0)),"Undefined"),_xlfn.ANCHORARRAY(Settings!$BC$14),0)),"Inactive")))</f>
        <v>1613</v>
      </c>
      <c r="L91" s="320"/>
      <c r="M91" s="168">
        <f t="shared" si="464"/>
        <v>6.13</v>
      </c>
      <c r="N91" s="632">
        <f t="shared" si="465"/>
        <v>-3.892682231860586</v>
      </c>
      <c r="O91" s="629">
        <f t="shared" si="466"/>
        <v>3.0147982070412227</v>
      </c>
      <c r="P91" s="633">
        <f t="shared" si="467"/>
        <v>-0.72740210336474342</v>
      </c>
      <c r="Q91" s="585">
        <f t="shared" si="520"/>
        <v>142.24299245704512</v>
      </c>
      <c r="R91" s="629">
        <f t="shared" si="79"/>
        <v>4.9236148496223873</v>
      </c>
      <c r="S91" s="634">
        <f t="shared" si="80"/>
        <v>-0.72740210336474342</v>
      </c>
      <c r="T91" s="635">
        <f t="shared" si="81"/>
        <v>3.0144584950028053</v>
      </c>
      <c r="U91" s="629">
        <f t="shared" si="82"/>
        <v>3.8929453077750145</v>
      </c>
      <c r="V91" s="636">
        <f t="shared" si="114"/>
        <v>-0.72740210336474342</v>
      </c>
      <c r="W91" s="585">
        <f t="shared" si="645"/>
        <v>52.247992456323203</v>
      </c>
      <c r="X91" s="629">
        <f t="shared" si="83"/>
        <v>4.9236148496223873</v>
      </c>
      <c r="Y91" s="630">
        <f t="shared" si="644"/>
        <v>-0.72740210336474342</v>
      </c>
      <c r="Z91" s="632">
        <f t="shared" si="468"/>
        <v>0.7773092923960222</v>
      </c>
      <c r="AA91" s="629">
        <f t="shared" si="469"/>
        <v>0.60249020350005478</v>
      </c>
      <c r="AB91" s="629">
        <f t="shared" si="470"/>
        <v>-0.18109615854914707</v>
      </c>
      <c r="AC91" s="636">
        <f t="shared" si="84"/>
        <v>1</v>
      </c>
      <c r="AD91" s="637">
        <f t="shared" si="115"/>
        <v>0.7773092923960222</v>
      </c>
      <c r="AE91" s="629">
        <f t="shared" si="85"/>
        <v>0.60249020350005478</v>
      </c>
      <c r="AF91" s="633">
        <f t="shared" si="86"/>
        <v>-0.18109615854914707</v>
      </c>
      <c r="AG91" s="602">
        <f t="shared" si="87"/>
        <v>73.27030322139322</v>
      </c>
      <c r="AH91" s="603">
        <f t="shared" si="88"/>
        <v>38.98512733126735</v>
      </c>
      <c r="AI91" s="585">
        <f t="shared" si="89"/>
        <v>-79.566385555478206</v>
      </c>
      <c r="AJ91" s="586">
        <f t="shared" si="90"/>
        <v>127.77916108101235</v>
      </c>
      <c r="AK91" s="635">
        <f t="shared" si="211"/>
        <v>0.95229495284878751</v>
      </c>
      <c r="AL91" s="629">
        <f t="shared" si="91"/>
        <v>-0.24563897112931354</v>
      </c>
      <c r="AM91" s="634">
        <f t="shared" si="92"/>
        <v>-0.18109615854914707</v>
      </c>
      <c r="AN91" s="581">
        <f t="shared" si="93"/>
        <v>-53.600681515776252</v>
      </c>
      <c r="AO91" s="582">
        <f t="shared" si="461"/>
        <v>17.768943226144966</v>
      </c>
      <c r="AP91" s="585">
        <f t="shared" si="95"/>
        <v>-14.463831376032784</v>
      </c>
      <c r="AQ91" s="586">
        <f t="shared" si="471"/>
        <v>0.46300880085516721</v>
      </c>
      <c r="AS91" s="52">
        <f t="shared" si="543"/>
        <v>-307.75200754367677</v>
      </c>
      <c r="AT91" s="72">
        <f t="shared" si="472"/>
        <v>-0.51368195923769144</v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>
        <f t="shared" si="643"/>
        <v>6.13</v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IFERROR(ROUND(VALUE(IF($IH91&lt;1,$IH91+LARGE((IF($M$9:$M$150="",0,$M$9:$M$150)-MOD(IF($M$9:$M$150="",0,$M$9:$M$150),1)),1),$IH91)),4),"")</f>
        <v/>
      </c>
      <c r="IJ91" s="533">
        <f t="shared" si="542"/>
        <v>1613</v>
      </c>
      <c r="IK91" s="533" t="str">
        <f t="shared" si="517"/>
        <v/>
      </c>
      <c r="IL91" s="727" t="str">
        <f t="shared" si="647"/>
        <v/>
      </c>
      <c r="IM91" s="759"/>
      <c r="IN91" s="5" t="str">
        <f t="shared" si="648"/>
        <v/>
      </c>
      <c r="IO91" s="771"/>
      <c r="IP91" s="9" t="str">
        <f t="shared" si="649"/>
        <v/>
      </c>
      <c r="IQ91" s="5" t="str">
        <f t="shared" si="650"/>
        <v/>
      </c>
      <c r="IR91" s="5" t="str">
        <f t="shared" si="518"/>
        <v/>
      </c>
      <c r="IS91" s="5" t="str">
        <f t="shared" si="651"/>
        <v/>
      </c>
      <c r="IT91" s="727" t="str">
        <f t="shared" si="652"/>
        <v/>
      </c>
      <c r="IU91" s="9" t="str">
        <f t="shared" si="653"/>
        <v/>
      </c>
      <c r="IV91" s="5" t="str">
        <f t="shared" si="654"/>
        <v/>
      </c>
      <c r="IW91" s="5" t="str">
        <f t="shared" si="519"/>
        <v/>
      </c>
      <c r="IX91" s="5" t="str">
        <f t="shared" si="655"/>
        <v/>
      </c>
      <c r="IY91" s="762" t="str">
        <f t="shared" si="656"/>
        <v/>
      </c>
    </row>
    <row r="92" spans="1:259" ht="15" customHeight="1" x14ac:dyDescent="0.25">
      <c r="A92" s="79"/>
      <c r="B92" s="707">
        <v>-4.2303353405389803</v>
      </c>
      <c r="C92" s="708">
        <v>3.3718383002429757</v>
      </c>
      <c r="D92" s="709">
        <v>-1.3034038405859836</v>
      </c>
      <c r="E92" s="710">
        <v>-0.82915157484449953</v>
      </c>
      <c r="F92" s="708">
        <v>-0.54015791467202867</v>
      </c>
      <c r="G92" s="711">
        <v>0.14400379560987861</v>
      </c>
      <c r="H92" s="710">
        <v>0.314</v>
      </c>
      <c r="I92" s="708">
        <v>0.52</v>
      </c>
      <c r="J92" s="570">
        <v>6.1360000000000001</v>
      </c>
      <c r="K92" s="865">
        <f>IF($J92="","",IF(IFERROR(INDEX(Settings!$AK$14:$AK$32,MATCH((((ROUND($H92,6)*2)*1000000)+ROUND($I92,6)),Settings!$AI$14:$AI$32,0)),"Undefined")="Undefined","Undefined",IFERROR(INDEX(_xlfn.ANCHORARRAY(Settings!$BC$14),MATCH(IFERROR(INDEX(Settings!$AK$14:$AK$32,MATCH((((ROUND($H92,6)*2)*1000000)+ROUND($I92,6)),Settings!$AI$14:$AI$32,0)),"Undefined"),_xlfn.ANCHORARRAY(Settings!$BC$14),0)),"Inactive")))</f>
        <v>1613</v>
      </c>
      <c r="L92" s="320"/>
      <c r="M92" s="168">
        <f t="shared" si="464"/>
        <v>6.1360000000000001</v>
      </c>
      <c r="N92" s="632">
        <f t="shared" si="465"/>
        <v>-4.2303353405389803</v>
      </c>
      <c r="O92" s="629">
        <f t="shared" si="466"/>
        <v>3.3718383002429757</v>
      </c>
      <c r="P92" s="633">
        <f t="shared" si="467"/>
        <v>-1.3034038405859836</v>
      </c>
      <c r="Q92" s="585">
        <f t="shared" si="520"/>
        <v>141.44299257255082</v>
      </c>
      <c r="R92" s="629">
        <f t="shared" si="79"/>
        <v>5.4097163157044097</v>
      </c>
      <c r="S92" s="634">
        <f t="shared" si="80"/>
        <v>-1.3034038405859836</v>
      </c>
      <c r="T92" s="635">
        <f t="shared" si="81"/>
        <v>3.3714691210569621</v>
      </c>
      <c r="U92" s="629">
        <f t="shared" si="82"/>
        <v>4.2306295727891241</v>
      </c>
      <c r="V92" s="636">
        <f t="shared" si="114"/>
        <v>-1.3034038405859836</v>
      </c>
      <c r="W92" s="585">
        <f t="shared" si="645"/>
        <v>51.447992571828905</v>
      </c>
      <c r="X92" s="629">
        <f t="shared" si="83"/>
        <v>5.4097163157044097</v>
      </c>
      <c r="Y92" s="630">
        <f t="shared" si="644"/>
        <v>-1.3034038405859836</v>
      </c>
      <c r="Z92" s="632">
        <f t="shared" si="468"/>
        <v>0.82915157484449953</v>
      </c>
      <c r="AA92" s="629">
        <f t="shared" si="469"/>
        <v>0.54015791467202867</v>
      </c>
      <c r="AB92" s="629">
        <f t="shared" si="470"/>
        <v>-0.14400379560987861</v>
      </c>
      <c r="AC92" s="636">
        <f t="shared" si="84"/>
        <v>1</v>
      </c>
      <c r="AD92" s="637">
        <f t="shared" si="115"/>
        <v>0.82915157484449953</v>
      </c>
      <c r="AE92" s="629">
        <f t="shared" si="85"/>
        <v>0.54015791467202867</v>
      </c>
      <c r="AF92" s="633">
        <f t="shared" si="86"/>
        <v>-0.14400379560987861</v>
      </c>
      <c r="AG92" s="602">
        <f t="shared" si="87"/>
        <v>75.072377225387655</v>
      </c>
      <c r="AH92" s="603">
        <f t="shared" si="88"/>
        <v>33.988317381237046</v>
      </c>
      <c r="AI92" s="585">
        <f t="shared" si="89"/>
        <v>-81.720404538970286</v>
      </c>
      <c r="AJ92" s="586">
        <f t="shared" si="90"/>
        <v>123.08257776925306</v>
      </c>
      <c r="AK92" s="635">
        <f t="shared" si="211"/>
        <v>0.93920158769264472</v>
      </c>
      <c r="AL92" s="629">
        <f t="shared" si="91"/>
        <v>-0.31171025733132968</v>
      </c>
      <c r="AM92" s="634">
        <f t="shared" si="92"/>
        <v>-0.14400379560987861</v>
      </c>
      <c r="AN92" s="581">
        <f t="shared" si="93"/>
        <v>-65.204023793863726</v>
      </c>
      <c r="AO92" s="582">
        <f t="shared" si="461"/>
        <v>20.082097104764909</v>
      </c>
      <c r="AP92" s="585">
        <f t="shared" si="95"/>
        <v>-18.360414803297758</v>
      </c>
      <c r="AQ92" s="586">
        <f t="shared" si="471"/>
        <v>0.42140574322847524</v>
      </c>
      <c r="AS92" s="52">
        <f t="shared" si="543"/>
        <v>-308.55200742817112</v>
      </c>
      <c r="AT92" s="73">
        <f t="shared" si="472"/>
        <v>-1.0891281409835882</v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>
        <f t="shared" si="643"/>
        <v>6.1360000000000001</v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IFERROR(ROUND(VALUE(IF($IH92&lt;1,$IH92+LARGE((IF($M$9:$M$150="",0,$M$9:$M$150)-MOD(IF($M$9:$M$150="",0,$M$9:$M$150),1)),1),$IH92)),4),"")</f>
        <v/>
      </c>
      <c r="IJ92" s="533">
        <f t="shared" si="542"/>
        <v>1613</v>
      </c>
      <c r="IK92" s="533" t="str">
        <f t="shared" si="517"/>
        <v/>
      </c>
      <c r="IL92" s="727" t="str">
        <f t="shared" si="647"/>
        <v/>
      </c>
      <c r="IM92" s="759"/>
      <c r="IN92" s="5" t="str">
        <f t="shared" si="648"/>
        <v/>
      </c>
      <c r="IO92" s="771"/>
      <c r="IP92" s="9" t="str">
        <f t="shared" si="649"/>
        <v/>
      </c>
      <c r="IQ92" s="5" t="str">
        <f t="shared" si="650"/>
        <v/>
      </c>
      <c r="IR92" s="5" t="str">
        <f t="shared" si="518"/>
        <v/>
      </c>
      <c r="IS92" s="5" t="str">
        <f t="shared" si="651"/>
        <v/>
      </c>
      <c r="IT92" s="727" t="str">
        <f t="shared" si="652"/>
        <v/>
      </c>
      <c r="IU92" s="9" t="str">
        <f t="shared" si="653"/>
        <v/>
      </c>
      <c r="IV92" s="5" t="str">
        <f t="shared" si="654"/>
        <v/>
      </c>
      <c r="IW92" s="5" t="str">
        <f t="shared" si="519"/>
        <v/>
      </c>
      <c r="IX92" s="5" t="str">
        <f t="shared" si="655"/>
        <v/>
      </c>
      <c r="IY92" s="762" t="str">
        <f t="shared" si="656"/>
        <v/>
      </c>
    </row>
    <row r="93" spans="1:259" ht="15" customHeight="1" x14ac:dyDescent="0.25">
      <c r="A93" s="79"/>
      <c r="B93" s="707">
        <v>-4.4277271123401079</v>
      </c>
      <c r="C93" s="708">
        <v>3.5928029081441837</v>
      </c>
      <c r="D93" s="709">
        <v>-1.9982059361091038</v>
      </c>
      <c r="E93" s="710">
        <v>-0.87282607445575799</v>
      </c>
      <c r="F93" s="708">
        <v>-0.47656166484377827</v>
      </c>
      <c r="G93" s="711">
        <v>0.10518375992270892</v>
      </c>
      <c r="H93" s="710">
        <v>0.314</v>
      </c>
      <c r="I93" s="708">
        <v>0.52</v>
      </c>
      <c r="J93" s="570">
        <v>6.1420000000000003</v>
      </c>
      <c r="K93" s="865">
        <f>IF($J93="","",IF(IFERROR(INDEX(Settings!$AK$14:$AK$32,MATCH((((ROUND($H93,6)*2)*1000000)+ROUND($I93,6)),Settings!$AI$14:$AI$32,0)),"Undefined")="Undefined","Undefined",IFERROR(INDEX(_xlfn.ANCHORARRAY(Settings!$BC$14),MATCH(IFERROR(INDEX(Settings!$AK$14:$AK$32,MATCH((((ROUND($H93,6)*2)*1000000)+ROUND($I93,6)),Settings!$AI$14:$AI$32,0)),"Undefined"),_xlfn.ANCHORARRAY(Settings!$BC$14),0)),"Inactive")))</f>
        <v>1613</v>
      </c>
      <c r="L93" s="320"/>
      <c r="M93" s="168">
        <f t="shared" si="464"/>
        <v>6.1420000000000003</v>
      </c>
      <c r="N93" s="632">
        <f t="shared" si="465"/>
        <v>-4.4277271123401079</v>
      </c>
      <c r="O93" s="629">
        <f t="shared" si="466"/>
        <v>3.5928029081441837</v>
      </c>
      <c r="P93" s="633">
        <f t="shared" si="467"/>
        <v>-1.9982059361091038</v>
      </c>
      <c r="Q93" s="585">
        <f t="shared" si="520"/>
        <v>140.94299264474188</v>
      </c>
      <c r="R93" s="629">
        <f t="shared" si="79"/>
        <v>5.7020171972838671</v>
      </c>
      <c r="S93" s="634">
        <f t="shared" si="80"/>
        <v>-1.9982059361091038</v>
      </c>
      <c r="T93" s="635">
        <f t="shared" si="81"/>
        <v>3.5924165024376364</v>
      </c>
      <c r="U93" s="629">
        <f t="shared" si="82"/>
        <v>4.4280406266355214</v>
      </c>
      <c r="V93" s="636">
        <f t="shared" si="114"/>
        <v>-1.9982059361091038</v>
      </c>
      <c r="W93" s="585">
        <f t="shared" si="645"/>
        <v>50.947992644019962</v>
      </c>
      <c r="X93" s="629">
        <f t="shared" si="83"/>
        <v>5.7020171972838671</v>
      </c>
      <c r="Y93" s="630">
        <f t="shared" si="644"/>
        <v>-1.9982059361091038</v>
      </c>
      <c r="Z93" s="632">
        <f t="shared" si="468"/>
        <v>0.87282607445575799</v>
      </c>
      <c r="AA93" s="629">
        <f t="shared" si="469"/>
        <v>0.47656166484377827</v>
      </c>
      <c r="AB93" s="629">
        <f t="shared" si="470"/>
        <v>-0.10518375992270892</v>
      </c>
      <c r="AC93" s="636">
        <f t="shared" si="84"/>
        <v>1</v>
      </c>
      <c r="AD93" s="637">
        <f t="shared" si="115"/>
        <v>0.87282607445575799</v>
      </c>
      <c r="AE93" s="629">
        <f t="shared" si="85"/>
        <v>0.47656166484377827</v>
      </c>
      <c r="AF93" s="633">
        <f t="shared" si="86"/>
        <v>-0.10518375992270892</v>
      </c>
      <c r="AG93" s="602">
        <f t="shared" si="87"/>
        <v>77.553574916358329</v>
      </c>
      <c r="AH93" s="603">
        <f t="shared" si="88"/>
        <v>29.2112728895675</v>
      </c>
      <c r="AI93" s="585">
        <f t="shared" si="89"/>
        <v>-83.962246144867393</v>
      </c>
      <c r="AJ93" s="586">
        <f t="shared" si="90"/>
        <v>118.6344708961647</v>
      </c>
      <c r="AK93" s="635">
        <f t="shared" si="211"/>
        <v>0.92002126286787678</v>
      </c>
      <c r="AL93" s="629">
        <f t="shared" si="91"/>
        <v>-0.37748808261919869</v>
      </c>
      <c r="AM93" s="634">
        <f t="shared" si="92"/>
        <v>-0.10518375992270892</v>
      </c>
      <c r="AN93" s="581">
        <f t="shared" si="93"/>
        <v>-74.429968629191876</v>
      </c>
      <c r="AO93" s="582">
        <f t="shared" si="461"/>
        <v>23.070809382024663</v>
      </c>
      <c r="AP93" s="585">
        <f t="shared" si="95"/>
        <v>-22.308521748577181</v>
      </c>
      <c r="AQ93" s="586">
        <f t="shared" si="471"/>
        <v>0.39980406094837789</v>
      </c>
      <c r="AS93" s="52">
        <f t="shared" si="543"/>
        <v>-309.05200735598004</v>
      </c>
      <c r="AT93" s="73">
        <f t="shared" si="472"/>
        <v>-1.783583014334619</v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>
        <f t="shared" si="643"/>
        <v>6.1420000000000003</v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IFERROR(ROUND(VALUE(IF($IH93&lt;1,$IH93+LARGE((IF($M$9:$M$150="",0,$M$9:$M$150)-MOD(IF($M$9:$M$150="",0,$M$9:$M$150),1)),1),$IH93)),4),"")</f>
        <v/>
      </c>
      <c r="IJ93" s="533">
        <f t="shared" si="542"/>
        <v>1613</v>
      </c>
      <c r="IK93" s="533" t="str">
        <f t="shared" si="517"/>
        <v/>
      </c>
      <c r="IL93" s="727" t="str">
        <f t="shared" si="647"/>
        <v/>
      </c>
      <c r="IM93" s="759"/>
      <c r="IN93" s="5" t="str">
        <f t="shared" si="648"/>
        <v/>
      </c>
      <c r="IO93" s="771"/>
      <c r="IP93" s="9" t="str">
        <f t="shared" si="649"/>
        <v/>
      </c>
      <c r="IQ93" s="5" t="str">
        <f t="shared" si="650"/>
        <v/>
      </c>
      <c r="IR93" s="5" t="str">
        <f t="shared" si="518"/>
        <v/>
      </c>
      <c r="IS93" s="5" t="str">
        <f t="shared" si="651"/>
        <v/>
      </c>
      <c r="IT93" s="727" t="str">
        <f t="shared" si="652"/>
        <v/>
      </c>
      <c r="IU93" s="9" t="str">
        <f t="shared" si="653"/>
        <v/>
      </c>
      <c r="IV93" s="5" t="str">
        <f t="shared" si="654"/>
        <v/>
      </c>
      <c r="IW93" s="5" t="str">
        <f t="shared" si="519"/>
        <v/>
      </c>
      <c r="IX93" s="5" t="str">
        <f t="shared" si="655"/>
        <v/>
      </c>
      <c r="IY93" s="762" t="str">
        <f t="shared" si="656"/>
        <v/>
      </c>
    </row>
    <row r="94" spans="1:259" ht="15" customHeight="1" x14ac:dyDescent="0.25">
      <c r="A94" s="79"/>
      <c r="B94" s="707">
        <v>-4.5147127530370748</v>
      </c>
      <c r="C94" s="708">
        <v>3.6932771888330334</v>
      </c>
      <c r="D94" s="709">
        <v>-2.7422081800198703</v>
      </c>
      <c r="E94" s="710">
        <v>-0.92246021979671367</v>
      </c>
      <c r="F94" s="708">
        <v>-0.37871173189191865</v>
      </c>
      <c r="G94" s="711">
        <v>7.5130333554578307E-2</v>
      </c>
      <c r="H94" s="710">
        <v>0.314</v>
      </c>
      <c r="I94" s="708">
        <v>0.52</v>
      </c>
      <c r="J94" s="570">
        <v>6.1479999999999997</v>
      </c>
      <c r="K94" s="865">
        <f>IF($J94="","",IF(IFERROR(INDEX(Settings!$AK$14:$AK$32,MATCH((((ROUND($H94,6)*2)*1000000)+ROUND($I94,6)),Settings!$AI$14:$AI$32,0)),"Undefined")="Undefined","Undefined",IFERROR(INDEX(_xlfn.ANCHORARRAY(Settings!$BC$14),MATCH(IFERROR(INDEX(Settings!$AK$14:$AK$32,MATCH((((ROUND($H94,6)*2)*1000000)+ROUND($I94,6)),Settings!$AI$14:$AI$32,0)),"Undefined"),_xlfn.ANCHORARRAY(Settings!$BC$14),0)),"Inactive")))</f>
        <v>1613</v>
      </c>
      <c r="L94" s="320"/>
      <c r="M94" s="168">
        <f t="shared" si="464"/>
        <v>6.1479999999999997</v>
      </c>
      <c r="N94" s="632">
        <f t="shared" si="465"/>
        <v>-4.5147127530370748</v>
      </c>
      <c r="O94" s="629">
        <f t="shared" si="466"/>
        <v>3.6932771888330334</v>
      </c>
      <c r="P94" s="633">
        <f t="shared" si="467"/>
        <v>-2.7422081800198703</v>
      </c>
      <c r="Q94" s="585">
        <f t="shared" si="520"/>
        <v>140.71499267766097</v>
      </c>
      <c r="R94" s="629">
        <f t="shared" si="79"/>
        <v>5.8329175920794594</v>
      </c>
      <c r="S94" s="634">
        <f t="shared" si="80"/>
        <v>-2.7422081800198703</v>
      </c>
      <c r="T94" s="635">
        <f t="shared" si="81"/>
        <v>3.6928831918158562</v>
      </c>
      <c r="U94" s="629">
        <f t="shared" si="82"/>
        <v>4.5150350350350523</v>
      </c>
      <c r="V94" s="636">
        <f t="shared" si="114"/>
        <v>-2.7422081800198703</v>
      </c>
      <c r="W94" s="585">
        <f t="shared" si="645"/>
        <v>50.719992676939057</v>
      </c>
      <c r="X94" s="629">
        <f t="shared" si="83"/>
        <v>5.8329175920794594</v>
      </c>
      <c r="Y94" s="630">
        <f t="shared" si="644"/>
        <v>-2.7422081800198703</v>
      </c>
      <c r="Z94" s="632">
        <f t="shared" si="468"/>
        <v>0.92246021979671367</v>
      </c>
      <c r="AA94" s="629">
        <f t="shared" si="469"/>
        <v>0.37871173189191865</v>
      </c>
      <c r="AB94" s="629">
        <f t="shared" si="470"/>
        <v>-7.5130333554578307E-2</v>
      </c>
      <c r="AC94" s="636">
        <f t="shared" si="84"/>
        <v>1</v>
      </c>
      <c r="AD94" s="637">
        <f t="shared" si="115"/>
        <v>0.92246021979671367</v>
      </c>
      <c r="AE94" s="629">
        <f t="shared" si="85"/>
        <v>0.37871173189191865</v>
      </c>
      <c r="AF94" s="633">
        <f t="shared" si="86"/>
        <v>-7.5130333554578307E-2</v>
      </c>
      <c r="AG94" s="602">
        <f t="shared" si="87"/>
        <v>78.779126091594122</v>
      </c>
      <c r="AH94" s="603">
        <f t="shared" si="88"/>
        <v>22.711558583719441</v>
      </c>
      <c r="AI94" s="585">
        <f t="shared" si="89"/>
        <v>-85.691289004352171</v>
      </c>
      <c r="AJ94" s="586">
        <f t="shared" si="90"/>
        <v>112.32037251309688</v>
      </c>
      <c r="AK94" s="635">
        <f t="shared" si="211"/>
        <v>0.87720697100645928</v>
      </c>
      <c r="AL94" s="629">
        <f t="shared" si="91"/>
        <v>-0.47419759910574255</v>
      </c>
      <c r="AM94" s="634">
        <f t="shared" si="92"/>
        <v>-7.5130333554578307E-2</v>
      </c>
      <c r="AN94" s="581">
        <f t="shared" si="93"/>
        <v>-80.997075408626856</v>
      </c>
      <c r="AO94" s="582">
        <f t="shared" si="461"/>
        <v>28.692744201986997</v>
      </c>
      <c r="AP94" s="585">
        <f t="shared" si="95"/>
        <v>-28.394620164564081</v>
      </c>
      <c r="AQ94" s="586">
        <f t="shared" si="471"/>
        <v>0.39083207282227828</v>
      </c>
      <c r="AS94" s="52">
        <f t="shared" si="543"/>
        <v>-309.28000732306094</v>
      </c>
      <c r="AT94" s="73">
        <f t="shared" si="472"/>
        <v>-2.5274269249349128</v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>
        <f t="shared" si="643"/>
        <v>6.1479999999999997</v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IFERROR(ROUND(VALUE(IF($IH94&lt;1,$IH94+LARGE((IF($M$9:$M$150="",0,$M$9:$M$150)-MOD(IF($M$9:$M$150="",0,$M$9:$M$150),1)),1),$IH94)),4),"")</f>
        <v/>
      </c>
      <c r="IJ94" s="533">
        <f t="shared" si="542"/>
        <v>1613</v>
      </c>
      <c r="IK94" s="533" t="str">
        <f t="shared" si="517"/>
        <v/>
      </c>
      <c r="IL94" s="727" t="str">
        <f t="shared" si="647"/>
        <v/>
      </c>
      <c r="IM94" s="759"/>
      <c r="IN94" s="5" t="str">
        <f t="shared" si="648"/>
        <v/>
      </c>
      <c r="IO94" s="771"/>
      <c r="IP94" s="9" t="str">
        <f t="shared" si="649"/>
        <v/>
      </c>
      <c r="IQ94" s="5" t="str">
        <f t="shared" si="650"/>
        <v/>
      </c>
      <c r="IR94" s="5" t="str">
        <f t="shared" si="518"/>
        <v/>
      </c>
      <c r="IS94" s="5" t="str">
        <f t="shared" si="651"/>
        <v/>
      </c>
      <c r="IT94" s="727" t="str">
        <f t="shared" si="652"/>
        <v/>
      </c>
      <c r="IU94" s="9" t="str">
        <f t="shared" si="653"/>
        <v/>
      </c>
      <c r="IV94" s="5" t="str">
        <f t="shared" si="654"/>
        <v/>
      </c>
      <c r="IW94" s="5" t="str">
        <f t="shared" si="519"/>
        <v/>
      </c>
      <c r="IX94" s="5" t="str">
        <f t="shared" si="655"/>
        <v/>
      </c>
      <c r="IY94" s="762" t="str">
        <f t="shared" si="656"/>
        <v/>
      </c>
    </row>
    <row r="95" spans="1:259" ht="15" customHeight="1" x14ac:dyDescent="0.25">
      <c r="A95" s="79"/>
      <c r="B95" s="707">
        <v>-4.5850889672101305</v>
      </c>
      <c r="C95" s="708">
        <v>3.7760291374227326</v>
      </c>
      <c r="D95" s="709">
        <v>-3.4636103557688322</v>
      </c>
      <c r="E95" s="710">
        <v>-0.96350442357463439</v>
      </c>
      <c r="F95" s="708">
        <v>-0.26769240884286349</v>
      </c>
      <c r="G95" s="711">
        <v>1.300841925034794E-7</v>
      </c>
      <c r="H95" s="710">
        <v>0.26600000000000001</v>
      </c>
      <c r="I95" s="708">
        <v>0.52</v>
      </c>
      <c r="J95" s="570">
        <v>6.1539999999999999</v>
      </c>
      <c r="K95" s="865">
        <f>IF($J95="","",IF(IFERROR(INDEX(Settings!$AK$14:$AK$32,MATCH((((ROUND($H95,6)*2)*1000000)+ROUND($I95,6)),Settings!$AI$14:$AI$32,0)),"Undefined")="Undefined","Undefined",IFERROR(INDEX(_xlfn.ANCHORARRAY(Settings!$BC$14),MATCH(IFERROR(INDEX(Settings!$AK$14:$AK$32,MATCH((((ROUND($H95,6)*2)*1000000)+ROUND($I95,6)),Settings!$AI$14:$AI$32,0)),"Undefined"),_xlfn.ANCHORARRAY(Settings!$BC$14),0)),"Inactive")))</f>
        <v>1313</v>
      </c>
      <c r="L95" s="320"/>
      <c r="M95" s="168">
        <f t="shared" si="464"/>
        <v>6.1539999999999999</v>
      </c>
      <c r="N95" s="632">
        <f t="shared" si="465"/>
        <v>-4.5850889672101305</v>
      </c>
      <c r="O95" s="629">
        <f t="shared" si="466"/>
        <v>3.7760291374227326</v>
      </c>
      <c r="P95" s="633">
        <f t="shared" si="467"/>
        <v>-3.4636103557688322</v>
      </c>
      <c r="Q95" s="585">
        <f t="shared" si="520"/>
        <v>140.52699273564099</v>
      </c>
      <c r="R95" s="629">
        <f t="shared" si="79"/>
        <v>5.9398179167292264</v>
      </c>
      <c r="S95" s="634">
        <f t="shared" si="80"/>
        <v>-3.4636103557688322</v>
      </c>
      <c r="T95" s="635">
        <f t="shared" si="81"/>
        <v>3.7756289986080889</v>
      </c>
      <c r="U95" s="629">
        <f t="shared" si="82"/>
        <v>4.5854184704089125</v>
      </c>
      <c r="V95" s="636">
        <f t="shared" si="114"/>
        <v>-3.4636103557688322</v>
      </c>
      <c r="W95" s="585">
        <f t="shared" si="645"/>
        <v>50.531992734919072</v>
      </c>
      <c r="X95" s="629">
        <f t="shared" si="83"/>
        <v>5.9398179167292264</v>
      </c>
      <c r="Y95" s="630">
        <f t="shared" si="644"/>
        <v>-3.4636103557688322</v>
      </c>
      <c r="Z95" s="632">
        <f t="shared" si="468"/>
        <v>0.96350442357463439</v>
      </c>
      <c r="AA95" s="629">
        <f t="shared" si="469"/>
        <v>0.26769240884286349</v>
      </c>
      <c r="AB95" s="629">
        <f t="shared" si="470"/>
        <v>-1.300841925034794E-7</v>
      </c>
      <c r="AC95" s="636">
        <f t="shared" si="84"/>
        <v>1</v>
      </c>
      <c r="AD95" s="637">
        <f t="shared" si="115"/>
        <v>0.96350442357463439</v>
      </c>
      <c r="AE95" s="629">
        <f t="shared" si="85"/>
        <v>0.26769240884286349</v>
      </c>
      <c r="AF95" s="633">
        <f t="shared" si="86"/>
        <v>-1.300841925034794E-7</v>
      </c>
      <c r="AG95" s="602">
        <f t="shared" si="87"/>
        <v>89.999972157315767</v>
      </c>
      <c r="AH95" s="603">
        <f t="shared" si="88"/>
        <v>15.526997758181309</v>
      </c>
      <c r="AI95" s="585">
        <f t="shared" si="89"/>
        <v>-89.999992546724783</v>
      </c>
      <c r="AJ95" s="586">
        <f t="shared" si="90"/>
        <v>105.52699775817958</v>
      </c>
      <c r="AK95" s="635">
        <f t="shared" si="211"/>
        <v>0.81915209456859772</v>
      </c>
      <c r="AL95" s="629">
        <f t="shared" si="91"/>
        <v>-0.57357636454430572</v>
      </c>
      <c r="AM95" s="634">
        <f t="shared" si="92"/>
        <v>-1.300841925034794E-7</v>
      </c>
      <c r="AN95" s="581">
        <f t="shared" si="93"/>
        <v>-89.999987005609597</v>
      </c>
      <c r="AO95" s="582">
        <f t="shared" si="461"/>
        <v>34.999994977462087</v>
      </c>
      <c r="AP95" s="585">
        <f t="shared" si="95"/>
        <v>-34.999994977461405</v>
      </c>
      <c r="AQ95" s="586">
        <f t="shared" si="471"/>
        <v>0.3837983868040053</v>
      </c>
      <c r="AS95" s="52">
        <f t="shared" si="543"/>
        <v>-309.46800726508093</v>
      </c>
      <c r="AT95" s="73">
        <f t="shared" si="472"/>
        <v>-3.2486985451685828</v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>
        <f t="shared" si="643"/>
        <v>6.1539999999999999</v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IFERROR(ROUND(VALUE(IF($IH95&lt;1,$IH95+LARGE((IF($M$9:$M$150="",0,$M$9:$M$150)-MOD(IF($M$9:$M$150="",0,$M$9:$M$150),1)),1),$IH95)),4),"")</f>
        <v/>
      </c>
      <c r="IJ95" s="533">
        <f t="shared" si="542"/>
        <v>1313</v>
      </c>
      <c r="IK95" s="533" t="str">
        <f t="shared" si="517"/>
        <v/>
      </c>
      <c r="IL95" s="727" t="str">
        <f t="shared" si="647"/>
        <v/>
      </c>
      <c r="IM95" s="759"/>
      <c r="IN95" s="5" t="str">
        <f t="shared" si="648"/>
        <v/>
      </c>
      <c r="IO95" s="771"/>
      <c r="IP95" s="9" t="str">
        <f t="shared" si="649"/>
        <v/>
      </c>
      <c r="IQ95" s="5" t="str">
        <f t="shared" si="650"/>
        <v/>
      </c>
      <c r="IR95" s="5" t="str">
        <f t="shared" si="518"/>
        <v/>
      </c>
      <c r="IS95" s="5" t="str">
        <f t="shared" si="651"/>
        <v/>
      </c>
      <c r="IT95" s="727" t="str">
        <f t="shared" si="652"/>
        <v/>
      </c>
      <c r="IU95" s="9" t="str">
        <f t="shared" si="653"/>
        <v/>
      </c>
      <c r="IV95" s="5" t="str">
        <f t="shared" si="654"/>
        <v/>
      </c>
      <c r="IW95" s="5" t="str">
        <f t="shared" si="519"/>
        <v/>
      </c>
      <c r="IX95" s="5" t="str">
        <f t="shared" si="655"/>
        <v/>
      </c>
      <c r="IY95" s="762" t="str">
        <f t="shared" si="656"/>
        <v/>
      </c>
    </row>
    <row r="96" spans="1:259" ht="15" customHeight="1" x14ac:dyDescent="0.25">
      <c r="A96" s="79"/>
      <c r="B96" s="707">
        <v>-2.071117011743782</v>
      </c>
      <c r="C96" s="708">
        <v>2.9006001102390986</v>
      </c>
      <c r="D96" s="709">
        <v>-0.13183664851352025</v>
      </c>
      <c r="E96" s="710">
        <v>-5.4888518999983461E-2</v>
      </c>
      <c r="F96" s="708">
        <v>7.6871000061063705E-2</v>
      </c>
      <c r="G96" s="711">
        <v>0.99552905524228708</v>
      </c>
      <c r="H96" s="710">
        <v>0.26250000000000001</v>
      </c>
      <c r="I96" s="708">
        <v>0.40699999999999997</v>
      </c>
      <c r="J96" s="570">
        <v>6.218</v>
      </c>
      <c r="K96" s="865" t="str">
        <f>IF($J96="","",IF(IFERROR(INDEX(Settings!$AK$14:$AK$32,MATCH((((ROUND($H96,6)*2)*1000000)+ROUND($I96,6)),Settings!$AI$14:$AI$32,0)),"Undefined")="Undefined","Undefined",IFERROR(INDEX(_xlfn.ANCHORARRAY(Settings!$BC$14),MATCH(IFERROR(INDEX(Settings!$AK$14:$AK$32,MATCH((((ROUND($H96,6)*2)*1000000)+ROUND($I96,6)),Settings!$AI$14:$AI$32,0)),"Undefined"),_xlfn.ANCHORARRAY(Settings!$BC$14),0)),"Inactive")))</f>
        <v>Inactive</v>
      </c>
      <c r="L96" s="320"/>
      <c r="M96" s="168">
        <f t="shared" si="464"/>
        <v>6.218</v>
      </c>
      <c r="N96" s="632">
        <f t="shared" si="465"/>
        <v>-2.071117011743782</v>
      </c>
      <c r="O96" s="629">
        <f t="shared" si="466"/>
        <v>2.9006001102390986</v>
      </c>
      <c r="P96" s="633">
        <f t="shared" si="467"/>
        <v>-0.13183664851352025</v>
      </c>
      <c r="Q96" s="585">
        <f t="shared" si="520"/>
        <v>125.52799487039218</v>
      </c>
      <c r="R96" s="629">
        <f t="shared" si="79"/>
        <v>3.5641277580711894</v>
      </c>
      <c r="S96" s="634">
        <f t="shared" si="80"/>
        <v>-0.13183664851352025</v>
      </c>
      <c r="T96" s="635">
        <f t="shared" si="81"/>
        <v>2.9004193601655159</v>
      </c>
      <c r="U96" s="629">
        <f t="shared" si="82"/>
        <v>2.071370128931723</v>
      </c>
      <c r="V96" s="636">
        <f t="shared" si="114"/>
        <v>-0.13183664851352025</v>
      </c>
      <c r="W96" s="585">
        <f t="shared" si="645"/>
        <v>35.532994869670262</v>
      </c>
      <c r="X96" s="629">
        <f t="shared" si="83"/>
        <v>3.5641277580711894</v>
      </c>
      <c r="Y96" s="630">
        <f t="shared" si="644"/>
        <v>-0.13183664851352025</v>
      </c>
      <c r="Z96" s="632">
        <f t="shared" si="468"/>
        <v>5.4888518999983461E-2</v>
      </c>
      <c r="AA96" s="629">
        <f t="shared" si="469"/>
        <v>-7.6871000061063705E-2</v>
      </c>
      <c r="AB96" s="629">
        <f t="shared" si="470"/>
        <v>-0.99552905524228708</v>
      </c>
      <c r="AC96" s="636">
        <f t="shared" si="84"/>
        <v>1</v>
      </c>
      <c r="AD96" s="637">
        <f t="shared" si="115"/>
        <v>5.4888518999983461E-2</v>
      </c>
      <c r="AE96" s="629">
        <f t="shared" si="85"/>
        <v>-7.6871000061063705E-2</v>
      </c>
      <c r="AF96" s="633">
        <f t="shared" si="86"/>
        <v>-0.99552905524228708</v>
      </c>
      <c r="AG96" s="602">
        <f t="shared" si="87"/>
        <v>-4.4154025865311537</v>
      </c>
      <c r="AH96" s="603">
        <f t="shared" si="88"/>
        <v>86.853538249994855</v>
      </c>
      <c r="AI96" s="585">
        <f t="shared" si="89"/>
        <v>-5.4199992174643734</v>
      </c>
      <c r="AJ96" s="586">
        <f t="shared" si="90"/>
        <v>35.528132441498748</v>
      </c>
      <c r="AK96" s="635">
        <f t="shared" si="211"/>
        <v>2.267948966822031E-7</v>
      </c>
      <c r="AL96" s="629">
        <f t="shared" si="91"/>
        <v>-9.4455810664819173E-2</v>
      </c>
      <c r="AM96" s="634">
        <f t="shared" si="92"/>
        <v>-0.99552905524228708</v>
      </c>
      <c r="AN96" s="581">
        <f t="shared" si="93"/>
        <v>-5.4199992174489333</v>
      </c>
      <c r="AO96" s="582">
        <f t="shared" si="461"/>
        <v>0</v>
      </c>
      <c r="AP96" s="585">
        <f t="shared" si="95"/>
        <v>-89.999862428893437</v>
      </c>
      <c r="AQ96" s="586">
        <f t="shared" si="471"/>
        <v>0.63960443852099824</v>
      </c>
      <c r="AS96" s="52">
        <f t="shared" si="543"/>
        <v>-324.46700513032977</v>
      </c>
      <c r="AT96" s="73">
        <f t="shared" si="472"/>
        <v>9.3491132826485218E-2</v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>Nose</v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>
        <f t="shared" si="643"/>
        <v>6.218</v>
      </c>
      <c r="IH96" s="731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>0.11799999999999999</v>
      </c>
      <c r="II96" s="734" cm="1">
        <f t="array" ref="II96">IFERROR(ROUND(VALUE(IF($IH96&lt;1,$IH96+LARGE((IF($M$9:$M$150="",0,$M$9:$M$150)-MOD(IF($M$9:$M$150="",0,$M$9:$M$150),1)),1),$IH96)),4),"")</f>
        <v>6.1180000000000003</v>
      </c>
      <c r="IJ96" s="533">
        <f t="shared" si="542"/>
        <v>1613</v>
      </c>
      <c r="IK96" s="533" t="str">
        <f t="shared" si="517"/>
        <v>Inactive</v>
      </c>
      <c r="IL96" s="727">
        <f t="shared" si="647"/>
        <v>18.640997308572992</v>
      </c>
      <c r="IM96" s="759">
        <v>4.3889215041273098E-2</v>
      </c>
      <c r="IN96" s="5">
        <f t="shared" si="648"/>
        <v>0.88</v>
      </c>
      <c r="IO96" s="771">
        <v>440</v>
      </c>
      <c r="IP96" s="9">
        <f t="shared" si="649"/>
        <v>-3.5604107381987875</v>
      </c>
      <c r="IQ96" s="5">
        <f t="shared" si="650"/>
        <v>-0.12530028742566687</v>
      </c>
      <c r="IR96" s="5">
        <f t="shared" si="518"/>
        <v>0.314</v>
      </c>
      <c r="IS96" s="5">
        <f t="shared" si="651"/>
        <v>0.30252109035161129</v>
      </c>
      <c r="IT96" s="727">
        <f t="shared" si="652"/>
        <v>20.932724059184295</v>
      </c>
      <c r="IU96" s="9">
        <f t="shared" si="653"/>
        <v>-3.5641277580711894</v>
      </c>
      <c r="IV96" s="5">
        <f t="shared" si="654"/>
        <v>-0.13183664851352025</v>
      </c>
      <c r="IW96" s="5">
        <f t="shared" si="519"/>
        <v>0.26250000000000001</v>
      </c>
      <c r="IX96" s="5">
        <f t="shared" si="655"/>
        <v>0.26250000000000001</v>
      </c>
      <c r="IY96" s="762">
        <f t="shared" si="656"/>
        <v>5.4199992174489333</v>
      </c>
    </row>
    <row r="97" spans="1:259" ht="15" customHeight="1" x14ac:dyDescent="0.25">
      <c r="A97" s="79"/>
      <c r="B97" s="707">
        <v>-2.8145361234279904</v>
      </c>
      <c r="C97" s="708">
        <v>3.2579122231802486</v>
      </c>
      <c r="D97" s="709">
        <v>-0.27651623793421276</v>
      </c>
      <c r="E97" s="710">
        <v>-0.82611261544326053</v>
      </c>
      <c r="F97" s="708">
        <v>-0.4220823043228708</v>
      </c>
      <c r="G97" s="711">
        <v>0.37334230269685631</v>
      </c>
      <c r="H97" s="710">
        <v>0.26600000000000001</v>
      </c>
      <c r="I97" s="708">
        <v>0.52</v>
      </c>
      <c r="J97" s="570">
        <v>6.2240000000000002</v>
      </c>
      <c r="K97" s="865">
        <f>IF($J97="","",IF(IFERROR(INDEX(Settings!$AK$14:$AK$32,MATCH((((ROUND($H97,6)*2)*1000000)+ROUND($I97,6)),Settings!$AI$14:$AI$32,0)),"Undefined")="Undefined","Undefined",IFERROR(INDEX(_xlfn.ANCHORARRAY(Settings!$BC$14),MATCH(IFERROR(INDEX(Settings!$AK$14:$AK$32,MATCH((((ROUND($H97,6)*2)*1000000)+ROUND($I97,6)),Settings!$AI$14:$AI$32,0)),"Undefined"),_xlfn.ANCHORARRAY(Settings!$BC$14),0)),"Inactive")))</f>
        <v>1313</v>
      </c>
      <c r="L97" s="320"/>
      <c r="M97" s="168">
        <f t="shared" si="464"/>
        <v>6.2240000000000002</v>
      </c>
      <c r="N97" s="632">
        <f t="shared" si="465"/>
        <v>-2.8145361234279904</v>
      </c>
      <c r="O97" s="629">
        <f t="shared" si="466"/>
        <v>3.2579122231802486</v>
      </c>
      <c r="P97" s="633">
        <f t="shared" si="467"/>
        <v>-0.27651623793421276</v>
      </c>
      <c r="Q97" s="585">
        <f t="shared" si="520"/>
        <v>130.8239941057445</v>
      </c>
      <c r="R97" s="629">
        <f t="shared" si="79"/>
        <v>4.3052997159348072</v>
      </c>
      <c r="S97" s="634">
        <f t="shared" si="80"/>
        <v>-0.27651623793421276</v>
      </c>
      <c r="T97" s="635">
        <f t="shared" si="81"/>
        <v>3.2576665961994666</v>
      </c>
      <c r="U97" s="629">
        <f t="shared" si="82"/>
        <v>2.8148204191448012</v>
      </c>
      <c r="V97" s="636">
        <f t="shared" si="114"/>
        <v>-0.27651623793421276</v>
      </c>
      <c r="W97" s="585">
        <f t="shared" si="645"/>
        <v>40.828994105022588</v>
      </c>
      <c r="X97" s="629">
        <f t="shared" si="83"/>
        <v>4.3052997159348072</v>
      </c>
      <c r="Y97" s="630">
        <f t="shared" si="644"/>
        <v>-0.27651623793421276</v>
      </c>
      <c r="Z97" s="632">
        <f t="shared" si="468"/>
        <v>0.82611261544326053</v>
      </c>
      <c r="AA97" s="629">
        <f t="shared" si="469"/>
        <v>0.4220823043228708</v>
      </c>
      <c r="AB97" s="629">
        <f t="shared" si="470"/>
        <v>-0.37334230269685631</v>
      </c>
      <c r="AC97" s="636">
        <f t="shared" si="84"/>
        <v>1</v>
      </c>
      <c r="AD97" s="637">
        <f t="shared" si="115"/>
        <v>0.82611261544326053</v>
      </c>
      <c r="AE97" s="629">
        <f t="shared" si="85"/>
        <v>0.4220823043228708</v>
      </c>
      <c r="AF97" s="633">
        <f t="shared" si="86"/>
        <v>-0.37334230269685631</v>
      </c>
      <c r="AG97" s="602">
        <f t="shared" si="87"/>
        <v>48.506440600377005</v>
      </c>
      <c r="AH97" s="603">
        <f t="shared" si="88"/>
        <v>34.298543909129855</v>
      </c>
      <c r="AI97" s="585">
        <f t="shared" si="89"/>
        <v>-68.0781059779207</v>
      </c>
      <c r="AJ97" s="586">
        <f t="shared" si="90"/>
        <v>117.06366427783897</v>
      </c>
      <c r="AK97" s="635">
        <f t="shared" si="211"/>
        <v>0.90106811049509572</v>
      </c>
      <c r="AL97" s="629">
        <f t="shared" si="91"/>
        <v>-0.22066215186525967</v>
      </c>
      <c r="AM97" s="634">
        <f t="shared" si="92"/>
        <v>-0.37334230269685631</v>
      </c>
      <c r="AN97" s="581">
        <f t="shared" si="93"/>
        <v>-30.585003974577397</v>
      </c>
      <c r="AO97" s="582">
        <f t="shared" si="461"/>
        <v>25.70117728856215</v>
      </c>
      <c r="AP97" s="585">
        <f t="shared" si="95"/>
        <v>-13.760329827905537</v>
      </c>
      <c r="AQ97" s="586">
        <f t="shared" si="471"/>
        <v>0.52950128473281333</v>
      </c>
      <c r="AS97" s="52">
        <f t="shared" si="543"/>
        <v>-319.17100589497738</v>
      </c>
      <c r="AT97" s="73">
        <f t="shared" si="472"/>
        <v>-5.48662338409798E-2</v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>Nose</v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>
        <f t="shared" si="643"/>
        <v>6.2240000000000002</v>
      </c>
      <c r="IH97" s="731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>0.124</v>
      </c>
      <c r="II97" s="734" cm="1">
        <f t="array" ref="II97">IFERROR(ROUND(VALUE(IF($IH97&lt;1,$IH97+LARGE((IF($M$9:$M$150="",0,$M$9:$M$150)-MOD(IF($M$9:$M$150="",0,$M$9:$M$150),1)),1),$IH97)),4),"")</f>
        <v>6.1239999999999997</v>
      </c>
      <c r="IJ97" s="533">
        <f t="shared" si="542"/>
        <v>1613</v>
      </c>
      <c r="IK97" s="533">
        <f t="shared" si="517"/>
        <v>1313</v>
      </c>
      <c r="IL97" s="727">
        <f t="shared" si="647"/>
        <v>12.389998211105592</v>
      </c>
      <c r="IM97" s="759">
        <v>1.3126706512356701E-2</v>
      </c>
      <c r="IN97" s="5">
        <f t="shared" si="648"/>
        <v>0.36</v>
      </c>
      <c r="IO97" s="771">
        <v>180</v>
      </c>
      <c r="IP97" s="9">
        <f t="shared" si="649"/>
        <v>-4.2879129323454039</v>
      </c>
      <c r="IQ97" s="5">
        <f t="shared" si="650"/>
        <v>-0.32240088188105975</v>
      </c>
      <c r="IR97" s="5">
        <f t="shared" si="518"/>
        <v>0.314</v>
      </c>
      <c r="IS97" s="5">
        <f t="shared" si="651"/>
        <v>0.30154721809609181</v>
      </c>
      <c r="IT97" s="727">
        <f t="shared" si="652"/>
        <v>38.89962227990894</v>
      </c>
      <c r="IU97" s="9">
        <f t="shared" si="653"/>
        <v>-4.3052997159348072</v>
      </c>
      <c r="IV97" s="5">
        <f t="shared" si="654"/>
        <v>-0.27651623793421276</v>
      </c>
      <c r="IW97" s="5">
        <f t="shared" si="519"/>
        <v>0.26600000000000001</v>
      </c>
      <c r="IX97" s="5">
        <f t="shared" si="655"/>
        <v>0.23968411739169548</v>
      </c>
      <c r="IY97" s="762">
        <f t="shared" si="656"/>
        <v>30.585003974577397</v>
      </c>
    </row>
    <row r="98" spans="1:259" ht="15" customHeight="1" x14ac:dyDescent="0.25">
      <c r="A98" s="79"/>
      <c r="B98" s="707">
        <v>-3.2573682704410465</v>
      </c>
      <c r="C98" s="708">
        <v>3.730047758497768</v>
      </c>
      <c r="D98" s="709">
        <v>-0.68395615735680693</v>
      </c>
      <c r="E98" s="710">
        <v>-0.88052206128727806</v>
      </c>
      <c r="F98" s="708">
        <v>-0.3453852639588566</v>
      </c>
      <c r="G98" s="711">
        <v>0.3246381355085598</v>
      </c>
      <c r="H98" s="710">
        <v>0.26600000000000001</v>
      </c>
      <c r="I98" s="708">
        <v>0.52</v>
      </c>
      <c r="J98" s="570">
        <v>6.23</v>
      </c>
      <c r="K98" s="865">
        <f>IF($J98="","",IF(IFERROR(INDEX(Settings!$AK$14:$AK$32,MATCH((((ROUND($H98,6)*2)*1000000)+ROUND($I98,6)),Settings!$AI$14:$AI$32,0)),"Undefined")="Undefined","Undefined",IFERROR(INDEX(_xlfn.ANCHORARRAY(Settings!$BC$14),MATCH(IFERROR(INDEX(Settings!$AK$14:$AK$32,MATCH((((ROUND($H98,6)*2)*1000000)+ROUND($I98,6)),Settings!$AI$14:$AI$32,0)),"Undefined"),_xlfn.ANCHORARRAY(Settings!$BC$14),0)),"Inactive")))</f>
        <v>1313</v>
      </c>
      <c r="L98" s="320"/>
      <c r="M98" s="168">
        <f t="shared" si="464"/>
        <v>6.23</v>
      </c>
      <c r="N98" s="632">
        <f t="shared" si="465"/>
        <v>-3.2573682704410465</v>
      </c>
      <c r="O98" s="629">
        <f t="shared" si="466"/>
        <v>3.730047758497768</v>
      </c>
      <c r="P98" s="633">
        <f t="shared" si="467"/>
        <v>-0.68395615735680693</v>
      </c>
      <c r="Q98" s="585">
        <f t="shared" si="520"/>
        <v>131.12999406156359</v>
      </c>
      <c r="R98" s="629">
        <f t="shared" si="79"/>
        <v>4.9521413883238754</v>
      </c>
      <c r="S98" s="634">
        <f t="shared" si="80"/>
        <v>-0.68395615735680693</v>
      </c>
      <c r="T98" s="635">
        <f t="shared" si="81"/>
        <v>3.72976348532986</v>
      </c>
      <c r="U98" s="629">
        <f t="shared" si="82"/>
        <v>3.2576937660637126</v>
      </c>
      <c r="V98" s="636">
        <f t="shared" si="114"/>
        <v>-0.68395615735680693</v>
      </c>
      <c r="W98" s="585">
        <f t="shared" si="645"/>
        <v>41.134994060841677</v>
      </c>
      <c r="X98" s="629">
        <f t="shared" si="83"/>
        <v>4.9521413883238754</v>
      </c>
      <c r="Y98" s="630">
        <f t="shared" si="644"/>
        <v>-0.68395615735680693</v>
      </c>
      <c r="Z98" s="632">
        <f t="shared" si="468"/>
        <v>0.88052206128727806</v>
      </c>
      <c r="AA98" s="629">
        <f t="shared" si="469"/>
        <v>0.3453852639588566</v>
      </c>
      <c r="AB98" s="629">
        <f t="shared" si="470"/>
        <v>-0.3246381355085598</v>
      </c>
      <c r="AC98" s="636">
        <f t="shared" si="84"/>
        <v>1</v>
      </c>
      <c r="AD98" s="637">
        <f t="shared" si="115"/>
        <v>0.88052206128727806</v>
      </c>
      <c r="AE98" s="629">
        <f t="shared" si="85"/>
        <v>0.3453852639588566</v>
      </c>
      <c r="AF98" s="633">
        <f t="shared" si="86"/>
        <v>-0.3246381355085598</v>
      </c>
      <c r="AG98" s="602">
        <f t="shared" si="87"/>
        <v>46.77358461468603</v>
      </c>
      <c r="AH98" s="603">
        <f t="shared" si="88"/>
        <v>28.29459638247301</v>
      </c>
      <c r="AI98" s="585">
        <f t="shared" si="89"/>
        <v>-71.056347014299888</v>
      </c>
      <c r="AJ98" s="586">
        <f t="shared" si="90"/>
        <v>111.4176217954315</v>
      </c>
      <c r="AK98" s="635">
        <f t="shared" si="211"/>
        <v>0.89041002571260774</v>
      </c>
      <c r="AL98" s="629">
        <f t="shared" si="91"/>
        <v>-0.31902988431179813</v>
      </c>
      <c r="AM98" s="634">
        <f t="shared" si="92"/>
        <v>-0.3246381355085598</v>
      </c>
      <c r="AN98" s="581">
        <f t="shared" si="93"/>
        <v>-44.500797020822162</v>
      </c>
      <c r="AO98" s="582">
        <f t="shared" si="461"/>
        <v>27.075184178330822</v>
      </c>
      <c r="AP98" s="585">
        <f t="shared" si="95"/>
        <v>-19.712372266132096</v>
      </c>
      <c r="AQ98" s="586">
        <f t="shared" si="471"/>
        <v>0.46034177917893698</v>
      </c>
      <c r="AS98" s="52">
        <f t="shared" si="543"/>
        <v>-318.86500593915832</v>
      </c>
      <c r="AT98" s="73">
        <f t="shared" si="472"/>
        <v>-0.46251865323289276</v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>Taper</v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>
        <f t="shared" si="643"/>
        <v>6.23</v>
      </c>
      <c r="IH98" s="731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>0.13</v>
      </c>
      <c r="II98" s="734" cm="1">
        <f t="array" ref="II98">IFERROR(ROUND(VALUE(IF($IH98&lt;1,$IH98+LARGE((IF($M$9:$M$150="",0,$M$9:$M$150)-MOD(IF($M$9:$M$150="",0,$M$9:$M$150),1)),1),$IH98)),4),"")</f>
        <v>6.13</v>
      </c>
      <c r="IJ98" s="533">
        <f t="shared" si="542"/>
        <v>1613</v>
      </c>
      <c r="IK98" s="533">
        <f t="shared" si="517"/>
        <v>1313</v>
      </c>
      <c r="IL98" s="727">
        <f t="shared" si="647"/>
        <v>11.112998395481526</v>
      </c>
      <c r="IM98" s="759">
        <v>1.0794038654810999E-2</v>
      </c>
      <c r="IN98" s="5">
        <f t="shared" si="648"/>
        <v>0.34</v>
      </c>
      <c r="IO98" s="771">
        <v>170</v>
      </c>
      <c r="IP98" s="9">
        <f t="shared" si="649"/>
        <v>-4.9236148496223873</v>
      </c>
      <c r="IQ98" s="5">
        <f t="shared" si="650"/>
        <v>-0.72740210336474342</v>
      </c>
      <c r="IR98" s="5">
        <f t="shared" si="518"/>
        <v>0.314</v>
      </c>
      <c r="IS98" s="5">
        <f t="shared" si="651"/>
        <v>0.29902061519451928</v>
      </c>
      <c r="IT98" s="727">
        <f t="shared" si="652"/>
        <v>53.600681515776252</v>
      </c>
      <c r="IU98" s="9">
        <f t="shared" si="653"/>
        <v>-4.9521413883238754</v>
      </c>
      <c r="IV98" s="5">
        <f t="shared" si="654"/>
        <v>-0.68395615735680693</v>
      </c>
      <c r="IW98" s="5">
        <f t="shared" si="519"/>
        <v>0.26600000000000001</v>
      </c>
      <c r="IX98" s="5">
        <f t="shared" si="655"/>
        <v>0.2368490668395537</v>
      </c>
      <c r="IY98" s="762">
        <f t="shared" si="656"/>
        <v>44.500797020822162</v>
      </c>
    </row>
    <row r="99" spans="1:259" ht="15" customHeight="1" x14ac:dyDescent="0.25">
      <c r="A99" s="79"/>
      <c r="B99" s="707">
        <v>-3.5815755868550689</v>
      </c>
      <c r="C99" s="708">
        <v>4.1063613693767236</v>
      </c>
      <c r="D99" s="709">
        <v>-1.2646777051921576</v>
      </c>
      <c r="E99" s="710">
        <v>-0.9260121816089435</v>
      </c>
      <c r="F99" s="708">
        <v>-0.26483661681804294</v>
      </c>
      <c r="G99" s="711">
        <v>0.26900372842066378</v>
      </c>
      <c r="H99" s="710">
        <v>0.26600000000000001</v>
      </c>
      <c r="I99" s="708">
        <v>0.52</v>
      </c>
      <c r="J99" s="570">
        <v>6.2359999999999998</v>
      </c>
      <c r="K99" s="865">
        <f>IF($J99="","",IF(IFERROR(INDEX(Settings!$AK$14:$AK$32,MATCH((((ROUND($H99,6)*2)*1000000)+ROUND($I99,6)),Settings!$AI$14:$AI$32,0)),"Undefined")="Undefined","Undefined",IFERROR(INDEX(_xlfn.ANCHORARRAY(Settings!$BC$14),MATCH(IFERROR(INDEX(Settings!$AK$14:$AK$32,MATCH((((ROUND($H99,6)*2)*1000000)+ROUND($I99,6)),Settings!$AI$14:$AI$32,0)),"Undefined"),_xlfn.ANCHORARRAY(Settings!$BC$14),0)),"Inactive")))</f>
        <v>1313</v>
      </c>
      <c r="L99" s="320"/>
      <c r="M99" s="168">
        <f t="shared" si="464"/>
        <v>6.2359999999999998</v>
      </c>
      <c r="N99" s="632">
        <f t="shared" si="465"/>
        <v>-3.5815755868550689</v>
      </c>
      <c r="O99" s="629">
        <f t="shared" si="466"/>
        <v>4.1063613693767236</v>
      </c>
      <c r="P99" s="633">
        <f t="shared" si="467"/>
        <v>-1.2646777051921576</v>
      </c>
      <c r="Q99" s="585">
        <f t="shared" si="520"/>
        <v>131.09499406661695</v>
      </c>
      <c r="R99" s="629">
        <f t="shared" si="79"/>
        <v>5.4488427560598325</v>
      </c>
      <c r="S99" s="634">
        <f t="shared" si="80"/>
        <v>-1.2646777051921576</v>
      </c>
      <c r="T99" s="635">
        <f t="shared" si="81"/>
        <v>4.1060488023543895</v>
      </c>
      <c r="U99" s="629">
        <f t="shared" si="82"/>
        <v>3.5819339207961107</v>
      </c>
      <c r="V99" s="636">
        <f t="shared" si="114"/>
        <v>-1.2646777051921576</v>
      </c>
      <c r="W99" s="585">
        <f t="shared" si="645"/>
        <v>41.099994065895032</v>
      </c>
      <c r="X99" s="629">
        <f t="shared" si="83"/>
        <v>5.4488427560598325</v>
      </c>
      <c r="Y99" s="630">
        <f t="shared" si="644"/>
        <v>-1.2646777051921576</v>
      </c>
      <c r="Z99" s="632">
        <f t="shared" si="468"/>
        <v>0.9260121816089435</v>
      </c>
      <c r="AA99" s="629">
        <f t="shared" si="469"/>
        <v>0.26483661681804294</v>
      </c>
      <c r="AB99" s="629">
        <f t="shared" si="470"/>
        <v>-0.26900372842066378</v>
      </c>
      <c r="AC99" s="636">
        <f t="shared" si="84"/>
        <v>1</v>
      </c>
      <c r="AD99" s="637">
        <f t="shared" si="115"/>
        <v>0.9260121816089435</v>
      </c>
      <c r="AE99" s="629">
        <f t="shared" si="85"/>
        <v>0.26483661681804294</v>
      </c>
      <c r="AF99" s="633">
        <f t="shared" si="86"/>
        <v>-0.26900372842066378</v>
      </c>
      <c r="AG99" s="602">
        <f t="shared" si="87"/>
        <v>44.552763179962376</v>
      </c>
      <c r="AH99" s="603">
        <f t="shared" si="88"/>
        <v>22.178518392083248</v>
      </c>
      <c r="AI99" s="585">
        <f t="shared" si="89"/>
        <v>-74.395008504525492</v>
      </c>
      <c r="AJ99" s="586">
        <f t="shared" si="90"/>
        <v>105.9603655064976</v>
      </c>
      <c r="AK99" s="635">
        <f t="shared" si="211"/>
        <v>0.87194166250222604</v>
      </c>
      <c r="AL99" s="629">
        <f t="shared" si="91"/>
        <v>-0.40909012611970469</v>
      </c>
      <c r="AM99" s="634">
        <f t="shared" si="92"/>
        <v>-0.26900372842066378</v>
      </c>
      <c r="AN99" s="581">
        <f t="shared" si="93"/>
        <v>-56.672443035801308</v>
      </c>
      <c r="AO99" s="582">
        <f t="shared" si="461"/>
        <v>29.314936809760937</v>
      </c>
      <c r="AP99" s="585">
        <f t="shared" si="95"/>
        <v>-25.134628560119339</v>
      </c>
      <c r="AQ99" s="586">
        <f t="shared" si="471"/>
        <v>0.41837986797434984</v>
      </c>
      <c r="AS99" s="52">
        <f t="shared" si="543"/>
        <v>-318.90000593410497</v>
      </c>
      <c r="AT99" s="73">
        <f t="shared" si="472"/>
        <v>-1.0432158955161972</v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>Taper</v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>
        <f t="shared" si="643"/>
        <v>6.2359999999999998</v>
      </c>
      <c r="IH99" s="731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>0.13600000000000001</v>
      </c>
      <c r="II99" s="734" cm="1">
        <f t="array" ref="II99">IFERROR(ROUND(VALUE(IF($IH99&lt;1,$IH99+LARGE((IF($M$9:$M$150="",0,$M$9:$M$150)-MOD(IF($M$9:$M$150="",0,$M$9:$M$150),1)),1),$IH99)),4),"")</f>
        <v>6.1360000000000001</v>
      </c>
      <c r="IJ99" s="533">
        <f t="shared" si="542"/>
        <v>1613</v>
      </c>
      <c r="IK99" s="533">
        <f t="shared" si="517"/>
        <v>1313</v>
      </c>
      <c r="IL99" s="727">
        <f t="shared" si="647"/>
        <v>10.347998505933873</v>
      </c>
      <c r="IM99" s="759">
        <v>8.7245860173904895E-3</v>
      </c>
      <c r="IN99" s="5">
        <f t="shared" si="648"/>
        <v>0.3</v>
      </c>
      <c r="IO99" s="771">
        <v>150</v>
      </c>
      <c r="IP99" s="9">
        <f t="shared" si="649"/>
        <v>-5.4097163157044097</v>
      </c>
      <c r="IQ99" s="5">
        <f t="shared" si="650"/>
        <v>-1.3034038405859836</v>
      </c>
      <c r="IR99" s="5">
        <f t="shared" si="518"/>
        <v>0.314</v>
      </c>
      <c r="IS99" s="5">
        <f t="shared" si="651"/>
        <v>0.29490929853549047</v>
      </c>
      <c r="IT99" s="727">
        <f t="shared" si="652"/>
        <v>65.204023793863726</v>
      </c>
      <c r="IU99" s="9">
        <f t="shared" si="653"/>
        <v>-5.4488427560598325</v>
      </c>
      <c r="IV99" s="5">
        <f t="shared" si="654"/>
        <v>-1.2646777051921576</v>
      </c>
      <c r="IW99" s="5">
        <f t="shared" si="519"/>
        <v>0.26600000000000001</v>
      </c>
      <c r="IX99" s="5">
        <f t="shared" si="655"/>
        <v>0.23193648222559213</v>
      </c>
      <c r="IY99" s="762">
        <f t="shared" si="656"/>
        <v>56.672443035801308</v>
      </c>
    </row>
    <row r="100" spans="1:259" ht="15" customHeight="1" x14ac:dyDescent="0.25">
      <c r="A100" s="79"/>
      <c r="B100" s="707">
        <v>-3.7709434978666256</v>
      </c>
      <c r="C100" s="708">
        <v>4.3396575742571377</v>
      </c>
      <c r="D100" s="709">
        <v>-1.9679379410112321</v>
      </c>
      <c r="E100" s="710">
        <v>-0.96064254259911475</v>
      </c>
      <c r="F100" s="708">
        <v>-0.19563575421046425</v>
      </c>
      <c r="G100" s="711">
        <v>0.19721195963533988</v>
      </c>
      <c r="H100" s="710">
        <v>0.26600000000000001</v>
      </c>
      <c r="I100" s="708">
        <v>0.52</v>
      </c>
      <c r="J100" s="570">
        <v>6.242</v>
      </c>
      <c r="K100" s="865">
        <f>IF($J100="","",IF(IFERROR(INDEX(Settings!$AK$14:$AK$32,MATCH((((ROUND($H100,6)*2)*1000000)+ROUND($I100,6)),Settings!$AI$14:$AI$32,0)),"Undefined")="Undefined","Undefined",IFERROR(INDEX(_xlfn.ANCHORARRAY(Settings!$BC$14),MATCH(IFERROR(INDEX(Settings!$AK$14:$AK$32,MATCH((((ROUND($H100,6)*2)*1000000)+ROUND($I100,6)),Settings!$AI$14:$AI$32,0)),"Undefined"),_xlfn.ANCHORARRAY(Settings!$BC$14),0)),"Inactive")))</f>
        <v>1313</v>
      </c>
      <c r="L100" s="320"/>
      <c r="M100" s="168">
        <f t="shared" si="464"/>
        <v>6.242</v>
      </c>
      <c r="N100" s="632">
        <f t="shared" si="465"/>
        <v>-3.7709434978666256</v>
      </c>
      <c r="O100" s="629">
        <f t="shared" si="466"/>
        <v>4.3396575742571377</v>
      </c>
      <c r="P100" s="633">
        <f t="shared" si="467"/>
        <v>-1.9679379410112321</v>
      </c>
      <c r="Q100" s="585">
        <f t="shared" si="520"/>
        <v>130.98899408192145</v>
      </c>
      <c r="R100" s="629">
        <f t="shared" si="79"/>
        <v>5.7491427818336467</v>
      </c>
      <c r="S100" s="634">
        <f t="shared" si="80"/>
        <v>-1.9679379410112321</v>
      </c>
      <c r="T100" s="635">
        <f t="shared" si="81"/>
        <v>4.3393284808811607</v>
      </c>
      <c r="U100" s="629">
        <f t="shared" si="82"/>
        <v>3.7713221900181795</v>
      </c>
      <c r="V100" s="636">
        <f t="shared" si="114"/>
        <v>-1.9679379410112321</v>
      </c>
      <c r="W100" s="585">
        <f t="shared" si="645"/>
        <v>40.993994081199531</v>
      </c>
      <c r="X100" s="629">
        <f t="shared" si="83"/>
        <v>5.7491427818336467</v>
      </c>
      <c r="Y100" s="630">
        <f t="shared" si="644"/>
        <v>-1.9679379410112321</v>
      </c>
      <c r="Z100" s="632">
        <f t="shared" si="468"/>
        <v>0.96064254259911475</v>
      </c>
      <c r="AA100" s="629">
        <f t="shared" si="469"/>
        <v>0.19563575421046425</v>
      </c>
      <c r="AB100" s="629">
        <f t="shared" si="470"/>
        <v>-0.19721195963533988</v>
      </c>
      <c r="AC100" s="636">
        <f t="shared" si="84"/>
        <v>1</v>
      </c>
      <c r="AD100" s="637">
        <f t="shared" si="115"/>
        <v>0.96064254259911475</v>
      </c>
      <c r="AE100" s="629">
        <f t="shared" si="85"/>
        <v>0.19563575421046425</v>
      </c>
      <c r="AF100" s="633">
        <f t="shared" si="86"/>
        <v>-0.19721195963533988</v>
      </c>
      <c r="AG100" s="602">
        <f t="shared" si="87"/>
        <v>44.770115923540182</v>
      </c>
      <c r="AH100" s="603">
        <f t="shared" si="88"/>
        <v>16.12820117079459</v>
      </c>
      <c r="AI100" s="585">
        <f t="shared" si="89"/>
        <v>-78.626030826616642</v>
      </c>
      <c r="AJ100" s="586">
        <f t="shared" si="90"/>
        <v>101.51092831614829</v>
      </c>
      <c r="AK100" s="635">
        <f t="shared" si="211"/>
        <v>0.85344741775036348</v>
      </c>
      <c r="AL100" s="629">
        <f t="shared" si="91"/>
        <v>-0.48242610637487859</v>
      </c>
      <c r="AM100" s="634">
        <f t="shared" si="92"/>
        <v>-0.19721195963533988</v>
      </c>
      <c r="AN100" s="581">
        <f t="shared" si="93"/>
        <v>-67.765646121119303</v>
      </c>
      <c r="AO100" s="582">
        <f t="shared" si="461"/>
        <v>31.411366868747088</v>
      </c>
      <c r="AP100" s="585">
        <f t="shared" si="95"/>
        <v>-29.478065765773156</v>
      </c>
      <c r="AQ100" s="586">
        <f t="shared" si="471"/>
        <v>0.39652698178974066</v>
      </c>
      <c r="AS100" s="52">
        <f t="shared" si="543"/>
        <v>-319.0060059188005</v>
      </c>
      <c r="AT100" s="73">
        <f t="shared" si="472"/>
        <v>-1.7464025202347886</v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>Taper</v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>
        <f t="shared" si="643"/>
        <v>6.242</v>
      </c>
      <c r="IH100" s="731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>0.14199999999999999</v>
      </c>
      <c r="II100" s="734" cm="1">
        <f t="array" ref="II100">IFERROR(ROUND(VALUE(IF($IH100&lt;1,$IH100+LARGE((IF($M$9:$M$150="",0,$M$9:$M$150)-MOD(IF($M$9:$M$150="",0,$M$9:$M$150),1)),1),$IH100)),4),"")</f>
        <v>6.1420000000000003</v>
      </c>
      <c r="IJ100" s="533">
        <f t="shared" si="542"/>
        <v>1613</v>
      </c>
      <c r="IK100" s="533">
        <f t="shared" si="517"/>
        <v>1313</v>
      </c>
      <c r="IL100" s="727">
        <f t="shared" si="647"/>
        <v>9.9539985628204306</v>
      </c>
      <c r="IM100" s="759">
        <v>6.7343872942502497E-3</v>
      </c>
      <c r="IN100" s="5">
        <f t="shared" si="648"/>
        <v>0.3</v>
      </c>
      <c r="IO100" s="771">
        <v>150</v>
      </c>
      <c r="IP100" s="9">
        <f t="shared" si="649"/>
        <v>-5.7020171972838671</v>
      </c>
      <c r="IQ100" s="5">
        <f t="shared" si="650"/>
        <v>-1.9982059361091038</v>
      </c>
      <c r="IR100" s="5">
        <f t="shared" si="518"/>
        <v>0.314</v>
      </c>
      <c r="IS100" s="5">
        <f t="shared" si="651"/>
        <v>0.28888667654051331</v>
      </c>
      <c r="IT100" s="727">
        <f t="shared" si="652"/>
        <v>74.429968629191876</v>
      </c>
      <c r="IU100" s="9">
        <f t="shared" si="653"/>
        <v>-5.7491427818336467</v>
      </c>
      <c r="IV100" s="5">
        <f t="shared" si="654"/>
        <v>-1.9679379410112321</v>
      </c>
      <c r="IW100" s="5">
        <f t="shared" si="519"/>
        <v>0.26600000000000001</v>
      </c>
      <c r="IX100" s="5">
        <f t="shared" si="655"/>
        <v>0.22701701312159669</v>
      </c>
      <c r="IY100" s="762">
        <f t="shared" si="656"/>
        <v>67.765646121119303</v>
      </c>
    </row>
    <row r="101" spans="1:259" ht="15" customHeight="1" x14ac:dyDescent="0.25">
      <c r="A101" s="79"/>
      <c r="B101" s="707"/>
      <c r="C101" s="708"/>
      <c r="D101" s="709"/>
      <c r="E101" s="710"/>
      <c r="F101" s="708"/>
      <c r="G101" s="711"/>
      <c r="H101" s="710"/>
      <c r="I101" s="708"/>
      <c r="J101" s="570"/>
      <c r="K101" s="865" t="str">
        <f>IF($J101="","",IF(IFERROR(INDEX(Settings!$AK$14:$AK$32,MATCH((((ROUND($H101,6)*2)*1000000)+ROUND($I101,6)),Settings!$AI$14:$AI$32,0)),"Undefined")="Undefined","Undefined",IFERROR(INDEX(_xlfn.ANCHORARRAY(Settings!$BC$14),MATCH(IFERROR(INDEX(Settings!$AK$14:$AK$32,MATCH((((ROUND($H101,6)*2)*1000000)+ROUND($I101,6)),Settings!$AI$14:$AI$32,0)),"Undefined"),_xlfn.ANCHORARRAY(Settings!$BC$14),0)),"Inactive")))</f>
        <v/>
      </c>
      <c r="L101" s="320"/>
      <c r="M101" s="168" t="str">
        <f t="shared" si="464"/>
        <v/>
      </c>
      <c r="N101" s="632" t="str">
        <f t="shared" si="465"/>
        <v/>
      </c>
      <c r="O101" s="629" t="str">
        <f t="shared" si="466"/>
        <v/>
      </c>
      <c r="P101" s="633" t="str">
        <f t="shared" si="467"/>
        <v/>
      </c>
      <c r="Q101" s="585" t="str">
        <f t="shared" si="520"/>
        <v/>
      </c>
      <c r="R101" s="629" t="str">
        <f t="shared" si="79"/>
        <v/>
      </c>
      <c r="S101" s="634" t="str">
        <f t="shared" si="80"/>
        <v/>
      </c>
      <c r="T101" s="635" t="str">
        <f t="shared" si="81"/>
        <v/>
      </c>
      <c r="U101" s="629" t="str">
        <f t="shared" si="82"/>
        <v/>
      </c>
      <c r="V101" s="636" t="str">
        <f t="shared" si="114"/>
        <v/>
      </c>
      <c r="W101" s="585" t="str">
        <f t="shared" si="645"/>
        <v/>
      </c>
      <c r="X101" s="629" t="str">
        <f t="shared" si="83"/>
        <v/>
      </c>
      <c r="Y101" s="630" t="str">
        <f t="shared" si="644"/>
        <v/>
      </c>
      <c r="Z101" s="632" t="str">
        <f t="shared" si="468"/>
        <v/>
      </c>
      <c r="AA101" s="629" t="str">
        <f t="shared" si="469"/>
        <v/>
      </c>
      <c r="AB101" s="629" t="str">
        <f t="shared" si="470"/>
        <v/>
      </c>
      <c r="AC101" s="636" t="str">
        <f t="shared" si="84"/>
        <v/>
      </c>
      <c r="AD101" s="637" t="str">
        <f t="shared" si="115"/>
        <v/>
      </c>
      <c r="AE101" s="629" t="str">
        <f t="shared" si="85"/>
        <v/>
      </c>
      <c r="AF101" s="633" t="str">
        <f t="shared" si="86"/>
        <v/>
      </c>
      <c r="AG101" s="602" t="str">
        <f t="shared" si="87"/>
        <v/>
      </c>
      <c r="AH101" s="603" t="str">
        <f t="shared" si="88"/>
        <v/>
      </c>
      <c r="AI101" s="585" t="str">
        <f t="shared" si="89"/>
        <v/>
      </c>
      <c r="AJ101" s="586" t="str">
        <f t="shared" si="90"/>
        <v/>
      </c>
      <c r="AK101" s="635" t="str">
        <f t="shared" si="211"/>
        <v/>
      </c>
      <c r="AL101" s="629" t="str">
        <f t="shared" si="91"/>
        <v/>
      </c>
      <c r="AM101" s="634" t="str">
        <f t="shared" si="92"/>
        <v/>
      </c>
      <c r="AN101" s="581" t="str">
        <f t="shared" si="93"/>
        <v/>
      </c>
      <c r="AO101" s="582" t="str">
        <f t="shared" si="461"/>
        <v/>
      </c>
      <c r="AP101" s="585" t="str">
        <f t="shared" si="95"/>
        <v/>
      </c>
      <c r="AQ101" s="586" t="str">
        <f t="shared" si="471"/>
        <v/>
      </c>
      <c r="AS101" s="52" t="str">
        <f t="shared" si="543"/>
        <v/>
      </c>
      <c r="AT101" s="73" t="str">
        <f t="shared" si="472"/>
        <v/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643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IFERROR(ROUND(VALUE(IF($IH101&lt;1,$IH101+LARGE((IF($M$9:$M$150="",0,$M$9:$M$150)-MOD(IF($M$9:$M$150="",0,$M$9:$M$150),1)),1),$IH101)),4),"")</f>
        <v/>
      </c>
      <c r="IJ101" s="533" t="str">
        <f t="shared" si="542"/>
        <v/>
      </c>
      <c r="IK101" s="533" t="str">
        <f t="shared" si="517"/>
        <v/>
      </c>
      <c r="IL101" s="727" t="str">
        <f t="shared" si="647"/>
        <v/>
      </c>
      <c r="IM101" s="759"/>
      <c r="IN101" s="5" t="str">
        <f t="shared" si="648"/>
        <v/>
      </c>
      <c r="IO101" s="771"/>
      <c r="IP101" s="9" t="str">
        <f t="shared" si="649"/>
        <v/>
      </c>
      <c r="IQ101" s="5" t="str">
        <f t="shared" si="650"/>
        <v/>
      </c>
      <c r="IR101" s="5" t="str">
        <f t="shared" si="518"/>
        <v/>
      </c>
      <c r="IS101" s="5" t="str">
        <f t="shared" si="651"/>
        <v/>
      </c>
      <c r="IT101" s="727" t="str">
        <f t="shared" si="652"/>
        <v/>
      </c>
      <c r="IU101" s="9" t="str">
        <f t="shared" si="653"/>
        <v/>
      </c>
      <c r="IV101" s="5" t="str">
        <f t="shared" si="654"/>
        <v/>
      </c>
      <c r="IW101" s="5" t="str">
        <f t="shared" si="519"/>
        <v/>
      </c>
      <c r="IX101" s="5" t="str">
        <f t="shared" si="655"/>
        <v/>
      </c>
      <c r="IY101" s="762" t="str">
        <f t="shared" si="656"/>
        <v/>
      </c>
    </row>
    <row r="102" spans="1:259" ht="15" customHeight="1" x14ac:dyDescent="0.25">
      <c r="A102" s="79"/>
      <c r="B102" s="707"/>
      <c r="C102" s="708"/>
      <c r="D102" s="709"/>
      <c r="E102" s="710"/>
      <c r="F102" s="708"/>
      <c r="G102" s="711"/>
      <c r="H102" s="710"/>
      <c r="I102" s="708"/>
      <c r="J102" s="570"/>
      <c r="K102" s="865" t="str">
        <f>IF($J102="","",IF(IFERROR(INDEX(Settings!$AK$14:$AK$32,MATCH((((ROUND($H102,6)*2)*1000000)+ROUND($I102,6)),Settings!$AI$14:$AI$32,0)),"Undefined")="Undefined","Undefined",IFERROR(INDEX(_xlfn.ANCHORARRAY(Settings!$BC$14),MATCH(IFERROR(INDEX(Settings!$AK$14:$AK$32,MATCH((((ROUND($H102,6)*2)*1000000)+ROUND($I102,6)),Settings!$AI$14:$AI$32,0)),"Undefined"),_xlfn.ANCHORARRAY(Settings!$BC$14),0)),"Inactive")))</f>
        <v/>
      </c>
      <c r="L102" s="320"/>
      <c r="M102" s="168" t="str">
        <f t="shared" si="464"/>
        <v/>
      </c>
      <c r="N102" s="632" t="str">
        <f t="shared" si="465"/>
        <v/>
      </c>
      <c r="O102" s="629" t="str">
        <f t="shared" si="466"/>
        <v/>
      </c>
      <c r="P102" s="633" t="str">
        <f t="shared" si="467"/>
        <v/>
      </c>
      <c r="Q102" s="585" t="str">
        <f t="shared" si="520"/>
        <v/>
      </c>
      <c r="R102" s="629" t="str">
        <f t="shared" si="79"/>
        <v/>
      </c>
      <c r="S102" s="634" t="str">
        <f t="shared" si="80"/>
        <v/>
      </c>
      <c r="T102" s="635" t="str">
        <f t="shared" si="81"/>
        <v/>
      </c>
      <c r="U102" s="629" t="str">
        <f t="shared" si="82"/>
        <v/>
      </c>
      <c r="V102" s="636" t="str">
        <f t="shared" si="114"/>
        <v/>
      </c>
      <c r="W102" s="585" t="str">
        <f t="shared" si="645"/>
        <v/>
      </c>
      <c r="X102" s="629" t="str">
        <f t="shared" si="83"/>
        <v/>
      </c>
      <c r="Y102" s="630" t="str">
        <f t="shared" si="644"/>
        <v/>
      </c>
      <c r="Z102" s="632" t="str">
        <f t="shared" si="468"/>
        <v/>
      </c>
      <c r="AA102" s="629" t="str">
        <f t="shared" si="469"/>
        <v/>
      </c>
      <c r="AB102" s="629" t="str">
        <f t="shared" si="470"/>
        <v/>
      </c>
      <c r="AC102" s="636" t="str">
        <f t="shared" si="84"/>
        <v/>
      </c>
      <c r="AD102" s="637" t="str">
        <f t="shared" si="115"/>
        <v/>
      </c>
      <c r="AE102" s="629" t="str">
        <f t="shared" si="85"/>
        <v/>
      </c>
      <c r="AF102" s="633" t="str">
        <f t="shared" si="86"/>
        <v/>
      </c>
      <c r="AG102" s="602" t="str">
        <f t="shared" si="87"/>
        <v/>
      </c>
      <c r="AH102" s="603" t="str">
        <f t="shared" si="88"/>
        <v/>
      </c>
      <c r="AI102" s="585" t="str">
        <f t="shared" si="89"/>
        <v/>
      </c>
      <c r="AJ102" s="586" t="str">
        <f t="shared" si="90"/>
        <v/>
      </c>
      <c r="AK102" s="635" t="str">
        <f t="shared" si="211"/>
        <v/>
      </c>
      <c r="AL102" s="629" t="str">
        <f t="shared" si="91"/>
        <v/>
      </c>
      <c r="AM102" s="634" t="str">
        <f t="shared" si="92"/>
        <v/>
      </c>
      <c r="AN102" s="581" t="str">
        <f t="shared" si="93"/>
        <v/>
      </c>
      <c r="AO102" s="582" t="str">
        <f t="shared" si="461"/>
        <v/>
      </c>
      <c r="AP102" s="585" t="str">
        <f t="shared" si="95"/>
        <v/>
      </c>
      <c r="AQ102" s="586" t="str">
        <f t="shared" si="471"/>
        <v/>
      </c>
      <c r="AS102" s="52" t="str">
        <f t="shared" si="543"/>
        <v/>
      </c>
      <c r="AT102" s="73" t="str">
        <f t="shared" si="472"/>
        <v/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643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IFERROR(ROUND(VALUE(IF($IH102&lt;1,$IH102+LARGE((IF($M$9:$M$150="",0,$M$9:$M$150)-MOD(IF($M$9:$M$150="",0,$M$9:$M$150),1)),1),$IH102)),4),"")</f>
        <v/>
      </c>
      <c r="IJ102" s="533" t="str">
        <f t="shared" si="542"/>
        <v/>
      </c>
      <c r="IK102" s="533" t="str">
        <f t="shared" si="517"/>
        <v/>
      </c>
      <c r="IL102" s="727" t="str">
        <f t="shared" si="647"/>
        <v/>
      </c>
      <c r="IM102" s="759"/>
      <c r="IN102" s="5" t="str">
        <f t="shared" si="648"/>
        <v/>
      </c>
      <c r="IO102" s="771"/>
      <c r="IP102" s="9" t="str">
        <f t="shared" si="649"/>
        <v/>
      </c>
      <c r="IQ102" s="5" t="str">
        <f t="shared" si="650"/>
        <v/>
      </c>
      <c r="IR102" s="5" t="str">
        <f t="shared" si="518"/>
        <v/>
      </c>
      <c r="IS102" s="5" t="str">
        <f t="shared" si="651"/>
        <v/>
      </c>
      <c r="IT102" s="727" t="str">
        <f t="shared" si="652"/>
        <v/>
      </c>
      <c r="IU102" s="9" t="str">
        <f t="shared" si="653"/>
        <v/>
      </c>
      <c r="IV102" s="5" t="str">
        <f t="shared" si="654"/>
        <v/>
      </c>
      <c r="IW102" s="5" t="str">
        <f t="shared" si="519"/>
        <v/>
      </c>
      <c r="IX102" s="5" t="str">
        <f t="shared" si="655"/>
        <v/>
      </c>
      <c r="IY102" s="762" t="str">
        <f t="shared" si="656"/>
        <v/>
      </c>
    </row>
    <row r="103" spans="1:259" ht="15" customHeight="1" x14ac:dyDescent="0.25">
      <c r="A103" s="79"/>
      <c r="B103" s="707"/>
      <c r="C103" s="708"/>
      <c r="D103" s="709"/>
      <c r="E103" s="710"/>
      <c r="F103" s="708"/>
      <c r="G103" s="711"/>
      <c r="H103" s="710"/>
      <c r="I103" s="708"/>
      <c r="J103" s="570"/>
      <c r="K103" s="865" t="str">
        <f>IF($J103="","",IF(IFERROR(INDEX(Settings!$AK$14:$AK$32,MATCH((((ROUND($H103,6)*2)*1000000)+ROUND($I103,6)),Settings!$AI$14:$AI$32,0)),"Undefined")="Undefined","Undefined",IFERROR(INDEX(_xlfn.ANCHORARRAY(Settings!$BC$14),MATCH(IFERROR(INDEX(Settings!$AK$14:$AK$32,MATCH((((ROUND($H103,6)*2)*1000000)+ROUND($I103,6)),Settings!$AI$14:$AI$32,0)),"Undefined"),_xlfn.ANCHORARRAY(Settings!$BC$14),0)),"Inactive")))</f>
        <v/>
      </c>
      <c r="L103" s="320"/>
      <c r="M103" s="168" t="str">
        <f t="shared" si="464"/>
        <v/>
      </c>
      <c r="N103" s="632" t="str">
        <f t="shared" si="465"/>
        <v/>
      </c>
      <c r="O103" s="629" t="str">
        <f t="shared" si="466"/>
        <v/>
      </c>
      <c r="P103" s="633" t="str">
        <f t="shared" si="467"/>
        <v/>
      </c>
      <c r="Q103" s="585" t="str">
        <f t="shared" si="520"/>
        <v/>
      </c>
      <c r="R103" s="629" t="str">
        <f t="shared" si="79"/>
        <v/>
      </c>
      <c r="S103" s="634" t="str">
        <f t="shared" si="80"/>
        <v/>
      </c>
      <c r="T103" s="635" t="str">
        <f t="shared" si="81"/>
        <v/>
      </c>
      <c r="U103" s="629" t="str">
        <f t="shared" si="82"/>
        <v/>
      </c>
      <c r="V103" s="636" t="str">
        <f t="shared" si="114"/>
        <v/>
      </c>
      <c r="W103" s="585" t="str">
        <f t="shared" si="645"/>
        <v/>
      </c>
      <c r="X103" s="629" t="str">
        <f t="shared" si="83"/>
        <v/>
      </c>
      <c r="Y103" s="630" t="str">
        <f t="shared" si="644"/>
        <v/>
      </c>
      <c r="Z103" s="632" t="str">
        <f t="shared" si="468"/>
        <v/>
      </c>
      <c r="AA103" s="629" t="str">
        <f t="shared" si="469"/>
        <v/>
      </c>
      <c r="AB103" s="629" t="str">
        <f t="shared" si="470"/>
        <v/>
      </c>
      <c r="AC103" s="636" t="str">
        <f t="shared" si="84"/>
        <v/>
      </c>
      <c r="AD103" s="637" t="str">
        <f t="shared" si="115"/>
        <v/>
      </c>
      <c r="AE103" s="629" t="str">
        <f t="shared" si="85"/>
        <v/>
      </c>
      <c r="AF103" s="633" t="str">
        <f t="shared" si="86"/>
        <v/>
      </c>
      <c r="AG103" s="602" t="str">
        <f t="shared" si="87"/>
        <v/>
      </c>
      <c r="AH103" s="603" t="str">
        <f t="shared" si="88"/>
        <v/>
      </c>
      <c r="AI103" s="585" t="str">
        <f t="shared" si="89"/>
        <v/>
      </c>
      <c r="AJ103" s="586" t="str">
        <f t="shared" si="90"/>
        <v/>
      </c>
      <c r="AK103" s="635" t="str">
        <f t="shared" si="211"/>
        <v/>
      </c>
      <c r="AL103" s="629" t="str">
        <f t="shared" si="91"/>
        <v/>
      </c>
      <c r="AM103" s="634" t="str">
        <f t="shared" si="92"/>
        <v/>
      </c>
      <c r="AN103" s="581" t="str">
        <f t="shared" si="93"/>
        <v/>
      </c>
      <c r="AO103" s="582" t="str">
        <f t="shared" si="461"/>
        <v/>
      </c>
      <c r="AP103" s="585" t="str">
        <f t="shared" si="95"/>
        <v/>
      </c>
      <c r="AQ103" s="586" t="str">
        <f t="shared" si="471"/>
        <v/>
      </c>
      <c r="AS103" s="52" t="str">
        <f t="shared" si="543"/>
        <v/>
      </c>
      <c r="AT103" s="73" t="str">
        <f t="shared" si="472"/>
        <v/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643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IFERROR(ROUND(VALUE(IF($IH103&lt;1,$IH103+LARGE((IF($M$9:$M$150="",0,$M$9:$M$150)-MOD(IF($M$9:$M$150="",0,$M$9:$M$150),1)),1),$IH103)),4),"")</f>
        <v/>
      </c>
      <c r="IJ103" s="533" t="str">
        <f t="shared" si="542"/>
        <v/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/>
      <c r="C104" s="708"/>
      <c r="D104" s="709"/>
      <c r="E104" s="710"/>
      <c r="F104" s="708"/>
      <c r="G104" s="711"/>
      <c r="H104" s="710"/>
      <c r="I104" s="708"/>
      <c r="J104" s="570"/>
      <c r="K104" s="865" t="str">
        <f>IF($J104="","",IF(IFERROR(INDEX(Settings!$AK$14:$AK$32,MATCH((((ROUND($H104,6)*2)*1000000)+ROUND($I104,6)),Settings!$AI$14:$AI$32,0)),"Undefined")="Undefined","Undefined",IFERROR(INDEX(_xlfn.ANCHORARRAY(Settings!$BC$14),MATCH(IFERROR(INDEX(Settings!$AK$14:$AK$32,MATCH((((ROUND($H104,6)*2)*1000000)+ROUND($I104,6)),Settings!$AI$14:$AI$32,0)),"Undefined"),_xlfn.ANCHORARRAY(Settings!$BC$14),0)),"Inactive")))</f>
        <v/>
      </c>
      <c r="L104" s="320"/>
      <c r="M104" s="168" t="str">
        <f t="shared" si="464"/>
        <v/>
      </c>
      <c r="N104" s="632" t="str">
        <f t="shared" si="465"/>
        <v/>
      </c>
      <c r="O104" s="629" t="str">
        <f t="shared" si="466"/>
        <v/>
      </c>
      <c r="P104" s="633" t="str">
        <f t="shared" si="467"/>
        <v/>
      </c>
      <c r="Q104" s="585" t="str">
        <f t="shared" si="520"/>
        <v/>
      </c>
      <c r="R104" s="629" t="str">
        <f t="shared" si="79"/>
        <v/>
      </c>
      <c r="S104" s="634" t="str">
        <f t="shared" si="80"/>
        <v/>
      </c>
      <c r="T104" s="635" t="str">
        <f t="shared" si="81"/>
        <v/>
      </c>
      <c r="U104" s="629" t="str">
        <f t="shared" si="82"/>
        <v/>
      </c>
      <c r="V104" s="636" t="str">
        <f t="shared" si="114"/>
        <v/>
      </c>
      <c r="W104" s="585" t="str">
        <f t="shared" si="645"/>
        <v/>
      </c>
      <c r="X104" s="629" t="str">
        <f t="shared" si="83"/>
        <v/>
      </c>
      <c r="Y104" s="630" t="str">
        <f t="shared" si="644"/>
        <v/>
      </c>
      <c r="Z104" s="632" t="str">
        <f t="shared" si="468"/>
        <v/>
      </c>
      <c r="AA104" s="629" t="str">
        <f t="shared" si="469"/>
        <v/>
      </c>
      <c r="AB104" s="629" t="str">
        <f t="shared" si="470"/>
        <v/>
      </c>
      <c r="AC104" s="636" t="str">
        <f t="shared" si="84"/>
        <v/>
      </c>
      <c r="AD104" s="637" t="str">
        <f t="shared" si="115"/>
        <v/>
      </c>
      <c r="AE104" s="629" t="str">
        <f t="shared" si="85"/>
        <v/>
      </c>
      <c r="AF104" s="633" t="str">
        <f t="shared" si="86"/>
        <v/>
      </c>
      <c r="AG104" s="602" t="str">
        <f t="shared" si="87"/>
        <v/>
      </c>
      <c r="AH104" s="603" t="str">
        <f t="shared" si="88"/>
        <v/>
      </c>
      <c r="AI104" s="585" t="str">
        <f t="shared" si="89"/>
        <v/>
      </c>
      <c r="AJ104" s="586" t="str">
        <f t="shared" si="90"/>
        <v/>
      </c>
      <c r="AK104" s="635" t="str">
        <f t="shared" si="211"/>
        <v/>
      </c>
      <c r="AL104" s="629" t="str">
        <f t="shared" si="91"/>
        <v/>
      </c>
      <c r="AM104" s="634" t="str">
        <f t="shared" si="92"/>
        <v/>
      </c>
      <c r="AN104" s="581" t="str">
        <f t="shared" si="93"/>
        <v/>
      </c>
      <c r="AO104" s="582" t="str">
        <f t="shared" si="461"/>
        <v/>
      </c>
      <c r="AP104" s="585" t="str">
        <f t="shared" si="95"/>
        <v/>
      </c>
      <c r="AQ104" s="586" t="str">
        <f t="shared" si="471"/>
        <v/>
      </c>
      <c r="AS104" s="52" t="str">
        <f t="shared" si="543"/>
        <v/>
      </c>
      <c r="AT104" s="73" t="str">
        <f t="shared" si="472"/>
        <v/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643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IFERROR(ROUND(VALUE(IF($IH104&lt;1,$IH104+LARGE((IF($M$9:$M$150="",0,$M$9:$M$150)-MOD(IF($M$9:$M$150="",0,$M$9:$M$150),1)),1),$IH104)),4),"")</f>
        <v/>
      </c>
      <c r="IJ104" s="533" t="str">
        <f t="shared" si="542"/>
        <v/>
      </c>
      <c r="IK104" s="533" t="str">
        <f t="shared" si="517"/>
        <v/>
      </c>
      <c r="IL104" s="727" t="str">
        <f t="shared" si="647"/>
        <v/>
      </c>
      <c r="IM104" s="759"/>
      <c r="IN104" s="5" t="str">
        <f t="shared" si="648"/>
        <v/>
      </c>
      <c r="IO104" s="771"/>
      <c r="IP104" s="9" t="str">
        <f t="shared" si="649"/>
        <v/>
      </c>
      <c r="IQ104" s="5" t="str">
        <f t="shared" si="650"/>
        <v/>
      </c>
      <c r="IR104" s="5" t="str">
        <f t="shared" si="518"/>
        <v/>
      </c>
      <c r="IS104" s="5" t="str">
        <f t="shared" si="651"/>
        <v/>
      </c>
      <c r="IT104" s="727" t="str">
        <f t="shared" si="652"/>
        <v/>
      </c>
      <c r="IU104" s="9" t="str">
        <f t="shared" si="653"/>
        <v/>
      </c>
      <c r="IV104" s="5" t="str">
        <f t="shared" si="654"/>
        <v/>
      </c>
      <c r="IW104" s="5" t="str">
        <f t="shared" si="519"/>
        <v/>
      </c>
      <c r="IX104" s="5" t="str">
        <f t="shared" si="655"/>
        <v/>
      </c>
      <c r="IY104" s="762" t="str">
        <f t="shared" si="656"/>
        <v/>
      </c>
    </row>
    <row r="105" spans="1:259" ht="15" customHeight="1" x14ac:dyDescent="0.25">
      <c r="A105" s="79"/>
      <c r="B105" s="707"/>
      <c r="C105" s="708"/>
      <c r="D105" s="709"/>
      <c r="E105" s="710"/>
      <c r="F105" s="708"/>
      <c r="G105" s="711"/>
      <c r="H105" s="710"/>
      <c r="I105" s="708"/>
      <c r="J105" s="570"/>
      <c r="K105" s="865" t="str">
        <f>IF($J105="","",IF(IFERROR(INDEX(Settings!$AK$14:$AK$32,MATCH((((ROUND($H105,6)*2)*1000000)+ROUND($I105,6)),Settings!$AI$14:$AI$32,0)),"Undefined")="Undefined","Undefined",IFERROR(INDEX(_xlfn.ANCHORARRAY(Settings!$BC$14),MATCH(IFERROR(INDEX(Settings!$AK$14:$AK$32,MATCH((((ROUND($H105,6)*2)*1000000)+ROUND($I105,6)),Settings!$AI$14:$AI$32,0)),"Undefined"),_xlfn.ANCHORARRAY(Settings!$BC$14),0)),"Inactive")))</f>
        <v/>
      </c>
      <c r="L105" s="320"/>
      <c r="M105" s="168" t="str">
        <f t="shared" ref="M105:M136" si="660">IF(J105="","",VALUE(J105))</f>
        <v/>
      </c>
      <c r="N105" s="632" t="str">
        <f t="shared" ref="N105:N136" si="661">IF(M105="","",B105)</f>
        <v/>
      </c>
      <c r="O105" s="629" t="str">
        <f t="shared" ref="O105:O136" si="662">IF(M105="","",C105)</f>
        <v/>
      </c>
      <c r="P105" s="633" t="str">
        <f t="shared" ref="P105:P136" si="663">IF(M105="","",D105)</f>
        <v/>
      </c>
      <c r="Q105" s="585" t="str">
        <f t="shared" si="520"/>
        <v/>
      </c>
      <c r="R105" s="629" t="str">
        <f t="shared" si="79"/>
        <v/>
      </c>
      <c r="S105" s="634" t="str">
        <f t="shared" si="80"/>
        <v/>
      </c>
      <c r="T105" s="635" t="str">
        <f t="shared" si="81"/>
        <v/>
      </c>
      <c r="U105" s="629" t="str">
        <f t="shared" si="82"/>
        <v/>
      </c>
      <c r="V105" s="636" t="str">
        <f t="shared" si="114"/>
        <v/>
      </c>
      <c r="W105" s="585" t="str">
        <f t="shared" si="645"/>
        <v/>
      </c>
      <c r="X105" s="629" t="str">
        <f t="shared" si="83"/>
        <v/>
      </c>
      <c r="Y105" s="630" t="str">
        <f t="shared" si="644"/>
        <v/>
      </c>
      <c r="Z105" s="632" t="str">
        <f t="shared" ref="Z105:Z136" si="664">IF(M105="","",-E105)</f>
        <v/>
      </c>
      <c r="AA105" s="629" t="str">
        <f t="shared" ref="AA105:AA136" si="665">IF(M105="","",-F105)</f>
        <v/>
      </c>
      <c r="AB105" s="629" t="str">
        <f t="shared" ref="AB105:AB136" si="666">IF(M105="","",-G105)</f>
        <v/>
      </c>
      <c r="AC105" s="636" t="str">
        <f t="shared" si="84"/>
        <v/>
      </c>
      <c r="AD105" s="637" t="str">
        <f t="shared" si="115"/>
        <v/>
      </c>
      <c r="AE105" s="629" t="str">
        <f t="shared" si="85"/>
        <v/>
      </c>
      <c r="AF105" s="633" t="str">
        <f t="shared" si="86"/>
        <v/>
      </c>
      <c r="AG105" s="602" t="str">
        <f t="shared" si="87"/>
        <v/>
      </c>
      <c r="AH105" s="603" t="str">
        <f t="shared" si="88"/>
        <v/>
      </c>
      <c r="AI105" s="585" t="str">
        <f t="shared" si="89"/>
        <v/>
      </c>
      <c r="AJ105" s="586" t="str">
        <f t="shared" si="90"/>
        <v/>
      </c>
      <c r="AK105" s="635" t="str">
        <f t="shared" si="211"/>
        <v/>
      </c>
      <c r="AL105" s="629" t="str">
        <f t="shared" si="91"/>
        <v/>
      </c>
      <c r="AM105" s="634" t="str">
        <f t="shared" si="92"/>
        <v/>
      </c>
      <c r="AN105" s="581" t="str">
        <f t="shared" si="93"/>
        <v/>
      </c>
      <c r="AO105" s="582" t="str">
        <f t="shared" si="461"/>
        <v/>
      </c>
      <c r="AP105" s="585" t="str">
        <f t="shared" si="95"/>
        <v/>
      </c>
      <c r="AQ105" s="586" t="str">
        <f t="shared" ref="AQ105:AQ136" si="667">IF(M105="","",DEGREES(ATAN(($AS$5*SIN(RADIANS(90)))/(($X105*2*PI())-($AS$5*COS(RADIANS(90)))))))</f>
        <v/>
      </c>
      <c r="AS105" s="52" t="str">
        <f t="shared" si="543"/>
        <v/>
      </c>
      <c r="AT105" s="73" t="str">
        <f t="shared" ref="AT105:AT136" si="668">IF(M105="","",Y105+(((AS105-$AS$9)*$AS$6)*-1))</f>
        <v/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643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IFERROR(ROUND(VALUE(IF($IH105&lt;1,$IH105+LARGE((IF($M$9:$M$150="",0,$M$9:$M$150)-MOD(IF($M$9:$M$150="",0,$M$9:$M$150),1)),1),$IH105)),4),"")</f>
        <v/>
      </c>
      <c r="IJ105" s="533" t="str">
        <f t="shared" si="542"/>
        <v/>
      </c>
      <c r="IK105" s="533" t="str">
        <f t="shared" ref="IK105:IK136" si="713">IF(ISNUMBER($II105),INDEX($K$9:$K$150,MATCH($IG105,$M$9:$M$150,0)),"")</f>
        <v/>
      </c>
      <c r="IL105" s="727" t="str">
        <f t="shared" si="647"/>
        <v/>
      </c>
      <c r="IM105" s="759"/>
      <c r="IN105" s="5" t="str">
        <f t="shared" si="648"/>
        <v/>
      </c>
      <c r="IO105" s="771"/>
      <c r="IP105" s="9" t="str">
        <f t="shared" si="649"/>
        <v/>
      </c>
      <c r="IQ105" s="5" t="str">
        <f t="shared" si="650"/>
        <v/>
      </c>
      <c r="IR105" s="5" t="str">
        <f t="shared" ref="IR105:IR136" si="714">IF(ISNUMBER($II105),INDEX($H$9:$H$150,MATCH($II105,$M$9:$M$150,0)),"")</f>
        <v/>
      </c>
      <c r="IS105" s="5" t="str">
        <f t="shared" si="651"/>
        <v/>
      </c>
      <c r="IT105" s="727" t="str">
        <f t="shared" si="652"/>
        <v/>
      </c>
      <c r="IU105" s="9" t="str">
        <f t="shared" si="653"/>
        <v/>
      </c>
      <c r="IV105" s="5" t="str">
        <f t="shared" si="654"/>
        <v/>
      </c>
      <c r="IW105" s="5" t="str">
        <f t="shared" ref="IW105:IW136" si="715">IF(ISNUMBER($II105),$H105,"")</f>
        <v/>
      </c>
      <c r="IX105" s="5" t="str">
        <f t="shared" si="655"/>
        <v/>
      </c>
      <c r="IY105" s="762" t="str">
        <f t="shared" si="656"/>
        <v/>
      </c>
    </row>
    <row r="106" spans="1:259" ht="15" customHeight="1" x14ac:dyDescent="0.25">
      <c r="A106" s="79"/>
      <c r="B106" s="707"/>
      <c r="C106" s="708"/>
      <c r="D106" s="709"/>
      <c r="E106" s="710"/>
      <c r="F106" s="708"/>
      <c r="G106" s="711"/>
      <c r="H106" s="710"/>
      <c r="I106" s="708"/>
      <c r="J106" s="570"/>
      <c r="K106" s="865" t="str">
        <f>IF($J106="","",IF(IFERROR(INDEX(Settings!$AK$14:$AK$32,MATCH((((ROUND($H106,6)*2)*1000000)+ROUND($I106,6)),Settings!$AI$14:$AI$32,0)),"Undefined")="Undefined","Undefined",IFERROR(INDEX(_xlfn.ANCHORARRAY(Settings!$BC$14),MATCH(IFERROR(INDEX(Settings!$AK$14:$AK$32,MATCH((((ROUND($H106,6)*2)*1000000)+ROUND($I106,6)),Settings!$AI$14:$AI$32,0)),"Undefined"),_xlfn.ANCHORARRAY(Settings!$BC$14),0)),"Inactive")))</f>
        <v/>
      </c>
      <c r="L106" s="320"/>
      <c r="M106" s="168" t="str">
        <f t="shared" si="660"/>
        <v/>
      </c>
      <c r="N106" s="632" t="str">
        <f t="shared" si="661"/>
        <v/>
      </c>
      <c r="O106" s="629" t="str">
        <f t="shared" si="662"/>
        <v/>
      </c>
      <c r="P106" s="633" t="str">
        <f t="shared" si="663"/>
        <v/>
      </c>
      <c r="Q106" s="585" t="str">
        <f t="shared" si="520"/>
        <v/>
      </c>
      <c r="R106" s="629" t="str">
        <f t="shared" ref="R106:R129" si="716">IF(M106="","",SQRT(N106^2+O106^2))</f>
        <v/>
      </c>
      <c r="S106" s="634" t="str">
        <f t="shared" ref="S106:S129" si="717">IF(M106="","",P106)</f>
        <v/>
      </c>
      <c r="T106" s="635" t="str">
        <f t="shared" ref="T106:T129" si="718">IF(M106="","",X106*COS(RADIANS(W106)))</f>
        <v/>
      </c>
      <c r="U106" s="629" t="str">
        <f t="shared" ref="U106:U129" si="719">IF(M106="","",X106*SIN(RADIANS(W106)))</f>
        <v/>
      </c>
      <c r="V106" s="636" t="str">
        <f t="shared" ref="V106:V129" si="720">IF(M106="","",Y106)</f>
        <v/>
      </c>
      <c r="W106" s="585" t="str">
        <f t="shared" si="645"/>
        <v/>
      </c>
      <c r="X106" s="629" t="str">
        <f t="shared" ref="X106:X129" si="721">IF(M106="","",R106)</f>
        <v/>
      </c>
      <c r="Y106" s="630" t="str">
        <f t="shared" si="644"/>
        <v/>
      </c>
      <c r="Z106" s="632" t="str">
        <f t="shared" si="664"/>
        <v/>
      </c>
      <c r="AA106" s="629" t="str">
        <f t="shared" si="665"/>
        <v/>
      </c>
      <c r="AB106" s="629" t="str">
        <f t="shared" si="666"/>
        <v/>
      </c>
      <c r="AC106" s="636" t="str">
        <f t="shared" ref="AC106:AC129" si="722">IF(M106="","",SQRT(Z106^2+AA106^2+AB106^2))</f>
        <v/>
      </c>
      <c r="AD106" s="637" t="str">
        <f t="shared" ref="AD106:AD129" si="723">IF(M106="","",Z106*(1/SQRT(Z106^2+AA106^2+AB106^2)))</f>
        <v/>
      </c>
      <c r="AE106" s="629" t="str">
        <f t="shared" ref="AE106:AE129" si="724">IF(M106="","",AA106*(1/SQRT(Z106^2+AA106^2+AB106^2)))</f>
        <v/>
      </c>
      <c r="AF106" s="633" t="str">
        <f t="shared" ref="AF106:AF129" si="725">IF(M106="","",AB106*(1/SQRT(Z106^2+AA106^2+AB106^2)))</f>
        <v/>
      </c>
      <c r="AG106" s="602" t="str">
        <f t="shared" ref="AG106:AG129" si="726">IF(M106="","",DEGREES(ATAN2(-AF106,AE106)))</f>
        <v/>
      </c>
      <c r="AH106" s="603" t="str">
        <f t="shared" ref="AH106:AH129" si="727">IF(M106="","",DEGREES(ACOS(AD106)))</f>
        <v/>
      </c>
      <c r="AI106" s="585" t="str">
        <f t="shared" ref="AI106:AI129" si="728">IF(M106="","",DEGREES(-ACOS(-AF106)))</f>
        <v/>
      </c>
      <c r="AJ106" s="586" t="str">
        <f t="shared" ref="AJ106:AJ129" si="729">IF(M106="","",DEGREES(ATAN2(-AE106,AD106)))</f>
        <v/>
      </c>
      <c r="AK106" s="635" t="str">
        <f t="shared" ref="AK106:AK129" si="730">IF(M106="","",(COS(RADIANS((90-$Q$8)-W106))*AD106)+(-SIN(RADIANS((90-$Q$8)-W106))*AE106))</f>
        <v/>
      </c>
      <c r="AL106" s="629" t="str">
        <f t="shared" ref="AL106:AL129" si="731">IF(M106="","",(SIN(RADIANS((90-$Q$8)-W106))*AD106)+(COS(RADIANS((90-$Q$8)-W106))*AE106))</f>
        <v/>
      </c>
      <c r="AM106" s="634" t="str">
        <f t="shared" ref="AM106:AM129" si="732">IF(M106="","",AF106)</f>
        <v/>
      </c>
      <c r="AN106" s="581" t="str">
        <f t="shared" ref="AN106:AN129" si="733">IF(M106="","",DEGREES(ATAN2(-AM106,AL106)))</f>
        <v/>
      </c>
      <c r="AO106" s="582" t="str">
        <f t="shared" si="461"/>
        <v/>
      </c>
      <c r="AP106" s="585" t="str">
        <f t="shared" ref="AP106:AP129" si="734">IF(M106="","",DEGREES(ATAN2(AK106,AL106)))</f>
        <v/>
      </c>
      <c r="AQ106" s="586" t="str">
        <f t="shared" si="667"/>
        <v/>
      </c>
      <c r="AS106" s="52" t="str">
        <f t="shared" si="543"/>
        <v/>
      </c>
      <c r="AT106" s="73" t="str">
        <f t="shared" si="668"/>
        <v/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643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IFERROR(ROUND(VALUE(IF($IH106&lt;1,$IH106+LARGE((IF($M$9:$M$150="",0,$M$9:$M$150)-MOD(IF($M$9:$M$150="",0,$M$9:$M$150),1)),1),$IH106)),4),"")</f>
        <v/>
      </c>
      <c r="IJ106" s="533" t="str">
        <f t="shared" si="542"/>
        <v/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/>
      <c r="C107" s="708"/>
      <c r="D107" s="709"/>
      <c r="E107" s="710"/>
      <c r="F107" s="708"/>
      <c r="G107" s="711"/>
      <c r="H107" s="710"/>
      <c r="I107" s="708"/>
      <c r="J107" s="570"/>
      <c r="K107" s="865" t="str">
        <f>IF($J107="","",IF(IFERROR(INDEX(Settings!$AK$14:$AK$32,MATCH((((ROUND($H107,6)*2)*1000000)+ROUND($I107,6)),Settings!$AI$14:$AI$32,0)),"Undefined")="Undefined","Undefined",IFERROR(INDEX(_xlfn.ANCHORARRAY(Settings!$BC$14),MATCH(IFERROR(INDEX(Settings!$AK$14:$AK$32,MATCH((((ROUND($H107,6)*2)*1000000)+ROUND($I107,6)),Settings!$AI$14:$AI$32,0)),"Undefined"),_xlfn.ANCHORARRAY(Settings!$BC$14),0)),"Inactive")))</f>
        <v/>
      </c>
      <c r="L107" s="320"/>
      <c r="M107" s="168" t="str">
        <f t="shared" si="660"/>
        <v/>
      </c>
      <c r="N107" s="632" t="str">
        <f t="shared" si="661"/>
        <v/>
      </c>
      <c r="O107" s="629" t="str">
        <f t="shared" si="662"/>
        <v/>
      </c>
      <c r="P107" s="633" t="str">
        <f t="shared" si="663"/>
        <v/>
      </c>
      <c r="Q107" s="585" t="str">
        <f t="shared" si="520"/>
        <v/>
      </c>
      <c r="R107" s="629" t="str">
        <f t="shared" si="716"/>
        <v/>
      </c>
      <c r="S107" s="634" t="str">
        <f t="shared" si="717"/>
        <v/>
      </c>
      <c r="T107" s="635" t="str">
        <f t="shared" si="718"/>
        <v/>
      </c>
      <c r="U107" s="629" t="str">
        <f t="shared" si="719"/>
        <v/>
      </c>
      <c r="V107" s="636" t="str">
        <f t="shared" si="720"/>
        <v/>
      </c>
      <c r="W107" s="585" t="str">
        <f t="shared" si="645"/>
        <v/>
      </c>
      <c r="X107" s="629" t="str">
        <f t="shared" si="721"/>
        <v/>
      </c>
      <c r="Y107" s="630" t="str">
        <f t="shared" si="644"/>
        <v/>
      </c>
      <c r="Z107" s="632" t="str">
        <f t="shared" si="664"/>
        <v/>
      </c>
      <c r="AA107" s="629" t="str">
        <f t="shared" si="665"/>
        <v/>
      </c>
      <c r="AB107" s="629" t="str">
        <f t="shared" si="666"/>
        <v/>
      </c>
      <c r="AC107" s="636" t="str">
        <f t="shared" si="722"/>
        <v/>
      </c>
      <c r="AD107" s="637" t="str">
        <f t="shared" si="723"/>
        <v/>
      </c>
      <c r="AE107" s="629" t="str">
        <f t="shared" si="724"/>
        <v/>
      </c>
      <c r="AF107" s="633" t="str">
        <f t="shared" si="725"/>
        <v/>
      </c>
      <c r="AG107" s="602" t="str">
        <f t="shared" si="726"/>
        <v/>
      </c>
      <c r="AH107" s="603" t="str">
        <f t="shared" si="727"/>
        <v/>
      </c>
      <c r="AI107" s="585" t="str">
        <f t="shared" si="728"/>
        <v/>
      </c>
      <c r="AJ107" s="586" t="str">
        <f t="shared" si="729"/>
        <v/>
      </c>
      <c r="AK107" s="635" t="str">
        <f t="shared" si="730"/>
        <v/>
      </c>
      <c r="AL107" s="629" t="str">
        <f t="shared" si="731"/>
        <v/>
      </c>
      <c r="AM107" s="634" t="str">
        <f t="shared" si="732"/>
        <v/>
      </c>
      <c r="AN107" s="581" t="str">
        <f t="shared" si="733"/>
        <v/>
      </c>
      <c r="AO107" s="582" t="str">
        <f t="shared" si="461"/>
        <v/>
      </c>
      <c r="AP107" s="585" t="str">
        <f t="shared" si="734"/>
        <v/>
      </c>
      <c r="AQ107" s="586" t="str">
        <f t="shared" si="667"/>
        <v/>
      </c>
      <c r="AS107" s="52" t="str">
        <f t="shared" ref="AS107:AS138" si="737">IF(G107="","",IF(AND(W107&lt;(AS106+180),W107&gt;(AS106-180)),W107,IF(W107&gt;(AS106+180),W107-360,IF(W107&lt;(AS106-180),W107+360,"Error"))))</f>
        <v/>
      </c>
      <c r="AT107" s="73" t="str">
        <f t="shared" si="668"/>
        <v/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643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IFERROR(ROUND(VALUE(IF($IH107&lt;1,$IH107+LARGE((IF($M$9:$M$150="",0,$M$9:$M$150)-MOD(IF($M$9:$M$150="",0,$M$9:$M$150),1)),1),$IH107)),4),"")</f>
        <v/>
      </c>
      <c r="IJ107" s="533" t="str">
        <f t="shared" si="542"/>
        <v/>
      </c>
      <c r="IK107" s="533" t="str">
        <f t="shared" si="713"/>
        <v/>
      </c>
      <c r="IL107" s="727" t="str">
        <f t="shared" si="647"/>
        <v/>
      </c>
      <c r="IM107" s="759"/>
      <c r="IN107" s="5" t="str">
        <f t="shared" si="648"/>
        <v/>
      </c>
      <c r="IO107" s="771"/>
      <c r="IP107" s="9" t="str">
        <f t="shared" si="649"/>
        <v/>
      </c>
      <c r="IQ107" s="5" t="str">
        <f t="shared" si="650"/>
        <v/>
      </c>
      <c r="IR107" s="5" t="str">
        <f t="shared" si="714"/>
        <v/>
      </c>
      <c r="IS107" s="5" t="str">
        <f t="shared" si="651"/>
        <v/>
      </c>
      <c r="IT107" s="727" t="str">
        <f t="shared" si="652"/>
        <v/>
      </c>
      <c r="IU107" s="9" t="str">
        <f t="shared" si="653"/>
        <v/>
      </c>
      <c r="IV107" s="5" t="str">
        <f t="shared" si="654"/>
        <v/>
      </c>
      <c r="IW107" s="5" t="str">
        <f t="shared" si="715"/>
        <v/>
      </c>
      <c r="IX107" s="5" t="str">
        <f t="shared" si="655"/>
        <v/>
      </c>
      <c r="IY107" s="762" t="str">
        <f t="shared" si="656"/>
        <v/>
      </c>
    </row>
    <row r="108" spans="1:259" ht="15" customHeight="1" x14ac:dyDescent="0.25">
      <c r="A108" s="79"/>
      <c r="B108" s="707"/>
      <c r="C108" s="708"/>
      <c r="D108" s="709"/>
      <c r="E108" s="710"/>
      <c r="F108" s="708"/>
      <c r="G108" s="711"/>
      <c r="H108" s="710"/>
      <c r="I108" s="708"/>
      <c r="J108" s="570"/>
      <c r="K108" s="865" t="str">
        <f>IF($J108="","",IF(IFERROR(INDEX(Settings!$AK$14:$AK$32,MATCH((((ROUND($H108,6)*2)*1000000)+ROUND($I108,6)),Settings!$AI$14:$AI$32,0)),"Undefined")="Undefined","Undefined",IFERROR(INDEX(_xlfn.ANCHORARRAY(Settings!$BC$14),MATCH(IFERROR(INDEX(Settings!$AK$14:$AK$32,MATCH((((ROUND($H108,6)*2)*1000000)+ROUND($I108,6)),Settings!$AI$14:$AI$32,0)),"Undefined"),_xlfn.ANCHORARRAY(Settings!$BC$14),0)),"Inactive")))</f>
        <v/>
      </c>
      <c r="L108" s="320"/>
      <c r="M108" s="168" t="str">
        <f t="shared" si="660"/>
        <v/>
      </c>
      <c r="N108" s="632" t="str">
        <f t="shared" si="661"/>
        <v/>
      </c>
      <c r="O108" s="629" t="str">
        <f t="shared" si="662"/>
        <v/>
      </c>
      <c r="P108" s="633" t="str">
        <f t="shared" si="663"/>
        <v/>
      </c>
      <c r="Q108" s="585" t="str">
        <f t="shared" si="520"/>
        <v/>
      </c>
      <c r="R108" s="629" t="str">
        <f t="shared" si="716"/>
        <v/>
      </c>
      <c r="S108" s="634" t="str">
        <f t="shared" si="717"/>
        <v/>
      </c>
      <c r="T108" s="635" t="str">
        <f t="shared" si="718"/>
        <v/>
      </c>
      <c r="U108" s="629" t="str">
        <f t="shared" si="719"/>
        <v/>
      </c>
      <c r="V108" s="636" t="str">
        <f t="shared" si="720"/>
        <v/>
      </c>
      <c r="W108" s="585" t="str">
        <f t="shared" si="645"/>
        <v/>
      </c>
      <c r="X108" s="629" t="str">
        <f t="shared" si="721"/>
        <v/>
      </c>
      <c r="Y108" s="630" t="str">
        <f t="shared" si="644"/>
        <v/>
      </c>
      <c r="Z108" s="632" t="str">
        <f t="shared" si="664"/>
        <v/>
      </c>
      <c r="AA108" s="629" t="str">
        <f t="shared" si="665"/>
        <v/>
      </c>
      <c r="AB108" s="629" t="str">
        <f t="shared" si="666"/>
        <v/>
      </c>
      <c r="AC108" s="636" t="str">
        <f t="shared" si="722"/>
        <v/>
      </c>
      <c r="AD108" s="637" t="str">
        <f t="shared" si="723"/>
        <v/>
      </c>
      <c r="AE108" s="629" t="str">
        <f t="shared" si="724"/>
        <v/>
      </c>
      <c r="AF108" s="633" t="str">
        <f t="shared" si="725"/>
        <v/>
      </c>
      <c r="AG108" s="602" t="str">
        <f t="shared" si="726"/>
        <v/>
      </c>
      <c r="AH108" s="603" t="str">
        <f t="shared" si="727"/>
        <v/>
      </c>
      <c r="AI108" s="585" t="str">
        <f t="shared" si="728"/>
        <v/>
      </c>
      <c r="AJ108" s="586" t="str">
        <f t="shared" si="729"/>
        <v/>
      </c>
      <c r="AK108" s="635" t="str">
        <f t="shared" si="730"/>
        <v/>
      </c>
      <c r="AL108" s="629" t="str">
        <f t="shared" si="731"/>
        <v/>
      </c>
      <c r="AM108" s="634" t="str">
        <f t="shared" si="732"/>
        <v/>
      </c>
      <c r="AN108" s="581" t="str">
        <f t="shared" si="733"/>
        <v/>
      </c>
      <c r="AO108" s="582" t="str">
        <f t="shared" si="461"/>
        <v/>
      </c>
      <c r="AP108" s="585" t="str">
        <f t="shared" si="734"/>
        <v/>
      </c>
      <c r="AQ108" s="586" t="str">
        <f t="shared" si="667"/>
        <v/>
      </c>
      <c r="AS108" s="52" t="str">
        <f t="shared" si="737"/>
        <v/>
      </c>
      <c r="AT108" s="73" t="str">
        <f t="shared" si="668"/>
        <v/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643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IFERROR(ROUND(VALUE(IF($IH108&lt;1,$IH108+LARGE((IF($M$9:$M$150="",0,$M$9:$M$150)-MOD(IF($M$9:$M$150="",0,$M$9:$M$150),1)),1),$IH108)),4),"")</f>
        <v/>
      </c>
      <c r="IJ108" s="533" t="str">
        <f t="shared" si="542"/>
        <v/>
      </c>
      <c r="IK108" s="533" t="str">
        <f t="shared" si="713"/>
        <v/>
      </c>
      <c r="IL108" s="727" t="str">
        <f t="shared" si="647"/>
        <v/>
      </c>
      <c r="IM108" s="759"/>
      <c r="IN108" s="5" t="str">
        <f t="shared" si="648"/>
        <v/>
      </c>
      <c r="IO108" s="771"/>
      <c r="IP108" s="9" t="str">
        <f t="shared" si="649"/>
        <v/>
      </c>
      <c r="IQ108" s="5" t="str">
        <f t="shared" si="650"/>
        <v/>
      </c>
      <c r="IR108" s="5" t="str">
        <f t="shared" si="714"/>
        <v/>
      </c>
      <c r="IS108" s="5" t="str">
        <f t="shared" si="651"/>
        <v/>
      </c>
      <c r="IT108" s="727" t="str">
        <f t="shared" si="652"/>
        <v/>
      </c>
      <c r="IU108" s="9" t="str">
        <f t="shared" si="653"/>
        <v/>
      </c>
      <c r="IV108" s="5" t="str">
        <f t="shared" si="654"/>
        <v/>
      </c>
      <c r="IW108" s="5" t="str">
        <f t="shared" si="715"/>
        <v/>
      </c>
      <c r="IX108" s="5" t="str">
        <f t="shared" si="655"/>
        <v/>
      </c>
      <c r="IY108" s="762" t="str">
        <f t="shared" si="656"/>
        <v/>
      </c>
    </row>
    <row r="109" spans="1:259" ht="15" customHeight="1" x14ac:dyDescent="0.25">
      <c r="A109" s="79"/>
      <c r="B109" s="707"/>
      <c r="C109" s="708"/>
      <c r="D109" s="709"/>
      <c r="E109" s="710"/>
      <c r="F109" s="708"/>
      <c r="G109" s="711"/>
      <c r="H109" s="710"/>
      <c r="I109" s="708"/>
      <c r="J109" s="570"/>
      <c r="K109" s="865" t="str">
        <f>IF($J109="","",IF(IFERROR(INDEX(Settings!$AK$14:$AK$32,MATCH((((ROUND($H109,6)*2)*1000000)+ROUND($I109,6)),Settings!$AI$14:$AI$32,0)),"Undefined")="Undefined","Undefined",IFERROR(INDEX(_xlfn.ANCHORARRAY(Settings!$BC$14),MATCH(IFERROR(INDEX(Settings!$AK$14:$AK$32,MATCH((((ROUND($H109,6)*2)*1000000)+ROUND($I109,6)),Settings!$AI$14:$AI$32,0)),"Undefined"),_xlfn.ANCHORARRAY(Settings!$BC$14),0)),"Inactive")))</f>
        <v/>
      </c>
      <c r="L109" s="320"/>
      <c r="M109" s="168" t="str">
        <f t="shared" si="660"/>
        <v/>
      </c>
      <c r="N109" s="632" t="str">
        <f t="shared" si="661"/>
        <v/>
      </c>
      <c r="O109" s="629" t="str">
        <f t="shared" si="662"/>
        <v/>
      </c>
      <c r="P109" s="633" t="str">
        <f t="shared" si="663"/>
        <v/>
      </c>
      <c r="Q109" s="585" t="str">
        <f t="shared" si="520"/>
        <v/>
      </c>
      <c r="R109" s="629" t="str">
        <f t="shared" si="716"/>
        <v/>
      </c>
      <c r="S109" s="634" t="str">
        <f t="shared" si="717"/>
        <v/>
      </c>
      <c r="T109" s="635" t="str">
        <f t="shared" si="718"/>
        <v/>
      </c>
      <c r="U109" s="629" t="str">
        <f t="shared" si="719"/>
        <v/>
      </c>
      <c r="V109" s="636" t="str">
        <f t="shared" si="720"/>
        <v/>
      </c>
      <c r="W109" s="585" t="str">
        <f t="shared" si="645"/>
        <v/>
      </c>
      <c r="X109" s="629" t="str">
        <f t="shared" si="721"/>
        <v/>
      </c>
      <c r="Y109" s="630" t="str">
        <f t="shared" si="644"/>
        <v/>
      </c>
      <c r="Z109" s="632" t="str">
        <f t="shared" si="664"/>
        <v/>
      </c>
      <c r="AA109" s="629" t="str">
        <f t="shared" si="665"/>
        <v/>
      </c>
      <c r="AB109" s="629" t="str">
        <f t="shared" si="666"/>
        <v/>
      </c>
      <c r="AC109" s="636" t="str">
        <f t="shared" si="722"/>
        <v/>
      </c>
      <c r="AD109" s="637" t="str">
        <f t="shared" si="723"/>
        <v/>
      </c>
      <c r="AE109" s="629" t="str">
        <f t="shared" si="724"/>
        <v/>
      </c>
      <c r="AF109" s="633" t="str">
        <f t="shared" si="725"/>
        <v/>
      </c>
      <c r="AG109" s="602" t="str">
        <f t="shared" si="726"/>
        <v/>
      </c>
      <c r="AH109" s="603" t="str">
        <f t="shared" si="727"/>
        <v/>
      </c>
      <c r="AI109" s="585" t="str">
        <f t="shared" si="728"/>
        <v/>
      </c>
      <c r="AJ109" s="586" t="str">
        <f t="shared" si="729"/>
        <v/>
      </c>
      <c r="AK109" s="635" t="str">
        <f t="shared" si="730"/>
        <v/>
      </c>
      <c r="AL109" s="629" t="str">
        <f t="shared" si="731"/>
        <v/>
      </c>
      <c r="AM109" s="634" t="str">
        <f t="shared" si="732"/>
        <v/>
      </c>
      <c r="AN109" s="581" t="str">
        <f t="shared" si="733"/>
        <v/>
      </c>
      <c r="AO109" s="582" t="str">
        <f t="shared" si="461"/>
        <v/>
      </c>
      <c r="AP109" s="585" t="str">
        <f t="shared" si="734"/>
        <v/>
      </c>
      <c r="AQ109" s="586" t="str">
        <f t="shared" si="667"/>
        <v/>
      </c>
      <c r="AS109" s="52" t="str">
        <f t="shared" si="737"/>
        <v/>
      </c>
      <c r="AT109" s="73" t="str">
        <f t="shared" si="668"/>
        <v/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643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IFERROR(ROUND(VALUE(IF($IH109&lt;1,$IH109+LARGE((IF($M$9:$M$150="",0,$M$9:$M$150)-MOD(IF($M$9:$M$150="",0,$M$9:$M$150),1)),1),$IH109)),4),"")</f>
        <v/>
      </c>
      <c r="IJ109" s="533" t="str">
        <f t="shared" si="542"/>
        <v/>
      </c>
      <c r="IK109" s="533" t="str">
        <f t="shared" si="713"/>
        <v/>
      </c>
      <c r="IL109" s="727" t="str">
        <f t="shared" si="647"/>
        <v/>
      </c>
      <c r="IM109" s="759"/>
      <c r="IN109" s="5" t="str">
        <f t="shared" si="648"/>
        <v/>
      </c>
      <c r="IO109" s="771"/>
      <c r="IP109" s="9" t="str">
        <f t="shared" si="649"/>
        <v/>
      </c>
      <c r="IQ109" s="5" t="str">
        <f t="shared" si="650"/>
        <v/>
      </c>
      <c r="IR109" s="5" t="str">
        <f t="shared" si="714"/>
        <v/>
      </c>
      <c r="IS109" s="5" t="str">
        <f t="shared" si="651"/>
        <v/>
      </c>
      <c r="IT109" s="727" t="str">
        <f t="shared" si="652"/>
        <v/>
      </c>
      <c r="IU109" s="9" t="str">
        <f t="shared" si="653"/>
        <v/>
      </c>
      <c r="IV109" s="5" t="str">
        <f t="shared" si="654"/>
        <v/>
      </c>
      <c r="IW109" s="5" t="str">
        <f t="shared" si="715"/>
        <v/>
      </c>
      <c r="IX109" s="5" t="str">
        <f t="shared" si="655"/>
        <v/>
      </c>
      <c r="IY109" s="762" t="str">
        <f t="shared" si="656"/>
        <v/>
      </c>
    </row>
    <row r="110" spans="1:259" ht="15" customHeight="1" x14ac:dyDescent="0.25">
      <c r="A110" s="79"/>
      <c r="B110" s="707"/>
      <c r="C110" s="708"/>
      <c r="D110" s="709"/>
      <c r="E110" s="710"/>
      <c r="F110" s="708"/>
      <c r="G110" s="711"/>
      <c r="H110" s="710"/>
      <c r="I110" s="708"/>
      <c r="J110" s="570"/>
      <c r="K110" s="865" t="str">
        <f>IF($J110="","",IF(IFERROR(INDEX(Settings!$AK$14:$AK$32,MATCH((((ROUND($H110,6)*2)*1000000)+ROUND($I110,6)),Settings!$AI$14:$AI$32,0)),"Undefined")="Undefined","Undefined",IFERROR(INDEX(_xlfn.ANCHORARRAY(Settings!$BC$14),MATCH(IFERROR(INDEX(Settings!$AK$14:$AK$32,MATCH((((ROUND($H110,6)*2)*1000000)+ROUND($I110,6)),Settings!$AI$14:$AI$32,0)),"Undefined"),_xlfn.ANCHORARRAY(Settings!$BC$14),0)),"Inactive")))</f>
        <v/>
      </c>
      <c r="L110" s="320"/>
      <c r="M110" s="168" t="str">
        <f t="shared" si="660"/>
        <v/>
      </c>
      <c r="N110" s="632" t="str">
        <f t="shared" si="661"/>
        <v/>
      </c>
      <c r="O110" s="629" t="str">
        <f t="shared" si="662"/>
        <v/>
      </c>
      <c r="P110" s="633" t="str">
        <f t="shared" si="663"/>
        <v/>
      </c>
      <c r="Q110" s="585" t="str">
        <f t="shared" si="520"/>
        <v/>
      </c>
      <c r="R110" s="629" t="str">
        <f t="shared" si="716"/>
        <v/>
      </c>
      <c r="S110" s="634" t="str">
        <f t="shared" si="717"/>
        <v/>
      </c>
      <c r="T110" s="635" t="str">
        <f t="shared" si="718"/>
        <v/>
      </c>
      <c r="U110" s="629" t="str">
        <f t="shared" si="719"/>
        <v/>
      </c>
      <c r="V110" s="636" t="str">
        <f t="shared" si="720"/>
        <v/>
      </c>
      <c r="W110" s="585" t="str">
        <f t="shared" si="645"/>
        <v/>
      </c>
      <c r="X110" s="629" t="str">
        <f t="shared" si="721"/>
        <v/>
      </c>
      <c r="Y110" s="630" t="str">
        <f t="shared" si="644"/>
        <v/>
      </c>
      <c r="Z110" s="632" t="str">
        <f t="shared" si="664"/>
        <v/>
      </c>
      <c r="AA110" s="629" t="str">
        <f t="shared" si="665"/>
        <v/>
      </c>
      <c r="AB110" s="629" t="str">
        <f t="shared" si="666"/>
        <v/>
      </c>
      <c r="AC110" s="636" t="str">
        <f t="shared" si="722"/>
        <v/>
      </c>
      <c r="AD110" s="637" t="str">
        <f t="shared" si="723"/>
        <v/>
      </c>
      <c r="AE110" s="629" t="str">
        <f t="shared" si="724"/>
        <v/>
      </c>
      <c r="AF110" s="633" t="str">
        <f t="shared" si="725"/>
        <v/>
      </c>
      <c r="AG110" s="602" t="str">
        <f t="shared" si="726"/>
        <v/>
      </c>
      <c r="AH110" s="603" t="str">
        <f t="shared" si="727"/>
        <v/>
      </c>
      <c r="AI110" s="585" t="str">
        <f t="shared" si="728"/>
        <v/>
      </c>
      <c r="AJ110" s="586" t="str">
        <f t="shared" si="729"/>
        <v/>
      </c>
      <c r="AK110" s="635" t="str">
        <f t="shared" si="730"/>
        <v/>
      </c>
      <c r="AL110" s="629" t="str">
        <f t="shared" si="731"/>
        <v/>
      </c>
      <c r="AM110" s="634" t="str">
        <f t="shared" si="732"/>
        <v/>
      </c>
      <c r="AN110" s="581" t="str">
        <f t="shared" si="733"/>
        <v/>
      </c>
      <c r="AO110" s="582" t="str">
        <f t="shared" si="461"/>
        <v/>
      </c>
      <c r="AP110" s="585" t="str">
        <f t="shared" si="734"/>
        <v/>
      </c>
      <c r="AQ110" s="586" t="str">
        <f t="shared" si="667"/>
        <v/>
      </c>
      <c r="AS110" s="52" t="str">
        <f t="shared" si="737"/>
        <v/>
      </c>
      <c r="AT110" s="73" t="str">
        <f t="shared" si="668"/>
        <v/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643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IFERROR(ROUND(VALUE(IF($IH110&lt;1,$IH110+LARGE((IF($M$9:$M$150="",0,$M$9:$M$150)-MOD(IF($M$9:$M$150="",0,$M$9:$M$150),1)),1),$IH110)),4),"")</f>
        <v/>
      </c>
      <c r="IJ110" s="533" t="str">
        <f t="shared" si="542"/>
        <v/>
      </c>
      <c r="IK110" s="533" t="str">
        <f t="shared" si="713"/>
        <v/>
      </c>
      <c r="IL110" s="727" t="str">
        <f t="shared" si="647"/>
        <v/>
      </c>
      <c r="IM110" s="759"/>
      <c r="IN110" s="5" t="str">
        <f t="shared" si="648"/>
        <v/>
      </c>
      <c r="IO110" s="771"/>
      <c r="IP110" s="9" t="str">
        <f t="shared" si="649"/>
        <v/>
      </c>
      <c r="IQ110" s="5" t="str">
        <f t="shared" si="650"/>
        <v/>
      </c>
      <c r="IR110" s="5" t="str">
        <f t="shared" si="714"/>
        <v/>
      </c>
      <c r="IS110" s="5" t="str">
        <f t="shared" si="651"/>
        <v/>
      </c>
      <c r="IT110" s="727" t="str">
        <f t="shared" si="652"/>
        <v/>
      </c>
      <c r="IU110" s="9" t="str">
        <f t="shared" si="653"/>
        <v/>
      </c>
      <c r="IV110" s="5" t="str">
        <f t="shared" si="654"/>
        <v/>
      </c>
      <c r="IW110" s="5" t="str">
        <f t="shared" si="715"/>
        <v/>
      </c>
      <c r="IX110" s="5" t="str">
        <f t="shared" si="655"/>
        <v/>
      </c>
      <c r="IY110" s="762" t="str">
        <f t="shared" si="656"/>
        <v/>
      </c>
    </row>
    <row r="111" spans="1:259" ht="15" customHeight="1" x14ac:dyDescent="0.25">
      <c r="A111" s="79"/>
      <c r="B111" s="707"/>
      <c r="C111" s="708"/>
      <c r="D111" s="709"/>
      <c r="E111" s="710"/>
      <c r="F111" s="708"/>
      <c r="G111" s="711"/>
      <c r="H111" s="710"/>
      <c r="I111" s="708"/>
      <c r="J111" s="570"/>
      <c r="K111" s="865" t="str">
        <f>IF($J111="","",IF(IFERROR(INDEX(Settings!$AK$14:$AK$32,MATCH((((ROUND($H111,6)*2)*1000000)+ROUND($I111,6)),Settings!$AI$14:$AI$32,0)),"Undefined")="Undefined","Undefined",IFERROR(INDEX(_xlfn.ANCHORARRAY(Settings!$BC$14),MATCH(IFERROR(INDEX(Settings!$AK$14:$AK$32,MATCH((((ROUND($H111,6)*2)*1000000)+ROUND($I111,6)),Settings!$AI$14:$AI$32,0)),"Undefined"),_xlfn.ANCHORARRAY(Settings!$BC$14),0)),"Inactive")))</f>
        <v/>
      </c>
      <c r="L111" s="320"/>
      <c r="M111" s="168" t="str">
        <f t="shared" si="660"/>
        <v/>
      </c>
      <c r="N111" s="632" t="str">
        <f t="shared" si="661"/>
        <v/>
      </c>
      <c r="O111" s="629" t="str">
        <f t="shared" si="662"/>
        <v/>
      </c>
      <c r="P111" s="633" t="str">
        <f t="shared" si="663"/>
        <v/>
      </c>
      <c r="Q111" s="585" t="str">
        <f t="shared" si="520"/>
        <v/>
      </c>
      <c r="R111" s="629" t="str">
        <f t="shared" si="716"/>
        <v/>
      </c>
      <c r="S111" s="634" t="str">
        <f t="shared" si="717"/>
        <v/>
      </c>
      <c r="T111" s="635" t="str">
        <f t="shared" si="718"/>
        <v/>
      </c>
      <c r="U111" s="629" t="str">
        <f t="shared" si="719"/>
        <v/>
      </c>
      <c r="V111" s="636" t="str">
        <f t="shared" si="720"/>
        <v/>
      </c>
      <c r="W111" s="585" t="str">
        <f t="shared" si="645"/>
        <v/>
      </c>
      <c r="X111" s="629" t="str">
        <f t="shared" si="721"/>
        <v/>
      </c>
      <c r="Y111" s="630" t="str">
        <f t="shared" si="644"/>
        <v/>
      </c>
      <c r="Z111" s="632" t="str">
        <f t="shared" si="664"/>
        <v/>
      </c>
      <c r="AA111" s="629" t="str">
        <f t="shared" si="665"/>
        <v/>
      </c>
      <c r="AB111" s="629" t="str">
        <f t="shared" si="666"/>
        <v/>
      </c>
      <c r="AC111" s="636" t="str">
        <f t="shared" si="722"/>
        <v/>
      </c>
      <c r="AD111" s="637" t="str">
        <f t="shared" si="723"/>
        <v/>
      </c>
      <c r="AE111" s="629" t="str">
        <f t="shared" si="724"/>
        <v/>
      </c>
      <c r="AF111" s="633" t="str">
        <f t="shared" si="725"/>
        <v/>
      </c>
      <c r="AG111" s="602" t="str">
        <f t="shared" si="726"/>
        <v/>
      </c>
      <c r="AH111" s="603" t="str">
        <f t="shared" si="727"/>
        <v/>
      </c>
      <c r="AI111" s="585" t="str">
        <f t="shared" si="728"/>
        <v/>
      </c>
      <c r="AJ111" s="586" t="str">
        <f t="shared" si="729"/>
        <v/>
      </c>
      <c r="AK111" s="635" t="str">
        <f t="shared" si="730"/>
        <v/>
      </c>
      <c r="AL111" s="629" t="str">
        <f t="shared" si="731"/>
        <v/>
      </c>
      <c r="AM111" s="634" t="str">
        <f t="shared" si="732"/>
        <v/>
      </c>
      <c r="AN111" s="581" t="str">
        <f t="shared" si="733"/>
        <v/>
      </c>
      <c r="AO111" s="582" t="str">
        <f t="shared" si="461"/>
        <v/>
      </c>
      <c r="AP111" s="585" t="str">
        <f t="shared" si="734"/>
        <v/>
      </c>
      <c r="AQ111" s="586" t="str">
        <f t="shared" si="667"/>
        <v/>
      </c>
      <c r="AS111" s="52" t="str">
        <f t="shared" si="737"/>
        <v/>
      </c>
      <c r="AT111" s="73" t="str">
        <f t="shared" si="668"/>
        <v/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643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IFERROR(ROUND(VALUE(IF($IH111&lt;1,$IH111+LARGE((IF($M$9:$M$150="",0,$M$9:$M$150)-MOD(IF($M$9:$M$150="",0,$M$9:$M$150),1)),1),$IH111)),4),"")</f>
        <v/>
      </c>
      <c r="IJ111" s="533" t="str">
        <f t="shared" si="542"/>
        <v/>
      </c>
      <c r="IK111" s="533" t="str">
        <f t="shared" si="713"/>
        <v/>
      </c>
      <c r="IL111" s="727" t="str">
        <f t="shared" si="647"/>
        <v/>
      </c>
      <c r="IM111" s="759"/>
      <c r="IN111" s="5" t="str">
        <f t="shared" si="648"/>
        <v/>
      </c>
      <c r="IO111" s="771"/>
      <c r="IP111" s="9" t="str">
        <f t="shared" si="649"/>
        <v/>
      </c>
      <c r="IQ111" s="5" t="str">
        <f t="shared" si="650"/>
        <v/>
      </c>
      <c r="IR111" s="5" t="str">
        <f t="shared" si="714"/>
        <v/>
      </c>
      <c r="IS111" s="5" t="str">
        <f t="shared" si="651"/>
        <v/>
      </c>
      <c r="IT111" s="727" t="str">
        <f t="shared" si="652"/>
        <v/>
      </c>
      <c r="IU111" s="9" t="str">
        <f t="shared" si="653"/>
        <v/>
      </c>
      <c r="IV111" s="5" t="str">
        <f t="shared" si="654"/>
        <v/>
      </c>
      <c r="IW111" s="5" t="str">
        <f t="shared" si="715"/>
        <v/>
      </c>
      <c r="IX111" s="5" t="str">
        <f t="shared" si="655"/>
        <v/>
      </c>
      <c r="IY111" s="762" t="str">
        <f t="shared" si="656"/>
        <v/>
      </c>
    </row>
    <row r="112" spans="1:259" ht="15" customHeight="1" x14ac:dyDescent="0.25">
      <c r="A112" s="79"/>
      <c r="B112" s="707"/>
      <c r="C112" s="708"/>
      <c r="D112" s="709"/>
      <c r="E112" s="710"/>
      <c r="F112" s="708"/>
      <c r="G112" s="711"/>
      <c r="H112" s="710"/>
      <c r="I112" s="708"/>
      <c r="J112" s="570"/>
      <c r="K112" s="865" t="str">
        <f>IF($J112="","",IF(IFERROR(INDEX(Settings!$AK$14:$AK$32,MATCH((((ROUND($H112,6)*2)*1000000)+ROUND($I112,6)),Settings!$AI$14:$AI$32,0)),"Undefined")="Undefined","Undefined",IFERROR(INDEX(_xlfn.ANCHORARRAY(Settings!$BC$14),MATCH(IFERROR(INDEX(Settings!$AK$14:$AK$32,MATCH((((ROUND($H112,6)*2)*1000000)+ROUND($I112,6)),Settings!$AI$14:$AI$32,0)),"Undefined"),_xlfn.ANCHORARRAY(Settings!$BC$14),0)),"Inactive")))</f>
        <v/>
      </c>
      <c r="L112" s="320"/>
      <c r="M112" s="168" t="str">
        <f t="shared" si="660"/>
        <v/>
      </c>
      <c r="N112" s="632" t="str">
        <f t="shared" si="661"/>
        <v/>
      </c>
      <c r="O112" s="629" t="str">
        <f t="shared" si="662"/>
        <v/>
      </c>
      <c r="P112" s="633" t="str">
        <f t="shared" si="663"/>
        <v/>
      </c>
      <c r="Q112" s="585" t="str">
        <f t="shared" si="520"/>
        <v/>
      </c>
      <c r="R112" s="629" t="str">
        <f t="shared" si="716"/>
        <v/>
      </c>
      <c r="S112" s="634" t="str">
        <f t="shared" si="717"/>
        <v/>
      </c>
      <c r="T112" s="635" t="str">
        <f t="shared" si="718"/>
        <v/>
      </c>
      <c r="U112" s="629" t="str">
        <f t="shared" si="719"/>
        <v/>
      </c>
      <c r="V112" s="636" t="str">
        <f t="shared" si="720"/>
        <v/>
      </c>
      <c r="W112" s="585" t="str">
        <f t="shared" si="645"/>
        <v/>
      </c>
      <c r="X112" s="629" t="str">
        <f t="shared" si="721"/>
        <v/>
      </c>
      <c r="Y112" s="630" t="str">
        <f t="shared" si="644"/>
        <v/>
      </c>
      <c r="Z112" s="632" t="str">
        <f t="shared" si="664"/>
        <v/>
      </c>
      <c r="AA112" s="629" t="str">
        <f t="shared" si="665"/>
        <v/>
      </c>
      <c r="AB112" s="629" t="str">
        <f t="shared" si="666"/>
        <v/>
      </c>
      <c r="AC112" s="636" t="str">
        <f t="shared" si="722"/>
        <v/>
      </c>
      <c r="AD112" s="637" t="str">
        <f t="shared" si="723"/>
        <v/>
      </c>
      <c r="AE112" s="629" t="str">
        <f t="shared" si="724"/>
        <v/>
      </c>
      <c r="AF112" s="633" t="str">
        <f t="shared" si="725"/>
        <v/>
      </c>
      <c r="AG112" s="602" t="str">
        <f t="shared" si="726"/>
        <v/>
      </c>
      <c r="AH112" s="603" t="str">
        <f t="shared" si="727"/>
        <v/>
      </c>
      <c r="AI112" s="585" t="str">
        <f t="shared" si="728"/>
        <v/>
      </c>
      <c r="AJ112" s="586" t="str">
        <f t="shared" si="729"/>
        <v/>
      </c>
      <c r="AK112" s="635" t="str">
        <f t="shared" si="730"/>
        <v/>
      </c>
      <c r="AL112" s="629" t="str">
        <f t="shared" si="731"/>
        <v/>
      </c>
      <c r="AM112" s="634" t="str">
        <f t="shared" si="732"/>
        <v/>
      </c>
      <c r="AN112" s="581" t="str">
        <f t="shared" si="733"/>
        <v/>
      </c>
      <c r="AO112" s="582" t="str">
        <f t="shared" si="461"/>
        <v/>
      </c>
      <c r="AP112" s="585" t="str">
        <f t="shared" si="734"/>
        <v/>
      </c>
      <c r="AQ112" s="586" t="str">
        <f t="shared" si="667"/>
        <v/>
      </c>
      <c r="AS112" s="52" t="str">
        <f t="shared" si="737"/>
        <v/>
      </c>
      <c r="AT112" s="73" t="str">
        <f t="shared" si="668"/>
        <v/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643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IFERROR(ROUND(VALUE(IF($IH112&lt;1,$IH112+LARGE((IF($M$9:$M$150="",0,$M$9:$M$150)-MOD(IF($M$9:$M$150="",0,$M$9:$M$150),1)),1),$IH112)),4),"")</f>
        <v/>
      </c>
      <c r="IJ112" s="533" t="str">
        <f t="shared" si="542"/>
        <v/>
      </c>
      <c r="IK112" s="533" t="str">
        <f t="shared" si="713"/>
        <v/>
      </c>
      <c r="IL112" s="727" t="str">
        <f t="shared" si="647"/>
        <v/>
      </c>
      <c r="IM112" s="759"/>
      <c r="IN112" s="5" t="str">
        <f t="shared" si="648"/>
        <v/>
      </c>
      <c r="IO112" s="771"/>
      <c r="IP112" s="9" t="str">
        <f t="shared" si="649"/>
        <v/>
      </c>
      <c r="IQ112" s="5" t="str">
        <f t="shared" si="650"/>
        <v/>
      </c>
      <c r="IR112" s="5" t="str">
        <f t="shared" si="714"/>
        <v/>
      </c>
      <c r="IS112" s="5" t="str">
        <f t="shared" si="651"/>
        <v/>
      </c>
      <c r="IT112" s="727" t="str">
        <f t="shared" si="652"/>
        <v/>
      </c>
      <c r="IU112" s="9" t="str">
        <f t="shared" si="653"/>
        <v/>
      </c>
      <c r="IV112" s="5" t="str">
        <f t="shared" si="654"/>
        <v/>
      </c>
      <c r="IW112" s="5" t="str">
        <f t="shared" si="715"/>
        <v/>
      </c>
      <c r="IX112" s="5" t="str">
        <f t="shared" si="655"/>
        <v/>
      </c>
      <c r="IY112" s="762" t="str">
        <f t="shared" si="656"/>
        <v/>
      </c>
    </row>
    <row r="113" spans="1:259" ht="15" customHeight="1" x14ac:dyDescent="0.25">
      <c r="A113" s="79"/>
      <c r="B113" s="707"/>
      <c r="C113" s="708"/>
      <c r="D113" s="709"/>
      <c r="E113" s="710"/>
      <c r="F113" s="708"/>
      <c r="G113" s="711"/>
      <c r="H113" s="710"/>
      <c r="I113" s="708"/>
      <c r="J113" s="570"/>
      <c r="K113" s="865" t="str">
        <f>IF($J113="","",IF(IFERROR(INDEX(Settings!$AK$14:$AK$32,MATCH((((ROUND($H113,6)*2)*1000000)+ROUND($I113,6)),Settings!$AI$14:$AI$32,0)),"Undefined")="Undefined","Undefined",IFERROR(INDEX(_xlfn.ANCHORARRAY(Settings!$BC$14),MATCH(IFERROR(INDEX(Settings!$AK$14:$AK$32,MATCH((((ROUND($H113,6)*2)*1000000)+ROUND($I113,6)),Settings!$AI$14:$AI$32,0)),"Undefined"),_xlfn.ANCHORARRAY(Settings!$BC$14),0)),"Inactive")))</f>
        <v/>
      </c>
      <c r="L113" s="320"/>
      <c r="M113" s="168" t="str">
        <f t="shared" si="660"/>
        <v/>
      </c>
      <c r="N113" s="632" t="str">
        <f t="shared" si="661"/>
        <v/>
      </c>
      <c r="O113" s="629" t="str">
        <f t="shared" si="662"/>
        <v/>
      </c>
      <c r="P113" s="633" t="str">
        <f t="shared" si="663"/>
        <v/>
      </c>
      <c r="Q113" s="585" t="str">
        <f t="shared" si="520"/>
        <v/>
      </c>
      <c r="R113" s="629" t="str">
        <f t="shared" si="716"/>
        <v/>
      </c>
      <c r="S113" s="634" t="str">
        <f t="shared" si="717"/>
        <v/>
      </c>
      <c r="T113" s="635" t="str">
        <f t="shared" si="718"/>
        <v/>
      </c>
      <c r="U113" s="629" t="str">
        <f t="shared" si="719"/>
        <v/>
      </c>
      <c r="V113" s="636" t="str">
        <f t="shared" si="720"/>
        <v/>
      </c>
      <c r="W113" s="585" t="str">
        <f t="shared" si="645"/>
        <v/>
      </c>
      <c r="X113" s="629" t="str">
        <f t="shared" si="721"/>
        <v/>
      </c>
      <c r="Y113" s="630" t="str">
        <f t="shared" si="644"/>
        <v/>
      </c>
      <c r="Z113" s="632" t="str">
        <f t="shared" si="664"/>
        <v/>
      </c>
      <c r="AA113" s="629" t="str">
        <f t="shared" si="665"/>
        <v/>
      </c>
      <c r="AB113" s="629" t="str">
        <f t="shared" si="666"/>
        <v/>
      </c>
      <c r="AC113" s="636" t="str">
        <f t="shared" si="722"/>
        <v/>
      </c>
      <c r="AD113" s="637" t="str">
        <f t="shared" si="723"/>
        <v/>
      </c>
      <c r="AE113" s="629" t="str">
        <f t="shared" si="724"/>
        <v/>
      </c>
      <c r="AF113" s="633" t="str">
        <f t="shared" si="725"/>
        <v/>
      </c>
      <c r="AG113" s="602" t="str">
        <f t="shared" si="726"/>
        <v/>
      </c>
      <c r="AH113" s="603" t="str">
        <f t="shared" si="727"/>
        <v/>
      </c>
      <c r="AI113" s="585" t="str">
        <f t="shared" si="728"/>
        <v/>
      </c>
      <c r="AJ113" s="586" t="str">
        <f t="shared" si="729"/>
        <v/>
      </c>
      <c r="AK113" s="635" t="str">
        <f t="shared" si="730"/>
        <v/>
      </c>
      <c r="AL113" s="629" t="str">
        <f t="shared" si="731"/>
        <v/>
      </c>
      <c r="AM113" s="634" t="str">
        <f t="shared" si="732"/>
        <v/>
      </c>
      <c r="AN113" s="581" t="str">
        <f t="shared" si="733"/>
        <v/>
      </c>
      <c r="AO113" s="582" t="str">
        <f t="shared" si="461"/>
        <v/>
      </c>
      <c r="AP113" s="585" t="str">
        <f t="shared" si="734"/>
        <v/>
      </c>
      <c r="AQ113" s="586" t="str">
        <f t="shared" si="667"/>
        <v/>
      </c>
      <c r="AS113" s="52" t="str">
        <f t="shared" si="737"/>
        <v/>
      </c>
      <c r="AT113" s="73" t="str">
        <f t="shared" si="668"/>
        <v/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643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IFERROR(ROUND(VALUE(IF($IH113&lt;1,$IH113+LARGE((IF($M$9:$M$150="",0,$M$9:$M$150)-MOD(IF($M$9:$M$150="",0,$M$9:$M$150),1)),1),$IH113)),4),"")</f>
        <v/>
      </c>
      <c r="IJ113" s="533" t="str">
        <f t="shared" si="542"/>
        <v/>
      </c>
      <c r="IK113" s="533" t="str">
        <f t="shared" si="713"/>
        <v/>
      </c>
      <c r="IL113" s="727" t="str">
        <f t="shared" si="647"/>
        <v/>
      </c>
      <c r="IM113" s="759"/>
      <c r="IN113" s="5" t="str">
        <f t="shared" si="648"/>
        <v/>
      </c>
      <c r="IO113" s="771"/>
      <c r="IP113" s="9" t="str">
        <f t="shared" si="649"/>
        <v/>
      </c>
      <c r="IQ113" s="5" t="str">
        <f t="shared" si="650"/>
        <v/>
      </c>
      <c r="IR113" s="5" t="str">
        <f t="shared" si="714"/>
        <v/>
      </c>
      <c r="IS113" s="5" t="str">
        <f t="shared" si="651"/>
        <v/>
      </c>
      <c r="IT113" s="727" t="str">
        <f t="shared" si="652"/>
        <v/>
      </c>
      <c r="IU113" s="9" t="str">
        <f t="shared" si="653"/>
        <v/>
      </c>
      <c r="IV113" s="5" t="str">
        <f t="shared" si="654"/>
        <v/>
      </c>
      <c r="IW113" s="5" t="str">
        <f t="shared" si="715"/>
        <v/>
      </c>
      <c r="IX113" s="5" t="str">
        <f t="shared" si="655"/>
        <v/>
      </c>
      <c r="IY113" s="762" t="str">
        <f t="shared" si="656"/>
        <v/>
      </c>
    </row>
    <row r="114" spans="1:259" ht="15" customHeight="1" x14ac:dyDescent="0.25">
      <c r="A114" s="79"/>
      <c r="B114" s="707"/>
      <c r="C114" s="708"/>
      <c r="D114" s="709"/>
      <c r="E114" s="710"/>
      <c r="F114" s="708"/>
      <c r="G114" s="711"/>
      <c r="H114" s="710"/>
      <c r="I114" s="708"/>
      <c r="J114" s="570"/>
      <c r="K114" s="865" t="str">
        <f>IF($J114="","",IF(IFERROR(INDEX(Settings!$AK$14:$AK$32,MATCH((((ROUND($H114,6)*2)*1000000)+ROUND($I114,6)),Settings!$AI$14:$AI$32,0)),"Undefined")="Undefined","Undefined",IFERROR(INDEX(_xlfn.ANCHORARRAY(Settings!$BC$14),MATCH(IFERROR(INDEX(Settings!$AK$14:$AK$32,MATCH((((ROUND($H114,6)*2)*1000000)+ROUND($I114,6)),Settings!$AI$14:$AI$32,0)),"Undefined"),_xlfn.ANCHORARRAY(Settings!$BC$14),0)),"Inactive")))</f>
        <v/>
      </c>
      <c r="L114" s="320"/>
      <c r="M114" s="168" t="str">
        <f t="shared" si="660"/>
        <v/>
      </c>
      <c r="N114" s="632" t="str">
        <f t="shared" si="661"/>
        <v/>
      </c>
      <c r="O114" s="629" t="str">
        <f t="shared" si="662"/>
        <v/>
      </c>
      <c r="P114" s="633" t="str">
        <f t="shared" si="663"/>
        <v/>
      </c>
      <c r="Q114" s="585" t="str">
        <f t="shared" si="520"/>
        <v/>
      </c>
      <c r="R114" s="629" t="str">
        <f t="shared" si="716"/>
        <v/>
      </c>
      <c r="S114" s="634" t="str">
        <f t="shared" si="717"/>
        <v/>
      </c>
      <c r="T114" s="635" t="str">
        <f t="shared" si="718"/>
        <v/>
      </c>
      <c r="U114" s="629" t="str">
        <f t="shared" si="719"/>
        <v/>
      </c>
      <c r="V114" s="636" t="str">
        <f t="shared" si="720"/>
        <v/>
      </c>
      <c r="W114" s="585" t="str">
        <f t="shared" si="645"/>
        <v/>
      </c>
      <c r="X114" s="629" t="str">
        <f t="shared" si="721"/>
        <v/>
      </c>
      <c r="Y114" s="630" t="str">
        <f t="shared" si="644"/>
        <v/>
      </c>
      <c r="Z114" s="632" t="str">
        <f t="shared" si="664"/>
        <v/>
      </c>
      <c r="AA114" s="629" t="str">
        <f t="shared" si="665"/>
        <v/>
      </c>
      <c r="AB114" s="629" t="str">
        <f t="shared" si="666"/>
        <v/>
      </c>
      <c r="AC114" s="636" t="str">
        <f t="shared" si="722"/>
        <v/>
      </c>
      <c r="AD114" s="637" t="str">
        <f t="shared" si="723"/>
        <v/>
      </c>
      <c r="AE114" s="629" t="str">
        <f t="shared" si="724"/>
        <v/>
      </c>
      <c r="AF114" s="633" t="str">
        <f t="shared" si="725"/>
        <v/>
      </c>
      <c r="AG114" s="602" t="str">
        <f t="shared" si="726"/>
        <v/>
      </c>
      <c r="AH114" s="603" t="str">
        <f t="shared" si="727"/>
        <v/>
      </c>
      <c r="AI114" s="585" t="str">
        <f t="shared" si="728"/>
        <v/>
      </c>
      <c r="AJ114" s="586" t="str">
        <f t="shared" si="729"/>
        <v/>
      </c>
      <c r="AK114" s="635" t="str">
        <f t="shared" si="730"/>
        <v/>
      </c>
      <c r="AL114" s="629" t="str">
        <f t="shared" si="731"/>
        <v/>
      </c>
      <c r="AM114" s="634" t="str">
        <f t="shared" si="732"/>
        <v/>
      </c>
      <c r="AN114" s="581" t="str">
        <f t="shared" si="733"/>
        <v/>
      </c>
      <c r="AO114" s="582" t="str">
        <f t="shared" si="461"/>
        <v/>
      </c>
      <c r="AP114" s="585" t="str">
        <f t="shared" si="734"/>
        <v/>
      </c>
      <c r="AQ114" s="586" t="str">
        <f t="shared" si="667"/>
        <v/>
      </c>
      <c r="AS114" s="52" t="str">
        <f t="shared" si="737"/>
        <v/>
      </c>
      <c r="AT114" s="73" t="str">
        <f t="shared" si="668"/>
        <v/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643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IFERROR(ROUND(VALUE(IF($IH114&lt;1,$IH114+LARGE((IF($M$9:$M$150="",0,$M$9:$M$150)-MOD(IF($M$9:$M$150="",0,$M$9:$M$150),1)),1),$IH114)),4),"")</f>
        <v/>
      </c>
      <c r="IJ114" s="533" t="str">
        <f t="shared" si="542"/>
        <v/>
      </c>
      <c r="IK114" s="533" t="str">
        <f t="shared" si="713"/>
        <v/>
      </c>
      <c r="IL114" s="727" t="str">
        <f t="shared" si="647"/>
        <v/>
      </c>
      <c r="IM114" s="759"/>
      <c r="IN114" s="5" t="str">
        <f t="shared" si="648"/>
        <v/>
      </c>
      <c r="IO114" s="771"/>
      <c r="IP114" s="9" t="str">
        <f t="shared" si="649"/>
        <v/>
      </c>
      <c r="IQ114" s="5" t="str">
        <f t="shared" si="650"/>
        <v/>
      </c>
      <c r="IR114" s="5" t="str">
        <f t="shared" si="714"/>
        <v/>
      </c>
      <c r="IS114" s="5" t="str">
        <f t="shared" si="651"/>
        <v/>
      </c>
      <c r="IT114" s="727" t="str">
        <f t="shared" si="652"/>
        <v/>
      </c>
      <c r="IU114" s="9" t="str">
        <f t="shared" si="653"/>
        <v/>
      </c>
      <c r="IV114" s="5" t="str">
        <f t="shared" si="654"/>
        <v/>
      </c>
      <c r="IW114" s="5" t="str">
        <f t="shared" si="715"/>
        <v/>
      </c>
      <c r="IX114" s="5" t="str">
        <f t="shared" si="655"/>
        <v/>
      </c>
      <c r="IY114" s="762" t="str">
        <f t="shared" si="656"/>
        <v/>
      </c>
    </row>
    <row r="115" spans="1:259" ht="15" customHeight="1" x14ac:dyDescent="0.25">
      <c r="A115" s="79"/>
      <c r="B115" s="707"/>
      <c r="C115" s="708"/>
      <c r="D115" s="709"/>
      <c r="E115" s="710"/>
      <c r="F115" s="708"/>
      <c r="G115" s="711"/>
      <c r="H115" s="710"/>
      <c r="I115" s="708"/>
      <c r="J115" s="570"/>
      <c r="K115" s="865" t="str">
        <f>IF($J115="","",IF(IFERROR(INDEX(Settings!$AK$14:$AK$32,MATCH((((ROUND($H115,6)*2)*1000000)+ROUND($I115,6)),Settings!$AI$14:$AI$32,0)),"Undefined")="Undefined","Undefined",IFERROR(INDEX(_xlfn.ANCHORARRAY(Settings!$BC$14),MATCH(IFERROR(INDEX(Settings!$AK$14:$AK$32,MATCH((((ROUND($H115,6)*2)*1000000)+ROUND($I115,6)),Settings!$AI$14:$AI$32,0)),"Undefined"),_xlfn.ANCHORARRAY(Settings!$BC$14),0)),"Inactive")))</f>
        <v/>
      </c>
      <c r="L115" s="320"/>
      <c r="M115" s="168" t="str">
        <f t="shared" si="660"/>
        <v/>
      </c>
      <c r="N115" s="632" t="str">
        <f t="shared" si="661"/>
        <v/>
      </c>
      <c r="O115" s="629" t="str">
        <f t="shared" si="662"/>
        <v/>
      </c>
      <c r="P115" s="633" t="str">
        <f t="shared" si="663"/>
        <v/>
      </c>
      <c r="Q115" s="585" t="str">
        <f t="shared" si="520"/>
        <v/>
      </c>
      <c r="R115" s="629" t="str">
        <f t="shared" si="716"/>
        <v/>
      </c>
      <c r="S115" s="634" t="str">
        <f t="shared" si="717"/>
        <v/>
      </c>
      <c r="T115" s="635" t="str">
        <f t="shared" si="718"/>
        <v/>
      </c>
      <c r="U115" s="629" t="str">
        <f t="shared" si="719"/>
        <v/>
      </c>
      <c r="V115" s="636" t="str">
        <f t="shared" si="720"/>
        <v/>
      </c>
      <c r="W115" s="585" t="str">
        <f t="shared" si="645"/>
        <v/>
      </c>
      <c r="X115" s="629" t="str">
        <f t="shared" si="721"/>
        <v/>
      </c>
      <c r="Y115" s="630" t="str">
        <f t="shared" si="644"/>
        <v/>
      </c>
      <c r="Z115" s="632" t="str">
        <f t="shared" si="664"/>
        <v/>
      </c>
      <c r="AA115" s="629" t="str">
        <f t="shared" si="665"/>
        <v/>
      </c>
      <c r="AB115" s="629" t="str">
        <f t="shared" si="666"/>
        <v/>
      </c>
      <c r="AC115" s="636" t="str">
        <f t="shared" si="722"/>
        <v/>
      </c>
      <c r="AD115" s="637" t="str">
        <f t="shared" si="723"/>
        <v/>
      </c>
      <c r="AE115" s="629" t="str">
        <f t="shared" si="724"/>
        <v/>
      </c>
      <c r="AF115" s="633" t="str">
        <f t="shared" si="725"/>
        <v/>
      </c>
      <c r="AG115" s="602" t="str">
        <f t="shared" si="726"/>
        <v/>
      </c>
      <c r="AH115" s="603" t="str">
        <f t="shared" si="727"/>
        <v/>
      </c>
      <c r="AI115" s="585" t="str">
        <f t="shared" si="728"/>
        <v/>
      </c>
      <c r="AJ115" s="586" t="str">
        <f t="shared" si="729"/>
        <v/>
      </c>
      <c r="AK115" s="635" t="str">
        <f t="shared" si="730"/>
        <v/>
      </c>
      <c r="AL115" s="629" t="str">
        <f t="shared" si="731"/>
        <v/>
      </c>
      <c r="AM115" s="634" t="str">
        <f t="shared" si="732"/>
        <v/>
      </c>
      <c r="AN115" s="581" t="str">
        <f t="shared" si="733"/>
        <v/>
      </c>
      <c r="AO115" s="582" t="str">
        <f t="shared" si="461"/>
        <v/>
      </c>
      <c r="AP115" s="585" t="str">
        <f t="shared" si="734"/>
        <v/>
      </c>
      <c r="AQ115" s="586" t="str">
        <f t="shared" si="667"/>
        <v/>
      </c>
      <c r="AS115" s="52" t="str">
        <f t="shared" si="737"/>
        <v/>
      </c>
      <c r="AT115" s="73" t="str">
        <f t="shared" si="668"/>
        <v/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643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IFERROR(ROUND(VALUE(IF($IH115&lt;1,$IH115+LARGE((IF($M$9:$M$150="",0,$M$9:$M$150)-MOD(IF($M$9:$M$150="",0,$M$9:$M$150),1)),1),$IH115)),4),"")</f>
        <v/>
      </c>
      <c r="IJ115" s="533" t="str">
        <f t="shared" si="542"/>
        <v/>
      </c>
      <c r="IK115" s="533" t="str">
        <f t="shared" si="713"/>
        <v/>
      </c>
      <c r="IL115" s="727" t="str">
        <f t="shared" si="647"/>
        <v/>
      </c>
      <c r="IM115" s="759"/>
      <c r="IN115" s="5" t="str">
        <f t="shared" si="648"/>
        <v/>
      </c>
      <c r="IO115" s="771"/>
      <c r="IP115" s="9" t="str">
        <f t="shared" si="649"/>
        <v/>
      </c>
      <c r="IQ115" s="5" t="str">
        <f t="shared" si="650"/>
        <v/>
      </c>
      <c r="IR115" s="5" t="str">
        <f t="shared" si="714"/>
        <v/>
      </c>
      <c r="IS115" s="5" t="str">
        <f t="shared" si="651"/>
        <v/>
      </c>
      <c r="IT115" s="727" t="str">
        <f t="shared" si="652"/>
        <v/>
      </c>
      <c r="IU115" s="9" t="str">
        <f t="shared" si="653"/>
        <v/>
      </c>
      <c r="IV115" s="5" t="str">
        <f t="shared" si="654"/>
        <v/>
      </c>
      <c r="IW115" s="5" t="str">
        <f t="shared" si="715"/>
        <v/>
      </c>
      <c r="IX115" s="5" t="str">
        <f t="shared" si="655"/>
        <v/>
      </c>
      <c r="IY115" s="762" t="str">
        <f t="shared" si="656"/>
        <v/>
      </c>
    </row>
    <row r="116" spans="1:259" ht="15" customHeight="1" x14ac:dyDescent="0.25">
      <c r="A116" s="79"/>
      <c r="B116" s="707"/>
      <c r="C116" s="708"/>
      <c r="D116" s="709"/>
      <c r="E116" s="710"/>
      <c r="F116" s="708"/>
      <c r="G116" s="711"/>
      <c r="H116" s="710"/>
      <c r="I116" s="708"/>
      <c r="J116" s="570"/>
      <c r="K116" s="865" t="str">
        <f>IF($J116="","",IF(IFERROR(INDEX(Settings!$AK$14:$AK$32,MATCH((((ROUND($H116,6)*2)*1000000)+ROUND($I116,6)),Settings!$AI$14:$AI$32,0)),"Undefined")="Undefined","Undefined",IFERROR(INDEX(_xlfn.ANCHORARRAY(Settings!$BC$14),MATCH(IFERROR(INDEX(Settings!$AK$14:$AK$32,MATCH((((ROUND($H116,6)*2)*1000000)+ROUND($I116,6)),Settings!$AI$14:$AI$32,0)),"Undefined"),_xlfn.ANCHORARRAY(Settings!$BC$14),0)),"Inactive")))</f>
        <v/>
      </c>
      <c r="L116" s="320"/>
      <c r="M116" s="168" t="str">
        <f t="shared" si="660"/>
        <v/>
      </c>
      <c r="N116" s="632" t="str">
        <f t="shared" si="661"/>
        <v/>
      </c>
      <c r="O116" s="629" t="str">
        <f t="shared" si="662"/>
        <v/>
      </c>
      <c r="P116" s="633" t="str">
        <f t="shared" si="663"/>
        <v/>
      </c>
      <c r="Q116" s="585" t="str">
        <f t="shared" si="520"/>
        <v/>
      </c>
      <c r="R116" s="629" t="str">
        <f t="shared" si="716"/>
        <v/>
      </c>
      <c r="S116" s="634" t="str">
        <f t="shared" si="717"/>
        <v/>
      </c>
      <c r="T116" s="635" t="str">
        <f t="shared" si="718"/>
        <v/>
      </c>
      <c r="U116" s="629" t="str">
        <f t="shared" si="719"/>
        <v/>
      </c>
      <c r="V116" s="636" t="str">
        <f t="shared" si="720"/>
        <v/>
      </c>
      <c r="W116" s="585" t="str">
        <f t="shared" si="645"/>
        <v/>
      </c>
      <c r="X116" s="629" t="str">
        <f t="shared" si="721"/>
        <v/>
      </c>
      <c r="Y116" s="630" t="str">
        <f t="shared" si="644"/>
        <v/>
      </c>
      <c r="Z116" s="632" t="str">
        <f t="shared" si="664"/>
        <v/>
      </c>
      <c r="AA116" s="629" t="str">
        <f t="shared" si="665"/>
        <v/>
      </c>
      <c r="AB116" s="629" t="str">
        <f t="shared" si="666"/>
        <v/>
      </c>
      <c r="AC116" s="636" t="str">
        <f t="shared" si="722"/>
        <v/>
      </c>
      <c r="AD116" s="637" t="str">
        <f t="shared" si="723"/>
        <v/>
      </c>
      <c r="AE116" s="629" t="str">
        <f t="shared" si="724"/>
        <v/>
      </c>
      <c r="AF116" s="633" t="str">
        <f t="shared" si="725"/>
        <v/>
      </c>
      <c r="AG116" s="602" t="str">
        <f t="shared" si="726"/>
        <v/>
      </c>
      <c r="AH116" s="603" t="str">
        <f t="shared" si="727"/>
        <v/>
      </c>
      <c r="AI116" s="585" t="str">
        <f t="shared" si="728"/>
        <v/>
      </c>
      <c r="AJ116" s="586" t="str">
        <f t="shared" si="729"/>
        <v/>
      </c>
      <c r="AK116" s="635" t="str">
        <f t="shared" si="730"/>
        <v/>
      </c>
      <c r="AL116" s="629" t="str">
        <f t="shared" si="731"/>
        <v/>
      </c>
      <c r="AM116" s="634" t="str">
        <f t="shared" si="732"/>
        <v/>
      </c>
      <c r="AN116" s="581" t="str">
        <f t="shared" si="733"/>
        <v/>
      </c>
      <c r="AO116" s="582" t="str">
        <f t="shared" si="461"/>
        <v/>
      </c>
      <c r="AP116" s="585" t="str">
        <f t="shared" si="734"/>
        <v/>
      </c>
      <c r="AQ116" s="586" t="str">
        <f t="shared" si="667"/>
        <v/>
      </c>
      <c r="AS116" s="52" t="str">
        <f t="shared" si="737"/>
        <v/>
      </c>
      <c r="AT116" s="73" t="str">
        <f t="shared" si="668"/>
        <v/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643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IFERROR(ROUND(VALUE(IF($IH116&lt;1,$IH116+LARGE((IF($M$9:$M$150="",0,$M$9:$M$150)-MOD(IF($M$9:$M$150="",0,$M$9:$M$150),1)),1),$IH116)),4),"")</f>
        <v/>
      </c>
      <c r="IJ116" s="533" t="str">
        <f t="shared" si="542"/>
        <v/>
      </c>
      <c r="IK116" s="533" t="str">
        <f t="shared" si="713"/>
        <v/>
      </c>
      <c r="IL116" s="727" t="str">
        <f t="shared" si="647"/>
        <v/>
      </c>
      <c r="IM116" s="759"/>
      <c r="IN116" s="5" t="str">
        <f t="shared" si="648"/>
        <v/>
      </c>
      <c r="IO116" s="771"/>
      <c r="IP116" s="9" t="str">
        <f t="shared" si="649"/>
        <v/>
      </c>
      <c r="IQ116" s="5" t="str">
        <f t="shared" si="650"/>
        <v/>
      </c>
      <c r="IR116" s="5" t="str">
        <f t="shared" si="714"/>
        <v/>
      </c>
      <c r="IS116" s="5" t="str">
        <f t="shared" si="651"/>
        <v/>
      </c>
      <c r="IT116" s="727" t="str">
        <f t="shared" si="652"/>
        <v/>
      </c>
      <c r="IU116" s="9" t="str">
        <f t="shared" si="653"/>
        <v/>
      </c>
      <c r="IV116" s="5" t="str">
        <f t="shared" si="654"/>
        <v/>
      </c>
      <c r="IW116" s="5" t="str">
        <f t="shared" si="715"/>
        <v/>
      </c>
      <c r="IX116" s="5" t="str">
        <f t="shared" si="655"/>
        <v/>
      </c>
      <c r="IY116" s="762" t="str">
        <f t="shared" si="656"/>
        <v/>
      </c>
    </row>
    <row r="117" spans="1:259" ht="15" customHeight="1" x14ac:dyDescent="0.25">
      <c r="A117" s="79"/>
      <c r="B117" s="707"/>
      <c r="C117" s="708"/>
      <c r="D117" s="709"/>
      <c r="E117" s="710"/>
      <c r="F117" s="708"/>
      <c r="G117" s="711"/>
      <c r="H117" s="710"/>
      <c r="I117" s="708"/>
      <c r="J117" s="570"/>
      <c r="K117" s="865" t="str">
        <f>IF($J117="","",IF(IFERROR(INDEX(Settings!$AK$14:$AK$32,MATCH((((ROUND($H117,6)*2)*1000000)+ROUND($I117,6)),Settings!$AI$14:$AI$32,0)),"Undefined")="Undefined","Undefined",IFERROR(INDEX(_xlfn.ANCHORARRAY(Settings!$BC$14),MATCH(IFERROR(INDEX(Settings!$AK$14:$AK$32,MATCH((((ROUND($H117,6)*2)*1000000)+ROUND($I117,6)),Settings!$AI$14:$AI$32,0)),"Undefined"),_xlfn.ANCHORARRAY(Settings!$BC$14),0)),"Inactive")))</f>
        <v/>
      </c>
      <c r="L117" s="320"/>
      <c r="M117" s="168" t="str">
        <f t="shared" si="660"/>
        <v/>
      </c>
      <c r="N117" s="632" t="str">
        <f t="shared" si="661"/>
        <v/>
      </c>
      <c r="O117" s="629" t="str">
        <f t="shared" si="662"/>
        <v/>
      </c>
      <c r="P117" s="633" t="str">
        <f t="shared" si="663"/>
        <v/>
      </c>
      <c r="Q117" s="585" t="str">
        <f t="shared" si="520"/>
        <v/>
      </c>
      <c r="R117" s="629" t="str">
        <f t="shared" si="716"/>
        <v/>
      </c>
      <c r="S117" s="634" t="str">
        <f t="shared" si="717"/>
        <v/>
      </c>
      <c r="T117" s="635" t="str">
        <f t="shared" si="718"/>
        <v/>
      </c>
      <c r="U117" s="629" t="str">
        <f t="shared" si="719"/>
        <v/>
      </c>
      <c r="V117" s="636" t="str">
        <f t="shared" si="720"/>
        <v/>
      </c>
      <c r="W117" s="585" t="str">
        <f t="shared" si="645"/>
        <v/>
      </c>
      <c r="X117" s="629" t="str">
        <f t="shared" si="721"/>
        <v/>
      </c>
      <c r="Y117" s="630" t="str">
        <f t="shared" si="644"/>
        <v/>
      </c>
      <c r="Z117" s="632" t="str">
        <f t="shared" si="664"/>
        <v/>
      </c>
      <c r="AA117" s="629" t="str">
        <f t="shared" si="665"/>
        <v/>
      </c>
      <c r="AB117" s="629" t="str">
        <f t="shared" si="666"/>
        <v/>
      </c>
      <c r="AC117" s="636" t="str">
        <f t="shared" si="722"/>
        <v/>
      </c>
      <c r="AD117" s="637" t="str">
        <f t="shared" si="723"/>
        <v/>
      </c>
      <c r="AE117" s="629" t="str">
        <f t="shared" si="724"/>
        <v/>
      </c>
      <c r="AF117" s="633" t="str">
        <f t="shared" si="725"/>
        <v/>
      </c>
      <c r="AG117" s="602" t="str">
        <f t="shared" si="726"/>
        <v/>
      </c>
      <c r="AH117" s="603" t="str">
        <f t="shared" si="727"/>
        <v/>
      </c>
      <c r="AI117" s="585" t="str">
        <f t="shared" si="728"/>
        <v/>
      </c>
      <c r="AJ117" s="586" t="str">
        <f t="shared" si="729"/>
        <v/>
      </c>
      <c r="AK117" s="635" t="str">
        <f t="shared" si="730"/>
        <v/>
      </c>
      <c r="AL117" s="629" t="str">
        <f t="shared" si="731"/>
        <v/>
      </c>
      <c r="AM117" s="634" t="str">
        <f t="shared" si="732"/>
        <v/>
      </c>
      <c r="AN117" s="581" t="str">
        <f t="shared" si="733"/>
        <v/>
      </c>
      <c r="AO117" s="582" t="str">
        <f t="shared" si="461"/>
        <v/>
      </c>
      <c r="AP117" s="585" t="str">
        <f t="shared" si="734"/>
        <v/>
      </c>
      <c r="AQ117" s="586" t="str">
        <f t="shared" si="667"/>
        <v/>
      </c>
      <c r="AS117" s="52" t="str">
        <f t="shared" si="737"/>
        <v/>
      </c>
      <c r="AT117" s="73" t="str">
        <f t="shared" si="668"/>
        <v/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643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IFERROR(ROUND(VALUE(IF($IH117&lt;1,$IH117+LARGE((IF($M$9:$M$150="",0,$M$9:$M$150)-MOD(IF($M$9:$M$150="",0,$M$9:$M$150),1)),1),$IH117)),4),"")</f>
        <v/>
      </c>
      <c r="IJ117" s="533" t="str">
        <f t="shared" si="542"/>
        <v/>
      </c>
      <c r="IK117" s="533" t="str">
        <f t="shared" si="713"/>
        <v/>
      </c>
      <c r="IL117" s="727" t="str">
        <f t="shared" si="647"/>
        <v/>
      </c>
      <c r="IM117" s="759"/>
      <c r="IN117" s="5" t="str">
        <f t="shared" si="648"/>
        <v/>
      </c>
      <c r="IO117" s="771"/>
      <c r="IP117" s="9" t="str">
        <f t="shared" si="649"/>
        <v/>
      </c>
      <c r="IQ117" s="5" t="str">
        <f t="shared" si="650"/>
        <v/>
      </c>
      <c r="IR117" s="5" t="str">
        <f t="shared" si="714"/>
        <v/>
      </c>
      <c r="IS117" s="5" t="str">
        <f t="shared" si="651"/>
        <v/>
      </c>
      <c r="IT117" s="727" t="str">
        <f t="shared" si="652"/>
        <v/>
      </c>
      <c r="IU117" s="9" t="str">
        <f t="shared" si="653"/>
        <v/>
      </c>
      <c r="IV117" s="5" t="str">
        <f t="shared" si="654"/>
        <v/>
      </c>
      <c r="IW117" s="5" t="str">
        <f t="shared" si="715"/>
        <v/>
      </c>
      <c r="IX117" s="5" t="str">
        <f t="shared" si="655"/>
        <v/>
      </c>
      <c r="IY117" s="762" t="str">
        <f t="shared" si="656"/>
        <v/>
      </c>
    </row>
    <row r="118" spans="1:259" ht="15" customHeight="1" x14ac:dyDescent="0.25">
      <c r="A118" s="79"/>
      <c r="B118" s="707"/>
      <c r="C118" s="708"/>
      <c r="D118" s="709"/>
      <c r="E118" s="710"/>
      <c r="F118" s="708"/>
      <c r="G118" s="711"/>
      <c r="H118" s="710"/>
      <c r="I118" s="708"/>
      <c r="J118" s="570"/>
      <c r="K118" s="865" t="str">
        <f>IF($J118="","",IF(IFERROR(INDEX(Settings!$AK$14:$AK$32,MATCH((((ROUND($H118,6)*2)*1000000)+ROUND($I118,6)),Settings!$AI$14:$AI$32,0)),"Undefined")="Undefined","Undefined",IFERROR(INDEX(_xlfn.ANCHORARRAY(Settings!$BC$14),MATCH(IFERROR(INDEX(Settings!$AK$14:$AK$32,MATCH((((ROUND($H118,6)*2)*1000000)+ROUND($I118,6)),Settings!$AI$14:$AI$32,0)),"Undefined"),_xlfn.ANCHORARRAY(Settings!$BC$14),0)),"Inactive")))</f>
        <v/>
      </c>
      <c r="L118" s="320"/>
      <c r="M118" s="168" t="str">
        <f t="shared" si="660"/>
        <v/>
      </c>
      <c r="N118" s="632" t="str">
        <f t="shared" si="661"/>
        <v/>
      </c>
      <c r="O118" s="629" t="str">
        <f t="shared" si="662"/>
        <v/>
      </c>
      <c r="P118" s="633" t="str">
        <f t="shared" si="663"/>
        <v/>
      </c>
      <c r="Q118" s="585" t="str">
        <f t="shared" si="520"/>
        <v/>
      </c>
      <c r="R118" s="629" t="str">
        <f t="shared" si="716"/>
        <v/>
      </c>
      <c r="S118" s="634" t="str">
        <f t="shared" si="717"/>
        <v/>
      </c>
      <c r="T118" s="635" t="str">
        <f t="shared" si="718"/>
        <v/>
      </c>
      <c r="U118" s="629" t="str">
        <f t="shared" si="719"/>
        <v/>
      </c>
      <c r="V118" s="636" t="str">
        <f t="shared" si="720"/>
        <v/>
      </c>
      <c r="W118" s="585" t="str">
        <f t="shared" si="645"/>
        <v/>
      </c>
      <c r="X118" s="629" t="str">
        <f t="shared" si="721"/>
        <v/>
      </c>
      <c r="Y118" s="630" t="str">
        <f t="shared" si="644"/>
        <v/>
      </c>
      <c r="Z118" s="632" t="str">
        <f t="shared" si="664"/>
        <v/>
      </c>
      <c r="AA118" s="629" t="str">
        <f t="shared" si="665"/>
        <v/>
      </c>
      <c r="AB118" s="629" t="str">
        <f t="shared" si="666"/>
        <v/>
      </c>
      <c r="AC118" s="636" t="str">
        <f t="shared" si="722"/>
        <v/>
      </c>
      <c r="AD118" s="637" t="str">
        <f t="shared" si="723"/>
        <v/>
      </c>
      <c r="AE118" s="629" t="str">
        <f t="shared" si="724"/>
        <v/>
      </c>
      <c r="AF118" s="633" t="str">
        <f t="shared" si="725"/>
        <v/>
      </c>
      <c r="AG118" s="602" t="str">
        <f t="shared" si="726"/>
        <v/>
      </c>
      <c r="AH118" s="603" t="str">
        <f t="shared" si="727"/>
        <v/>
      </c>
      <c r="AI118" s="585" t="str">
        <f t="shared" si="728"/>
        <v/>
      </c>
      <c r="AJ118" s="586" t="str">
        <f t="shared" si="729"/>
        <v/>
      </c>
      <c r="AK118" s="635" t="str">
        <f t="shared" si="730"/>
        <v/>
      </c>
      <c r="AL118" s="629" t="str">
        <f t="shared" si="731"/>
        <v/>
      </c>
      <c r="AM118" s="634" t="str">
        <f t="shared" si="732"/>
        <v/>
      </c>
      <c r="AN118" s="581" t="str">
        <f t="shared" si="733"/>
        <v/>
      </c>
      <c r="AO118" s="582" t="str">
        <f t="shared" si="461"/>
        <v/>
      </c>
      <c r="AP118" s="585" t="str">
        <f t="shared" si="734"/>
        <v/>
      </c>
      <c r="AQ118" s="586" t="str">
        <f t="shared" si="667"/>
        <v/>
      </c>
      <c r="AS118" s="52" t="str">
        <f t="shared" si="737"/>
        <v/>
      </c>
      <c r="AT118" s="73" t="str">
        <f t="shared" si="668"/>
        <v/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643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IFERROR(ROUND(VALUE(IF($IH118&lt;1,$IH118+LARGE((IF($M$9:$M$150="",0,$M$9:$M$150)-MOD(IF($M$9:$M$150="",0,$M$9:$M$150),1)),1),$IH118)),4),"")</f>
        <v/>
      </c>
      <c r="IJ118" s="533" t="str">
        <f t="shared" si="542"/>
        <v/>
      </c>
      <c r="IK118" s="533" t="str">
        <f t="shared" si="713"/>
        <v/>
      </c>
      <c r="IL118" s="727" t="str">
        <f t="shared" si="647"/>
        <v/>
      </c>
      <c r="IM118" s="759"/>
      <c r="IN118" s="5" t="str">
        <f t="shared" si="648"/>
        <v/>
      </c>
      <c r="IO118" s="771"/>
      <c r="IP118" s="9" t="str">
        <f t="shared" si="649"/>
        <v/>
      </c>
      <c r="IQ118" s="5" t="str">
        <f t="shared" si="650"/>
        <v/>
      </c>
      <c r="IR118" s="5" t="str">
        <f t="shared" si="714"/>
        <v/>
      </c>
      <c r="IS118" s="5" t="str">
        <f t="shared" si="651"/>
        <v/>
      </c>
      <c r="IT118" s="727" t="str">
        <f t="shared" si="652"/>
        <v/>
      </c>
      <c r="IU118" s="9" t="str">
        <f t="shared" si="653"/>
        <v/>
      </c>
      <c r="IV118" s="5" t="str">
        <f t="shared" si="654"/>
        <v/>
      </c>
      <c r="IW118" s="5" t="str">
        <f t="shared" si="715"/>
        <v/>
      </c>
      <c r="IX118" s="5" t="str">
        <f t="shared" si="655"/>
        <v/>
      </c>
      <c r="IY118" s="762" t="str">
        <f t="shared" si="656"/>
        <v/>
      </c>
    </row>
    <row r="119" spans="1:259" ht="15" customHeight="1" x14ac:dyDescent="0.25">
      <c r="A119" s="79"/>
      <c r="B119" s="707"/>
      <c r="C119" s="708"/>
      <c r="D119" s="709"/>
      <c r="E119" s="710"/>
      <c r="F119" s="708"/>
      <c r="G119" s="711"/>
      <c r="H119" s="710"/>
      <c r="I119" s="708"/>
      <c r="J119" s="570"/>
      <c r="K119" s="865" t="str">
        <f>IF($J119="","",IF(IFERROR(INDEX(Settings!$AK$14:$AK$32,MATCH((((ROUND($H119,6)*2)*1000000)+ROUND($I119,6)),Settings!$AI$14:$AI$32,0)),"Undefined")="Undefined","Undefined",IFERROR(INDEX(_xlfn.ANCHORARRAY(Settings!$BC$14),MATCH(IFERROR(INDEX(Settings!$AK$14:$AK$32,MATCH((((ROUND($H119,6)*2)*1000000)+ROUND($I119,6)),Settings!$AI$14:$AI$32,0)),"Undefined"),_xlfn.ANCHORARRAY(Settings!$BC$14),0)),"Inactive")))</f>
        <v/>
      </c>
      <c r="L119" s="320"/>
      <c r="M119" s="168" t="str">
        <f t="shared" si="660"/>
        <v/>
      </c>
      <c r="N119" s="632" t="str">
        <f t="shared" si="661"/>
        <v/>
      </c>
      <c r="O119" s="629" t="str">
        <f t="shared" si="662"/>
        <v/>
      </c>
      <c r="P119" s="633" t="str">
        <f t="shared" si="663"/>
        <v/>
      </c>
      <c r="Q119" s="585" t="str">
        <f t="shared" si="520"/>
        <v/>
      </c>
      <c r="R119" s="629" t="str">
        <f t="shared" si="716"/>
        <v/>
      </c>
      <c r="S119" s="634" t="str">
        <f t="shared" si="717"/>
        <v/>
      </c>
      <c r="T119" s="635" t="str">
        <f t="shared" si="718"/>
        <v/>
      </c>
      <c r="U119" s="629" t="str">
        <f t="shared" si="719"/>
        <v/>
      </c>
      <c r="V119" s="636" t="str">
        <f t="shared" si="720"/>
        <v/>
      </c>
      <c r="W119" s="585" t="str">
        <f t="shared" si="645"/>
        <v/>
      </c>
      <c r="X119" s="629" t="str">
        <f t="shared" si="721"/>
        <v/>
      </c>
      <c r="Y119" s="630" t="str">
        <f t="shared" si="644"/>
        <v/>
      </c>
      <c r="Z119" s="632" t="str">
        <f t="shared" si="664"/>
        <v/>
      </c>
      <c r="AA119" s="629" t="str">
        <f t="shared" si="665"/>
        <v/>
      </c>
      <c r="AB119" s="629" t="str">
        <f t="shared" si="666"/>
        <v/>
      </c>
      <c r="AC119" s="636" t="str">
        <f t="shared" si="722"/>
        <v/>
      </c>
      <c r="AD119" s="637" t="str">
        <f t="shared" si="723"/>
        <v/>
      </c>
      <c r="AE119" s="629" t="str">
        <f t="shared" si="724"/>
        <v/>
      </c>
      <c r="AF119" s="633" t="str">
        <f t="shared" si="725"/>
        <v/>
      </c>
      <c r="AG119" s="602" t="str">
        <f t="shared" si="726"/>
        <v/>
      </c>
      <c r="AH119" s="603" t="str">
        <f t="shared" si="727"/>
        <v/>
      </c>
      <c r="AI119" s="585" t="str">
        <f t="shared" si="728"/>
        <v/>
      </c>
      <c r="AJ119" s="586" t="str">
        <f t="shared" si="729"/>
        <v/>
      </c>
      <c r="AK119" s="635" t="str">
        <f t="shared" si="730"/>
        <v/>
      </c>
      <c r="AL119" s="629" t="str">
        <f t="shared" si="731"/>
        <v/>
      </c>
      <c r="AM119" s="634" t="str">
        <f t="shared" si="732"/>
        <v/>
      </c>
      <c r="AN119" s="581" t="str">
        <f t="shared" si="733"/>
        <v/>
      </c>
      <c r="AO119" s="582" t="str">
        <f t="shared" si="461"/>
        <v/>
      </c>
      <c r="AP119" s="585" t="str">
        <f t="shared" si="734"/>
        <v/>
      </c>
      <c r="AQ119" s="586" t="str">
        <f t="shared" si="667"/>
        <v/>
      </c>
      <c r="AS119" s="52" t="str">
        <f t="shared" si="737"/>
        <v/>
      </c>
      <c r="AT119" s="73" t="str">
        <f t="shared" si="668"/>
        <v/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643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IFERROR(ROUND(VALUE(IF($IH119&lt;1,$IH119+LARGE((IF($M$9:$M$150="",0,$M$9:$M$150)-MOD(IF($M$9:$M$150="",0,$M$9:$M$150),1)),1),$IH119)),4),"")</f>
        <v/>
      </c>
      <c r="IJ119" s="533" t="str">
        <f t="shared" si="542"/>
        <v/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/>
      <c r="C120" s="708"/>
      <c r="D120" s="709"/>
      <c r="E120" s="710"/>
      <c r="F120" s="708"/>
      <c r="G120" s="711"/>
      <c r="H120" s="710"/>
      <c r="I120" s="708"/>
      <c r="J120" s="570"/>
      <c r="K120" s="865" t="str">
        <f>IF($J120="","",IF(IFERROR(INDEX(Settings!$AK$14:$AK$32,MATCH((((ROUND($H120,6)*2)*1000000)+ROUND($I120,6)),Settings!$AI$14:$AI$32,0)),"Undefined")="Undefined","Undefined",IFERROR(INDEX(_xlfn.ANCHORARRAY(Settings!$BC$14),MATCH(IFERROR(INDEX(Settings!$AK$14:$AK$32,MATCH((((ROUND($H120,6)*2)*1000000)+ROUND($I120,6)),Settings!$AI$14:$AI$32,0)),"Undefined"),_xlfn.ANCHORARRAY(Settings!$BC$14),0)),"Inactive")))</f>
        <v/>
      </c>
      <c r="L120" s="320"/>
      <c r="M120" s="168" t="str">
        <f t="shared" si="660"/>
        <v/>
      </c>
      <c r="N120" s="632" t="str">
        <f t="shared" si="661"/>
        <v/>
      </c>
      <c r="O120" s="629" t="str">
        <f t="shared" si="662"/>
        <v/>
      </c>
      <c r="P120" s="633" t="str">
        <f t="shared" si="663"/>
        <v/>
      </c>
      <c r="Q120" s="585" t="str">
        <f t="shared" si="520"/>
        <v/>
      </c>
      <c r="R120" s="629" t="str">
        <f t="shared" si="716"/>
        <v/>
      </c>
      <c r="S120" s="634" t="str">
        <f t="shared" si="717"/>
        <v/>
      </c>
      <c r="T120" s="635" t="str">
        <f t="shared" si="718"/>
        <v/>
      </c>
      <c r="U120" s="629" t="str">
        <f t="shared" si="719"/>
        <v/>
      </c>
      <c r="V120" s="636" t="str">
        <f t="shared" si="720"/>
        <v/>
      </c>
      <c r="W120" s="585" t="str">
        <f t="shared" si="645"/>
        <v/>
      </c>
      <c r="X120" s="629" t="str">
        <f t="shared" si="721"/>
        <v/>
      </c>
      <c r="Y120" s="630" t="str">
        <f t="shared" si="644"/>
        <v/>
      </c>
      <c r="Z120" s="632" t="str">
        <f t="shared" si="664"/>
        <v/>
      </c>
      <c r="AA120" s="629" t="str">
        <f t="shared" si="665"/>
        <v/>
      </c>
      <c r="AB120" s="629" t="str">
        <f t="shared" si="666"/>
        <v/>
      </c>
      <c r="AC120" s="636" t="str">
        <f t="shared" si="722"/>
        <v/>
      </c>
      <c r="AD120" s="637" t="str">
        <f t="shared" si="723"/>
        <v/>
      </c>
      <c r="AE120" s="629" t="str">
        <f t="shared" si="724"/>
        <v/>
      </c>
      <c r="AF120" s="633" t="str">
        <f t="shared" si="725"/>
        <v/>
      </c>
      <c r="AG120" s="602" t="str">
        <f t="shared" si="726"/>
        <v/>
      </c>
      <c r="AH120" s="603" t="str">
        <f t="shared" si="727"/>
        <v/>
      </c>
      <c r="AI120" s="585" t="str">
        <f t="shared" si="728"/>
        <v/>
      </c>
      <c r="AJ120" s="586" t="str">
        <f t="shared" si="729"/>
        <v/>
      </c>
      <c r="AK120" s="635" t="str">
        <f t="shared" si="730"/>
        <v/>
      </c>
      <c r="AL120" s="629" t="str">
        <f t="shared" si="731"/>
        <v/>
      </c>
      <c r="AM120" s="634" t="str">
        <f t="shared" si="732"/>
        <v/>
      </c>
      <c r="AN120" s="581" t="str">
        <f t="shared" si="733"/>
        <v/>
      </c>
      <c r="AO120" s="582" t="str">
        <f t="shared" ref="AO120:AO150" si="742">IF(ROUND(IF(M120="",0,DEGREES(ACOS(AK120))),4)=90,0,IF(M120="","",DEGREES(ACOS(AK120))))</f>
        <v/>
      </c>
      <c r="AP120" s="585" t="str">
        <f t="shared" si="734"/>
        <v/>
      </c>
      <c r="AQ120" s="586" t="str">
        <f t="shared" si="667"/>
        <v/>
      </c>
      <c r="AS120" s="52" t="str">
        <f t="shared" si="737"/>
        <v/>
      </c>
      <c r="AT120" s="73" t="str">
        <f t="shared" si="668"/>
        <v/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643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IFERROR(ROUND(VALUE(IF($IH120&lt;1,$IH120+LARGE((IF($M$9:$M$150="",0,$M$9:$M$150)-MOD(IF($M$9:$M$150="",0,$M$9:$M$150),1)),1),$IH120)),4),"")</f>
        <v/>
      </c>
      <c r="IJ120" s="533" t="str">
        <f t="shared" si="542"/>
        <v/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/>
      <c r="C121" s="708"/>
      <c r="D121" s="709"/>
      <c r="E121" s="710"/>
      <c r="F121" s="708"/>
      <c r="G121" s="711"/>
      <c r="H121" s="710"/>
      <c r="I121" s="708"/>
      <c r="J121" s="570"/>
      <c r="K121" s="865" t="str">
        <f>IF($J121="","",IF(IFERROR(INDEX(Settings!$AK$14:$AK$32,MATCH((((ROUND($H121,6)*2)*1000000)+ROUND($I121,6)),Settings!$AI$14:$AI$32,0)),"Undefined")="Undefined","Undefined",IFERROR(INDEX(_xlfn.ANCHORARRAY(Settings!$BC$14),MATCH(IFERROR(INDEX(Settings!$AK$14:$AK$32,MATCH((((ROUND($H121,6)*2)*1000000)+ROUND($I121,6)),Settings!$AI$14:$AI$32,0)),"Undefined"),_xlfn.ANCHORARRAY(Settings!$BC$14),0)),"Inactive")))</f>
        <v/>
      </c>
      <c r="L121" s="320"/>
      <c r="M121" s="168" t="str">
        <f t="shared" si="660"/>
        <v/>
      </c>
      <c r="N121" s="632" t="str">
        <f t="shared" si="661"/>
        <v/>
      </c>
      <c r="O121" s="629" t="str">
        <f t="shared" si="662"/>
        <v/>
      </c>
      <c r="P121" s="633" t="str">
        <f t="shared" si="663"/>
        <v/>
      </c>
      <c r="Q121" s="585" t="str">
        <f t="shared" si="520"/>
        <v/>
      </c>
      <c r="R121" s="629" t="str">
        <f t="shared" si="716"/>
        <v/>
      </c>
      <c r="S121" s="634" t="str">
        <f t="shared" si="717"/>
        <v/>
      </c>
      <c r="T121" s="635" t="str">
        <f t="shared" si="718"/>
        <v/>
      </c>
      <c r="U121" s="629" t="str">
        <f t="shared" si="719"/>
        <v/>
      </c>
      <c r="V121" s="636" t="str">
        <f t="shared" si="720"/>
        <v/>
      </c>
      <c r="W121" s="585" t="str">
        <f t="shared" si="645"/>
        <v/>
      </c>
      <c r="X121" s="629" t="str">
        <f t="shared" si="721"/>
        <v/>
      </c>
      <c r="Y121" s="630" t="str">
        <f t="shared" si="644"/>
        <v/>
      </c>
      <c r="Z121" s="632" t="str">
        <f t="shared" si="664"/>
        <v/>
      </c>
      <c r="AA121" s="629" t="str">
        <f t="shared" si="665"/>
        <v/>
      </c>
      <c r="AB121" s="629" t="str">
        <f t="shared" si="666"/>
        <v/>
      </c>
      <c r="AC121" s="636" t="str">
        <f t="shared" si="722"/>
        <v/>
      </c>
      <c r="AD121" s="637" t="str">
        <f t="shared" si="723"/>
        <v/>
      </c>
      <c r="AE121" s="629" t="str">
        <f t="shared" si="724"/>
        <v/>
      </c>
      <c r="AF121" s="633" t="str">
        <f t="shared" si="725"/>
        <v/>
      </c>
      <c r="AG121" s="602" t="str">
        <f t="shared" si="726"/>
        <v/>
      </c>
      <c r="AH121" s="603" t="str">
        <f t="shared" si="727"/>
        <v/>
      </c>
      <c r="AI121" s="585" t="str">
        <f t="shared" si="728"/>
        <v/>
      </c>
      <c r="AJ121" s="586" t="str">
        <f t="shared" si="729"/>
        <v/>
      </c>
      <c r="AK121" s="635" t="str">
        <f t="shared" si="730"/>
        <v/>
      </c>
      <c r="AL121" s="629" t="str">
        <f t="shared" si="731"/>
        <v/>
      </c>
      <c r="AM121" s="634" t="str">
        <f t="shared" si="732"/>
        <v/>
      </c>
      <c r="AN121" s="581" t="str">
        <f t="shared" si="733"/>
        <v/>
      </c>
      <c r="AO121" s="582" t="str">
        <f t="shared" si="742"/>
        <v/>
      </c>
      <c r="AP121" s="585" t="str">
        <f t="shared" si="734"/>
        <v/>
      </c>
      <c r="AQ121" s="586" t="str">
        <f t="shared" si="667"/>
        <v/>
      </c>
      <c r="AS121" s="52" t="str">
        <f t="shared" si="737"/>
        <v/>
      </c>
      <c r="AT121" s="73" t="str">
        <f t="shared" si="668"/>
        <v/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643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IFERROR(ROUND(VALUE(IF($IH121&lt;1,$IH121+LARGE((IF($M$9:$M$150="",0,$M$9:$M$150)-MOD(IF($M$9:$M$150="",0,$M$9:$M$150),1)),1),$IH121)),4),"")</f>
        <v/>
      </c>
      <c r="IJ121" s="533" t="str">
        <f t="shared" si="542"/>
        <v/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/>
      <c r="C122" s="708"/>
      <c r="D122" s="709"/>
      <c r="E122" s="710"/>
      <c r="F122" s="708"/>
      <c r="G122" s="711"/>
      <c r="H122" s="710"/>
      <c r="I122" s="708"/>
      <c r="J122" s="570"/>
      <c r="K122" s="865" t="str">
        <f>IF($J122="","",IF(IFERROR(INDEX(Settings!$AK$14:$AK$32,MATCH((((ROUND($H122,6)*2)*1000000)+ROUND($I122,6)),Settings!$AI$14:$AI$32,0)),"Undefined")="Undefined","Undefined",IFERROR(INDEX(_xlfn.ANCHORARRAY(Settings!$BC$14),MATCH(IFERROR(INDEX(Settings!$AK$14:$AK$32,MATCH((((ROUND($H122,6)*2)*1000000)+ROUND($I122,6)),Settings!$AI$14:$AI$32,0)),"Undefined"),_xlfn.ANCHORARRAY(Settings!$BC$14),0)),"Inactive")))</f>
        <v/>
      </c>
      <c r="L122" s="320"/>
      <c r="M122" s="168" t="str">
        <f t="shared" si="660"/>
        <v/>
      </c>
      <c r="N122" s="632" t="str">
        <f t="shared" si="661"/>
        <v/>
      </c>
      <c r="O122" s="629" t="str">
        <f t="shared" si="662"/>
        <v/>
      </c>
      <c r="P122" s="633" t="str">
        <f t="shared" si="663"/>
        <v/>
      </c>
      <c r="Q122" s="585" t="str">
        <f t="shared" si="520"/>
        <v/>
      </c>
      <c r="R122" s="629" t="str">
        <f t="shared" si="716"/>
        <v/>
      </c>
      <c r="S122" s="634" t="str">
        <f t="shared" si="717"/>
        <v/>
      </c>
      <c r="T122" s="635" t="str">
        <f t="shared" si="718"/>
        <v/>
      </c>
      <c r="U122" s="629" t="str">
        <f t="shared" si="719"/>
        <v/>
      </c>
      <c r="V122" s="636" t="str">
        <f t="shared" si="720"/>
        <v/>
      </c>
      <c r="W122" s="585" t="str">
        <f t="shared" si="645"/>
        <v/>
      </c>
      <c r="X122" s="629" t="str">
        <f t="shared" si="721"/>
        <v/>
      </c>
      <c r="Y122" s="630" t="str">
        <f t="shared" si="644"/>
        <v/>
      </c>
      <c r="Z122" s="632" t="str">
        <f t="shared" si="664"/>
        <v/>
      </c>
      <c r="AA122" s="629" t="str">
        <f t="shared" si="665"/>
        <v/>
      </c>
      <c r="AB122" s="629" t="str">
        <f t="shared" si="666"/>
        <v/>
      </c>
      <c r="AC122" s="636" t="str">
        <f t="shared" si="722"/>
        <v/>
      </c>
      <c r="AD122" s="637" t="str">
        <f t="shared" si="723"/>
        <v/>
      </c>
      <c r="AE122" s="629" t="str">
        <f t="shared" si="724"/>
        <v/>
      </c>
      <c r="AF122" s="633" t="str">
        <f t="shared" si="725"/>
        <v/>
      </c>
      <c r="AG122" s="602" t="str">
        <f t="shared" si="726"/>
        <v/>
      </c>
      <c r="AH122" s="603" t="str">
        <f t="shared" si="727"/>
        <v/>
      </c>
      <c r="AI122" s="585" t="str">
        <f t="shared" si="728"/>
        <v/>
      </c>
      <c r="AJ122" s="586" t="str">
        <f t="shared" si="729"/>
        <v/>
      </c>
      <c r="AK122" s="635" t="str">
        <f t="shared" si="730"/>
        <v/>
      </c>
      <c r="AL122" s="629" t="str">
        <f t="shared" si="731"/>
        <v/>
      </c>
      <c r="AM122" s="634" t="str">
        <f t="shared" si="732"/>
        <v/>
      </c>
      <c r="AN122" s="581" t="str">
        <f t="shared" si="733"/>
        <v/>
      </c>
      <c r="AO122" s="582" t="str">
        <f t="shared" si="742"/>
        <v/>
      </c>
      <c r="AP122" s="585" t="str">
        <f t="shared" si="734"/>
        <v/>
      </c>
      <c r="AQ122" s="586" t="str">
        <f t="shared" si="667"/>
        <v/>
      </c>
      <c r="AS122" s="52" t="str">
        <f t="shared" si="737"/>
        <v/>
      </c>
      <c r="AT122" s="73" t="str">
        <f t="shared" si="668"/>
        <v/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643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IFERROR(ROUND(VALUE(IF($IH122&lt;1,$IH122+LARGE((IF($M$9:$M$150="",0,$M$9:$M$150)-MOD(IF($M$9:$M$150="",0,$M$9:$M$150),1)),1),$IH122)),4),"")</f>
        <v/>
      </c>
      <c r="IJ122" s="533" t="str">
        <f t="shared" si="542"/>
        <v/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$32,MATCH((((ROUND($H123,6)*2)*1000000)+ROUND($I123,6)),Settings!$AI$14:$AI$32,0)),"Undefined")="Undefined","Undefined",IFERROR(INDEX(_xlfn.ANCHORARRAY(Settings!$BC$14),MATCH(IFERROR(INDEX(Settings!$AK$14:$AK$32,MATCH((((ROUND($H123,6)*2)*1000000)+ROUND($I123,6)),Settings!$AI$14:$AI$32,0)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IFERROR(ROUND(VALUE(IF($IH123&lt;1,$IH123+LARGE((IF($M$9:$M$150="",0,$M$9:$M$150)-MOD(IF($M$9:$M$150="",0,$M$9:$M$150),1)),1),$IH123)),4),"")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$32,MATCH((((ROUND($H124,6)*2)*1000000)+ROUND($I124,6)),Settings!$AI$14:$AI$32,0)),"Undefined")="Undefined","Undefined",IFERROR(INDEX(_xlfn.ANCHORARRAY(Settings!$BC$14),MATCH(IFERROR(INDEX(Settings!$AK$14:$AK$32,MATCH((((ROUND($H124,6)*2)*1000000)+ROUND($I124,6)),Settings!$AI$14:$AI$32,0)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IFERROR(ROUND(VALUE(IF($IH124&lt;1,$IH124+LARGE((IF($M$9:$M$150="",0,$M$9:$M$150)-MOD(IF($M$9:$M$150="",0,$M$9:$M$150),1)),1),$IH124)),4),"")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$32,MATCH((((ROUND($H125,6)*2)*1000000)+ROUND($I125,6)),Settings!$AI$14:$AI$32,0)),"Undefined")="Undefined","Undefined",IFERROR(INDEX(_xlfn.ANCHORARRAY(Settings!$BC$14),MATCH(IFERROR(INDEX(Settings!$AK$14:$AK$32,MATCH((((ROUND($H125,6)*2)*1000000)+ROUND($I125,6)),Settings!$AI$14:$AI$32,0)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IFERROR(ROUND(VALUE(IF($IH125&lt;1,$IH125+LARGE((IF($M$9:$M$150="",0,$M$9:$M$150)-MOD(IF($M$9:$M$150="",0,$M$9:$M$150),1)),1),$IH125)),4),"")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$32,MATCH((((ROUND($H126,6)*2)*1000000)+ROUND($I126,6)),Settings!$AI$14:$AI$32,0)),"Undefined")="Undefined","Undefined",IFERROR(INDEX(_xlfn.ANCHORARRAY(Settings!$BC$14),MATCH(IFERROR(INDEX(Settings!$AK$14:$AK$32,MATCH((((ROUND($H126,6)*2)*1000000)+ROUND($I126,6)),Settings!$AI$14:$AI$32,0)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IFERROR(ROUND(VALUE(IF($IH126&lt;1,$IH126+LARGE((IF($M$9:$M$150="",0,$M$9:$M$150)-MOD(IF($M$9:$M$150="",0,$M$9:$M$150),1)),1),$IH126)),4),"")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$32,MATCH((((ROUND($H127,6)*2)*1000000)+ROUND($I127,6)),Settings!$AI$14:$AI$32,0)),"Undefined")="Undefined","Undefined",IFERROR(INDEX(_xlfn.ANCHORARRAY(Settings!$BC$14),MATCH(IFERROR(INDEX(Settings!$AK$14:$AK$32,MATCH((((ROUND($H127,6)*2)*1000000)+ROUND($I127,6)),Settings!$AI$14:$AI$32,0)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IFERROR(ROUND(VALUE(IF($IH127&lt;1,$IH127+LARGE((IF($M$9:$M$150="",0,$M$9:$M$150)-MOD(IF($M$9:$M$150="",0,$M$9:$M$150),1)),1),$IH127)),4),"")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$32,MATCH((((ROUND($H128,6)*2)*1000000)+ROUND($I128,6)),Settings!$AI$14:$AI$32,0)),"Undefined")="Undefined","Undefined",IFERROR(INDEX(_xlfn.ANCHORARRAY(Settings!$BC$14),MATCH(IFERROR(INDEX(Settings!$AK$14:$AK$32,MATCH((((ROUND($H128,6)*2)*1000000)+ROUND($I128,6)),Settings!$AI$14:$AI$32,0)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IFERROR(ROUND(VALUE(IF($IH128&lt;1,$IH128+LARGE((IF($M$9:$M$150="",0,$M$9:$M$150)-MOD(IF($M$9:$M$150="",0,$M$9:$M$150),1)),1),$IH128)),4),"")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$32,MATCH((((ROUND($H129,6)*2)*1000000)+ROUND($I129,6)),Settings!$AI$14:$AI$32,0)),"Undefined")="Undefined","Undefined",IFERROR(INDEX(_xlfn.ANCHORARRAY(Settings!$BC$14),MATCH(IFERROR(INDEX(Settings!$AK$14:$AK$32,MATCH((((ROUND($H129,6)*2)*1000000)+ROUND($I129,6)),Settings!$AI$14:$AI$32,0)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IFERROR(ROUND(VALUE(IF($IH129&lt;1,$IH129+LARGE((IF($M$9:$M$150="",0,$M$9:$M$150)-MOD(IF($M$9:$M$150="",0,$M$9:$M$150),1)),1),$IH129)),4),"")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$32,MATCH((((ROUND($H130,6)*2)*1000000)+ROUND($I130,6)),Settings!$AI$14:$AI$32,0)),"Undefined")="Undefined","Undefined",IFERROR(INDEX(_xlfn.ANCHORARRAY(Settings!$BC$14),MATCH(IFERROR(INDEX(Settings!$AK$14:$AK$32,MATCH((((ROUND($H130,6)*2)*1000000)+ROUND($I130,6)),Settings!$AI$14:$AI$32,0)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IFERROR(ROUND(VALUE(IF($IH130&lt;1,$IH130+LARGE((IF($M$9:$M$150="",0,$M$9:$M$150)-MOD(IF($M$9:$M$150="",0,$M$9:$M$150),1)),1),$IH130)),4),"")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$32,MATCH((((ROUND($H131,6)*2)*1000000)+ROUND($I131,6)),Settings!$AI$14:$AI$32,0)),"Undefined")="Undefined","Undefined",IFERROR(INDEX(_xlfn.ANCHORARRAY(Settings!$BC$14),MATCH(IFERROR(INDEX(Settings!$AK$14:$AK$32,MATCH((((ROUND($H131,6)*2)*1000000)+ROUND($I131,6)),Settings!$AI$14:$AI$32,0)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IFERROR(ROUND(VALUE(IF($IH131&lt;1,$IH131+LARGE((IF($M$9:$M$150="",0,$M$9:$M$150)-MOD(IF($M$9:$M$150="",0,$M$9:$M$150),1)),1),$IH131)),4),"")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$32,MATCH((((ROUND($H132,6)*2)*1000000)+ROUND($I132,6)),Settings!$AI$14:$AI$32,0)),"Undefined")="Undefined","Undefined",IFERROR(INDEX(_xlfn.ANCHORARRAY(Settings!$BC$14),MATCH(IFERROR(INDEX(Settings!$AK$14:$AK$32,MATCH((((ROUND($H132,6)*2)*1000000)+ROUND($I132,6)),Settings!$AI$14:$AI$32,0)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IFERROR(ROUND(VALUE(IF($IH132&lt;1,$IH132+LARGE((IF($M$9:$M$150="",0,$M$9:$M$150)-MOD(IF($M$9:$M$150="",0,$M$9:$M$150),1)),1),$IH132)),4),"")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$32,MATCH((((ROUND($H133,6)*2)*1000000)+ROUND($I133,6)),Settings!$AI$14:$AI$32,0)),"Undefined")="Undefined","Undefined",IFERROR(INDEX(_xlfn.ANCHORARRAY(Settings!$BC$14),MATCH(IFERROR(INDEX(Settings!$AK$14:$AK$32,MATCH((((ROUND($H133,6)*2)*1000000)+ROUND($I133,6)),Settings!$AI$14:$AI$32,0)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IFERROR(ROUND(VALUE(IF($IH133&lt;1,$IH133+LARGE((IF($M$9:$M$150="",0,$M$9:$M$150)-MOD(IF($M$9:$M$150="",0,$M$9:$M$150),1)),1),$IH133)),4),"")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$32,MATCH((((ROUND($H134,6)*2)*1000000)+ROUND($I134,6)),Settings!$AI$14:$AI$32,0)),"Undefined")="Undefined","Undefined",IFERROR(INDEX(_xlfn.ANCHORARRAY(Settings!$BC$14),MATCH(IFERROR(INDEX(Settings!$AK$14:$AK$32,MATCH((((ROUND($H134,6)*2)*1000000)+ROUND($I134,6)),Settings!$AI$14:$AI$32,0)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IFERROR(ROUND(VALUE(IF($IH134&lt;1,$IH134+LARGE((IF($M$9:$M$150="",0,$M$9:$M$150)-MOD(IF($M$9:$M$150="",0,$M$9:$M$150),1)),1),$IH134)),4),"")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$32,MATCH((((ROUND($H135,6)*2)*1000000)+ROUND($I135,6)),Settings!$AI$14:$AI$32,0)),"Undefined")="Undefined","Undefined",IFERROR(INDEX(_xlfn.ANCHORARRAY(Settings!$BC$14),MATCH(IFERROR(INDEX(Settings!$AK$14:$AK$32,MATCH((((ROUND($H135,6)*2)*1000000)+ROUND($I135,6)),Settings!$AI$14:$AI$32,0)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IFERROR(ROUND(VALUE(IF($IH135&lt;1,$IH135+LARGE((IF($M$9:$M$150="",0,$M$9:$M$150)-MOD(IF($M$9:$M$150="",0,$M$9:$M$150),1)),1),$IH135)),4),"")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$32,MATCH((((ROUND($H136,6)*2)*1000000)+ROUND($I136,6)),Settings!$AI$14:$AI$32,0)),"Undefined")="Undefined","Undefined",IFERROR(INDEX(_xlfn.ANCHORARRAY(Settings!$BC$14),MATCH(IFERROR(INDEX(Settings!$AK$14:$AK$32,MATCH((((ROUND($H136,6)*2)*1000000)+ROUND($I136,6)),Settings!$AI$14:$AI$32,0)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IFERROR(ROUND(VALUE(IF($IH136&lt;1,$IH136+LARGE((IF($M$9:$M$150="",0,$M$9:$M$150)-MOD(IF($M$9:$M$150="",0,$M$9:$M$150),1)),1),$IH136)),4),"")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$32,MATCH((((ROUND($H137,6)*2)*1000000)+ROUND($I137,6)),Settings!$AI$14:$AI$32,0)),"Undefined")="Undefined","Undefined",IFERROR(INDEX(_xlfn.ANCHORARRAY(Settings!$BC$14),MATCH(IFERROR(INDEX(Settings!$AK$14:$AK$32,MATCH((((ROUND($H137,6)*2)*1000000)+ROUND($I137,6)),Settings!$AI$14:$AI$32,0)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IFERROR(ROUND(VALUE(IF($IH137&lt;1,$IH137+LARGE((IF($M$9:$M$150="",0,$M$9:$M$150)-MOD(IF($M$9:$M$150="",0,$M$9:$M$150),1)),1),$IH137)),4),"")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$32,MATCH((((ROUND($H138,6)*2)*1000000)+ROUND($I138,6)),Settings!$AI$14:$AI$32,0)),"Undefined")="Undefined","Undefined",IFERROR(INDEX(_xlfn.ANCHORARRAY(Settings!$BC$14),MATCH(IFERROR(INDEX(Settings!$AK$14:$AK$32,MATCH((((ROUND($H138,6)*2)*1000000)+ROUND($I138,6)),Settings!$AI$14:$AI$32,0)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IFERROR(ROUND(VALUE(IF($IH138&lt;1,$IH138+LARGE((IF($M$9:$M$150="",0,$M$9:$M$150)-MOD(IF($M$9:$M$150="",0,$M$9:$M$150),1)),1),$IH138)),4),"")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$32,MATCH((((ROUND($H139,6)*2)*1000000)+ROUND($I139,6)),Settings!$AI$14:$AI$32,0)),"Undefined")="Undefined","Undefined",IFERROR(INDEX(_xlfn.ANCHORARRAY(Settings!$BC$14),MATCH(IFERROR(INDEX(Settings!$AK$14:$AK$32,MATCH((((ROUND($H139,6)*2)*1000000)+ROUND($I139,6)),Settings!$AI$14:$AI$32,0)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IFERROR(ROUND(VALUE(IF($IH139&lt;1,$IH139+LARGE((IF($M$9:$M$150="",0,$M$9:$M$150)-MOD(IF($M$9:$M$150="",0,$M$9:$M$150),1)),1),$IH139)),4),"")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$32,MATCH((((ROUND($H140,6)*2)*1000000)+ROUND($I140,6)),Settings!$AI$14:$AI$32,0)),"Undefined")="Undefined","Undefined",IFERROR(INDEX(_xlfn.ANCHORARRAY(Settings!$BC$14),MATCH(IFERROR(INDEX(Settings!$AK$14:$AK$32,MATCH((((ROUND($H140,6)*2)*1000000)+ROUND($I140,6)),Settings!$AI$14:$AI$32,0)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IFERROR(ROUND(VALUE(IF($IH140&lt;1,$IH140+LARGE((IF($M$9:$M$150="",0,$M$9:$M$150)-MOD(IF($M$9:$M$150="",0,$M$9:$M$150),1)),1),$IH140)),4),"")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$32,MATCH((((ROUND($H141,6)*2)*1000000)+ROUND($I141,6)),Settings!$AI$14:$AI$32,0)),"Undefined")="Undefined","Undefined",IFERROR(INDEX(_xlfn.ANCHORARRAY(Settings!$BC$14),MATCH(IFERROR(INDEX(Settings!$AK$14:$AK$32,MATCH((((ROUND($H141,6)*2)*1000000)+ROUND($I141,6)),Settings!$AI$14:$AI$32,0)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IFERROR(ROUND(VALUE(IF($IH141&lt;1,$IH141+LARGE((IF($M$9:$M$150="",0,$M$9:$M$150)-MOD(IF($M$9:$M$150="",0,$M$9:$M$150),1)),1),$IH141)),4),"")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$32,MATCH((((ROUND($H142,6)*2)*1000000)+ROUND($I142,6)),Settings!$AI$14:$AI$32,0)),"Undefined")="Undefined","Undefined",IFERROR(INDEX(_xlfn.ANCHORARRAY(Settings!$BC$14),MATCH(IFERROR(INDEX(Settings!$AK$14:$AK$32,MATCH((((ROUND($H142,6)*2)*1000000)+ROUND($I142,6)),Settings!$AI$14:$AI$32,0)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IFERROR(ROUND(VALUE(IF($IH142&lt;1,$IH142+LARGE((IF($M$9:$M$150="",0,$M$9:$M$150)-MOD(IF($M$9:$M$150="",0,$M$9:$M$150),1)),1),$IH142)),4),"")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$32,MATCH((((ROUND($H143,6)*2)*1000000)+ROUND($I143,6)),Settings!$AI$14:$AI$32,0)),"Undefined")="Undefined","Undefined",IFERROR(INDEX(_xlfn.ANCHORARRAY(Settings!$BC$14),MATCH(IFERROR(INDEX(Settings!$AK$14:$AK$32,MATCH((((ROUND($H143,6)*2)*1000000)+ROUND($I143,6)),Settings!$AI$14:$AI$32,0)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IFERROR(ROUND(VALUE(IF($IH143&lt;1,$IH143+LARGE((IF($M$9:$M$150="",0,$M$9:$M$150)-MOD(IF($M$9:$M$150="",0,$M$9:$M$150),1)),1),$IH143)),4),"")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$32,MATCH((((ROUND($H144,6)*2)*1000000)+ROUND($I144,6)),Settings!$AI$14:$AI$32,0)),"Undefined")="Undefined","Undefined",IFERROR(INDEX(_xlfn.ANCHORARRAY(Settings!$BC$14),MATCH(IFERROR(INDEX(Settings!$AK$14:$AK$32,MATCH((((ROUND($H144,6)*2)*1000000)+ROUND($I144,6)),Settings!$AI$14:$AI$32,0)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IFERROR(ROUND(VALUE(IF($IH144&lt;1,$IH144+LARGE((IF($M$9:$M$150="",0,$M$9:$M$150)-MOD(IF($M$9:$M$150="",0,$M$9:$M$150),1)),1),$IH144)),4),"")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$32,MATCH((((ROUND($H145,6)*2)*1000000)+ROUND($I145,6)),Settings!$AI$14:$AI$32,0)),"Undefined")="Undefined","Undefined",IFERROR(INDEX(_xlfn.ANCHORARRAY(Settings!$BC$14),MATCH(IFERROR(INDEX(Settings!$AK$14:$AK$32,MATCH((((ROUND($H145,6)*2)*1000000)+ROUND($I145,6)),Settings!$AI$14:$AI$32,0)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IFERROR(ROUND(VALUE(IF($IH145&lt;1,$IH145+LARGE((IF($M$9:$M$150="",0,$M$9:$M$150)-MOD(IF($M$9:$M$150="",0,$M$9:$M$150),1)),1),$IH145)),4),"")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$32,MATCH((((ROUND($H146,6)*2)*1000000)+ROUND($I146,6)),Settings!$AI$14:$AI$32,0)),"Undefined")="Undefined","Undefined",IFERROR(INDEX(_xlfn.ANCHORARRAY(Settings!$BC$14),MATCH(IFERROR(INDEX(Settings!$AK$14:$AK$32,MATCH((((ROUND($H146,6)*2)*1000000)+ROUND($I146,6)),Settings!$AI$14:$AI$32,0)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IFERROR(ROUND(VALUE(IF($IH146&lt;1,$IH146+LARGE((IF($M$9:$M$150="",0,$M$9:$M$150)-MOD(IF($M$9:$M$150="",0,$M$9:$M$150),1)),1),$IH146)),4),"")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$32,MATCH((((ROUND($H147,6)*2)*1000000)+ROUND($I147,6)),Settings!$AI$14:$AI$32,0)),"Undefined")="Undefined","Undefined",IFERROR(INDEX(_xlfn.ANCHORARRAY(Settings!$BC$14),MATCH(IFERROR(INDEX(Settings!$AK$14:$AK$32,MATCH((((ROUND($H147,6)*2)*1000000)+ROUND($I147,6)),Settings!$AI$14:$AI$32,0)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IFERROR(ROUND(VALUE(IF($IH147&lt;1,$IH147+LARGE((IF($M$9:$M$150="",0,$M$9:$M$150)-MOD(IF($M$9:$M$150="",0,$M$9:$M$150),1)),1),$IH147)),4),"")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$32,MATCH((((ROUND($H148,6)*2)*1000000)+ROUND($I148,6)),Settings!$AI$14:$AI$32,0)),"Undefined")="Undefined","Undefined",IFERROR(INDEX(_xlfn.ANCHORARRAY(Settings!$BC$14),MATCH(IFERROR(INDEX(Settings!$AK$14:$AK$32,MATCH((((ROUND($H148,6)*2)*1000000)+ROUND($I148,6)),Settings!$AI$14:$AI$32,0)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IFERROR(ROUND(VALUE(IF($IH148&lt;1,$IH148+LARGE((IF($M$9:$M$150="",0,$M$9:$M$150)-MOD(IF($M$9:$M$150="",0,$M$9:$M$150),1)),1),$IH148)),4),"")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$32,MATCH((((ROUND($H149,6)*2)*1000000)+ROUND($I149,6)),Settings!$AI$14:$AI$32,0)),"Undefined")="Undefined","Undefined",IFERROR(INDEX(_xlfn.ANCHORARRAY(Settings!$BC$14),MATCH(IFERROR(INDEX(Settings!$AK$14:$AK$32,MATCH((((ROUND($H149,6)*2)*1000000)+ROUND($I149,6)),Settings!$AI$14:$AI$32,0)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IFERROR(ROUND(VALUE(IF($IH149&lt;1,$IH149+LARGE((IF($M$9:$M$150="",0,$M$9:$M$150)-MOD(IF($M$9:$M$150="",0,$M$9:$M$150),1)),1),$IH149)),4),"")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$32,MATCH((((ROUND($H150,6)*2)*1000000)+ROUND($I150,6)),Settings!$AI$14:$AI$32,0)),"Undefined")="Undefined","Undefined",IFERROR(INDEX(_xlfn.ANCHORARRAY(Settings!$BC$14),MATCH(IFERROR(INDEX(Settings!$AK$14:$AK$32,MATCH((((ROUND($H150,6)*2)*1000000)+ROUND($I150,6)),Settings!$AI$14:$AI$32,0)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IFERROR(ROUND(VALUE(IF($IH150&lt;1,$IH150+LARGE((IF($M$9:$M$150="",0,$M$9:$M$150)-MOD(IF($M$9:$M$150="",0,$M$9:$M$150),1)),1),$IH150)),4),"")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0.93969263802333458</v>
      </c>
      <c r="F154" s="170">
        <f t="shared" si="929"/>
        <v>8.8521302156295598E-2</v>
      </c>
      <c r="G154" s="170">
        <f t="shared" si="929"/>
        <v>-0.33036604714967338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0.96592583607220739</v>
      </c>
      <c r="F155" s="170">
        <f t="shared" si="929"/>
        <v>6.6987279208207198E-2</v>
      </c>
      <c r="G155" s="170">
        <f t="shared" si="929"/>
        <v>-0.24999996726497564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</row>
    <row r="156" spans="1:259" x14ac:dyDescent="0.25">
      <c r="B156" s="70"/>
      <c r="C156" s="70"/>
      <c r="D156" s="70"/>
      <c r="E156" s="170">
        <f t="shared" si="929"/>
        <v>0.96592583607220739</v>
      </c>
      <c r="F156" s="170">
        <f t="shared" si="929"/>
        <v>6.6987279208207198E-2</v>
      </c>
      <c r="G156" s="170">
        <f t="shared" si="929"/>
        <v>-0.24999996726497561</v>
      </c>
      <c r="H156" s="139"/>
      <c r="I156" s="86"/>
      <c r="J156" s="79">
        <f t="shared" si="930"/>
        <v>1.107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</row>
    <row r="157" spans="1:259" x14ac:dyDescent="0.25">
      <c r="E157" s="170">
        <f t="shared" si="929"/>
        <v>0.96591604655908048</v>
      </c>
      <c r="F157" s="170">
        <f t="shared" si="929"/>
        <v>6.1490359010817314E-2</v>
      </c>
      <c r="G157" s="170">
        <f t="shared" si="929"/>
        <v>-0.25144607125265883</v>
      </c>
      <c r="H157" s="139"/>
      <c r="I157" s="86"/>
      <c r="J157" s="79">
        <f t="shared" si="930"/>
        <v>1.1100000000000001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</row>
    <row r="158" spans="1:259" x14ac:dyDescent="0.25">
      <c r="E158" s="170">
        <f t="shared" si="929"/>
        <v>0.96423026396684608</v>
      </c>
      <c r="F158" s="170">
        <f t="shared" si="929"/>
        <v>-5.8733809099453096E-2</v>
      </c>
      <c r="G158" s="170">
        <f t="shared" si="929"/>
        <v>-0.25847695781074093</v>
      </c>
      <c r="H158" s="139"/>
      <c r="I158" s="86"/>
      <c r="J158" s="79">
        <f t="shared" si="930"/>
        <v>1.115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</row>
    <row r="159" spans="1:259" x14ac:dyDescent="0.25">
      <c r="E159" s="170">
        <f t="shared" si="929"/>
        <v>0.95863831988853232</v>
      </c>
      <c r="F159" s="170">
        <f t="shared" si="929"/>
        <v>-0.15881549225671435</v>
      </c>
      <c r="G159" s="170">
        <f t="shared" si="929"/>
        <v>-0.23619951536899811</v>
      </c>
      <c r="H159" s="139"/>
      <c r="I159" s="86"/>
      <c r="J159" s="79">
        <f t="shared" si="930"/>
        <v>1.121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</row>
    <row r="160" spans="1:259" x14ac:dyDescent="0.25">
      <c r="E160" s="170">
        <f t="shared" si="929"/>
        <v>0.94467636974648916</v>
      </c>
      <c r="F160" s="170">
        <f t="shared" si="929"/>
        <v>-0.25287326368180579</v>
      </c>
      <c r="G160" s="170">
        <f t="shared" si="929"/>
        <v>-0.2089058854065784</v>
      </c>
      <c r="H160" s="139"/>
      <c r="I160" s="86"/>
      <c r="J160" s="79">
        <f t="shared" si="930"/>
        <v>1.127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</row>
    <row r="161" spans="5:16" x14ac:dyDescent="0.25">
      <c r="E161" s="170">
        <f t="shared" si="929"/>
        <v>0.92875093757488225</v>
      </c>
      <c r="F161" s="170">
        <f t="shared" si="929"/>
        <v>-0.33224767080816958</v>
      </c>
      <c r="G161" s="170">
        <f t="shared" si="929"/>
        <v>-0.16441770341518422</v>
      </c>
      <c r="H161" s="139"/>
      <c r="I161" s="86"/>
      <c r="J161" s="79">
        <f t="shared" si="930"/>
        <v>1.133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</row>
    <row r="162" spans="5:16" x14ac:dyDescent="0.25">
      <c r="E162" s="170">
        <f t="shared" si="929"/>
        <v>0.90765063001120572</v>
      </c>
      <c r="F162" s="170">
        <f t="shared" si="929"/>
        <v>-0.40204781889021007</v>
      </c>
      <c r="G162" s="170">
        <f t="shared" si="929"/>
        <v>-0.12053167702262538</v>
      </c>
      <c r="H162" s="139"/>
      <c r="I162" s="86"/>
      <c r="J162" s="79">
        <f t="shared" si="930"/>
        <v>1.139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</row>
    <row r="163" spans="5:16" x14ac:dyDescent="0.25">
      <c r="E163" s="170">
        <f t="shared" si="929"/>
        <v>0.86620285509917971</v>
      </c>
      <c r="F163" s="170">
        <f t="shared" si="929"/>
        <v>-0.49073763514495139</v>
      </c>
      <c r="G163" s="170">
        <f t="shared" si="929"/>
        <v>-9.4176362588338114E-2</v>
      </c>
      <c r="H163" s="139"/>
      <c r="I163" s="86"/>
      <c r="J163" s="79">
        <f t="shared" si="930"/>
        <v>1.145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</row>
    <row r="164" spans="5:16" x14ac:dyDescent="0.25">
      <c r="E164" s="170">
        <f t="shared" si="929"/>
        <v>0.81062077874397176</v>
      </c>
      <c r="F164" s="170">
        <f t="shared" si="929"/>
        <v>-0.58360122988936414</v>
      </c>
      <c r="G164" s="170">
        <f t="shared" si="929"/>
        <v>-4.7995390821810716E-2</v>
      </c>
      <c r="H164" s="139"/>
      <c r="I164" s="86"/>
      <c r="J164" s="79">
        <f t="shared" si="930"/>
        <v>1.151</v>
      </c>
    </row>
    <row r="165" spans="5:16" x14ac:dyDescent="0.25">
      <c r="E165" s="170">
        <f t="shared" si="929"/>
        <v>0.7719243057347317</v>
      </c>
      <c r="F165" s="170">
        <f t="shared" si="929"/>
        <v>-0.63571445336403642</v>
      </c>
      <c r="G165" s="170">
        <f t="shared" si="929"/>
        <v>-1.3008419221110988E-7</v>
      </c>
      <c r="H165" s="139"/>
      <c r="I165" s="86"/>
      <c r="J165" s="79">
        <f t="shared" si="930"/>
        <v>1.157</v>
      </c>
    </row>
    <row r="166" spans="5:16" x14ac:dyDescent="0.25">
      <c r="E166" s="170">
        <f t="shared" si="929"/>
        <v>0.10506086394882855</v>
      </c>
      <c r="F166" s="170">
        <f t="shared" si="929"/>
        <v>0.23653645400779333</v>
      </c>
      <c r="G166" s="170">
        <f t="shared" si="929"/>
        <v>-0.96592583607218263</v>
      </c>
      <c r="H166" s="139"/>
      <c r="I166" s="86"/>
      <c r="J166" s="79">
        <f t="shared" si="930"/>
        <v>1.21</v>
      </c>
    </row>
    <row r="167" spans="5:16" x14ac:dyDescent="0.25">
      <c r="E167" s="170">
        <f t="shared" si="929"/>
        <v>2.1255697522925109E-7</v>
      </c>
      <c r="F167" s="170">
        <f t="shared" si="929"/>
        <v>-7.9091449944917098E-8</v>
      </c>
      <c r="G167" s="170">
        <f t="shared" si="929"/>
        <v>-0.99999999999997435</v>
      </c>
      <c r="H167" s="139"/>
      <c r="I167" s="86"/>
      <c r="J167" s="79">
        <f t="shared" si="930"/>
        <v>1.2150000000000001</v>
      </c>
    </row>
    <row r="168" spans="5:16" x14ac:dyDescent="0.25">
      <c r="E168" s="170">
        <f t="shared" si="929"/>
        <v>-6.0843814353658481E-2</v>
      </c>
      <c r="F168" s="170">
        <f t="shared" si="929"/>
        <v>-0.17777171223532001</v>
      </c>
      <c r="G168" s="170">
        <f t="shared" si="929"/>
        <v>-0.98218900858430513</v>
      </c>
      <c r="H168" s="139"/>
      <c r="I168" s="86"/>
      <c r="J168" s="79">
        <f t="shared" si="930"/>
        <v>1.2210000000000001</v>
      </c>
    </row>
    <row r="169" spans="5:16" x14ac:dyDescent="0.25">
      <c r="E169" s="170">
        <f t="shared" si="929"/>
        <v>0.79940309542768195</v>
      </c>
      <c r="F169" s="170">
        <f t="shared" si="929"/>
        <v>-0.48174359888995555</v>
      </c>
      <c r="G169" s="170">
        <f t="shared" si="929"/>
        <v>-0.35899553750596119</v>
      </c>
      <c r="H169" s="139"/>
      <c r="I169" s="86"/>
      <c r="J169" s="79">
        <f t="shared" si="930"/>
        <v>1.2270000000000001</v>
      </c>
    </row>
    <row r="170" spans="5:16" x14ac:dyDescent="0.25">
      <c r="E170" s="170">
        <f t="shared" si="929"/>
        <v>0.7678362904734084</v>
      </c>
      <c r="F170" s="170">
        <f t="shared" si="929"/>
        <v>-0.56647210893896038</v>
      </c>
      <c r="G170" s="170">
        <f t="shared" si="929"/>
        <v>-0.29922697209022159</v>
      </c>
      <c r="H170" s="139"/>
      <c r="I170" s="86"/>
      <c r="J170" s="79">
        <f t="shared" si="930"/>
        <v>1.2330000000000001</v>
      </c>
    </row>
    <row r="171" spans="5:16" x14ac:dyDescent="0.25">
      <c r="E171" s="170">
        <f t="shared" si="929"/>
        <v>0.72910561354169945</v>
      </c>
      <c r="F171" s="170">
        <f t="shared" si="929"/>
        <v>-0.64287003233686146</v>
      </c>
      <c r="G171" s="170">
        <f t="shared" si="929"/>
        <v>-0.23478314638232631</v>
      </c>
      <c r="H171" s="139"/>
      <c r="I171" s="86"/>
      <c r="J171" s="79">
        <f t="shared" si="930"/>
        <v>1.2390000000000001</v>
      </c>
      <c r="O171">
        <f>IF($J24="","",IFERROR(INDEX(_xlfn.ANCHORARRAY(Settings!$BC$14),MATCH(IFERROR(INDEX(Settings!$AK$14:$AK$32,MATCH((((ROUND($H24,6)*2)*1000000)+ROUND($I24,6)),Settings!$AI$14:$AI$32,0)),"Undefined"),_xlfn.ANCHORARRAY(Settings!$BC$14),0)),"Inactive"))</f>
        <v>1313</v>
      </c>
    </row>
    <row r="172" spans="5:16" x14ac:dyDescent="0.25">
      <c r="E172" s="170">
        <f t="shared" si="929"/>
        <v>0.70593761388194554</v>
      </c>
      <c r="F172" s="170">
        <f t="shared" si="929"/>
        <v>-0.69264979303052532</v>
      </c>
      <c r="G172" s="170">
        <f t="shared" si="929"/>
        <v>-0.14794711731370702</v>
      </c>
      <c r="H172" s="139"/>
      <c r="I172" s="86"/>
      <c r="J172" s="79">
        <f t="shared" si="930"/>
        <v>1.2450000000000001</v>
      </c>
      <c r="O172" t="b">
        <f>IF($J24="","",IF(IFERROR(INDEX(Settings!$AK$14:$AK$32,MATCH((((ROUND($H24,6)*2)*1000000)+ROUND($I24,6)),Settings!$AI$14:$AI$32,0)),"Undefined")="Undefined",IFERROR(INDEX(_xlfn.ANCHORARRAY(Settings!$BC$14),MATCH(IFERROR(INDEX(Settings!$AK$14:$AK$32,MATCH((((ROUND($H24,6)*2)*1000000)+ROUND($I24,6)),Settings!$AI$14:$AI$32,0)),"Undefined"),_xlfn.ANCHORARRAY(Settings!$BC$14),0)),"Inactive")))</f>
        <v>0</v>
      </c>
    </row>
    <row r="173" spans="5:16" x14ac:dyDescent="0.25">
      <c r="E173" s="170">
        <f t="shared" si="929"/>
        <v>0.37497876330148971</v>
      </c>
      <c r="F173" s="170">
        <f t="shared" si="929"/>
        <v>-0.88967201713831567</v>
      </c>
      <c r="G173" s="170">
        <f t="shared" si="929"/>
        <v>-0.26052759737487674</v>
      </c>
      <c r="H173" s="139"/>
      <c r="I173" s="86"/>
      <c r="J173" s="79">
        <f t="shared" si="930"/>
        <v>2.1139999999999999</v>
      </c>
      <c r="O173">
        <f>IF($J24="","",IFERROR(INDEX(Settings!$AK$14:$AK$32,MATCH((((ROUND($H24,6)*2)*1000000)+ROUND($I24,6)),Settings!$AI$14:$AI$32,0)),"Undefined"))</f>
        <v>1313</v>
      </c>
    </row>
    <row r="174" spans="5:16" x14ac:dyDescent="0.25">
      <c r="E174" s="170">
        <f t="shared" ref="E174:G193" si="933">E29*-1</f>
        <v>0.27629677922628815</v>
      </c>
      <c r="F174" s="170">
        <f t="shared" si="933"/>
        <v>-0.93024162261456744</v>
      </c>
      <c r="G174" s="170">
        <f t="shared" si="933"/>
        <v>-0.24147590634387628</v>
      </c>
      <c r="H174" s="139"/>
      <c r="I174" s="86"/>
      <c r="J174" s="79">
        <f t="shared" si="930"/>
        <v>2.12</v>
      </c>
    </row>
    <row r="175" spans="5:16" x14ac:dyDescent="0.25">
      <c r="E175" s="170">
        <f t="shared" si="933"/>
        <v>0.19045307823629931</v>
      </c>
      <c r="F175" s="170">
        <f t="shared" si="933"/>
        <v>-0.96074952538239411</v>
      </c>
      <c r="G175" s="170">
        <f t="shared" si="933"/>
        <v>-0.20171260364147431</v>
      </c>
      <c r="H175" s="139"/>
      <c r="I175" s="86"/>
      <c r="J175" s="79">
        <f t="shared" si="930"/>
        <v>2.1259999999999999</v>
      </c>
    </row>
    <row r="176" spans="5:16" x14ac:dyDescent="0.25">
      <c r="E176" s="170">
        <f t="shared" si="933"/>
        <v>0.1017229654746146</v>
      </c>
      <c r="F176" s="170">
        <f t="shared" si="933"/>
        <v>-0.97926784669286904</v>
      </c>
      <c r="G176" s="170">
        <f t="shared" si="933"/>
        <v>-0.17517683273926901</v>
      </c>
      <c r="H176" s="139"/>
      <c r="I176" s="86"/>
      <c r="J176" s="79">
        <f t="shared" si="930"/>
        <v>2.1320000000000001</v>
      </c>
    </row>
    <row r="177" spans="5:10" x14ac:dyDescent="0.25">
      <c r="E177" s="170">
        <f t="shared" si="933"/>
        <v>3.808079931116521E-2</v>
      </c>
      <c r="F177" s="170">
        <f t="shared" si="933"/>
        <v>-0.99198475132401431</v>
      </c>
      <c r="G177" s="170">
        <f t="shared" si="933"/>
        <v>-0.12048280318973502</v>
      </c>
      <c r="H177" s="139"/>
      <c r="I177" s="86"/>
      <c r="J177" s="79">
        <f t="shared" si="930"/>
        <v>2.1379999999999999</v>
      </c>
    </row>
    <row r="178" spans="5:10" x14ac:dyDescent="0.25">
      <c r="E178" s="170">
        <f t="shared" si="933"/>
        <v>-6.0327353768099931E-2</v>
      </c>
      <c r="F178" s="170">
        <f t="shared" si="933"/>
        <v>-0.99327918041624774</v>
      </c>
      <c r="G178" s="170">
        <f t="shared" si="933"/>
        <v>-9.8777933461707698E-2</v>
      </c>
      <c r="H178" s="139"/>
      <c r="I178" s="86"/>
      <c r="J178" s="79">
        <f t="shared" si="930"/>
        <v>2.1440000000000001</v>
      </c>
    </row>
    <row r="179" spans="5:10" x14ac:dyDescent="0.25">
      <c r="E179" s="170">
        <f t="shared" si="933"/>
        <v>-0.1688829028883336</v>
      </c>
      <c r="F179" s="170">
        <f t="shared" si="933"/>
        <v>-0.98393140480715813</v>
      </c>
      <c r="G179" s="170">
        <f t="shared" si="933"/>
        <v>-5.7944419457113976E-2</v>
      </c>
      <c r="H179" s="139"/>
      <c r="I179" s="86"/>
      <c r="J179" s="79">
        <f t="shared" si="930"/>
        <v>2.15</v>
      </c>
    </row>
    <row r="180" spans="5:10" x14ac:dyDescent="0.25">
      <c r="E180" s="170">
        <f t="shared" si="933"/>
        <v>-0.24992437092290612</v>
      </c>
      <c r="F180" s="170">
        <f t="shared" si="933"/>
        <v>-0.96826536074506597</v>
      </c>
      <c r="G180" s="170">
        <f t="shared" si="933"/>
        <v>-1.3008419215060828E-7</v>
      </c>
      <c r="H180" s="139"/>
      <c r="I180" s="86"/>
      <c r="J180" s="79">
        <f t="shared" si="930"/>
        <v>2.1560000000000001</v>
      </c>
    </row>
    <row r="181" spans="5:10" x14ac:dyDescent="0.25">
      <c r="E181" s="170">
        <f t="shared" si="933"/>
        <v>-0.15610715705109371</v>
      </c>
      <c r="F181" s="170">
        <f t="shared" si="933"/>
        <v>-1.625890351077279E-2</v>
      </c>
      <c r="G181" s="170">
        <f t="shared" si="933"/>
        <v>-0.98760629988576554</v>
      </c>
      <c r="H181" s="139"/>
      <c r="I181" s="86"/>
      <c r="J181" s="79">
        <f t="shared" si="930"/>
        <v>2.2200000000000002</v>
      </c>
    </row>
    <row r="182" spans="5:10" x14ac:dyDescent="0.25">
      <c r="E182" s="170">
        <f t="shared" si="933"/>
        <v>-7.7194312826123934E-2</v>
      </c>
      <c r="F182" s="170">
        <f t="shared" si="933"/>
        <v>-0.93178905406322576</v>
      </c>
      <c r="G182" s="170">
        <f t="shared" si="933"/>
        <v>-0.35469733124913921</v>
      </c>
      <c r="H182" s="139"/>
      <c r="I182" s="86"/>
      <c r="J182" s="79">
        <f t="shared" si="930"/>
        <v>2.226</v>
      </c>
    </row>
    <row r="183" spans="5:10" x14ac:dyDescent="0.25">
      <c r="E183" s="170">
        <f t="shared" si="933"/>
        <v>-0.17631912323214513</v>
      </c>
      <c r="F183" s="170">
        <f t="shared" si="933"/>
        <v>-0.93334151463458803</v>
      </c>
      <c r="G183" s="170">
        <f t="shared" si="933"/>
        <v>-0.31270622610088977</v>
      </c>
      <c r="H183" s="139"/>
      <c r="I183" s="86"/>
      <c r="J183" s="79">
        <f t="shared" si="930"/>
        <v>2.2320000000000002</v>
      </c>
    </row>
    <row r="184" spans="5:10" x14ac:dyDescent="0.25">
      <c r="E184" s="170">
        <f t="shared" si="933"/>
        <v>-0.25375243322866131</v>
      </c>
      <c r="F184" s="170">
        <f t="shared" si="933"/>
        <v>-0.93727653382631049</v>
      </c>
      <c r="G184" s="170">
        <f t="shared" si="933"/>
        <v>-0.23900293255328711</v>
      </c>
      <c r="H184" s="139"/>
      <c r="I184" s="86"/>
      <c r="J184" s="79">
        <f t="shared" si="930"/>
        <v>2.238</v>
      </c>
    </row>
    <row r="185" spans="5:10" x14ac:dyDescent="0.25">
      <c r="E185" s="170">
        <f t="shared" si="933"/>
        <v>-0.32385152551799029</v>
      </c>
      <c r="F185" s="170">
        <f t="shared" si="933"/>
        <v>-0.9316951235333415</v>
      </c>
      <c r="G185" s="170">
        <f t="shared" si="933"/>
        <v>-0.16451257156783516</v>
      </c>
      <c r="H185" s="139"/>
      <c r="I185" s="86"/>
      <c r="J185" s="79">
        <f t="shared" si="930"/>
        <v>2.2440000000000002</v>
      </c>
    </row>
    <row r="186" spans="5:10" x14ac:dyDescent="0.25">
      <c r="E186" s="170">
        <f t="shared" si="933"/>
        <v>-0.48327680144980684</v>
      </c>
      <c r="F186" s="170">
        <f t="shared" si="933"/>
        <v>-0.82587943137992426</v>
      </c>
      <c r="G186" s="170">
        <f t="shared" si="933"/>
        <v>-0.29045946017304536</v>
      </c>
      <c r="H186" s="139"/>
      <c r="I186" s="86"/>
      <c r="J186" s="79">
        <f t="shared" si="930"/>
        <v>3.1019999999999999</v>
      </c>
    </row>
    <row r="187" spans="5:10" x14ac:dyDescent="0.25">
      <c r="E187" s="170">
        <f t="shared" si="933"/>
        <v>-0.49916002344389943</v>
      </c>
      <c r="F187" s="170">
        <f t="shared" si="933"/>
        <v>-0.82966215254342957</v>
      </c>
      <c r="G187" s="170">
        <f t="shared" si="933"/>
        <v>-0.24999996726497564</v>
      </c>
      <c r="H187" s="139"/>
      <c r="I187" s="86"/>
      <c r="J187" s="79">
        <f t="shared" si="930"/>
        <v>3.105</v>
      </c>
    </row>
    <row r="188" spans="5:10" x14ac:dyDescent="0.25">
      <c r="E188" s="170">
        <f t="shared" si="933"/>
        <v>-0.49916002344389948</v>
      </c>
      <c r="F188" s="170">
        <f t="shared" si="933"/>
        <v>-0.82966215254342957</v>
      </c>
      <c r="G188" s="170">
        <f t="shared" si="933"/>
        <v>-0.24999996726497564</v>
      </c>
      <c r="H188" s="139"/>
      <c r="I188" s="86"/>
      <c r="J188" s="79">
        <f t="shared" si="930"/>
        <v>3.1080000000000001</v>
      </c>
    </row>
    <row r="189" spans="5:10" x14ac:dyDescent="0.25">
      <c r="E189" s="170">
        <f t="shared" si="933"/>
        <v>-0.52837162678019567</v>
      </c>
      <c r="F189" s="170">
        <f t="shared" si="933"/>
        <v>-0.80898275497856686</v>
      </c>
      <c r="G189" s="170">
        <f t="shared" si="933"/>
        <v>-0.25762438968571599</v>
      </c>
      <c r="H189" s="139"/>
      <c r="I189" s="86"/>
      <c r="J189" s="79">
        <f t="shared" si="930"/>
        <v>3.1120000000000001</v>
      </c>
    </row>
    <row r="190" spans="5:10" x14ac:dyDescent="0.25">
      <c r="E190" s="170">
        <f t="shared" si="933"/>
        <v>-0.62828022789316595</v>
      </c>
      <c r="F190" s="170">
        <f t="shared" si="933"/>
        <v>-0.73547276502127135</v>
      </c>
      <c r="G190" s="170">
        <f t="shared" si="933"/>
        <v>-0.25366073237786968</v>
      </c>
      <c r="H190" s="139"/>
      <c r="I190" s="86"/>
      <c r="J190" s="79">
        <f t="shared" si="930"/>
        <v>3.117</v>
      </c>
    </row>
    <row r="191" spans="5:10" x14ac:dyDescent="0.25">
      <c r="E191" s="170">
        <f t="shared" si="933"/>
        <v>-0.70389463777450312</v>
      </c>
      <c r="F191" s="170">
        <f t="shared" si="933"/>
        <v>-0.67408110507984054</v>
      </c>
      <c r="G191" s="170">
        <f t="shared" si="933"/>
        <v>-0.22393526449990403</v>
      </c>
      <c r="H191" s="139"/>
      <c r="I191" s="86"/>
      <c r="J191" s="79">
        <f t="shared" si="930"/>
        <v>3.1230000000000002</v>
      </c>
    </row>
    <row r="192" spans="5:10" x14ac:dyDescent="0.25">
      <c r="E192" s="170">
        <f t="shared" si="933"/>
        <v>-0.76838508422741092</v>
      </c>
      <c r="F192" s="170">
        <f t="shared" si="933"/>
        <v>-0.61091345556280052</v>
      </c>
      <c r="G192" s="170">
        <f t="shared" si="933"/>
        <v>-0.19070687493940255</v>
      </c>
      <c r="H192" s="139"/>
      <c r="I192" s="86"/>
      <c r="J192" s="79">
        <f t="shared" si="930"/>
        <v>3.129</v>
      </c>
    </row>
    <row r="193" spans="5:10" x14ac:dyDescent="0.25">
      <c r="E193" s="170">
        <f t="shared" si="933"/>
        <v>-0.81849946460144984</v>
      </c>
      <c r="F193" s="170">
        <f t="shared" si="933"/>
        <v>-0.55659650065769217</v>
      </c>
      <c r="G193" s="170">
        <f t="shared" si="933"/>
        <v>-0.1423339801409057</v>
      </c>
      <c r="H193" s="139"/>
      <c r="I193" s="86"/>
      <c r="J193" s="79">
        <f t="shared" si="930"/>
        <v>3.1349999999999998</v>
      </c>
    </row>
    <row r="194" spans="5:10" x14ac:dyDescent="0.25">
      <c r="E194" s="170">
        <f t="shared" ref="E194:G213" si="934">E49*-1</f>
        <v>-0.86368416696749406</v>
      </c>
      <c r="F194" s="170">
        <f t="shared" si="934"/>
        <v>-0.49251136078270524</v>
      </c>
      <c r="G194" s="170">
        <f t="shared" si="934"/>
        <v>-0.1071551176082315</v>
      </c>
      <c r="H194" s="139"/>
      <c r="I194" s="86"/>
      <c r="J194" s="79">
        <f t="shared" si="930"/>
        <v>3.141</v>
      </c>
    </row>
    <row r="195" spans="5:10" x14ac:dyDescent="0.25">
      <c r="E195" s="170">
        <f t="shared" si="934"/>
        <v>-0.91488608795475235</v>
      </c>
      <c r="F195" s="170">
        <f t="shared" si="934"/>
        <v>-0.39522312844915231</v>
      </c>
      <c r="G195" s="170">
        <f t="shared" si="934"/>
        <v>-8.235365690553309E-2</v>
      </c>
      <c r="H195" s="139"/>
      <c r="I195" s="86"/>
      <c r="J195" s="79">
        <f t="shared" si="930"/>
        <v>3.1469999999999998</v>
      </c>
    </row>
    <row r="196" spans="5:10" x14ac:dyDescent="0.25">
      <c r="E196" s="170">
        <f t="shared" si="934"/>
        <v>-0.96350454499707949</v>
      </c>
      <c r="F196" s="170">
        <f t="shared" si="934"/>
        <v>-0.267691971807064</v>
      </c>
      <c r="G196" s="170">
        <f t="shared" si="934"/>
        <v>-1.3008419205995495E-7</v>
      </c>
      <c r="H196" s="139"/>
      <c r="I196" s="86"/>
      <c r="J196" s="79">
        <f t="shared" si="930"/>
        <v>3.153</v>
      </c>
    </row>
    <row r="197" spans="5:10" x14ac:dyDescent="0.25">
      <c r="E197" s="170">
        <f t="shared" si="934"/>
        <v>0.11707823752833646</v>
      </c>
      <c r="F197" s="170">
        <f t="shared" si="934"/>
        <v>-0.23082453401992087</v>
      </c>
      <c r="G197" s="170">
        <f t="shared" si="934"/>
        <v>-0.96592583607218263</v>
      </c>
      <c r="H197" s="139"/>
      <c r="I197" s="86"/>
      <c r="J197" s="79">
        <f t="shared" si="930"/>
        <v>3.2080000000000002</v>
      </c>
    </row>
    <row r="198" spans="5:10" x14ac:dyDescent="0.25">
      <c r="E198" s="170">
        <f t="shared" si="934"/>
        <v>0.11183907800417493</v>
      </c>
      <c r="F198" s="170">
        <f t="shared" si="934"/>
        <v>-0.17526916303356485</v>
      </c>
      <c r="G198" s="170">
        <f t="shared" si="934"/>
        <v>-0.97814760702088821</v>
      </c>
      <c r="H198" s="139"/>
      <c r="I198" s="86"/>
      <c r="J198" s="79">
        <f t="shared" si="930"/>
        <v>3.2109999999999999</v>
      </c>
    </row>
    <row r="199" spans="5:10" x14ac:dyDescent="0.25">
      <c r="E199" s="170">
        <f t="shared" si="934"/>
        <v>-3.6349801082070303E-2</v>
      </c>
      <c r="F199" s="170">
        <f t="shared" si="934"/>
        <v>5.1412500014844022E-2</v>
      </c>
      <c r="G199" s="170">
        <f t="shared" si="934"/>
        <v>-0.99801575478722659</v>
      </c>
      <c r="H199" s="139"/>
      <c r="I199" s="86"/>
      <c r="J199" s="79">
        <f t="shared" si="930"/>
        <v>3.2170000000000001</v>
      </c>
    </row>
    <row r="200" spans="5:10" x14ac:dyDescent="0.25">
      <c r="E200" s="170">
        <f t="shared" si="934"/>
        <v>-0.81614248834899206</v>
      </c>
      <c r="F200" s="170">
        <f t="shared" si="934"/>
        <v>-0.43380879427693647</v>
      </c>
      <c r="G200" s="170">
        <f t="shared" si="934"/>
        <v>-0.38173468367376051</v>
      </c>
      <c r="H200" s="139"/>
      <c r="I200" s="86"/>
      <c r="J200" s="79">
        <f t="shared" si="930"/>
        <v>3.2229999999999999</v>
      </c>
    </row>
    <row r="201" spans="5:10" x14ac:dyDescent="0.25">
      <c r="E201" s="170">
        <f t="shared" si="934"/>
        <v>-0.87172811826909313</v>
      </c>
      <c r="F201" s="170">
        <f t="shared" si="934"/>
        <v>-0.35610582812791708</v>
      </c>
      <c r="G201" s="170">
        <f t="shared" si="934"/>
        <v>-0.33656905233897627</v>
      </c>
      <c r="H201" s="139"/>
      <c r="I201" s="86"/>
      <c r="J201" s="79">
        <f t="shared" si="930"/>
        <v>3.2290000000000001</v>
      </c>
    </row>
    <row r="202" spans="5:10" x14ac:dyDescent="0.25">
      <c r="E202" s="170">
        <f t="shared" si="934"/>
        <v>-0.91912469514332806</v>
      </c>
      <c r="F202" s="170">
        <f t="shared" si="934"/>
        <v>-0.28563309873663484</v>
      </c>
      <c r="G202" s="170">
        <f t="shared" si="934"/>
        <v>-0.27133655795670453</v>
      </c>
      <c r="H202" s="139"/>
      <c r="I202" s="86"/>
      <c r="J202" s="79">
        <f t="shared" si="930"/>
        <v>3.2349999999999999</v>
      </c>
    </row>
    <row r="203" spans="5:10" x14ac:dyDescent="0.25">
      <c r="E203" s="170">
        <f t="shared" si="934"/>
        <v>-0.95592577060496775</v>
      </c>
      <c r="F203" s="170">
        <f t="shared" si="934"/>
        <v>-0.2015765624158633</v>
      </c>
      <c r="G203" s="170">
        <f t="shared" si="934"/>
        <v>-0.21347789248046814</v>
      </c>
      <c r="H203" s="139"/>
      <c r="I203" s="86"/>
      <c r="J203" s="79">
        <f t="shared" si="930"/>
        <v>3.2410000000000001</v>
      </c>
    </row>
    <row r="204" spans="5:10" x14ac:dyDescent="0.25">
      <c r="E204" s="170">
        <f t="shared" si="934"/>
        <v>-0.93578189841369042</v>
      </c>
      <c r="F204" s="170">
        <f t="shared" si="934"/>
        <v>0.24200673706140424</v>
      </c>
      <c r="G204" s="170">
        <f t="shared" si="934"/>
        <v>-0.25640783493911018</v>
      </c>
      <c r="H204" s="139"/>
      <c r="I204" s="86"/>
      <c r="J204" s="79">
        <f t="shared" si="930"/>
        <v>4.1159999999999997</v>
      </c>
    </row>
    <row r="205" spans="5:10" x14ac:dyDescent="0.25">
      <c r="E205" s="170">
        <f t="shared" si="934"/>
        <v>-0.91402448164637384</v>
      </c>
      <c r="F205" s="170">
        <f t="shared" si="934"/>
        <v>0.33299587413730947</v>
      </c>
      <c r="G205" s="170">
        <f t="shared" si="934"/>
        <v>-0.231674329088501</v>
      </c>
      <c r="H205" s="139"/>
      <c r="I205" s="86"/>
      <c r="J205" s="79">
        <f t="shared" si="930"/>
        <v>4.1219999999999999</v>
      </c>
    </row>
    <row r="206" spans="5:10" x14ac:dyDescent="0.25">
      <c r="E206" s="170">
        <f t="shared" si="934"/>
        <v>-0.88237111495993381</v>
      </c>
      <c r="F206" s="170">
        <f t="shared" si="934"/>
        <v>0.42592900365406727</v>
      </c>
      <c r="G206" s="170">
        <f t="shared" si="934"/>
        <v>-0.20001424781904134</v>
      </c>
      <c r="H206" s="139"/>
      <c r="I206" s="86"/>
      <c r="J206" s="79">
        <f t="shared" si="930"/>
        <v>4.1280000000000001</v>
      </c>
    </row>
    <row r="207" spans="5:10" x14ac:dyDescent="0.25">
      <c r="E207" s="170">
        <f t="shared" si="934"/>
        <v>-0.85356053464113035</v>
      </c>
      <c r="F207" s="170">
        <f t="shared" si="934"/>
        <v>0.49788661948758484</v>
      </c>
      <c r="G207" s="170">
        <f t="shared" si="934"/>
        <v>-0.15343835191493904</v>
      </c>
      <c r="H207" s="139"/>
      <c r="I207" s="86"/>
      <c r="J207" s="79">
        <f t="shared" si="930"/>
        <v>4.1340000000000003</v>
      </c>
    </row>
    <row r="208" spans="5:10" x14ac:dyDescent="0.25">
      <c r="E208" s="170">
        <f t="shared" si="934"/>
        <v>-0.8217946298634109</v>
      </c>
      <c r="F208" s="170">
        <f t="shared" si="934"/>
        <v>0.55940201842912141</v>
      </c>
      <c r="G208" s="170">
        <f t="shared" si="934"/>
        <v>-0.10827265631305377</v>
      </c>
      <c r="H208" s="139"/>
      <c r="I208" s="86"/>
      <c r="J208" s="79">
        <f t="shared" si="930"/>
        <v>4.1399999999999997</v>
      </c>
    </row>
    <row r="209" spans="5:10" x14ac:dyDescent="0.25">
      <c r="E209" s="170">
        <f t="shared" si="934"/>
        <v>-0.75643085942452037</v>
      </c>
      <c r="F209" s="170">
        <f t="shared" si="934"/>
        <v>0.64802437187395445</v>
      </c>
      <c r="G209" s="170">
        <f t="shared" si="934"/>
        <v>-8.8751159810159769E-2</v>
      </c>
      <c r="H209" s="139"/>
      <c r="I209" s="86"/>
      <c r="J209" s="79">
        <f t="shared" si="930"/>
        <v>4.1459999999999999</v>
      </c>
    </row>
    <row r="210" spans="5:10" x14ac:dyDescent="0.25">
      <c r="E210" s="170">
        <f t="shared" si="934"/>
        <v>-0.64980605906346156</v>
      </c>
      <c r="F210" s="170">
        <f t="shared" si="934"/>
        <v>0.7601000497331889</v>
      </c>
      <c r="G210" s="170">
        <f t="shared" si="934"/>
        <v>-1.3008419207734734E-7</v>
      </c>
      <c r="H210" s="139"/>
      <c r="I210" s="86"/>
      <c r="J210" s="79">
        <f t="shared" si="930"/>
        <v>4.1520000000000001</v>
      </c>
    </row>
    <row r="211" spans="5:10" x14ac:dyDescent="0.25">
      <c r="E211" s="170">
        <f t="shared" si="934"/>
        <v>0.1052955158979948</v>
      </c>
      <c r="F211" s="170">
        <f t="shared" si="934"/>
        <v>0.19182545561705394</v>
      </c>
      <c r="G211" s="170">
        <f t="shared" si="934"/>
        <v>-0.9757642383839884</v>
      </c>
      <c r="H211" s="139"/>
      <c r="I211" s="86"/>
      <c r="J211" s="79">
        <f t="shared" si="930"/>
        <v>4.2220000000000004</v>
      </c>
    </row>
    <row r="212" spans="5:10" x14ac:dyDescent="0.25">
      <c r="E212" s="170">
        <f t="shared" si="934"/>
        <v>-0.69733171856123677</v>
      </c>
      <c r="F212" s="170">
        <f t="shared" si="934"/>
        <v>0.62655996887684706</v>
      </c>
      <c r="G212" s="170">
        <f t="shared" si="934"/>
        <v>-0.34806763665913665</v>
      </c>
      <c r="H212" s="139"/>
      <c r="I212" s="86"/>
      <c r="J212" s="79">
        <f t="shared" si="930"/>
        <v>4.2279999999999998</v>
      </c>
    </row>
    <row r="213" spans="5:10" x14ac:dyDescent="0.25">
      <c r="E213" s="170">
        <f t="shared" si="934"/>
        <v>-0.65242200027039821</v>
      </c>
      <c r="F213" s="170">
        <f t="shared" si="934"/>
        <v>0.70206346192989744</v>
      </c>
      <c r="G213" s="170">
        <f t="shared" si="934"/>
        <v>-0.28539871931419031</v>
      </c>
      <c r="H213" s="139"/>
      <c r="I213" s="86"/>
      <c r="J213" s="79">
        <f t="shared" si="930"/>
        <v>4.234</v>
      </c>
    </row>
    <row r="214" spans="5:10" x14ac:dyDescent="0.25">
      <c r="E214" s="170">
        <f t="shared" ref="E214:G233" si="935">E69*-1</f>
        <v>-0.60246061321674671</v>
      </c>
      <c r="F214" s="170">
        <f t="shared" si="935"/>
        <v>0.76750812827622317</v>
      </c>
      <c r="G214" s="170">
        <f t="shared" si="935"/>
        <v>-0.21902621430420216</v>
      </c>
      <c r="H214" s="139"/>
      <c r="I214" s="86"/>
      <c r="J214" s="79">
        <f t="shared" si="930"/>
        <v>4.24</v>
      </c>
    </row>
    <row r="215" spans="5:10" x14ac:dyDescent="0.25">
      <c r="E215" s="170">
        <f t="shared" si="935"/>
        <v>-0.46892874510133487</v>
      </c>
      <c r="F215" s="170">
        <f t="shared" si="935"/>
        <v>0.84711619532694482</v>
      </c>
      <c r="G215" s="170">
        <f t="shared" si="935"/>
        <v>-0.24999996726497561</v>
      </c>
      <c r="H215" s="139"/>
      <c r="I215" s="86"/>
      <c r="J215" s="79">
        <f t="shared" si="930"/>
        <v>5.1029999999999998</v>
      </c>
    </row>
    <row r="216" spans="5:10" x14ac:dyDescent="0.25">
      <c r="E216" s="170">
        <f t="shared" si="935"/>
        <v>-0.46892874510133475</v>
      </c>
      <c r="F216" s="170">
        <f t="shared" si="935"/>
        <v>0.84711619532694482</v>
      </c>
      <c r="G216" s="170">
        <f t="shared" si="935"/>
        <v>-0.24999996726497561</v>
      </c>
      <c r="H216" s="139"/>
      <c r="I216" s="86"/>
      <c r="J216" s="79">
        <f t="shared" si="930"/>
        <v>5.1059999999999999</v>
      </c>
    </row>
    <row r="217" spans="5:10" x14ac:dyDescent="0.25">
      <c r="E217" s="170">
        <f t="shared" si="935"/>
        <v>-0.46892874510133487</v>
      </c>
      <c r="F217" s="170">
        <f t="shared" si="935"/>
        <v>0.84711619532694482</v>
      </c>
      <c r="G217" s="170">
        <f t="shared" si="935"/>
        <v>-0.24999996726497561</v>
      </c>
      <c r="H217" s="139"/>
      <c r="I217" s="86"/>
      <c r="J217" s="79">
        <f t="shared" si="930"/>
        <v>5.109</v>
      </c>
    </row>
    <row r="218" spans="5:10" x14ac:dyDescent="0.25">
      <c r="E218" s="170">
        <f t="shared" si="935"/>
        <v>-0.39562895490739125</v>
      </c>
      <c r="F218" s="170">
        <f t="shared" si="935"/>
        <v>0.88051720697421199</v>
      </c>
      <c r="G218" s="170">
        <f t="shared" si="935"/>
        <v>-0.26108844911488943</v>
      </c>
      <c r="H218" s="139"/>
      <c r="I218" s="86"/>
      <c r="J218" s="79">
        <f t="shared" si="930"/>
        <v>5.1130000000000004</v>
      </c>
    </row>
    <row r="219" spans="5:10" x14ac:dyDescent="0.25">
      <c r="E219" s="170">
        <f t="shared" si="935"/>
        <v>-0.29163078201639719</v>
      </c>
      <c r="F219" s="170">
        <f t="shared" si="935"/>
        <v>0.92431075395409024</v>
      </c>
      <c r="G219" s="170">
        <f t="shared" si="935"/>
        <v>-0.24617294145646068</v>
      </c>
      <c r="H219" s="139"/>
      <c r="I219" s="86"/>
      <c r="J219" s="79">
        <f t="shared" ref="J219:J282" si="936">J74</f>
        <v>5.1189999999999998</v>
      </c>
    </row>
    <row r="220" spans="5:10" x14ac:dyDescent="0.25">
      <c r="E220" s="170">
        <f t="shared" si="935"/>
        <v>-0.20379456623279452</v>
      </c>
      <c r="F220" s="170">
        <f t="shared" si="935"/>
        <v>0.95632072877275598</v>
      </c>
      <c r="G220" s="170">
        <f t="shared" si="935"/>
        <v>-0.20956726484241778</v>
      </c>
      <c r="H220" s="139"/>
      <c r="I220" s="86"/>
      <c r="J220" s="79">
        <f t="shared" si="936"/>
        <v>5.125</v>
      </c>
    </row>
    <row r="221" spans="5:10" x14ac:dyDescent="0.25">
      <c r="E221" s="170">
        <f t="shared" si="935"/>
        <v>-0.12196569896386103</v>
      </c>
      <c r="F221" s="170">
        <f t="shared" si="935"/>
        <v>0.97766701333070249</v>
      </c>
      <c r="G221" s="170">
        <f t="shared" si="935"/>
        <v>-0.17114782885354096</v>
      </c>
      <c r="H221" s="139"/>
      <c r="I221" s="86"/>
      <c r="J221" s="79">
        <f t="shared" si="936"/>
        <v>5.1310000000000002</v>
      </c>
    </row>
    <row r="222" spans="5:10" x14ac:dyDescent="0.25">
      <c r="E222" s="170">
        <f t="shared" si="935"/>
        <v>-4.5290265025342717E-2</v>
      </c>
      <c r="F222" s="170">
        <f t="shared" si="935"/>
        <v>0.99017322070427694</v>
      </c>
      <c r="G222" s="170">
        <f t="shared" si="935"/>
        <v>-0.13230942859091216</v>
      </c>
      <c r="H222" s="139"/>
      <c r="I222" s="86"/>
      <c r="J222" s="79">
        <f t="shared" si="936"/>
        <v>5.1369999999999996</v>
      </c>
    </row>
    <row r="223" spans="5:10" x14ac:dyDescent="0.25">
      <c r="E223" s="170">
        <f t="shared" si="935"/>
        <v>4.2015377826148781E-2</v>
      </c>
      <c r="F223" s="170">
        <f t="shared" si="935"/>
        <v>0.99385610601707863</v>
      </c>
      <c r="G223" s="170">
        <f t="shared" si="935"/>
        <v>-0.10239506120265511</v>
      </c>
      <c r="H223" s="139"/>
      <c r="I223" s="86"/>
      <c r="J223" s="79">
        <f t="shared" si="936"/>
        <v>5.1429999999999998</v>
      </c>
    </row>
    <row r="224" spans="5:10" x14ac:dyDescent="0.25">
      <c r="E224" s="170">
        <f t="shared" si="935"/>
        <v>0.15117917492142938</v>
      </c>
      <c r="F224" s="170">
        <f t="shared" si="935"/>
        <v>0.98623722292113591</v>
      </c>
      <c r="G224" s="170">
        <f t="shared" si="935"/>
        <v>-6.6940250932316495E-2</v>
      </c>
      <c r="H224" s="139"/>
      <c r="I224" s="86"/>
      <c r="J224" s="79">
        <f t="shared" si="936"/>
        <v>5.149</v>
      </c>
    </row>
    <row r="225" spans="5:10" x14ac:dyDescent="0.25">
      <c r="E225" s="170">
        <f t="shared" si="935"/>
        <v>0.2499239317275958</v>
      </c>
      <c r="F225" s="170">
        <f t="shared" si="935"/>
        <v>0.96826547410811004</v>
      </c>
      <c r="G225" s="170">
        <f t="shared" si="935"/>
        <v>-1.3008419225801865E-7</v>
      </c>
      <c r="H225" s="139"/>
      <c r="I225" s="86"/>
      <c r="J225" s="79">
        <f t="shared" si="936"/>
        <v>5.1550000000000002</v>
      </c>
    </row>
    <row r="226" spans="5:10" x14ac:dyDescent="0.25">
      <c r="E226" s="170">
        <f t="shared" si="935"/>
        <v>-0.25878498330542349</v>
      </c>
      <c r="F226" s="170">
        <f t="shared" si="935"/>
        <v>4.1966205293007064E-3</v>
      </c>
      <c r="G226" s="170">
        <f t="shared" si="935"/>
        <v>-0.96592583607218252</v>
      </c>
      <c r="H226" s="139"/>
      <c r="I226" s="86"/>
      <c r="J226" s="79">
        <f t="shared" si="936"/>
        <v>5.2089999999999996</v>
      </c>
    </row>
    <row r="227" spans="5:10" x14ac:dyDescent="0.25">
      <c r="E227" s="170">
        <f t="shared" si="935"/>
        <v>-0.10431058727155974</v>
      </c>
      <c r="F227" s="170">
        <f t="shared" si="935"/>
        <v>-6.7452110905862461E-3</v>
      </c>
      <c r="G227" s="170">
        <f t="shared" si="935"/>
        <v>-0.99452189694868243</v>
      </c>
      <c r="H227" s="139"/>
      <c r="I227" s="86"/>
      <c r="J227" s="79">
        <f t="shared" si="936"/>
        <v>5.2130000000000001</v>
      </c>
    </row>
    <row r="228" spans="5:10" x14ac:dyDescent="0.25">
      <c r="E228" s="170">
        <f t="shared" si="935"/>
        <v>0.12504604801610114</v>
      </c>
      <c r="F228" s="170">
        <f t="shared" si="935"/>
        <v>1.2602695471245168E-2</v>
      </c>
      <c r="G228" s="170">
        <f t="shared" si="935"/>
        <v>-0.99207089360711209</v>
      </c>
      <c r="H228" s="139"/>
      <c r="I228" s="86"/>
      <c r="J228" s="79">
        <f t="shared" si="936"/>
        <v>5.2190000000000003</v>
      </c>
    </row>
    <row r="229" spans="5:10" x14ac:dyDescent="0.25">
      <c r="E229" s="170">
        <f t="shared" si="935"/>
        <v>6.250227032183453E-2</v>
      </c>
      <c r="F229" s="170">
        <f t="shared" si="935"/>
        <v>0.92918007069184927</v>
      </c>
      <c r="G229" s="170">
        <f t="shared" si="935"/>
        <v>-0.36430462861965734</v>
      </c>
      <c r="H229" s="139"/>
      <c r="I229" s="86"/>
      <c r="J229" s="79">
        <f t="shared" si="936"/>
        <v>5.2249999999999996</v>
      </c>
    </row>
    <row r="230" spans="5:10" x14ac:dyDescent="0.25">
      <c r="E230" s="170">
        <f t="shared" si="935"/>
        <v>0.15437646030674648</v>
      </c>
      <c r="F230" s="170">
        <f t="shared" si="935"/>
        <v>0.93738306875596</v>
      </c>
      <c r="G230" s="170">
        <f t="shared" si="935"/>
        <v>-0.31221929939197995</v>
      </c>
      <c r="H230" s="139"/>
      <c r="I230" s="86"/>
      <c r="J230" s="79">
        <f t="shared" si="936"/>
        <v>5.2309999999999999</v>
      </c>
    </row>
    <row r="231" spans="5:10" x14ac:dyDescent="0.25">
      <c r="E231" s="170">
        <f t="shared" si="935"/>
        <v>0.2440265091774283</v>
      </c>
      <c r="F231" s="170">
        <f t="shared" si="935"/>
        <v>0.9358773175587437</v>
      </c>
      <c r="G231" s="170">
        <f t="shared" si="935"/>
        <v>-0.25413521853086218</v>
      </c>
      <c r="H231" s="139"/>
      <c r="I231" s="86"/>
      <c r="J231" s="79">
        <f t="shared" si="936"/>
        <v>5.2370000000000001</v>
      </c>
    </row>
    <row r="232" spans="5:10" x14ac:dyDescent="0.25">
      <c r="E232" s="170">
        <f t="shared" si="935"/>
        <v>0.31769175252654608</v>
      </c>
      <c r="F232" s="170">
        <f t="shared" si="935"/>
        <v>0.93078155972789978</v>
      </c>
      <c r="G232" s="170">
        <f t="shared" si="935"/>
        <v>-0.18088017704300849</v>
      </c>
      <c r="H232" s="139"/>
      <c r="I232" s="86"/>
      <c r="J232" s="79">
        <f t="shared" si="936"/>
        <v>5.2430000000000003</v>
      </c>
    </row>
    <row r="233" spans="5:10" x14ac:dyDescent="0.25">
      <c r="E233" s="170">
        <f t="shared" si="935"/>
        <v>0.54647546999195928</v>
      </c>
      <c r="F233" s="170">
        <f t="shared" si="935"/>
        <v>0.79605180271292653</v>
      </c>
      <c r="G233" s="170">
        <f t="shared" si="935"/>
        <v>-0.26012706144222514</v>
      </c>
      <c r="H233" s="139"/>
      <c r="I233" s="86"/>
      <c r="J233" s="79">
        <f t="shared" si="936"/>
        <v>6.1120000000000001</v>
      </c>
    </row>
    <row r="234" spans="5:10" x14ac:dyDescent="0.25">
      <c r="E234" s="170">
        <f t="shared" ref="E234:G253" si="937">E89*-1</f>
        <v>0.64159915218876351</v>
      </c>
      <c r="F234" s="170">
        <f t="shared" si="937"/>
        <v>0.72507570710643221</v>
      </c>
      <c r="G234" s="170">
        <f t="shared" si="937"/>
        <v>-0.25023138666995226</v>
      </c>
      <c r="H234" s="139"/>
      <c r="I234" s="86"/>
      <c r="J234" s="79">
        <f t="shared" si="936"/>
        <v>6.1180000000000003</v>
      </c>
    </row>
    <row r="235" spans="5:10" x14ac:dyDescent="0.25">
      <c r="E235" s="170">
        <f t="shared" si="937"/>
        <v>0.71530616029307947</v>
      </c>
      <c r="F235" s="170">
        <f t="shared" si="937"/>
        <v>0.66426636797661232</v>
      </c>
      <c r="G235" s="170">
        <f t="shared" si="937"/>
        <v>-0.21699605854008375</v>
      </c>
      <c r="H235" s="139"/>
      <c r="I235" s="86"/>
      <c r="J235" s="79">
        <f t="shared" si="936"/>
        <v>6.1239999999999997</v>
      </c>
    </row>
    <row r="236" spans="5:10" x14ac:dyDescent="0.25">
      <c r="E236" s="170">
        <f t="shared" si="937"/>
        <v>0.7773092923960222</v>
      </c>
      <c r="F236" s="170">
        <f t="shared" si="937"/>
        <v>0.60249020350005478</v>
      </c>
      <c r="G236" s="170">
        <f t="shared" si="937"/>
        <v>-0.18109615854914707</v>
      </c>
      <c r="H236" s="139"/>
      <c r="I236" s="86"/>
      <c r="J236" s="79">
        <f t="shared" si="936"/>
        <v>6.13</v>
      </c>
    </row>
    <row r="237" spans="5:10" x14ac:dyDescent="0.25">
      <c r="E237" s="170">
        <f t="shared" si="937"/>
        <v>0.82915157484449953</v>
      </c>
      <c r="F237" s="170">
        <f t="shared" si="937"/>
        <v>0.54015791467202867</v>
      </c>
      <c r="G237" s="170">
        <f t="shared" si="937"/>
        <v>-0.14400379560987861</v>
      </c>
      <c r="H237" s="139"/>
      <c r="I237" s="86"/>
      <c r="J237" s="79">
        <f t="shared" si="936"/>
        <v>6.1360000000000001</v>
      </c>
    </row>
    <row r="238" spans="5:10" x14ac:dyDescent="0.25">
      <c r="E238" s="170">
        <f t="shared" si="937"/>
        <v>0.87282607445575799</v>
      </c>
      <c r="F238" s="170">
        <f t="shared" si="937"/>
        <v>0.47656166484377827</v>
      </c>
      <c r="G238" s="170">
        <f t="shared" si="937"/>
        <v>-0.10518375992270892</v>
      </c>
      <c r="H238" s="139"/>
      <c r="I238" s="86"/>
      <c r="J238" s="79">
        <f t="shared" si="936"/>
        <v>6.1420000000000003</v>
      </c>
    </row>
    <row r="239" spans="5:10" x14ac:dyDescent="0.25">
      <c r="E239" s="170">
        <f t="shared" si="937"/>
        <v>0.92246021979671367</v>
      </c>
      <c r="F239" s="170">
        <f t="shared" si="937"/>
        <v>0.37871173189191865</v>
      </c>
      <c r="G239" s="170">
        <f t="shared" si="937"/>
        <v>-7.5130333554578307E-2</v>
      </c>
      <c r="H239" s="139"/>
      <c r="I239" s="86"/>
      <c r="J239" s="79">
        <f t="shared" si="936"/>
        <v>6.1479999999999997</v>
      </c>
    </row>
    <row r="240" spans="5:10" x14ac:dyDescent="0.25">
      <c r="E240" s="170">
        <f t="shared" si="937"/>
        <v>0.96350442357463439</v>
      </c>
      <c r="F240" s="170">
        <f t="shared" si="937"/>
        <v>0.26769240884286349</v>
      </c>
      <c r="G240" s="170">
        <f t="shared" si="937"/>
        <v>-1.300841925034794E-7</v>
      </c>
      <c r="H240" s="139"/>
      <c r="I240" s="86"/>
      <c r="J240" s="79">
        <f t="shared" si="936"/>
        <v>6.1539999999999999</v>
      </c>
    </row>
    <row r="241" spans="5:10" x14ac:dyDescent="0.25">
      <c r="E241" s="170">
        <f t="shared" si="937"/>
        <v>5.4888518999983461E-2</v>
      </c>
      <c r="F241" s="170">
        <f t="shared" si="937"/>
        <v>-7.6871000061063705E-2</v>
      </c>
      <c r="G241" s="170">
        <f t="shared" si="937"/>
        <v>-0.99552905524228708</v>
      </c>
      <c r="H241" s="139"/>
      <c r="I241" s="86"/>
      <c r="J241" s="79">
        <f t="shared" si="936"/>
        <v>6.218</v>
      </c>
    </row>
    <row r="242" spans="5:10" x14ac:dyDescent="0.25">
      <c r="E242" s="170">
        <f t="shared" si="937"/>
        <v>0.82611261544326053</v>
      </c>
      <c r="F242" s="170">
        <f t="shared" si="937"/>
        <v>0.4220823043228708</v>
      </c>
      <c r="G242" s="170">
        <f t="shared" si="937"/>
        <v>-0.37334230269685631</v>
      </c>
      <c r="H242" s="139"/>
      <c r="I242" s="86"/>
      <c r="J242" s="79">
        <f t="shared" si="936"/>
        <v>6.2240000000000002</v>
      </c>
    </row>
    <row r="243" spans="5:10" x14ac:dyDescent="0.25">
      <c r="E243" s="170">
        <f t="shared" si="937"/>
        <v>0.88052206128727806</v>
      </c>
      <c r="F243" s="170">
        <f t="shared" si="937"/>
        <v>0.3453852639588566</v>
      </c>
      <c r="G243" s="170">
        <f t="shared" si="937"/>
        <v>-0.3246381355085598</v>
      </c>
      <c r="H243" s="139"/>
      <c r="I243" s="86"/>
      <c r="J243" s="79">
        <f t="shared" si="936"/>
        <v>6.23</v>
      </c>
    </row>
    <row r="244" spans="5:10" x14ac:dyDescent="0.25">
      <c r="E244" s="170">
        <f t="shared" si="937"/>
        <v>0.9260121816089435</v>
      </c>
      <c r="F244" s="170">
        <f t="shared" si="937"/>
        <v>0.26483661681804294</v>
      </c>
      <c r="G244" s="170">
        <f t="shared" si="937"/>
        <v>-0.26900372842066378</v>
      </c>
      <c r="H244" s="139"/>
      <c r="I244" s="86"/>
      <c r="J244" s="79">
        <f t="shared" si="936"/>
        <v>6.2359999999999998</v>
      </c>
    </row>
    <row r="245" spans="5:10" x14ac:dyDescent="0.25">
      <c r="E245" s="170">
        <f t="shared" si="937"/>
        <v>0.96064254259911475</v>
      </c>
      <c r="F245" s="170">
        <f t="shared" si="937"/>
        <v>0.19563575421046425</v>
      </c>
      <c r="G245" s="170">
        <f t="shared" si="937"/>
        <v>-0.19721195963533988</v>
      </c>
      <c r="H245" s="139"/>
      <c r="I245" s="86"/>
      <c r="J245" s="79">
        <f t="shared" si="936"/>
        <v>6.242</v>
      </c>
    </row>
    <row r="246" spans="5:10" x14ac:dyDescent="0.25">
      <c r="E246" s="170">
        <f t="shared" si="937"/>
        <v>0</v>
      </c>
      <c r="F246" s="170">
        <f t="shared" si="937"/>
        <v>0</v>
      </c>
      <c r="G246" s="170">
        <f t="shared" si="937"/>
        <v>0</v>
      </c>
      <c r="H246" s="139"/>
      <c r="I246" s="86"/>
      <c r="J246" s="79">
        <f t="shared" si="936"/>
        <v>0</v>
      </c>
    </row>
    <row r="247" spans="5:10" x14ac:dyDescent="0.25">
      <c r="E247" s="170">
        <f t="shared" si="937"/>
        <v>0</v>
      </c>
      <c r="F247" s="170">
        <f t="shared" si="937"/>
        <v>0</v>
      </c>
      <c r="G247" s="170">
        <f t="shared" si="937"/>
        <v>0</v>
      </c>
      <c r="H247" s="139"/>
      <c r="I247" s="86"/>
      <c r="J247" s="79">
        <f t="shared" si="936"/>
        <v>0</v>
      </c>
    </row>
    <row r="248" spans="5:10" x14ac:dyDescent="0.25">
      <c r="E248" s="170">
        <f t="shared" si="937"/>
        <v>0</v>
      </c>
      <c r="F248" s="170">
        <f t="shared" si="937"/>
        <v>0</v>
      </c>
      <c r="G248" s="170">
        <f t="shared" si="937"/>
        <v>0</v>
      </c>
      <c r="H248" s="139"/>
      <c r="I248" s="86"/>
      <c r="J248" s="79">
        <f t="shared" si="936"/>
        <v>0</v>
      </c>
    </row>
    <row r="249" spans="5:10" x14ac:dyDescent="0.25">
      <c r="E249" s="170">
        <f t="shared" si="937"/>
        <v>0</v>
      </c>
      <c r="F249" s="170">
        <f t="shared" si="937"/>
        <v>0</v>
      </c>
      <c r="G249" s="170">
        <f t="shared" si="937"/>
        <v>0</v>
      </c>
      <c r="H249" s="139"/>
      <c r="I249" s="86"/>
      <c r="J249" s="79">
        <f t="shared" si="936"/>
        <v>0</v>
      </c>
    </row>
    <row r="250" spans="5:10" x14ac:dyDescent="0.25">
      <c r="E250" s="170">
        <f t="shared" si="937"/>
        <v>0</v>
      </c>
      <c r="F250" s="170">
        <f t="shared" si="937"/>
        <v>0</v>
      </c>
      <c r="G250" s="170">
        <f t="shared" si="937"/>
        <v>0</v>
      </c>
      <c r="H250" s="139"/>
      <c r="I250" s="86"/>
      <c r="J250" s="79">
        <f t="shared" si="936"/>
        <v>0</v>
      </c>
    </row>
    <row r="251" spans="5:10" x14ac:dyDescent="0.25">
      <c r="E251" s="170">
        <f t="shared" si="937"/>
        <v>0</v>
      </c>
      <c r="F251" s="170">
        <f t="shared" si="937"/>
        <v>0</v>
      </c>
      <c r="G251" s="170">
        <f t="shared" si="937"/>
        <v>0</v>
      </c>
      <c r="H251" s="139"/>
      <c r="I251" s="86"/>
      <c r="J251" s="79">
        <f t="shared" si="936"/>
        <v>0</v>
      </c>
    </row>
    <row r="252" spans="5:10" x14ac:dyDescent="0.25">
      <c r="E252" s="170">
        <f t="shared" si="937"/>
        <v>0</v>
      </c>
      <c r="F252" s="170">
        <f t="shared" si="937"/>
        <v>0</v>
      </c>
      <c r="G252" s="170">
        <f t="shared" si="937"/>
        <v>0</v>
      </c>
      <c r="H252" s="139"/>
      <c r="I252" s="86"/>
      <c r="J252" s="79">
        <f t="shared" si="936"/>
        <v>0</v>
      </c>
    </row>
    <row r="253" spans="5:10" x14ac:dyDescent="0.25">
      <c r="E253" s="170">
        <f t="shared" si="937"/>
        <v>0</v>
      </c>
      <c r="F253" s="170">
        <f t="shared" si="937"/>
        <v>0</v>
      </c>
      <c r="G253" s="170">
        <f t="shared" si="937"/>
        <v>0</v>
      </c>
      <c r="H253" s="139"/>
      <c r="I253" s="86"/>
      <c r="J253" s="79">
        <f t="shared" si="936"/>
        <v>0</v>
      </c>
    </row>
    <row r="254" spans="5:10" x14ac:dyDescent="0.25">
      <c r="E254" s="170">
        <f t="shared" ref="E254:G273" si="938">E109*-1</f>
        <v>0</v>
      </c>
      <c r="F254" s="170">
        <f t="shared" si="938"/>
        <v>0</v>
      </c>
      <c r="G254" s="170">
        <f t="shared" si="938"/>
        <v>0</v>
      </c>
      <c r="H254" s="139"/>
      <c r="I254" s="86"/>
      <c r="J254" s="79">
        <f t="shared" si="936"/>
        <v>0</v>
      </c>
    </row>
    <row r="255" spans="5:10" x14ac:dyDescent="0.25">
      <c r="E255" s="170">
        <f t="shared" si="938"/>
        <v>0</v>
      </c>
      <c r="F255" s="170">
        <f t="shared" si="938"/>
        <v>0</v>
      </c>
      <c r="G255" s="170">
        <f t="shared" si="938"/>
        <v>0</v>
      </c>
      <c r="H255" s="139"/>
      <c r="I255" s="86"/>
      <c r="J255" s="79">
        <f t="shared" si="936"/>
        <v>0</v>
      </c>
    </row>
    <row r="256" spans="5:10" x14ac:dyDescent="0.25">
      <c r="E256" s="170">
        <f t="shared" si="938"/>
        <v>0</v>
      </c>
      <c r="F256" s="170">
        <f t="shared" si="938"/>
        <v>0</v>
      </c>
      <c r="G256" s="170">
        <f t="shared" si="938"/>
        <v>0</v>
      </c>
      <c r="H256" s="139"/>
      <c r="I256" s="86"/>
      <c r="J256" s="79">
        <f t="shared" si="936"/>
        <v>0</v>
      </c>
    </row>
    <row r="257" spans="5:10" x14ac:dyDescent="0.25">
      <c r="E257" s="170">
        <f t="shared" si="938"/>
        <v>0</v>
      </c>
      <c r="F257" s="170">
        <f t="shared" si="938"/>
        <v>0</v>
      </c>
      <c r="G257" s="170">
        <f t="shared" si="938"/>
        <v>0</v>
      </c>
      <c r="H257" s="139"/>
      <c r="I257" s="86"/>
      <c r="J257" s="79">
        <f t="shared" si="936"/>
        <v>0</v>
      </c>
    </row>
    <row r="258" spans="5:10" x14ac:dyDescent="0.25">
      <c r="E258" s="170">
        <f t="shared" si="938"/>
        <v>0</v>
      </c>
      <c r="F258" s="170">
        <f t="shared" si="938"/>
        <v>0</v>
      </c>
      <c r="G258" s="170">
        <f t="shared" si="938"/>
        <v>0</v>
      </c>
      <c r="H258" s="139"/>
      <c r="I258" s="86"/>
      <c r="J258" s="79">
        <f t="shared" si="936"/>
        <v>0</v>
      </c>
    </row>
    <row r="259" spans="5:10" x14ac:dyDescent="0.25">
      <c r="E259" s="170">
        <f t="shared" si="938"/>
        <v>0</v>
      </c>
      <c r="F259" s="170">
        <f t="shared" si="938"/>
        <v>0</v>
      </c>
      <c r="G259" s="170">
        <f t="shared" si="938"/>
        <v>0</v>
      </c>
      <c r="H259" s="139"/>
      <c r="I259" s="86"/>
      <c r="J259" s="79">
        <f t="shared" si="936"/>
        <v>0</v>
      </c>
    </row>
    <row r="260" spans="5:10" x14ac:dyDescent="0.25">
      <c r="E260" s="170">
        <f t="shared" si="938"/>
        <v>0</v>
      </c>
      <c r="F260" s="170">
        <f t="shared" si="938"/>
        <v>0</v>
      </c>
      <c r="G260" s="170">
        <f t="shared" si="938"/>
        <v>0</v>
      </c>
      <c r="H260" s="139"/>
      <c r="I260" s="86"/>
      <c r="J260" s="79">
        <f t="shared" si="936"/>
        <v>0</v>
      </c>
    </row>
    <row r="261" spans="5:10" x14ac:dyDescent="0.25">
      <c r="E261" s="170">
        <f t="shared" si="938"/>
        <v>0</v>
      </c>
      <c r="F261" s="170">
        <f t="shared" si="938"/>
        <v>0</v>
      </c>
      <c r="G261" s="170">
        <f t="shared" si="938"/>
        <v>0</v>
      </c>
      <c r="H261" s="139"/>
      <c r="I261" s="86"/>
      <c r="J261" s="79">
        <f t="shared" si="936"/>
        <v>0</v>
      </c>
    </row>
    <row r="262" spans="5:10" x14ac:dyDescent="0.25">
      <c r="E262" s="170">
        <f t="shared" si="938"/>
        <v>0</v>
      </c>
      <c r="F262" s="170">
        <f t="shared" si="938"/>
        <v>0</v>
      </c>
      <c r="G262" s="170">
        <f t="shared" si="938"/>
        <v>0</v>
      </c>
      <c r="H262" s="139"/>
      <c r="I262" s="86"/>
      <c r="J262" s="79">
        <f t="shared" si="936"/>
        <v>0</v>
      </c>
    </row>
    <row r="263" spans="5:10" x14ac:dyDescent="0.25">
      <c r="E263" s="170">
        <f t="shared" si="938"/>
        <v>0</v>
      </c>
      <c r="F263" s="170">
        <f t="shared" si="938"/>
        <v>0</v>
      </c>
      <c r="G263" s="170">
        <f t="shared" si="938"/>
        <v>0</v>
      </c>
      <c r="H263" s="139"/>
      <c r="I263" s="86"/>
      <c r="J263" s="79">
        <f t="shared" si="936"/>
        <v>0</v>
      </c>
    </row>
    <row r="264" spans="5:10" x14ac:dyDescent="0.25">
      <c r="E264" s="170">
        <f t="shared" si="938"/>
        <v>0</v>
      </c>
      <c r="F264" s="170">
        <f t="shared" si="938"/>
        <v>0</v>
      </c>
      <c r="G264" s="170">
        <f t="shared" si="938"/>
        <v>0</v>
      </c>
      <c r="H264" s="139"/>
      <c r="I264" s="86"/>
      <c r="J264" s="79">
        <f t="shared" si="936"/>
        <v>0</v>
      </c>
    </row>
    <row r="265" spans="5:10" x14ac:dyDescent="0.25">
      <c r="E265" s="170">
        <f t="shared" si="938"/>
        <v>0</v>
      </c>
      <c r="F265" s="170">
        <f t="shared" si="938"/>
        <v>0</v>
      </c>
      <c r="G265" s="170">
        <f t="shared" si="938"/>
        <v>0</v>
      </c>
      <c r="H265" s="139"/>
      <c r="I265" s="86"/>
      <c r="J265" s="79">
        <f t="shared" si="936"/>
        <v>0</v>
      </c>
    </row>
    <row r="266" spans="5:10" x14ac:dyDescent="0.25">
      <c r="E266" s="170">
        <f t="shared" si="938"/>
        <v>0</v>
      </c>
      <c r="F266" s="170">
        <f t="shared" si="938"/>
        <v>0</v>
      </c>
      <c r="G266" s="170">
        <f t="shared" si="938"/>
        <v>0</v>
      </c>
      <c r="H266" s="139"/>
      <c r="I266" s="86"/>
      <c r="J266" s="79">
        <f t="shared" si="936"/>
        <v>0</v>
      </c>
    </row>
    <row r="267" spans="5:10" x14ac:dyDescent="0.25">
      <c r="E267" s="170">
        <f t="shared" si="938"/>
        <v>0</v>
      </c>
      <c r="F267" s="170">
        <f t="shared" si="938"/>
        <v>0</v>
      </c>
      <c r="G267" s="170">
        <f t="shared" si="938"/>
        <v>0</v>
      </c>
      <c r="H267" s="139"/>
      <c r="I267" s="86"/>
      <c r="J267" s="79">
        <f t="shared" si="936"/>
        <v>0</v>
      </c>
    </row>
    <row r="268" spans="5:10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10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10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10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10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</mergeCells>
  <conditionalFormatting sqref="HI9:HI40 HM9:HM40 AV9:AV40 AV54:AV150 HM54:HM150 HI54:HI150 M9:M150">
    <cfRule type="cellIs" dxfId="41" priority="136" stopIfTrue="1" operator="between">
      <formula>9</formula>
      <formula>9.99</formula>
    </cfRule>
    <cfRule type="cellIs" dxfId="40" priority="137" stopIfTrue="1" operator="between">
      <formula>8</formula>
      <formula>8.99</formula>
    </cfRule>
    <cfRule type="cellIs" dxfId="39" priority="138" stopIfTrue="1" operator="between">
      <formula>7</formula>
      <formula>7.99</formula>
    </cfRule>
    <cfRule type="cellIs" dxfId="38" priority="139" stopIfTrue="1" operator="between">
      <formula>6</formula>
      <formula>6.99</formula>
    </cfRule>
    <cfRule type="cellIs" dxfId="37" priority="140" stopIfTrue="1" operator="between">
      <formula>5</formula>
      <formula>5.99</formula>
    </cfRule>
    <cfRule type="cellIs" dxfId="36" priority="141" stopIfTrue="1" operator="between">
      <formula>4</formula>
      <formula>4.99</formula>
    </cfRule>
    <cfRule type="cellIs" dxfId="35" priority="142" stopIfTrue="1" operator="between">
      <formula>3</formula>
      <formula>3.99</formula>
    </cfRule>
    <cfRule type="cellIs" dxfId="34" priority="143" stopIfTrue="1" operator="between">
      <formula>2</formula>
      <formula>2.99</formula>
    </cfRule>
    <cfRule type="cellIs" dxfId="33" priority="144" stopIfTrue="1" operator="between">
      <formula>1</formula>
      <formula>1.99</formula>
    </cfRule>
  </conditionalFormatting>
  <conditionalFormatting sqref="HN9:HN40 HN54:HN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2" priority="22" stopIfTrue="1" operator="between">
      <formula>9</formula>
      <formula>9.99</formula>
    </cfRule>
    <cfRule type="cellIs" dxfId="31" priority="23" stopIfTrue="1" operator="between">
      <formula>8</formula>
      <formula>8.99</formula>
    </cfRule>
    <cfRule type="cellIs" dxfId="30" priority="24" stopIfTrue="1" operator="between">
      <formula>7</formula>
      <formula>7.99</formula>
    </cfRule>
    <cfRule type="cellIs" dxfId="29" priority="25" stopIfTrue="1" operator="between">
      <formula>6</formula>
      <formula>6.99</formula>
    </cfRule>
    <cfRule type="cellIs" dxfId="28" priority="26" stopIfTrue="1" operator="between">
      <formula>5</formula>
      <formula>5.99</formula>
    </cfRule>
    <cfRule type="cellIs" dxfId="27" priority="27" stopIfTrue="1" operator="between">
      <formula>4</formula>
      <formula>4.99</formula>
    </cfRule>
    <cfRule type="cellIs" dxfId="26" priority="28" stopIfTrue="1" operator="between">
      <formula>3</formula>
      <formula>3.99</formula>
    </cfRule>
    <cfRule type="cellIs" dxfId="25" priority="29" stopIfTrue="1" operator="between">
      <formula>2</formula>
      <formula>2.99</formula>
    </cfRule>
    <cfRule type="cellIs" dxfId="24" priority="30" stopIfTrue="1" operator="between">
      <formula>1</formula>
      <formula>1.99</formula>
    </cfRule>
  </conditionalFormatting>
  <conditionalFormatting sqref="HN41:HN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C45336FE-71C5-4404-A954-39449DCE1EEF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1" operator="containsText" id="{6E5E5B59-AF81-4545-83A4-2E9FE98E3A7A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hidden="1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992" t="str">
        <f>CONCATENATE(Settings!$C$19," ",Settings!$B$28)</f>
        <v>12.25  Job# --- Assy# --- Post Braze --- yy.mm.dd</v>
      </c>
      <c r="D1" s="992"/>
      <c r="E1" s="992"/>
      <c r="F1" s="992"/>
      <c r="G1" s="992"/>
      <c r="H1" s="992"/>
      <c r="I1" s="992"/>
      <c r="J1" s="992"/>
      <c r="K1" s="992"/>
      <c r="M1" s="107" t="s">
        <v>319</v>
      </c>
      <c r="N1" s="1309" t="s">
        <v>321</v>
      </c>
      <c r="O1" s="1309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305" t="str">
        <f>Settings!B28</f>
        <v xml:space="preserve"> Job# --- Assy# --- Post Braze --- yy.mm.dd</v>
      </c>
      <c r="C2" s="1306"/>
      <c r="D2" s="1306"/>
      <c r="E2" s="1306"/>
      <c r="F2" s="1306"/>
      <c r="G2" s="1306"/>
      <c r="H2" s="1306"/>
      <c r="I2" s="1306"/>
      <c r="J2" s="1306"/>
      <c r="K2" s="1307"/>
      <c r="L2" s="991" t="str" cm="1">
        <f t="array" ref="L2">IF(OR($K$9:$K$150="Undefined"),"Undefined Element","")</f>
        <v/>
      </c>
      <c r="M2" s="1302" t="s">
        <v>0</v>
      </c>
      <c r="N2" s="1052" t="s">
        <v>1</v>
      </c>
      <c r="O2" s="1053"/>
      <c r="P2" s="1053"/>
      <c r="Q2" s="1053"/>
      <c r="R2" s="1053"/>
      <c r="S2" s="1053"/>
      <c r="T2" s="1053"/>
      <c r="U2" s="1053"/>
      <c r="V2" s="1053"/>
      <c r="W2" s="1053"/>
      <c r="X2" s="1053"/>
      <c r="Y2" s="1054"/>
      <c r="Z2" s="1052" t="s">
        <v>2</v>
      </c>
      <c r="AA2" s="1053"/>
      <c r="AB2" s="1053"/>
      <c r="AC2" s="1053"/>
      <c r="AD2" s="1053"/>
      <c r="AE2" s="1053"/>
      <c r="AF2" s="1053"/>
      <c r="AG2" s="1053"/>
      <c r="AH2" s="1053"/>
      <c r="AI2" s="1053"/>
      <c r="AJ2" s="1053"/>
      <c r="AK2" s="1053"/>
      <c r="AL2" s="1053"/>
      <c r="AM2" s="1053"/>
      <c r="AN2" s="1053"/>
      <c r="AO2" s="1053"/>
      <c r="AP2" s="1053"/>
      <c r="AQ2" s="1078"/>
      <c r="AS2" s="1060" t="s">
        <v>44</v>
      </c>
      <c r="AT2" s="1061"/>
      <c r="AV2" s="1299" t="str">
        <f>M2</f>
        <v>CS-Name</v>
      </c>
      <c r="AW2" s="1278"/>
      <c r="AX2" s="1278"/>
      <c r="AY2" s="1278"/>
      <c r="AZ2" s="1278"/>
      <c r="BA2" s="1278"/>
      <c r="BB2" s="1278"/>
      <c r="BC2" s="1279"/>
      <c r="BF2" s="1271" t="s">
        <v>322</v>
      </c>
      <c r="BG2" s="1272"/>
      <c r="BH2" s="1272"/>
      <c r="BI2" s="1272"/>
      <c r="BJ2" s="1272"/>
      <c r="BK2" s="1273"/>
      <c r="BM2" s="1261" t="s">
        <v>279</v>
      </c>
      <c r="BN2" s="983"/>
      <c r="BO2" s="983"/>
      <c r="BP2" s="984"/>
      <c r="BR2" s="1261" t="s">
        <v>279</v>
      </c>
      <c r="BS2" s="983"/>
      <c r="BT2" s="983"/>
      <c r="BU2" s="984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998"/>
      <c r="C3" s="999"/>
      <c r="D3" s="999"/>
      <c r="E3" s="999"/>
      <c r="F3" s="999"/>
      <c r="G3" s="999"/>
      <c r="H3" s="999"/>
      <c r="I3" s="999"/>
      <c r="J3" s="999"/>
      <c r="K3" s="1000"/>
      <c r="L3" s="991"/>
      <c r="M3" s="1303"/>
      <c r="N3" s="1055"/>
      <c r="O3" s="1056"/>
      <c r="P3" s="1056"/>
      <c r="Q3" s="1056"/>
      <c r="R3" s="1056"/>
      <c r="S3" s="1056"/>
      <c r="T3" s="1056"/>
      <c r="U3" s="1056"/>
      <c r="V3" s="1056"/>
      <c r="W3" s="1056"/>
      <c r="X3" s="1056"/>
      <c r="Y3" s="1057"/>
      <c r="Z3" s="1100"/>
      <c r="AA3" s="1086"/>
      <c r="AB3" s="1086"/>
      <c r="AC3" s="1086"/>
      <c r="AD3" s="1086"/>
      <c r="AE3" s="1086"/>
      <c r="AF3" s="1086"/>
      <c r="AG3" s="1086"/>
      <c r="AH3" s="1086"/>
      <c r="AI3" s="1086"/>
      <c r="AJ3" s="1086"/>
      <c r="AK3" s="1086"/>
      <c r="AL3" s="1086"/>
      <c r="AM3" s="1086"/>
      <c r="AN3" s="1086"/>
      <c r="AO3" s="1086"/>
      <c r="AP3" s="1086"/>
      <c r="AQ3" s="1101"/>
      <c r="AS3" s="466">
        <v>100</v>
      </c>
      <c r="AT3" s="463" t="s">
        <v>45</v>
      </c>
      <c r="AV3" s="1300"/>
      <c r="AW3" s="1280"/>
      <c r="AX3" s="1280"/>
      <c r="AY3" s="1280"/>
      <c r="AZ3" s="1280"/>
      <c r="BA3" s="1280"/>
      <c r="BB3" s="1280"/>
      <c r="BC3" s="1281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099" t="s">
        <v>316</v>
      </c>
      <c r="C4" s="873"/>
      <c r="D4" s="873"/>
      <c r="E4" s="873"/>
      <c r="F4" s="873"/>
      <c r="G4" s="873"/>
      <c r="H4" s="873"/>
      <c r="I4" s="873"/>
      <c r="J4" s="873"/>
      <c r="K4" s="1308"/>
      <c r="L4" s="991"/>
      <c r="M4" s="1303"/>
      <c r="N4" s="1019" t="s">
        <v>3</v>
      </c>
      <c r="O4" s="1014"/>
      <c r="P4" s="1014"/>
      <c r="Q4" s="1013" t="s">
        <v>4</v>
      </c>
      <c r="R4" s="1014"/>
      <c r="S4" s="1035"/>
      <c r="T4" s="1029" t="str">
        <f>N4</f>
        <v>Cartesian Coordinates</v>
      </c>
      <c r="U4" s="996"/>
      <c r="V4" s="1030"/>
      <c r="W4" s="996" t="str">
        <f>Q4</f>
        <v>Polar XY; Cartesian Z</v>
      </c>
      <c r="X4" s="996"/>
      <c r="Y4" s="997"/>
      <c r="Z4" s="1310" t="s">
        <v>3</v>
      </c>
      <c r="AA4" s="1285"/>
      <c r="AB4" s="1285"/>
      <c r="AC4" s="1285"/>
      <c r="AD4" s="1285"/>
      <c r="AE4" s="1285"/>
      <c r="AF4" s="1285"/>
      <c r="AG4" s="1284" t="s">
        <v>31</v>
      </c>
      <c r="AH4" s="1285"/>
      <c r="AI4" s="1285"/>
      <c r="AJ4" s="1286"/>
      <c r="AK4" s="1264" t="s">
        <v>32</v>
      </c>
      <c r="AL4" s="1265"/>
      <c r="AM4" s="1265"/>
      <c r="AN4" s="1265"/>
      <c r="AO4" s="1265"/>
      <c r="AP4" s="1265"/>
      <c r="AQ4" s="1266"/>
      <c r="AS4" s="467">
        <v>125</v>
      </c>
      <c r="AT4" s="464" t="s">
        <v>46</v>
      </c>
      <c r="AV4" s="1300"/>
      <c r="AW4" s="1282"/>
      <c r="AX4" s="1282"/>
      <c r="AY4" s="1282"/>
      <c r="AZ4" s="1283"/>
      <c r="BA4" s="1282" t="str">
        <f>Z2</f>
        <v>PDC Orientation</v>
      </c>
      <c r="BB4" s="1282"/>
      <c r="BC4" s="1283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898" t="s">
        <v>381</v>
      </c>
      <c r="IF4" s="898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998" t="str">
        <f>CONCATENATE(B7," ; ",E7," ; ",H8)</f>
        <v>Absolute-Point ; Incremental-Vector Point ; Radius</v>
      </c>
      <c r="C5" s="999"/>
      <c r="D5" s="999"/>
      <c r="E5" s="999"/>
      <c r="F5" s="999"/>
      <c r="G5" s="999"/>
      <c r="H5" s="999"/>
      <c r="I5" s="999"/>
      <c r="J5" s="999"/>
      <c r="K5" s="1000"/>
      <c r="L5" s="843"/>
      <c r="M5" s="1303"/>
      <c r="N5" s="1040" t="s">
        <v>5</v>
      </c>
      <c r="O5" s="978"/>
      <c r="P5" s="978"/>
      <c r="Q5" s="977" t="s">
        <v>6</v>
      </c>
      <c r="R5" s="978"/>
      <c r="S5" s="979"/>
      <c r="T5" s="1045" t="str">
        <f>CONCATENATE("Relative to ",M8,"'s θ &amp; Z; Z Axis")</f>
        <v>Relative to 's θ &amp; Z; Z Axis</v>
      </c>
      <c r="U5" s="1021"/>
      <c r="V5" s="1072"/>
      <c r="W5" s="1021" t="str">
        <f>CONCATENATE("Relative to ",M8,"'s θ &amp; Z; Z Axis")</f>
        <v>Relative to 's θ &amp; Z; Z Axis</v>
      </c>
      <c r="X5" s="1021"/>
      <c r="Y5" s="1031"/>
      <c r="Z5" s="1020" t="str">
        <f>N5</f>
        <v>Relative to World_CS</v>
      </c>
      <c r="AA5" s="1021"/>
      <c r="AB5" s="1021"/>
      <c r="AC5" s="1021"/>
      <c r="AD5" s="1021"/>
      <c r="AE5" s="1021"/>
      <c r="AF5" s="1021"/>
      <c r="AG5" s="1045" t="str">
        <f>N5</f>
        <v>Relative to World_CS</v>
      </c>
      <c r="AH5" s="1021"/>
      <c r="AI5" s="1021"/>
      <c r="AJ5" s="1046"/>
      <c r="AK5" s="1083" t="s">
        <v>7</v>
      </c>
      <c r="AL5" s="978"/>
      <c r="AM5" s="978"/>
      <c r="AN5" s="978"/>
      <c r="AO5" s="978"/>
      <c r="AP5" s="978"/>
      <c r="AQ5" s="979"/>
      <c r="AS5" s="171">
        <f>(((AS4*12)/60)/AS3)</f>
        <v>0.25</v>
      </c>
      <c r="AT5" s="464" t="s">
        <v>47</v>
      </c>
      <c r="AV5" s="1300"/>
      <c r="AW5" s="1029" t="str">
        <f>W4</f>
        <v>Polar XY; Cartesian Z</v>
      </c>
      <c r="AX5" s="996"/>
      <c r="AY5" s="996"/>
      <c r="AZ5" s="1237" t="s">
        <v>104</v>
      </c>
      <c r="BA5" s="996" t="str">
        <f>AK4</f>
        <v>Polar Z Projection → XZ Plane</v>
      </c>
      <c r="BB5" s="996"/>
      <c r="BC5" s="1105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001"/>
      <c r="C6" s="1002"/>
      <c r="D6" s="1002"/>
      <c r="E6" s="1002"/>
      <c r="F6" s="1002"/>
      <c r="G6" s="1002"/>
      <c r="H6" s="1002"/>
      <c r="I6" s="1002"/>
      <c r="J6" s="1002"/>
      <c r="K6" s="1003"/>
      <c r="L6" s="991" t="str" cm="1">
        <f t="array" ref="L6">IF(OR($K$9:$K$150="Inactive"),"Inactive Element","")</f>
        <v/>
      </c>
      <c r="M6" s="1303"/>
      <c r="N6" s="1036" t="s">
        <v>8</v>
      </c>
      <c r="O6" s="1038" t="s">
        <v>9</v>
      </c>
      <c r="P6" s="975" t="s">
        <v>10</v>
      </c>
      <c r="Q6" s="1041" t="s">
        <v>11</v>
      </c>
      <c r="R6" s="1042"/>
      <c r="S6" s="1032" t="s">
        <v>10</v>
      </c>
      <c r="T6" s="1068" t="str">
        <f>N6</f>
        <v>X</v>
      </c>
      <c r="U6" s="1070" t="str">
        <f>O6</f>
        <v>Y</v>
      </c>
      <c r="V6" s="1027" t="str">
        <f>P6</f>
        <v>Z</v>
      </c>
      <c r="W6" s="1017" t="str">
        <f>Q6</f>
        <v>Projected XY</v>
      </c>
      <c r="X6" s="1018"/>
      <c r="Y6" s="1066" t="str">
        <f>S6</f>
        <v>Z</v>
      </c>
      <c r="Z6" s="1048" t="s">
        <v>12</v>
      </c>
      <c r="AA6" s="1008"/>
      <c r="AB6" s="1008"/>
      <c r="AC6" s="1049"/>
      <c r="AD6" s="1013" t="s">
        <v>13</v>
      </c>
      <c r="AE6" s="1014"/>
      <c r="AF6" s="1014"/>
      <c r="AG6" s="1047" t="s">
        <v>7</v>
      </c>
      <c r="AH6" s="1014"/>
      <c r="AI6" s="1013" t="s">
        <v>14</v>
      </c>
      <c r="AJ6" s="1035"/>
      <c r="AK6" s="1029" t="str">
        <f>AD6</f>
        <v>Unit Vector</v>
      </c>
      <c r="AL6" s="996"/>
      <c r="AM6" s="1105"/>
      <c r="AN6" s="34" t="s">
        <v>15</v>
      </c>
      <c r="AO6" s="35" t="s">
        <v>16</v>
      </c>
      <c r="AP6" s="737" t="s">
        <v>17</v>
      </c>
      <c r="AQ6" s="1311" t="s">
        <v>108</v>
      </c>
      <c r="AS6" s="172">
        <f>(AS5/360)</f>
        <v>6.9444444444444447E-4</v>
      </c>
      <c r="AT6" s="465" t="s">
        <v>48</v>
      </c>
      <c r="AV6" s="1300"/>
      <c r="AW6" s="1045" t="str">
        <f>W5</f>
        <v>Relative to 's θ &amp; Z; Z Axis</v>
      </c>
      <c r="AX6" s="1021"/>
      <c r="AY6" s="1021"/>
      <c r="AZ6" s="1296"/>
      <c r="BA6" s="1021" t="str">
        <f>AK5</f>
        <v>Vector Along X Axis</v>
      </c>
      <c r="BB6" s="1021"/>
      <c r="BC6" s="1046"/>
      <c r="BD6" s="468"/>
      <c r="BF6" s="461">
        <f>SUM(AZ9:AZ150)</f>
        <v>0</v>
      </c>
      <c r="BG6" s="1289" t="s">
        <v>318</v>
      </c>
      <c r="BH6" s="1289"/>
      <c r="BI6" s="1289"/>
      <c r="BJ6" s="1289"/>
      <c r="BK6" s="1289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022" t="s">
        <v>40</v>
      </c>
      <c r="C7" s="1023"/>
      <c r="D7" s="1024"/>
      <c r="E7" s="1025" t="s">
        <v>41</v>
      </c>
      <c r="F7" s="1023"/>
      <c r="G7" s="1026"/>
      <c r="H7" s="896" t="s">
        <v>314</v>
      </c>
      <c r="I7" s="916"/>
      <c r="J7" s="897"/>
      <c r="K7" s="539"/>
      <c r="L7" s="991"/>
      <c r="M7" s="1304"/>
      <c r="N7" s="1037"/>
      <c r="O7" s="1039"/>
      <c r="P7" s="976"/>
      <c r="Q7" s="36" t="s">
        <v>18</v>
      </c>
      <c r="R7" s="2" t="s">
        <v>19</v>
      </c>
      <c r="S7" s="1033"/>
      <c r="T7" s="1069"/>
      <c r="U7" s="1071"/>
      <c r="V7" s="1028"/>
      <c r="W7" s="37" t="str">
        <f>Q7</f>
        <v>&lt; θ°</v>
      </c>
      <c r="X7" s="27" t="str">
        <f>R7</f>
        <v>r</v>
      </c>
      <c r="Y7" s="1067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312"/>
      <c r="AS7" s="1287" t="s">
        <v>54</v>
      </c>
      <c r="AT7" s="1262" t="s">
        <v>53</v>
      </c>
      <c r="AV7" s="1300"/>
      <c r="AW7" s="1295" t="str">
        <f>$W$6</f>
        <v>Projected XY</v>
      </c>
      <c r="AX7" s="1018"/>
      <c r="AY7" s="1297" t="str">
        <f>$Y$6</f>
        <v>Z</v>
      </c>
      <c r="AZ7" s="1296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89"/>
      <c r="BH7" s="1289"/>
      <c r="BI7" s="1289"/>
      <c r="BJ7" s="1289"/>
      <c r="BK7" s="1289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922" t="s">
        <v>33</v>
      </c>
      <c r="IH7" s="1229" t="s">
        <v>385</v>
      </c>
      <c r="II7" s="918" t="s">
        <v>333</v>
      </c>
      <c r="IJ7" s="919"/>
      <c r="IK7" s="919"/>
      <c r="IL7" s="916"/>
      <c r="IM7" s="916"/>
      <c r="IN7" s="916"/>
      <c r="IO7" s="897"/>
      <c r="IP7" s="896" t="s">
        <v>329</v>
      </c>
      <c r="IQ7" s="916"/>
      <c r="IR7" s="916"/>
      <c r="IS7" s="916"/>
      <c r="IT7" s="916"/>
      <c r="IU7" s="896" t="s">
        <v>328</v>
      </c>
      <c r="IV7" s="916"/>
      <c r="IW7" s="916"/>
      <c r="IX7" s="916"/>
      <c r="IY7" s="897"/>
      <c r="JA7" s="784"/>
      <c r="JB7" s="1260" t="s">
        <v>364</v>
      </c>
      <c r="JC7" s="980"/>
      <c r="JD7" s="980"/>
      <c r="JE7" s="981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91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88"/>
      <c r="AT8" s="1263"/>
      <c r="AV8" s="1301"/>
      <c r="AW8" s="46" t="str">
        <f>$W$7</f>
        <v>&lt; θ°</v>
      </c>
      <c r="AX8" s="27" t="str">
        <f>$X$7</f>
        <v>r</v>
      </c>
      <c r="AY8" s="1298"/>
      <c r="AZ8" s="1238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1231"/>
      <c r="IH8" s="1230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982" t="s">
        <v>365</v>
      </c>
      <c r="JC19" s="983"/>
      <c r="JD19" s="983"/>
      <c r="JE19" s="983"/>
      <c r="JF19" s="983"/>
      <c r="JG19" s="983"/>
      <c r="JH19" s="983"/>
      <c r="JI19" s="984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985" t="s">
        <v>369</v>
      </c>
      <c r="JC20" s="986"/>
      <c r="JD20" s="986"/>
      <c r="JE20" s="986"/>
      <c r="JF20" s="1232" t="s">
        <v>370</v>
      </c>
      <c r="JG20" s="1233"/>
      <c r="JH20" s="1233"/>
      <c r="JI20" s="1234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987"/>
      <c r="JC21" s="988"/>
      <c r="JD21" s="988"/>
      <c r="JE21" s="988"/>
      <c r="JF21" s="1235" t="s">
        <v>358</v>
      </c>
      <c r="JG21" s="1236"/>
      <c r="JH21" s="989" t="s">
        <v>371</v>
      </c>
      <c r="JI21" s="990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93" t="str">
        <f>$W$6</f>
        <v>Projected XY</v>
      </c>
      <c r="AX152" s="1294"/>
      <c r="AY152" s="1276" t="str">
        <f>$Y$6</f>
        <v>Z</v>
      </c>
      <c r="AZ152" s="1274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77"/>
      <c r="AZ153" s="1275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004" t="s">
        <v>42</v>
      </c>
      <c r="C157" s="1005"/>
      <c r="D157" s="1005"/>
      <c r="E157" s="1005"/>
      <c r="F157" s="1005"/>
      <c r="G157" s="1005"/>
      <c r="H157" s="1005"/>
      <c r="I157" s="1005"/>
      <c r="J157" s="1005"/>
      <c r="K157" s="1006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007"/>
      <c r="C158" s="1008"/>
      <c r="D158" s="1008"/>
      <c r="E158" s="1008"/>
      <c r="F158" s="1008"/>
      <c r="G158" s="1008"/>
      <c r="H158" s="1008"/>
      <c r="I158" s="1008"/>
      <c r="J158" s="1008"/>
      <c r="K158" s="1009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010"/>
      <c r="C159" s="1011"/>
      <c r="D159" s="1011"/>
      <c r="E159" s="1011"/>
      <c r="F159" s="1011"/>
      <c r="G159" s="1011"/>
      <c r="H159" s="1011"/>
      <c r="I159" s="1011"/>
      <c r="J159" s="1011"/>
      <c r="K159" s="1012"/>
      <c r="AQ159" s="166"/>
      <c r="BD159" s="468"/>
    </row>
    <row r="160" spans="1:259" ht="15" customHeight="1" x14ac:dyDescent="0.25">
      <c r="B160" s="998" t="str">
        <f>CONCATENATE(B162," ; ",E162," ; ",H163)</f>
        <v>Absolute-Point ; Incremental-Vector Point ; Radius</v>
      </c>
      <c r="C160" s="999"/>
      <c r="D160" s="999"/>
      <c r="E160" s="999"/>
      <c r="F160" s="999"/>
      <c r="G160" s="999"/>
      <c r="H160" s="999"/>
      <c r="I160" s="999"/>
      <c r="J160" s="999"/>
      <c r="K160" s="1000"/>
      <c r="AQ160" s="166"/>
      <c r="BD160" s="468"/>
    </row>
    <row r="161" spans="2:56" ht="15" customHeight="1" x14ac:dyDescent="0.25">
      <c r="B161" s="1001"/>
      <c r="C161" s="1002"/>
      <c r="D161" s="1002"/>
      <c r="E161" s="1002"/>
      <c r="F161" s="1002"/>
      <c r="G161" s="1002"/>
      <c r="H161" s="1002"/>
      <c r="I161" s="1002"/>
      <c r="J161" s="1002"/>
      <c r="K161" s="1003"/>
      <c r="AQ161" s="166"/>
      <c r="BD161" s="468"/>
    </row>
    <row r="162" spans="2:56" ht="15" customHeight="1" x14ac:dyDescent="0.25">
      <c r="B162" s="1022" t="s">
        <v>40</v>
      </c>
      <c r="C162" s="1023"/>
      <c r="D162" s="1024"/>
      <c r="E162" s="1025" t="s">
        <v>41</v>
      </c>
      <c r="F162" s="1023"/>
      <c r="G162" s="1026"/>
      <c r="H162" s="896" t="s">
        <v>314</v>
      </c>
      <c r="I162" s="916"/>
      <c r="J162" s="897"/>
      <c r="K162" s="539"/>
      <c r="M162" s="1191" t="s">
        <v>313</v>
      </c>
      <c r="N162" s="1290"/>
      <c r="O162" s="1267" t="s">
        <v>292</v>
      </c>
      <c r="P162" s="1268"/>
      <c r="Q162" s="1269"/>
      <c r="R162" s="1270" t="s">
        <v>41</v>
      </c>
      <c r="S162" s="1268"/>
      <c r="T162" s="1269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91"/>
      <c r="N163" s="1292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1313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1613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1.107</v>
      </c>
      <c r="N166" s="869">
        <f>Assy.Model!K11</f>
        <v>1613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1.1100000000000001</v>
      </c>
      <c r="N167" s="869">
        <f>Assy.Model!K12</f>
        <v>1613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1.115</v>
      </c>
      <c r="N168" s="869">
        <f>Assy.Model!K13</f>
        <v>1613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1.121</v>
      </c>
      <c r="N169" s="869">
        <f>Assy.Model!K14</f>
        <v>1613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1.127</v>
      </c>
      <c r="N170" s="869">
        <f>Assy.Model!K15</f>
        <v>1613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1.133</v>
      </c>
      <c r="N171" s="869">
        <f>Assy.Model!K16</f>
        <v>1613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1.139</v>
      </c>
      <c r="N172" s="869">
        <f>Assy.Model!K17</f>
        <v>1613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1.145</v>
      </c>
      <c r="N173" s="869">
        <f>Assy.Model!K18</f>
        <v>1613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1.151</v>
      </c>
      <c r="N174" s="869">
        <f>Assy.Model!K19</f>
        <v>1613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1.157</v>
      </c>
      <c r="N175" s="869">
        <f>Assy.Model!K20</f>
        <v>1313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1.21</v>
      </c>
      <c r="N176" s="869" t="str">
        <f>Assy.Model!K21</f>
        <v>Inactive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1.2150000000000001</v>
      </c>
      <c r="N177" s="869" t="str">
        <f>Assy.Model!K22</f>
        <v>Inactive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1.2210000000000001</v>
      </c>
      <c r="N178" s="869" t="str">
        <f>Assy.Model!K23</f>
        <v>Inactive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1.2270000000000001</v>
      </c>
      <c r="N179" s="869">
        <f>Assy.Model!K24</f>
        <v>1313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1.2330000000000001</v>
      </c>
      <c r="N180" s="869">
        <f>Assy.Model!K25</f>
        <v>1313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1.2390000000000001</v>
      </c>
      <c r="N181" s="869">
        <f>Assy.Model!K26</f>
        <v>1313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1.2450000000000001</v>
      </c>
      <c r="N182" s="869">
        <f>Assy.Model!K27</f>
        <v>1313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2.1139999999999999</v>
      </c>
      <c r="N183" s="869">
        <f>Assy.Model!K28</f>
        <v>1613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2.12</v>
      </c>
      <c r="N184" s="869">
        <f>Assy.Model!K29</f>
        <v>1613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2.1259999999999999</v>
      </c>
      <c r="N185" s="869">
        <f>Assy.Model!K30</f>
        <v>1613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2.1320000000000001</v>
      </c>
      <c r="N186" s="869">
        <f>Assy.Model!K31</f>
        <v>1613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2.1379999999999999</v>
      </c>
      <c r="N187" s="869">
        <f>Assy.Model!K32</f>
        <v>1613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2.1440000000000001</v>
      </c>
      <c r="N188" s="869">
        <f>Assy.Model!K33</f>
        <v>1613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2.15</v>
      </c>
      <c r="N189" s="869">
        <f>Assy.Model!K34</f>
        <v>1613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2.1560000000000001</v>
      </c>
      <c r="N190" s="869">
        <f>Assy.Model!K35</f>
        <v>1313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2.2200000000000002</v>
      </c>
      <c r="N191" s="869" t="str">
        <f>Assy.Model!K36</f>
        <v>Inactive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2.226</v>
      </c>
      <c r="N192" s="869">
        <f>Assy.Model!K37</f>
        <v>1313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2.2320000000000002</v>
      </c>
      <c r="N193" s="869">
        <f>Assy.Model!K38</f>
        <v>1313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2.238</v>
      </c>
      <c r="N194" s="869">
        <f>Assy.Model!K39</f>
        <v>1313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2.2440000000000002</v>
      </c>
      <c r="N195" s="869">
        <f>Assy.Model!K40</f>
        <v>1313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3.1019999999999999</v>
      </c>
      <c r="N196" s="869">
        <f>Assy.Model!K41</f>
        <v>1613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>
        <f>Assy.Model!$M42</f>
        <v>3.105</v>
      </c>
      <c r="N197" s="869">
        <f>Assy.Model!K42</f>
        <v>1613</v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>
        <f>Assy.Model!$M43</f>
        <v>3.1080000000000001</v>
      </c>
      <c r="N198" s="869">
        <f>Assy.Model!K43</f>
        <v>1613</v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>
        <f>Assy.Model!$M44</f>
        <v>3.1120000000000001</v>
      </c>
      <c r="N199" s="869">
        <f>Assy.Model!K44</f>
        <v>1613</v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>
        <f>Assy.Model!$M45</f>
        <v>3.117</v>
      </c>
      <c r="N200" s="869">
        <f>Assy.Model!K45</f>
        <v>1613</v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>
        <f>Assy.Model!$M46</f>
        <v>3.1230000000000002</v>
      </c>
      <c r="N201" s="869">
        <f>Assy.Model!K46</f>
        <v>1613</v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>
        <f>Assy.Model!$M47</f>
        <v>3.129</v>
      </c>
      <c r="N202" s="869">
        <f>Assy.Model!K47</f>
        <v>1613</v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>
        <f>Assy.Model!$M48</f>
        <v>3.1349999999999998</v>
      </c>
      <c r="N203" s="869">
        <f>Assy.Model!K48</f>
        <v>1613</v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>
        <f>Assy.Model!$M49</f>
        <v>3.141</v>
      </c>
      <c r="N204" s="869">
        <f>Assy.Model!K49</f>
        <v>1613</v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>
        <f>Assy.Model!$M50</f>
        <v>3.1469999999999998</v>
      </c>
      <c r="N205" s="869">
        <f>Assy.Model!K50</f>
        <v>1613</v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>
        <f>Assy.Model!$M51</f>
        <v>3.153</v>
      </c>
      <c r="N206" s="869">
        <f>Assy.Model!K51</f>
        <v>1313</v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>
        <f>Assy.Model!$M52</f>
        <v>3.2080000000000002</v>
      </c>
      <c r="N207" s="869" t="str">
        <f>Assy.Model!K52</f>
        <v>Inactive</v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>
        <f>Assy.Model!$M53</f>
        <v>3.2109999999999999</v>
      </c>
      <c r="N208" s="869" t="str">
        <f>Assy.Model!K53</f>
        <v>Inactive</v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>
        <f>Assy.Model!$M54</f>
        <v>3.2170000000000001</v>
      </c>
      <c r="N209" s="869" t="str">
        <f>Assy.Model!K54</f>
        <v>Inactive</v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>
        <f>Assy.Model!$M55</f>
        <v>3.2229999999999999</v>
      </c>
      <c r="N210" s="869">
        <f>Assy.Model!K55</f>
        <v>1313</v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>
        <f>Assy.Model!$M56</f>
        <v>3.2290000000000001</v>
      </c>
      <c r="N211" s="869">
        <f>Assy.Model!K56</f>
        <v>1313</v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>
        <f>Assy.Model!$M57</f>
        <v>3.2349999999999999</v>
      </c>
      <c r="N212" s="869">
        <f>Assy.Model!K57</f>
        <v>1313</v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>
        <f>Assy.Model!$M58</f>
        <v>3.2410000000000001</v>
      </c>
      <c r="N213" s="869">
        <f>Assy.Model!K58</f>
        <v>1313</v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>
        <f>Assy.Model!$M59</f>
        <v>4.1159999999999997</v>
      </c>
      <c r="N214" s="869">
        <f>Assy.Model!K59</f>
        <v>1613</v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>
        <f>Assy.Model!$M60</f>
        <v>4.1219999999999999</v>
      </c>
      <c r="N215" s="869">
        <f>Assy.Model!K60</f>
        <v>1613</v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>
        <f>Assy.Model!$M61</f>
        <v>4.1280000000000001</v>
      </c>
      <c r="N216" s="869">
        <f>Assy.Model!K61</f>
        <v>1613</v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>
        <f>Assy.Model!$M62</f>
        <v>4.1340000000000003</v>
      </c>
      <c r="N217" s="869">
        <f>Assy.Model!K62</f>
        <v>1613</v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>
        <f>Assy.Model!$M63</f>
        <v>4.1399999999999997</v>
      </c>
      <c r="N218" s="869">
        <f>Assy.Model!K63</f>
        <v>1613</v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>
        <f>Assy.Model!$M64</f>
        <v>4.1459999999999999</v>
      </c>
      <c r="N219" s="869">
        <f>Assy.Model!K64</f>
        <v>1613</v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>
        <f>Assy.Model!$M65</f>
        <v>4.1520000000000001</v>
      </c>
      <c r="N220" s="869">
        <f>Assy.Model!K65</f>
        <v>1313</v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>
        <f>Assy.Model!$M66</f>
        <v>4.2220000000000004</v>
      </c>
      <c r="N221" s="869" t="str">
        <f>Assy.Model!K66</f>
        <v>Inactive</v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>
        <f>Assy.Model!$M67</f>
        <v>4.2279999999999998</v>
      </c>
      <c r="N222" s="869">
        <f>Assy.Model!K67</f>
        <v>1313</v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>
        <f>Assy.Model!$M68</f>
        <v>4.234</v>
      </c>
      <c r="N223" s="869">
        <f>Assy.Model!K68</f>
        <v>1313</v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>
        <f>Assy.Model!$M69</f>
        <v>4.24</v>
      </c>
      <c r="N224" s="869">
        <f>Assy.Model!K69</f>
        <v>1313</v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>
        <f>Assy.Model!$M70</f>
        <v>5.1029999999999998</v>
      </c>
      <c r="N225" s="869">
        <f>Assy.Model!K70</f>
        <v>1613</v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>
        <f>Assy.Model!$M71</f>
        <v>5.1059999999999999</v>
      </c>
      <c r="N226" s="869">
        <f>Assy.Model!K71</f>
        <v>1613</v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>
        <f>Assy.Model!$M72</f>
        <v>5.109</v>
      </c>
      <c r="N227" s="869">
        <f>Assy.Model!K72</f>
        <v>1613</v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>
        <f>Assy.Model!$M73</f>
        <v>5.1130000000000004</v>
      </c>
      <c r="N228" s="869">
        <f>Assy.Model!K73</f>
        <v>1613</v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>
        <f>Assy.Model!$M74</f>
        <v>5.1189999999999998</v>
      </c>
      <c r="N229" s="869">
        <f>Assy.Model!K74</f>
        <v>1613</v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>
        <f>Assy.Model!$M75</f>
        <v>5.125</v>
      </c>
      <c r="N230" s="869">
        <f>Assy.Model!K75</f>
        <v>1613</v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>
        <f>Assy.Model!$M76</f>
        <v>5.1310000000000002</v>
      </c>
      <c r="N231" s="869">
        <f>Assy.Model!K76</f>
        <v>1613</v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>
        <f>Assy.Model!$M77</f>
        <v>5.1369999999999996</v>
      </c>
      <c r="N232" s="869">
        <f>Assy.Model!K77</f>
        <v>1613</v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>
        <f>Assy.Model!$M78</f>
        <v>5.1429999999999998</v>
      </c>
      <c r="N233" s="869">
        <f>Assy.Model!K78</f>
        <v>1613</v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>
        <f>Assy.Model!$M79</f>
        <v>5.149</v>
      </c>
      <c r="N234" s="869">
        <f>Assy.Model!K79</f>
        <v>1613</v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>
        <f>Assy.Model!$M80</f>
        <v>5.1550000000000002</v>
      </c>
      <c r="N235" s="869">
        <f>Assy.Model!K80</f>
        <v>1313</v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>
        <f>Assy.Model!$M81</f>
        <v>5.2089999999999996</v>
      </c>
      <c r="N236" s="869" t="str">
        <f>Assy.Model!K81</f>
        <v>Inactive</v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>
        <f>Assy.Model!$M82</f>
        <v>5.2130000000000001</v>
      </c>
      <c r="N237" s="869" t="str">
        <f>Assy.Model!K82</f>
        <v>Inactive</v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>
        <f>Assy.Model!$M83</f>
        <v>5.2190000000000003</v>
      </c>
      <c r="N238" s="869" t="str">
        <f>Assy.Model!K83</f>
        <v>Inactive</v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>
        <f>Assy.Model!$M84</f>
        <v>5.2249999999999996</v>
      </c>
      <c r="N239" s="869">
        <f>Assy.Model!K84</f>
        <v>1313</v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>
        <f>Assy.Model!$M85</f>
        <v>5.2309999999999999</v>
      </c>
      <c r="N240" s="869">
        <f>Assy.Model!K85</f>
        <v>1313</v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>
        <f>Assy.Model!$M86</f>
        <v>5.2370000000000001</v>
      </c>
      <c r="N241" s="869">
        <f>Assy.Model!K86</f>
        <v>1313</v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>
        <f>Assy.Model!$M87</f>
        <v>5.2430000000000003</v>
      </c>
      <c r="N242" s="869">
        <f>Assy.Model!K87</f>
        <v>1313</v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>
        <f>Assy.Model!$M88</f>
        <v>6.1120000000000001</v>
      </c>
      <c r="N243" s="869">
        <f>Assy.Model!K88</f>
        <v>1613</v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>
        <f>Assy.Model!$M89</f>
        <v>6.1180000000000003</v>
      </c>
      <c r="N244" s="869">
        <f>Assy.Model!K89</f>
        <v>1613</v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>
        <f>Assy.Model!$M90</f>
        <v>6.1239999999999997</v>
      </c>
      <c r="N245" s="869">
        <f>Assy.Model!K90</f>
        <v>1613</v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>
        <f>Assy.Model!$M91</f>
        <v>6.13</v>
      </c>
      <c r="N246" s="869">
        <f>Assy.Model!K91</f>
        <v>1613</v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>
        <f>Assy.Model!$M92</f>
        <v>6.1360000000000001</v>
      </c>
      <c r="N247" s="869">
        <f>Assy.Model!K92</f>
        <v>1613</v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>
        <f>Assy.Model!$M93</f>
        <v>6.1420000000000003</v>
      </c>
      <c r="N248" s="869">
        <f>Assy.Model!K93</f>
        <v>1613</v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>
        <f>Assy.Model!$M94</f>
        <v>6.1479999999999997</v>
      </c>
      <c r="N249" s="869">
        <f>Assy.Model!K94</f>
        <v>1613</v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>
        <f>Assy.Model!$M95</f>
        <v>6.1539999999999999</v>
      </c>
      <c r="N250" s="869">
        <f>Assy.Model!K95</f>
        <v>1313</v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>
        <f>Assy.Model!$M96</f>
        <v>6.218</v>
      </c>
      <c r="N251" s="869" t="str">
        <f>Assy.Model!K96</f>
        <v>Inactive</v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>
        <f>Assy.Model!$M97</f>
        <v>6.2240000000000002</v>
      </c>
      <c r="N252" s="869">
        <f>Assy.Model!K97</f>
        <v>1313</v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>
        <f>Assy.Model!$M98</f>
        <v>6.23</v>
      </c>
      <c r="N253" s="869">
        <f>Assy.Model!K98</f>
        <v>1313</v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>
        <f>Assy.Model!$M99</f>
        <v>6.2359999999999998</v>
      </c>
      <c r="N254" s="869">
        <f>Assy.Model!K99</f>
        <v>1313</v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>
        <f>Assy.Model!$M100</f>
        <v>6.242</v>
      </c>
      <c r="N255" s="869">
        <f>Assy.Model!K100</f>
        <v>1313</v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 t="str">
        <f>Assy.Model!$M101</f>
        <v/>
      </c>
      <c r="N256" s="869" t="str">
        <f>Assy.Model!K101</f>
        <v/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 t="str">
        <f>Assy.Model!$M102</f>
        <v/>
      </c>
      <c r="N257" s="869" t="str">
        <f>Assy.Model!K102</f>
        <v/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 t="str">
        <f>Assy.Model!$M103</f>
        <v/>
      </c>
      <c r="N258" s="869" t="str">
        <f>Assy.Model!K103</f>
        <v/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 t="str">
        <f>Assy.Model!$M104</f>
        <v/>
      </c>
      <c r="N259" s="869" t="str">
        <f>Assy.Model!K104</f>
        <v/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 t="str">
        <f>Assy.Model!$M105</f>
        <v/>
      </c>
      <c r="N260" s="869" t="str">
        <f>Assy.Model!K105</f>
        <v/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 t="str">
        <f>Assy.Model!$M106</f>
        <v/>
      </c>
      <c r="N261" s="869" t="str">
        <f>Assy.Model!K106</f>
        <v/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 t="str">
        <f>Assy.Model!$M107</f>
        <v/>
      </c>
      <c r="N262" s="869" t="str">
        <f>Assy.Model!K107</f>
        <v/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 t="str">
        <f>Assy.Model!$M108</f>
        <v/>
      </c>
      <c r="N263" s="869" t="str">
        <f>Assy.Model!K108</f>
        <v/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 t="str">
        <f>Assy.Model!$M109</f>
        <v/>
      </c>
      <c r="N264" s="869" t="str">
        <f>Assy.Model!K109</f>
        <v/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 t="str">
        <f>Assy.Model!$M110</f>
        <v/>
      </c>
      <c r="N265" s="869" t="str">
        <f>Assy.Model!K110</f>
        <v/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 t="str">
        <f>Assy.Model!$M111</f>
        <v/>
      </c>
      <c r="N266" s="869" t="str">
        <f>Assy.Model!K111</f>
        <v/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 t="str">
        <f>Assy.Model!$M112</f>
        <v/>
      </c>
      <c r="N267" s="869" t="str">
        <f>Assy.Model!K112</f>
        <v/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 t="str">
        <f>Assy.Model!$M113</f>
        <v/>
      </c>
      <c r="N268" s="869" t="str">
        <f>Assy.Model!K113</f>
        <v/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 t="str">
        <f>Assy.Model!$M114</f>
        <v/>
      </c>
      <c r="N269" s="869" t="str">
        <f>Assy.Model!K114</f>
        <v/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 t="str">
        <f>Assy.Model!$M115</f>
        <v/>
      </c>
      <c r="N270" s="869" t="str">
        <f>Assy.Model!K115</f>
        <v/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 t="str">
        <f>Assy.Model!$M116</f>
        <v/>
      </c>
      <c r="N271" s="869" t="str">
        <f>Assy.Model!K116</f>
        <v/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 t="str">
        <f>Assy.Model!$M117</f>
        <v/>
      </c>
      <c r="N272" s="869" t="str">
        <f>Assy.Model!K117</f>
        <v/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 t="str">
        <f>Assy.Model!$M118</f>
        <v/>
      </c>
      <c r="N273" s="869" t="str">
        <f>Assy.Model!K118</f>
        <v/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 t="str">
        <f>Assy.Model!$M119</f>
        <v/>
      </c>
      <c r="N274" s="869" t="str">
        <f>Assy.Model!K119</f>
        <v/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 t="str">
        <f>Assy.Model!$M120</f>
        <v/>
      </c>
      <c r="N275" s="869" t="str">
        <f>Assy.Model!K120</f>
        <v/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 t="str">
        <f>Assy.Model!$M121</f>
        <v/>
      </c>
      <c r="N276" s="869" t="str">
        <f>Assy.Model!K121</f>
        <v/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 t="str">
        <f>Assy.Model!$M122</f>
        <v/>
      </c>
      <c r="N277" s="869" t="str">
        <f>Assy.Model!K122</f>
        <v/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JB20:JE21"/>
    <mergeCell ref="JF21:JG21"/>
    <mergeCell ref="JB7:JE7"/>
    <mergeCell ref="JB19:JI19"/>
    <mergeCell ref="JF20:JI20"/>
    <mergeCell ref="JH21:JI21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21" priority="14" stopIfTrue="1" operator="between">
      <formula>9</formula>
      <formula>9.99</formula>
    </cfRule>
    <cfRule type="cellIs" dxfId="20" priority="15" stopIfTrue="1" operator="between">
      <formula>8</formula>
      <formula>8.99</formula>
    </cfRule>
    <cfRule type="cellIs" dxfId="19" priority="16" stopIfTrue="1" operator="between">
      <formula>7</formula>
      <formula>7.99</formula>
    </cfRule>
    <cfRule type="cellIs" dxfId="18" priority="17" stopIfTrue="1" operator="between">
      <formula>6</formula>
      <formula>6.99</formula>
    </cfRule>
    <cfRule type="cellIs" dxfId="17" priority="18" stopIfTrue="1" operator="between">
      <formula>5</formula>
      <formula>5.99</formula>
    </cfRule>
    <cfRule type="cellIs" dxfId="16" priority="19" stopIfTrue="1" operator="between">
      <formula>4</formula>
      <formula>4.99</formula>
    </cfRule>
    <cfRule type="cellIs" dxfId="15" priority="20" stopIfTrue="1" operator="between">
      <formula>3</formula>
      <formula>3.99</formula>
    </cfRule>
    <cfRule type="cellIs" dxfId="14" priority="21" stopIfTrue="1" operator="between">
      <formula>2</formula>
      <formula>2.99</formula>
    </cfRule>
    <cfRule type="cellIs" dxfId="13" priority="22" stopIfTrue="1" operator="between">
      <formula>1</formula>
      <formula>1.99</formula>
    </cfRule>
  </conditionalFormatting>
  <conditionalFormatting sqref="AV9:AV150">
    <cfRule type="cellIs" dxfId="12" priority="5" stopIfTrue="1" operator="between">
      <formula>9</formula>
      <formula>9.99</formula>
    </cfRule>
    <cfRule type="cellIs" dxfId="11" priority="6" stopIfTrue="1" operator="between">
      <formula>8</formula>
      <formula>8.99</formula>
    </cfRule>
    <cfRule type="cellIs" dxfId="10" priority="7" stopIfTrue="1" operator="between">
      <formula>7</formula>
      <formula>7.99</formula>
    </cfRule>
    <cfRule type="cellIs" dxfId="9" priority="8" stopIfTrue="1" operator="between">
      <formula>6</formula>
      <formula>6.99</formula>
    </cfRule>
    <cfRule type="cellIs" dxfId="8" priority="9" stopIfTrue="1" operator="between">
      <formula>5</formula>
      <formula>5.99</formula>
    </cfRule>
    <cfRule type="cellIs" dxfId="7" priority="10" stopIfTrue="1" operator="between">
      <formula>4</formula>
      <formula>4.99</formula>
    </cfRule>
    <cfRule type="cellIs" dxfId="6" priority="11" stopIfTrue="1" operator="between">
      <formula>3</formula>
      <formula>3.99</formula>
    </cfRule>
    <cfRule type="cellIs" dxfId="5" priority="12" stopIfTrue="1" operator="between">
      <formula>2</formula>
      <formula>2.99</formula>
    </cfRule>
    <cfRule type="cellIs" dxfId="4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2023-03-28T19:57:56Z</dcterms:modified>
</cp:coreProperties>
</file>