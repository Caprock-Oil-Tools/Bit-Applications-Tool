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53\"/>
    </mc:Choice>
  </mc:AlternateContent>
  <xr:revisionPtr revIDLastSave="0" documentId="13_ncr:1_{1C2FA5AE-9CE1-4879-ADA6-19A29B286C57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1" i="4" l="1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AU31" i="4" l="1"/>
  <c r="AW31" i="4" s="1"/>
  <c r="AI31" i="4"/>
  <c r="AX33" i="4"/>
  <c r="AI33" i="4"/>
  <c r="AU33" i="4"/>
  <c r="AW33" i="4" s="1"/>
  <c r="AT34" i="4" l="1"/>
  <c r="AS34" i="4"/>
  <c r="AP34" i="4"/>
  <c r="AV34" i="4" s="1"/>
  <c r="AX34" i="4" s="1"/>
  <c r="AO34" i="4"/>
  <c r="AR34" i="4" s="1"/>
  <c r="AJ34" i="4"/>
  <c r="AQ34" i="4" l="1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V23" i="4" s="1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D24" i="7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V24" i="4"/>
  <c r="AX24" i="4" s="1"/>
  <c r="AV27" i="4"/>
  <c r="AX27" i="4" s="1"/>
  <c r="AV30" i="4"/>
  <c r="AV26" i="4"/>
  <c r="AX26" i="4" s="1"/>
  <c r="AV18" i="4"/>
  <c r="AX18" i="4" s="1"/>
  <c r="AV32" i="4"/>
  <c r="AV19" i="4"/>
  <c r="AX19" i="4" s="1"/>
  <c r="AV35" i="4"/>
  <c r="AU19" i="4"/>
  <c r="AW19" i="4" s="1"/>
  <c r="AU27" i="4"/>
  <c r="AW27" i="4" s="1"/>
  <c r="AV16" i="4"/>
  <c r="AX16" i="4" s="1"/>
  <c r="AV20" i="4"/>
  <c r="AX20" i="4" s="1"/>
  <c r="AV36" i="4"/>
  <c r="AU20" i="4"/>
  <c r="AW20" i="4" s="1"/>
  <c r="AU28" i="4"/>
  <c r="AV17" i="4"/>
  <c r="AX17" i="4" s="1"/>
  <c r="AV22" i="4"/>
  <c r="AX22" i="4" s="1"/>
  <c r="AW36" i="4"/>
  <c r="AX14" i="4"/>
  <c r="AW14" i="4"/>
  <c r="AX23" i="4"/>
  <c r="AX15" i="4"/>
  <c r="AX25" i="4"/>
  <c r="AX21" i="4"/>
  <c r="AW15" i="4"/>
  <c r="AW18" i="4"/>
  <c r="AW22" i="4"/>
  <c r="K9" i="1" l="1"/>
  <c r="K112" i="1"/>
  <c r="K27" i="1"/>
  <c r="K99" i="1"/>
  <c r="K61" i="1"/>
  <c r="K98" i="1"/>
  <c r="K97" i="1"/>
  <c r="K96" i="1"/>
  <c r="K38" i="1"/>
  <c r="K92" i="1"/>
  <c r="K78" i="1"/>
  <c r="K77" i="1"/>
  <c r="K115" i="1"/>
  <c r="K114" i="1"/>
  <c r="K74" i="1"/>
  <c r="K110" i="1"/>
  <c r="K57" i="1"/>
  <c r="K76" i="1"/>
  <c r="K113" i="1"/>
  <c r="K64" i="1"/>
  <c r="K63" i="1"/>
  <c r="K62" i="1"/>
  <c r="K24" i="1"/>
  <c r="K40" i="1"/>
  <c r="K102" i="1"/>
  <c r="K90" i="1"/>
  <c r="K107" i="1"/>
  <c r="K118" i="1"/>
  <c r="K45" i="1"/>
  <c r="K79" i="1"/>
  <c r="K33" i="1"/>
  <c r="K82" i="1"/>
  <c r="K66" i="1"/>
  <c r="K15" i="1"/>
  <c r="K49" i="1"/>
  <c r="K106" i="1"/>
  <c r="K67" i="1"/>
  <c r="K116" i="1"/>
  <c r="K70" i="1"/>
  <c r="K83" i="1"/>
  <c r="K12" i="1"/>
  <c r="K28" i="1"/>
  <c r="K51" i="1"/>
  <c r="K47" i="1"/>
  <c r="K14" i="1"/>
  <c r="K71" i="1"/>
  <c r="K89" i="1"/>
  <c r="K11" i="1"/>
  <c r="K56" i="1"/>
  <c r="K30" i="1"/>
  <c r="K72" i="1"/>
  <c r="K65" i="1"/>
  <c r="K108" i="1"/>
  <c r="K117" i="1"/>
  <c r="K44" i="1"/>
  <c r="K10" i="1"/>
  <c r="K32" i="1"/>
  <c r="K13" i="1"/>
  <c r="K104" i="1"/>
  <c r="K29" i="1"/>
  <c r="K50" i="1"/>
  <c r="K84" i="1"/>
  <c r="K16" i="1"/>
  <c r="K46" i="1"/>
  <c r="K31" i="1"/>
  <c r="K109" i="1"/>
  <c r="K48" i="1"/>
  <c r="K81" i="1"/>
  <c r="K103" i="1"/>
  <c r="K88" i="1"/>
  <c r="K80" i="1"/>
  <c r="AS5" i="1"/>
  <c r="AS6" i="1" s="1"/>
  <c r="AS5" i="7"/>
  <c r="AS6" i="7" s="1"/>
  <c r="C1" i="7"/>
  <c r="C1" i="1" l="1"/>
  <c r="AO36" i="4" l="1"/>
  <c r="AQ36" i="4" s="1"/>
  <c r="AO35" i="4"/>
  <c r="AO32" i="4"/>
  <c r="AO30" i="4"/>
  <c r="AO28" i="4"/>
  <c r="L151" i="1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K41" i="1" l="1"/>
  <c r="K20" i="1"/>
  <c r="K37" i="1"/>
  <c r="K101" i="1"/>
  <c r="K100" i="1"/>
  <c r="K55" i="1"/>
  <c r="K85" i="1"/>
  <c r="K68" i="1"/>
  <c r="K105" i="1"/>
  <c r="K69" i="1"/>
  <c r="K91" i="1"/>
  <c r="K73" i="1"/>
  <c r="K86" i="1"/>
  <c r="K87" i="1"/>
  <c r="K52" i="1"/>
  <c r="K54" i="1"/>
  <c r="K42" i="1"/>
  <c r="K25" i="1"/>
  <c r="K36" i="1"/>
  <c r="K35" i="1"/>
  <c r="K34" i="1"/>
  <c r="K43" i="1"/>
  <c r="K26" i="1"/>
  <c r="K17" i="1"/>
  <c r="K53" i="1"/>
  <c r="K19" i="1"/>
  <c r="K18" i="1"/>
  <c r="K60" i="1"/>
  <c r="K22" i="1"/>
  <c r="K23" i="1"/>
  <c r="K59" i="1"/>
  <c r="K39" i="1"/>
  <c r="K95" i="1"/>
  <c r="K111" i="1"/>
  <c r="K94" i="1"/>
  <c r="K58" i="1"/>
  <c r="K93" i="1"/>
  <c r="K21" i="1"/>
  <c r="K75" i="1"/>
  <c r="L5" i="1" l="1" a="1"/>
  <c r="L5" i="1" s="1"/>
  <c r="L2" i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4" i="1" l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X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S83" i="1"/>
  <c r="IX83" i="1"/>
  <c r="IR83" i="1"/>
  <c r="IL83" i="1"/>
  <c r="IK83" i="1"/>
  <c r="IT83" i="1"/>
  <c r="IW83" i="1"/>
  <c r="IU83" i="1"/>
  <c r="IE83" i="1" s="1"/>
  <c r="IY83" i="1"/>
  <c r="IV83" i="1"/>
  <c r="IP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DQ143" i="1" l="1"/>
  <c r="JA9" i="1"/>
  <c r="JB11" i="1" a="1"/>
  <c r="JB11" i="1" s="1"/>
  <c r="JB10" i="1" a="1"/>
  <c r="JB10" i="1" s="1"/>
  <c r="JA23" i="1" a="1"/>
  <c r="JA23" i="1" s="1"/>
  <c r="IF129" i="1"/>
  <c r="IF74" i="1"/>
  <c r="IF138" i="1"/>
  <c r="IF10" i="1"/>
  <c r="IF150" i="1"/>
  <c r="IF148" i="1"/>
  <c r="IF127" i="1"/>
  <c r="IF15" i="1"/>
  <c r="IF128" i="1"/>
  <c r="IF9" i="1"/>
  <c r="IF122" i="1"/>
  <c r="IF147" i="1"/>
  <c r="IF142" i="1"/>
  <c r="IF143" i="1"/>
  <c r="IF137" i="1"/>
  <c r="IF135" i="1"/>
  <c r="IF109" i="1"/>
  <c r="IF145" i="1"/>
  <c r="IF106" i="1"/>
  <c r="IF13" i="1"/>
  <c r="IF108" i="1"/>
  <c r="IF92" i="1"/>
  <c r="IF131" i="1"/>
  <c r="IF123" i="1"/>
  <c r="IF141" i="1"/>
  <c r="IF124" i="1"/>
  <c r="IF107" i="1"/>
  <c r="IF146" i="1"/>
  <c r="IF11" i="1"/>
  <c r="IF134" i="1"/>
  <c r="IF82" i="1"/>
  <c r="IF84" i="1"/>
  <c r="IF12" i="1"/>
  <c r="IF83" i="1"/>
  <c r="IF133" i="1"/>
  <c r="IF149" i="1"/>
  <c r="IF130" i="1"/>
  <c r="IF132" i="1"/>
  <c r="IF119" i="1"/>
  <c r="IF110" i="1"/>
  <c r="IF125" i="1"/>
  <c r="IF144" i="1"/>
  <c r="IF12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90" i="1" l="1"/>
  <c r="IV81" i="1"/>
  <c r="IV62" i="1"/>
  <c r="IQ69" i="1"/>
  <c r="IQ75" i="1"/>
  <c r="IV71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IP104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3" i="1" s="1"/>
  <c r="AA86" i="1"/>
  <c r="Z94" i="1"/>
  <c r="Z86" i="1"/>
  <c r="AF86" i="1" s="1"/>
  <c r="AM86" i="1" s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89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1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7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6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Q37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V56" i="1" s="1"/>
  <c r="P30" i="1"/>
  <c r="S30" i="1" s="1"/>
  <c r="Y30" i="1" s="1"/>
  <c r="IQ38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Q91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61" i="1" l="1"/>
  <c r="IQ88" i="1"/>
  <c r="IQ99" i="1"/>
  <c r="Y14" i="4"/>
  <c r="AQ91" i="1"/>
  <c r="IU91" i="1"/>
  <c r="IE91" i="1" s="1"/>
  <c r="AD86" i="1"/>
  <c r="AH86" i="1" s="1"/>
  <c r="IV47" i="1"/>
  <c r="IQ55" i="1"/>
  <c r="IQ95" i="1"/>
  <c r="IV86" i="1"/>
  <c r="IQ112" i="1"/>
  <c r="IV105" i="1"/>
  <c r="IQ111" i="1"/>
  <c r="IV104" i="1"/>
  <c r="IQ98" i="1"/>
  <c r="IV89" i="1"/>
  <c r="IQ97" i="1"/>
  <c r="IV88" i="1"/>
  <c r="IQ102" i="1"/>
  <c r="IQ90" i="1"/>
  <c r="IU57" i="1"/>
  <c r="IE57" i="1" s="1"/>
  <c r="IQ94" i="1"/>
  <c r="IV85" i="1"/>
  <c r="IV98" i="1"/>
  <c r="IQ105" i="1"/>
  <c r="IV96" i="1"/>
  <c r="IQ103" i="1"/>
  <c r="Q78" i="1"/>
  <c r="IV63" i="1"/>
  <c r="IQ70" i="1"/>
  <c r="IV97" i="1"/>
  <c r="IQ104" i="1"/>
  <c r="IQ72" i="1"/>
  <c r="IV57" i="1"/>
  <c r="IV78" i="1"/>
  <c r="IQ86" i="1"/>
  <c r="IQ76" i="1"/>
  <c r="IV70" i="1"/>
  <c r="IQ68" i="1"/>
  <c r="IQ57" i="1"/>
  <c r="IV77" i="1"/>
  <c r="IQ85" i="1"/>
  <c r="IQ96" i="1"/>
  <c r="IV87" i="1"/>
  <c r="Q98" i="1"/>
  <c r="R90" i="1"/>
  <c r="X90" i="1" s="1"/>
  <c r="IU90" i="1" s="1"/>
  <c r="IE90" i="1" s="1"/>
  <c r="IQ20" i="1"/>
  <c r="IQ77" i="1"/>
  <c r="IQ78" i="1"/>
  <c r="IV72" i="1"/>
  <c r="IV35" i="1"/>
  <c r="IQ49" i="1"/>
  <c r="IQ59" i="1"/>
  <c r="IQ71" i="1"/>
  <c r="IQ47" i="1"/>
  <c r="IV19" i="1"/>
  <c r="IQ32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IQ25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69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IP99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J62" i="1" s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2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IP105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8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6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7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6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8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5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73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U56" i="1" s="1"/>
  <c r="IE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IP37" i="1" s="1"/>
  <c r="Q28" i="1"/>
  <c r="AE49" i="1"/>
  <c r="AD49" i="1"/>
  <c r="AH49" i="1" s="1"/>
  <c r="Q35" i="1"/>
  <c r="R35" i="1"/>
  <c r="X35" i="1" s="1"/>
  <c r="AF50" i="1"/>
  <c r="AF28" i="1"/>
  <c r="R29" i="1"/>
  <c r="X29" i="1" s="1"/>
  <c r="IP31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90" i="1" l="1"/>
  <c r="IP90" i="1"/>
  <c r="AG97" i="1"/>
  <c r="IU47" i="1"/>
  <c r="IE47" i="1" s="1"/>
  <c r="IP55" i="1"/>
  <c r="IP102" i="1"/>
  <c r="IP89" i="1"/>
  <c r="AQ83" i="1"/>
  <c r="IP91" i="1"/>
  <c r="AQ103" i="1"/>
  <c r="IU103" i="1"/>
  <c r="IE103" i="1" s="1"/>
  <c r="IP68" i="1"/>
  <c r="IP57" i="1"/>
  <c r="AQ68" i="1"/>
  <c r="IU68" i="1"/>
  <c r="IE68" i="1" s="1"/>
  <c r="AQ73" i="1"/>
  <c r="IU73" i="1"/>
  <c r="IE73" i="1" s="1"/>
  <c r="IP19" i="1"/>
  <c r="IU35" i="1"/>
  <c r="IE35" i="1" s="1"/>
  <c r="IP49" i="1"/>
  <c r="IP59" i="1"/>
  <c r="IP71" i="1"/>
  <c r="AQ11" i="1"/>
  <c r="IP20" i="1"/>
  <c r="AQ20" i="1"/>
  <c r="IU20" i="1"/>
  <c r="IE20" i="1" s="1"/>
  <c r="IQ19" i="1"/>
  <c r="IP47" i="1"/>
  <c r="IU19" i="1"/>
  <c r="IE19" i="1" s="1"/>
  <c r="IP32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IL105" i="1" s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IL104" i="1" s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IL91" i="1" s="1"/>
  <c r="W84" i="1"/>
  <c r="W81" i="1"/>
  <c r="IL89" i="1" s="1"/>
  <c r="W82" i="1"/>
  <c r="IL90" i="1" s="1"/>
  <c r="W79" i="1"/>
  <c r="IL87" i="1" s="1"/>
  <c r="W80" i="1"/>
  <c r="W77" i="1"/>
  <c r="IL85" i="1" s="1"/>
  <c r="W78" i="1"/>
  <c r="IL86" i="1" s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IL70" i="1" s="1"/>
  <c r="W64" i="1"/>
  <c r="W61" i="1"/>
  <c r="W62" i="1"/>
  <c r="W59" i="1"/>
  <c r="W60" i="1"/>
  <c r="W57" i="1"/>
  <c r="IL72" i="1" s="1"/>
  <c r="W58" i="1"/>
  <c r="W55" i="1"/>
  <c r="W56" i="1"/>
  <c r="IL71" i="1" s="1"/>
  <c r="W53" i="1"/>
  <c r="W54" i="1"/>
  <c r="W51" i="1"/>
  <c r="W52" i="1"/>
  <c r="W49" i="1"/>
  <c r="W50" i="1"/>
  <c r="W47" i="1"/>
  <c r="W48" i="1"/>
  <c r="IL56" i="1" s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38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88" i="1" l="1"/>
  <c r="IL69" i="1"/>
  <c r="IL21" i="1"/>
  <c r="IL103" i="1"/>
  <c r="IL68" i="1"/>
  <c r="IL57" i="1"/>
  <c r="IL73" i="1"/>
  <c r="IL20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8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T90" i="1" s="1"/>
  <c r="T82" i="1"/>
  <c r="U82" i="1"/>
  <c r="AK82" i="1"/>
  <c r="U81" i="1"/>
  <c r="AL81" i="1"/>
  <c r="AN81" i="1" s="1"/>
  <c r="AK81" i="1"/>
  <c r="T81" i="1"/>
  <c r="AL79" i="1"/>
  <c r="AN79" i="1" s="1"/>
  <c r="IT87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IT73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7" i="1" s="1"/>
  <c r="AK50" i="1"/>
  <c r="AL50" i="1"/>
  <c r="AN50" i="1" s="1"/>
  <c r="IY50" i="1" s="1"/>
  <c r="U50" i="1"/>
  <c r="T50" i="1"/>
  <c r="T49" i="1"/>
  <c r="AK49" i="1"/>
  <c r="AO49" i="1" s="1"/>
  <c r="IS57" i="1" s="1"/>
  <c r="AK48" i="1"/>
  <c r="U48" i="1"/>
  <c r="AL48" i="1"/>
  <c r="AN48" i="1" s="1"/>
  <c r="IT56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IT38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91" i="1" l="1"/>
  <c r="IY62" i="1"/>
  <c r="IT69" i="1"/>
  <c r="IT99" i="1"/>
  <c r="IY90" i="1"/>
  <c r="IY63" i="1"/>
  <c r="IT70" i="1"/>
  <c r="IS98" i="1"/>
  <c r="IX89" i="1"/>
  <c r="IY77" i="1"/>
  <c r="IT85" i="1"/>
  <c r="IY81" i="1"/>
  <c r="IT89" i="1"/>
  <c r="IT97" i="1"/>
  <c r="IY88" i="1"/>
  <c r="IT95" i="1"/>
  <c r="IY86" i="1"/>
  <c r="IY96" i="1"/>
  <c r="IT103" i="1"/>
  <c r="IT49" i="1"/>
  <c r="IY38" i="1"/>
  <c r="IY78" i="1"/>
  <c r="IT86" i="1"/>
  <c r="IY98" i="1"/>
  <c r="IT105" i="1"/>
  <c r="IT71" i="1"/>
  <c r="IY56" i="1"/>
  <c r="IX57" i="1"/>
  <c r="IT96" i="1"/>
  <c r="IY87" i="1"/>
  <c r="IT98" i="1"/>
  <c r="IY89" i="1"/>
  <c r="IF89" i="1" s="1"/>
  <c r="IT111" i="1"/>
  <c r="IY104" i="1"/>
  <c r="IT20" i="1"/>
  <c r="IT94" i="1"/>
  <c r="IY85" i="1"/>
  <c r="IF85" i="1" s="1"/>
  <c r="IS94" i="1"/>
  <c r="IX85" i="1"/>
  <c r="IY97" i="1"/>
  <c r="IT104" i="1"/>
  <c r="IT112" i="1"/>
  <c r="IY105" i="1"/>
  <c r="IY49" i="1"/>
  <c r="IT68" i="1"/>
  <c r="IT76" i="1"/>
  <c r="IT75" i="1"/>
  <c r="IX49" i="1"/>
  <c r="IT78" i="1"/>
  <c r="IY72" i="1"/>
  <c r="IT77" i="1"/>
  <c r="IY71" i="1"/>
  <c r="IX71" i="1"/>
  <c r="IT32" i="1"/>
  <c r="IY36" i="1"/>
  <c r="IT37" i="1"/>
  <c r="IT31" i="1"/>
  <c r="IT47" i="1"/>
  <c r="IT48" i="1"/>
  <c r="IT50" i="1"/>
  <c r="IY41" i="1"/>
  <c r="IY55" i="1"/>
  <c r="IX41" i="1"/>
  <c r="IS55" i="1"/>
  <c r="IX55" i="1"/>
  <c r="IT54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Y22" i="1"/>
  <c r="IY33" i="1"/>
  <c r="IT40" i="1"/>
  <c r="IT53" i="1"/>
  <c r="IT58" i="1"/>
  <c r="IY54" i="1"/>
  <c r="IT63" i="1"/>
  <c r="IT26" i="1"/>
  <c r="IY23" i="1"/>
  <c r="IY66" i="1"/>
  <c r="IT80" i="1"/>
  <c r="IT116" i="1"/>
  <c r="IY100" i="1"/>
  <c r="AT27" i="7"/>
  <c r="IX30" i="1"/>
  <c r="IT24" i="1"/>
  <c r="IY21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IS93" i="1" s="1"/>
  <c r="AP83" i="1"/>
  <c r="AO83" i="1"/>
  <c r="IS91" i="1" s="1"/>
  <c r="AO81" i="1"/>
  <c r="AP81" i="1"/>
  <c r="AO82" i="1"/>
  <c r="IS90" i="1" s="1"/>
  <c r="AP82" i="1"/>
  <c r="AO79" i="1"/>
  <c r="IS87" i="1" s="1"/>
  <c r="AP79" i="1"/>
  <c r="AP80" i="1"/>
  <c r="AO80" i="1"/>
  <c r="IS88" i="1" s="1"/>
  <c r="AO77" i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AP71" i="1"/>
  <c r="AO72" i="1"/>
  <c r="AP72" i="1"/>
  <c r="AO69" i="1"/>
  <c r="IX69" i="1" s="1"/>
  <c r="IF69" i="1" s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IS72" i="1" s="1"/>
  <c r="AP65" i="1"/>
  <c r="AP66" i="1"/>
  <c r="AO66" i="1"/>
  <c r="AO63" i="1"/>
  <c r="AP63" i="1"/>
  <c r="AO64" i="1"/>
  <c r="IX64" i="1" s="1"/>
  <c r="IF64" i="1" s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X50" i="1" s="1"/>
  <c r="IF50" i="1" s="1"/>
  <c r="AN47" i="1"/>
  <c r="IT52" i="1" s="1"/>
  <c r="AP47" i="1"/>
  <c r="AO48" i="1"/>
  <c r="IS56" i="1" s="1"/>
  <c r="AP48" i="1"/>
  <c r="AP45" i="1"/>
  <c r="AO45" i="1"/>
  <c r="IX45" i="1" s="1"/>
  <c r="IF45" i="1" s="1"/>
  <c r="AP46" i="1"/>
  <c r="AO46" i="1"/>
  <c r="IS64" i="1" s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IX38" i="1" s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AP31" i="1"/>
  <c r="AO32" i="1"/>
  <c r="IX32" i="1" s="1"/>
  <c r="IF32" i="1" s="1"/>
  <c r="AP32" i="1"/>
  <c r="AO29" i="1"/>
  <c r="IS34" i="1" s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IT43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F49" i="1" l="1"/>
  <c r="IX63" i="1"/>
  <c r="IF63" i="1" s="1"/>
  <c r="IS70" i="1"/>
  <c r="IF38" i="1"/>
  <c r="IS95" i="1"/>
  <c r="IX86" i="1"/>
  <c r="IS73" i="1"/>
  <c r="IS111" i="1"/>
  <c r="IX104" i="1"/>
  <c r="IF104" i="1" s="1"/>
  <c r="IX62" i="1"/>
  <c r="IF62" i="1" s="1"/>
  <c r="IS69" i="1"/>
  <c r="IX77" i="1"/>
  <c r="IF77" i="1" s="1"/>
  <c r="IS85" i="1"/>
  <c r="IX81" i="1"/>
  <c r="IF81" i="1" s="1"/>
  <c r="IS89" i="1"/>
  <c r="IX96" i="1"/>
  <c r="IF96" i="1" s="1"/>
  <c r="IS103" i="1"/>
  <c r="IS68" i="1"/>
  <c r="IT22" i="1"/>
  <c r="IY57" i="1"/>
  <c r="IF57" i="1" s="1"/>
  <c r="IS97" i="1"/>
  <c r="IX88" i="1"/>
  <c r="IF88" i="1" s="1"/>
  <c r="IX97" i="1"/>
  <c r="IF97" i="1" s="1"/>
  <c r="IS104" i="1"/>
  <c r="IX98" i="1"/>
  <c r="IF98" i="1" s="1"/>
  <c r="IS105" i="1"/>
  <c r="IS112" i="1"/>
  <c r="IX105" i="1"/>
  <c r="IF105" i="1" s="1"/>
  <c r="IF86" i="1"/>
  <c r="IS99" i="1"/>
  <c r="IX90" i="1"/>
  <c r="IF90" i="1" s="1"/>
  <c r="IT55" i="1"/>
  <c r="IX78" i="1"/>
  <c r="IF78" i="1" s="1"/>
  <c r="IS86" i="1"/>
  <c r="IS96" i="1"/>
  <c r="IX87" i="1"/>
  <c r="IS58" i="1"/>
  <c r="IF87" i="1"/>
  <c r="IS71" i="1"/>
  <c r="IX56" i="1"/>
  <c r="IF56" i="1" s="1"/>
  <c r="IS76" i="1"/>
  <c r="IS51" i="1"/>
  <c r="IS75" i="1"/>
  <c r="IS77" i="1"/>
  <c r="IS20" i="1"/>
  <c r="IT65" i="1"/>
  <c r="IS49" i="1"/>
  <c r="IS78" i="1"/>
  <c r="IX72" i="1"/>
  <c r="IF71" i="1"/>
  <c r="IT60" i="1"/>
  <c r="IT72" i="1"/>
  <c r="IT64" i="1"/>
  <c r="IF72" i="1"/>
  <c r="IT19" i="1"/>
  <c r="IS32" i="1"/>
  <c r="IS46" i="1"/>
  <c r="IX36" i="1"/>
  <c r="IF36" i="1" s="1"/>
  <c r="IS37" i="1"/>
  <c r="IS31" i="1"/>
  <c r="IS47" i="1"/>
  <c r="IF41" i="1"/>
  <c r="IS19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<sst xmlns="http://schemas.openxmlformats.org/spreadsheetml/2006/main" count="742" uniqueCount="394">
  <si>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</si>
  <si>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</si>
  <si>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</si>
  <si>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</si>
  <si>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</si>
  <si>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</si>
  <si>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</si>
  <si>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</si>
  <si>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</si>
  <si>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</si>
  <si>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</si>
  <si>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</si>
  <si>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</si>
  <si>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</si>
  <si>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</si>
  <si>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</si>
  <si>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</si>
  <si>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</si>
  <si>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</si>
  <si>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</si>
  <si>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</si>
  <si>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</si>
  <si>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</si>
  <si>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</si>
  <si>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</si>
  <si>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</si>
  <si>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</si>
  <si>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</si>
  <si>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</si>
  <si>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</si>
  <si>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</si>
  <si>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</si>
  <si>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</si>
  <si>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</si>
  <si>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</si>
  <si>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</si>
  <si>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</si>
  <si>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</si>
  <si>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</si>
  <si>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</si>
  <si>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</si>
  <si>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</si>
  <si>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</si>
  <si>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</si>
  <si>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</si>
  <si>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</si>
  <si>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</si>
  <si>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</si>
  <si>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</si>
  <si>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</si>
  <si>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</si>
  <si>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</si>
  <si>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</si>
  <si>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</si>
  <si>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</si>
  <si>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</si>
  <si>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</si>
  <si>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</si>
  <si>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</si>
  <si>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</si>
  <si>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</si>
  <si>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</si>
  <si>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</si>
  <si>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</si>
  <si>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</si>
  <si>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</si>
  <si>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</si>
  <si>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</si>
  <si>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</si>
  <si>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</si>
  <si>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</si>
  <si>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</si>
  <si>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</si>
  <si>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</si>
  <si>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</si>
  <si>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</si>
  <si>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</si>
  <si>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</si>
  <si>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</si>
  <si>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</si>
  <si>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</si>
  <si>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</si>
  <si>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</si>
  <si>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</si>
  <si>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</si>
  <si>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</si>
  <si>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</si>
  <si>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</si>
  <si>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</si>
  <si>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</si>
  <si>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</si>
  <si>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</si>
  <si>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</si>
  <si>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</si>
  <si>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</si>
  <si>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</si>
  <si>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</si>
  <si>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</si>
  <si>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</si>
  <si>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</si>
  <si>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</si>
  <si>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</si>
  <si>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</si>
  <si>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</si>
  <si>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</si>
  <si>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</si>
  <si>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</si>
  <si>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</si>
  <si>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</si>
  <si>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</si>
  <si>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</si>
  <si>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</si>
  <si>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</si>
  <si>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</si>
  <si>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</si>
  <si>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</si>
  <si>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</si>
  <si>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</si>
  <si>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</si>
  <si>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</si>
  <si>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</si>
  <si>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</si>
  <si>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</si>
  <si>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</si>
  <si>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</si>
  <si>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</si>
  <si>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</si>
  <si>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</si>
  <si>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</si>
  <si>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</si>
  <si>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</si>
  <si>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</si>
  <si>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</si>
  <si>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</si>
  <si>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</si>
  <si>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</si>
  <si>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</si>
  <si>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</si>
  <si>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</si>
  <si>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</si>
  <si>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</si>
  <si>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</si>
  <si>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</si>
  <si>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</si>
  <si>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</si>
  <si>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</si>
  <si>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</si>
  <si>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</si>
  <si>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</si>
  <si>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</si>
  <si>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</si>
  <si>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</si>
  <si>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</si>
  <si>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</si>
  <si>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</si>
  <si>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</si>
  <si>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</si>
  <si>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</si>
  <si>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</si>
  <si>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</si>
  <si>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</si>
  <si>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</si>
  <si>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</si>
  <si>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</si>
  <si>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</si>
  <si>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</si>
  <si>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</si>
  <si>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</si>
  <si>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</si>
  <si>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</si>
  <si>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</si>
  <si>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</si>
  <si>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</si>
  <si>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</si>
  <si>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</si>
  <si>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</si>
  <si>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</si>
  <si>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</si>
  <si>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</si>
  <si>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</si>
  <si>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</si>
  <si>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</si>
  <si>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</si>
  <si>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</si>
  <si>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</si>
  <si>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</si>
  <si>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</si>
  <si>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</si>
  <si>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</si>
  <si>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</si>
  <si>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</si>
  <si>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</si>
  <si>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</si>
  <si>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</si>
  <si>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</si>
  <si>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</si>
  <si>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</si>
  <si>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</si>
  <si>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</si>
  <si>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</si>
  <si>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</si>
  <si>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</si>
  <si>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</si>
  <si>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</si>
  <si>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</si>
  <si>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</si>
  <si>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</si>
  <si>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</si>
  <si>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</si>
  <si>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</si>
  <si>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</si>
  <si>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</si>
  <si>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</si>
  <si>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</si>
  <si>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</si>
  <si>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</si>
  <si>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</si>
  <si>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</si>
  <si>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</si>
  <si>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</si>
  <si>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</si>
  <si>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</si>
  <si>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</si>
  <si>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</si>
  <si>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</si>
  <si>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</si>
  <si>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</si>
  <si>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</si>
  <si>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</si>
  <si>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</si>
  <si>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</si>
  <si>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</si>
  <si>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</si>
  <si>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</si>
  <si>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</si>
  <si>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</si>
  <si>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</si>
  <si>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</si>
  <si>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</si>
  <si>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</si>
  <si>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</si>
  <si>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</si>
  <si>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</si>
  <si>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</si>
  <si>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</si>
  <si>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</si>
  <si>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</si>
  <si>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</si>
  <si>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</si>
  <si>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</si>
  <si>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</si>
  <si>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</si>
  <si>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</si>
  <si>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</si>
  <si>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</si>
  <si>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</si>
  <si>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</si>
  <si>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</si>
  <si>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</si>
  <si>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</si>
  <si>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</si>
  <si>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</si>
  <si>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</si>
  <si>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</si>
  <si>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</si>
  <si>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</si>
  <si>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</si>
  <si>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</si>
  <si>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</si>
  <si>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</si>
  <si>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</si>
  <si>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</si>
  <si>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</si>
  <si>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</si>
  <si>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</si>
  <si>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</si>
  <si>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</si>
  <si>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</si>
  <si>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</si>
  <si>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</si>
  <si>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</si>
  <si>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</si>
  <si>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</si>
  <si>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</si>
  <si>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</si>
  <si>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</si>
  <si>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</si>
  <si>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</si>
  <si>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</si>
  <si>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</si>
  <si>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</si>
  <si>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</si>
  <si>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</si>
  <si>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</si>
  <si>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</si>
  <si>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</si>
  <si>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</si>
  <si>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</si>
  <si>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</si>
  <si>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</si>
  <si>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</si>
  <si>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</si>
  <si>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</si>
  <si>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</si>
  <si>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</si>
  <si>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</si>
  <si>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</si>
  <si>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</si>
  <si>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</si>
  <si>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</si>
  <si>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</si>
  <si>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</si>
  <si>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</si>
  <si>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</si>
  <si>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</si>
  <si>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</si>
  <si>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</si>
  <si>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</si>
  <si>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</si>
  <si>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</si>
  <si>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</si>
  <si>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</si>
  <si>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</si>
  <si>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</si>
  <si>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</si>
  <si>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</si>
  <si>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</si>
  <si>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</si>
  <si>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</si>
  <si>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</si>
  <si>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</si>
  <si>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</si>
  <si>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</si>
  <si>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</si>
  <si>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</si>
  <si>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</si>
  <si>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</si>
  <si>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</si>
  <si>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</si>
  <si>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</si>
  <si>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</si>
  <si>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</si>
  <si>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</si>
  <si>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</si>
  <si>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</si>
  <si>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</si>
  <si>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</si>
  <si>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</si>
  <si>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</si>
  <si>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</si>
  <si>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</si>
  <si>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</si>
  <si>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</si>
  <si>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</si>
  <si>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</si>
  <si>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</si>
  <si>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</si>
  <si>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</si>
  <si>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</si>
  <si>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</si>
  <si>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</si>
  <si>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</si>
  <si>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</si>
  <si>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</si>
  <si>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</si>
  <si>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</si>
  <si>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</si>
  <si>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</si>
  <si>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</si>
  <si>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</si>
  <si>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</si>
  <si>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</si>
  <si>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</si>
  <si>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</si>
  <si>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</si>
  <si>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</si>
  <si>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</si>
  <si>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</si>
  <si>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</si>
  <si>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</si>
  <si>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</si>
  <si>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</si>
  <si>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</si>
  <si>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</si>
  <si>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</si>
  <si>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</si>
  <si>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</si>
  <si>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</si>
  <si>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</si>
  <si>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</si>
  <si>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</si>
  <si>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&lt;&gt;CS CPS-31783r1</t>
  </si>
  <si>
    <t>&lt;&gt;CS CPS-32193r1</t>
  </si>
  <si>
    <t>&lt;&gt;CS CPS-31837r1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</si>
</sst>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7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0" fontId="26" fillId="0" borderId="0" xfId="0" applyNumberFormat="1" applyFont="1" applyAlignment="1">
      <alignment horizontal="center"/>
    </xf>
    <xf numFmtId="0" fontId="0" fillId="64" borderId="9" xfId="0" applyFill="1" applyBorder="1" applyAlignment="1">
      <alignment horizontal="center"/>
    </xf>
    <xf numFmtId="164" fontId="26" fillId="0" borderId="8" xfId="0" applyNumberFormat="1" applyFont="1" applyFill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zoomScaleNormal="100" workbookViewId="0"/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3" t="s">
        <v>77</v>
      </c>
      <c r="D1" s="913"/>
      <c r="E1" s="913"/>
      <c r="F1" s="913"/>
      <c r="G1" s="913"/>
      <c r="H1" s="913"/>
      <c r="I1" s="913"/>
      <c r="J1" s="913"/>
      <c r="K1" s="91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9" t="s">
        <v>379</v>
      </c>
      <c r="AQ7" s="899"/>
      <c r="AR7" s="899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5">
        <v>9</v>
      </c>
      <c r="D9" s="875"/>
      <c r="E9" s="875"/>
      <c r="F9" s="875"/>
      <c r="G9" s="875"/>
      <c r="H9" s="875"/>
      <c r="I9" s="875"/>
      <c r="J9" s="875"/>
      <c r="K9" s="906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4"/>
      <c r="C10" s="895"/>
      <c r="D10" s="895"/>
      <c r="E10" s="895"/>
      <c r="F10" s="895"/>
      <c r="G10" s="895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1"/>
      <c r="B11" s="901" t="s">
        <v>33</v>
      </c>
      <c r="C11" s="910" t="s">
        <v>34</v>
      </c>
      <c r="D11" s="910"/>
      <c r="E11" s="907" t="s">
        <v>39</v>
      </c>
      <c r="F11" s="901" t="s">
        <v>35</v>
      </c>
      <c r="G11" s="901" t="s">
        <v>36</v>
      </c>
      <c r="H11" s="901" t="s">
        <v>43</v>
      </c>
      <c r="I11" s="908" t="s">
        <v>67</v>
      </c>
      <c r="J11" s="910" t="s">
        <v>56</v>
      </c>
      <c r="K11" s="910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4" t="s">
        <v>347</v>
      </c>
      <c r="AN11" s="875"/>
      <c r="AO11" s="875"/>
      <c r="AP11" s="875"/>
      <c r="AQ11" s="875"/>
      <c r="AR11" s="876"/>
      <c r="AS11" s="885" t="s">
        <v>354</v>
      </c>
      <c r="AT11" s="886"/>
      <c r="AU11" s="886"/>
      <c r="AV11" s="887"/>
      <c r="BC11" s="470"/>
    </row>
    <row r="12" spans="1:55" ht="15.75" thickBot="1" x14ac:dyDescent="0.3">
      <c r="A12" s="912"/>
      <c r="B12" s="902"/>
      <c r="C12" s="48" t="s">
        <v>8</v>
      </c>
      <c r="D12" s="49" t="s">
        <v>10</v>
      </c>
      <c r="E12" s="902"/>
      <c r="F12" s="902"/>
      <c r="G12" s="902"/>
      <c r="H12" s="902"/>
      <c r="I12" s="909"/>
      <c r="J12" s="53" t="s">
        <v>8</v>
      </c>
      <c r="K12" s="54" t="s">
        <v>10</v>
      </c>
      <c r="M12" s="31"/>
      <c r="N12" s="31"/>
      <c r="O12" s="922" t="s">
        <v>46</v>
      </c>
      <c r="P12" s="923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905"/>
      <c r="AF12" s="916" t="s">
        <v>56</v>
      </c>
      <c r="AG12" s="917"/>
      <c r="AH12" s="31"/>
      <c r="AK12" s="880" t="s">
        <v>355</v>
      </c>
      <c r="AL12" s="896"/>
      <c r="AM12" s="877" t="s">
        <v>352</v>
      </c>
      <c r="AN12" s="878"/>
      <c r="AO12" s="879"/>
      <c r="AP12" s="880" t="s">
        <v>380</v>
      </c>
      <c r="AQ12" s="879"/>
      <c r="AR12" s="802" t="s">
        <v>378</v>
      </c>
      <c r="AS12" s="882" t="s">
        <v>352</v>
      </c>
      <c r="AT12" s="879"/>
      <c r="AU12" s="883" t="s">
        <v>353</v>
      </c>
      <c r="AV12" s="884"/>
      <c r="AW12" s="888" t="s">
        <v>351</v>
      </c>
      <c r="AX12" s="889"/>
      <c r="AZ12" s="880" t="s">
        <v>60</v>
      </c>
      <c r="BA12" s="879"/>
      <c r="BC12" s="881" t="s">
        <v>383</v>
      </c>
    </row>
    <row r="13" spans="1:55" ht="15.75" thickBot="1" x14ac:dyDescent="0.3">
      <c r="A13" s="64" t="s">
        <v>57</v>
      </c>
      <c r="B13" s="890" t="s">
        <v>97</v>
      </c>
      <c r="C13" s="892" t="str">
        <f>SUBSTITUTE(ADDRESS(1,COLUMN(Assy.Model!X9),4),"1","")</f>
        <v>X</v>
      </c>
      <c r="D13" s="101" t="str">
        <f>SUBSTITUTE(ADDRESS(1,COLUMN(Assy.Model!Y9),4),"1","")</f>
        <v>Y</v>
      </c>
      <c r="E13" s="897" t="str">
        <f>SUBSTITUTE(ADDRESS(1,COLUMN(Assy.Model!H9),4),"1","")</f>
        <v>H</v>
      </c>
      <c r="F13" s="897" t="str">
        <f>SUBSTITUTE(ADDRESS(1,COLUMN(Assy.Model!AN9),4),"1","")</f>
        <v>AN</v>
      </c>
      <c r="G13" s="897" t="str">
        <f>SUBSTITUTE(ADDRESS(1,COLUMN(Assy.Model!AO9),4),"1","")</f>
        <v>AO</v>
      </c>
      <c r="H13" s="897" t="str">
        <f>SUBSTITUTE(ADDRESS(1,COLUMN(Assy.Model!AO9),4),"1","")</f>
        <v>AO</v>
      </c>
      <c r="I13" s="897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4"/>
      <c r="P13" s="92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1"/>
    </row>
    <row r="14" spans="1:55" x14ac:dyDescent="0.25">
      <c r="A14" s="62" t="s">
        <v>58</v>
      </c>
      <c r="B14" s="891"/>
      <c r="C14" s="893"/>
      <c r="D14" s="102" t="str">
        <f>SUBSTITUTE(ADDRESS(1,COLUMN(Assy.Model!AT9),4),"1","")</f>
        <v>AT</v>
      </c>
      <c r="E14" s="898"/>
      <c r="F14" s="898"/>
      <c r="G14" s="898"/>
      <c r="H14" s="898"/>
      <c r="I14" s="898"/>
      <c r="J14" s="91">
        <v>0</v>
      </c>
      <c r="K14" s="92">
        <v>0</v>
      </c>
      <c r="L14" s="31"/>
      <c r="M14" s="190">
        <v>6.25E-2</v>
      </c>
      <c r="N14" s="31">
        <v>32</v>
      </c>
      <c r="O14" s="92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29" si="10">($AU14-$AT14)/2</f>
        <v>2.5000000000000022E-3</v>
      </c>
      <c r="AX14" s="755">
        <f t="shared" ref="AX14:AX29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31">_xlfn._xlws.FILTER(IF(AJ14:AJ36,AK14:AK36,""),IF(AJ14:AJ36,AK14:AK36,"")&lt;&gt;"")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28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12.25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29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5" t="s">
        <v>64</v>
      </c>
      <c r="C21" s="875"/>
      <c r="D21" s="875"/>
      <c r="E21" s="875"/>
      <c r="F21" s="906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1"/>
      <c r="C22" s="905" t="s">
        <v>63</v>
      </c>
      <c r="D22" s="906"/>
      <c r="E22" s="908" t="s">
        <v>60</v>
      </c>
      <c r="F22" s="908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6"/>
      <c r="C23" s="57" t="s">
        <v>8</v>
      </c>
      <c r="D23" s="57" t="s">
        <v>9</v>
      </c>
      <c r="E23" s="909"/>
      <c r="F23" s="909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8">
        <v>0</v>
      </c>
      <c r="E24" s="918">
        <v>2</v>
      </c>
      <c r="F24" s="91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6.125</v>
      </c>
      <c r="D25" s="919"/>
      <c r="E25" s="919"/>
      <c r="F25" s="91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4" t="s">
        <v>311</v>
      </c>
      <c r="C27" s="914"/>
      <c r="D27" s="914"/>
      <c r="E27" s="914"/>
      <c r="F27" s="91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5" t="s">
        <v>390</v>
      </c>
      <c r="C28" s="915"/>
      <c r="D28" s="915"/>
      <c r="E28" s="915"/>
      <c r="F28" s="915"/>
      <c r="G28" s="31"/>
      <c r="H28" s="31"/>
      <c r="I28" s="31"/>
      <c r="AI28" s="842">
        <f t="shared" si="13"/>
        <v>390000.212</v>
      </c>
      <c r="AJ28" s="839" t="b">
        <v>1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CPS-31783r1</v>
      </c>
    </row>
    <row r="29" spans="2:55" x14ac:dyDescent="0.25">
      <c r="B29" s="100"/>
      <c r="D29" s="100"/>
      <c r="AI29" s="842">
        <f t="shared" ref="AI29" si="19">ROUND(((ROUND(AP29,6)*1000000)+AQ29),6)</f>
        <v>390000.43800000002</v>
      </c>
      <c r="AJ29" s="839" t="b">
        <f>TRUE</f>
        <v>1</v>
      </c>
      <c r="AK29" s="1315" t="s">
        <v>391</v>
      </c>
      <c r="AL29" s="744" t="s">
        <v>341</v>
      </c>
      <c r="AM29" s="746">
        <v>0.38</v>
      </c>
      <c r="AN29" s="741">
        <v>0.438</v>
      </c>
      <c r="AO29" s="748">
        <f>0.225*2</f>
        <v>0.45</v>
      </c>
      <c r="AP29" s="829">
        <f>($AM29+AP$9)+0.007</f>
        <v>0.39</v>
      </c>
      <c r="AQ29" s="833">
        <f>AN29</f>
        <v>0.438</v>
      </c>
      <c r="AR29" s="181">
        <f t="shared" si="18"/>
        <v>0.19</v>
      </c>
      <c r="AS29" s="4">
        <f t="shared" si="14"/>
        <v>0.379</v>
      </c>
      <c r="AT29" s="8">
        <f t="shared" si="14"/>
        <v>0.38100000000000001</v>
      </c>
      <c r="AU29" s="821">
        <f>($AP29+AU$9)-0.002</f>
        <v>0.38900000000000001</v>
      </c>
      <c r="AV29" s="822">
        <f>($AP29+AV$9)-0.002</f>
        <v>0.39200000000000002</v>
      </c>
      <c r="AW29" s="177">
        <f t="shared" si="10"/>
        <v>4.0000000000000036E-3</v>
      </c>
      <c r="AX29" s="8">
        <f t="shared" si="11"/>
        <v>6.5000000000000058E-3</v>
      </c>
      <c r="BC29" s="86" t="str">
        <v>&lt;&gt;CS CPS-31783r1</v>
      </c>
    </row>
    <row r="30" spans="2:55" x14ac:dyDescent="0.25">
      <c r="AF30" s="100"/>
      <c r="AI30" s="842">
        <f>ROUND(((ROUND(AP30,6)*1000000)+AQ30),6)</f>
        <v>514000.45500000002</v>
      </c>
      <c r="AJ30" s="839" t="b">
        <v>0</v>
      </c>
      <c r="AK30" s="740" t="s">
        <v>336</v>
      </c>
      <c r="AL30" s="744" t="s">
        <v>342</v>
      </c>
      <c r="AM30" s="746">
        <v>0.504</v>
      </c>
      <c r="AN30" s="741">
        <v>0.71</v>
      </c>
      <c r="AO30" s="748">
        <f>0.255*2</f>
        <v>0.51</v>
      </c>
      <c r="AP30" s="829">
        <f>($AM30+AP$9)+0.007</f>
        <v>0.51400000000000001</v>
      </c>
      <c r="AQ30" s="8">
        <f>($AN30-($AO30/2))</f>
        <v>0.45499999999999996</v>
      </c>
      <c r="AR30" s="181">
        <f>IF($AO30&lt;0,$AO30/2,$AM30/2)</f>
        <v>0.252</v>
      </c>
      <c r="AS30" s="4">
        <f>($AM30+AS$9)</f>
        <v>0.503</v>
      </c>
      <c r="AT30" s="8">
        <f>($AM30+AT$9)</f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>($AU30-$AT30)/2</f>
        <v>3.5000000000000031E-3</v>
      </c>
      <c r="AX30" s="8">
        <f>($AV30-$AS30)/2</f>
        <v>5.5000000000000049E-3</v>
      </c>
      <c r="BC30" s="86" t="str">
        <v>CPS-32193r1</v>
      </c>
    </row>
    <row r="31" spans="2:55" x14ac:dyDescent="0.25">
      <c r="AF31" s="100"/>
      <c r="AI31" s="842">
        <f>ROUND(((ROUND(AP31,6)*1000000)+AQ31),6)</f>
        <v>514000.71</v>
      </c>
      <c r="AJ31" s="839" t="b">
        <v>0</v>
      </c>
      <c r="AK31" s="1315" t="s">
        <v>393</v>
      </c>
      <c r="AL31" s="744" t="s">
        <v>342</v>
      </c>
      <c r="AM31" s="746">
        <v>0.504</v>
      </c>
      <c r="AN31" s="741">
        <v>0.71</v>
      </c>
      <c r="AO31" s="748">
        <f>0.255*2</f>
        <v>0.51</v>
      </c>
      <c r="AP31" s="829">
        <f>($AM31+AP$9)+0.007</f>
        <v>0.51400000000000001</v>
      </c>
      <c r="AQ31" s="833">
        <f>AN31</f>
        <v>0.71</v>
      </c>
      <c r="AR31" s="181">
        <f>IF($AO31&lt;0,$AO31/2,$AM31/2)</f>
        <v>0.252</v>
      </c>
      <c r="AS31" s="4">
        <f>($AM31+AS$9)</f>
        <v>0.503</v>
      </c>
      <c r="AT31" s="8">
        <f>($AM31+AT$9)</f>
        <v>0.505</v>
      </c>
      <c r="AU31" s="821">
        <f>($AP31+AU$9)-0.003</f>
        <v>0.51200000000000001</v>
      </c>
      <c r="AV31" s="822">
        <f>($AP31+AV$9)-0.004</f>
        <v>0.51400000000000001</v>
      </c>
      <c r="AW31" s="177">
        <f>($AU31-$AT31)/2</f>
        <v>3.5000000000000031E-3</v>
      </c>
      <c r="AX31" s="8">
        <f>($AV31-$AS31)/2</f>
        <v>5.5000000000000049E-3</v>
      </c>
      <c r="BC31" s="86" t="str">
        <v>&lt;&gt;CS CPS-32193r1</v>
      </c>
    </row>
    <row r="32" spans="2:55" x14ac:dyDescent="0.25">
      <c r="AI32" s="842">
        <f>ROUND(((ROUND(AP32,6)*1000000)+AQ32),6)</f>
        <v>514000.41499999998</v>
      </c>
      <c r="AJ32" s="839" t="b">
        <f>TRUE</f>
        <v>1</v>
      </c>
      <c r="AK32" s="740" t="s">
        <v>334</v>
      </c>
      <c r="AL32" s="744" t="s">
        <v>342</v>
      </c>
      <c r="AM32" s="746">
        <v>0.504</v>
      </c>
      <c r="AN32" s="741">
        <v>0.67</v>
      </c>
      <c r="AO32" s="748">
        <f>0.255*2</f>
        <v>0.51</v>
      </c>
      <c r="AP32" s="829">
        <f>($AM32+AP$9)+0.007</f>
        <v>0.51400000000000001</v>
      </c>
      <c r="AQ32" s="8">
        <f>($AN32-($AO32/2))</f>
        <v>0.41500000000000004</v>
      </c>
      <c r="AR32" s="181">
        <f>IF($AO32&lt;0,$AO32/2,$AM32/2)</f>
        <v>0.252</v>
      </c>
      <c r="AS32" s="4">
        <f>($AM32+AS$9)</f>
        <v>0.503</v>
      </c>
      <c r="AT32" s="8">
        <f>($AM32+AT$9)</f>
        <v>0.505</v>
      </c>
      <c r="AU32" s="821">
        <f>($AP32+AU$9)-0.003</f>
        <v>0.51200000000000001</v>
      </c>
      <c r="AV32" s="822">
        <f>($AP32+AV$9)-0.004</f>
        <v>0.51400000000000001</v>
      </c>
      <c r="AW32" s="177">
        <f>($AU32-$AT32)/2</f>
        <v>3.5000000000000031E-3</v>
      </c>
      <c r="AX32" s="8">
        <f>($AV32-$AS32)/2</f>
        <v>5.5000000000000049E-3</v>
      </c>
    </row>
    <row r="33" spans="35:50" x14ac:dyDescent="0.25">
      <c r="AI33" s="842">
        <f>ROUND(((ROUND(AP33,6)*1000000)+AQ33),6)</f>
        <v>514000.67</v>
      </c>
      <c r="AJ33" s="839" t="b">
        <f>TRUE</f>
        <v>1</v>
      </c>
      <c r="AK33" s="1315" t="s">
        <v>392</v>
      </c>
      <c r="AL33" s="744" t="s">
        <v>342</v>
      </c>
      <c r="AM33" s="746">
        <v>0.504</v>
      </c>
      <c r="AN33" s="741">
        <v>0.67</v>
      </c>
      <c r="AO33" s="748">
        <f>0.255*2</f>
        <v>0.51</v>
      </c>
      <c r="AP33" s="829">
        <f>($AM33+AP$9)+0.007</f>
        <v>0.51400000000000001</v>
      </c>
      <c r="AQ33" s="833">
        <f>AN33</f>
        <v>0.67</v>
      </c>
      <c r="AR33" s="181">
        <f>IF($AO33&lt;0,$AO33/2,$AM33/2)</f>
        <v>0.252</v>
      </c>
      <c r="AS33" s="4">
        <f>($AM33+AS$9)</f>
        <v>0.503</v>
      </c>
      <c r="AT33" s="8">
        <f>($AM33+AT$9)</f>
        <v>0.505</v>
      </c>
      <c r="AU33" s="821">
        <f>($AP33+AU$9)-0.003</f>
        <v>0.51200000000000001</v>
      </c>
      <c r="AV33" s="822">
        <f>($AP33+AV$9)-0.004</f>
        <v>0.51400000000000001</v>
      </c>
      <c r="AW33" s="177">
        <f>($AU33-$AT33)/2</f>
        <v>3.5000000000000031E-3</v>
      </c>
      <c r="AX33" s="8">
        <f>($AV33-$AS33)/2</f>
        <v>5.5000000000000049E-3</v>
      </c>
    </row>
    <row r="34" spans="35:50" x14ac:dyDescent="0.25">
      <c r="AI34" s="842">
        <f>ROUND(((ROUND(AP34,6)*1000000)+AQ34),6)</f>
        <v>450000.33189999999</v>
      </c>
      <c r="AJ34" s="839" t="b">
        <f>FALSE</f>
        <v>0</v>
      </c>
      <c r="AK34" s="740" t="s">
        <v>340</v>
      </c>
      <c r="AL34" s="744" t="s">
        <v>343</v>
      </c>
      <c r="AM34" s="746">
        <v>0.4415</v>
      </c>
      <c r="AN34" s="741">
        <v>0.55000000000000004</v>
      </c>
      <c r="AO34" s="748">
        <f>0.2181*2</f>
        <v>0.43619999999999998</v>
      </c>
      <c r="AP34" s="829">
        <f>($AM34+AP$9)+0.0055</f>
        <v>0.45</v>
      </c>
      <c r="AQ34" s="1316">
        <f>($AN34-($AO34/2))</f>
        <v>0.33190000000000008</v>
      </c>
      <c r="AR34" s="181">
        <f>IF($AO34&lt;0,$AO34/2,$AM34/2)</f>
        <v>0.22075</v>
      </c>
      <c r="AS34" s="834">
        <f>($AM34+AS$9)+0.0008</f>
        <v>0.44130000000000003</v>
      </c>
      <c r="AT34" s="833">
        <f>($AM34+AT$9)-0.0008</f>
        <v>0.44169999999999998</v>
      </c>
      <c r="AU34" s="821">
        <f>($AP34+AU$9)-0.005</f>
        <v>0.44600000000000001</v>
      </c>
      <c r="AV34" s="822">
        <f>($AP34+AV$9)-0.002</f>
        <v>0.45200000000000001</v>
      </c>
      <c r="AW34" s="177">
        <f>($AU34-$AT34)/2</f>
        <v>2.150000000000013E-3</v>
      </c>
      <c r="AX34" s="8">
        <f>($AV34-$AS34)/2</f>
        <v>5.3499999999999936E-3</v>
      </c>
    </row>
    <row r="35" spans="35:50" ht="15" customHeight="1" x14ac:dyDescent="0.25">
      <c r="AI35" s="842">
        <f>ROUND(((ROUND(AP35,6)*1000000)+AQ35),6)</f>
        <v>450000.33199999999</v>
      </c>
      <c r="AJ35" s="839" t="b">
        <f>FALSE</f>
        <v>0</v>
      </c>
      <c r="AK35" s="740" t="s">
        <v>340</v>
      </c>
      <c r="AL35" s="744" t="s">
        <v>343</v>
      </c>
      <c r="AM35" s="746">
        <v>0.4415</v>
      </c>
      <c r="AN35" s="741">
        <v>0.55000000000000004</v>
      </c>
      <c r="AO35" s="748">
        <f>0.2181*2</f>
        <v>0.43619999999999998</v>
      </c>
      <c r="AP35" s="829">
        <f>($AM35+AP$9)+0.0055</f>
        <v>0.45</v>
      </c>
      <c r="AQ35" s="833">
        <f>($AN35-($AO35/2))+0.0001</f>
        <v>0.33200000000000007</v>
      </c>
      <c r="AR35" s="181">
        <f>IF($AO35&lt;0,$AO35/2,$AM35/2)</f>
        <v>0.22075</v>
      </c>
      <c r="AS35" s="834">
        <f>($AM35+AS$9)+0.0008</f>
        <v>0.44130000000000003</v>
      </c>
      <c r="AT35" s="833">
        <f>($AM35+AT$9)-0.0008</f>
        <v>0.44169999999999998</v>
      </c>
      <c r="AU35" s="821">
        <f>($AP35+AU$9)-0.005</f>
        <v>0.44600000000000001</v>
      </c>
      <c r="AV35" s="822">
        <f>($AP35+AV$9)-0.002</f>
        <v>0.45200000000000001</v>
      </c>
      <c r="AW35" s="177">
        <f>($AU35-$AT35)/2</f>
        <v>2.150000000000013E-3</v>
      </c>
      <c r="AX35" s="8">
        <f>($AV35-$AS35)/2</f>
        <v>5.3499999999999936E-3</v>
      </c>
    </row>
    <row r="36" spans="35:50" x14ac:dyDescent="0.25">
      <c r="AI36" s="842">
        <f>ROUND(((ROUND(AP36,6)*1000000)+AQ36),6)</f>
        <v>525000.40700000001</v>
      </c>
      <c r="AJ36" s="839" t="b">
        <f>FALSE</f>
        <v>0</v>
      </c>
      <c r="AK36" s="742" t="s">
        <v>335</v>
      </c>
      <c r="AL36" s="745" t="s">
        <v>344</v>
      </c>
      <c r="AM36" s="747">
        <v>0.51459999999999995</v>
      </c>
      <c r="AN36" s="743">
        <v>0.67</v>
      </c>
      <c r="AO36" s="749">
        <f>0.263*2</f>
        <v>0.52600000000000002</v>
      </c>
      <c r="AP36" s="832">
        <f>($AM36+AP$9)+0.0074</f>
        <v>0.52499999999999991</v>
      </c>
      <c r="AQ36" s="722">
        <f>($AN36-($AO36/2))</f>
        <v>0.40700000000000003</v>
      </c>
      <c r="AR36" s="827">
        <f>IF($AO36&lt;0,$AO36/2,$AM36/2)</f>
        <v>0.25729999999999997</v>
      </c>
      <c r="AS36" s="835">
        <f>($AM36+AS$9)+0.0008</f>
        <v>0.51439999999999997</v>
      </c>
      <c r="AT36" s="836">
        <f>($AM36+AT$9)-0.0008</f>
        <v>0.51479999999999992</v>
      </c>
      <c r="AU36" s="823">
        <f>($AP36+AU$9)-0.005</f>
        <v>0.52099999999999991</v>
      </c>
      <c r="AV36" s="824">
        <f>($AP36+AV$9)-0.002</f>
        <v>0.52699999999999991</v>
      </c>
      <c r="AW36" s="180">
        <f>($AU36-$AT36)/2</f>
        <v>3.0999999999999917E-3</v>
      </c>
      <c r="AX36" s="722">
        <f>($AV36-$AS36)/2</f>
        <v>6.2999999999999723E-3</v>
      </c>
    </row>
    <row r="37" spans="35:50" x14ac:dyDescent="0.25">
      <c r="AI37" s="468"/>
      <c r="AJ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K39" s="468"/>
      <c r="AL39" s="468"/>
    </row>
    <row r="40" spans="35:50" x14ac:dyDescent="0.25">
      <c r="AI40" s="468"/>
      <c r="AJ40" s="468"/>
      <c r="AK40" s="468"/>
      <c r="AL40" s="468"/>
    </row>
    <row r="41" spans="35:50" x14ac:dyDescent="0.25">
      <c r="AI41" s="468"/>
      <c r="AJ41" s="468"/>
      <c r="AK41" s="468"/>
      <c r="AL41" s="468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68"/>
      <c r="AJ46" s="468"/>
      <c r="AK46" s="468"/>
      <c r="AL46" s="468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68"/>
      <c r="AJ47" s="468"/>
      <c r="AK47" s="468"/>
      <c r="AL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I51" s="468"/>
      <c r="AJ51" s="468"/>
      <c r="AK51" s="468"/>
      <c r="AL51" s="468"/>
      <c r="AM51" s="468"/>
      <c r="AN51" s="468"/>
      <c r="AO51" s="468"/>
      <c r="AP51" s="468"/>
      <c r="AQ51" s="468"/>
      <c r="AR51" s="468"/>
    </row>
    <row r="52" spans="2:44" x14ac:dyDescent="0.25">
      <c r="AI52" s="468"/>
      <c r="AJ52" s="468"/>
      <c r="AK52" s="468"/>
      <c r="AL52" s="468"/>
      <c r="AM52" s="468"/>
      <c r="AN52" s="468"/>
      <c r="AO52" s="468"/>
      <c r="AP52" s="468"/>
      <c r="AQ52" s="468"/>
      <c r="AR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57" spans="2:44" x14ac:dyDescent="0.25">
      <c r="AJ57" s="468"/>
      <c r="AK57" s="468"/>
      <c r="AL57" s="468"/>
    </row>
    <row r="58" spans="2:44" x14ac:dyDescent="0.25">
      <c r="AJ58" s="468"/>
      <c r="AK58" s="468"/>
      <c r="AL58" s="468"/>
    </row>
    <row r="62" spans="2:44" x14ac:dyDescent="0.25">
      <c r="B62" s="31"/>
    </row>
    <row r="63" spans="2:44" x14ac:dyDescent="0.25">
      <c r="B63" s="31"/>
    </row>
    <row r="65" spans="2:11" x14ac:dyDescent="0.25">
      <c r="I65" s="508"/>
      <c r="K65" s="508"/>
    </row>
    <row r="66" spans="2:11" x14ac:dyDescent="0.25">
      <c r="I66" s="508"/>
      <c r="K66" s="508"/>
    </row>
    <row r="67" spans="2:11" x14ac:dyDescent="0.25">
      <c r="I67" s="508"/>
      <c r="K67" s="508"/>
    </row>
    <row r="68" spans="2:11" x14ac:dyDescent="0.25">
      <c r="I68" s="508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5" t="s">
        <v>95</v>
      </c>
      <c r="D3" s="875"/>
      <c r="E3" s="875"/>
      <c r="F3" s="875"/>
      <c r="G3" s="875"/>
      <c r="H3" s="875"/>
      <c r="I3" s="875"/>
      <c r="J3" s="875"/>
      <c r="K3" s="876"/>
      <c r="L3" s="932"/>
      <c r="M3" s="875"/>
      <c r="N3" s="875"/>
      <c r="O3" s="875"/>
      <c r="P3" s="875"/>
      <c r="Q3" s="875"/>
      <c r="R3" s="906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4" t="s">
        <v>86</v>
      </c>
      <c r="C4" s="971" t="s">
        <v>82</v>
      </c>
      <c r="D4" s="875" t="s">
        <v>83</v>
      </c>
      <c r="E4" s="875"/>
      <c r="F4" s="875"/>
      <c r="G4" s="875"/>
      <c r="H4" s="875"/>
      <c r="I4" s="875"/>
      <c r="J4" s="875"/>
      <c r="K4" s="875"/>
      <c r="L4" s="150" t="s">
        <v>91</v>
      </c>
      <c r="M4" s="905" t="s">
        <v>94</v>
      </c>
      <c r="N4" s="875"/>
      <c r="O4" s="875"/>
      <c r="P4" s="876"/>
      <c r="Q4" s="875" t="s">
        <v>52</v>
      </c>
      <c r="R4" s="906"/>
      <c r="S4" s="107"/>
      <c r="T4" s="905">
        <v>350</v>
      </c>
      <c r="U4" s="875"/>
      <c r="V4" s="875" t="s">
        <v>76</v>
      </c>
      <c r="W4" s="875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5"/>
      <c r="C5" s="972"/>
      <c r="D5" s="960" t="s">
        <v>85</v>
      </c>
      <c r="E5" s="974" t="s">
        <v>89</v>
      </c>
      <c r="F5" s="910" t="s">
        <v>34</v>
      </c>
      <c r="G5" s="910"/>
      <c r="H5" s="907" t="s">
        <v>39</v>
      </c>
      <c r="I5" s="901" t="s">
        <v>35</v>
      </c>
      <c r="J5" s="901" t="s">
        <v>36</v>
      </c>
      <c r="K5" s="944" t="s">
        <v>67</v>
      </c>
      <c r="L5" s="151" t="s">
        <v>92</v>
      </c>
      <c r="M5" s="908" t="s">
        <v>90</v>
      </c>
      <c r="N5" s="908" t="s">
        <v>47</v>
      </c>
      <c r="O5" s="927" t="s">
        <v>84</v>
      </c>
      <c r="P5" s="928"/>
      <c r="Q5" s="929" t="s">
        <v>84</v>
      </c>
      <c r="R5" s="930"/>
      <c r="S5" s="107"/>
      <c r="T5" s="922" t="s">
        <v>46</v>
      </c>
      <c r="U5" s="933"/>
      <c r="V5" s="889" t="s">
        <v>45</v>
      </c>
      <c r="W5" s="917"/>
      <c r="X5" s="917"/>
      <c r="Y5" s="917"/>
      <c r="Z5" s="917"/>
      <c r="AA5" s="917"/>
      <c r="AB5" s="917"/>
      <c r="AC5" s="917"/>
      <c r="AD5" s="917"/>
      <c r="AE5" s="917"/>
      <c r="AF5" s="917"/>
      <c r="AG5" s="917"/>
      <c r="AH5" s="917"/>
      <c r="AI5" s="917"/>
      <c r="AJ5" s="917"/>
      <c r="AK5" s="31"/>
      <c r="AL5" s="31"/>
    </row>
    <row r="6" spans="2:38" ht="15" customHeight="1" thickBot="1" x14ac:dyDescent="0.3">
      <c r="B6" s="956"/>
      <c r="C6" s="973"/>
      <c r="D6" s="961"/>
      <c r="E6" s="975"/>
      <c r="F6" s="108" t="s">
        <v>8</v>
      </c>
      <c r="G6" s="109" t="s">
        <v>10</v>
      </c>
      <c r="H6" s="945"/>
      <c r="I6" s="945"/>
      <c r="J6" s="945"/>
      <c r="K6" s="934"/>
      <c r="L6" s="152" t="s">
        <v>93</v>
      </c>
      <c r="M6" s="931"/>
      <c r="N6" s="931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4"/>
      <c r="U6" s="935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2">
        <f>ROW(Assy.Model!B9)</f>
        <v>9</v>
      </c>
      <c r="D7" s="951" t="str">
        <f>SUBSTITUTE(ADDRESS(1,COLUMN(Assy.Model!B9),4),"1","")</f>
        <v>B</v>
      </c>
      <c r="E7" s="965" t="str">
        <f>SUBSTITUTE(ADDRESS(1,COLUMN(Assy.Model!M9),4),"1","")</f>
        <v>M</v>
      </c>
      <c r="F7" s="968" t="str">
        <f>SUBSTITUTE(ADDRESS(1,COLUMN(Assy.Model!X9),4),"1","")</f>
        <v>X</v>
      </c>
      <c r="G7" s="957" t="str">
        <f>SUBSTITUTE(ADDRESS(1,COLUMN(Assy.Model!AT9),4),"1","")</f>
        <v>AT</v>
      </c>
      <c r="H7" s="936" t="str">
        <f>SUBSTITUTE(ADDRESS(1,COLUMN(Assy.Model!H9),4),"1","")</f>
        <v>H</v>
      </c>
      <c r="I7" s="936" t="str">
        <f>SUBSTITUTE(ADDRESS(1,COLUMN(Assy.Model!AN9),4),"1","")</f>
        <v>AN</v>
      </c>
      <c r="J7" s="936" t="str">
        <f>SUBSTITUTE(ADDRESS(1,COLUMN(Assy.Model!AO9),4),"1","")</f>
        <v>AO</v>
      </c>
      <c r="K7" s="939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6" t="s">
        <v>81</v>
      </c>
      <c r="C8" s="963"/>
      <c r="D8" s="952"/>
      <c r="E8" s="966"/>
      <c r="F8" s="969"/>
      <c r="G8" s="958"/>
      <c r="H8" s="937"/>
      <c r="I8" s="937"/>
      <c r="J8" s="937"/>
      <c r="K8" s="940"/>
      <c r="L8" s="153" t="s">
        <v>93</v>
      </c>
      <c r="M8" s="942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6"/>
      <c r="C9" s="963"/>
      <c r="D9" s="952"/>
      <c r="E9" s="966"/>
      <c r="F9" s="969"/>
      <c r="G9" s="958"/>
      <c r="H9" s="937"/>
      <c r="I9" s="937"/>
      <c r="J9" s="937"/>
      <c r="K9" s="940"/>
      <c r="L9" s="153" t="s">
        <v>92</v>
      </c>
      <c r="M9" s="942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6"/>
      <c r="C10" s="963"/>
      <c r="D10" s="952"/>
      <c r="E10" s="966"/>
      <c r="F10" s="969"/>
      <c r="G10" s="958"/>
      <c r="H10" s="937"/>
      <c r="I10" s="937"/>
      <c r="J10" s="937"/>
      <c r="K10" s="940"/>
      <c r="L10" s="153" t="s">
        <v>92</v>
      </c>
      <c r="M10" s="942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6"/>
      <c r="C11" s="963"/>
      <c r="D11" s="952"/>
      <c r="E11" s="966"/>
      <c r="F11" s="969"/>
      <c r="G11" s="958"/>
      <c r="H11" s="937"/>
      <c r="I11" s="937"/>
      <c r="J11" s="937"/>
      <c r="K11" s="940"/>
      <c r="L11" s="153" t="s">
        <v>92</v>
      </c>
      <c r="M11" s="942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6"/>
      <c r="C12" s="963"/>
      <c r="D12" s="952"/>
      <c r="E12" s="966"/>
      <c r="F12" s="969"/>
      <c r="G12" s="958"/>
      <c r="H12" s="937"/>
      <c r="I12" s="937"/>
      <c r="J12" s="937"/>
      <c r="K12" s="940"/>
      <c r="L12" s="153" t="s">
        <v>92</v>
      </c>
      <c r="M12" s="942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6"/>
      <c r="C13" s="963"/>
      <c r="D13" s="952"/>
      <c r="E13" s="966"/>
      <c r="F13" s="969"/>
      <c r="G13" s="958"/>
      <c r="H13" s="937"/>
      <c r="I13" s="937"/>
      <c r="J13" s="937"/>
      <c r="K13" s="940"/>
      <c r="L13" s="153" t="s">
        <v>92</v>
      </c>
      <c r="M13" s="942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7"/>
      <c r="C14" s="964"/>
      <c r="D14" s="953"/>
      <c r="E14" s="967"/>
      <c r="F14" s="970"/>
      <c r="G14" s="959"/>
      <c r="H14" s="938"/>
      <c r="I14" s="938"/>
      <c r="J14" s="938"/>
      <c r="K14" s="941"/>
      <c r="L14" s="154" t="s">
        <v>93</v>
      </c>
      <c r="M14" s="943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28515625" bestFit="1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9" t="str">
        <f>CONCATENATE(Settings!$C$19," ",Settings!$B$28)</f>
        <v>12.25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0" t="s">
        <v>315</v>
      </c>
      <c r="C2" s="1241"/>
      <c r="D2" s="1241"/>
      <c r="E2" s="1241"/>
      <c r="F2" s="1241"/>
      <c r="G2" s="1241"/>
      <c r="H2" s="1241"/>
      <c r="I2" s="1241"/>
      <c r="J2" s="1241"/>
      <c r="K2" s="1242"/>
      <c r="L2" s="984" t="str" cm="1">
        <f t="array" ref="L2">IF(OR($K$9:$K$150="Undefined"),"Undefined Element","")</f>
        <v/>
      </c>
      <c r="M2" s="1248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00" t="s">
        <v>0</v>
      </c>
      <c r="AW2" s="1142" t="s">
        <v>109</v>
      </c>
      <c r="AX2" s="1143"/>
      <c r="AY2" s="1143"/>
      <c r="AZ2" s="1143"/>
      <c r="BA2" s="1143"/>
      <c r="BB2" s="1143"/>
      <c r="BC2" s="1143"/>
      <c r="BD2" s="1143"/>
      <c r="BE2" s="1144"/>
      <c r="BF2" s="1154" t="s">
        <v>115</v>
      </c>
      <c r="BG2" s="1143"/>
      <c r="BH2" s="1143"/>
      <c r="BI2" s="1143"/>
      <c r="BJ2" s="1143"/>
      <c r="BK2" s="1143"/>
      <c r="BL2" s="1143"/>
      <c r="BM2" s="1143"/>
      <c r="BN2" s="1143"/>
      <c r="BO2" s="1143"/>
      <c r="BP2" s="1143"/>
      <c r="BQ2" s="1143"/>
      <c r="BR2" s="1143"/>
      <c r="BS2" s="1143"/>
      <c r="BT2" s="1143"/>
      <c r="BU2" s="1143"/>
      <c r="BV2" s="1143"/>
      <c r="BW2" s="1143"/>
      <c r="BX2" s="1143"/>
      <c r="BY2" s="1143"/>
      <c r="BZ2" s="1143"/>
      <c r="CA2" s="1143"/>
      <c r="CB2" s="1143"/>
      <c r="CC2" s="1143"/>
      <c r="CD2" s="1143"/>
      <c r="CE2" s="1143"/>
      <c r="CF2" s="1143"/>
      <c r="CG2" s="1143"/>
      <c r="CH2" s="1143"/>
      <c r="CI2" s="1143"/>
      <c r="CJ2" s="1143"/>
      <c r="CK2" s="1143"/>
      <c r="CL2" s="1143"/>
      <c r="CM2" s="1143"/>
      <c r="CN2" s="1143"/>
      <c r="CO2" s="1143"/>
      <c r="CP2" s="1143"/>
      <c r="CQ2" s="1143"/>
      <c r="CR2" s="1143"/>
      <c r="CS2" s="1143"/>
      <c r="CT2" s="1143"/>
      <c r="CU2" s="1143"/>
      <c r="CV2" s="1143"/>
      <c r="CW2" s="1143"/>
      <c r="CX2" s="1143"/>
      <c r="CY2" s="1143"/>
      <c r="CZ2" s="1143"/>
      <c r="DA2" s="1143"/>
      <c r="DB2" s="1143"/>
      <c r="DC2" s="1143"/>
      <c r="DD2" s="1143"/>
      <c r="DE2" s="1143"/>
      <c r="DF2" s="1143"/>
      <c r="DG2" s="1143"/>
      <c r="DH2" s="1143"/>
      <c r="DI2" s="1143"/>
      <c r="DJ2" s="1143"/>
      <c r="DK2" s="1143"/>
      <c r="DL2" s="1143"/>
      <c r="DM2" s="1143"/>
      <c r="DN2" s="1143"/>
      <c r="DO2" s="1143"/>
      <c r="DP2" s="1143"/>
      <c r="DQ2" s="1143"/>
      <c r="DR2" s="1143"/>
      <c r="DS2" s="1143"/>
      <c r="DT2" s="1143"/>
      <c r="DU2" s="1143"/>
      <c r="DV2" s="1143"/>
      <c r="DW2" s="1143"/>
      <c r="DX2" s="1143"/>
      <c r="DY2" s="1143"/>
      <c r="DZ2" s="1143"/>
      <c r="EA2" s="1143"/>
      <c r="EB2" s="1143"/>
      <c r="EC2" s="1143"/>
      <c r="ED2" s="1143"/>
      <c r="EE2" s="1143"/>
      <c r="EF2" s="1143"/>
      <c r="EG2" s="1143"/>
      <c r="EH2" s="1143"/>
      <c r="EI2" s="1143"/>
      <c r="EJ2" s="1143"/>
      <c r="EK2" s="1143"/>
      <c r="EL2" s="1143"/>
      <c r="EM2" s="1143"/>
      <c r="EN2" s="1143"/>
      <c r="EO2" s="1143"/>
      <c r="EP2" s="1143"/>
      <c r="EQ2" s="1143"/>
      <c r="ER2" s="1155"/>
      <c r="ES2" s="1045" t="s">
        <v>197</v>
      </c>
      <c r="ET2" s="1046"/>
      <c r="EU2" s="1046"/>
      <c r="EV2" s="1046"/>
      <c r="EW2" s="1046"/>
      <c r="EX2" s="1046"/>
      <c r="EY2" s="1046"/>
      <c r="EZ2" s="1046"/>
      <c r="FA2" s="1046"/>
      <c r="FB2" s="1046"/>
      <c r="FC2" s="1046"/>
      <c r="FD2" s="1046"/>
      <c r="FE2" s="1046"/>
      <c r="FF2" s="1047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2" t="s">
        <v>266</v>
      </c>
      <c r="HQ2" s="1067" t="str">
        <f>IFERROR(CONCATENATE("Sum of Lateral Forces = ",ROUND(HE3,0)," lbs @ ",ROUND(HF3,1),"° Relative to Blade 1"),"")</f>
        <v/>
      </c>
      <c r="HR2" s="1068"/>
      <c r="HS2" s="1068"/>
      <c r="HT2" s="1068"/>
      <c r="HU2" s="1068"/>
      <c r="HV2" s="1069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3"/>
      <c r="C3" s="1198"/>
      <c r="D3" s="1198"/>
      <c r="E3" s="1198"/>
      <c r="F3" s="1198"/>
      <c r="G3" s="1198"/>
      <c r="H3" s="1198"/>
      <c r="I3" s="1198"/>
      <c r="J3" s="1198"/>
      <c r="K3" s="1244"/>
      <c r="L3" s="984"/>
      <c r="M3" s="1243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145"/>
      <c r="AA3" s="1146"/>
      <c r="AB3" s="1146"/>
      <c r="AC3" s="1146"/>
      <c r="AD3" s="1146"/>
      <c r="AE3" s="1146"/>
      <c r="AF3" s="1146"/>
      <c r="AG3" s="1146"/>
      <c r="AH3" s="1146"/>
      <c r="AI3" s="1146"/>
      <c r="AJ3" s="1146"/>
      <c r="AK3" s="1146"/>
      <c r="AL3" s="1146"/>
      <c r="AM3" s="1146"/>
      <c r="AN3" s="1146"/>
      <c r="AO3" s="1146"/>
      <c r="AP3" s="1146"/>
      <c r="AQ3" s="1147"/>
      <c r="AS3" s="466">
        <v>100</v>
      </c>
      <c r="AT3" s="463" t="s">
        <v>45</v>
      </c>
      <c r="AV3" s="1201"/>
      <c r="AW3" s="1048"/>
      <c r="AX3" s="1049"/>
      <c r="AY3" s="1049"/>
      <c r="AZ3" s="1049"/>
      <c r="BA3" s="1049"/>
      <c r="BB3" s="1049"/>
      <c r="BC3" s="1049"/>
      <c r="BD3" s="1049"/>
      <c r="BE3" s="1163"/>
      <c r="BF3" s="1156"/>
      <c r="BG3" s="1049"/>
      <c r="BH3" s="1049"/>
      <c r="BI3" s="1049"/>
      <c r="BJ3" s="1049"/>
      <c r="BK3" s="1049"/>
      <c r="BL3" s="1049"/>
      <c r="BM3" s="1049"/>
      <c r="BN3" s="1049"/>
      <c r="BO3" s="1049"/>
      <c r="BP3" s="1049"/>
      <c r="BQ3" s="1049"/>
      <c r="BR3" s="1049"/>
      <c r="BS3" s="1049"/>
      <c r="BT3" s="1049"/>
      <c r="BU3" s="1049"/>
      <c r="BV3" s="1049"/>
      <c r="BW3" s="1049"/>
      <c r="BX3" s="1049"/>
      <c r="BY3" s="1049"/>
      <c r="BZ3" s="1049"/>
      <c r="CA3" s="1049"/>
      <c r="CB3" s="1049"/>
      <c r="CC3" s="1049"/>
      <c r="CD3" s="1049"/>
      <c r="CE3" s="1049"/>
      <c r="CF3" s="1049"/>
      <c r="CG3" s="1049"/>
      <c r="CH3" s="1049"/>
      <c r="CI3" s="1049"/>
      <c r="CJ3" s="1049"/>
      <c r="CK3" s="1049"/>
      <c r="CL3" s="1049"/>
      <c r="CM3" s="1049"/>
      <c r="CN3" s="1049"/>
      <c r="CO3" s="1049"/>
      <c r="CP3" s="1049"/>
      <c r="CQ3" s="1049"/>
      <c r="CR3" s="1049"/>
      <c r="CS3" s="1049"/>
      <c r="CT3" s="1049"/>
      <c r="CU3" s="1049"/>
      <c r="CV3" s="1049"/>
      <c r="CW3" s="1049"/>
      <c r="CX3" s="1049"/>
      <c r="CY3" s="1049"/>
      <c r="CZ3" s="1049"/>
      <c r="DA3" s="1049"/>
      <c r="DB3" s="1049"/>
      <c r="DC3" s="1049"/>
      <c r="DD3" s="1049"/>
      <c r="DE3" s="1049"/>
      <c r="DF3" s="1049"/>
      <c r="DG3" s="1049"/>
      <c r="DH3" s="1049"/>
      <c r="DI3" s="1049"/>
      <c r="DJ3" s="1049"/>
      <c r="DK3" s="1049"/>
      <c r="DL3" s="1049"/>
      <c r="DM3" s="1049"/>
      <c r="DN3" s="1049"/>
      <c r="DO3" s="1049"/>
      <c r="DP3" s="1049"/>
      <c r="DQ3" s="1049"/>
      <c r="DR3" s="1049"/>
      <c r="DS3" s="1049"/>
      <c r="DT3" s="1049"/>
      <c r="DU3" s="1049"/>
      <c r="DV3" s="1049"/>
      <c r="DW3" s="1049"/>
      <c r="DX3" s="1049"/>
      <c r="DY3" s="1049"/>
      <c r="DZ3" s="1049"/>
      <c r="EA3" s="1049"/>
      <c r="EB3" s="1049"/>
      <c r="EC3" s="1049"/>
      <c r="ED3" s="1049"/>
      <c r="EE3" s="1049"/>
      <c r="EF3" s="1049"/>
      <c r="EG3" s="1049"/>
      <c r="EH3" s="1049"/>
      <c r="EI3" s="1049"/>
      <c r="EJ3" s="1049"/>
      <c r="EK3" s="1049"/>
      <c r="EL3" s="1049"/>
      <c r="EM3" s="1049"/>
      <c r="EN3" s="1049"/>
      <c r="EO3" s="1049"/>
      <c r="EP3" s="1049"/>
      <c r="EQ3" s="1049"/>
      <c r="ER3" s="1050"/>
      <c r="ES3" s="1048"/>
      <c r="ET3" s="1049"/>
      <c r="EU3" s="1049"/>
      <c r="EV3" s="1049"/>
      <c r="EW3" s="1049"/>
      <c r="EX3" s="1049"/>
      <c r="EY3" s="1049"/>
      <c r="EZ3" s="1049"/>
      <c r="FA3" s="1049"/>
      <c r="FB3" s="1049"/>
      <c r="FC3" s="1049"/>
      <c r="FD3" s="1049"/>
      <c r="FE3" s="1049"/>
      <c r="FF3" s="1050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3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5"/>
      <c r="C4" s="1246"/>
      <c r="D4" s="1246"/>
      <c r="E4" s="1246"/>
      <c r="F4" s="1246"/>
      <c r="G4" s="1246"/>
      <c r="H4" s="1246"/>
      <c r="I4" s="1246"/>
      <c r="J4" s="1246"/>
      <c r="K4" s="1247"/>
      <c r="L4" s="984"/>
      <c r="M4" s="1243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$Q$4</f>
        <v>Polar XY; Cartesian Z</v>
      </c>
      <c r="X4" s="1167"/>
      <c r="Y4" s="1233"/>
      <c r="Z4" s="1186" t="s">
        <v>3</v>
      </c>
      <c r="AA4" s="1184"/>
      <c r="AB4" s="1184"/>
      <c r="AC4" s="1184"/>
      <c r="AD4" s="1184"/>
      <c r="AE4" s="1184"/>
      <c r="AF4" s="1184"/>
      <c r="AG4" s="1196" t="s">
        <v>31</v>
      </c>
      <c r="AH4" s="1184"/>
      <c r="AI4" s="1184"/>
      <c r="AJ4" s="1185"/>
      <c r="AK4" s="1148" t="s">
        <v>32</v>
      </c>
      <c r="AL4" s="1149"/>
      <c r="AM4" s="1149"/>
      <c r="AN4" s="1149"/>
      <c r="AO4" s="1149"/>
      <c r="AP4" s="1149"/>
      <c r="AQ4" s="1150"/>
      <c r="AS4" s="467">
        <v>125</v>
      </c>
      <c r="AT4" s="464" t="s">
        <v>46</v>
      </c>
      <c r="AV4" s="1201"/>
      <c r="AW4" s="1096" t="s">
        <v>112</v>
      </c>
      <c r="AX4" s="1000"/>
      <c r="AY4" s="923"/>
      <c r="AZ4" s="1161"/>
      <c r="BA4" s="1162"/>
      <c r="BB4" s="1164" t="s">
        <v>113</v>
      </c>
      <c r="BC4" s="1167" t="str">
        <f>$Q$4</f>
        <v>Polar XY; Cartesian Z</v>
      </c>
      <c r="BD4" s="1167"/>
      <c r="BE4" s="1168"/>
      <c r="BF4" s="1119" t="s">
        <v>129</v>
      </c>
      <c r="BG4" s="1120"/>
      <c r="BH4" s="1120"/>
      <c r="BI4" s="1120"/>
      <c r="BJ4" s="1120"/>
      <c r="BK4" s="1120"/>
      <c r="BL4" s="1120"/>
      <c r="BM4" s="1120"/>
      <c r="BN4" s="1120"/>
      <c r="BO4" s="1120"/>
      <c r="BP4" s="1120"/>
      <c r="BQ4" s="1120"/>
      <c r="BR4" s="1120"/>
      <c r="BS4" s="1120"/>
      <c r="BT4" s="1120"/>
      <c r="BU4" s="1120"/>
      <c r="BV4" s="1120"/>
      <c r="BW4" s="1120"/>
      <c r="BX4" s="1120"/>
      <c r="BY4" s="1120"/>
      <c r="BZ4" s="1120"/>
      <c r="CA4" s="1120"/>
      <c r="CB4" s="1120"/>
      <c r="CC4" s="1120"/>
      <c r="CD4" s="1120"/>
      <c r="CE4" s="1120"/>
      <c r="CF4" s="1120"/>
      <c r="CG4" s="1120"/>
      <c r="CH4" s="1120"/>
      <c r="CI4" s="1120"/>
      <c r="CJ4" s="1120"/>
      <c r="CK4" s="1120"/>
      <c r="CL4" s="1120"/>
      <c r="CM4" s="1120"/>
      <c r="CN4" s="1121"/>
      <c r="CO4" s="1157" t="s">
        <v>193</v>
      </c>
      <c r="CP4" s="1158"/>
      <c r="CQ4" s="1158"/>
      <c r="CR4" s="1158"/>
      <c r="CS4" s="1158"/>
      <c r="CT4" s="1158"/>
      <c r="CU4" s="1158"/>
      <c r="CV4" s="1158"/>
      <c r="CW4" s="1158"/>
      <c r="CX4" s="1158"/>
      <c r="CY4" s="1158"/>
      <c r="CZ4" s="1158"/>
      <c r="DA4" s="1159"/>
      <c r="DB4" s="1042" t="s">
        <v>162</v>
      </c>
      <c r="DC4" s="1043"/>
      <c r="DD4" s="1043"/>
      <c r="DE4" s="1043"/>
      <c r="DF4" s="1043"/>
      <c r="DG4" s="1043"/>
      <c r="DH4" s="1043"/>
      <c r="DI4" s="1043"/>
      <c r="DJ4" s="1043"/>
      <c r="DK4" s="1043"/>
      <c r="DL4" s="1043"/>
      <c r="DM4" s="1043"/>
      <c r="DN4" s="1043"/>
      <c r="DO4" s="1043"/>
      <c r="DP4" s="1043"/>
      <c r="DQ4" s="1043"/>
      <c r="DR4" s="1043"/>
      <c r="DS4" s="1043"/>
      <c r="DT4" s="1043"/>
      <c r="DU4" s="1043"/>
      <c r="DV4" s="1043"/>
      <c r="DW4" s="1043"/>
      <c r="DX4" s="1043"/>
      <c r="DY4" s="1043"/>
      <c r="DZ4" s="1043"/>
      <c r="EA4" s="1043"/>
      <c r="EB4" s="1043"/>
      <c r="EC4" s="1043"/>
      <c r="ED4" s="1043"/>
      <c r="EE4" s="1043"/>
      <c r="EF4" s="1043"/>
      <c r="EG4" s="1043"/>
      <c r="EH4" s="1043"/>
      <c r="EI4" s="1043"/>
      <c r="EJ4" s="1043"/>
      <c r="EK4" s="1043"/>
      <c r="EL4" s="1043"/>
      <c r="EM4" s="1043"/>
      <c r="EN4" s="1043"/>
      <c r="EO4" s="1043"/>
      <c r="EP4" s="1043"/>
      <c r="EQ4" s="1043"/>
      <c r="ER4" s="1044"/>
      <c r="ES4" s="1090" t="s">
        <v>196</v>
      </c>
      <c r="ET4" s="1091"/>
      <c r="EU4" s="1091"/>
      <c r="EV4" s="1091"/>
      <c r="EW4" s="1091"/>
      <c r="EX4" s="1091"/>
      <c r="EY4" s="1092"/>
      <c r="EZ4" s="1100" t="s">
        <v>201</v>
      </c>
      <c r="FA4" s="1101"/>
      <c r="FB4" s="1101"/>
      <c r="FC4" s="1101"/>
      <c r="FD4" s="1101"/>
      <c r="FE4" s="1101"/>
      <c r="FF4" s="1102"/>
      <c r="FG4" s="343"/>
      <c r="FP4" s="1032" t="s">
        <v>229</v>
      </c>
      <c r="FZ4" s="1032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990"/>
      <c r="GO4" s="992" t="s">
        <v>229</v>
      </c>
      <c r="GP4" s="996" t="s">
        <v>228</v>
      </c>
      <c r="GR4" s="1002" t="s">
        <v>261</v>
      </c>
      <c r="GS4" s="932" t="s">
        <v>259</v>
      </c>
      <c r="GT4" s="875"/>
      <c r="GU4" s="875"/>
      <c r="GV4" s="875"/>
      <c r="GW4" s="875"/>
      <c r="GX4" s="875"/>
      <c r="GY4" s="875"/>
      <c r="GZ4" s="875"/>
      <c r="HA4" s="1073" t="str">
        <f>IFERROR(CONCATENATE("Lateral Forces = ",ROUND(HE3,0)," lbs @ ",ROUND(HF3,1),"° Relative to Blade 1"),"")</f>
        <v/>
      </c>
      <c r="HB4" s="1074"/>
      <c r="HC4" s="1074"/>
      <c r="HD4" s="1074"/>
      <c r="HE4" s="1074"/>
      <c r="HF4" s="1074"/>
      <c r="HG4" s="1074"/>
      <c r="HH4" s="1075"/>
      <c r="HI4" s="1081" t="s">
        <v>0</v>
      </c>
      <c r="HO4" s="1034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66</v>
      </c>
      <c r="IL4" s="31"/>
      <c r="IM4" s="767"/>
    </row>
    <row r="5" spans="1:283" ht="15" customHeight="1" x14ac:dyDescent="0.25">
      <c r="B5" s="1234" t="str">
        <f>CONCATENATE(B7," ; ",E7," ; ",H7)</f>
        <v>Absolute-Point ; Incremental-Vector Point ; Pocket Info.</v>
      </c>
      <c r="C5" s="1235"/>
      <c r="D5" s="1235"/>
      <c r="E5" s="1235"/>
      <c r="F5" s="1235"/>
      <c r="G5" s="1235"/>
      <c r="H5" s="1235"/>
      <c r="I5" s="1235"/>
      <c r="J5" s="1235"/>
      <c r="K5" s="1236"/>
      <c r="L5" s="872" t="str" cm="1">
        <f t="array" ref="L5">IF(OR(IF(LEFT($K$9:$K$150,4)="&lt;&gt;CS",TRUE,FALSE)),"Wrong CS","")</f>
        <v/>
      </c>
      <c r="M5" s="1243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about Z Axis")</f>
        <v>Relative to 1.11's θ about Z Axis</v>
      </c>
      <c r="U5" s="1137"/>
      <c r="V5" s="1138"/>
      <c r="W5" s="1137" t="str">
        <f>CONCATENATE("Relative to ",M8,"'s θ about Z Axis")</f>
        <v>Relative to 1.11's θ about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01"/>
      <c r="AW5" s="1177"/>
      <c r="AX5" s="1178"/>
      <c r="AY5" s="1179"/>
      <c r="AZ5" s="1008"/>
      <c r="BA5" s="913"/>
      <c r="BB5" s="1165"/>
      <c r="BC5" s="1173" t="str">
        <f>$W$5</f>
        <v>Relative to 1.11's θ about Z Axis</v>
      </c>
      <c r="BD5" s="1137"/>
      <c r="BE5" s="1174"/>
      <c r="BF5" s="932" t="s">
        <v>128</v>
      </c>
      <c r="BG5" s="875"/>
      <c r="BH5" s="875"/>
      <c r="BI5" s="875"/>
      <c r="BJ5" s="875"/>
      <c r="BK5" s="875"/>
      <c r="BL5" s="875"/>
      <c r="BM5" s="875"/>
      <c r="BN5" s="875"/>
      <c r="BO5" s="875"/>
      <c r="BP5" s="875"/>
      <c r="BQ5" s="875"/>
      <c r="BR5" s="876"/>
      <c r="BS5" s="932" t="s">
        <v>130</v>
      </c>
      <c r="BT5" s="875"/>
      <c r="BU5" s="875"/>
      <c r="BV5" s="875"/>
      <c r="BW5" s="875"/>
      <c r="BX5" s="875"/>
      <c r="BY5" s="875"/>
      <c r="BZ5" s="875"/>
      <c r="CA5" s="875"/>
      <c r="CB5" s="875"/>
      <c r="CC5" s="875"/>
      <c r="CD5" s="875"/>
      <c r="CE5" s="876"/>
      <c r="CF5" s="932" t="s">
        <v>138</v>
      </c>
      <c r="CG5" s="875"/>
      <c r="CH5" s="876"/>
      <c r="CI5" s="932" t="s">
        <v>139</v>
      </c>
      <c r="CJ5" s="875"/>
      <c r="CK5" s="875"/>
      <c r="CL5" s="875"/>
      <c r="CM5" s="875"/>
      <c r="CN5" s="876"/>
      <c r="CO5" s="1014" t="s">
        <v>275</v>
      </c>
      <c r="CP5" s="1014" t="s">
        <v>149</v>
      </c>
      <c r="CQ5" s="1000"/>
      <c r="CR5" s="1000"/>
      <c r="CS5" s="933"/>
      <c r="CT5" s="1000" t="s">
        <v>150</v>
      </c>
      <c r="CU5" s="923"/>
      <c r="CV5" s="932" t="s">
        <v>161</v>
      </c>
      <c r="CW5" s="875"/>
      <c r="CX5" s="875"/>
      <c r="CY5" s="875"/>
      <c r="CZ5" s="875"/>
      <c r="DA5" s="876"/>
      <c r="DB5" s="932" t="s">
        <v>163</v>
      </c>
      <c r="DC5" s="875"/>
      <c r="DD5" s="875"/>
      <c r="DE5" s="875"/>
      <c r="DF5" s="875"/>
      <c r="DG5" s="875"/>
      <c r="DH5" s="876"/>
      <c r="DI5" s="1021" t="s">
        <v>173</v>
      </c>
      <c r="DJ5" s="1021"/>
      <c r="DK5" s="1129"/>
      <c r="DL5" s="1020" t="s">
        <v>174</v>
      </c>
      <c r="DM5" s="1021"/>
      <c r="DN5" s="1022"/>
      <c r="DO5" s="1131" t="s">
        <v>175</v>
      </c>
      <c r="DP5" s="1132"/>
      <c r="DQ5" s="1132"/>
      <c r="DR5" s="1013" t="s">
        <v>187</v>
      </c>
      <c r="DS5" s="1013"/>
      <c r="DT5" s="1013"/>
      <c r="DU5" s="1013"/>
      <c r="DV5" s="1013"/>
      <c r="DW5" s="1013"/>
      <c r="DX5" s="1014" t="s">
        <v>190</v>
      </c>
      <c r="DY5" s="954" t="s">
        <v>149</v>
      </c>
      <c r="DZ5" s="1013"/>
      <c r="EA5" s="1013"/>
      <c r="EB5" s="1013"/>
      <c r="EC5" s="1013" t="s">
        <v>150</v>
      </c>
      <c r="ED5" s="1013"/>
      <c r="EE5" s="1002" t="s">
        <v>194</v>
      </c>
      <c r="EF5" s="1002"/>
      <c r="EG5" s="1010"/>
      <c r="EH5" s="1026" t="s">
        <v>195</v>
      </c>
      <c r="EI5" s="1027"/>
      <c r="EJ5" s="1028"/>
      <c r="EK5" s="1013" t="s">
        <v>188</v>
      </c>
      <c r="EL5" s="1014"/>
      <c r="EM5" s="932" t="s">
        <v>189</v>
      </c>
      <c r="EN5" s="875"/>
      <c r="EO5" s="875"/>
      <c r="EP5" s="875"/>
      <c r="EQ5" s="875"/>
      <c r="ER5" s="1122"/>
      <c r="ES5" s="1096" t="s">
        <v>202</v>
      </c>
      <c r="ET5" s="1000"/>
      <c r="EU5" s="933"/>
      <c r="EV5" s="1093" t="s">
        <v>222</v>
      </c>
      <c r="EW5" s="1094"/>
      <c r="EX5" s="1094"/>
      <c r="EY5" s="1095"/>
      <c r="EZ5" s="1057" t="s">
        <v>200</v>
      </c>
      <c r="FA5" s="927" t="s">
        <v>202</v>
      </c>
      <c r="FB5" s="1110"/>
      <c r="FC5" s="928"/>
      <c r="FD5" s="1114" t="s">
        <v>222</v>
      </c>
      <c r="FE5" s="1115"/>
      <c r="FF5" s="1116"/>
      <c r="FP5" s="1034"/>
      <c r="FQ5" s="31"/>
      <c r="FR5" s="31"/>
      <c r="FS5" s="31"/>
      <c r="FT5" s="31"/>
      <c r="FZ5" s="1034"/>
      <c r="GJ5" s="988" t="s">
        <v>269</v>
      </c>
      <c r="GK5" s="1036" t="s">
        <v>267</v>
      </c>
      <c r="GL5" s="1038" t="s">
        <v>110</v>
      </c>
      <c r="GM5" s="1038" t="s">
        <v>111</v>
      </c>
      <c r="GN5" s="1039"/>
      <c r="GO5" s="993"/>
      <c r="GP5" s="997"/>
      <c r="GQ5" s="31"/>
      <c r="GR5" s="984"/>
      <c r="GS5" s="1008" t="s">
        <v>248</v>
      </c>
      <c r="GT5" s="1009"/>
      <c r="GU5" s="1004" t="s">
        <v>249</v>
      </c>
      <c r="GV5" s="1005"/>
      <c r="GW5" s="1006"/>
      <c r="GX5" s="1007"/>
      <c r="GY5" s="991" t="s">
        <v>107</v>
      </c>
      <c r="GZ5" s="915"/>
      <c r="HA5" s="1070" t="s">
        <v>248</v>
      </c>
      <c r="HB5" s="1071"/>
      <c r="HC5" s="1071"/>
      <c r="HD5" s="1072"/>
      <c r="HE5" s="1087" t="s">
        <v>249</v>
      </c>
      <c r="HF5" s="1071"/>
      <c r="HG5" s="1071"/>
      <c r="HH5" s="1088"/>
      <c r="HI5" s="1082"/>
      <c r="HN5" s="386" t="s">
        <v>263</v>
      </c>
      <c r="HO5" s="58" t="s">
        <v>264</v>
      </c>
      <c r="HS5" s="1076" t="s">
        <v>274</v>
      </c>
      <c r="HZ5" s="383"/>
    </row>
    <row r="6" spans="1:283" ht="15" customHeight="1" thickBot="1" x14ac:dyDescent="0.4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>Inactive Element</v>
      </c>
      <c r="M6" s="1243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$Q$6</f>
        <v>Projected XY</v>
      </c>
      <c r="X6" s="1170"/>
      <c r="Y6" s="1211" t="str">
        <f>$S$6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139" t="str">
        <f>AD6</f>
        <v>Unit Vector</v>
      </c>
      <c r="AL6" s="1140"/>
      <c r="AM6" s="1141"/>
      <c r="AN6" s="34" t="s">
        <v>15</v>
      </c>
      <c r="AO6" s="35" t="s">
        <v>16</v>
      </c>
      <c r="AP6" s="737" t="s">
        <v>17</v>
      </c>
      <c r="AQ6" s="1203" t="s">
        <v>108</v>
      </c>
      <c r="AS6" s="172">
        <f>(AS5/360)</f>
        <v>6.9444444444444447E-4</v>
      </c>
      <c r="AT6" s="465" t="s">
        <v>48</v>
      </c>
      <c r="AV6" s="1201"/>
      <c r="AW6" s="1194" t="s">
        <v>105</v>
      </c>
      <c r="AX6" s="1195"/>
      <c r="AY6" s="195" t="s">
        <v>110</v>
      </c>
      <c r="AZ6" s="1175" t="s">
        <v>111</v>
      </c>
      <c r="BA6" s="1176"/>
      <c r="BB6" s="1166"/>
      <c r="BC6" s="1169" t="str">
        <f>$Q$6</f>
        <v>Projected XY</v>
      </c>
      <c r="BD6" s="1170"/>
      <c r="BE6" s="1171" t="str">
        <f>$S$6</f>
        <v>Z</v>
      </c>
      <c r="BF6" s="882" t="s">
        <v>125</v>
      </c>
      <c r="BG6" s="878"/>
      <c r="BH6" s="987"/>
      <c r="BI6" s="880" t="s">
        <v>126</v>
      </c>
      <c r="BJ6" s="878"/>
      <c r="BK6" s="879"/>
      <c r="BL6" s="883" t="s">
        <v>127</v>
      </c>
      <c r="BM6" s="878"/>
      <c r="BN6" s="884"/>
      <c r="BO6" s="882" t="s">
        <v>135</v>
      </c>
      <c r="BP6" s="878"/>
      <c r="BQ6" s="878"/>
      <c r="BR6" s="884"/>
      <c r="BS6" s="882" t="s">
        <v>125</v>
      </c>
      <c r="BT6" s="878"/>
      <c r="BU6" s="987"/>
      <c r="BV6" s="880" t="s">
        <v>126</v>
      </c>
      <c r="BW6" s="878"/>
      <c r="BX6" s="879"/>
      <c r="BY6" s="883" t="s">
        <v>127</v>
      </c>
      <c r="BZ6" s="878"/>
      <c r="CA6" s="884"/>
      <c r="CB6" s="882" t="s">
        <v>135</v>
      </c>
      <c r="CC6" s="878"/>
      <c r="CD6" s="878"/>
      <c r="CE6" s="884"/>
      <c r="CF6" s="888" t="s">
        <v>136</v>
      </c>
      <c r="CG6" s="1124"/>
      <c r="CH6" s="1124"/>
      <c r="CI6" s="1126" t="s">
        <v>137</v>
      </c>
      <c r="CJ6" s="1124"/>
      <c r="CK6" s="889"/>
      <c r="CL6" s="1123" t="s">
        <v>140</v>
      </c>
      <c r="CM6" s="1124"/>
      <c r="CN6" s="1125"/>
      <c r="CO6" s="1016"/>
      <c r="CP6" s="1016"/>
      <c r="CQ6" s="1098"/>
      <c r="CR6" s="1098"/>
      <c r="CS6" s="1099"/>
      <c r="CT6" s="1098"/>
      <c r="CU6" s="1160"/>
      <c r="CV6" s="1182" t="s">
        <v>147</v>
      </c>
      <c r="CW6" s="878"/>
      <c r="CX6" s="879"/>
      <c r="CY6" s="1117" t="s">
        <v>148</v>
      </c>
      <c r="CZ6" s="1066"/>
      <c r="DA6" s="1118"/>
      <c r="DB6" s="1127" t="s">
        <v>176</v>
      </c>
      <c r="DC6" s="1063"/>
      <c r="DD6" s="1064"/>
      <c r="DE6" s="1128" t="s">
        <v>177</v>
      </c>
      <c r="DF6" s="1063"/>
      <c r="DG6" s="1064"/>
      <c r="DH6" s="253" t="s">
        <v>29</v>
      </c>
      <c r="DI6" s="1024"/>
      <c r="DJ6" s="1024"/>
      <c r="DK6" s="1130"/>
      <c r="DL6" s="1023"/>
      <c r="DM6" s="1024"/>
      <c r="DN6" s="1025"/>
      <c r="DO6" s="1133"/>
      <c r="DP6" s="1134"/>
      <c r="DQ6" s="1134"/>
      <c r="DR6" s="1015"/>
      <c r="DS6" s="1015"/>
      <c r="DT6" s="1015"/>
      <c r="DU6" s="1015"/>
      <c r="DV6" s="1015"/>
      <c r="DW6" s="1015"/>
      <c r="DX6" s="1016"/>
      <c r="DY6" s="1135"/>
      <c r="DZ6" s="1015"/>
      <c r="EA6" s="1015"/>
      <c r="EB6" s="1015"/>
      <c r="EC6" s="1015"/>
      <c r="ED6" s="1015"/>
      <c r="EE6" s="1011"/>
      <c r="EF6" s="1011"/>
      <c r="EG6" s="1012"/>
      <c r="EH6" s="1029"/>
      <c r="EI6" s="1030"/>
      <c r="EJ6" s="1031"/>
      <c r="EK6" s="1015"/>
      <c r="EL6" s="1016"/>
      <c r="EM6" s="1017" t="s">
        <v>199</v>
      </c>
      <c r="EN6" s="1018"/>
      <c r="EO6" s="1019"/>
      <c r="EP6" s="1103" t="s">
        <v>198</v>
      </c>
      <c r="EQ6" s="1018"/>
      <c r="ER6" s="1105"/>
      <c r="ES6" s="1097"/>
      <c r="ET6" s="1098"/>
      <c r="EU6" s="1099"/>
      <c r="EV6" s="274" t="s">
        <v>221</v>
      </c>
      <c r="EW6" s="1103" t="s">
        <v>202</v>
      </c>
      <c r="EX6" s="1018"/>
      <c r="EY6" s="1104"/>
      <c r="EZ6" s="1058"/>
      <c r="FA6" s="1111"/>
      <c r="FB6" s="1112"/>
      <c r="FC6" s="1113"/>
      <c r="FD6" s="1017" t="s">
        <v>202</v>
      </c>
      <c r="FE6" s="1018"/>
      <c r="FF6" s="1105"/>
      <c r="FG6" s="1107" t="s">
        <v>224</v>
      </c>
      <c r="FH6" s="1108"/>
      <c r="FI6" s="1109"/>
      <c r="FJ6" s="1013" t="s">
        <v>203</v>
      </c>
      <c r="FK6" s="1014" t="s">
        <v>214</v>
      </c>
      <c r="FL6" s="1000"/>
      <c r="FM6" s="933"/>
      <c r="FN6" s="1053" t="s">
        <v>204</v>
      </c>
      <c r="FO6" s="1060" t="s">
        <v>227</v>
      </c>
      <c r="FP6" s="1051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4" t="s">
        <v>218</v>
      </c>
      <c r="FV6" s="1000"/>
      <c r="FW6" s="933"/>
      <c r="FX6" s="1053" t="s">
        <v>219</v>
      </c>
      <c r="FY6" s="1060" t="s">
        <v>227</v>
      </c>
      <c r="FZ6" s="1051" t="s">
        <v>225</v>
      </c>
      <c r="GA6" s="1055" t="s">
        <v>239</v>
      </c>
      <c r="GB6" s="336" t="s">
        <v>207</v>
      </c>
      <c r="GC6" s="337" t="s">
        <v>240</v>
      </c>
      <c r="GD6" s="338" t="s">
        <v>226</v>
      </c>
      <c r="GE6" s="985"/>
      <c r="GF6" s="1010" t="s">
        <v>260</v>
      </c>
      <c r="GG6" s="336" t="s">
        <v>207</v>
      </c>
      <c r="GH6" s="337" t="s">
        <v>240</v>
      </c>
      <c r="GI6" s="338" t="s">
        <v>226</v>
      </c>
      <c r="GJ6" s="989"/>
      <c r="GK6" s="1037"/>
      <c r="GL6" s="1040"/>
      <c r="GM6" s="1040"/>
      <c r="GN6" s="1041"/>
      <c r="GO6" s="994" t="s">
        <v>238</v>
      </c>
      <c r="GP6" s="998" t="s">
        <v>225</v>
      </c>
      <c r="GQ6" s="1000" t="s">
        <v>203</v>
      </c>
      <c r="GR6" s="984"/>
      <c r="GS6" s="1079" t="s">
        <v>252</v>
      </c>
      <c r="GT6" s="1080"/>
      <c r="GU6" s="1065" t="s">
        <v>251</v>
      </c>
      <c r="GV6" s="1066"/>
      <c r="GW6" s="1066"/>
      <c r="GX6" s="361" t="s">
        <v>106</v>
      </c>
      <c r="GY6" s="880" t="s">
        <v>250</v>
      </c>
      <c r="GZ6" s="987"/>
      <c r="HA6" s="1062" t="s">
        <v>252</v>
      </c>
      <c r="HB6" s="1063"/>
      <c r="HC6" s="1063"/>
      <c r="HD6" s="1064"/>
      <c r="HE6" s="880" t="s">
        <v>251</v>
      </c>
      <c r="HF6" s="878"/>
      <c r="HG6" s="878"/>
      <c r="HH6" s="884"/>
      <c r="HI6" s="1082"/>
      <c r="HN6" s="971" t="s">
        <v>238</v>
      </c>
      <c r="HO6" s="974" t="s">
        <v>265</v>
      </c>
      <c r="HP6" s="954" t="s">
        <v>203</v>
      </c>
      <c r="HQ6" s="391"/>
      <c r="HS6" s="1077"/>
      <c r="HT6" s="906" t="s">
        <v>270</v>
      </c>
      <c r="HU6" s="904"/>
      <c r="HV6" s="990"/>
      <c r="HW6" s="932" t="s">
        <v>258</v>
      </c>
      <c r="HX6" s="875"/>
      <c r="HY6" s="876"/>
      <c r="HZ6" s="932" t="s">
        <v>249</v>
      </c>
      <c r="IA6" s="906"/>
      <c r="IE6" s="853"/>
      <c r="IF6" s="853"/>
    </row>
    <row r="7" spans="1:283" ht="15" customHeight="1" thickBot="1" x14ac:dyDescent="0.4">
      <c r="A7" s="143"/>
      <c r="B7" s="1251" t="s">
        <v>40</v>
      </c>
      <c r="C7" s="1252"/>
      <c r="D7" s="1253"/>
      <c r="E7" s="1254" t="s">
        <v>41</v>
      </c>
      <c r="F7" s="1252"/>
      <c r="G7" s="1255"/>
      <c r="H7" s="1230" t="s">
        <v>98</v>
      </c>
      <c r="I7" s="1231"/>
      <c r="J7" s="1232"/>
      <c r="K7" s="173"/>
      <c r="L7" s="984"/>
      <c r="M7" s="124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$Q$7</f>
        <v>&lt; θ°</v>
      </c>
      <c r="X7" s="27" t="str">
        <f>$R$7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4"/>
      <c r="AS7" s="1209" t="s">
        <v>54</v>
      </c>
      <c r="AT7" s="1207" t="s">
        <v>53</v>
      </c>
      <c r="AV7" s="120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6"/>
      <c r="BC7" s="37" t="str">
        <f>$Q$7</f>
        <v>&lt; θ°</v>
      </c>
      <c r="BD7" s="27" t="str">
        <f>$R$7</f>
        <v>r</v>
      </c>
      <c r="BE7" s="1172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6"/>
      <c r="FK7" s="350" t="s">
        <v>211</v>
      </c>
      <c r="FL7" s="351" t="s">
        <v>212</v>
      </c>
      <c r="FM7" s="352" t="s">
        <v>213</v>
      </c>
      <c r="FN7" s="1054"/>
      <c r="FO7" s="1061"/>
      <c r="FP7" s="1052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4"/>
      <c r="FY7" s="1061"/>
      <c r="FZ7" s="1052"/>
      <c r="GA7" s="1056"/>
      <c r="GB7" s="223" t="s">
        <v>232</v>
      </c>
      <c r="GC7" s="131" t="s">
        <v>233</v>
      </c>
      <c r="GD7" s="224" t="s">
        <v>234</v>
      </c>
      <c r="GE7" s="986"/>
      <c r="GF7" s="1035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5"/>
      <c r="GP7" s="999"/>
      <c r="GQ7" s="1001"/>
      <c r="GR7" s="1003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3"/>
      <c r="HJ7" s="31"/>
      <c r="HK7" s="1032" t="s">
        <v>246</v>
      </c>
      <c r="HL7" s="1032" t="s">
        <v>237</v>
      </c>
      <c r="HM7" s="922" t="s">
        <v>245</v>
      </c>
      <c r="HN7" s="972"/>
      <c r="HO7" s="1089"/>
      <c r="HP7" s="1084"/>
      <c r="HQ7" s="392"/>
      <c r="HR7" s="412"/>
      <c r="HS7" s="1077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220" t="s">
        <v>364</v>
      </c>
      <c r="JC7" s="1220"/>
      <c r="JD7" s="1220"/>
      <c r="JE7" s="122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4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-0.21529999999999996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0"/>
      <c r="AT8" s="1208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6"/>
      <c r="HL8" s="1086"/>
      <c r="HM8" s="934"/>
      <c r="HN8" s="973"/>
      <c r="HO8" s="975"/>
      <c r="HP8" s="1085"/>
      <c r="HQ8" s="393" t="s">
        <v>49</v>
      </c>
      <c r="HR8" s="413" t="s">
        <v>51</v>
      </c>
      <c r="HS8" s="1078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0.29540089092908706</v>
      </c>
      <c r="D9" s="704">
        <v>-0.44050132855200697</v>
      </c>
      <c r="E9" s="705">
        <v>-0.93969263802333458</v>
      </c>
      <c r="F9" s="703">
        <v>-4.1681758538640527E-2</v>
      </c>
      <c r="G9" s="706">
        <v>0.33947073077052287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$36,MATCH((((ROUND($H9,6)*2)*1000000)+ROUND($I9,6)),Settings!$AI$14:$AI$36,0)),"Undefined")="Undefined","Undefined",IFERROR(INDEX(_xlfn.ANCHORARRAY(Settings!$BC$14),MATCH(IFERROR(INDEX(Settings!$AK$14:$AK$36,MATCH((((ROUND($H9,6)*2)*1000000)+ROUND($I9,6)),Settings!$AI$14:$AI$36,0)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0.29540089092908706</v>
      </c>
      <c r="P9" s="625">
        <f t="shared" ref="P9:P40" si="4">IF(M9="","",D9)</f>
        <v>-0.44050132855200697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0.29540089092908706</v>
      </c>
      <c r="S9" s="626">
        <f>IF(M9="","",P9)</f>
        <v>-0.44050132855200697</v>
      </c>
      <c r="T9" s="627">
        <f>IF(M9="","",X9*COS(RADIANS(W9)))</f>
        <v>0.29540089092908706</v>
      </c>
      <c r="U9" s="624">
        <f>IF(M9="","",X9*SIN(RADIANS(W9)))</f>
        <v>0</v>
      </c>
      <c r="V9" s="628">
        <f>IF(M9="","",Y9)</f>
        <v>-0.44050132855200697</v>
      </c>
      <c r="W9" s="583">
        <f t="shared" ref="W9:W14" si="5">IF(M9="","",IF(Q9-$Q$8&lt;0,360+Q9-$Q$8,Q9-$Q$8))</f>
        <v>0</v>
      </c>
      <c r="X9" s="629">
        <f>IF(M9="","",R9)</f>
        <v>0.29540089092908706</v>
      </c>
      <c r="Y9" s="630">
        <f>IF(M9="","",S9)</f>
        <v>-0.44050132855200697</v>
      </c>
      <c r="Z9" s="623">
        <f t="shared" ref="Z9:Z40" si="6">IF(M9="","",-E9)</f>
        <v>0.93969263802333458</v>
      </c>
      <c r="AA9" s="624">
        <f t="shared" ref="AA9:AA40" si="7">IF(M9="","",-F9)</f>
        <v>4.1681758538640527E-2</v>
      </c>
      <c r="AB9" s="624">
        <f t="shared" ref="AB9:AB40" si="8">IF(M9="","",-G9)</f>
        <v>-0.33947073077052287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4.1681758538640527E-2</v>
      </c>
      <c r="AF9" s="625">
        <f>IF(M9="","",AB9*(1/SQRT(Z9^2+AA9^2+AB9^2)))</f>
        <v>-0.33947073077052287</v>
      </c>
      <c r="AG9" s="599">
        <f>IF(M9="","",DEGREES(ATAN2(-AF9,AE9)))</f>
        <v>6.9999989893251904</v>
      </c>
      <c r="AH9" s="600">
        <f>IF(M9="","",DEGREES(ACOS(AD9)))</f>
        <v>19.999997112357679</v>
      </c>
      <c r="AI9" s="583">
        <f>IF(M9="","",DEGREES(-ACOS(-AF9)))</f>
        <v>-70.155368582028359</v>
      </c>
      <c r="AJ9" s="601">
        <f>IF(M9="","",DEGREES(ATAN2(-AE9,AD9)))</f>
        <v>92.539792611399378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4.1681758538640527E-2</v>
      </c>
      <c r="AM9" s="626">
        <f>IF(M9="","",AF9)</f>
        <v>-0.33947073077052287</v>
      </c>
      <c r="AN9" s="581">
        <f>IF(M9="","",DEGREES(ATAN2(-AM9,AL9)))</f>
        <v>6.9999989893251904</v>
      </c>
      <c r="AO9" s="582">
        <f>IF(ROUND(IF(M9="",0,DEGREES(ACOS(AK9))),4)=90,0,IF(M9="","",DEGREES(ACOS(AK9))))</f>
        <v>19.999997112357679</v>
      </c>
      <c r="AP9" s="781">
        <f>IF(M9="","",DEGREES(ATAN2(AK9,AL9)))</f>
        <v>2.5397926113993767</v>
      </c>
      <c r="AQ9" s="584">
        <f t="shared" ref="AQ9:AQ40" si="9">IF(M9="","",DEGREES(ATAN(($AS$5*SIN(RADIANS(90)))/(($X9*2*PI())-($AS$5*COS(RADIANS(90)))))))</f>
        <v>7.6712299304995861</v>
      </c>
      <c r="AS9" s="51">
        <f>IF(M9="","",W9)</f>
        <v>0</v>
      </c>
      <c r="AT9" s="71">
        <f t="shared" ref="AT9:AT40" si="10">IF(M9="","",Y9+(((AS9-$AS$9)*$AS$6)*-1))</f>
        <v>-0.44050132855200697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1313</v>
      </c>
      <c r="JB9" s="786" cm="1">
        <f t="array" ref="JB9">IF($JA9="","",COUNT(IF(IF($II$9:$II$150="",$IJ$9:$IJ$150,"")=$JA9,$IG$9:$IG$150,"")))</f>
        <v>67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1.7074049960401645E-17</v>
      </c>
      <c r="C10" s="708">
        <v>0.91730276658514398</v>
      </c>
      <c r="D10" s="709">
        <v>-0.36779999999999996</v>
      </c>
      <c r="E10" s="710">
        <v>-0.95371695074822693</v>
      </c>
      <c r="F10" s="708">
        <v>-3.6646813078912426E-2</v>
      </c>
      <c r="G10" s="711">
        <v>0.29846438472062853</v>
      </c>
      <c r="H10" s="710">
        <v>0.26600000000000001</v>
      </c>
      <c r="I10" s="708">
        <v>0.52</v>
      </c>
      <c r="J10" s="570">
        <v>1.1040000000000001</v>
      </c>
      <c r="K10" s="865">
        <f>IF($J10="","",IF(IFERROR(INDEX(Settings!$AK$14:$AK$36,MATCH((((ROUND($H10,6)*2)*1000000)+ROUND($I10,6)),Settings!$AI$14:$AI$36,0)),"Undefined")="Undefined","Undefined",IFERROR(INDEX(_xlfn.ANCHORARRAY(Settings!$BC$14),MATCH(IFERROR(INDEX(Settings!$AK$14:$AK$36,MATCH((((ROUND($H10,6)*2)*1000000)+ROUND($I10,6)),Settings!$AI$14:$AI$36,0)),"Undefined"),_xlfn.ANCHORARRAY(Settings!$BC$14),0)),"Inactive")))</f>
        <v>1313</v>
      </c>
      <c r="M10" s="168">
        <f t="shared" si="1"/>
        <v>1.1040000000000001</v>
      </c>
      <c r="N10" s="632">
        <f t="shared" si="2"/>
        <v>1.7074049960401645E-17</v>
      </c>
      <c r="O10" s="629">
        <f t="shared" si="3"/>
        <v>0.91730276658514398</v>
      </c>
      <c r="P10" s="633">
        <f t="shared" si="4"/>
        <v>-0.36779999999999996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0.91730276658514398</v>
      </c>
      <c r="S10" s="634">
        <f t="shared" ref="S10:S105" si="80">IF(M10="","",P10)</f>
        <v>-0.36779999999999996</v>
      </c>
      <c r="T10" s="635">
        <f t="shared" ref="T10:T105" si="81">IF(M10="","",X10*COS(RADIANS(W10)))</f>
        <v>0.91730276658514398</v>
      </c>
      <c r="U10" s="629">
        <f t="shared" ref="U10:U105" si="82">IF(M10="","",X10*SIN(RADIANS(W10)))</f>
        <v>0</v>
      </c>
      <c r="V10" s="636">
        <f>IF(M10="","",Y10)</f>
        <v>-0.36779999999999996</v>
      </c>
      <c r="W10" s="585">
        <f t="shared" si="5"/>
        <v>0</v>
      </c>
      <c r="X10" s="629">
        <f t="shared" ref="X10:X105" si="83">IF(M10="","",R10)</f>
        <v>0.91730276658514398</v>
      </c>
      <c r="Y10" s="630">
        <f>IF(M10="","",S10)</f>
        <v>-0.36779999999999996</v>
      </c>
      <c r="Z10" s="632">
        <f t="shared" si="6"/>
        <v>0.95371695074822693</v>
      </c>
      <c r="AA10" s="629">
        <f t="shared" si="7"/>
        <v>3.6646813078912426E-2</v>
      </c>
      <c r="AB10" s="629">
        <f t="shared" si="8"/>
        <v>-0.29846438472062853</v>
      </c>
      <c r="AC10" s="636">
        <f t="shared" ref="AC10:AC105" si="84">IF(M10="","",SQRT(Z10^2+AA10^2+AB10^2))</f>
        <v>1</v>
      </c>
      <c r="AD10" s="637">
        <f>IF(M10="","",Z10*(1/SQRT(Z10^2+AA10^2+AB10^2)))</f>
        <v>0.95371695074822693</v>
      </c>
      <c r="AE10" s="629">
        <f t="shared" ref="AE10:AE105" si="85">IF(M10="","",AA10*(1/SQRT(Z10^2+AA10^2+AB10^2)))</f>
        <v>3.6646813078912426E-2</v>
      </c>
      <c r="AF10" s="633">
        <f t="shared" ref="AF10:AF105" si="86">IF(M10="","",AB10*(1/SQRT(Z10^2+AA10^2+AB10^2)))</f>
        <v>-0.29846438472062853</v>
      </c>
      <c r="AG10" s="602">
        <f t="shared" ref="AG10:AG105" si="87">IF(M10="","",DEGREES(ATAN2(-AF10,AE10)))</f>
        <v>6.9999989893251939</v>
      </c>
      <c r="AH10" s="603">
        <f t="shared" ref="AH10:AH105" si="88">IF(M10="","",DEGREES(ACOS(AD10)))</f>
        <v>17.499999999999993</v>
      </c>
      <c r="AI10" s="585">
        <f t="shared" ref="AI10:AI105" si="89">IF(M10="","",DEGREES(-ACOS(-AF10)))</f>
        <v>-72.634606162444484</v>
      </c>
      <c r="AJ10" s="586">
        <f t="shared" ref="AJ10:AJ105" si="90">IF(M10="","",DEGREES(ATAN2(-AE10,AD10)))</f>
        <v>92.200522103363141</v>
      </c>
      <c r="AK10" s="635">
        <f>IF(M10="","",(COS(RADIANS((90-$Q$8)-W10))*AD10)+(-SIN(RADIANS((90-$Q$8)-W10))*AE10))</f>
        <v>0.95371695074822693</v>
      </c>
      <c r="AL10" s="629">
        <f t="shared" ref="AL10:AL105" si="91">IF(M10="","",(SIN(RADIANS((90-$Q$8)-W10))*AD10)+(COS(RADIANS((90-$Q$8)-W10))*AE10))</f>
        <v>3.6646813078912426E-2</v>
      </c>
      <c r="AM10" s="634">
        <f t="shared" ref="AM10:AM105" si="92">IF(M10="","",AF10)</f>
        <v>-0.29846438472062853</v>
      </c>
      <c r="AN10" s="581">
        <f t="shared" ref="AN10:AN105" si="93">IF(M10="","",DEGREES(ATAN2(-AM10,AL10)))</f>
        <v>6.9999989893251939</v>
      </c>
      <c r="AO10" s="582">
        <f t="shared" ref="AO10:AO54" si="94">IF(ROUND(IF(M10="",0,DEGREES(ACOS(AK10))),4)=90,0,IF(M10="","",DEGREES(ACOS(AK10))))</f>
        <v>17.499999999999993</v>
      </c>
      <c r="AP10" s="585">
        <f t="shared" ref="AP10:AP105" si="95">IF(M10="","",DEGREES(ATAN2(AK10,AL10)))</f>
        <v>2.2005221033631353</v>
      </c>
      <c r="AQ10" s="586">
        <f t="shared" si="9"/>
        <v>2.4836930498845988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-0.36779999999999996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1313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1.2805537470301234E-17</v>
      </c>
      <c r="C11" s="708">
        <v>1.5387046407331968</v>
      </c>
      <c r="D11" s="709">
        <v>-0.29159999999999997</v>
      </c>
      <c r="E11" s="710">
        <v>-0.95371695074822693</v>
      </c>
      <c r="F11" s="708">
        <v>-3.6646813078912439E-2</v>
      </c>
      <c r="G11" s="711">
        <v>0.29846438472062853</v>
      </c>
      <c r="H11" s="710">
        <v>0.26600000000000001</v>
      </c>
      <c r="I11" s="708">
        <v>0.52</v>
      </c>
      <c r="J11" s="570">
        <v>1.107</v>
      </c>
      <c r="K11" s="865">
        <f>IF($J11="","",IF(IFERROR(INDEX(Settings!$AK$14:$AK$36,MATCH((((ROUND($H11,6)*2)*1000000)+ROUND($I11,6)),Settings!$AI$14:$AI$36,0)),"Undefined")="Undefined","Undefined",IFERROR(INDEX(_xlfn.ANCHORARRAY(Settings!$BC$14),MATCH(IFERROR(INDEX(Settings!$AK$14:$AK$36,MATCH((((ROUND($H11,6)*2)*1000000)+ROUND($I11,6)),Settings!$AI$14:$AI$36,0)),"Undefined"),_xlfn.ANCHORARRAY(Settings!$BC$14),0)),"Inactive")))</f>
        <v>1313</v>
      </c>
      <c r="L11" s="779" t="s">
        <v>332</v>
      </c>
      <c r="M11" s="168">
        <f t="shared" si="1"/>
        <v>1.107</v>
      </c>
      <c r="N11" s="632">
        <f t="shared" si="2"/>
        <v>1.2805537470301234E-17</v>
      </c>
      <c r="O11" s="629">
        <f t="shared" si="3"/>
        <v>1.5387046407331968</v>
      </c>
      <c r="P11" s="633">
        <f t="shared" si="4"/>
        <v>-0.29159999999999997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1.5387046407331968</v>
      </c>
      <c r="S11" s="634">
        <f t="shared" si="80"/>
        <v>-0.29159999999999997</v>
      </c>
      <c r="T11" s="635">
        <f t="shared" si="81"/>
        <v>1.5387046407331968</v>
      </c>
      <c r="U11" s="629">
        <f t="shared" si="82"/>
        <v>0</v>
      </c>
      <c r="V11" s="636">
        <f t="shared" ref="V11:V105" si="114">IF(M11="","",Y11)</f>
        <v>-0.29159999999999997</v>
      </c>
      <c r="W11" s="585">
        <f t="shared" si="5"/>
        <v>0</v>
      </c>
      <c r="X11" s="629">
        <f>IF(M11="","",R11)</f>
        <v>1.5387046407331968</v>
      </c>
      <c r="Y11" s="630">
        <f>IF(M11="","",S11)</f>
        <v>-0.29159999999999997</v>
      </c>
      <c r="Z11" s="632">
        <f t="shared" si="6"/>
        <v>0.95371695074822693</v>
      </c>
      <c r="AA11" s="629">
        <f t="shared" si="7"/>
        <v>3.6646813078912439E-2</v>
      </c>
      <c r="AB11" s="629">
        <f t="shared" si="8"/>
        <v>-0.29846438472062853</v>
      </c>
      <c r="AC11" s="636">
        <f t="shared" si="84"/>
        <v>1</v>
      </c>
      <c r="AD11" s="637">
        <f t="shared" ref="AD11:AD105" si="115">IF(M11="","",Z11*(1/SQRT(Z11^2+AA11^2+AB11^2)))</f>
        <v>0.95371695074822693</v>
      </c>
      <c r="AE11" s="629">
        <f t="shared" si="85"/>
        <v>3.6646813078912439E-2</v>
      </c>
      <c r="AF11" s="633">
        <f t="shared" si="86"/>
        <v>-0.29846438472062853</v>
      </c>
      <c r="AG11" s="602">
        <f>IF(M11="","",DEGREES(ATAN2(-AF11,AE11)))</f>
        <v>6.9999989893251966</v>
      </c>
      <c r="AH11" s="603">
        <f t="shared" si="88"/>
        <v>17.499999999999993</v>
      </c>
      <c r="AI11" s="585">
        <f t="shared" si="89"/>
        <v>-72.634606162444484</v>
      </c>
      <c r="AJ11" s="586">
        <f t="shared" si="90"/>
        <v>92.200522103363141</v>
      </c>
      <c r="AK11" s="635">
        <f>IF(M11="","",(COS(RADIANS((90-$Q$8)-W11))*AD11)+(-SIN(RADIANS((90-$Q$8)-W11))*AE11))</f>
        <v>0.95371695074822693</v>
      </c>
      <c r="AL11" s="629">
        <f t="shared" si="91"/>
        <v>3.6646813078912439E-2</v>
      </c>
      <c r="AM11" s="634">
        <f t="shared" si="92"/>
        <v>-0.29846438472062853</v>
      </c>
      <c r="AN11" s="581">
        <f>IF(M11="","",DEGREES(ATAN2(-AM11,AL11)))</f>
        <v>6.9999989893251966</v>
      </c>
      <c r="AO11" s="582">
        <f>IF(ROUND(IF(M11="",0,DEGREES(ACOS(AK11))),4)=90,0,IF(M11="","",DEGREES(ACOS(AK11))))</f>
        <v>17.499999999999993</v>
      </c>
      <c r="AP11" s="585">
        <f t="shared" si="95"/>
        <v>2.2005221033631361</v>
      </c>
      <c r="AQ11" s="586">
        <f t="shared" si="9"/>
        <v>1.4812580982406454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-0.29159999999999997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1313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1.2805537470301234E-17</v>
      </c>
      <c r="C12" s="708">
        <v>2.1597065136748452</v>
      </c>
      <c r="D12" s="709">
        <v>-0.21529999999999996</v>
      </c>
      <c r="E12" s="710">
        <v>-0.95371695074822693</v>
      </c>
      <c r="F12" s="708">
        <v>-3.6646813078912426E-2</v>
      </c>
      <c r="G12" s="711">
        <v>0.29846438472062853</v>
      </c>
      <c r="H12" s="710">
        <v>0.26600000000000001</v>
      </c>
      <c r="I12" s="708">
        <v>0.52</v>
      </c>
      <c r="J12" s="570">
        <v>1.1100000000000001</v>
      </c>
      <c r="K12" s="865">
        <f>IF($J12="","",IF(IFERROR(INDEX(Settings!$AK$14:$AK$36,MATCH((((ROUND($H12,6)*2)*1000000)+ROUND($I12,6)),Settings!$AI$14:$AI$36,0)),"Undefined")="Undefined","Undefined",IFERROR(INDEX(_xlfn.ANCHORARRAY(Settings!$BC$14),MATCH(IFERROR(INDEX(Settings!$AK$14:$AK$36,MATCH((((ROUND($H12,6)*2)*1000000)+ROUND($I12,6)),Settings!$AI$14:$AI$36,0)),"Undefined"),_xlfn.ANCHORARRAY(Settings!$BC$14),0)),"Inactive")))</f>
        <v>1313</v>
      </c>
      <c r="L12" s="773" t="s">
        <v>366</v>
      </c>
      <c r="M12" s="168">
        <f t="shared" si="1"/>
        <v>1.1100000000000001</v>
      </c>
      <c r="N12" s="632">
        <f t="shared" si="2"/>
        <v>1.2805537470301234E-17</v>
      </c>
      <c r="O12" s="629">
        <f t="shared" si="3"/>
        <v>2.1597065136748452</v>
      </c>
      <c r="P12" s="633">
        <f t="shared" si="4"/>
        <v>-0.21529999999999996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2.1597065136748452</v>
      </c>
      <c r="S12" s="634">
        <f t="shared" si="80"/>
        <v>-0.21529999999999996</v>
      </c>
      <c r="T12" s="635">
        <f>IF(M12="","",X12*COS(RADIANS(W12)))</f>
        <v>2.1597065136748452</v>
      </c>
      <c r="U12" s="629">
        <f t="shared" si="82"/>
        <v>0</v>
      </c>
      <c r="V12" s="636">
        <f t="shared" si="114"/>
        <v>-0.21529999999999996</v>
      </c>
      <c r="W12" s="585">
        <f>IF(M12="","",IF(Q12-$Q$8&lt;0,360+Q12-$Q$8,Q12-$Q$8))</f>
        <v>0</v>
      </c>
      <c r="X12" s="629">
        <f t="shared" si="83"/>
        <v>2.1597065136748452</v>
      </c>
      <c r="Y12" s="630">
        <f>IF(M12="","",S12)</f>
        <v>-0.21529999999999996</v>
      </c>
      <c r="Z12" s="632">
        <f t="shared" si="6"/>
        <v>0.95371695074822693</v>
      </c>
      <c r="AA12" s="629">
        <f t="shared" si="7"/>
        <v>3.6646813078912426E-2</v>
      </c>
      <c r="AB12" s="629">
        <f t="shared" si="8"/>
        <v>-0.29846438472062853</v>
      </c>
      <c r="AC12" s="636">
        <f t="shared" si="84"/>
        <v>1</v>
      </c>
      <c r="AD12" s="637">
        <f t="shared" si="115"/>
        <v>0.95371695074822693</v>
      </c>
      <c r="AE12" s="629">
        <f t="shared" si="85"/>
        <v>3.6646813078912426E-2</v>
      </c>
      <c r="AF12" s="633">
        <f t="shared" si="86"/>
        <v>-0.29846438472062853</v>
      </c>
      <c r="AG12" s="602">
        <f t="shared" si="87"/>
        <v>6.9999989893251939</v>
      </c>
      <c r="AH12" s="603">
        <f t="shared" si="88"/>
        <v>17.499999999999993</v>
      </c>
      <c r="AI12" s="585">
        <f t="shared" si="89"/>
        <v>-72.634606162444484</v>
      </c>
      <c r="AJ12" s="586">
        <f t="shared" si="90"/>
        <v>92.200522103363141</v>
      </c>
      <c r="AK12" s="635">
        <f t="shared" ref="AK12:AK105" si="211">IF(M12="","",(COS(RADIANS((90-$Q$8)-W12))*AD12)+(-SIN(RADIANS((90-$Q$8)-W12))*AE12))</f>
        <v>0.95371695074822693</v>
      </c>
      <c r="AL12" s="629">
        <f>IF(M12="","",(SIN(RADIANS((90-$Q$8)-W12))*AD12)+(COS(RADIANS((90-$Q$8)-W12))*AE12))</f>
        <v>3.6646813078912426E-2</v>
      </c>
      <c r="AM12" s="634">
        <f t="shared" si="92"/>
        <v>-0.29846438472062853</v>
      </c>
      <c r="AN12" s="581">
        <f>IF(M12="","",DEGREES(ATAN2(-AM12,AL12)))</f>
        <v>6.9999989893251939</v>
      </c>
      <c r="AO12" s="582">
        <f t="shared" si="94"/>
        <v>17.499999999999993</v>
      </c>
      <c r="AP12" s="585">
        <f t="shared" si="95"/>
        <v>2.2005221033631353</v>
      </c>
      <c r="AQ12" s="586">
        <f t="shared" si="9"/>
        <v>1.0554530190542044</v>
      </c>
      <c r="AS12" s="52">
        <f t="shared" si="116"/>
        <v>0</v>
      </c>
      <c r="AT12" s="72">
        <f>IF(M12="","",Y12+(((AS12-$AS$9)*$AS$6)*-1))</f>
        <v>-0.21529999999999996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1313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-2.5611074940602468E-17</v>
      </c>
      <c r="C13" s="708">
        <v>2.7807083866164937</v>
      </c>
      <c r="D13" s="709">
        <v>-0.14230000000000012</v>
      </c>
      <c r="E13" s="710">
        <v>-0.96592582628906831</v>
      </c>
      <c r="F13" s="708">
        <v>-3.1542102555956505E-2</v>
      </c>
      <c r="G13" s="711">
        <v>0.25688984774437884</v>
      </c>
      <c r="H13" s="710">
        <v>0.26600000000000001</v>
      </c>
      <c r="I13" s="708">
        <v>0.52</v>
      </c>
      <c r="J13" s="570">
        <v>1.113</v>
      </c>
      <c r="K13" s="865">
        <f>IF($J13="","",IF(IFERROR(INDEX(Settings!$AK$14:$AK$36,MATCH((((ROUND($H13,6)*2)*1000000)+ROUND($I13,6)),Settings!$AI$14:$AI$36,0)),"Undefined")="Undefined","Undefined",IFERROR(INDEX(_xlfn.ANCHORARRAY(Settings!$BC$14),MATCH(IFERROR(INDEX(Settings!$AK$14:$AK$36,MATCH((((ROUND($H13,6)*2)*1000000)+ROUND($I13,6)),Settings!$AI$14:$AI$36,0)),"Undefined"),_xlfn.ANCHORARRAY(Settings!$BC$14),0)),"Inactive")))</f>
        <v>1313</v>
      </c>
      <c r="L13" s="774" t="str">
        <f>IF($L12=$JH$22,$JH$29,IF($L12=$JI$22,$JI$29,""))</f>
        <v/>
      </c>
      <c r="M13" s="168">
        <f t="shared" si="1"/>
        <v>1.113</v>
      </c>
      <c r="N13" s="632">
        <f t="shared" si="2"/>
        <v>-2.5611074940602468E-17</v>
      </c>
      <c r="O13" s="629">
        <f t="shared" si="3"/>
        <v>2.7807083866164937</v>
      </c>
      <c r="P13" s="633">
        <f t="shared" si="4"/>
        <v>-0.14230000000000012</v>
      </c>
      <c r="Q13" s="585">
        <f t="shared" si="113"/>
        <v>90</v>
      </c>
      <c r="R13" s="629">
        <f t="shared" si="79"/>
        <v>2.7807083866164937</v>
      </c>
      <c r="S13" s="634">
        <f t="shared" si="80"/>
        <v>-0.14230000000000012</v>
      </c>
      <c r="T13" s="635">
        <f>IF(M13="","",X13*COS(RADIANS(W13)))</f>
        <v>2.7807083866164937</v>
      </c>
      <c r="U13" s="629">
        <f t="shared" si="82"/>
        <v>0</v>
      </c>
      <c r="V13" s="636">
        <f t="shared" si="114"/>
        <v>-0.14230000000000012</v>
      </c>
      <c r="W13" s="585">
        <f t="shared" si="5"/>
        <v>0</v>
      </c>
      <c r="X13" s="629">
        <f t="shared" si="83"/>
        <v>2.7807083866164937</v>
      </c>
      <c r="Y13" s="630">
        <f>IF(M13="","",S13)</f>
        <v>-0.14230000000000012</v>
      </c>
      <c r="Z13" s="632">
        <f t="shared" si="6"/>
        <v>0.96592582628906831</v>
      </c>
      <c r="AA13" s="629">
        <f t="shared" si="7"/>
        <v>3.1542102555956505E-2</v>
      </c>
      <c r="AB13" s="629">
        <f t="shared" si="8"/>
        <v>-0.25688984774437884</v>
      </c>
      <c r="AC13" s="636">
        <f t="shared" si="84"/>
        <v>1</v>
      </c>
      <c r="AD13" s="637">
        <f>IF(M13="","",Z13*(1/SQRT(Z13^2+AA13^2+AB13^2)))</f>
        <v>0.96592582628906831</v>
      </c>
      <c r="AE13" s="629">
        <f t="shared" si="85"/>
        <v>3.1542102555956505E-2</v>
      </c>
      <c r="AF13" s="633">
        <f t="shared" si="86"/>
        <v>-0.25688984774437884</v>
      </c>
      <c r="AG13" s="602">
        <f>IF(M13="","",DEGREES(ATAN2(-AF13,AE13)))</f>
        <v>6.999998989325193</v>
      </c>
      <c r="AH13" s="603">
        <f t="shared" si="88"/>
        <v>14.999999999999982</v>
      </c>
      <c r="AI13" s="585">
        <f t="shared" si="89"/>
        <v>-75.114403586325636</v>
      </c>
      <c r="AJ13" s="586">
        <f t="shared" si="90"/>
        <v>91.870316896193032</v>
      </c>
      <c r="AK13" s="635">
        <f t="shared" si="211"/>
        <v>0.96592582628906831</v>
      </c>
      <c r="AL13" s="629">
        <f t="shared" si="91"/>
        <v>3.1542102555956505E-2</v>
      </c>
      <c r="AM13" s="634">
        <f t="shared" si="92"/>
        <v>-0.25688984774437884</v>
      </c>
      <c r="AN13" s="581">
        <f t="shared" si="93"/>
        <v>6.999998989325193</v>
      </c>
      <c r="AO13" s="582">
        <f t="shared" si="94"/>
        <v>14.999999999999982</v>
      </c>
      <c r="AP13" s="585">
        <f t="shared" si="95"/>
        <v>1.8703168961930337</v>
      </c>
      <c r="AQ13" s="586">
        <f t="shared" si="9"/>
        <v>0.81978069900996131</v>
      </c>
      <c r="AS13" s="52">
        <f t="shared" si="116"/>
        <v>0</v>
      </c>
      <c r="AT13" s="72">
        <f t="shared" si="10"/>
        <v>-0.14230000000000012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1.113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1313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-2.2409690573027161E-16</v>
      </c>
      <c r="C14" s="708">
        <v>3.4104102857974228</v>
      </c>
      <c r="D14" s="709">
        <v>-6.5000196040591193E-2</v>
      </c>
      <c r="E14" s="710">
        <v>-0.96592583607220739</v>
      </c>
      <c r="F14" s="708">
        <v>-2.2557559682354435E-2</v>
      </c>
      <c r="G14" s="711">
        <v>0.25783412440827963</v>
      </c>
      <c r="H14" s="710">
        <v>0.26600000000000001</v>
      </c>
      <c r="I14" s="708">
        <v>0.52</v>
      </c>
      <c r="J14" s="570">
        <v>1.117</v>
      </c>
      <c r="K14" s="865">
        <f>IF($J14="","",IF(IFERROR(INDEX(Settings!$AK$14:$AK$36,MATCH((((ROUND($H14,6)*2)*1000000)+ROUND($I14,6)),Settings!$AI$14:$AI$36,0)),"Undefined")="Undefined","Undefined",IFERROR(INDEX(_xlfn.ANCHORARRAY(Settings!$BC$14),MATCH(IFERROR(INDEX(Settings!$AK$14:$AK$36,MATCH((((ROUND($H14,6)*2)*1000000)+ROUND($I14,6)),Settings!$AI$14:$AI$36,0)),"Undefined"),_xlfn.ANCHORARRAY(Settings!$BC$14),0)),"Inactive")))</f>
        <v>1313</v>
      </c>
      <c r="L14" s="776" t="s">
        <v>367</v>
      </c>
      <c r="M14" s="168">
        <f t="shared" si="1"/>
        <v>1.117</v>
      </c>
      <c r="N14" s="632">
        <f t="shared" si="2"/>
        <v>-2.2409690573027161E-16</v>
      </c>
      <c r="O14" s="629">
        <f t="shared" si="3"/>
        <v>3.4104102857974228</v>
      </c>
      <c r="P14" s="633">
        <f t="shared" si="4"/>
        <v>-6.5000196040591193E-2</v>
      </c>
      <c r="Q14" s="585">
        <f t="shared" si="113"/>
        <v>90</v>
      </c>
      <c r="R14" s="629">
        <f t="shared" si="79"/>
        <v>3.4104102857974228</v>
      </c>
      <c r="S14" s="634">
        <f t="shared" si="80"/>
        <v>-6.5000196040591193E-2</v>
      </c>
      <c r="T14" s="635">
        <f t="shared" si="81"/>
        <v>3.4104102857974228</v>
      </c>
      <c r="U14" s="629">
        <f t="shared" si="82"/>
        <v>0</v>
      </c>
      <c r="V14" s="636">
        <f t="shared" si="114"/>
        <v>-6.5000196040591193E-2</v>
      </c>
      <c r="W14" s="585">
        <f t="shared" si="5"/>
        <v>0</v>
      </c>
      <c r="X14" s="629">
        <f t="shared" si="83"/>
        <v>3.4104102857974228</v>
      </c>
      <c r="Y14" s="630">
        <f t="shared" ref="Y14:Y75" si="223">IF(M14="","",S14)</f>
        <v>-6.5000196040591193E-2</v>
      </c>
      <c r="Z14" s="632">
        <f t="shared" si="6"/>
        <v>0.96592583607220739</v>
      </c>
      <c r="AA14" s="629">
        <f t="shared" si="7"/>
        <v>2.2557559682354435E-2</v>
      </c>
      <c r="AB14" s="629">
        <f t="shared" si="8"/>
        <v>-0.25783412440827963</v>
      </c>
      <c r="AC14" s="636">
        <f t="shared" si="84"/>
        <v>1</v>
      </c>
      <c r="AD14" s="637">
        <f>IF(M14="","",Z14*(1/SQRT(Z14^2+AA14^2+AB14^2)))</f>
        <v>0.96592583607220739</v>
      </c>
      <c r="AE14" s="629">
        <f t="shared" si="85"/>
        <v>2.2557559682354435E-2</v>
      </c>
      <c r="AF14" s="633">
        <f t="shared" si="86"/>
        <v>-0.25783412440827963</v>
      </c>
      <c r="AG14" s="602">
        <f t="shared" si="87"/>
        <v>4.9999992780894278</v>
      </c>
      <c r="AH14" s="603">
        <f t="shared" si="88"/>
        <v>14.999997834268255</v>
      </c>
      <c r="AI14" s="585">
        <f t="shared" si="89"/>
        <v>-75.058414528502141</v>
      </c>
      <c r="AJ14" s="586">
        <f t="shared" si="90"/>
        <v>91.337802589549781</v>
      </c>
      <c r="AK14" s="635">
        <f>IF(M14="","",(COS(RADIANS((90-$Q$8)-W14))*AD14)+(-SIN(RADIANS((90-$Q$8)-W14))*AE14))</f>
        <v>0.96592583607220739</v>
      </c>
      <c r="AL14" s="629">
        <f t="shared" si="91"/>
        <v>2.2557559682354435E-2</v>
      </c>
      <c r="AM14" s="634">
        <f t="shared" si="92"/>
        <v>-0.25783412440827963</v>
      </c>
      <c r="AN14" s="581">
        <f t="shared" si="93"/>
        <v>4.9999992780894278</v>
      </c>
      <c r="AO14" s="582">
        <f t="shared" si="94"/>
        <v>14.999997834268255</v>
      </c>
      <c r="AP14" s="585">
        <f>IF(M14="","",DEGREES(ATAN2(AK14,AL14)))</f>
        <v>1.3378025895497816</v>
      </c>
      <c r="AQ14" s="586">
        <f t="shared" si="9"/>
        <v>0.66843077932574446</v>
      </c>
      <c r="AS14" s="52">
        <f t="shared" si="116"/>
        <v>0</v>
      </c>
      <c r="AT14" s="72">
        <f t="shared" si="10"/>
        <v>-6.5000196040591193E-2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1.117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1313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7.1083937812253016E-3</v>
      </c>
      <c r="C15" s="708">
        <v>4.0728060803573687</v>
      </c>
      <c r="D15" s="709">
        <v>-7.090021383504494E-2</v>
      </c>
      <c r="E15" s="710">
        <v>-0.9651360452186718</v>
      </c>
      <c r="F15" s="708">
        <v>7.0974666005660686E-2</v>
      </c>
      <c r="G15" s="711">
        <v>0.25194247558727922</v>
      </c>
      <c r="H15" s="710">
        <v>0.26600000000000001</v>
      </c>
      <c r="I15" s="708">
        <v>0.52</v>
      </c>
      <c r="J15" s="570">
        <v>1.1240000000000001</v>
      </c>
      <c r="K15" s="865">
        <f>IF($J15="","",IF(IFERROR(INDEX(Settings!$AK$14:$AK$36,MATCH((((ROUND($H15,6)*2)*1000000)+ROUND($I15,6)),Settings!$AI$14:$AI$36,0)),"Undefined")="Undefined","Undefined",IFERROR(INDEX(_xlfn.ANCHORARRAY(Settings!$BC$14),MATCH(IFERROR(INDEX(Settings!$AK$14:$AK$36,MATCH((((ROUND($H15,6)*2)*1000000)+ROUND($I15,6)),Settings!$AI$14:$AI$36,0)),"Undefined"),_xlfn.ANCHORARRAY(Settings!$BC$14),0)),"Inactive")))</f>
        <v>1313</v>
      </c>
      <c r="L15" s="873">
        <f>IF($L14=$JH$22,$JH$29,IF($L14=$JI$22,$JI$29,""))</f>
        <v>0</v>
      </c>
      <c r="M15" s="168">
        <f t="shared" si="1"/>
        <v>1.1240000000000001</v>
      </c>
      <c r="N15" s="632">
        <f t="shared" si="2"/>
        <v>7.1083937812253016E-3</v>
      </c>
      <c r="O15" s="629">
        <f t="shared" si="3"/>
        <v>4.0728060803573687</v>
      </c>
      <c r="P15" s="633">
        <f t="shared" si="4"/>
        <v>-7.090021383504494E-2</v>
      </c>
      <c r="Q15" s="585">
        <f t="shared" si="113"/>
        <v>89.900000014438206</v>
      </c>
      <c r="R15" s="629">
        <f t="shared" si="79"/>
        <v>4.0728122836018485</v>
      </c>
      <c r="S15" s="634">
        <f t="shared" si="80"/>
        <v>-7.090021383504494E-2</v>
      </c>
      <c r="T15" s="635">
        <f t="shared" si="81"/>
        <v>4.0728060803573696</v>
      </c>
      <c r="U15" s="629">
        <f t="shared" si="82"/>
        <v>-7.1083937812273104E-3</v>
      </c>
      <c r="V15" s="636">
        <f t="shared" si="114"/>
        <v>-7.090021383504494E-2</v>
      </c>
      <c r="W15" s="585">
        <f t="shared" ref="W15:W78" si="224">IF(M15="","",IF(Q15-$Q$8&lt;0,360+Q15-$Q$8,Q15-$Q$8))</f>
        <v>359.90000001443821</v>
      </c>
      <c r="X15" s="629">
        <f>IF(M15="","",R15)</f>
        <v>4.0728122836018485</v>
      </c>
      <c r="Y15" s="630">
        <f>IF(M15="","",S15)</f>
        <v>-7.090021383504494E-2</v>
      </c>
      <c r="Z15" s="632">
        <f t="shared" si="6"/>
        <v>0.9651360452186718</v>
      </c>
      <c r="AA15" s="629">
        <f t="shared" si="7"/>
        <v>-7.0974666005660686E-2</v>
      </c>
      <c r="AB15" s="629">
        <f t="shared" si="8"/>
        <v>-0.25194247558727922</v>
      </c>
      <c r="AC15" s="636">
        <f t="shared" si="84"/>
        <v>1</v>
      </c>
      <c r="AD15" s="637">
        <f t="shared" si="115"/>
        <v>0.9651360452186718</v>
      </c>
      <c r="AE15" s="629">
        <f t="shared" si="85"/>
        <v>-7.0974666005660686E-2</v>
      </c>
      <c r="AF15" s="633">
        <f t="shared" si="86"/>
        <v>-0.25194247558727922</v>
      </c>
      <c r="AG15" s="602">
        <f t="shared" si="87"/>
        <v>-15.733048695403822</v>
      </c>
      <c r="AH15" s="603">
        <f t="shared" si="88"/>
        <v>15.173852807523165</v>
      </c>
      <c r="AI15" s="585">
        <f t="shared" si="89"/>
        <v>-75.40751229478343</v>
      </c>
      <c r="AJ15" s="586">
        <f t="shared" si="90"/>
        <v>85.794124553139326</v>
      </c>
      <c r="AK15" s="635">
        <f t="shared" si="211"/>
        <v>0.96525844931316507</v>
      </c>
      <c r="AL15" s="629">
        <f t="shared" si="91"/>
        <v>-6.9290078831658122E-2</v>
      </c>
      <c r="AM15" s="634">
        <f t="shared" si="92"/>
        <v>-0.25194247558727922</v>
      </c>
      <c r="AN15" s="581">
        <f>IF(M15="","",DEGREES(ATAN2(-AM15,AL15)))</f>
        <v>-15.377498247082411</v>
      </c>
      <c r="AO15" s="582">
        <f t="shared" si="94"/>
        <v>15.147035889012823</v>
      </c>
      <c r="AP15" s="585">
        <f t="shared" si="95"/>
        <v>-4.1058754612988562</v>
      </c>
      <c r="AQ15" s="586">
        <f t="shared" si="9"/>
        <v>0.55972481702710919</v>
      </c>
      <c r="AS15" s="52">
        <f t="shared" si="116"/>
        <v>-9.9999985561794347E-2</v>
      </c>
      <c r="AT15" s="72">
        <f t="shared" si="10"/>
        <v>-7.0830769400627033E-2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1.1240000000000001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1313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67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5.1959788037821183E-2</v>
      </c>
      <c r="C16" s="708">
        <v>4.7253285857610026</v>
      </c>
      <c r="D16" s="709">
        <v>-0.28900087162662841</v>
      </c>
      <c r="E16" s="710">
        <v>-0.95431080177182759</v>
      </c>
      <c r="F16" s="708">
        <v>0.19906766330020284</v>
      </c>
      <c r="G16" s="711">
        <v>0.22285187692682523</v>
      </c>
      <c r="H16" s="710">
        <v>0.26600000000000001</v>
      </c>
      <c r="I16" s="708">
        <v>0.52</v>
      </c>
      <c r="J16" s="570">
        <v>1.131</v>
      </c>
      <c r="K16" s="865">
        <f>IF($J16="","",IF(IFERROR(INDEX(Settings!$AK$14:$AK$36,MATCH((((ROUND($H16,6)*2)*1000000)+ROUND($I16,6)),Settings!$AI$14:$AI$36,0)),"Undefined")="Undefined","Undefined",IFERROR(INDEX(_xlfn.ANCHORARRAY(Settings!$BC$14),MATCH(IFERROR(INDEX(Settings!$AK$14:$AK$36,MATCH((((ROUND($H16,6)*2)*1000000)+ROUND($I16,6)),Settings!$AI$14:$AI$36,0)),"Undefined"),_xlfn.ANCHORARRAY(Settings!$BC$14),0)),"Inactive")))</f>
        <v>1313</v>
      </c>
      <c r="L16" s="320"/>
      <c r="M16" s="168">
        <f t="shared" si="1"/>
        <v>1.131</v>
      </c>
      <c r="N16" s="632">
        <f t="shared" si="2"/>
        <v>5.1959788037821183E-2</v>
      </c>
      <c r="O16" s="629">
        <f t="shared" si="3"/>
        <v>4.7253285857610026</v>
      </c>
      <c r="P16" s="633">
        <f t="shared" si="4"/>
        <v>-0.28900087162662841</v>
      </c>
      <c r="Q16" s="585">
        <f>IF(M16="","",IF(DEGREES(ATAN2(N16,O16))&lt;0,DEGREES(ATAN2(N16,O16))+360,IF(DEGREES(ATAN2(N16,O16))&gt;360,DEGREES(ATAN2(N16,O16))-360,DEGREES(ATAN2(N16,O16)))))</f>
        <v>89.370000090960716</v>
      </c>
      <c r="R16" s="629">
        <f t="shared" si="79"/>
        <v>4.7256142524525862</v>
      </c>
      <c r="S16" s="634">
        <f t="shared" si="80"/>
        <v>-0.28900087162662841</v>
      </c>
      <c r="T16" s="635">
        <f t="shared" si="81"/>
        <v>4.7253285857610026</v>
      </c>
      <c r="U16" s="629">
        <f t="shared" si="82"/>
        <v>-5.1959788037820434E-2</v>
      </c>
      <c r="V16" s="636">
        <f t="shared" si="114"/>
        <v>-0.28900087162662841</v>
      </c>
      <c r="W16" s="585">
        <f>IF(M16="","",IF(Q16-$Q$8&lt;0,360+Q16-$Q$8,Q16-$Q$8))</f>
        <v>359.37000009096073</v>
      </c>
      <c r="X16" s="629">
        <f t="shared" si="83"/>
        <v>4.7256142524525862</v>
      </c>
      <c r="Y16" s="630">
        <f t="shared" si="223"/>
        <v>-0.28900087162662841</v>
      </c>
      <c r="Z16" s="632">
        <f t="shared" si="6"/>
        <v>0.95431080177182759</v>
      </c>
      <c r="AA16" s="629">
        <f t="shared" si="7"/>
        <v>-0.19906766330020284</v>
      </c>
      <c r="AB16" s="629">
        <f t="shared" si="8"/>
        <v>-0.22285187692682523</v>
      </c>
      <c r="AC16" s="636">
        <f t="shared" si="84"/>
        <v>1</v>
      </c>
      <c r="AD16" s="637">
        <f t="shared" si="115"/>
        <v>0.95431080177182759</v>
      </c>
      <c r="AE16" s="629">
        <f t="shared" si="85"/>
        <v>-0.19906766330020284</v>
      </c>
      <c r="AF16" s="633">
        <f t="shared" si="86"/>
        <v>-0.22285187692682523</v>
      </c>
      <c r="AG16" s="602">
        <f t="shared" si="87"/>
        <v>-41.773568883188048</v>
      </c>
      <c r="AH16" s="603">
        <f t="shared" si="88"/>
        <v>17.386492346099075</v>
      </c>
      <c r="AI16" s="585">
        <f t="shared" si="89"/>
        <v>-77.123407119722259</v>
      </c>
      <c r="AJ16" s="586">
        <f t="shared" si="90"/>
        <v>78.217158861472072</v>
      </c>
      <c r="AK16" s="635">
        <f t="shared" si="211"/>
        <v>0.95644193187317939</v>
      </c>
      <c r="AL16" s="629">
        <f t="shared" si="91"/>
        <v>-0.18856264716240057</v>
      </c>
      <c r="AM16" s="634">
        <f t="shared" si="92"/>
        <v>-0.22285187692682523</v>
      </c>
      <c r="AN16" s="581">
        <f t="shared" si="93"/>
        <v>-40.235710200727091</v>
      </c>
      <c r="AO16" s="582">
        <f t="shared" si="94"/>
        <v>16.973097119440776</v>
      </c>
      <c r="AP16" s="585">
        <f t="shared" si="95"/>
        <v>-11.152841229488672</v>
      </c>
      <c r="AQ16" s="586">
        <f t="shared" si="9"/>
        <v>0.48240771256189152</v>
      </c>
      <c r="AS16" s="52">
        <f t="shared" si="116"/>
        <v>-0.62999990903927028</v>
      </c>
      <c r="AT16" s="72">
        <f t="shared" si="10"/>
        <v>-0.28856337168979557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1313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0.12252549356635295</v>
      </c>
      <c r="C17" s="708">
        <v>5.2773937725232081</v>
      </c>
      <c r="D17" s="709">
        <v>-0.70600212930242201</v>
      </c>
      <c r="E17" s="710">
        <v>-0.9379218480812237</v>
      </c>
      <c r="F17" s="708">
        <v>0.3089329681691495</v>
      </c>
      <c r="G17" s="711">
        <v>0.15768014481887477</v>
      </c>
      <c r="H17" s="710">
        <v>0.26600000000000001</v>
      </c>
      <c r="I17" s="708">
        <v>0.52</v>
      </c>
      <c r="J17" s="570">
        <v>1.1379999999999999</v>
      </c>
      <c r="K17" s="865">
        <f>IF($J17="","",IF(IFERROR(INDEX(Settings!$AK$14:$AK$36,MATCH((((ROUND($H17,6)*2)*1000000)+ROUND($I17,6)),Settings!$AI$14:$AI$36,0)),"Undefined")="Undefined","Undefined",IFERROR(INDEX(_xlfn.ANCHORARRAY(Settings!$BC$14),MATCH(IFERROR(INDEX(Settings!$AK$14:$AK$36,MATCH((((ROUND($H17,6)*2)*1000000)+ROUND($I17,6)),Settings!$AI$14:$AI$36,0)),"Undefined"),_xlfn.ANCHORARRAY(Settings!$BC$14),0)),"Inactive")))</f>
        <v>1313</v>
      </c>
      <c r="M17" s="168">
        <f t="shared" si="1"/>
        <v>1.1379999999999999</v>
      </c>
      <c r="N17" s="632">
        <f t="shared" si="2"/>
        <v>0.12252549356635295</v>
      </c>
      <c r="O17" s="629">
        <f t="shared" si="3"/>
        <v>5.2773937725232081</v>
      </c>
      <c r="P17" s="633">
        <f t="shared" si="4"/>
        <v>-0.70600212930242201</v>
      </c>
      <c r="Q17" s="585">
        <f>IF(M17="","",IF(DEGREES(ATAN2(N17,O17))&lt;0,DEGREES(ATAN2(N17,O17))+360,IF(DEGREES(ATAN2(N17,O17))&gt;360,DEGREES(ATAN2(N17,O17))-360,DEGREES(ATAN2(N17,O17)))))</f>
        <v>88.670000192028226</v>
      </c>
      <c r="R17" s="629">
        <f>IF(M17="","",SQRT(N17^2+O17^2))</f>
        <v>5.2788159209088183</v>
      </c>
      <c r="S17" s="634">
        <f>IF(M17="","",P17)</f>
        <v>-0.70600212930242201</v>
      </c>
      <c r="T17" s="635">
        <f>IF(M17="","",X17*COS(RADIANS(W17)))</f>
        <v>5.2773937725232081</v>
      </c>
      <c r="U17" s="629">
        <f>IF(M17="","",X17*SIN(RADIANS(W17)))</f>
        <v>-0.12252549356635239</v>
      </c>
      <c r="V17" s="636">
        <f>IF(M17="","",Y17)</f>
        <v>-0.70600212930242201</v>
      </c>
      <c r="W17" s="585">
        <f t="shared" si="224"/>
        <v>358.67000019202823</v>
      </c>
      <c r="X17" s="629">
        <f>IF(M17="","",R17)</f>
        <v>5.2788159209088183</v>
      </c>
      <c r="Y17" s="630">
        <f t="shared" si="223"/>
        <v>-0.70600212930242201</v>
      </c>
      <c r="Z17" s="632">
        <f t="shared" si="6"/>
        <v>0.9379218480812237</v>
      </c>
      <c r="AA17" s="629">
        <f t="shared" si="7"/>
        <v>-0.3089329681691495</v>
      </c>
      <c r="AB17" s="629">
        <f t="shared" si="8"/>
        <v>-0.15768014481887477</v>
      </c>
      <c r="AC17" s="636">
        <f>IF(M17="","",SQRT(Z17^2+AA17^2+AB17^2))</f>
        <v>1</v>
      </c>
      <c r="AD17" s="637">
        <f>IF(M17="","",Z17*(1/SQRT(Z17^2+AA17^2+AB17^2)))</f>
        <v>0.9379218480812237</v>
      </c>
      <c r="AE17" s="629">
        <f>IF(M17="","",AA17*(1/SQRT(Z17^2+AA17^2+AB17^2)))</f>
        <v>-0.3089329681691495</v>
      </c>
      <c r="AF17" s="633">
        <f>IF(M17="","",AB17*(1/SQRT(Z17^2+AA17^2+AB17^2)))</f>
        <v>-0.15768014481887477</v>
      </c>
      <c r="AG17" s="602">
        <f>IF(M17="","",DEGREES(ATAN2(-AF17,AE17)))</f>
        <v>-62.960122152947612</v>
      </c>
      <c r="AH17" s="603">
        <f>IF(M17="","",DEGREES(ACOS(AD17)))</f>
        <v>20.294563704368361</v>
      </c>
      <c r="AI17" s="585">
        <f>IF(M17="","",DEGREES(-ACOS(-AF17)))</f>
        <v>-80.927730904719851</v>
      </c>
      <c r="AJ17" s="586">
        <f>IF(M17="","",DEGREES(ATAN2(-AE17,AD17)))</f>
        <v>71.769135889312608</v>
      </c>
      <c r="AK17" s="635">
        <f>IF(M17="","",(COS(RADIANS((90-$Q$8)-W17))*AD17)+(-SIN(RADIANS((90-$Q$8)-W17))*AE17))</f>
        <v>0.94483974423613992</v>
      </c>
      <c r="AL17" s="629">
        <f>IF(M17="","",(SIN(RADIANS((90-$Q$8)-W17))*AD17)+(COS(RADIANS((90-$Q$8)-W17))*AE17))</f>
        <v>-0.28707983147843108</v>
      </c>
      <c r="AM17" s="634">
        <f>IF(M17="","",AF17)</f>
        <v>-0.15768014481887477</v>
      </c>
      <c r="AN17" s="581">
        <f>IF(M17="","",DEGREES(ATAN2(-AM17,AL17)))</f>
        <v>-61.221971263062741</v>
      </c>
      <c r="AO17" s="582">
        <f t="shared" si="94"/>
        <v>19.119106079053498</v>
      </c>
      <c r="AP17" s="585">
        <f>IF(M17="","",DEGREES(ATAN2(AK17,AL17)))</f>
        <v>-16.900864302715618</v>
      </c>
      <c r="AQ17" s="586">
        <f t="shared" si="9"/>
        <v>0.43185507790470057</v>
      </c>
      <c r="AS17" s="52">
        <f t="shared" si="116"/>
        <v>-1.3299998079717739</v>
      </c>
      <c r="AT17" s="72">
        <f t="shared" si="10"/>
        <v>-0.70507851832466384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1.1379999999999999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1313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0.18981774207508181</v>
      </c>
      <c r="C18" s="708">
        <v>5.6623363632111623</v>
      </c>
      <c r="D18" s="709">
        <v>-1.2610038031874702</v>
      </c>
      <c r="E18" s="710">
        <v>-0.90949379263174057</v>
      </c>
      <c r="F18" s="708">
        <v>0.4040829025972138</v>
      </c>
      <c r="G18" s="711">
        <v>9.7662935615018709E-2</v>
      </c>
      <c r="H18" s="710">
        <v>0.26600000000000001</v>
      </c>
      <c r="I18" s="708">
        <v>0.52</v>
      </c>
      <c r="J18" s="570">
        <v>1.145</v>
      </c>
      <c r="K18" s="865">
        <f>IF($J18="","",IF(IFERROR(INDEX(Settings!$AK$14:$AK$36,MATCH((((ROUND($H18,6)*2)*1000000)+ROUND($I18,6)),Settings!$AI$14:$AI$36,0)),"Undefined")="Undefined","Undefined",IFERROR(INDEX(_xlfn.ANCHORARRAY(Settings!$BC$14),MATCH(IFERROR(INDEX(Settings!$AK$14:$AK$36,MATCH((((ROUND($H18,6)*2)*1000000)+ROUND($I18,6)),Settings!$AI$14:$AI$36,0)),"Undefined"),_xlfn.ANCHORARRAY(Settings!$BC$14),0)),"Inactive")))</f>
        <v>1313</v>
      </c>
      <c r="L18" s="779" t="s">
        <v>331</v>
      </c>
      <c r="M18" s="168">
        <f t="shared" si="1"/>
        <v>1.145</v>
      </c>
      <c r="N18" s="632">
        <f t="shared" si="2"/>
        <v>0.18981774207508181</v>
      </c>
      <c r="O18" s="629">
        <f t="shared" si="3"/>
        <v>5.6623363632111623</v>
      </c>
      <c r="P18" s="633">
        <f t="shared" si="4"/>
        <v>-1.2610038031874702</v>
      </c>
      <c r="Q18" s="585">
        <f t="shared" si="113"/>
        <v>88.080000277213671</v>
      </c>
      <c r="R18" s="629">
        <f>IF(M18="","",SQRT(N18^2+O18^2))</f>
        <v>5.6655170871995351</v>
      </c>
      <c r="S18" s="634">
        <f>IF(M18="","",P18)</f>
        <v>-1.2610038031874702</v>
      </c>
      <c r="T18" s="635">
        <f>IF(M18="","",X18*COS(RADIANS(W18)))</f>
        <v>5.6623363632111632</v>
      </c>
      <c r="U18" s="629">
        <f>IF(M18="","",X18*SIN(RADIANS(W18)))</f>
        <v>-0.18981774207507873</v>
      </c>
      <c r="V18" s="636">
        <f>IF(M18="","",Y18)</f>
        <v>-1.2610038031874702</v>
      </c>
      <c r="W18" s="585">
        <f t="shared" si="224"/>
        <v>358.08000027721368</v>
      </c>
      <c r="X18" s="629">
        <f>IF(M18="","",R18)</f>
        <v>5.6655170871995351</v>
      </c>
      <c r="Y18" s="630">
        <f t="shared" si="223"/>
        <v>-1.2610038031874702</v>
      </c>
      <c r="Z18" s="632">
        <f t="shared" si="6"/>
        <v>0.90949379263174057</v>
      </c>
      <c r="AA18" s="629">
        <f t="shared" si="7"/>
        <v>-0.4040829025972138</v>
      </c>
      <c r="AB18" s="629">
        <f t="shared" si="8"/>
        <v>-9.7662935615018709E-2</v>
      </c>
      <c r="AC18" s="636">
        <f>IF(M18="","",SQRT(Z18^2+AA18^2+AB18^2))</f>
        <v>1</v>
      </c>
      <c r="AD18" s="637">
        <f>IF(M18="","",Z18*(1/SQRT(Z18^2+AA18^2+AB18^2)))</f>
        <v>0.90949379263174057</v>
      </c>
      <c r="AE18" s="629">
        <f>IF(M18="","",AA18*(1/SQRT(Z18^2+AA18^2+AB18^2)))</f>
        <v>-0.4040829025972138</v>
      </c>
      <c r="AF18" s="633">
        <f>IF(M18="","",AB18*(1/SQRT(Z18^2+AA18^2+AB18^2)))</f>
        <v>-9.7662935615018709E-2</v>
      </c>
      <c r="AG18" s="602">
        <f>IF(M18="","",DEGREES(ATAN2(-AF18,AE18)))</f>
        <v>-76.412727061562336</v>
      </c>
      <c r="AH18" s="603">
        <f>IF(M18="","",DEGREES(ACOS(AD18)))</f>
        <v>24.564509106598443</v>
      </c>
      <c r="AI18" s="585">
        <f>IF(M18="","",DEGREES(-ACOS(-AF18)))</f>
        <v>-84.395392274332607</v>
      </c>
      <c r="AJ18" s="586">
        <f>IF(M18="","",DEGREES(ATAN2(-AE18,AD18)))</f>
        <v>66.044695357741176</v>
      </c>
      <c r="AK18" s="635">
        <f>IF(M18="","",(COS(RADIANS((90-$Q$8)-W18))*AD18)+(-SIN(RADIANS((90-$Q$8)-W18))*AE18))</f>
        <v>0.92252159827112512</v>
      </c>
      <c r="AL18" s="629">
        <f>IF(M18="","",(SIN(RADIANS((90-$Q$8)-W18))*AD18)+(COS(RADIANS((90-$Q$8)-W18))*AE18))</f>
        <v>-0.37338432175219349</v>
      </c>
      <c r="AM18" s="634">
        <f>IF(M18="","",AF18)</f>
        <v>-9.7662935615018709E-2</v>
      </c>
      <c r="AN18" s="581">
        <f>IF(M18="","",DEGREES(ATAN2(-AM18,AL18)))</f>
        <v>-75.342017367920079</v>
      </c>
      <c r="AO18" s="582">
        <f t="shared" si="94"/>
        <v>22.702448334425615</v>
      </c>
      <c r="AP18" s="585">
        <f>IF(M18="","",DEGREES(ATAN2(AK18,AL18)))</f>
        <v>-22.035304919472512</v>
      </c>
      <c r="AQ18" s="586">
        <f t="shared" si="9"/>
        <v>0.40237971533861616</v>
      </c>
      <c r="AS18" s="52">
        <f t="shared" si="116"/>
        <v>-1.919999722786315</v>
      </c>
      <c r="AT18" s="72">
        <f t="shared" si="10"/>
        <v>-1.2596704700466463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1.145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1313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0.22913891397911554</v>
      </c>
      <c r="C19" s="708">
        <v>5.8580379754898191</v>
      </c>
      <c r="D19" s="709">
        <v>-1.9030057394653102</v>
      </c>
      <c r="E19" s="710">
        <v>-0.86751815371055119</v>
      </c>
      <c r="F19" s="708">
        <v>0.4959291439712516</v>
      </c>
      <c r="G19" s="711">
        <v>3.8295393229187125E-2</v>
      </c>
      <c r="H19" s="710">
        <v>0.26600000000000001</v>
      </c>
      <c r="I19" s="708">
        <v>0.52</v>
      </c>
      <c r="J19" s="570">
        <v>1.1519999999999999</v>
      </c>
      <c r="K19" s="865">
        <f>IF($J19="","",IF(IFERROR(INDEX(Settings!$AK$14:$AK$36,MATCH((((ROUND($H19,6)*2)*1000000)+ROUND($I19,6)),Settings!$AI$14:$AI$36,0)),"Undefined")="Undefined","Undefined",IFERROR(INDEX(_xlfn.ANCHORARRAY(Settings!$BC$14),MATCH(IFERROR(INDEX(Settings!$AK$14:$AK$36,MATCH((((ROUND($H19,6)*2)*1000000)+ROUND($I19,6)),Settings!$AI$14:$AI$36,0)),"Undefined"),_xlfn.ANCHORARRAY(Settings!$BC$14),0)),"Inactive")))</f>
        <v>1313</v>
      </c>
      <c r="L19" s="775" t="s">
        <v>366</v>
      </c>
      <c r="M19" s="168">
        <f t="shared" si="1"/>
        <v>1.1519999999999999</v>
      </c>
      <c r="N19" s="632">
        <f t="shared" si="2"/>
        <v>0.22913891397911554</v>
      </c>
      <c r="O19" s="629">
        <f t="shared" si="3"/>
        <v>5.8580379754898191</v>
      </c>
      <c r="P19" s="633">
        <f t="shared" si="4"/>
        <v>-1.9030057394653102</v>
      </c>
      <c r="Q19" s="585">
        <f t="shared" si="113"/>
        <v>87.760000323415952</v>
      </c>
      <c r="R19" s="629">
        <f>IF(M19="","",SQRT(N19^2+O19^2))</f>
        <v>5.8625176813533271</v>
      </c>
      <c r="S19" s="634">
        <f>IF(M19="","",P19)</f>
        <v>-1.9030057394653102</v>
      </c>
      <c r="T19" s="635">
        <f>IF(M19="","",X19*COS(RADIANS(W19)))</f>
        <v>5.85803797548982</v>
      </c>
      <c r="U19" s="629">
        <f>IF(M19="","",X19*SIN(RADIANS(W19)))</f>
        <v>-0.22913891397911215</v>
      </c>
      <c r="V19" s="636">
        <f>IF(M19="","",Y19)</f>
        <v>-1.9030057394653102</v>
      </c>
      <c r="W19" s="585">
        <f t="shared" si="224"/>
        <v>357.76000032341597</v>
      </c>
      <c r="X19" s="629">
        <f>IF(M19="","",R19)</f>
        <v>5.8625176813533271</v>
      </c>
      <c r="Y19" s="630">
        <f t="shared" si="223"/>
        <v>-1.9030057394653102</v>
      </c>
      <c r="Z19" s="632">
        <f t="shared" si="6"/>
        <v>0.86751815371055119</v>
      </c>
      <c r="AA19" s="629">
        <f t="shared" si="7"/>
        <v>-0.4959291439712516</v>
      </c>
      <c r="AB19" s="629">
        <f t="shared" si="8"/>
        <v>-3.8295393229187125E-2</v>
      </c>
      <c r="AC19" s="636">
        <f>IF(M19="","",SQRT(Z19^2+AA19^2+AB19^2))</f>
        <v>1</v>
      </c>
      <c r="AD19" s="637">
        <f>IF(M19="","",Z19*(1/SQRT(Z19^2+AA19^2+AB19^2)))</f>
        <v>0.86751815371055119</v>
      </c>
      <c r="AE19" s="629">
        <f>IF(M19="","",AA19*(1/SQRT(Z19^2+AA19^2+AB19^2)))</f>
        <v>-0.4959291439712516</v>
      </c>
      <c r="AF19" s="633">
        <f>IF(M19="","",AB19*(1/SQRT(Z19^2+AA19^2+AB19^2)))</f>
        <v>-3.8295393229187125E-2</v>
      </c>
      <c r="AG19" s="602">
        <f>IF(M19="","",DEGREES(ATAN2(-AF19,AE19)))</f>
        <v>-85.584411980409797</v>
      </c>
      <c r="AH19" s="603">
        <f>IF(M19="","",DEGREES(ACOS(AD19)))</f>
        <v>29.828498629858199</v>
      </c>
      <c r="AI19" s="585">
        <f>IF(M19="","",DEGREES(-ACOS(-AF19)))</f>
        <v>-87.805298935001844</v>
      </c>
      <c r="AJ19" s="586">
        <f>IF(M19="","",DEGREES(ATAN2(-AE19,AD19)))</f>
        <v>60.244938802855344</v>
      </c>
      <c r="AK19" s="635">
        <f>IF(M19="","",(COS(RADIANS((90-$Q$8)-W19))*AD19)+(-SIN(RADIANS((90-$Q$8)-W19))*AE19))</f>
        <v>0.88623885448547002</v>
      </c>
      <c r="AL19" s="629">
        <f>IF(M19="","",(SIN(RADIANS((90-$Q$8)-W19))*AD19)+(COS(RADIANS((90-$Q$8)-W19))*AE19))</f>
        <v>-0.46164288758487737</v>
      </c>
      <c r="AM19" s="634">
        <f>IF(M19="","",AF19)</f>
        <v>-3.8295393229187125E-2</v>
      </c>
      <c r="AN19" s="581">
        <f>IF(M19="","",DEGREES(ATAN2(-AM19,AL19)))</f>
        <v>-85.25791011938297</v>
      </c>
      <c r="AO19" s="582">
        <f t="shared" si="94"/>
        <v>27.595637194708317</v>
      </c>
      <c r="AP19" s="585">
        <f>IF(M19="","",DEGREES(ATAN2(AK19,AL19)))</f>
        <v>-27.515061520560636</v>
      </c>
      <c r="AQ19" s="586">
        <f t="shared" si="9"/>
        <v>0.38885880660284383</v>
      </c>
      <c r="AS19" s="52">
        <f t="shared" si="116"/>
        <v>-2.2399996765840342</v>
      </c>
      <c r="AT19" s="72">
        <f t="shared" si="10"/>
        <v>-1.901450184134349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1.1519999999999999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 t="shared" si="112"/>
        <v>1313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707">
        <v>0.24416227115001393</v>
      </c>
      <c r="C20" s="708">
        <v>5.924388678847933</v>
      </c>
      <c r="D20" s="709">
        <v>-2.5422076672983245</v>
      </c>
      <c r="E20" s="710">
        <v>-0.82297015630709835</v>
      </c>
      <c r="F20" s="708">
        <v>0.56797903688975004</v>
      </c>
      <c r="G20" s="711">
        <v>1.0951505908419146E-2</v>
      </c>
      <c r="H20" s="710">
        <v>0.26600000000000001</v>
      </c>
      <c r="I20" s="708">
        <v>0.52</v>
      </c>
      <c r="J20" s="570">
        <v>1.159</v>
      </c>
      <c r="K20" s="865">
        <f>IF($J20="","",IF(IFERROR(INDEX(Settings!$AK$14:$AK$36,MATCH((((ROUND($H20,6)*2)*1000000)+ROUND($I20,6)),Settings!$AI$14:$AI$36,0)),"Undefined")="Undefined","Undefined",IFERROR(INDEX(_xlfn.ANCHORARRAY(Settings!$BC$14),MATCH(IFERROR(INDEX(Settings!$AK$14:$AK$36,MATCH((((ROUND($H20,6)*2)*1000000)+ROUND($I20,6)),Settings!$AI$14:$AI$36,0)),"Undefined"),_xlfn.ANCHORARRAY(Settings!$BC$14),0)),"Inactive")))</f>
        <v>1313</v>
      </c>
      <c r="L20" s="774" t="str">
        <f>IF($L19=$JH$22,$JH$30,IF($L19=$JI$22,$JI$30,""))</f>
        <v/>
      </c>
      <c r="M20" s="168">
        <f t="shared" si="1"/>
        <v>1.159</v>
      </c>
      <c r="N20" s="632">
        <f t="shared" si="2"/>
        <v>0.24416227115001393</v>
      </c>
      <c r="O20" s="629">
        <f t="shared" si="3"/>
        <v>5.924388678847933</v>
      </c>
      <c r="P20" s="633">
        <f t="shared" si="4"/>
        <v>-2.5422076672983245</v>
      </c>
      <c r="Q20" s="585">
        <f t="shared" si="113"/>
        <v>87.640000340741793</v>
      </c>
      <c r="R20" s="629">
        <f>IF(M20="","",SQRT(N20^2+O20^2))</f>
        <v>5.9294178831243363</v>
      </c>
      <c r="S20" s="634">
        <f>IF(M20="","",P20)</f>
        <v>-2.5422076672983245</v>
      </c>
      <c r="T20" s="635">
        <f>IF(M20="","",X20*COS(RADIANS(W20)))</f>
        <v>5.9243886788479321</v>
      </c>
      <c r="U20" s="629">
        <f>IF(M20="","",X20*SIN(RADIANS(W20)))</f>
        <v>-0.24416227115001723</v>
      </c>
      <c r="V20" s="636">
        <f>IF(M20="","",Y20)</f>
        <v>-2.5422076672983245</v>
      </c>
      <c r="W20" s="585">
        <f t="shared" si="224"/>
        <v>357.64000034074178</v>
      </c>
      <c r="X20" s="629">
        <f>IF(M20="","",R20)</f>
        <v>5.9294178831243363</v>
      </c>
      <c r="Y20" s="630">
        <f t="shared" si="223"/>
        <v>-2.5422076672983245</v>
      </c>
      <c r="Z20" s="632">
        <f t="shared" si="6"/>
        <v>0.82297015630709835</v>
      </c>
      <c r="AA20" s="629">
        <f t="shared" si="7"/>
        <v>-0.56797903688975004</v>
      </c>
      <c r="AB20" s="629">
        <f t="shared" si="8"/>
        <v>-1.0951505908419146E-2</v>
      </c>
      <c r="AC20" s="636">
        <f>IF(M20="","",SQRT(Z20^2+AA20^2+AB20^2))</f>
        <v>1</v>
      </c>
      <c r="AD20" s="637">
        <f>IF(M20="","",Z20*(1/SQRT(Z20^2+AA20^2+AB20^2)))</f>
        <v>0.82297015630709835</v>
      </c>
      <c r="AE20" s="629">
        <f>IF(M20="","",AA20*(1/SQRT(Z20^2+AA20^2+AB20^2)))</f>
        <v>-0.56797903688975004</v>
      </c>
      <c r="AF20" s="633">
        <f>IF(M20="","",AB20*(1/SQRT(Z20^2+AA20^2+AB20^2)))</f>
        <v>-1.0951505908419146E-2</v>
      </c>
      <c r="AG20" s="602">
        <f>IF(M20="","",DEGREES(ATAN2(-AF20,AE20)))</f>
        <v>-88.89538647715419</v>
      </c>
      <c r="AH20" s="603">
        <f>IF(M20="","",DEGREES(ACOS(AD20)))</f>
        <v>34.616767358675091</v>
      </c>
      <c r="AI20" s="585">
        <f>IF(M20="","",DEGREES(-ACOS(-AF20)))</f>
        <v>-89.372512388703925</v>
      </c>
      <c r="AJ20" s="586">
        <f>IF(M20="","",DEGREES(ATAN2(-AE20,AD20)))</f>
        <v>55.388210903746582</v>
      </c>
      <c r="AK20" s="635">
        <f>IF(M20="","",(COS(RADIANS((90-$Q$8)-W20))*AD20)+(-SIN(RADIANS((90-$Q$8)-W20))*AE20))</f>
        <v>0.84566043876569541</v>
      </c>
      <c r="AL20" s="629">
        <f>IF(M20="","",(SIN(RADIANS((90-$Q$8)-W20))*AD20)+(COS(RADIANS((90-$Q$8)-W20))*AE20))</f>
        <v>-0.53360892686025152</v>
      </c>
      <c r="AM20" s="634">
        <f>IF(M20="","",AF20)</f>
        <v>-1.0951505908419146E-2</v>
      </c>
      <c r="AN20" s="581">
        <f>IF(M20="","",DEGREES(ATAN2(-AM20,AL20)))</f>
        <v>-88.824256944784537</v>
      </c>
      <c r="AO20" s="582">
        <f t="shared" si="94"/>
        <v>32.257234382889763</v>
      </c>
      <c r="AP20" s="585">
        <f>IF(M20="","",DEGREES(ATAN2(AK20,AL20)))</f>
        <v>-32.251789436995175</v>
      </c>
      <c r="AQ20" s="586">
        <f t="shared" si="9"/>
        <v>0.38447153828106229</v>
      </c>
      <c r="AS20" s="52">
        <f t="shared" si="116"/>
        <v>-2.3599996592582215</v>
      </c>
      <c r="AT20" s="72">
        <f t="shared" si="10"/>
        <v>-2.5405687786460618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1.159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>
        <f t="shared" si="112"/>
        <v>1313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707">
        <v>0.24416227115001413</v>
      </c>
      <c r="C21" s="708">
        <v>5.924388678847933</v>
      </c>
      <c r="D21" s="709">
        <v>-3.1680095547168166</v>
      </c>
      <c r="E21" s="710">
        <v>-0.82297015630709835</v>
      </c>
      <c r="F21" s="708">
        <v>0.56797903688975004</v>
      </c>
      <c r="G21" s="711">
        <v>1.0951505908419146E-2</v>
      </c>
      <c r="H21" s="710">
        <v>0.26600000000000001</v>
      </c>
      <c r="I21" s="708">
        <v>0.52</v>
      </c>
      <c r="J21" s="570">
        <v>1.1659999999999999</v>
      </c>
      <c r="K21" s="865">
        <f>IF($J21="","",IF(IFERROR(INDEX(Settings!$AK$14:$AK$36,MATCH((((ROUND($H21,6)*2)*1000000)+ROUND($I21,6)),Settings!$AI$14:$AI$36,0)),"Undefined")="Undefined","Undefined",IFERROR(INDEX(_xlfn.ANCHORARRAY(Settings!$BC$14),MATCH(IFERROR(INDEX(Settings!$AK$14:$AK$36,MATCH((((ROUND($H21,6)*2)*1000000)+ROUND($I21,6)),Settings!$AI$14:$AI$36,0)),"Undefined"),_xlfn.ANCHORARRAY(Settings!$BC$14),0)),"Inactive")))</f>
        <v>1313</v>
      </c>
      <c r="L21" s="776" t="s">
        <v>367</v>
      </c>
      <c r="M21" s="168">
        <f t="shared" si="1"/>
        <v>1.1659999999999999</v>
      </c>
      <c r="N21" s="632">
        <f t="shared" si="2"/>
        <v>0.24416227115001413</v>
      </c>
      <c r="O21" s="629">
        <f t="shared" si="3"/>
        <v>5.924388678847933</v>
      </c>
      <c r="P21" s="633">
        <f t="shared" si="4"/>
        <v>-3.1680095547168166</v>
      </c>
      <c r="Q21" s="585">
        <f t="shared" si="113"/>
        <v>87.640000340741793</v>
      </c>
      <c r="R21" s="629">
        <f>IF(M21="","",SQRT(N21^2+O21^2))</f>
        <v>5.9294178831243363</v>
      </c>
      <c r="S21" s="634">
        <f>IF(M21="","",P21)</f>
        <v>-3.1680095547168166</v>
      </c>
      <c r="T21" s="635">
        <f>IF(M21="","",X21*COS(RADIANS(W21)))</f>
        <v>5.9243886788479321</v>
      </c>
      <c r="U21" s="629">
        <f>IF(M21="","",X21*SIN(RADIANS(W21)))</f>
        <v>-0.24416227115001723</v>
      </c>
      <c r="V21" s="636">
        <f>IF(M21="","",Y21)</f>
        <v>-3.1680095547168166</v>
      </c>
      <c r="W21" s="585">
        <f t="shared" si="224"/>
        <v>357.64000034074178</v>
      </c>
      <c r="X21" s="629">
        <f>IF(M21="","",R21)</f>
        <v>5.9294178831243363</v>
      </c>
      <c r="Y21" s="630">
        <f t="shared" si="223"/>
        <v>-3.1680095547168166</v>
      </c>
      <c r="Z21" s="632">
        <f t="shared" si="6"/>
        <v>0.82297015630709835</v>
      </c>
      <c r="AA21" s="629">
        <f t="shared" si="7"/>
        <v>-0.56797903688975004</v>
      </c>
      <c r="AB21" s="629">
        <f t="shared" si="8"/>
        <v>-1.0951505908419146E-2</v>
      </c>
      <c r="AC21" s="636">
        <f>IF(M21="","",SQRT(Z21^2+AA21^2+AB21^2))</f>
        <v>1</v>
      </c>
      <c r="AD21" s="637">
        <f>IF(M21="","",Z21*(1/SQRT(Z21^2+AA21^2+AB21^2)))</f>
        <v>0.82297015630709835</v>
      </c>
      <c r="AE21" s="629">
        <f>IF(M21="","",AA21*(1/SQRT(Z21^2+AA21^2+AB21^2)))</f>
        <v>-0.56797903688975004</v>
      </c>
      <c r="AF21" s="633">
        <f>IF(M21="","",AB21*(1/SQRT(Z21^2+AA21^2+AB21^2)))</f>
        <v>-1.0951505908419146E-2</v>
      </c>
      <c r="AG21" s="602">
        <f>IF(M21="","",DEGREES(ATAN2(-AF21,AE21)))</f>
        <v>-88.89538647715419</v>
      </c>
      <c r="AH21" s="603">
        <f>IF(M21="","",DEGREES(ACOS(AD21)))</f>
        <v>34.616767358675091</v>
      </c>
      <c r="AI21" s="585">
        <f>IF(M21="","",DEGREES(-ACOS(-AF21)))</f>
        <v>-89.372512388703925</v>
      </c>
      <c r="AJ21" s="586">
        <f>IF(M21="","",DEGREES(ATAN2(-AE21,AD21)))</f>
        <v>55.388210903746582</v>
      </c>
      <c r="AK21" s="635">
        <f>IF(M21="","",(COS(RADIANS((90-$Q$8)-W21))*AD21)+(-SIN(RADIANS((90-$Q$8)-W21))*AE21))</f>
        <v>0.84566043876569541</v>
      </c>
      <c r="AL21" s="629">
        <f>IF(M21="","",(SIN(RADIANS((90-$Q$8)-W21))*AD21)+(COS(RADIANS((90-$Q$8)-W21))*AE21))</f>
        <v>-0.53360892686025152</v>
      </c>
      <c r="AM21" s="634">
        <f>IF(M21="","",AF21)</f>
        <v>-1.0951505908419146E-2</v>
      </c>
      <c r="AN21" s="581">
        <f>IF(M21="","",DEGREES(ATAN2(-AM21,AL21)))</f>
        <v>-88.824256944784537</v>
      </c>
      <c r="AO21" s="582">
        <f>IF(ROUND(IF(M21="",0,DEGREES(ACOS(AK21))),4)=90,0,IF(M21="","",DEGREES(ACOS(AK21))))</f>
        <v>32.257234382889763</v>
      </c>
      <c r="AP21" s="585">
        <f>IF(M21="","",DEGREES(ATAN2(AK21,AL21)))</f>
        <v>-32.251789436995175</v>
      </c>
      <c r="AQ21" s="586">
        <f t="shared" si="9"/>
        <v>0.38447153828106229</v>
      </c>
      <c r="AS21" s="52">
        <f t="shared" si="116"/>
        <v>-2.3599996592582215</v>
      </c>
      <c r="AT21" s="72">
        <f t="shared" si="10"/>
        <v>-3.1663706660645539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1.1659999999999999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>
        <f t="shared" si="112"/>
        <v>1313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707">
        <v>1.1479557259410003</v>
      </c>
      <c r="C22" s="708">
        <v>5.1567937693364074</v>
      </c>
      <c r="D22" s="709">
        <v>-0.7047544485365318</v>
      </c>
      <c r="E22" s="710">
        <v>-0.82215887704374457</v>
      </c>
      <c r="F22" s="708">
        <v>0.52258440160030695</v>
      </c>
      <c r="G22" s="711">
        <v>0.22574393480715699</v>
      </c>
      <c r="H22" s="710">
        <v>0.26600000000000001</v>
      </c>
      <c r="I22" s="708">
        <v>0.52</v>
      </c>
      <c r="J22" s="570">
        <v>1.238</v>
      </c>
      <c r="K22" s="865">
        <f>IF($J22="","",IF(IFERROR(INDEX(Settings!$AK$14:$AK$36,MATCH((((ROUND($H22,6)*2)*1000000)+ROUND($I22,6)),Settings!$AI$14:$AI$36,0)),"Undefined")="Undefined","Undefined",IFERROR(INDEX(_xlfn.ANCHORARRAY(Settings!$BC$14),MATCH(IFERROR(INDEX(Settings!$AK$14:$AK$36,MATCH((((ROUND($H22,6)*2)*1000000)+ROUND($I22,6)),Settings!$AI$14:$AI$36,0)),"Undefined"),_xlfn.ANCHORARRAY(Settings!$BC$14),0)),"Inactive")))</f>
        <v>1313</v>
      </c>
      <c r="L22" s="873" t="str">
        <f>IF($L21=$JH$22,$JH$30,IF($L21=$JI$22,$JI$30,""))</f>
        <v/>
      </c>
      <c r="M22" s="168">
        <f t="shared" si="1"/>
        <v>1.238</v>
      </c>
      <c r="N22" s="632">
        <f t="shared" si="2"/>
        <v>1.1479557259410003</v>
      </c>
      <c r="O22" s="629">
        <f t="shared" si="3"/>
        <v>5.1567937693364074</v>
      </c>
      <c r="P22" s="633">
        <f t="shared" si="4"/>
        <v>-0.7047544485365318</v>
      </c>
      <c r="Q22" s="585">
        <f t="shared" si="113"/>
        <v>77.450001811995548</v>
      </c>
      <c r="R22" s="629">
        <f t="shared" si="79"/>
        <v>5.2830222721646294</v>
      </c>
      <c r="S22" s="634">
        <f t="shared" si="80"/>
        <v>-0.7047544485365318</v>
      </c>
      <c r="T22" s="635">
        <f t="shared" si="81"/>
        <v>5.1567937693364083</v>
      </c>
      <c r="U22" s="629">
        <f t="shared" si="82"/>
        <v>-1.1479557259410003</v>
      </c>
      <c r="V22" s="636">
        <f t="shared" si="114"/>
        <v>-0.7047544485365318</v>
      </c>
      <c r="W22" s="585">
        <f t="shared" si="224"/>
        <v>347.45000181199555</v>
      </c>
      <c r="X22" s="629">
        <f t="shared" si="83"/>
        <v>5.2830222721646294</v>
      </c>
      <c r="Y22" s="630">
        <f t="shared" si="223"/>
        <v>-0.7047544485365318</v>
      </c>
      <c r="Z22" s="632">
        <f t="shared" si="6"/>
        <v>0.82215887704374457</v>
      </c>
      <c r="AA22" s="629">
        <f t="shared" si="7"/>
        <v>-0.52258440160030695</v>
      </c>
      <c r="AB22" s="629">
        <f t="shared" si="8"/>
        <v>-0.22574393480715699</v>
      </c>
      <c r="AC22" s="636">
        <f t="shared" si="84"/>
        <v>1</v>
      </c>
      <c r="AD22" s="637">
        <f t="shared" si="115"/>
        <v>0.82215887704374457</v>
      </c>
      <c r="AE22" s="629">
        <f t="shared" si="85"/>
        <v>-0.52258440160030695</v>
      </c>
      <c r="AF22" s="633">
        <f t="shared" si="86"/>
        <v>-0.22574393480715699</v>
      </c>
      <c r="AG22" s="602">
        <f t="shared" si="87"/>
        <v>-66.636812949263515</v>
      </c>
      <c r="AH22" s="603">
        <f t="shared" si="88"/>
        <v>34.698506784642198</v>
      </c>
      <c r="AI22" s="585">
        <f t="shared" si="89"/>
        <v>-76.95337194879437</v>
      </c>
      <c r="AJ22" s="586">
        <f t="shared" si="90"/>
        <v>57.558956810079977</v>
      </c>
      <c r="AK22" s="635">
        <f t="shared" si="211"/>
        <v>0.91606797801088502</v>
      </c>
      <c r="AL22" s="629">
        <f t="shared" si="91"/>
        <v>-0.33145004987302512</v>
      </c>
      <c r="AM22" s="634">
        <f t="shared" si="92"/>
        <v>-0.22574393480715699</v>
      </c>
      <c r="AN22" s="581">
        <f t="shared" si="93"/>
        <v>-55.742013185845067</v>
      </c>
      <c r="AO22" s="582">
        <f t="shared" si="94"/>
        <v>23.642147761850421</v>
      </c>
      <c r="AP22" s="585">
        <f t="shared" si="95"/>
        <v>-19.891045001915572</v>
      </c>
      <c r="AQ22" s="586">
        <f t="shared" si="9"/>
        <v>0.43151124716928779</v>
      </c>
      <c r="AS22" s="52">
        <f t="shared" si="116"/>
        <v>-12.549998188004452</v>
      </c>
      <c r="AT22" s="72">
        <f t="shared" si="10"/>
        <v>-0.69603917201708421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Taper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1.238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1.1379999999999999</v>
      </c>
      <c r="II22" s="734" cm="1">
        <f t="array" ref="II22">IFERROR(IF($IH22&lt;1,$IH22+LARGE((IF($M$9:$M$150="",0,$M$9:$M$150)-MOD(IF($M$9:$M$150="",0,$M$9:$M$150),1)),1),$IH22),"")</f>
        <v>1.1379999999999999</v>
      </c>
      <c r="IJ22" s="533">
        <f t="shared" si="112"/>
        <v>1313</v>
      </c>
      <c r="IK22" s="533">
        <f t="shared" si="66"/>
        <v>1313</v>
      </c>
      <c r="IL22" s="727">
        <f t="shared" si="225"/>
        <v>11.219998380032678</v>
      </c>
      <c r="IM22" s="759">
        <v>7.4195583697723099E-4</v>
      </c>
      <c r="IN22" s="5">
        <f t="shared" si="226"/>
        <v>0</v>
      </c>
      <c r="IO22" s="771">
        <v>0</v>
      </c>
      <c r="IP22" s="9">
        <f t="shared" si="227"/>
        <v>-5.2788159209088183</v>
      </c>
      <c r="IQ22" s="5">
        <f t="shared" si="228"/>
        <v>-0.70600212930242201</v>
      </c>
      <c r="IR22" s="5">
        <f t="shared" si="71"/>
        <v>0.26600000000000001</v>
      </c>
      <c r="IS22" s="5">
        <f t="shared" si="229"/>
        <v>0.25132737196681321</v>
      </c>
      <c r="IT22" s="727">
        <f t="shared" si="230"/>
        <v>61.221971263062741</v>
      </c>
      <c r="IU22" s="9">
        <f t="shared" si="231"/>
        <v>-5.2830222721646294</v>
      </c>
      <c r="IV22" s="5">
        <f t="shared" si="232"/>
        <v>-0.7047544485365318</v>
      </c>
      <c r="IW22" s="5">
        <f t="shared" si="76"/>
        <v>0.26600000000000001</v>
      </c>
      <c r="IX22" s="5">
        <f t="shared" si="233"/>
        <v>0.24367408215089542</v>
      </c>
      <c r="IY22" s="762">
        <f t="shared" si="234"/>
        <v>55.742013185845067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>Taper</v>
      </c>
      <c r="JG22" s="862"/>
      <c r="JH22" s="863" t="str" cm="1">
        <f t="array" ref="JH22">IFERROR(TRANSPOSE(_xlfn._xlws.SORT(_xlfn.UNIQUE(_xlfn._xlws.FILTER($IE$9:$IE$150,$IE$9:$IE$150&lt;&gt;"")),,1)),"")</f>
        <v>Taper</v>
      </c>
      <c r="JI22" s="862"/>
    </row>
    <row r="23" spans="1:269" ht="15" customHeight="1" thickTop="1" x14ac:dyDescent="0.25">
      <c r="A23" s="79"/>
      <c r="B23" s="707">
        <v>1.2169790342954174</v>
      </c>
      <c r="C23" s="708">
        <v>5.5397488761851363</v>
      </c>
      <c r="D23" s="709">
        <v>-1.2597045469266424</v>
      </c>
      <c r="E23" s="710">
        <v>-0.7767378859011127</v>
      </c>
      <c r="F23" s="708">
        <v>0.61100111181769012</v>
      </c>
      <c r="G23" s="711">
        <v>0.15282636540668137</v>
      </c>
      <c r="H23" s="710">
        <v>0.26600000000000001</v>
      </c>
      <c r="I23" s="708">
        <v>0.52</v>
      </c>
      <c r="J23" s="570">
        <v>1.2450000000000001</v>
      </c>
      <c r="K23" s="865">
        <f>IF($J23="","",IF(IFERROR(INDEX(Settings!$AK$14:$AK$36,MATCH((((ROUND($H23,6)*2)*1000000)+ROUND($I23,6)),Settings!$AI$14:$AI$36,0)),"Undefined")="Undefined","Undefined",IFERROR(INDEX(_xlfn.ANCHORARRAY(Settings!$BC$14),MATCH(IFERROR(INDEX(Settings!$AK$14:$AK$36,MATCH((((ROUND($H23,6)*2)*1000000)+ROUND($I23,6)),Settings!$AI$14:$AI$36,0)),"Undefined"),_xlfn.ANCHORARRAY(Settings!$BC$14),0)),"Inactive")))</f>
        <v>1313</v>
      </c>
      <c r="M23" s="168">
        <f t="shared" si="1"/>
        <v>1.2450000000000001</v>
      </c>
      <c r="N23" s="632">
        <f t="shared" si="2"/>
        <v>1.2169790342954174</v>
      </c>
      <c r="O23" s="629">
        <f t="shared" si="3"/>
        <v>5.5397488761851363</v>
      </c>
      <c r="P23" s="633">
        <f t="shared" si="4"/>
        <v>-1.2597045469266424</v>
      </c>
      <c r="Q23" s="585">
        <f t="shared" si="113"/>
        <v>77.610001788894408</v>
      </c>
      <c r="R23" s="629">
        <f t="shared" si="79"/>
        <v>5.6718476338058563</v>
      </c>
      <c r="S23" s="634">
        <f t="shared" si="80"/>
        <v>-1.2597045469266424</v>
      </c>
      <c r="T23" s="635">
        <f t="shared" si="81"/>
        <v>5.5397488761851363</v>
      </c>
      <c r="U23" s="629">
        <f t="shared" si="82"/>
        <v>-1.2169790342954165</v>
      </c>
      <c r="V23" s="636">
        <f t="shared" si="114"/>
        <v>-1.2597045469266424</v>
      </c>
      <c r="W23" s="585">
        <f t="shared" si="224"/>
        <v>347.61000178889441</v>
      </c>
      <c r="X23" s="629">
        <f t="shared" si="83"/>
        <v>5.6718476338058563</v>
      </c>
      <c r="Y23" s="630">
        <f t="shared" si="223"/>
        <v>-1.2597045469266424</v>
      </c>
      <c r="Z23" s="632">
        <f t="shared" si="6"/>
        <v>0.7767378859011127</v>
      </c>
      <c r="AA23" s="629">
        <f t="shared" si="7"/>
        <v>-0.61100111181769012</v>
      </c>
      <c r="AB23" s="629">
        <f t="shared" si="8"/>
        <v>-0.15282636540668137</v>
      </c>
      <c r="AC23" s="636">
        <f t="shared" si="84"/>
        <v>1</v>
      </c>
      <c r="AD23" s="637">
        <f t="shared" si="115"/>
        <v>0.7767378859011127</v>
      </c>
      <c r="AE23" s="629">
        <f t="shared" si="85"/>
        <v>-0.61100111181769012</v>
      </c>
      <c r="AF23" s="633">
        <f t="shared" si="86"/>
        <v>-0.15282636540668137</v>
      </c>
      <c r="AG23" s="602">
        <f t="shared" si="87"/>
        <v>-75.957041439435073</v>
      </c>
      <c r="AH23" s="603">
        <f t="shared" si="88"/>
        <v>39.037137927361726</v>
      </c>
      <c r="AI23" s="585">
        <f t="shared" si="89"/>
        <v>-81.209245731365229</v>
      </c>
      <c r="AJ23" s="586">
        <f t="shared" si="90"/>
        <v>51.810539849986306</v>
      </c>
      <c r="AK23" s="635">
        <f t="shared" si="211"/>
        <v>0.88974681608965889</v>
      </c>
      <c r="AL23" s="629">
        <f t="shared" si="91"/>
        <v>-0.43011010833843244</v>
      </c>
      <c r="AM23" s="634">
        <f t="shared" si="92"/>
        <v>-0.15282636540668137</v>
      </c>
      <c r="AN23" s="581">
        <f t="shared" si="93"/>
        <v>-70.438899063382735</v>
      </c>
      <c r="AO23" s="582">
        <f t="shared" si="94"/>
        <v>27.158550864151245</v>
      </c>
      <c r="AP23" s="585">
        <f t="shared" si="95"/>
        <v>-25.79946193890812</v>
      </c>
      <c r="AQ23" s="586">
        <f t="shared" si="9"/>
        <v>0.40193062007170921</v>
      </c>
      <c r="AS23" s="52">
        <f t="shared" si="116"/>
        <v>-12.389998211105592</v>
      </c>
      <c r="AT23" s="72">
        <f t="shared" si="10"/>
        <v>-1.2511003815022634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Taper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1.2450000000000001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1.145</v>
      </c>
      <c r="II23" s="734" cm="1">
        <f t="array" ref="II23">IFERROR(IF($IH23&lt;1,$IH23+LARGE((IF($M$9:$M$150="",0,$M$9:$M$150)-MOD(IF($M$9:$M$150="",0,$M$9:$M$150),1)),1),$IH23),"")</f>
        <v>1.145</v>
      </c>
      <c r="IJ23" s="533">
        <f t="shared" si="112"/>
        <v>1313</v>
      </c>
      <c r="IK23" s="533">
        <f t="shared" si="66"/>
        <v>1313</v>
      </c>
      <c r="IL23" s="727">
        <f t="shared" si="225"/>
        <v>10.469998488319277</v>
      </c>
      <c r="IM23" s="759">
        <v>8.5544886874228902E-4</v>
      </c>
      <c r="IN23" s="5">
        <f t="shared" si="226"/>
        <v>0</v>
      </c>
      <c r="IO23" s="771">
        <v>0</v>
      </c>
      <c r="IP23" s="9">
        <f t="shared" si="227"/>
        <v>-5.6655170871995351</v>
      </c>
      <c r="IQ23" s="5">
        <f t="shared" si="228"/>
        <v>-1.2610038031874702</v>
      </c>
      <c r="IR23" s="5">
        <f t="shared" si="71"/>
        <v>0.26600000000000001</v>
      </c>
      <c r="IS23" s="5">
        <f t="shared" si="229"/>
        <v>0.2453907451401193</v>
      </c>
      <c r="IT23" s="727">
        <f t="shared" si="230"/>
        <v>75.342017367920079</v>
      </c>
      <c r="IU23" s="9">
        <f t="shared" si="231"/>
        <v>-5.6718476338058563</v>
      </c>
      <c r="IV23" s="5">
        <f t="shared" si="232"/>
        <v>-1.2597045469266424</v>
      </c>
      <c r="IW23" s="5">
        <f t="shared" si="76"/>
        <v>0.26600000000000001</v>
      </c>
      <c r="IX23" s="5">
        <f t="shared" si="233"/>
        <v>0.23667265307984928</v>
      </c>
      <c r="IY23" s="762">
        <f t="shared" si="234"/>
        <v>70.438899063382735</v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20</v>
      </c>
      <c r="JC23" s="199"/>
      <c r="JD23" s="199"/>
      <c r="JE23" s="871"/>
      <c r="JF23" s="796" cm="1">
        <f t="array" ref="JF23:JF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16</v>
      </c>
      <c r="JG23" s="801"/>
      <c r="JH23" s="800" cm="1">
        <f t="array" ref="JH23:JH24">IF(_xlfn.ANCHORARRAY($JF$23)="","",_xlfn.MINIFS($IO$9:$IO$150,$IK$9:$IK$150,_xlfn.ANCHORARRAY($JA$23),$IE$9:$IE$150,_xlfn.ANCHORARRAY($JH$22),$II$9:$II$150,"&lt;&gt;"&amp;"",$IF$9:$IF$150,"&lt;&gt;"&amp;"Gage"))</f>
        <v>0</v>
      </c>
      <c r="JI23" s="801"/>
    </row>
    <row r="24" spans="1:269" ht="15" customHeight="1" x14ac:dyDescent="0.25">
      <c r="A24" s="79"/>
      <c r="B24" s="707">
        <v>1.2488248592590248</v>
      </c>
      <c r="C24" s="708">
        <v>5.737249870649606</v>
      </c>
      <c r="D24" s="709">
        <v>-1.9020802735320839</v>
      </c>
      <c r="E24" s="710">
        <v>-0.71557845282369015</v>
      </c>
      <c r="F24" s="708">
        <v>0.69417010569984683</v>
      </c>
      <c r="G24" s="711">
        <v>7.7944481569367646E-2</v>
      </c>
      <c r="H24" s="710">
        <v>0.26600000000000001</v>
      </c>
      <c r="I24" s="708">
        <v>0.52</v>
      </c>
      <c r="J24" s="570">
        <v>1.252</v>
      </c>
      <c r="K24" s="865">
        <f>IF($J24="","",IF(IFERROR(INDEX(Settings!$AK$14:$AK$36,MATCH((((ROUND($H24,6)*2)*1000000)+ROUND($I24,6)),Settings!$AI$14:$AI$36,0)),"Undefined")="Undefined","Undefined",IFERROR(INDEX(_xlfn.ANCHORARRAY(Settings!$BC$14),MATCH(IFERROR(INDEX(Settings!$AK$14:$AK$36,MATCH((((ROUND($H24,6)*2)*1000000)+ROUND($I24,6)),Settings!$AI$14:$AI$36,0)),"Undefined"),_xlfn.ANCHORARRAY(Settings!$BC$14),0)),"Inactive")))</f>
        <v>1313</v>
      </c>
      <c r="L24" s="1314"/>
      <c r="M24" s="168">
        <f t="shared" si="1"/>
        <v>1.252</v>
      </c>
      <c r="N24" s="632">
        <f t="shared" si="2"/>
        <v>1.2488248592590248</v>
      </c>
      <c r="O24" s="629">
        <f t="shared" si="3"/>
        <v>5.737249870649606</v>
      </c>
      <c r="P24" s="633">
        <f t="shared" si="4"/>
        <v>-1.9020802735320839</v>
      </c>
      <c r="Q24" s="585">
        <f t="shared" si="113"/>
        <v>77.720001773012385</v>
      </c>
      <c r="R24" s="629">
        <f t="shared" si="79"/>
        <v>5.87159259548653</v>
      </c>
      <c r="S24" s="634">
        <f t="shared" si="80"/>
        <v>-1.9020802735320839</v>
      </c>
      <c r="T24" s="635">
        <f t="shared" si="81"/>
        <v>5.7372498706496051</v>
      </c>
      <c r="U24" s="629">
        <f t="shared" si="82"/>
        <v>-1.2488248592590276</v>
      </c>
      <c r="V24" s="636">
        <f t="shared" si="114"/>
        <v>-1.9020802735320839</v>
      </c>
      <c r="W24" s="585">
        <f t="shared" si="224"/>
        <v>347.72000177301237</v>
      </c>
      <c r="X24" s="629">
        <f t="shared" si="83"/>
        <v>5.87159259548653</v>
      </c>
      <c r="Y24" s="630">
        <f t="shared" si="223"/>
        <v>-1.9020802735320839</v>
      </c>
      <c r="Z24" s="632">
        <f t="shared" si="6"/>
        <v>0.71557845282369015</v>
      </c>
      <c r="AA24" s="629">
        <f t="shared" si="7"/>
        <v>-0.69417010569984683</v>
      </c>
      <c r="AB24" s="629">
        <f t="shared" si="8"/>
        <v>-7.7944481569367646E-2</v>
      </c>
      <c r="AC24" s="636">
        <f t="shared" si="84"/>
        <v>1</v>
      </c>
      <c r="AD24" s="637">
        <f t="shared" si="115"/>
        <v>0.71557845282369015</v>
      </c>
      <c r="AE24" s="629">
        <f t="shared" si="85"/>
        <v>-0.69417010569984683</v>
      </c>
      <c r="AF24" s="633">
        <f t="shared" si="86"/>
        <v>-7.7944481569367646E-2</v>
      </c>
      <c r="AG24" s="602">
        <f t="shared" si="87"/>
        <v>-83.593411511577727</v>
      </c>
      <c r="AH24" s="603">
        <f t="shared" si="88"/>
        <v>44.309374455865608</v>
      </c>
      <c r="AI24" s="585">
        <f t="shared" si="89"/>
        <v>-85.52957579405782</v>
      </c>
      <c r="AJ24" s="586">
        <f t="shared" si="90"/>
        <v>45.870022992240166</v>
      </c>
      <c r="AK24" s="635">
        <f>IF(M24="","",(COS(RADIANS((90-$Q$8)-W24))*AD24)+(-SIN(RADIANS((90-$Q$8)-W24))*AE24))</f>
        <v>0.84684848098572463</v>
      </c>
      <c r="AL24" s="629">
        <f t="shared" si="91"/>
        <v>-0.52609153960603972</v>
      </c>
      <c r="AM24" s="634">
        <f t="shared" si="92"/>
        <v>-7.7944481569367646E-2</v>
      </c>
      <c r="AN24" s="581">
        <f t="shared" si="93"/>
        <v>-81.572498748127501</v>
      </c>
      <c r="AO24" s="582">
        <f t="shared" si="94"/>
        <v>32.129470460559027</v>
      </c>
      <c r="AP24" s="585">
        <f t="shared" si="95"/>
        <v>-31.849978780772201</v>
      </c>
      <c r="AQ24" s="586">
        <f t="shared" si="9"/>
        <v>0.38825781937299841</v>
      </c>
      <c r="AS24" s="52">
        <f t="shared" si="116"/>
        <v>-12.27999822698763</v>
      </c>
      <c r="AT24" s="72">
        <f t="shared" si="10"/>
        <v>-1.8935524969855646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>Gage</v>
      </c>
      <c r="IG24" s="847">
        <f t="shared" si="210"/>
        <v>1.252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1.1519999999999999</v>
      </c>
      <c r="II24" s="734" cm="1">
        <f t="array" ref="II24">IFERROR(IF($IH24&lt;1,$IH24+LARGE((IF($M$9:$M$150="",0,$M$9:$M$150)-MOD(IF($M$9:$M$150="",0,$M$9:$M$150),1)),1),$IH24),"")</f>
        <v>1.1519999999999999</v>
      </c>
      <c r="IJ24" s="533">
        <f t="shared" si="112"/>
        <v>1313</v>
      </c>
      <c r="IK24" s="533">
        <f t="shared" si="66"/>
        <v>1313</v>
      </c>
      <c r="IL24" s="727">
        <f t="shared" si="225"/>
        <v>10.039998550403595</v>
      </c>
      <c r="IM24" s="759">
        <v>7.3042637621948498E-4</v>
      </c>
      <c r="IN24" s="5">
        <f t="shared" si="226"/>
        <v>0</v>
      </c>
      <c r="IO24" s="771">
        <v>0</v>
      </c>
      <c r="IP24" s="9">
        <f t="shared" si="227"/>
        <v>-5.8625176813533271</v>
      </c>
      <c r="IQ24" s="5">
        <f t="shared" si="228"/>
        <v>-1.9030057394653102</v>
      </c>
      <c r="IR24" s="5">
        <f t="shared" si="71"/>
        <v>0.26600000000000001</v>
      </c>
      <c r="IS24" s="5">
        <f t="shared" si="229"/>
        <v>0.23573953529313504</v>
      </c>
      <c r="IT24" s="727">
        <f t="shared" si="230"/>
        <v>85.25791011938297</v>
      </c>
      <c r="IU24" s="9">
        <f t="shared" si="231"/>
        <v>-5.87159259548653</v>
      </c>
      <c r="IV24" s="5">
        <f t="shared" si="232"/>
        <v>-1.9020802735320839</v>
      </c>
      <c r="IW24" s="5">
        <f t="shared" si="76"/>
        <v>0.26600000000000001</v>
      </c>
      <c r="IX24" s="5">
        <f t="shared" si="233"/>
        <v>0.22526169594220277</v>
      </c>
      <c r="IY24" s="762">
        <f t="shared" si="234"/>
        <v>81.572498748127501</v>
      </c>
      <c r="JA24" s="798" t="str">
        <v>Inactive</v>
      </c>
      <c r="JB24" s="856" cm="1">
        <f t="array" ref="JB24">IF($JA24="","",COUNT(IF(IF($II$9:$II$150&lt;&gt;"",$IK$9:$IK$150,"")=$JA24,$IG$9:$IG$150,"")))</f>
        <v>7</v>
      </c>
      <c r="JC24" s="5"/>
      <c r="JD24" s="5"/>
      <c r="JE24" s="10"/>
      <c r="JF24" s="247" t="str">
        <v/>
      </c>
      <c r="JG24" s="803"/>
      <c r="JH24" s="787" t="str">
        <v/>
      </c>
      <c r="JI24" s="803"/>
    </row>
    <row r="25" spans="1:269" ht="15" customHeight="1" x14ac:dyDescent="0.25">
      <c r="A25" s="79"/>
      <c r="B25" s="707">
        <v>1.6046780796356288</v>
      </c>
      <c r="C25" s="708">
        <v>5.9887401229922235</v>
      </c>
      <c r="D25" s="709">
        <v>-2.5421999999999998</v>
      </c>
      <c r="E25" s="710">
        <v>0.25881904510252068</v>
      </c>
      <c r="F25" s="708">
        <v>0.96592582628906842</v>
      </c>
      <c r="G25" s="711">
        <v>0</v>
      </c>
      <c r="H25" s="710">
        <v>0.25700000000000001</v>
      </c>
      <c r="I25" s="708">
        <v>0.71</v>
      </c>
      <c r="J25" s="570">
        <v>1.3009999999999999</v>
      </c>
      <c r="K25" s="865" t="str">
        <f>IF($J25="","",IF(IFERROR(INDEX(Settings!$AK$14:$AK$36,MATCH((((ROUND($H25,6)*2)*1000000)+ROUND($I25,6)),Settings!$AI$14:$AI$36,0)),"Undefined")="Undefined","Undefined",IFERROR(INDEX(_xlfn.ANCHORARRAY(Settings!$BC$14),MATCH(IFERROR(INDEX(Settings!$AK$14:$AK$36,MATCH((((ROUND($H25,6)*2)*1000000)+ROUND($I25,6)),Settings!$AI$14:$AI$36,0)),"Undefined"),_xlfn.ANCHORARRAY(Settings!$BC$14),0)),"Inactive")))</f>
        <v>Inactive</v>
      </c>
      <c r="L25" s="1314"/>
      <c r="M25" s="168">
        <f t="shared" si="1"/>
        <v>1.3009999999999999</v>
      </c>
      <c r="N25" s="632">
        <f t="shared" si="2"/>
        <v>1.6046780796356288</v>
      </c>
      <c r="O25" s="629">
        <f t="shared" si="3"/>
        <v>5.9887401229922235</v>
      </c>
      <c r="P25" s="633">
        <f t="shared" si="4"/>
        <v>-2.5421999999999998</v>
      </c>
      <c r="Q25" s="585">
        <f t="shared" si="113"/>
        <v>75</v>
      </c>
      <c r="R25" s="629">
        <f>IF(M25="","",SQRT(N25^2+O25^2))</f>
        <v>6.2</v>
      </c>
      <c r="S25" s="634">
        <f>IF(M25="","",P25)</f>
        <v>-2.5421999999999998</v>
      </c>
      <c r="T25" s="635">
        <f>IF(M25="","",X25*COS(RADIANS(W25)))</f>
        <v>5.9887401229922235</v>
      </c>
      <c r="U25" s="629">
        <f>IF(M25="","",X25*SIN(RADIANS(W25)))</f>
        <v>-1.6046780796356284</v>
      </c>
      <c r="V25" s="636">
        <f>IF(M25="","",Y25)</f>
        <v>-2.5421999999999998</v>
      </c>
      <c r="W25" s="585">
        <f t="shared" si="224"/>
        <v>345</v>
      </c>
      <c r="X25" s="629">
        <f>IF(M25="","",R25)</f>
        <v>6.2</v>
      </c>
      <c r="Y25" s="630">
        <f t="shared" si="223"/>
        <v>-2.5421999999999998</v>
      </c>
      <c r="Z25" s="632">
        <f t="shared" si="6"/>
        <v>-0.25881904510252068</v>
      </c>
      <c r="AA25" s="629">
        <f t="shared" si="7"/>
        <v>-0.96592582628906842</v>
      </c>
      <c r="AB25" s="629">
        <f t="shared" si="8"/>
        <v>0</v>
      </c>
      <c r="AC25" s="636">
        <f>IF(M25="","",SQRT(Z25^2+AA25^2+AB25^2))</f>
        <v>1</v>
      </c>
      <c r="AD25" s="637">
        <f>IF(M25="","",Z25*(1/SQRT(Z25^2+AA25^2+AB25^2)))</f>
        <v>-0.25881904510252068</v>
      </c>
      <c r="AE25" s="629">
        <f>IF(M25="","",AA25*(1/SQRT(Z25^2+AA25^2+AB25^2)))</f>
        <v>-0.96592582628906842</v>
      </c>
      <c r="AF25" s="633">
        <f>IF(M25="","",AB25*(1/SQRT(Z25^2+AA25^2+AB25^2)))</f>
        <v>0</v>
      </c>
      <c r="AG25" s="602">
        <f>IF(M25="","",DEGREES(ATAN2(-AF25,AE25)))</f>
        <v>-90</v>
      </c>
      <c r="AH25" s="603">
        <f>IF(M25="","",DEGREES(ACOS(AD25)))</f>
        <v>105</v>
      </c>
      <c r="AI25" s="585">
        <f>IF(M25="","",DEGREES(-ACOS(-AF25)))</f>
        <v>-90</v>
      </c>
      <c r="AJ25" s="586">
        <f>IF(M25="","",DEGREES(ATAN2(-AE25,AD25)))</f>
        <v>-14.999999999999993</v>
      </c>
      <c r="AK25" s="635">
        <f>IF(M25="","",(COS(RADIANS((90-$Q$8)-W25))*AD25)+(-SIN(RADIANS((90-$Q$8)-W25))*AE25))</f>
        <v>2.7755575615628914E-17</v>
      </c>
      <c r="AL25" s="629">
        <f>IF(M25="","",(SIN(RADIANS((90-$Q$8)-W25))*AD25)+(COS(RADIANS((90-$Q$8)-W25))*AE25))</f>
        <v>-1.0000000000000002</v>
      </c>
      <c r="AM25" s="634">
        <f>IF(M25="","",AF25)</f>
        <v>0</v>
      </c>
      <c r="AN25" s="581">
        <f>IF(M25="","",DEGREES(ATAN2(-AM25,AL25)))</f>
        <v>-90</v>
      </c>
      <c r="AO25" s="582">
        <f>IF(ROUND(IF(M25="",0,DEGREES(ACOS(AK25))),4)=90,0,IF(M25="","",DEGREES(ACOS(AK25))))</f>
        <v>0</v>
      </c>
      <c r="AP25" s="585">
        <f>IF(M25="","",DEGREES(ATAN2(AK25,AL25)))</f>
        <v>-90</v>
      </c>
      <c r="AQ25" s="586">
        <f t="shared" si="9"/>
        <v>0.36769279613469624</v>
      </c>
      <c r="AS25" s="52">
        <f t="shared" si="116"/>
        <v>-15</v>
      </c>
      <c r="AT25" s="72">
        <f t="shared" si="10"/>
        <v>-2.5317833333333333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>Gage</v>
      </c>
      <c r="IG25" s="847">
        <f t="shared" si="210"/>
        <v>1.3009999999999999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1.101</v>
      </c>
      <c r="II25" s="734" cm="1">
        <f t="array" ref="II25">IFERROR(IF($IH25&lt;1,$IH25+LARGE((IF($M$9:$M$150="",0,$M$9:$M$150)-MOD(IF($M$9:$M$150="",0,$M$9:$M$150),1)),1),$IH25),"")</f>
        <v>1.101</v>
      </c>
      <c r="IJ25" s="533">
        <f t="shared" si="112"/>
        <v>1313</v>
      </c>
      <c r="IK25" s="533" t="str">
        <f t="shared" si="66"/>
        <v>Inactive</v>
      </c>
      <c r="IL25" s="727">
        <f t="shared" si="225"/>
        <v>15</v>
      </c>
      <c r="IM25" s="759">
        <v>6.1658672268275998</v>
      </c>
      <c r="IN25" s="5">
        <f t="shared" si="226"/>
        <v>4</v>
      </c>
      <c r="IO25" s="771">
        <v>2000</v>
      </c>
      <c r="IP25" s="9">
        <f t="shared" si="227"/>
        <v>-0.29540089092908706</v>
      </c>
      <c r="IQ25" s="5">
        <f t="shared" si="228"/>
        <v>-0.44050132855200697</v>
      </c>
      <c r="IR25" s="5">
        <f t="shared" si="71"/>
        <v>0.26600000000000001</v>
      </c>
      <c r="IS25" s="5">
        <f t="shared" si="229"/>
        <v>0.24995824171420702</v>
      </c>
      <c r="IT25" s="727">
        <f t="shared" si="230"/>
        <v>-6.9999989893251904</v>
      </c>
      <c r="IU25" s="9">
        <f t="shared" si="231"/>
        <v>-6.2</v>
      </c>
      <c r="IV25" s="5">
        <f t="shared" si="232"/>
        <v>-2.5421999999999998</v>
      </c>
      <c r="IW25" s="5">
        <f t="shared" si="76"/>
        <v>0.25700000000000001</v>
      </c>
      <c r="IX25" s="5">
        <f t="shared" si="233"/>
        <v>0.25700000000000001</v>
      </c>
      <c r="IY25" s="762">
        <f t="shared" si="234"/>
        <v>90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2.7397301447049696</v>
      </c>
      <c r="C26" s="708">
        <v>1.8479682627736866</v>
      </c>
      <c r="D26" s="709">
        <v>-7.7900234947108696E-2</v>
      </c>
      <c r="E26" s="710">
        <v>-0.56628785731526987</v>
      </c>
      <c r="F26" s="708">
        <v>0.7831511267961152</v>
      </c>
      <c r="G26" s="711">
        <v>0.25688981150535295</v>
      </c>
      <c r="H26" s="710">
        <v>0.26600000000000001</v>
      </c>
      <c r="I26" s="708">
        <v>0.52</v>
      </c>
      <c r="J26" s="570">
        <v>2.1160000000000001</v>
      </c>
      <c r="K26" s="865">
        <f>IF($J26="","",IF(IFERROR(INDEX(Settings!$AK$14:$AK$36,MATCH((((ROUND($H26,6)*2)*1000000)+ROUND($I26,6)),Settings!$AI$14:$AI$36,0)),"Undefined")="Undefined","Undefined",IFERROR(INDEX(_xlfn.ANCHORARRAY(Settings!$BC$14),MATCH(IFERROR(INDEX(Settings!$AK$14:$AK$36,MATCH((((ROUND($H26,6)*2)*1000000)+ROUND($I26,6)),Settings!$AI$14:$AI$36,0)),"Undefined"),_xlfn.ANCHORARRAY(Settings!$BC$14),0)),"Inactive")))</f>
        <v>1313</v>
      </c>
      <c r="L26" s="320"/>
      <c r="M26" s="168">
        <f t="shared" si="1"/>
        <v>2.1160000000000001</v>
      </c>
      <c r="N26" s="632">
        <f t="shared" si="2"/>
        <v>2.7397301447049696</v>
      </c>
      <c r="O26" s="629">
        <f t="shared" si="3"/>
        <v>1.8479682627736866</v>
      </c>
      <c r="P26" s="633">
        <f t="shared" si="4"/>
        <v>-7.7900234947108696E-2</v>
      </c>
      <c r="Q26" s="585">
        <f t="shared" si="113"/>
        <v>33.999956107836866</v>
      </c>
      <c r="R26" s="629">
        <f>IF(M26="","",SQRT(N26^2+O26^2))</f>
        <v>3.3047099670052607</v>
      </c>
      <c r="S26" s="634">
        <f>IF(M26="","",P26)</f>
        <v>-7.7900234947108696E-2</v>
      </c>
      <c r="T26" s="635">
        <f>IF(M26="","",X26*COS(RADIANS(W26)))</f>
        <v>1.8479682627736846</v>
      </c>
      <c r="U26" s="629">
        <f>IF(M26="","",X26*SIN(RADIANS(W26)))</f>
        <v>-2.7397301447049709</v>
      </c>
      <c r="V26" s="636">
        <f>IF(M26="","",Y26)</f>
        <v>-7.7900234947108696E-2</v>
      </c>
      <c r="W26" s="585">
        <f t="shared" si="224"/>
        <v>303.99995610783685</v>
      </c>
      <c r="X26" s="629">
        <f>IF(M26="","",R26)</f>
        <v>3.3047099670052607</v>
      </c>
      <c r="Y26" s="630">
        <f t="shared" si="223"/>
        <v>-7.7900234947108696E-2</v>
      </c>
      <c r="Z26" s="632">
        <f t="shared" si="6"/>
        <v>0.56628785731526987</v>
      </c>
      <c r="AA26" s="629">
        <f t="shared" si="7"/>
        <v>-0.7831511267961152</v>
      </c>
      <c r="AB26" s="629">
        <f t="shared" si="8"/>
        <v>-0.25688981150535295</v>
      </c>
      <c r="AC26" s="636">
        <f>IF(M26="","",SQRT(Z26^2+AA26^2+AB26^2))</f>
        <v>1</v>
      </c>
      <c r="AD26" s="637">
        <f>IF(M26="","",Z26*(1/SQRT(Z26^2+AA26^2+AB26^2)))</f>
        <v>0.56628785731526987</v>
      </c>
      <c r="AE26" s="629">
        <f>IF(M26="","",AA26*(1/SQRT(Z26^2+AA26^2+AB26^2)))</f>
        <v>-0.7831511267961152</v>
      </c>
      <c r="AF26" s="633">
        <f>IF(M26="","",AB26*(1/SQRT(Z26^2+AA26^2+AB26^2)))</f>
        <v>-0.25688981150535295</v>
      </c>
      <c r="AG26" s="602">
        <f>IF(M26="","",DEGREES(ATAN2(-AF26,AE26)))</f>
        <v>-71.839436693155818</v>
      </c>
      <c r="AH26" s="603">
        <f>IF(M26="","",DEGREES(ACOS(AD26)))</f>
        <v>55.508229707242826</v>
      </c>
      <c r="AI26" s="585">
        <f>IF(M26="","",DEGREES(-ACOS(-AF26)))</f>
        <v>-75.11440573476915</v>
      </c>
      <c r="AJ26" s="586">
        <f>IF(M26="","",DEGREES(ATAN2(-AE26,AD26)))</f>
        <v>35.87027272144519</v>
      </c>
      <c r="AK26" s="635">
        <f>IF(M26="","",(COS(RADIANS((90-$Q$8)-W26))*AD26)+(-SIN(RADIANS((90-$Q$8)-W26))*AE26))</f>
        <v>0.96592583607220739</v>
      </c>
      <c r="AL26" s="629">
        <f>IF(M26="","",(SIN(RADIANS((90-$Q$8)-W26))*AD26)+(COS(RADIANS((90-$Q$8)-W26))*AE26))</f>
        <v>3.1542098106364824E-2</v>
      </c>
      <c r="AM26" s="634">
        <f>IF(M26="","",AF26)</f>
        <v>-0.25688981150535295</v>
      </c>
      <c r="AN26" s="581">
        <f>IF(M26="","",DEGREES(ATAN2(-AM26,AL26)))</f>
        <v>6.9999989893253138</v>
      </c>
      <c r="AO26" s="582">
        <f t="shared" si="94"/>
        <v>14.999997834268255</v>
      </c>
      <c r="AP26" s="585">
        <f>IF(M26="","",DEGREES(ATAN2(AK26,AL26)))</f>
        <v>1.8703166136083633</v>
      </c>
      <c r="AQ26" s="586">
        <f t="shared" si="9"/>
        <v>0.68980833614216597</v>
      </c>
      <c r="AS26" s="52">
        <f t="shared" si="116"/>
        <v>-56.000043892163148</v>
      </c>
      <c r="AT26" s="72">
        <f t="shared" si="10"/>
        <v>-3.9011315577550949E-2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2.1160000000000001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1313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3.3020759448419592</v>
      </c>
      <c r="C27" s="708">
        <v>2.2222470730826447</v>
      </c>
      <c r="D27" s="709">
        <v>-5.7700174023724897E-2</v>
      </c>
      <c r="E27" s="710">
        <v>-0.49516590397289145</v>
      </c>
      <c r="F27" s="708">
        <v>0.83059021670790767</v>
      </c>
      <c r="G27" s="711">
        <v>0.25481487290152538</v>
      </c>
      <c r="H27" s="710">
        <v>0.26600000000000001</v>
      </c>
      <c r="I27" s="708">
        <v>0.52</v>
      </c>
      <c r="J27" s="570">
        <v>2.1230000000000002</v>
      </c>
      <c r="K27" s="865">
        <f>IF($J27="","",IF(IFERROR(INDEX(Settings!$AK$14:$AK$36,MATCH((((ROUND($H27,6)*2)*1000000)+ROUND($I27,6)),Settings!$AI$14:$AI$36,0)),"Undefined")="Undefined","Undefined",IFERROR(INDEX(_xlfn.ANCHORARRAY(Settings!$BC$14),MATCH(IFERROR(INDEX(Settings!$AK$14:$AK$36,MATCH((((ROUND($H27,6)*2)*1000000)+ROUND($I27,6)),Settings!$AI$14:$AI$36,0)),"Undefined"),_xlfn.ANCHORARRAY(Settings!$BC$14),0)),"Inactive")))</f>
        <v>1313</v>
      </c>
      <c r="L27" s="320"/>
      <c r="M27" s="168">
        <f t="shared" si="1"/>
        <v>2.1230000000000002</v>
      </c>
      <c r="N27" s="632">
        <f t="shared" si="2"/>
        <v>3.3020759448419592</v>
      </c>
      <c r="O27" s="629">
        <f t="shared" si="3"/>
        <v>2.2222470730826447</v>
      </c>
      <c r="P27" s="633">
        <f t="shared" si="4"/>
        <v>-5.7700174023724897E-2</v>
      </c>
      <c r="Q27" s="585">
        <f t="shared" si="113"/>
        <v>33.9399561164998</v>
      </c>
      <c r="R27" s="629">
        <f t="shared" si="79"/>
        <v>3.9802120043194056</v>
      </c>
      <c r="S27" s="634">
        <f t="shared" si="80"/>
        <v>-5.7700174023724897E-2</v>
      </c>
      <c r="T27" s="635">
        <f t="shared" si="81"/>
        <v>2.2222470730826442</v>
      </c>
      <c r="U27" s="629">
        <f t="shared" si="82"/>
        <v>-3.3020759448419592</v>
      </c>
      <c r="V27" s="636">
        <f t="shared" si="114"/>
        <v>-5.7700174023724897E-2</v>
      </c>
      <c r="W27" s="585">
        <f t="shared" si="224"/>
        <v>303.93995611649979</v>
      </c>
      <c r="X27" s="629">
        <f t="shared" si="83"/>
        <v>3.9802120043194056</v>
      </c>
      <c r="Y27" s="630">
        <f t="shared" si="223"/>
        <v>-5.7700174023724897E-2</v>
      </c>
      <c r="Z27" s="632">
        <f t="shared" si="6"/>
        <v>0.49516590397289145</v>
      </c>
      <c r="AA27" s="629">
        <f t="shared" si="7"/>
        <v>-0.83059021670790767</v>
      </c>
      <c r="AB27" s="629">
        <f t="shared" si="8"/>
        <v>-0.25481487290152538</v>
      </c>
      <c r="AC27" s="636">
        <f t="shared" si="84"/>
        <v>1</v>
      </c>
      <c r="AD27" s="637">
        <f t="shared" si="115"/>
        <v>0.49516590397289145</v>
      </c>
      <c r="AE27" s="629">
        <f t="shared" si="85"/>
        <v>-0.83059021670790767</v>
      </c>
      <c r="AF27" s="633">
        <f t="shared" si="86"/>
        <v>-0.25481487290152538</v>
      </c>
      <c r="AG27" s="602">
        <f t="shared" si="87"/>
        <v>-72.944629979898451</v>
      </c>
      <c r="AH27" s="603">
        <f t="shared" si="88"/>
        <v>60.319309172988653</v>
      </c>
      <c r="AI27" s="585">
        <f t="shared" si="89"/>
        <v>-75.237384218615787</v>
      </c>
      <c r="AJ27" s="586">
        <f t="shared" si="90"/>
        <v>30.801769240156226</v>
      </c>
      <c r="AK27" s="635">
        <f t="shared" si="211"/>
        <v>0.96553976301658651</v>
      </c>
      <c r="AL27" s="629">
        <f t="shared" si="91"/>
        <v>-5.2937194693840783E-2</v>
      </c>
      <c r="AM27" s="634">
        <f t="shared" si="92"/>
        <v>-0.25481487290152538</v>
      </c>
      <c r="AN27" s="581">
        <f t="shared" si="93"/>
        <v>-11.736124669977706</v>
      </c>
      <c r="AO27" s="582">
        <f t="shared" si="94"/>
        <v>15.085227792161211</v>
      </c>
      <c r="AP27" s="585">
        <f t="shared" si="95"/>
        <v>-3.1381868763435685</v>
      </c>
      <c r="AQ27" s="586">
        <f t="shared" si="9"/>
        <v>0.57274604826132536</v>
      </c>
      <c r="AS27" s="52">
        <f t="shared" si="116"/>
        <v>-56.060043883500214</v>
      </c>
      <c r="AT27" s="72">
        <f t="shared" si="10"/>
        <v>-1.8769587993516412E-2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2.1230000000000002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1313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3.8696959711195977</v>
      </c>
      <c r="C28" s="708">
        <v>2.5574083421869434</v>
      </c>
      <c r="D28" s="709">
        <v>-0.24690074465264561</v>
      </c>
      <c r="E28" s="710">
        <v>-0.39019693807447503</v>
      </c>
      <c r="F28" s="708">
        <v>0.89505841464456282</v>
      </c>
      <c r="G28" s="711">
        <v>0.21590920288692236</v>
      </c>
      <c r="H28" s="710">
        <v>0.26600000000000001</v>
      </c>
      <c r="I28" s="708">
        <v>0.52</v>
      </c>
      <c r="J28" s="570">
        <v>2.13</v>
      </c>
      <c r="K28" s="865">
        <f>IF($J28="","",IF(IFERROR(INDEX(Settings!$AK$14:$AK$36,MATCH((((ROUND($H28,6)*2)*1000000)+ROUND($I28,6)),Settings!$AI$14:$AI$36,0)),"Undefined")="Undefined","Undefined",IFERROR(INDEX(_xlfn.ANCHORARRAY(Settings!$BC$14),MATCH(IFERROR(INDEX(Settings!$AK$14:$AK$36,MATCH((((ROUND($H28,6)*2)*1000000)+ROUND($I28,6)),Settings!$AI$14:$AI$36,0)),"Undefined"),_xlfn.ANCHORARRAY(Settings!$BC$14),0)),"Inactive")))</f>
        <v>1313</v>
      </c>
      <c r="L28" s="320"/>
      <c r="M28" s="168">
        <f t="shared" si="1"/>
        <v>2.13</v>
      </c>
      <c r="N28" s="632">
        <f t="shared" si="2"/>
        <v>3.8696959711195977</v>
      </c>
      <c r="O28" s="629">
        <f t="shared" si="3"/>
        <v>2.5574083421869434</v>
      </c>
      <c r="P28" s="633">
        <f t="shared" si="4"/>
        <v>-0.24690074465264561</v>
      </c>
      <c r="Q28" s="585">
        <f t="shared" si="113"/>
        <v>33.459956185803215</v>
      </c>
      <c r="R28" s="629">
        <f t="shared" si="79"/>
        <v>4.6384139894565921</v>
      </c>
      <c r="S28" s="634">
        <f t="shared" si="80"/>
        <v>-0.24690074465264561</v>
      </c>
      <c r="T28" s="635">
        <f t="shared" si="81"/>
        <v>2.557408342186942</v>
      </c>
      <c r="U28" s="629">
        <f t="shared" si="82"/>
        <v>-3.8696959711195991</v>
      </c>
      <c r="V28" s="636">
        <f t="shared" si="114"/>
        <v>-0.24690074465264561</v>
      </c>
      <c r="W28" s="585">
        <f t="shared" si="224"/>
        <v>303.45995618580321</v>
      </c>
      <c r="X28" s="629">
        <f t="shared" si="83"/>
        <v>4.6384139894565921</v>
      </c>
      <c r="Y28" s="630">
        <f t="shared" si="223"/>
        <v>-0.24690074465264561</v>
      </c>
      <c r="Z28" s="632">
        <f t="shared" si="6"/>
        <v>0.39019693807447503</v>
      </c>
      <c r="AA28" s="629">
        <f t="shared" si="7"/>
        <v>-0.89505841464456282</v>
      </c>
      <c r="AB28" s="629">
        <f t="shared" si="8"/>
        <v>-0.21590920288692236</v>
      </c>
      <c r="AC28" s="636">
        <f t="shared" si="84"/>
        <v>1</v>
      </c>
      <c r="AD28" s="637">
        <f t="shared" si="115"/>
        <v>0.39019693807447503</v>
      </c>
      <c r="AE28" s="629">
        <f t="shared" si="85"/>
        <v>-0.89505841464456282</v>
      </c>
      <c r="AF28" s="633">
        <f t="shared" si="86"/>
        <v>-0.21590920288692236</v>
      </c>
      <c r="AG28" s="602">
        <f t="shared" si="87"/>
        <v>-76.437996884789428</v>
      </c>
      <c r="AH28" s="603">
        <f t="shared" si="88"/>
        <v>67.033245983463516</v>
      </c>
      <c r="AI28" s="585">
        <f t="shared" si="89"/>
        <v>-77.531126303869826</v>
      </c>
      <c r="AJ28" s="586">
        <f t="shared" si="90"/>
        <v>23.554591242229026</v>
      </c>
      <c r="AK28" s="635">
        <f t="shared" si="211"/>
        <v>0.96185826787679762</v>
      </c>
      <c r="AL28" s="629">
        <f t="shared" si="91"/>
        <v>-0.16796395037561046</v>
      </c>
      <c r="AM28" s="634">
        <f t="shared" si="92"/>
        <v>-0.21590920288692236</v>
      </c>
      <c r="AN28" s="581">
        <f t="shared" si="93"/>
        <v>-37.880699269861552</v>
      </c>
      <c r="AO28" s="582">
        <f t="shared" si="94"/>
        <v>15.87552099937626</v>
      </c>
      <c r="AP28" s="585">
        <f t="shared" si="95"/>
        <v>-9.9053649435741651</v>
      </c>
      <c r="AQ28" s="586">
        <f t="shared" si="9"/>
        <v>0.49147633711482275</v>
      </c>
      <c r="AS28" s="52">
        <f t="shared" si="116"/>
        <v>-56.540043814196792</v>
      </c>
      <c r="AT28" s="72">
        <f t="shared" si="10"/>
        <v>-0.20763682533723116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2.13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1313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4.3816012884942257</v>
      </c>
      <c r="C29" s="708">
        <v>2.820498670304759</v>
      </c>
      <c r="D29" s="709">
        <v>-0.63780192361060173</v>
      </c>
      <c r="E29" s="710">
        <v>-0.28022224759188297</v>
      </c>
      <c r="F29" s="708">
        <v>0.94460655694531348</v>
      </c>
      <c r="G29" s="711">
        <v>0.17086235551014142</v>
      </c>
      <c r="H29" s="710">
        <v>0.26600000000000001</v>
      </c>
      <c r="I29" s="708">
        <v>0.52</v>
      </c>
      <c r="J29" s="570">
        <v>2.137</v>
      </c>
      <c r="K29" s="865">
        <f>IF($J29="","",IF(IFERROR(INDEX(Settings!$AK$14:$AK$36,MATCH((((ROUND($H29,6)*2)*1000000)+ROUND($I29,6)),Settings!$AI$14:$AI$36,0)),"Undefined")="Undefined","Undefined",IFERROR(INDEX(_xlfn.ANCHORARRAY(Settings!$BC$14),MATCH(IFERROR(INDEX(Settings!$AK$14:$AK$36,MATCH((((ROUND($H29,6)*2)*1000000)+ROUND($I29,6)),Settings!$AI$14:$AI$36,0)),"Undefined"),_xlfn.ANCHORARRAY(Settings!$BC$14),0)),"Inactive")))</f>
        <v>1313</v>
      </c>
      <c r="L29" s="1314"/>
      <c r="M29" s="168">
        <f t="shared" si="1"/>
        <v>2.137</v>
      </c>
      <c r="N29" s="632">
        <f t="shared" si="2"/>
        <v>4.3816012884942257</v>
      </c>
      <c r="O29" s="629">
        <f t="shared" si="3"/>
        <v>2.820498670304759</v>
      </c>
      <c r="P29" s="633">
        <f t="shared" si="4"/>
        <v>-0.63780192361060173</v>
      </c>
      <c r="Q29" s="585">
        <f t="shared" si="113"/>
        <v>32.769956285426886</v>
      </c>
      <c r="R29" s="629">
        <f>IF(M29="","",SQRT(N29^2+O29^2))</f>
        <v>5.2109157161218</v>
      </c>
      <c r="S29" s="634">
        <f>IF(M29="","",P29)</f>
        <v>-0.63780192361060173</v>
      </c>
      <c r="T29" s="635">
        <f>IF(M29="","",X29*COS(RADIANS(W29)))</f>
        <v>2.8204986703047572</v>
      </c>
      <c r="U29" s="629">
        <f>IF(M29="","",X29*SIN(RADIANS(W29)))</f>
        <v>-4.3816012884942266</v>
      </c>
      <c r="V29" s="636">
        <f>IF(M29="","",Y29)</f>
        <v>-0.63780192361060173</v>
      </c>
      <c r="W29" s="585">
        <f t="shared" si="224"/>
        <v>302.76995628542687</v>
      </c>
      <c r="X29" s="629">
        <f>IF(M29="","",R29)</f>
        <v>5.2109157161218</v>
      </c>
      <c r="Y29" s="630">
        <f t="shared" si="223"/>
        <v>-0.63780192361060173</v>
      </c>
      <c r="Z29" s="632">
        <f t="shared" si="6"/>
        <v>0.28022224759188297</v>
      </c>
      <c r="AA29" s="629">
        <f t="shared" si="7"/>
        <v>-0.94460655694531348</v>
      </c>
      <c r="AB29" s="629">
        <f t="shared" si="8"/>
        <v>-0.17086235551014142</v>
      </c>
      <c r="AC29" s="636">
        <f>IF(M29="","",SQRT(Z29^2+AA29^2+AB29^2))</f>
        <v>1</v>
      </c>
      <c r="AD29" s="637">
        <f>IF(M29="","",Z29*(1/SQRT(Z29^2+AA29^2+AB29^2)))</f>
        <v>0.28022224759188297</v>
      </c>
      <c r="AE29" s="629">
        <f>IF(M29="","",AA29*(1/SQRT(Z29^2+AA29^2+AB29^2)))</f>
        <v>-0.94460655694531348</v>
      </c>
      <c r="AF29" s="633">
        <f>IF(M29="","",AB29*(1/SQRT(Z29^2+AA29^2+AB29^2)))</f>
        <v>-0.17086235551014142</v>
      </c>
      <c r="AG29" s="602">
        <f>IF(M29="","",DEGREES(ATAN2(-AF29,AE29)))</f>
        <v>-79.747082988390034</v>
      </c>
      <c r="AH29" s="603">
        <f>IF(M29="","",DEGREES(ACOS(AD29)))</f>
        <v>73.726530417647027</v>
      </c>
      <c r="AI29" s="585">
        <f>IF(M29="","",DEGREES(-ACOS(-AF29)))</f>
        <v>-80.162037998163058</v>
      </c>
      <c r="AJ29" s="586">
        <f>IF(M29="","",DEGREES(ATAN2(-AE29,AD29)))</f>
        <v>16.523252464730277</v>
      </c>
      <c r="AK29" s="635">
        <f>IF(M29="","",(COS(RADIANS((90-$Q$8)-W29))*AD29)+(-SIN(RADIANS((90-$Q$8)-W29))*AE29))</f>
        <v>0.94594809286667425</v>
      </c>
      <c r="AL29" s="629">
        <f>IF(M29="","",(SIN(RADIANS((90-$Q$8)-W29))*AD29)+(COS(RADIANS((90-$Q$8)-W29))*AE29))</f>
        <v>-0.27565968343489777</v>
      </c>
      <c r="AM29" s="634">
        <f>IF(M29="","",AF29)</f>
        <v>-0.17086235551014142</v>
      </c>
      <c r="AN29" s="581">
        <f>IF(M29="","",DEGREES(ATAN2(-AM29,AL29)))</f>
        <v>-58.208091331109422</v>
      </c>
      <c r="AO29" s="582">
        <f t="shared" si="94"/>
        <v>18.924265133108289</v>
      </c>
      <c r="AP29" s="585">
        <f>IF(M29="","",DEGREES(ATAN2(AK29,AL29)))</f>
        <v>-16.246703820696585</v>
      </c>
      <c r="AQ29" s="586">
        <f t="shared" si="9"/>
        <v>0.43748209577665015</v>
      </c>
      <c r="AS29" s="52">
        <f t="shared" si="116"/>
        <v>-57.230043714573128</v>
      </c>
      <c r="AT29" s="72">
        <f t="shared" si="10"/>
        <v>-0.59805883769770374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2.137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1313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20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0</v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4.7610278163064876</v>
      </c>
      <c r="C30" s="708">
        <v>2.9923749370899744</v>
      </c>
      <c r="D30" s="709">
        <v>-1.1770035498427069</v>
      </c>
      <c r="E30" s="710">
        <v>-0.17999380156266193</v>
      </c>
      <c r="F30" s="708">
        <v>0.97731358325806461</v>
      </c>
      <c r="G30" s="711">
        <v>0.1116261231894361</v>
      </c>
      <c r="H30" s="710">
        <v>0.26600000000000001</v>
      </c>
      <c r="I30" s="708">
        <v>0.52</v>
      </c>
      <c r="J30" s="570">
        <v>2.1440000000000001</v>
      </c>
      <c r="K30" s="865">
        <f>IF($J30="","",IF(IFERROR(INDEX(Settings!$AK$14:$AK$36,MATCH((((ROUND($H30,6)*2)*1000000)+ROUND($I30,6)),Settings!$AI$14:$AI$36,0)),"Undefined")="Undefined","Undefined",IFERROR(INDEX(_xlfn.ANCHORARRAY(Settings!$BC$14),MATCH(IFERROR(INDEX(Settings!$AK$14:$AK$36,MATCH((((ROUND($H30,6)*2)*1000000)+ROUND($I30,6)),Settings!$AI$14:$AI$36,0)),"Undefined"),_xlfn.ANCHORARRAY(Settings!$BC$14),0)),"Inactive")))</f>
        <v>1313</v>
      </c>
      <c r="L30" s="1314"/>
      <c r="M30" s="168">
        <f t="shared" si="1"/>
        <v>2.1440000000000001</v>
      </c>
      <c r="N30" s="632">
        <f t="shared" si="2"/>
        <v>4.7610278163064876</v>
      </c>
      <c r="O30" s="629">
        <f t="shared" si="3"/>
        <v>2.9923749370899744</v>
      </c>
      <c r="P30" s="633">
        <f t="shared" si="4"/>
        <v>-1.1770035498427069</v>
      </c>
      <c r="Q30" s="585">
        <f t="shared" si="113"/>
        <v>32.149956374943784</v>
      </c>
      <c r="R30" s="629">
        <f>IF(M30="","",SQRT(N30^2+O30^2))</f>
        <v>5.6233169599239519</v>
      </c>
      <c r="S30" s="634">
        <f>IF(M30="","",P30)</f>
        <v>-1.1770035498427069</v>
      </c>
      <c r="T30" s="635">
        <f>IF(M30="","",X30*COS(RADIANS(W30)))</f>
        <v>2.9923749370899757</v>
      </c>
      <c r="U30" s="629">
        <f>IF(M30="","",X30*SIN(RADIANS(W30)))</f>
        <v>-4.7610278163064876</v>
      </c>
      <c r="V30" s="636">
        <f>IF(M30="","",Y30)</f>
        <v>-1.1770035498427069</v>
      </c>
      <c r="W30" s="585">
        <f t="shared" si="224"/>
        <v>302.14995637494377</v>
      </c>
      <c r="X30" s="629">
        <f>IF(M30="","",R30)</f>
        <v>5.6233169599239519</v>
      </c>
      <c r="Y30" s="630">
        <f t="shared" si="223"/>
        <v>-1.1770035498427069</v>
      </c>
      <c r="Z30" s="632">
        <f t="shared" si="6"/>
        <v>0.17999380156266193</v>
      </c>
      <c r="AA30" s="629">
        <f t="shared" si="7"/>
        <v>-0.97731358325806461</v>
      </c>
      <c r="AB30" s="629">
        <f t="shared" si="8"/>
        <v>-0.1116261231894361</v>
      </c>
      <c r="AC30" s="636">
        <f>IF(M30="","",SQRT(Z30^2+AA30^2+AB30^2))</f>
        <v>1</v>
      </c>
      <c r="AD30" s="637">
        <f>IF(M30="","",Z30*(1/SQRT(Z30^2+AA30^2+AB30^2)))</f>
        <v>0.17999380156266193</v>
      </c>
      <c r="AE30" s="629">
        <f>IF(M30="","",AA30*(1/SQRT(Z30^2+AA30^2+AB30^2)))</f>
        <v>-0.97731358325806461</v>
      </c>
      <c r="AF30" s="633">
        <f>IF(M30="","",AB30*(1/SQRT(Z30^2+AA30^2+AB30^2)))</f>
        <v>-0.1116261231894361</v>
      </c>
      <c r="AG30" s="602">
        <f>IF(M30="","",DEGREES(ATAN2(-AF30,AE30)))</f>
        <v>-83.484067332185262</v>
      </c>
      <c r="AH30" s="603">
        <f>IF(M30="","",DEGREES(ACOS(AD30)))</f>
        <v>79.630601235642231</v>
      </c>
      <c r="AI30" s="585">
        <f>IF(M30="","",DEGREES(-ACOS(-AF30)))</f>
        <v>-83.590937059174166</v>
      </c>
      <c r="AJ30" s="586">
        <f>IF(M30="","",DEGREES(ATAN2(-AE30,AD30)))</f>
        <v>10.43534063170846</v>
      </c>
      <c r="AK30" s="635">
        <f>IF(M30="","",(COS(RADIANS((90-$Q$8)-W30))*AD30)+(-SIN(RADIANS((90-$Q$8)-W30))*AE30))</f>
        <v>0.92323198794820882</v>
      </c>
      <c r="AL30" s="629">
        <f>IF(M30="","",(SIN(RADIANS((90-$Q$8)-W30))*AD30)+(COS(RADIANS((90-$Q$8)-W30))*AE30))</f>
        <v>-0.36767146347098445</v>
      </c>
      <c r="AM30" s="634">
        <f>IF(M30="","",AF30)</f>
        <v>-0.1116261231894361</v>
      </c>
      <c r="AN30" s="581">
        <f>IF(M30="","",DEGREES(ATAN2(-AM30,AL30)))</f>
        <v>-73.111557771775423</v>
      </c>
      <c r="AO30" s="582">
        <f>IF(ROUND(IF(M30="",0,DEGREES(ACOS(AK30))),4)=90,0,IF(M30="","",DEGREES(ACOS(AK30))))</f>
        <v>22.596753897861266</v>
      </c>
      <c r="AP30" s="585">
        <f>IF(M30="","",DEGREES(ATAN2(AK30,AL30)))</f>
        <v>-21.714615743235335</v>
      </c>
      <c r="AQ30" s="586">
        <f t="shared" si="9"/>
        <v>0.40539926958101047</v>
      </c>
      <c r="AS30" s="52">
        <f t="shared" si="116"/>
        <v>-57.85004362505623</v>
      </c>
      <c r="AT30" s="72">
        <f t="shared" si="10"/>
        <v>-1.136829908436418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2.1440000000000001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1313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7</v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4.9706701399965327</v>
      </c>
      <c r="C31" s="708">
        <v>3.0795392333745295</v>
      </c>
      <c r="D31" s="709">
        <v>-1.8086054547540518</v>
      </c>
      <c r="E31" s="710">
        <v>-7.6226649106396982E-2</v>
      </c>
      <c r="F31" s="708">
        <v>0.99566309926030705</v>
      </c>
      <c r="G31" s="711">
        <v>5.333376732774555E-2</v>
      </c>
      <c r="H31" s="710">
        <v>0.26600000000000001</v>
      </c>
      <c r="I31" s="708">
        <v>0.52</v>
      </c>
      <c r="J31" s="570">
        <v>2.1520000000000001</v>
      </c>
      <c r="K31" s="865">
        <f>IF($J31="","",IF(IFERROR(INDEX(Settings!$AK$14:$AK$36,MATCH((((ROUND($H31,6)*2)*1000000)+ROUND($I31,6)),Settings!$AI$14:$AI$36,0)),"Undefined")="Undefined","Undefined",IFERROR(INDEX(_xlfn.ANCHORARRAY(Settings!$BC$14),MATCH(IFERROR(INDEX(Settings!$AK$14:$AK$36,MATCH((((ROUND($H31,6)*2)*1000000)+ROUND($I31,6)),Settings!$AI$14:$AI$36,0)),"Undefined"),_xlfn.ANCHORARRAY(Settings!$BC$14),0)),"Inactive")))</f>
        <v>1313</v>
      </c>
      <c r="L31" s="320"/>
      <c r="M31" s="168">
        <f t="shared" si="1"/>
        <v>2.1520000000000001</v>
      </c>
      <c r="N31" s="632">
        <f t="shared" si="2"/>
        <v>4.9706701399965327</v>
      </c>
      <c r="O31" s="629">
        <f t="shared" si="3"/>
        <v>3.0795392333745295</v>
      </c>
      <c r="P31" s="633">
        <f t="shared" si="4"/>
        <v>-1.8086054547540518</v>
      </c>
      <c r="Q31" s="585">
        <f t="shared" si="113"/>
        <v>31.779956428365164</v>
      </c>
      <c r="R31" s="629">
        <f>IF(M31="","",SQRT(N31^2+O31^2))</f>
        <v>5.8473176355099898</v>
      </c>
      <c r="S31" s="634">
        <f>IF(M31="","",P31)</f>
        <v>-1.8086054547540518</v>
      </c>
      <c r="T31" s="635">
        <f>IF(M31="","",X31*COS(RADIANS(W31)))</f>
        <v>3.0795392333745304</v>
      </c>
      <c r="U31" s="629">
        <f>IF(M31="","",X31*SIN(RADIANS(W31)))</f>
        <v>-4.9706701399965327</v>
      </c>
      <c r="V31" s="636">
        <f>IF(M31="","",Y31)</f>
        <v>-1.8086054547540518</v>
      </c>
      <c r="W31" s="585">
        <f t="shared" si="224"/>
        <v>301.77995642836515</v>
      </c>
      <c r="X31" s="629">
        <f>IF(M31="","",R31)</f>
        <v>5.8473176355099898</v>
      </c>
      <c r="Y31" s="630">
        <f t="shared" si="223"/>
        <v>-1.8086054547540518</v>
      </c>
      <c r="Z31" s="632">
        <f t="shared" si="6"/>
        <v>7.6226649106396982E-2</v>
      </c>
      <c r="AA31" s="629">
        <f t="shared" si="7"/>
        <v>-0.99566309926030705</v>
      </c>
      <c r="AB31" s="629">
        <f t="shared" si="8"/>
        <v>-5.333376732774555E-2</v>
      </c>
      <c r="AC31" s="636">
        <f>IF(M31="","",SQRT(Z31^2+AA31^2+AB31^2))</f>
        <v>1</v>
      </c>
      <c r="AD31" s="637">
        <f>IF(M31="","",Z31*(1/SQRT(Z31^2+AA31^2+AB31^2)))</f>
        <v>7.6226649106396982E-2</v>
      </c>
      <c r="AE31" s="629">
        <f>IF(M31="","",AA31*(1/SQRT(Z31^2+AA31^2+AB31^2)))</f>
        <v>-0.99566309926030705</v>
      </c>
      <c r="AF31" s="633">
        <f>IF(M31="","",AB31*(1/SQRT(Z31^2+AA31^2+AB31^2)))</f>
        <v>-5.333376732774555E-2</v>
      </c>
      <c r="AG31" s="602">
        <f>IF(M31="","",DEGREES(ATAN2(-AF31,AE31)))</f>
        <v>-86.933820181605029</v>
      </c>
      <c r="AH31" s="603">
        <f>IF(M31="","",DEGREES(ACOS(AD31)))</f>
        <v>85.628294094673109</v>
      </c>
      <c r="AI31" s="585">
        <f>IF(M31="","",DEGREES(-ACOS(-AF31)))</f>
        <v>-86.942749670051597</v>
      </c>
      <c r="AJ31" s="586">
        <f>IF(M31="","",DEGREES(ATAN2(-AE31,AD31)))</f>
        <v>4.37794898580864</v>
      </c>
      <c r="AK31" s="635">
        <f>IF(M31="","",(COS(RADIANS((90-$Q$8)-W31))*AD31)+(-SIN(RADIANS((90-$Q$8)-W31))*AE31))</f>
        <v>0.88653569323146764</v>
      </c>
      <c r="AL31" s="629">
        <f>IF(M31="","",(SIN(RADIANS((90-$Q$8)-W31))*AD31)+(COS(RADIANS((90-$Q$8)-W31))*AE31))</f>
        <v>-0.45957586304029385</v>
      </c>
      <c r="AM31" s="634">
        <f>IF(M31="","",AF31)</f>
        <v>-5.333376732774555E-2</v>
      </c>
      <c r="AN31" s="581">
        <f>IF(M31="","",DEGREES(ATAN2(-AM31,AL31)))</f>
        <v>-83.380436790340084</v>
      </c>
      <c r="AO31" s="582">
        <f t="shared" si="94"/>
        <v>27.558899289391903</v>
      </c>
      <c r="AP31" s="585">
        <f>IF(M31="","",DEGREES(ATAN2(AK31,AL31)))</f>
        <v>-27.402007442556528</v>
      </c>
      <c r="AQ31" s="586">
        <f t="shared" si="9"/>
        <v>0.38986961016194294</v>
      </c>
      <c r="AS31" s="52">
        <f t="shared" si="116"/>
        <v>-58.220043571634847</v>
      </c>
      <c r="AT31" s="72">
        <f t="shared" si="10"/>
        <v>-1.7681748689404164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2.1520000000000001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1313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5.0480770013103982</v>
      </c>
      <c r="C32" s="708">
        <v>3.1104525428875642</v>
      </c>
      <c r="D32" s="709">
        <v>-2.4548074036991303</v>
      </c>
      <c r="E32" s="710">
        <v>1.0677656803239588E-2</v>
      </c>
      <c r="F32" s="708">
        <v>0.99988301923951595</v>
      </c>
      <c r="G32" s="711">
        <v>1.0951505908418185E-2</v>
      </c>
      <c r="H32" s="710">
        <v>0.26600000000000001</v>
      </c>
      <c r="I32" s="708">
        <v>0.52</v>
      </c>
      <c r="J32" s="570">
        <v>2.1579999999999999</v>
      </c>
      <c r="K32" s="865">
        <f>IF($J32="","",IF(IFERROR(INDEX(Settings!$AK$14:$AK$36,MATCH((((ROUND($H32,6)*2)*1000000)+ROUND($I32,6)),Settings!$AI$14:$AI$36,0)),"Undefined")="Undefined","Undefined",IFERROR(INDEX(_xlfn.ANCHORARRAY(Settings!$BC$14),MATCH(IFERROR(INDEX(Settings!$AK$14:$AK$36,MATCH((((ROUND($H32,6)*2)*1000000)+ROUND($I32,6)),Settings!$AI$14:$AI$36,0)),"Undefined"),_xlfn.ANCHORARRAY(Settings!$BC$14),0)),"Inactive")))</f>
        <v>1313</v>
      </c>
      <c r="L32" s="320"/>
      <c r="M32" s="168">
        <f t="shared" si="1"/>
        <v>2.1579999999999999</v>
      </c>
      <c r="N32" s="632">
        <f t="shared" si="2"/>
        <v>5.0480770013103982</v>
      </c>
      <c r="O32" s="629">
        <f t="shared" si="3"/>
        <v>3.1104525428875642</v>
      </c>
      <c r="P32" s="633">
        <f t="shared" si="4"/>
        <v>-2.4548074036991303</v>
      </c>
      <c r="Q32" s="585">
        <f t="shared" si="113"/>
        <v>31.639956448578658</v>
      </c>
      <c r="R32" s="629">
        <f t="shared" si="79"/>
        <v>5.9294178831243372</v>
      </c>
      <c r="S32" s="634">
        <f t="shared" si="80"/>
        <v>-2.4548074036991303</v>
      </c>
      <c r="T32" s="635">
        <f t="shared" si="81"/>
        <v>3.1104525428875673</v>
      </c>
      <c r="U32" s="629">
        <f t="shared" si="82"/>
        <v>-5.0480770013103955</v>
      </c>
      <c r="V32" s="636">
        <f t="shared" si="114"/>
        <v>-2.4548074036991303</v>
      </c>
      <c r="W32" s="585">
        <f t="shared" si="224"/>
        <v>301.63995644857869</v>
      </c>
      <c r="X32" s="629">
        <f t="shared" si="83"/>
        <v>5.9294178831243372</v>
      </c>
      <c r="Y32" s="630">
        <f t="shared" si="223"/>
        <v>-2.4548074036991303</v>
      </c>
      <c r="Z32" s="632">
        <f t="shared" si="6"/>
        <v>-1.0677656803239588E-2</v>
      </c>
      <c r="AA32" s="629">
        <f t="shared" si="7"/>
        <v>-0.99988301923951595</v>
      </c>
      <c r="AB32" s="629">
        <f t="shared" si="8"/>
        <v>-1.0951505908418185E-2</v>
      </c>
      <c r="AC32" s="636">
        <f t="shared" si="84"/>
        <v>1</v>
      </c>
      <c r="AD32" s="637">
        <f t="shared" si="115"/>
        <v>-1.0677656803239588E-2</v>
      </c>
      <c r="AE32" s="629">
        <f t="shared" si="85"/>
        <v>-0.99988301923951595</v>
      </c>
      <c r="AF32" s="633">
        <f t="shared" si="86"/>
        <v>-1.0951505908418185E-2</v>
      </c>
      <c r="AG32" s="602">
        <f t="shared" si="87"/>
        <v>-89.37247661354445</v>
      </c>
      <c r="AH32" s="603">
        <f t="shared" si="88"/>
        <v>90.611796295679738</v>
      </c>
      <c r="AI32" s="585">
        <f t="shared" si="89"/>
        <v>-89.372512388703981</v>
      </c>
      <c r="AJ32" s="586">
        <f t="shared" si="90"/>
        <v>-0.61183298841657374</v>
      </c>
      <c r="AK32" s="635">
        <f t="shared" si="211"/>
        <v>0.84566043876569463</v>
      </c>
      <c r="AL32" s="629">
        <f t="shared" si="91"/>
        <v>-0.53360892686025296</v>
      </c>
      <c r="AM32" s="634">
        <f t="shared" si="92"/>
        <v>-1.0951505908418185E-2</v>
      </c>
      <c r="AN32" s="581">
        <f t="shared" si="93"/>
        <v>-88.824256944784636</v>
      </c>
      <c r="AO32" s="582">
        <f t="shared" si="94"/>
        <v>32.257234382889848</v>
      </c>
      <c r="AP32" s="585">
        <f t="shared" si="95"/>
        <v>-32.251789436995274</v>
      </c>
      <c r="AQ32" s="586">
        <f t="shared" si="9"/>
        <v>0.38447153828106223</v>
      </c>
      <c r="AS32" s="52">
        <f t="shared" si="116"/>
        <v>-58.360043551421313</v>
      </c>
      <c r="AT32" s="72">
        <f t="shared" si="10"/>
        <v>-2.4142795956773098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2.1579999999999999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1313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5.0480770013103982</v>
      </c>
      <c r="C33" s="708">
        <v>3.1104525428875642</v>
      </c>
      <c r="D33" s="709">
        <v>-3.0806092911176215</v>
      </c>
      <c r="E33" s="710">
        <v>1.0677656803239588E-2</v>
      </c>
      <c r="F33" s="708">
        <v>0.99988301923951595</v>
      </c>
      <c r="G33" s="711">
        <v>1.0951505908418185E-2</v>
      </c>
      <c r="H33" s="710">
        <v>0.26600000000000001</v>
      </c>
      <c r="I33" s="708">
        <v>0.52</v>
      </c>
      <c r="J33" s="570">
        <v>2.165</v>
      </c>
      <c r="K33" s="865">
        <f>IF($J33="","",IF(IFERROR(INDEX(Settings!$AK$14:$AK$36,MATCH((((ROUND($H33,6)*2)*1000000)+ROUND($I33,6)),Settings!$AI$14:$AI$36,0)),"Undefined")="Undefined","Undefined",IFERROR(INDEX(_xlfn.ANCHORARRAY(Settings!$BC$14),MATCH(IFERROR(INDEX(Settings!$AK$14:$AK$36,MATCH((((ROUND($H33,6)*2)*1000000)+ROUND($I33,6)),Settings!$AI$14:$AI$36,0)),"Undefined"),_xlfn.ANCHORARRAY(Settings!$BC$14),0)),"Inactive")))</f>
        <v>1313</v>
      </c>
      <c r="L33" s="320"/>
      <c r="M33" s="168">
        <f t="shared" si="1"/>
        <v>2.165</v>
      </c>
      <c r="N33" s="632">
        <f t="shared" si="2"/>
        <v>5.0480770013103982</v>
      </c>
      <c r="O33" s="629">
        <f t="shared" si="3"/>
        <v>3.1104525428875642</v>
      </c>
      <c r="P33" s="633">
        <f t="shared" si="4"/>
        <v>-3.0806092911176215</v>
      </c>
      <c r="Q33" s="585">
        <f t="shared" si="113"/>
        <v>31.639956448578658</v>
      </c>
      <c r="R33" s="629">
        <f t="shared" si="79"/>
        <v>5.9294178831243372</v>
      </c>
      <c r="S33" s="634">
        <f t="shared" si="80"/>
        <v>-3.0806092911176215</v>
      </c>
      <c r="T33" s="635">
        <f t="shared" si="81"/>
        <v>3.1104525428875673</v>
      </c>
      <c r="U33" s="629">
        <f t="shared" si="82"/>
        <v>-5.0480770013103955</v>
      </c>
      <c r="V33" s="636">
        <f t="shared" si="114"/>
        <v>-3.0806092911176215</v>
      </c>
      <c r="W33" s="585">
        <f t="shared" si="224"/>
        <v>301.63995644857869</v>
      </c>
      <c r="X33" s="629">
        <f t="shared" si="83"/>
        <v>5.9294178831243372</v>
      </c>
      <c r="Y33" s="630">
        <f t="shared" si="223"/>
        <v>-3.0806092911176215</v>
      </c>
      <c r="Z33" s="632">
        <f t="shared" si="6"/>
        <v>-1.0677656803239588E-2</v>
      </c>
      <c r="AA33" s="629">
        <f t="shared" si="7"/>
        <v>-0.99988301923951595</v>
      </c>
      <c r="AB33" s="629">
        <f t="shared" si="8"/>
        <v>-1.0951505908418185E-2</v>
      </c>
      <c r="AC33" s="636">
        <f t="shared" si="84"/>
        <v>1</v>
      </c>
      <c r="AD33" s="637">
        <f t="shared" si="115"/>
        <v>-1.0677656803239588E-2</v>
      </c>
      <c r="AE33" s="629">
        <f t="shared" si="85"/>
        <v>-0.99988301923951595</v>
      </c>
      <c r="AF33" s="633">
        <f t="shared" si="86"/>
        <v>-1.0951505908418185E-2</v>
      </c>
      <c r="AG33" s="602">
        <f t="shared" si="87"/>
        <v>-89.37247661354445</v>
      </c>
      <c r="AH33" s="603">
        <f t="shared" si="88"/>
        <v>90.611796295679738</v>
      </c>
      <c r="AI33" s="585">
        <f t="shared" si="89"/>
        <v>-89.372512388703981</v>
      </c>
      <c r="AJ33" s="586">
        <f t="shared" si="90"/>
        <v>-0.61183298841657374</v>
      </c>
      <c r="AK33" s="635">
        <f t="shared" si="211"/>
        <v>0.84566043876569463</v>
      </c>
      <c r="AL33" s="629">
        <f t="shared" si="91"/>
        <v>-0.53360892686025296</v>
      </c>
      <c r="AM33" s="634">
        <f t="shared" si="92"/>
        <v>-1.0951505908418185E-2</v>
      </c>
      <c r="AN33" s="581">
        <f t="shared" si="93"/>
        <v>-88.824256944784636</v>
      </c>
      <c r="AO33" s="582">
        <f t="shared" si="94"/>
        <v>32.257234382889848</v>
      </c>
      <c r="AP33" s="585">
        <f t="shared" si="95"/>
        <v>-32.251789436995274</v>
      </c>
      <c r="AQ33" s="586">
        <f t="shared" si="9"/>
        <v>0.38447153828106223</v>
      </c>
      <c r="AS33" s="52">
        <f t="shared" si="116"/>
        <v>-58.360043551421313</v>
      </c>
      <c r="AT33" s="72">
        <f t="shared" si="10"/>
        <v>-3.040081483095801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2.165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1313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4.8553804907016085</v>
      </c>
      <c r="C34" s="708">
        <v>1.9027986943703956</v>
      </c>
      <c r="D34" s="709">
        <v>-0.6364948856359568</v>
      </c>
      <c r="E34" s="710">
        <v>-3.8642440320930047E-2</v>
      </c>
      <c r="F34" s="708">
        <v>0.96991243445048858</v>
      </c>
      <c r="G34" s="711">
        <v>0.24036770021026121</v>
      </c>
      <c r="H34" s="710">
        <v>0.26600000000000001</v>
      </c>
      <c r="I34" s="708">
        <v>0.52</v>
      </c>
      <c r="J34" s="570">
        <v>2.2370000000000001</v>
      </c>
      <c r="K34" s="865">
        <f>IF($J34="","",IF(IFERROR(INDEX(Settings!$AK$14:$AK$36,MATCH((((ROUND($H34,6)*2)*1000000)+ROUND($I34,6)),Settings!$AI$14:$AI$36,0)),"Undefined")="Undefined","Undefined",IFERROR(INDEX(_xlfn.ANCHORARRAY(Settings!$BC$14),MATCH(IFERROR(INDEX(Settings!$AK$14:$AK$36,MATCH((((ROUND($H34,6)*2)*1000000)+ROUND($I34,6)),Settings!$AI$14:$AI$36,0)),"Undefined"),_xlfn.ANCHORARRAY(Settings!$BC$14),0)),"Inactive")))</f>
        <v>1313</v>
      </c>
      <c r="L34" s="320"/>
      <c r="M34" s="168">
        <f t="shared" si="1"/>
        <v>2.2370000000000001</v>
      </c>
      <c r="N34" s="632">
        <f t="shared" si="2"/>
        <v>4.8553804907016085</v>
      </c>
      <c r="O34" s="629">
        <f t="shared" si="3"/>
        <v>1.9027986943703956</v>
      </c>
      <c r="P34" s="633">
        <f t="shared" si="4"/>
        <v>-0.6364948856359568</v>
      </c>
      <c r="Q34" s="585">
        <f t="shared" si="113"/>
        <v>21.399957927051521</v>
      </c>
      <c r="R34" s="629">
        <f>IF(M34="","",SQRT(N34^2+O34^2))</f>
        <v>5.2149173129382858</v>
      </c>
      <c r="S34" s="634">
        <f>IF(M34="","",P34)</f>
        <v>-0.6364948856359568</v>
      </c>
      <c r="T34" s="635">
        <f>IF(M34="","",X34*COS(RADIANS(W34)))</f>
        <v>1.9027986943703918</v>
      </c>
      <c r="U34" s="629">
        <f>IF(M34="","",X34*SIN(RADIANS(W34)))</f>
        <v>-4.8553804907016094</v>
      </c>
      <c r="V34" s="636">
        <f>IF(M34="","",Y34)</f>
        <v>-0.6364948856359568</v>
      </c>
      <c r="W34" s="585">
        <f t="shared" si="224"/>
        <v>291.3999579270515</v>
      </c>
      <c r="X34" s="629">
        <f>IF(M34="","",R34)</f>
        <v>5.2149173129382858</v>
      </c>
      <c r="Y34" s="630">
        <f t="shared" si="223"/>
        <v>-0.6364948856359568</v>
      </c>
      <c r="Z34" s="632">
        <f t="shared" si="6"/>
        <v>3.8642440320930047E-2</v>
      </c>
      <c r="AA34" s="629">
        <f t="shared" si="7"/>
        <v>-0.96991243445048858</v>
      </c>
      <c r="AB34" s="629">
        <f t="shared" si="8"/>
        <v>-0.24036770021026121</v>
      </c>
      <c r="AC34" s="636">
        <f>IF(M34="","",SQRT(Z34^2+AA34^2+AB34^2))</f>
        <v>1</v>
      </c>
      <c r="AD34" s="637">
        <f>IF(M34="","",Z34*(1/SQRT(Z34^2+AA34^2+AB34^2)))</f>
        <v>3.8642440320930047E-2</v>
      </c>
      <c r="AE34" s="629">
        <f>IF(M34="","",AA34*(1/SQRT(Z34^2+AA34^2+AB34^2)))</f>
        <v>-0.96991243445048858</v>
      </c>
      <c r="AF34" s="633">
        <f>IF(M34="","",AB34*(1/SQRT(Z34^2+AA34^2+AB34^2)))</f>
        <v>-0.24036770021026121</v>
      </c>
      <c r="AG34" s="602">
        <f>IF(M34="","",DEGREES(ATAN2(-AF34,AE34)))</f>
        <v>-76.081151496648502</v>
      </c>
      <c r="AH34" s="603">
        <f>IF(M34="","",DEGREES(ACOS(AD34)))</f>
        <v>87.785399871911508</v>
      </c>
      <c r="AI34" s="585">
        <f>IF(M34="","",DEGREES(-ACOS(-AF34)))</f>
        <v>-76.091756664987827</v>
      </c>
      <c r="AJ34" s="586">
        <f>IF(M34="","",DEGREES(ATAN2(-AE34,AD34)))</f>
        <v>2.2815238877028636</v>
      </c>
      <c r="AK34" s="635">
        <f>IF(M34="","",(COS(RADIANS((90-$Q$8)-W34))*AD34)+(-SIN(RADIANS((90-$Q$8)-W34))*AE34))</f>
        <v>0.91714257578801961</v>
      </c>
      <c r="AL34" s="629">
        <f>IF(M34="","",(SIN(RADIANS((90-$Q$8)-W34))*AD34)+(COS(RADIANS((90-$Q$8)-W34))*AE34))</f>
        <v>-0.31791958790320957</v>
      </c>
      <c r="AM34" s="634">
        <f>IF(M34="","",AF34)</f>
        <v>-0.24036770021026121</v>
      </c>
      <c r="AN34" s="581">
        <f>IF(M34="","",DEGREES(ATAN2(-AM34,AL34)))</f>
        <v>-52.908369573231788</v>
      </c>
      <c r="AO34" s="582">
        <f t="shared" si="94"/>
        <v>23.488142649681127</v>
      </c>
      <c r="AP34" s="585">
        <f>IF(M34="","",DEGREES(ATAN2(AK34,AL34)))</f>
        <v>-19.118434039348614</v>
      </c>
      <c r="AQ34" s="586">
        <f t="shared" si="9"/>
        <v>0.43714641279383859</v>
      </c>
      <c r="AS34" s="52">
        <f t="shared" si="116"/>
        <v>-68.600042072948497</v>
      </c>
      <c r="AT34" s="72">
        <f t="shared" si="10"/>
        <v>-0.58885596752974256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>Taper</v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2.2370000000000001</v>
      </c>
      <c r="IH34" s="731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2.137</v>
      </c>
      <c r="II34" s="734" cm="1">
        <f t="array" ref="II34">IFERROR(IF($IH34&lt;1,$IH34+LARGE((IF($M$9:$M$150="",0,$M$9:$M$150)-MOD(IF($M$9:$M$150="",0,$M$9:$M$150),1)),1),$IH34),"")</f>
        <v>2.137</v>
      </c>
      <c r="IJ34" s="533">
        <f t="shared" si="112"/>
        <v>1313</v>
      </c>
      <c r="IK34" s="533">
        <f t="shared" si="66"/>
        <v>1313</v>
      </c>
      <c r="IL34" s="727">
        <f t="shared" si="225"/>
        <v>11.369998358375369</v>
      </c>
      <c r="IM34" s="759">
        <v>5.7465552362009203E-4</v>
      </c>
      <c r="IN34" s="5">
        <f t="shared" si="226"/>
        <v>0</v>
      </c>
      <c r="IO34" s="771">
        <v>0</v>
      </c>
      <c r="IP34" s="9">
        <f t="shared" si="227"/>
        <v>-5.2109157161218</v>
      </c>
      <c r="IQ34" s="5">
        <f t="shared" si="228"/>
        <v>-0.63780192361060173</v>
      </c>
      <c r="IR34" s="5">
        <f t="shared" si="71"/>
        <v>0.26600000000000001</v>
      </c>
      <c r="IS34" s="5">
        <f t="shared" si="229"/>
        <v>0.25162219270253539</v>
      </c>
      <c r="IT34" s="727">
        <f t="shared" si="230"/>
        <v>58.208091331109422</v>
      </c>
      <c r="IU34" s="9">
        <f t="shared" si="231"/>
        <v>-5.2149173129382858</v>
      </c>
      <c r="IV34" s="5">
        <f t="shared" si="232"/>
        <v>-0.6364948856359568</v>
      </c>
      <c r="IW34" s="5">
        <f t="shared" si="76"/>
        <v>0.26600000000000001</v>
      </c>
      <c r="IX34" s="5">
        <f t="shared" si="233"/>
        <v>0.24395992515961323</v>
      </c>
      <c r="IY34" s="762">
        <f t="shared" si="234"/>
        <v>52.908369573231788</v>
      </c>
      <c r="JG34" s="470"/>
    </row>
    <row r="35" spans="1:267" ht="15" customHeight="1" x14ac:dyDescent="0.25">
      <c r="A35" s="79"/>
      <c r="B35" s="707">
        <v>5.2341430015640427</v>
      </c>
      <c r="C35" s="708">
        <v>2.0723393673285213</v>
      </c>
      <c r="D35" s="709">
        <v>-1.1755563108477671</v>
      </c>
      <c r="E35" s="710">
        <v>6.5300076194372308E-2</v>
      </c>
      <c r="F35" s="708">
        <v>0.98353769108174849</v>
      </c>
      <c r="G35" s="711">
        <v>0.16849187004301511</v>
      </c>
      <c r="H35" s="710">
        <v>0.26600000000000001</v>
      </c>
      <c r="I35" s="708">
        <v>0.52</v>
      </c>
      <c r="J35" s="570">
        <v>2.2440000000000002</v>
      </c>
      <c r="K35" s="865">
        <f>IF($J35="","",IF(IFERROR(INDEX(Settings!$AK$14:$AK$36,MATCH((((ROUND($H35,6)*2)*1000000)+ROUND($I35,6)),Settings!$AI$14:$AI$36,0)),"Undefined")="Undefined","Undefined",IFERROR(INDEX(_xlfn.ANCHORARRAY(Settings!$BC$14),MATCH(IFERROR(INDEX(Settings!$AK$14:$AK$36,MATCH((((ROUND($H35,6)*2)*1000000)+ROUND($I35,6)),Settings!$AI$14:$AI$36,0)),"Undefined"),_xlfn.ANCHORARRAY(Settings!$BC$14),0)),"Inactive")))</f>
        <v>1313</v>
      </c>
      <c r="L35" s="320"/>
      <c r="M35" s="168">
        <f t="shared" si="1"/>
        <v>2.2440000000000002</v>
      </c>
      <c r="N35" s="632">
        <f t="shared" si="2"/>
        <v>5.2341430015640427</v>
      </c>
      <c r="O35" s="629">
        <f t="shared" si="3"/>
        <v>2.0723393673285213</v>
      </c>
      <c r="P35" s="633">
        <f t="shared" si="4"/>
        <v>-1.1755563108477671</v>
      </c>
      <c r="Q35" s="585">
        <f t="shared" si="113"/>
        <v>21.599957898175102</v>
      </c>
      <c r="R35" s="629">
        <f>IF(M35="","",SQRT(N35^2+O35^2))</f>
        <v>5.6294620892409801</v>
      </c>
      <c r="S35" s="634">
        <f>IF(M35="","",P35)</f>
        <v>-1.1755563108477671</v>
      </c>
      <c r="T35" s="635">
        <f>IF(M35="","",X35*COS(RADIANS(W35)))</f>
        <v>2.0723393673285195</v>
      </c>
      <c r="U35" s="629">
        <f>IF(M35="","",X35*SIN(RADIANS(W35)))</f>
        <v>-5.2341430015640436</v>
      </c>
      <c r="V35" s="636">
        <f>IF(M35="","",Y35)</f>
        <v>-1.1755563108477671</v>
      </c>
      <c r="W35" s="585">
        <f t="shared" si="224"/>
        <v>291.59995789817509</v>
      </c>
      <c r="X35" s="629">
        <f>IF(M35="","",R35)</f>
        <v>5.6294620892409801</v>
      </c>
      <c r="Y35" s="630">
        <f t="shared" si="223"/>
        <v>-1.1755563108477671</v>
      </c>
      <c r="Z35" s="632">
        <f t="shared" si="6"/>
        <v>-6.5300076194372308E-2</v>
      </c>
      <c r="AA35" s="629">
        <f t="shared" si="7"/>
        <v>-0.98353769108174849</v>
      </c>
      <c r="AB35" s="629">
        <f t="shared" si="8"/>
        <v>-0.16849187004301511</v>
      </c>
      <c r="AC35" s="636">
        <f>IF(M35="","",SQRT(Z35^2+AA35^2+AB35^2))</f>
        <v>1</v>
      </c>
      <c r="AD35" s="637">
        <f>IF(M35="","",Z35*(1/SQRT(Z35^2+AA35^2+AB35^2)))</f>
        <v>-6.5300076194372308E-2</v>
      </c>
      <c r="AE35" s="629">
        <f>IF(M35="","",AA35*(1/SQRT(Z35^2+AA35^2+AB35^2)))</f>
        <v>-0.98353769108174849</v>
      </c>
      <c r="AF35" s="633">
        <f>IF(M35="","",AB35*(1/SQRT(Z35^2+AA35^2+AB35^2)))</f>
        <v>-0.16849187004301511</v>
      </c>
      <c r="AG35" s="602">
        <f>IF(M35="","",DEGREES(ATAN2(-AF35,AE35)))</f>
        <v>-80.278906488346777</v>
      </c>
      <c r="AH35" s="603">
        <f>IF(M35="","",DEGREES(ACOS(AD35)))</f>
        <v>93.744082846878285</v>
      </c>
      <c r="AI35" s="585">
        <f>IF(M35="","",DEGREES(-ACOS(-AF35)))</f>
        <v>-80.299855236473874</v>
      </c>
      <c r="AJ35" s="586">
        <f>IF(M35="","",DEGREES(ATAN2(-AE35,AD35)))</f>
        <v>-3.7984673660509811</v>
      </c>
      <c r="AK35" s="635">
        <f>IF(M35="","",(COS(RADIANS((90-$Q$8)-W35))*AD35)+(-SIN(RADIANS((90-$Q$8)-W35))*AE35))</f>
        <v>0.89043196747749975</v>
      </c>
      <c r="AL35" s="629">
        <f>IF(M35="","",(SIN(RADIANS((90-$Q$8)-W35))*AD35)+(COS(RADIANS((90-$Q$8)-W35))*AE35))</f>
        <v>-0.42277819364716129</v>
      </c>
      <c r="AM35" s="634">
        <f>IF(M35="","",AF35)</f>
        <v>-0.16849187004301511</v>
      </c>
      <c r="AN35" s="581">
        <f>IF(M35="","",DEGREES(ATAN2(-AM35,AL35)))</f>
        <v>-68.270992035678162</v>
      </c>
      <c r="AO35" s="582">
        <f t="shared" si="94"/>
        <v>27.072422002945046</v>
      </c>
      <c r="AP35" s="585">
        <f>IF(M35="","",DEGREES(ATAN2(AK35,AL35)))</f>
        <v>-25.398425264226063</v>
      </c>
      <c r="AQ35" s="586">
        <f t="shared" si="9"/>
        <v>0.40495674987172992</v>
      </c>
      <c r="AS35" s="52">
        <f t="shared" si="116"/>
        <v>-68.400042101824909</v>
      </c>
      <c r="AT35" s="72">
        <f t="shared" si="10"/>
        <v>-1.1280562816103887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Taper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2.2440000000000002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2.1440000000000001</v>
      </c>
      <c r="II35" s="734" cm="1">
        <f t="array" ref="II35">IFERROR(IF($IH35&lt;1,$IH35+LARGE((IF($M$9:$M$150="",0,$M$9:$M$150)-MOD(IF($M$9:$M$150="",0,$M$9:$M$150),1)),1),$IH35),"")</f>
        <v>2.1440000000000001</v>
      </c>
      <c r="IJ35" s="533">
        <f t="shared" si="112"/>
        <v>1313</v>
      </c>
      <c r="IK35" s="533">
        <f t="shared" si="66"/>
        <v>1313</v>
      </c>
      <c r="IL35" s="727">
        <f t="shared" si="225"/>
        <v>10.549998476768678</v>
      </c>
      <c r="IM35" s="759">
        <v>1.0381571268922899E-3</v>
      </c>
      <c r="IN35" s="5">
        <f t="shared" si="226"/>
        <v>0</v>
      </c>
      <c r="IO35" s="771">
        <v>0</v>
      </c>
      <c r="IP35" s="9">
        <f t="shared" si="227"/>
        <v>-5.6233169599239519</v>
      </c>
      <c r="IQ35" s="5">
        <f t="shared" si="228"/>
        <v>-1.1770035498427069</v>
      </c>
      <c r="IR35" s="5">
        <f t="shared" si="71"/>
        <v>0.26600000000000001</v>
      </c>
      <c r="IS35" s="5">
        <f t="shared" si="229"/>
        <v>0.24557970879422356</v>
      </c>
      <c r="IT35" s="727">
        <f t="shared" si="230"/>
        <v>73.111557771775423</v>
      </c>
      <c r="IU35" s="9">
        <f t="shared" si="231"/>
        <v>-5.6294620892409801</v>
      </c>
      <c r="IV35" s="5">
        <f t="shared" si="232"/>
        <v>-1.1755563108477671</v>
      </c>
      <c r="IW35" s="5">
        <f t="shared" si="76"/>
        <v>0.26600000000000001</v>
      </c>
      <c r="IX35" s="5">
        <f t="shared" si="233"/>
        <v>0.23685490334901493</v>
      </c>
      <c r="IY35" s="762">
        <f t="shared" si="234"/>
        <v>68.270992035678162</v>
      </c>
    </row>
    <row r="36" spans="1:267" ht="15" customHeight="1" x14ac:dyDescent="0.25">
      <c r="A36" s="79"/>
      <c r="B36" s="707">
        <v>5.443850433004191</v>
      </c>
      <c r="C36" s="708">
        <v>2.1586661346306379</v>
      </c>
      <c r="D36" s="709">
        <v>-1.8074642554024658</v>
      </c>
      <c r="E36" s="710">
        <v>0.17376272841384005</v>
      </c>
      <c r="F36" s="708">
        <v>0.98020516291088733</v>
      </c>
      <c r="G36" s="711">
        <v>9.4891268391875311E-2</v>
      </c>
      <c r="H36" s="710">
        <v>0.26600000000000001</v>
      </c>
      <c r="I36" s="708">
        <v>0.52</v>
      </c>
      <c r="J36" s="570">
        <v>2.2509999999999999</v>
      </c>
      <c r="K36" s="865">
        <f>IF($J36="","",IF(IFERROR(INDEX(Settings!$AK$14:$AK$36,MATCH((((ROUND($H36,6)*2)*1000000)+ROUND($I36,6)),Settings!$AI$14:$AI$36,0)),"Undefined")="Undefined","Undefined",IFERROR(INDEX(_xlfn.ANCHORARRAY(Settings!$BC$14),MATCH(IFERROR(INDEX(Settings!$AK$14:$AK$36,MATCH((((ROUND($H36,6)*2)*1000000)+ROUND($I36,6)),Settings!$AI$14:$AI$36,0)),"Undefined"),_xlfn.ANCHORARRAY(Settings!$BC$14),0)),"Inactive")))</f>
        <v>1313</v>
      </c>
      <c r="L36" s="320"/>
      <c r="M36" s="168">
        <f t="shared" si="1"/>
        <v>2.2509999999999999</v>
      </c>
      <c r="N36" s="632">
        <f t="shared" si="2"/>
        <v>5.443850433004191</v>
      </c>
      <c r="O36" s="629">
        <f t="shared" si="3"/>
        <v>2.1586661346306379</v>
      </c>
      <c r="P36" s="633">
        <f t="shared" si="4"/>
        <v>-1.8074642554024658</v>
      </c>
      <c r="Q36" s="585">
        <f t="shared" si="113"/>
        <v>21.629957893843649</v>
      </c>
      <c r="R36" s="629">
        <f>IF(M36="","",SQRT(N36^2+O36^2))</f>
        <v>5.8562229310128808</v>
      </c>
      <c r="S36" s="634">
        <f>IF(M36="","",P36)</f>
        <v>-1.8074642554024658</v>
      </c>
      <c r="T36" s="635">
        <f>IF(M36="","",X36*COS(RADIANS(W36)))</f>
        <v>2.1586661346306353</v>
      </c>
      <c r="U36" s="629">
        <f>IF(M36="","",X36*SIN(RADIANS(W36)))</f>
        <v>-5.4438504330041919</v>
      </c>
      <c r="V36" s="636">
        <f>IF(M36="","",Y36)</f>
        <v>-1.8074642554024658</v>
      </c>
      <c r="W36" s="585">
        <f t="shared" si="224"/>
        <v>291.62995789384365</v>
      </c>
      <c r="X36" s="629">
        <f>IF(M36="","",R36)</f>
        <v>5.8562229310128808</v>
      </c>
      <c r="Y36" s="630">
        <f t="shared" si="223"/>
        <v>-1.8074642554024658</v>
      </c>
      <c r="Z36" s="632">
        <f t="shared" si="6"/>
        <v>-0.17376272841384005</v>
      </c>
      <c r="AA36" s="629">
        <f t="shared" si="7"/>
        <v>-0.98020516291088733</v>
      </c>
      <c r="AB36" s="629">
        <f t="shared" si="8"/>
        <v>-9.4891268391875311E-2</v>
      </c>
      <c r="AC36" s="636">
        <f>IF(M36="","",SQRT(Z36^2+AA36^2+AB36^2))</f>
        <v>1</v>
      </c>
      <c r="AD36" s="637">
        <f>IF(M36="","",Z36*(1/SQRT(Z36^2+AA36^2+AB36^2)))</f>
        <v>-0.17376272841384005</v>
      </c>
      <c r="AE36" s="629">
        <f>IF(M36="","",AA36*(1/SQRT(Z36^2+AA36^2+AB36^2)))</f>
        <v>-0.98020516291088733</v>
      </c>
      <c r="AF36" s="633">
        <f>IF(M36="","",AB36*(1/SQRT(Z36^2+AA36^2+AB36^2)))</f>
        <v>-9.4891268391875311E-2</v>
      </c>
      <c r="AG36" s="602">
        <f>IF(M36="","",DEGREES(ATAN2(-AF36,AE36)))</f>
        <v>-84.470565935621593</v>
      </c>
      <c r="AH36" s="603">
        <f>IF(M36="","",DEGREES(ACOS(AD36)))</f>
        <v>100.00666459178495</v>
      </c>
      <c r="AI36" s="585">
        <f>IF(M36="","",DEGREES(-ACOS(-AF36)))</f>
        <v>-84.554938321204673</v>
      </c>
      <c r="AJ36" s="586">
        <f>IF(M36="","",DEGREES(ATAN2(-AE36,AD36)))</f>
        <v>-10.052493023166107</v>
      </c>
      <c r="AK36" s="635">
        <f>IF(M36="","",(COS(RADIANS((90-$Q$8)-W36))*AD36)+(-SIN(RADIANS((90-$Q$8)-W36))*AE36))</f>
        <v>0.84713212623539202</v>
      </c>
      <c r="AL36" s="629">
        <f>IF(M36="","",(SIN(RADIANS((90-$Q$8)-W36))*AD36)+(COS(RADIANS((90-$Q$8)-W36))*AE36))</f>
        <v>-0.52284109238169574</v>
      </c>
      <c r="AM36" s="634">
        <f>IF(M36="","",AF36)</f>
        <v>-9.4891268391875311E-2</v>
      </c>
      <c r="AN36" s="581">
        <f>IF(M36="","",DEGREES(ATAN2(-AM36,AL36)))</f>
        <v>-79.713267344231156</v>
      </c>
      <c r="AO36" s="582">
        <f t="shared" si="94"/>
        <v>32.09889968849248</v>
      </c>
      <c r="AP36" s="585">
        <f>IF(M36="","",DEGREES(ATAN2(AK36,AL36)))</f>
        <v>-31.682450917009728</v>
      </c>
      <c r="AQ36" s="586">
        <f t="shared" si="9"/>
        <v>0.38927677119336157</v>
      </c>
      <c r="AS36" s="52">
        <f t="shared" si="116"/>
        <v>-68.370042106156347</v>
      </c>
      <c r="AT36" s="72">
        <f t="shared" si="10"/>
        <v>-1.7599850594954127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2.2509999999999999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>
        <f t="shared" si="112"/>
        <v>1313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5.8622167150290094</v>
      </c>
      <c r="C37" s="708">
        <v>2.0185180668090337</v>
      </c>
      <c r="D37" s="709">
        <v>-2.4548000000000001</v>
      </c>
      <c r="E37" s="710">
        <v>0.9455188250046791</v>
      </c>
      <c r="F37" s="708">
        <v>0.32556743013048928</v>
      </c>
      <c r="G37" s="711">
        <v>0</v>
      </c>
      <c r="H37" s="710">
        <v>0.25700000000000001</v>
      </c>
      <c r="I37" s="708">
        <v>0.71</v>
      </c>
      <c r="J37" s="570">
        <v>2.3010000000000002</v>
      </c>
      <c r="K37" s="865" t="str">
        <f>IF($J37="","",IF(IFERROR(INDEX(Settings!$AK$14:$AK$36,MATCH((((ROUND($H37,6)*2)*1000000)+ROUND($I37,6)),Settings!$AI$14:$AI$36,0)),"Undefined")="Undefined","Undefined",IFERROR(INDEX(_xlfn.ANCHORARRAY(Settings!$BC$14),MATCH(IFERROR(INDEX(Settings!$AK$14:$AK$36,MATCH((((ROUND($H37,6)*2)*1000000)+ROUND($I37,6)),Settings!$AI$14:$AI$36,0)),"Undefined"),_xlfn.ANCHORARRAY(Settings!$BC$14),0)),"Inactive")))</f>
        <v>Inactive</v>
      </c>
      <c r="L37" s="320"/>
      <c r="M37" s="168">
        <f t="shared" si="1"/>
        <v>2.3010000000000002</v>
      </c>
      <c r="N37" s="632">
        <f t="shared" si="2"/>
        <v>5.8622167150290094</v>
      </c>
      <c r="O37" s="629">
        <f t="shared" si="3"/>
        <v>2.0185180668090337</v>
      </c>
      <c r="P37" s="633">
        <f t="shared" si="4"/>
        <v>-2.4548000000000001</v>
      </c>
      <c r="Q37" s="585">
        <f t="shared" si="113"/>
        <v>18.99995610783688</v>
      </c>
      <c r="R37" s="629">
        <f t="shared" si="79"/>
        <v>6.1999999999999993</v>
      </c>
      <c r="S37" s="634">
        <f t="shared" si="80"/>
        <v>-2.4548000000000001</v>
      </c>
      <c r="T37" s="635">
        <f t="shared" si="81"/>
        <v>2.0185180668090297</v>
      </c>
      <c r="U37" s="629">
        <f t="shared" si="82"/>
        <v>-5.8622167150290112</v>
      </c>
      <c r="V37" s="636">
        <f t="shared" si="114"/>
        <v>-2.4548000000000001</v>
      </c>
      <c r="W37" s="585">
        <f t="shared" si="224"/>
        <v>288.99995610783685</v>
      </c>
      <c r="X37" s="629">
        <f t="shared" si="83"/>
        <v>6.1999999999999993</v>
      </c>
      <c r="Y37" s="630">
        <f t="shared" si="223"/>
        <v>-2.4548000000000001</v>
      </c>
      <c r="Z37" s="632">
        <f t="shared" si="6"/>
        <v>-0.9455188250046791</v>
      </c>
      <c r="AA37" s="629">
        <f t="shared" si="7"/>
        <v>-0.32556743013048928</v>
      </c>
      <c r="AB37" s="629">
        <f t="shared" si="8"/>
        <v>0</v>
      </c>
      <c r="AC37" s="636">
        <f t="shared" si="84"/>
        <v>1</v>
      </c>
      <c r="AD37" s="637">
        <f t="shared" si="115"/>
        <v>-0.9455188250046791</v>
      </c>
      <c r="AE37" s="629">
        <f t="shared" si="85"/>
        <v>-0.32556743013048928</v>
      </c>
      <c r="AF37" s="633">
        <f t="shared" si="86"/>
        <v>0</v>
      </c>
      <c r="AG37" s="602">
        <f t="shared" si="87"/>
        <v>-90</v>
      </c>
      <c r="AH37" s="603">
        <f t="shared" si="88"/>
        <v>161.00004389216312</v>
      </c>
      <c r="AI37" s="585">
        <f t="shared" si="89"/>
        <v>-90</v>
      </c>
      <c r="AJ37" s="586">
        <f t="shared" si="90"/>
        <v>-71.00004389216312</v>
      </c>
      <c r="AK37" s="635">
        <f t="shared" si="211"/>
        <v>6.106226635438361E-16</v>
      </c>
      <c r="AL37" s="629">
        <f t="shared" si="91"/>
        <v>-1</v>
      </c>
      <c r="AM37" s="634">
        <f t="shared" si="92"/>
        <v>0</v>
      </c>
      <c r="AN37" s="581">
        <f t="shared" si="93"/>
        <v>-90</v>
      </c>
      <c r="AO37" s="582">
        <f t="shared" si="94"/>
        <v>0</v>
      </c>
      <c r="AP37" s="585">
        <f t="shared" si="95"/>
        <v>-89.999999999999972</v>
      </c>
      <c r="AQ37" s="586">
        <f t="shared" si="9"/>
        <v>0.36769279613469635</v>
      </c>
      <c r="AS37" s="52">
        <f t="shared" si="116"/>
        <v>-71.000043892163148</v>
      </c>
      <c r="AT37" s="72">
        <f t="shared" si="10"/>
        <v>-2.4054944139637757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Taper</v>
      </c>
      <c r="IF37" s="533" t="str">
        <f>IFERROR(IF((((($IW37*COS(RADIANS(180-$IY37)))*COS(RADIANS($IY37)))-(($IX37*SIN(RADIANS(180-$IY37)))*SIN(RADIANS($IY37))))+$IU37)&lt;(((Settings!$C$19+$IF$8)/2)*-1),"Gage",""),"")</f>
        <v>Gage</v>
      </c>
      <c r="IG37" s="847">
        <f t="shared" si="210"/>
        <v>2.3010000000000002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1.3009999999999999</v>
      </c>
      <c r="II37" s="734" cm="1">
        <f t="array" ref="II37">IFERROR(IF($IH37&lt;1,$IH37+LARGE((IF($M$9:$M$150="",0,$M$9:$M$150)-MOD(IF($M$9:$M$150="",0,$M$9:$M$150),1)),1),$IH37),"")</f>
        <v>1.3009999999999999</v>
      </c>
      <c r="IJ37" s="533" t="str">
        <f t="shared" si="112"/>
        <v>Inactive</v>
      </c>
      <c r="IK37" s="533" t="str">
        <f t="shared" si="66"/>
        <v>Inactive</v>
      </c>
      <c r="IL37" s="727">
        <f t="shared" si="225"/>
        <v>56.000043892163148</v>
      </c>
      <c r="IM37" s="759">
        <v>5.2000848509189696E-4</v>
      </c>
      <c r="IN37" s="5">
        <f t="shared" si="226"/>
        <v>0</v>
      </c>
      <c r="IO37" s="771">
        <v>0</v>
      </c>
      <c r="IP37" s="9">
        <f t="shared" si="227"/>
        <v>-6.2</v>
      </c>
      <c r="IQ37" s="5">
        <f t="shared" si="228"/>
        <v>-2.5421999999999998</v>
      </c>
      <c r="IR37" s="5">
        <f t="shared" si="71"/>
        <v>0.25700000000000001</v>
      </c>
      <c r="IS37" s="5">
        <f t="shared" si="229"/>
        <v>0.25700000000000001</v>
      </c>
      <c r="IT37" s="727">
        <f t="shared" si="230"/>
        <v>90</v>
      </c>
      <c r="IU37" s="9">
        <f t="shared" si="231"/>
        <v>-6.1999999999999993</v>
      </c>
      <c r="IV37" s="5">
        <f t="shared" si="232"/>
        <v>-2.4548000000000001</v>
      </c>
      <c r="IW37" s="5">
        <f t="shared" si="76"/>
        <v>0.25700000000000001</v>
      </c>
      <c r="IX37" s="5">
        <f t="shared" si="233"/>
        <v>0.25700000000000001</v>
      </c>
      <c r="IY37" s="762">
        <f t="shared" si="234"/>
        <v>90</v>
      </c>
    </row>
    <row r="38" spans="1:267" ht="15" customHeight="1" x14ac:dyDescent="0.25">
      <c r="A38" s="79"/>
      <c r="B38" s="707">
        <v>0.68240161082492168</v>
      </c>
      <c r="C38" s="708">
        <v>-0.19567598583377857</v>
      </c>
      <c r="D38" s="709">
        <v>-0.3896</v>
      </c>
      <c r="E38" s="710">
        <v>0.21894789134243933</v>
      </c>
      <c r="F38" s="708">
        <v>0.91477943347683988</v>
      </c>
      <c r="G38" s="711">
        <v>0.33947077777695578</v>
      </c>
      <c r="H38" s="710">
        <v>0.26600000000000001</v>
      </c>
      <c r="I38" s="708">
        <v>0.52</v>
      </c>
      <c r="J38" s="570">
        <v>3.1030000000000002</v>
      </c>
      <c r="K38" s="865">
        <f>IF($J38="","",IF(IFERROR(INDEX(Settings!$AK$14:$AK$36,MATCH((((ROUND($H38,6)*2)*1000000)+ROUND($I38,6)),Settings!$AI$14:$AI$36,0)),"Undefined")="Undefined","Undefined",IFERROR(INDEX(_xlfn.ANCHORARRAY(Settings!$BC$14),MATCH(IFERROR(INDEX(Settings!$AK$14:$AK$36,MATCH((((ROUND($H38,6)*2)*1000000)+ROUND($I38,6)),Settings!$AI$14:$AI$36,0)),"Undefined"),_xlfn.ANCHORARRAY(Settings!$BC$14),0)),"Inactive")))</f>
        <v>1313</v>
      </c>
      <c r="L38" s="320"/>
      <c r="M38" s="168">
        <f t="shared" si="1"/>
        <v>3.1030000000000002</v>
      </c>
      <c r="N38" s="632">
        <f t="shared" si="2"/>
        <v>0.68240161082492168</v>
      </c>
      <c r="O38" s="629">
        <f t="shared" si="3"/>
        <v>-0.19567598583377857</v>
      </c>
      <c r="P38" s="633">
        <f t="shared" si="4"/>
        <v>-0.3896</v>
      </c>
      <c r="Q38" s="585">
        <f t="shared" si="113"/>
        <v>343.99996332694263</v>
      </c>
      <c r="R38" s="629">
        <f t="shared" si="79"/>
        <v>0.70990214106485761</v>
      </c>
      <c r="S38" s="634">
        <f t="shared" si="80"/>
        <v>-0.3896</v>
      </c>
      <c r="T38" s="635">
        <f t="shared" si="81"/>
        <v>-0.19567598583377857</v>
      </c>
      <c r="U38" s="629">
        <f t="shared" si="82"/>
        <v>-0.68240161082492168</v>
      </c>
      <c r="V38" s="636">
        <f t="shared" si="114"/>
        <v>-0.3896</v>
      </c>
      <c r="W38" s="585">
        <f t="shared" si="224"/>
        <v>253.99996332694263</v>
      </c>
      <c r="X38" s="629">
        <f t="shared" si="83"/>
        <v>0.70990214106485761</v>
      </c>
      <c r="Y38" s="630">
        <f t="shared" si="223"/>
        <v>-0.3896</v>
      </c>
      <c r="Z38" s="632">
        <f t="shared" si="6"/>
        <v>-0.21894789134243933</v>
      </c>
      <c r="AA38" s="629">
        <f t="shared" si="7"/>
        <v>-0.91477943347683988</v>
      </c>
      <c r="AB38" s="629">
        <f t="shared" si="8"/>
        <v>-0.33947077777695578</v>
      </c>
      <c r="AC38" s="636">
        <f t="shared" si="84"/>
        <v>1</v>
      </c>
      <c r="AD38" s="637">
        <f t="shared" si="115"/>
        <v>-0.21894789134243933</v>
      </c>
      <c r="AE38" s="629">
        <f t="shared" si="85"/>
        <v>-0.91477943347683988</v>
      </c>
      <c r="AF38" s="633">
        <f t="shared" si="86"/>
        <v>-0.33947077777695578</v>
      </c>
      <c r="AG38" s="602">
        <f t="shared" si="87"/>
        <v>-69.640323047726312</v>
      </c>
      <c r="AH38" s="603">
        <f t="shared" si="88"/>
        <v>102.64724511563603</v>
      </c>
      <c r="AI38" s="585">
        <f t="shared" si="89"/>
        <v>-70.15536571872552</v>
      </c>
      <c r="AJ38" s="586">
        <f t="shared" si="90"/>
        <v>-13.460243663905832</v>
      </c>
      <c r="AK38" s="635">
        <f t="shared" si="211"/>
        <v>0.93969262078590832</v>
      </c>
      <c r="AL38" s="629">
        <f t="shared" si="91"/>
        <v>4.1681764310304015E-2</v>
      </c>
      <c r="AM38" s="634">
        <f t="shared" si="92"/>
        <v>-0.33947077777695578</v>
      </c>
      <c r="AN38" s="581">
        <f t="shared" si="93"/>
        <v>6.9999989893252073</v>
      </c>
      <c r="AO38" s="582">
        <f t="shared" si="94"/>
        <v>20.000000000000014</v>
      </c>
      <c r="AP38" s="585">
        <f t="shared" si="95"/>
        <v>2.5397930091515186</v>
      </c>
      <c r="AQ38" s="586">
        <f t="shared" si="9"/>
        <v>3.2079688332633576</v>
      </c>
      <c r="AS38" s="52">
        <f t="shared" si="116"/>
        <v>-106.00003667305737</v>
      </c>
      <c r="AT38" s="72">
        <f t="shared" si="10"/>
        <v>-0.31598886342148791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3.1030000000000002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>
        <f t="shared" si="112"/>
        <v>1313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1.2801158263636401</v>
      </c>
      <c r="C39" s="708">
        <v>-0.36706819317487371</v>
      </c>
      <c r="D39" s="709">
        <v>-0.317</v>
      </c>
      <c r="E39" s="710">
        <v>0.22765343407047114</v>
      </c>
      <c r="F39" s="708">
        <v>0.92687265846461264</v>
      </c>
      <c r="G39" s="711">
        <v>0.29846438472062853</v>
      </c>
      <c r="H39" s="710">
        <v>0.26600000000000001</v>
      </c>
      <c r="I39" s="708">
        <v>0.52</v>
      </c>
      <c r="J39" s="570">
        <v>3.1059999999999999</v>
      </c>
      <c r="K39" s="865">
        <f>IF($J39="","",IF(IFERROR(INDEX(Settings!$AK$14:$AK$36,MATCH((((ROUND($H39,6)*2)*1000000)+ROUND($I39,6)),Settings!$AI$14:$AI$36,0)),"Undefined")="Undefined","Undefined",IFERROR(INDEX(_xlfn.ANCHORARRAY(Settings!$BC$14),MATCH(IFERROR(INDEX(Settings!$AK$14:$AK$36,MATCH((((ROUND($H39,6)*2)*1000000)+ROUND($I39,6)),Settings!$AI$14:$AI$36,0)),"Undefined"),_xlfn.ANCHORARRAY(Settings!$BC$14),0)),"Inactive")))</f>
        <v>1313</v>
      </c>
      <c r="L39" s="320"/>
      <c r="M39" s="168">
        <f t="shared" si="1"/>
        <v>3.1059999999999999</v>
      </c>
      <c r="N39" s="632">
        <f t="shared" si="2"/>
        <v>1.2801158263636401</v>
      </c>
      <c r="O39" s="629">
        <f t="shared" si="3"/>
        <v>-0.36706819317487371</v>
      </c>
      <c r="P39" s="633">
        <f t="shared" si="4"/>
        <v>-0.317</v>
      </c>
      <c r="Q39" s="585">
        <f t="shared" si="113"/>
        <v>343.99996332694263</v>
      </c>
      <c r="R39" s="629">
        <f t="shared" si="79"/>
        <v>1.3317040164193137</v>
      </c>
      <c r="S39" s="634">
        <f t="shared" si="80"/>
        <v>-0.317</v>
      </c>
      <c r="T39" s="635">
        <f t="shared" si="81"/>
        <v>-0.36706819317487377</v>
      </c>
      <c r="U39" s="629">
        <f t="shared" si="82"/>
        <v>-1.2801158263636401</v>
      </c>
      <c r="V39" s="636">
        <f t="shared" si="114"/>
        <v>-0.317</v>
      </c>
      <c r="W39" s="585">
        <f t="shared" si="224"/>
        <v>253.99996332694263</v>
      </c>
      <c r="X39" s="629">
        <f t="shared" si="83"/>
        <v>1.3317040164193137</v>
      </c>
      <c r="Y39" s="630">
        <f t="shared" si="223"/>
        <v>-0.317</v>
      </c>
      <c r="Z39" s="632">
        <f t="shared" si="6"/>
        <v>-0.22765343407047114</v>
      </c>
      <c r="AA39" s="629">
        <f t="shared" si="7"/>
        <v>-0.92687265846461264</v>
      </c>
      <c r="AB39" s="629">
        <f t="shared" si="8"/>
        <v>-0.29846438472062853</v>
      </c>
      <c r="AC39" s="636">
        <f t="shared" si="84"/>
        <v>1</v>
      </c>
      <c r="AD39" s="637">
        <f t="shared" si="115"/>
        <v>-0.22765343407047114</v>
      </c>
      <c r="AE39" s="629">
        <f t="shared" si="85"/>
        <v>-0.92687265846461264</v>
      </c>
      <c r="AF39" s="633">
        <f t="shared" si="86"/>
        <v>-0.29846438472062853</v>
      </c>
      <c r="AG39" s="602">
        <f t="shared" si="87"/>
        <v>-72.150803583090351</v>
      </c>
      <c r="AH39" s="603">
        <f t="shared" si="88"/>
        <v>103.15895885955953</v>
      </c>
      <c r="AI39" s="585">
        <f t="shared" si="89"/>
        <v>-72.634606162444484</v>
      </c>
      <c r="AJ39" s="586">
        <f t="shared" si="90"/>
        <v>-13.79951456969421</v>
      </c>
      <c r="AK39" s="635">
        <f t="shared" si="211"/>
        <v>0.95371695074822704</v>
      </c>
      <c r="AL39" s="629">
        <f t="shared" si="91"/>
        <v>3.6646813078912516E-2</v>
      </c>
      <c r="AM39" s="634">
        <f t="shared" si="92"/>
        <v>-0.29846438472062853</v>
      </c>
      <c r="AN39" s="581">
        <f t="shared" si="93"/>
        <v>6.9999989893252108</v>
      </c>
      <c r="AO39" s="582">
        <f t="shared" si="94"/>
        <v>17.499999999999979</v>
      </c>
      <c r="AP39" s="585">
        <f t="shared" si="95"/>
        <v>2.2005221033631401</v>
      </c>
      <c r="AQ39" s="586">
        <f t="shared" si="9"/>
        <v>1.7113777516370858</v>
      </c>
      <c r="AS39" s="52">
        <f t="shared" si="116"/>
        <v>-106.00003667305737</v>
      </c>
      <c r="AT39" s="72">
        <f t="shared" si="10"/>
        <v>-0.24338886342148794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3.1059999999999999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>
        <f t="shared" si="112"/>
        <v>1313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1.87706103036741</v>
      </c>
      <c r="C40" s="708">
        <v>-0.53823988947403756</v>
      </c>
      <c r="D40" s="709">
        <v>-0.2407</v>
      </c>
      <c r="E40" s="710">
        <v>0.22765343407047123</v>
      </c>
      <c r="F40" s="708">
        <v>0.92687265846461264</v>
      </c>
      <c r="G40" s="711">
        <v>0.29846438472062858</v>
      </c>
      <c r="H40" s="710">
        <v>0.26600000000000001</v>
      </c>
      <c r="I40" s="708">
        <v>0.52</v>
      </c>
      <c r="J40" s="570">
        <v>3.109</v>
      </c>
      <c r="K40" s="865">
        <f>IF($J40="","",IF(IFERROR(INDEX(Settings!$AK$14:$AK$36,MATCH((((ROUND($H40,6)*2)*1000000)+ROUND($I40,6)),Settings!$AI$14:$AI$36,0)),"Undefined")="Undefined","Undefined",IFERROR(INDEX(_xlfn.ANCHORARRAY(Settings!$BC$14),MATCH(IFERROR(INDEX(Settings!$AK$14:$AK$36,MATCH((((ROUND($H40,6)*2)*1000000)+ROUND($I40,6)),Settings!$AI$14:$AI$36,0)),"Undefined"),_xlfn.ANCHORARRAY(Settings!$BC$14),0)),"Inactive")))</f>
        <v>1313</v>
      </c>
      <c r="L40" s="320"/>
      <c r="M40" s="168">
        <f t="shared" si="1"/>
        <v>3.109</v>
      </c>
      <c r="N40" s="632">
        <f t="shared" si="2"/>
        <v>1.87706103036741</v>
      </c>
      <c r="O40" s="629">
        <f t="shared" si="3"/>
        <v>-0.53823988947403756</v>
      </c>
      <c r="P40" s="633">
        <f t="shared" si="4"/>
        <v>-0.2407</v>
      </c>
      <c r="Q40" s="585">
        <f t="shared" si="113"/>
        <v>343.99996332694263</v>
      </c>
      <c r="R40" s="629">
        <f t="shared" si="79"/>
        <v>1.9527058893609623</v>
      </c>
      <c r="S40" s="634">
        <f t="shared" si="80"/>
        <v>-0.2407</v>
      </c>
      <c r="T40" s="635">
        <f t="shared" si="81"/>
        <v>-0.53823988947403767</v>
      </c>
      <c r="U40" s="629">
        <f t="shared" si="82"/>
        <v>-1.87706103036741</v>
      </c>
      <c r="V40" s="636">
        <f t="shared" si="114"/>
        <v>-0.2407</v>
      </c>
      <c r="W40" s="585">
        <f t="shared" si="224"/>
        <v>253.99996332694263</v>
      </c>
      <c r="X40" s="629">
        <f t="shared" si="83"/>
        <v>1.9527058893609623</v>
      </c>
      <c r="Y40" s="630">
        <f t="shared" si="223"/>
        <v>-0.2407</v>
      </c>
      <c r="Z40" s="632">
        <f t="shared" si="6"/>
        <v>-0.22765343407047123</v>
      </c>
      <c r="AA40" s="629">
        <f t="shared" si="7"/>
        <v>-0.92687265846461264</v>
      </c>
      <c r="AB40" s="629">
        <f t="shared" si="8"/>
        <v>-0.29846438472062858</v>
      </c>
      <c r="AC40" s="636">
        <f t="shared" si="84"/>
        <v>1</v>
      </c>
      <c r="AD40" s="637">
        <f t="shared" si="115"/>
        <v>-0.22765343407047123</v>
      </c>
      <c r="AE40" s="629">
        <f t="shared" si="85"/>
        <v>-0.92687265846461264</v>
      </c>
      <c r="AF40" s="633">
        <f t="shared" si="86"/>
        <v>-0.29846438472062858</v>
      </c>
      <c r="AG40" s="602">
        <f t="shared" si="87"/>
        <v>-72.150803583090351</v>
      </c>
      <c r="AH40" s="603">
        <f t="shared" si="88"/>
        <v>103.15895885955955</v>
      </c>
      <c r="AI40" s="585">
        <f t="shared" si="89"/>
        <v>-72.634606162444484</v>
      </c>
      <c r="AJ40" s="586">
        <f t="shared" si="90"/>
        <v>-13.799514569694214</v>
      </c>
      <c r="AK40" s="635">
        <f t="shared" si="211"/>
        <v>0.95371695074822704</v>
      </c>
      <c r="AL40" s="629">
        <f t="shared" si="91"/>
        <v>3.6646813078912432E-2</v>
      </c>
      <c r="AM40" s="634">
        <f t="shared" si="92"/>
        <v>-0.29846438472062858</v>
      </c>
      <c r="AN40" s="581">
        <f t="shared" si="93"/>
        <v>6.9999989893251939</v>
      </c>
      <c r="AO40" s="582">
        <f t="shared" si="94"/>
        <v>17.499999999999979</v>
      </c>
      <c r="AP40" s="585">
        <f t="shared" si="95"/>
        <v>2.2005221033631353</v>
      </c>
      <c r="AQ40" s="586">
        <f t="shared" si="9"/>
        <v>1.1673090231249701</v>
      </c>
      <c r="AS40" s="52">
        <f t="shared" si="116"/>
        <v>-106.00003667305737</v>
      </c>
      <c r="AT40" s="72">
        <f t="shared" si="10"/>
        <v>-0.16708886342148793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3.109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>
        <f t="shared" si="112"/>
        <v>1313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2.4740062343711799</v>
      </c>
      <c r="C41" s="708">
        <v>-0.70941158577320163</v>
      </c>
      <c r="D41" s="709">
        <v>-0.16770000000000004</v>
      </c>
      <c r="E41" s="710">
        <v>0.23592562554777452</v>
      </c>
      <c r="F41" s="708">
        <v>0.93720152866699979</v>
      </c>
      <c r="G41" s="711">
        <v>0.25688984774437895</v>
      </c>
      <c r="H41" s="710">
        <v>0.26600000000000001</v>
      </c>
      <c r="I41" s="708">
        <v>0.52</v>
      </c>
      <c r="J41" s="570">
        <v>3.1120000000000001</v>
      </c>
      <c r="K41" s="865">
        <f>IF($J41="","",IF(IFERROR(INDEX(Settings!$AK$14:$AK$36,MATCH((((ROUND($H41,6)*2)*1000000)+ROUND($I41,6)),Settings!$AI$14:$AI$36,0)),"Undefined")="Undefined","Undefined",IFERROR(INDEX(_xlfn.ANCHORARRAY(Settings!$BC$14),MATCH(IFERROR(INDEX(Settings!$AK$14:$AK$36,MATCH((((ROUND($H41,6)*2)*1000000)+ROUND($I41,6)),Settings!$AI$14:$AI$36,0)),"Undefined"),_xlfn.ANCHORARRAY(Settings!$BC$14),0)),"Inactive")))</f>
        <v>1313</v>
      </c>
      <c r="L41" s="320"/>
      <c r="M41" s="168">
        <f t="shared" ref="M41:M72" si="239">IF(J41="","",VALUE(J41))</f>
        <v>3.1120000000000001</v>
      </c>
      <c r="N41" s="632">
        <f t="shared" ref="N41:N72" si="240">IF(M41="","",B41)</f>
        <v>2.4740062343711799</v>
      </c>
      <c r="O41" s="629">
        <f t="shared" ref="O41:O72" si="241">IF(M41="","",C41)</f>
        <v>-0.70941158577320163</v>
      </c>
      <c r="P41" s="633">
        <f t="shared" ref="P41:P72" si="242">IF(M41="","",D41)</f>
        <v>-0.16770000000000004</v>
      </c>
      <c r="Q41" s="585">
        <f t="shared" si="113"/>
        <v>343.99996332694263</v>
      </c>
      <c r="R41" s="629">
        <f t="shared" si="79"/>
        <v>2.573707762302611</v>
      </c>
      <c r="S41" s="634">
        <f t="shared" si="80"/>
        <v>-0.16770000000000004</v>
      </c>
      <c r="T41" s="635">
        <f t="shared" si="81"/>
        <v>-0.70941158577320151</v>
      </c>
      <c r="U41" s="629">
        <f t="shared" si="82"/>
        <v>-2.4740062343711799</v>
      </c>
      <c r="V41" s="636">
        <f t="shared" si="114"/>
        <v>-0.16770000000000004</v>
      </c>
      <c r="W41" s="585">
        <f t="shared" si="224"/>
        <v>253.99996332694263</v>
      </c>
      <c r="X41" s="629">
        <f t="shared" si="83"/>
        <v>2.573707762302611</v>
      </c>
      <c r="Y41" s="630">
        <f t="shared" si="223"/>
        <v>-0.16770000000000004</v>
      </c>
      <c r="Z41" s="632">
        <f t="shared" ref="Z41:Z72" si="243">IF(M41="","",-E41)</f>
        <v>-0.23592562554777452</v>
      </c>
      <c r="AA41" s="629">
        <f t="shared" ref="AA41:AA72" si="244">IF(M41="","",-F41)</f>
        <v>-0.93720152866699979</v>
      </c>
      <c r="AB41" s="629">
        <f t="shared" ref="AB41:AB72" si="245">IF(M41="","",-G41)</f>
        <v>-0.25688984774437895</v>
      </c>
      <c r="AC41" s="636">
        <f t="shared" si="84"/>
        <v>1</v>
      </c>
      <c r="AD41" s="637">
        <f t="shared" si="115"/>
        <v>-0.23592562554777452</v>
      </c>
      <c r="AE41" s="629">
        <f t="shared" si="85"/>
        <v>-0.93720152866699979</v>
      </c>
      <c r="AF41" s="633">
        <f t="shared" si="86"/>
        <v>-0.25688984774437895</v>
      </c>
      <c r="AG41" s="602">
        <f t="shared" si="87"/>
        <v>-74.671535061888761</v>
      </c>
      <c r="AH41" s="603">
        <f t="shared" si="88"/>
        <v>103.64619150295718</v>
      </c>
      <c r="AI41" s="585">
        <f t="shared" si="89"/>
        <v>-75.114403586325622</v>
      </c>
      <c r="AJ41" s="586">
        <f t="shared" si="90"/>
        <v>-14.129719776864317</v>
      </c>
      <c r="AK41" s="635">
        <f t="shared" si="211"/>
        <v>0.96592582628906831</v>
      </c>
      <c r="AL41" s="629">
        <f t="shared" si="91"/>
        <v>3.1542102555956492E-2</v>
      </c>
      <c r="AM41" s="634">
        <f t="shared" si="92"/>
        <v>-0.25688984774437895</v>
      </c>
      <c r="AN41" s="581">
        <f t="shared" si="93"/>
        <v>6.9999989893251877</v>
      </c>
      <c r="AO41" s="582">
        <f t="shared" si="94"/>
        <v>14.999999999999982</v>
      </c>
      <c r="AP41" s="585">
        <f t="shared" si="95"/>
        <v>1.870316896193033</v>
      </c>
      <c r="AQ41" s="586">
        <f t="shared" ref="AQ41:AQ72" si="246">IF(M41="","",DEGREES(ATAN(($AS$5*SIN(RADIANS(90)))/(($X41*2*PI())-($AS$5*COS(RADIANS(90)))))))</f>
        <v>0.88570469092200743</v>
      </c>
      <c r="AS41" s="52">
        <f t="shared" si="116"/>
        <v>-106.00003667305737</v>
      </c>
      <c r="AT41" s="72">
        <f t="shared" ref="AT41:AT72" si="247">IF(M41="","",Y41+(((AS41-$AS$9)*$AS$6)*-1))</f>
        <v>-9.4088863421487978E-2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3.1120000000000001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>
        <f t="shared" si="112"/>
        <v>1313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3.0767190248870637</v>
      </c>
      <c r="C42" s="708">
        <v>-0.88223711488685019</v>
      </c>
      <c r="D42" s="709">
        <v>-9.0699999999999975E-2</v>
      </c>
      <c r="E42" s="710">
        <v>0.23592562554777452</v>
      </c>
      <c r="F42" s="708">
        <v>0.93720152866699979</v>
      </c>
      <c r="G42" s="711">
        <v>0.25688984774437895</v>
      </c>
      <c r="H42" s="710">
        <v>0.26600000000000001</v>
      </c>
      <c r="I42" s="708">
        <v>0.52</v>
      </c>
      <c r="J42" s="570">
        <v>3.1150000000000002</v>
      </c>
      <c r="K42" s="865">
        <f>IF($J42="","",IF(IFERROR(INDEX(Settings!$AK$14:$AK$36,MATCH((((ROUND($H42,6)*2)*1000000)+ROUND($I42,6)),Settings!$AI$14:$AI$36,0)),"Undefined")="Undefined","Undefined",IFERROR(INDEX(_xlfn.ANCHORARRAY(Settings!$BC$14),MATCH(IFERROR(INDEX(Settings!$AK$14:$AK$36,MATCH((((ROUND($H42,6)*2)*1000000)+ROUND($I42,6)),Settings!$AI$14:$AI$36,0)),"Undefined"),_xlfn.ANCHORARRAY(Settings!$BC$14),0)),"Inactive")))</f>
        <v>1313</v>
      </c>
      <c r="L42" s="320"/>
      <c r="M42" s="168">
        <f t="shared" si="239"/>
        <v>3.1150000000000002</v>
      </c>
      <c r="N42" s="632">
        <f t="shared" si="240"/>
        <v>3.0767190248870637</v>
      </c>
      <c r="O42" s="629">
        <f t="shared" si="241"/>
        <v>-0.88223711488685019</v>
      </c>
      <c r="P42" s="633">
        <f t="shared" si="242"/>
        <v>-9.0699999999999975E-2</v>
      </c>
      <c r="Q42" s="585">
        <f t="shared" si="113"/>
        <v>343.99996332694263</v>
      </c>
      <c r="R42" s="629">
        <f t="shared" ref="R42:R47" si="385">IF(M42="","",SQRT(N42^2+O42^2))</f>
        <v>3.2007096533403145</v>
      </c>
      <c r="S42" s="634">
        <f t="shared" ref="S42:S47" si="386">IF(M42="","",P42)</f>
        <v>-9.0699999999999975E-2</v>
      </c>
      <c r="T42" s="635">
        <f t="shared" ref="T42:T47" si="387">IF(M42="","",X42*COS(RADIANS(W42)))</f>
        <v>-0.88223711488685019</v>
      </c>
      <c r="U42" s="629">
        <f t="shared" ref="U42:U47" si="388">IF(M42="","",X42*SIN(RADIANS(W42)))</f>
        <v>-3.0767190248870637</v>
      </c>
      <c r="V42" s="636">
        <f t="shared" ref="V42:V47" si="389">IF(M42="","",Y42)</f>
        <v>-9.0699999999999975E-2</v>
      </c>
      <c r="W42" s="585">
        <f t="shared" si="224"/>
        <v>253.99996332694263</v>
      </c>
      <c r="X42" s="629">
        <f t="shared" ref="X42:X47" si="390">IF(M42="","",R42)</f>
        <v>3.2007096533403145</v>
      </c>
      <c r="Y42" s="630">
        <f t="shared" si="223"/>
        <v>-9.0699999999999975E-2</v>
      </c>
      <c r="Z42" s="632">
        <f t="shared" si="243"/>
        <v>-0.23592562554777452</v>
      </c>
      <c r="AA42" s="629">
        <f t="shared" si="244"/>
        <v>-0.93720152866699979</v>
      </c>
      <c r="AB42" s="629">
        <f t="shared" si="245"/>
        <v>-0.25688984774437895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-0.23592562554777452</v>
      </c>
      <c r="AE42" s="629">
        <f t="shared" ref="AE42:AE47" si="393">IF(M42="","",AA42*(1/SQRT(Z42^2+AA42^2+AB42^2)))</f>
        <v>-0.93720152866699979</v>
      </c>
      <c r="AF42" s="633">
        <f t="shared" ref="AF42:AF47" si="394">IF(M42="","",AB42*(1/SQRT(Z42^2+AA42^2+AB42^2)))</f>
        <v>-0.25688984774437895</v>
      </c>
      <c r="AG42" s="602">
        <f t="shared" ref="AG42:AG47" si="395">IF(M42="","",DEGREES(ATAN2(-AF42,AE42)))</f>
        <v>-74.671535061888761</v>
      </c>
      <c r="AH42" s="603">
        <f t="shared" ref="AH42:AH47" si="396">IF(M42="","",DEGREES(ACOS(AD42)))</f>
        <v>103.64619150295718</v>
      </c>
      <c r="AI42" s="585">
        <f t="shared" ref="AI42:AI47" si="397">IF(M42="","",DEGREES(-ACOS(-AF42)))</f>
        <v>-75.114403586325622</v>
      </c>
      <c r="AJ42" s="586">
        <f t="shared" ref="AJ42:AJ47" si="398">IF(M42="","",DEGREES(ATAN2(-AE42,AD42)))</f>
        <v>-14.129719776864317</v>
      </c>
      <c r="AK42" s="635">
        <f t="shared" ref="AK42:AK47" si="399">IF(M42="","",(COS(RADIANS((90-$Q$8)-W42))*AD42)+(-SIN(RADIANS((90-$Q$8)-W42))*AE42))</f>
        <v>0.96592582628906831</v>
      </c>
      <c r="AL42" s="629">
        <f t="shared" ref="AL42:AL47" si="400">IF(M42="","",(SIN(RADIANS((90-$Q$8)-W42))*AD42)+(COS(RADIANS((90-$Q$8)-W42))*AE42))</f>
        <v>3.1542102555956492E-2</v>
      </c>
      <c r="AM42" s="634">
        <f t="shared" ref="AM42:AM47" si="401">IF(M42="","",AF42)</f>
        <v>-0.25688984774437895</v>
      </c>
      <c r="AN42" s="581">
        <f t="shared" ref="AN42:AN47" si="402">IF(M42="","",DEGREES(ATAN2(-AM42,AL42)))</f>
        <v>6.9999989893251877</v>
      </c>
      <c r="AO42" s="582">
        <f t="shared" si="94"/>
        <v>14.999999999999982</v>
      </c>
      <c r="AP42" s="585">
        <f t="shared" ref="AP42:AP47" si="403">IF(M42="","",DEGREES(ATAN2(AK42,AL42)))</f>
        <v>1.870316896193033</v>
      </c>
      <c r="AQ42" s="586">
        <f t="shared" si="246"/>
        <v>0.71221993151071095</v>
      </c>
      <c r="AS42" s="52">
        <f t="shared" si="116"/>
        <v>-106.00003667305737</v>
      </c>
      <c r="AT42" s="72">
        <f t="shared" si="247"/>
        <v>-1.708886342148791E-2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3.1150000000000002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>
        <f t="shared" si="112"/>
        <v>1313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3.7355849594364967</v>
      </c>
      <c r="C43" s="708">
        <v>-1.0732814278051126</v>
      </c>
      <c r="D43" s="709">
        <v>-4.8500146276441225E-2</v>
      </c>
      <c r="E43" s="710">
        <v>0.30114513615691452</v>
      </c>
      <c r="F43" s="708">
        <v>0.91829524914298388</v>
      </c>
      <c r="G43" s="711">
        <v>0.25699307844854291</v>
      </c>
      <c r="H43" s="710">
        <v>0.26600000000000001</v>
      </c>
      <c r="I43" s="708">
        <v>0.52</v>
      </c>
      <c r="J43" s="570">
        <v>3.1219999999999999</v>
      </c>
      <c r="K43" s="865">
        <f>IF($J43="","",IF(IFERROR(INDEX(Settings!$AK$14:$AK$36,MATCH((((ROUND($H43,6)*2)*1000000)+ROUND($I43,6)),Settings!$AI$14:$AI$36,0)),"Undefined")="Undefined","Undefined",IFERROR(INDEX(_xlfn.ANCHORARRAY(Settings!$BC$14),MATCH(IFERROR(INDEX(Settings!$AK$14:$AK$36,MATCH((((ROUND($H43,6)*2)*1000000)+ROUND($I43,6)),Settings!$AI$14:$AI$36,0)),"Undefined"),_xlfn.ANCHORARRAY(Settings!$BC$14),0)),"Inactive")))</f>
        <v>1313</v>
      </c>
      <c r="L43" s="320"/>
      <c r="M43" s="168">
        <f t="shared" si="239"/>
        <v>3.1219999999999999</v>
      </c>
      <c r="N43" s="632">
        <f t="shared" si="240"/>
        <v>3.7355849594364967</v>
      </c>
      <c r="O43" s="629">
        <f t="shared" si="241"/>
        <v>-1.0732814278051126</v>
      </c>
      <c r="P43" s="633">
        <f t="shared" si="242"/>
        <v>-4.8500146276441225E-2</v>
      </c>
      <c r="Q43" s="585">
        <f t="shared" si="113"/>
        <v>343.96996333127413</v>
      </c>
      <c r="R43" s="629">
        <f t="shared" si="385"/>
        <v>3.8867117223225538</v>
      </c>
      <c r="S43" s="634">
        <f t="shared" si="386"/>
        <v>-4.8500146276441225E-2</v>
      </c>
      <c r="T43" s="635">
        <f t="shared" si="387"/>
        <v>-1.0732814278051124</v>
      </c>
      <c r="U43" s="629">
        <f t="shared" si="388"/>
        <v>-3.7355849594364963</v>
      </c>
      <c r="V43" s="636">
        <f t="shared" si="389"/>
        <v>-4.8500146276441225E-2</v>
      </c>
      <c r="W43" s="585">
        <f t="shared" si="224"/>
        <v>253.96996333127413</v>
      </c>
      <c r="X43" s="629">
        <f t="shared" si="390"/>
        <v>3.8867117223225538</v>
      </c>
      <c r="Y43" s="630">
        <f t="shared" si="223"/>
        <v>-4.8500146276441225E-2</v>
      </c>
      <c r="Z43" s="632">
        <f t="shared" si="243"/>
        <v>-0.30114513615691452</v>
      </c>
      <c r="AA43" s="629">
        <f t="shared" si="244"/>
        <v>-0.91829524914298388</v>
      </c>
      <c r="AB43" s="629">
        <f t="shared" si="245"/>
        <v>-0.25699307844854291</v>
      </c>
      <c r="AC43" s="636">
        <f t="shared" si="391"/>
        <v>1</v>
      </c>
      <c r="AD43" s="637">
        <f t="shared" si="392"/>
        <v>-0.30114513615691452</v>
      </c>
      <c r="AE43" s="629">
        <f t="shared" si="393"/>
        <v>-0.91829524914298388</v>
      </c>
      <c r="AF43" s="633">
        <f t="shared" si="394"/>
        <v>-0.25699307844854291</v>
      </c>
      <c r="AG43" s="602">
        <f t="shared" si="395"/>
        <v>-74.365251659772468</v>
      </c>
      <c r="AH43" s="603">
        <f t="shared" si="396"/>
        <v>107.52639563570467</v>
      </c>
      <c r="AI43" s="585">
        <f t="shared" si="397"/>
        <v>-75.108283430469257</v>
      </c>
      <c r="AJ43" s="586">
        <f t="shared" si="398"/>
        <v>-18.15635234363441</v>
      </c>
      <c r="AK43" s="635">
        <f t="shared" si="399"/>
        <v>0.96574782770062961</v>
      </c>
      <c r="AL43" s="629">
        <f t="shared" si="400"/>
        <v>-3.585653247396331E-2</v>
      </c>
      <c r="AM43" s="634">
        <f t="shared" si="401"/>
        <v>-0.25699307844854291</v>
      </c>
      <c r="AN43" s="581">
        <f t="shared" si="402"/>
        <v>-7.9428229935854313</v>
      </c>
      <c r="AO43" s="582">
        <f t="shared" si="94"/>
        <v>15.039353804289767</v>
      </c>
      <c r="AP43" s="585">
        <f t="shared" si="403"/>
        <v>-2.1263156749085215</v>
      </c>
      <c r="AQ43" s="586">
        <f t="shared" si="246"/>
        <v>0.58652330360778904</v>
      </c>
      <c r="AS43" s="52">
        <f t="shared" ref="AS43:AS74" si="406">IF(G43="","",IF(AND(W43&lt;(AS42+180),W43&gt;(AS42-180)),W43,IF(W43&gt;(AS42+180),W43-360,IF(W43&lt;(AS42-180),W43+360,"Error"))))</f>
        <v>-106.03003666872587</v>
      </c>
      <c r="AT43" s="72">
        <f t="shared" si="247"/>
        <v>2.5131823632396189E-2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3.1219999999999999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>
        <f t="shared" si="112"/>
        <v>1313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4.3617541415272596</v>
      </c>
      <c r="C44" s="708">
        <v>-1.2878742103440504</v>
      </c>
      <c r="D44" s="709">
        <v>-0.20670062340908049</v>
      </c>
      <c r="E44" s="710">
        <v>0.41915119578518534</v>
      </c>
      <c r="F44" s="708">
        <v>0.87991713882474365</v>
      </c>
      <c r="G44" s="711">
        <v>0.22373668423914322</v>
      </c>
      <c r="H44" s="710">
        <v>0.26600000000000001</v>
      </c>
      <c r="I44" s="708">
        <v>0.52</v>
      </c>
      <c r="J44" s="570">
        <v>3.129</v>
      </c>
      <c r="K44" s="865">
        <f>IF($J44="","",IF(IFERROR(INDEX(Settings!$AK$14:$AK$36,MATCH((((ROUND($H44,6)*2)*1000000)+ROUND($I44,6)),Settings!$AI$14:$AI$36,0)),"Undefined")="Undefined","Undefined",IFERROR(INDEX(_xlfn.ANCHORARRAY(Settings!$BC$14),MATCH(IFERROR(INDEX(Settings!$AK$14:$AK$36,MATCH((((ROUND($H44,6)*2)*1000000)+ROUND($I44,6)),Settings!$AI$14:$AI$36,0)),"Undefined"),_xlfn.ANCHORARRAY(Settings!$BC$14),0)),"Inactive")))</f>
        <v>1313</v>
      </c>
      <c r="L44" s="320"/>
      <c r="M44" s="168">
        <f t="shared" si="239"/>
        <v>3.129</v>
      </c>
      <c r="N44" s="632">
        <f t="shared" si="240"/>
        <v>4.3617541415272596</v>
      </c>
      <c r="O44" s="629">
        <f t="shared" si="241"/>
        <v>-1.2878742103440504</v>
      </c>
      <c r="P44" s="633">
        <f t="shared" si="242"/>
        <v>-0.20670062340908049</v>
      </c>
      <c r="Q44" s="585">
        <f t="shared" si="113"/>
        <v>343.54996339191462</v>
      </c>
      <c r="R44" s="629">
        <f t="shared" si="385"/>
        <v>4.5479137165077699</v>
      </c>
      <c r="S44" s="634">
        <f t="shared" si="386"/>
        <v>-0.20670062340908049</v>
      </c>
      <c r="T44" s="635">
        <f t="shared" si="387"/>
        <v>-1.2878742103440513</v>
      </c>
      <c r="U44" s="629">
        <f t="shared" si="388"/>
        <v>-4.3617541415272596</v>
      </c>
      <c r="V44" s="636">
        <f t="shared" si="389"/>
        <v>-0.20670062340908049</v>
      </c>
      <c r="W44" s="585">
        <f t="shared" si="224"/>
        <v>253.54996339191462</v>
      </c>
      <c r="X44" s="629">
        <f t="shared" si="390"/>
        <v>4.5479137165077699</v>
      </c>
      <c r="Y44" s="630">
        <f t="shared" si="223"/>
        <v>-0.20670062340908049</v>
      </c>
      <c r="Z44" s="632">
        <f t="shared" si="243"/>
        <v>-0.41915119578518534</v>
      </c>
      <c r="AA44" s="629">
        <f t="shared" si="244"/>
        <v>-0.87991713882474365</v>
      </c>
      <c r="AB44" s="629">
        <f t="shared" si="245"/>
        <v>-0.22373668423914322</v>
      </c>
      <c r="AC44" s="636">
        <f t="shared" si="391"/>
        <v>1</v>
      </c>
      <c r="AD44" s="637">
        <f t="shared" si="392"/>
        <v>-0.41915119578518534</v>
      </c>
      <c r="AE44" s="629">
        <f t="shared" si="393"/>
        <v>-0.87991713882474365</v>
      </c>
      <c r="AF44" s="633">
        <f t="shared" si="394"/>
        <v>-0.22373668423914322</v>
      </c>
      <c r="AG44" s="602">
        <f t="shared" si="395"/>
        <v>-75.733717875138581</v>
      </c>
      <c r="AH44" s="603">
        <f t="shared" si="396"/>
        <v>114.78101052673625</v>
      </c>
      <c r="AI44" s="585">
        <f t="shared" si="397"/>
        <v>-77.071398224496008</v>
      </c>
      <c r="AJ44" s="586">
        <f t="shared" si="398"/>
        <v>-25.470936698193167</v>
      </c>
      <c r="AK44" s="635">
        <f t="shared" si="399"/>
        <v>0.96259439220800647</v>
      </c>
      <c r="AL44" s="629">
        <f t="shared" si="400"/>
        <v>-0.15281993395945603</v>
      </c>
      <c r="AM44" s="634">
        <f t="shared" si="401"/>
        <v>-0.22373668423914322</v>
      </c>
      <c r="AN44" s="581">
        <f t="shared" si="402"/>
        <v>-34.334434397010192</v>
      </c>
      <c r="AO44" s="582">
        <f t="shared" si="94"/>
        <v>15.720600190779638</v>
      </c>
      <c r="AP44" s="585">
        <f t="shared" si="403"/>
        <v>-9.0209000901077552</v>
      </c>
      <c r="AQ44" s="586">
        <f t="shared" si="246"/>
        <v>0.50125587517940318</v>
      </c>
      <c r="AS44" s="52">
        <f t="shared" si="406"/>
        <v>-106.45003660808538</v>
      </c>
      <c r="AT44" s="72">
        <f t="shared" si="247"/>
        <v>-0.13277698687568784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3.129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>
        <f t="shared" si="112"/>
        <v>1313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4.9097043826031515</v>
      </c>
      <c r="C45" s="708">
        <v>-1.5132401826571182</v>
      </c>
      <c r="D45" s="709">
        <v>-0.57060172093479078</v>
      </c>
      <c r="E45" s="710">
        <v>0.53133233060671281</v>
      </c>
      <c r="F45" s="708">
        <v>0.82712105738063413</v>
      </c>
      <c r="G45" s="711">
        <v>0.18318490901157988</v>
      </c>
      <c r="H45" s="710">
        <v>0.26600000000000001</v>
      </c>
      <c r="I45" s="708">
        <v>0.52</v>
      </c>
      <c r="J45" s="570">
        <v>3.1360000000000001</v>
      </c>
      <c r="K45" s="865">
        <f>IF($J45="","",IF(IFERROR(INDEX(Settings!$AK$14:$AK$36,MATCH((((ROUND($H45,6)*2)*1000000)+ROUND($I45,6)),Settings!$AI$14:$AI$36,0)),"Undefined")="Undefined","Undefined",IFERROR(INDEX(_xlfn.ANCHORARRAY(Settings!$BC$14),MATCH(IFERROR(INDEX(Settings!$AK$14:$AK$36,MATCH((((ROUND($H45,6)*2)*1000000)+ROUND($I45,6)),Settings!$AI$14:$AI$36,0)),"Undefined"),_xlfn.ANCHORARRAY(Settings!$BC$14),0)),"Inactive")))</f>
        <v>1313</v>
      </c>
      <c r="L45" s="320"/>
      <c r="M45" s="168">
        <f t="shared" si="239"/>
        <v>3.1360000000000001</v>
      </c>
      <c r="N45" s="632">
        <f t="shared" si="240"/>
        <v>4.9097043826031515</v>
      </c>
      <c r="O45" s="629">
        <f t="shared" si="241"/>
        <v>-1.5132401826571182</v>
      </c>
      <c r="P45" s="633">
        <f t="shared" si="242"/>
        <v>-0.57060172093479078</v>
      </c>
      <c r="Q45" s="585">
        <f t="shared" si="113"/>
        <v>342.86996349009445</v>
      </c>
      <c r="R45" s="629">
        <f t="shared" si="385"/>
        <v>5.1376154950483341</v>
      </c>
      <c r="S45" s="634">
        <f t="shared" si="386"/>
        <v>-0.57060172093479078</v>
      </c>
      <c r="T45" s="635">
        <f t="shared" si="387"/>
        <v>-1.5132401826571189</v>
      </c>
      <c r="U45" s="629">
        <f t="shared" si="388"/>
        <v>-4.9097043826031515</v>
      </c>
      <c r="V45" s="636">
        <f t="shared" si="389"/>
        <v>-0.57060172093479078</v>
      </c>
      <c r="W45" s="585">
        <f t="shared" si="224"/>
        <v>252.86996349009445</v>
      </c>
      <c r="X45" s="629">
        <f t="shared" si="390"/>
        <v>5.1376154950483341</v>
      </c>
      <c r="Y45" s="630">
        <f t="shared" si="223"/>
        <v>-0.57060172093479078</v>
      </c>
      <c r="Z45" s="632">
        <f t="shared" si="243"/>
        <v>-0.53133233060671281</v>
      </c>
      <c r="AA45" s="629">
        <f t="shared" si="244"/>
        <v>-0.82712105738063413</v>
      </c>
      <c r="AB45" s="629">
        <f t="shared" si="245"/>
        <v>-0.18318490901157988</v>
      </c>
      <c r="AC45" s="636">
        <f t="shared" si="391"/>
        <v>1.0000000000000002</v>
      </c>
      <c r="AD45" s="637">
        <f t="shared" si="392"/>
        <v>-0.5313323306067127</v>
      </c>
      <c r="AE45" s="629">
        <f t="shared" si="393"/>
        <v>-0.82712105738063391</v>
      </c>
      <c r="AF45" s="633">
        <f t="shared" si="394"/>
        <v>-0.18318490901157986</v>
      </c>
      <c r="AG45" s="602">
        <f t="shared" si="395"/>
        <v>-77.512110755299062</v>
      </c>
      <c r="AH45" s="603">
        <f t="shared" si="396"/>
        <v>122.09551931094538</v>
      </c>
      <c r="AI45" s="585">
        <f t="shared" si="397"/>
        <v>-79.444672998950438</v>
      </c>
      <c r="AJ45" s="586">
        <f t="shared" si="398"/>
        <v>-32.716187236343217</v>
      </c>
      <c r="AK45" s="635">
        <f t="shared" si="399"/>
        <v>0.94692826235689642</v>
      </c>
      <c r="AL45" s="629">
        <f t="shared" si="400"/>
        <v>-0.26414040785189918</v>
      </c>
      <c r="AM45" s="634">
        <f t="shared" si="401"/>
        <v>-0.18318490901157986</v>
      </c>
      <c r="AN45" s="581">
        <f t="shared" si="402"/>
        <v>-55.258173894551305</v>
      </c>
      <c r="AO45" s="582">
        <f t="shared" si="94"/>
        <v>18.750332809861312</v>
      </c>
      <c r="AP45" s="585">
        <f t="shared" si="403"/>
        <v>-15.586150726437651</v>
      </c>
      <c r="AQ45" s="586">
        <f t="shared" si="246"/>
        <v>0.44372356347795511</v>
      </c>
      <c r="AS45" s="52">
        <f t="shared" si="406"/>
        <v>-107.13003650990555</v>
      </c>
      <c r="AT45" s="72">
        <f t="shared" si="247"/>
        <v>-0.49620586224735636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3.1360000000000001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>
        <f t="shared" si="112"/>
        <v>1313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5.3087422237400599</v>
      </c>
      <c r="C46" s="708">
        <v>-1.7013887124584433</v>
      </c>
      <c r="D46" s="709">
        <v>-1.0932032971011445</v>
      </c>
      <c r="E46" s="710">
        <v>0.61675122491391809</v>
      </c>
      <c r="F46" s="708">
        <v>0.77869739200127497</v>
      </c>
      <c r="G46" s="711">
        <v>0.11510125219820319</v>
      </c>
      <c r="H46" s="710">
        <v>0.26600000000000001</v>
      </c>
      <c r="I46" s="708">
        <v>0.52</v>
      </c>
      <c r="J46" s="570">
        <v>3.1429999999999998</v>
      </c>
      <c r="K46" s="865">
        <f>IF($J46="","",IF(IFERROR(INDEX(Settings!$AK$14:$AK$36,MATCH((((ROUND($H46,6)*2)*1000000)+ROUND($I46,6)),Settings!$AI$14:$AI$36,0)),"Undefined")="Undefined","Undefined",IFERROR(INDEX(_xlfn.ANCHORARRAY(Settings!$BC$14),MATCH(IFERROR(INDEX(Settings!$AK$14:$AK$36,MATCH((((ROUND($H46,6)*2)*1000000)+ROUND($I46,6)),Settings!$AI$14:$AI$36,0)),"Undefined"),_xlfn.ANCHORARRAY(Settings!$BC$14),0)),"Inactive")))</f>
        <v>1313</v>
      </c>
      <c r="L46" s="320"/>
      <c r="M46" s="168">
        <f t="shared" si="239"/>
        <v>3.1429999999999998</v>
      </c>
      <c r="N46" s="632">
        <f t="shared" si="240"/>
        <v>5.3087422237400599</v>
      </c>
      <c r="O46" s="629">
        <f t="shared" si="241"/>
        <v>-1.7013887124584433</v>
      </c>
      <c r="P46" s="633">
        <f t="shared" si="242"/>
        <v>-1.0932032971011445</v>
      </c>
      <c r="Q46" s="585">
        <f t="shared" si="113"/>
        <v>342.22996358249901</v>
      </c>
      <c r="R46" s="629">
        <f t="shared" si="385"/>
        <v>5.5747168133459084</v>
      </c>
      <c r="S46" s="634">
        <f t="shared" si="386"/>
        <v>-1.0932032971011445</v>
      </c>
      <c r="T46" s="635">
        <f t="shared" si="387"/>
        <v>-1.7013887124584421</v>
      </c>
      <c r="U46" s="629">
        <f t="shared" si="388"/>
        <v>-5.3087422237400608</v>
      </c>
      <c r="V46" s="636">
        <f t="shared" si="389"/>
        <v>-1.0932032971011445</v>
      </c>
      <c r="W46" s="585">
        <f t="shared" si="224"/>
        <v>252.22996358249901</v>
      </c>
      <c r="X46" s="629">
        <f t="shared" si="390"/>
        <v>5.5747168133459084</v>
      </c>
      <c r="Y46" s="630">
        <f t="shared" si="223"/>
        <v>-1.0932032971011445</v>
      </c>
      <c r="Z46" s="632">
        <f t="shared" si="243"/>
        <v>-0.61675122491391809</v>
      </c>
      <c r="AA46" s="629">
        <f t="shared" si="244"/>
        <v>-0.77869739200127497</v>
      </c>
      <c r="AB46" s="629">
        <f t="shared" si="245"/>
        <v>-0.11510125219820319</v>
      </c>
      <c r="AC46" s="636">
        <f t="shared" si="391"/>
        <v>1</v>
      </c>
      <c r="AD46" s="637">
        <f t="shared" si="392"/>
        <v>-0.61675122491391809</v>
      </c>
      <c r="AE46" s="629">
        <f t="shared" si="393"/>
        <v>-0.77869739200127497</v>
      </c>
      <c r="AF46" s="633">
        <f t="shared" si="394"/>
        <v>-0.11510125219820319</v>
      </c>
      <c r="AG46" s="602">
        <f t="shared" si="395"/>
        <v>-81.591846932137869</v>
      </c>
      <c r="AH46" s="603">
        <f t="shared" si="396"/>
        <v>128.07927790181384</v>
      </c>
      <c r="AI46" s="585">
        <f t="shared" si="397"/>
        <v>-83.390534847184909</v>
      </c>
      <c r="AJ46" s="586">
        <f t="shared" si="398"/>
        <v>-38.38025892636476</v>
      </c>
      <c r="AK46" s="635">
        <f t="shared" si="399"/>
        <v>0.92977589184228848</v>
      </c>
      <c r="AL46" s="629">
        <f t="shared" si="400"/>
        <v>-0.34966911886994362</v>
      </c>
      <c r="AM46" s="634">
        <f t="shared" si="401"/>
        <v>-0.11510125219820319</v>
      </c>
      <c r="AN46" s="581">
        <f t="shared" si="402"/>
        <v>-71.779907127924176</v>
      </c>
      <c r="AO46" s="582">
        <f t="shared" si="94"/>
        <v>21.600092458535848</v>
      </c>
      <c r="AP46" s="585">
        <f t="shared" si="403"/>
        <v>-20.610222508863767</v>
      </c>
      <c r="AQ46" s="586">
        <f t="shared" si="246"/>
        <v>0.40893340384912952</v>
      </c>
      <c r="AS46" s="52">
        <f t="shared" si="406"/>
        <v>-107.77003641750099</v>
      </c>
      <c r="AT46" s="72">
        <f t="shared" si="247"/>
        <v>-1.0183629940334356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3.1429999999999998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>
        <f t="shared" si="112"/>
        <v>1313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5.5364226667166436</v>
      </c>
      <c r="C47" s="708">
        <v>-1.8181458075694001</v>
      </c>
      <c r="D47" s="709">
        <v>-1.7149051721539992</v>
      </c>
      <c r="E47" s="710">
        <v>0.70077558949739327</v>
      </c>
      <c r="F47" s="708">
        <v>0.71081684644262277</v>
      </c>
      <c r="G47" s="711">
        <v>6.0439920399898102E-2</v>
      </c>
      <c r="H47" s="710">
        <v>0.26600000000000001</v>
      </c>
      <c r="I47" s="708">
        <v>0.52</v>
      </c>
      <c r="J47" s="570">
        <v>3.15</v>
      </c>
      <c r="K47" s="865">
        <f>IF($J47="","",IF(IFERROR(INDEX(Settings!$AK$14:$AK$36,MATCH((((ROUND($H47,6)*2)*1000000)+ROUND($I47,6)),Settings!$AI$14:$AI$36,0)),"Undefined")="Undefined","Undefined",IFERROR(INDEX(_xlfn.ANCHORARRAY(Settings!$BC$14),MATCH(IFERROR(INDEX(Settings!$AK$14:$AK$36,MATCH((((ROUND($H47,6)*2)*1000000)+ROUND($I47,6)),Settings!$AI$14:$AI$36,0)),"Undefined"),_xlfn.ANCHORARRAY(Settings!$BC$14),0)),"Inactive")))</f>
        <v>1313</v>
      </c>
      <c r="L47" s="320"/>
      <c r="M47" s="168">
        <f t="shared" si="239"/>
        <v>3.15</v>
      </c>
      <c r="N47" s="632">
        <f t="shared" si="240"/>
        <v>5.5364226667166436</v>
      </c>
      <c r="O47" s="629">
        <f t="shared" si="241"/>
        <v>-1.8181458075694001</v>
      </c>
      <c r="P47" s="633">
        <f t="shared" si="242"/>
        <v>-1.7149051721539992</v>
      </c>
      <c r="Q47" s="585">
        <f t="shared" si="113"/>
        <v>341.81996364169567</v>
      </c>
      <c r="R47" s="629">
        <f t="shared" si="385"/>
        <v>5.8273175751898076</v>
      </c>
      <c r="S47" s="634">
        <f t="shared" si="386"/>
        <v>-1.7149051721539992</v>
      </c>
      <c r="T47" s="635">
        <f t="shared" si="387"/>
        <v>-1.8181458075694006</v>
      </c>
      <c r="U47" s="629">
        <f t="shared" si="388"/>
        <v>-5.5364226667166436</v>
      </c>
      <c r="V47" s="636">
        <f t="shared" si="389"/>
        <v>-1.7149051721539992</v>
      </c>
      <c r="W47" s="585">
        <f t="shared" si="224"/>
        <v>251.81996364169567</v>
      </c>
      <c r="X47" s="629">
        <f t="shared" si="390"/>
        <v>5.8273175751898076</v>
      </c>
      <c r="Y47" s="630">
        <f t="shared" si="223"/>
        <v>-1.7149051721539992</v>
      </c>
      <c r="Z47" s="632">
        <f t="shared" si="243"/>
        <v>-0.70077558949739327</v>
      </c>
      <c r="AA47" s="629">
        <f t="shared" si="244"/>
        <v>-0.71081684644262277</v>
      </c>
      <c r="AB47" s="629">
        <f t="shared" si="245"/>
        <v>-6.0439920399898102E-2</v>
      </c>
      <c r="AC47" s="636">
        <f t="shared" si="391"/>
        <v>1</v>
      </c>
      <c r="AD47" s="637">
        <f t="shared" si="392"/>
        <v>-0.70077558949739327</v>
      </c>
      <c r="AE47" s="629">
        <f t="shared" si="393"/>
        <v>-0.71081684644262277</v>
      </c>
      <c r="AF47" s="633">
        <f t="shared" si="394"/>
        <v>-6.0439920399898102E-2</v>
      </c>
      <c r="AG47" s="602">
        <f t="shared" si="395"/>
        <v>-85.139897448460246</v>
      </c>
      <c r="AH47" s="603">
        <f t="shared" si="396"/>
        <v>134.48926282219793</v>
      </c>
      <c r="AI47" s="585">
        <f t="shared" si="397"/>
        <v>-86.534935822048851</v>
      </c>
      <c r="AJ47" s="586">
        <f t="shared" si="398"/>
        <v>-44.592437642976748</v>
      </c>
      <c r="AK47" s="635">
        <f t="shared" si="399"/>
        <v>0.89397816978439815</v>
      </c>
      <c r="AL47" s="629">
        <f t="shared" si="400"/>
        <v>-0.44401581950533237</v>
      </c>
      <c r="AM47" s="634">
        <f t="shared" si="401"/>
        <v>-6.0439920399898102E-2</v>
      </c>
      <c r="AN47" s="581">
        <f t="shared" si="402"/>
        <v>-82.248477222528209</v>
      </c>
      <c r="AO47" s="582">
        <f t="shared" si="94"/>
        <v>26.622520909339144</v>
      </c>
      <c r="AP47" s="585">
        <f t="shared" si="403"/>
        <v>-26.412401284672416</v>
      </c>
      <c r="AQ47" s="586">
        <f t="shared" si="246"/>
        <v>0.39120764840925648</v>
      </c>
      <c r="AS47" s="52">
        <f t="shared" si="406"/>
        <v>-108.18003635830433</v>
      </c>
      <c r="AT47" s="72">
        <f t="shared" si="247"/>
        <v>-1.6397801469051767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3.15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>
        <f t="shared" si="112"/>
        <v>1313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5.6275864705739407</v>
      </c>
      <c r="C48" s="708">
        <v>-1.8676902711445031</v>
      </c>
      <c r="D48" s="709">
        <v>-2.3640071298455032</v>
      </c>
      <c r="E48" s="710">
        <v>0.77281821620171764</v>
      </c>
      <c r="F48" s="708">
        <v>0.63453295361638484</v>
      </c>
      <c r="G48" s="711">
        <v>1.0951505908419036E-2</v>
      </c>
      <c r="H48" s="710">
        <v>0.26600000000000001</v>
      </c>
      <c r="I48" s="708">
        <v>0.52</v>
      </c>
      <c r="J48" s="570">
        <v>3.157</v>
      </c>
      <c r="K48" s="865">
        <f>IF($J48="","",IF(IFERROR(INDEX(Settings!$AK$14:$AK$36,MATCH((((ROUND($H48,6)*2)*1000000)+ROUND($I48,6)),Settings!$AI$14:$AI$36,0)),"Undefined")="Undefined","Undefined",IFERROR(INDEX(_xlfn.ANCHORARRAY(Settings!$BC$14),MATCH(IFERROR(INDEX(Settings!$AK$14:$AK$36,MATCH((((ROUND($H48,6)*2)*1000000)+ROUND($I48,6)),Settings!$AI$14:$AI$36,0)),"Undefined"),_xlfn.ANCHORARRAY(Settings!$BC$14),0)),"Inactive")))</f>
        <v>1313</v>
      </c>
      <c r="L48" s="320"/>
      <c r="M48" s="168">
        <f t="shared" si="239"/>
        <v>3.157</v>
      </c>
      <c r="N48" s="632">
        <f t="shared" si="240"/>
        <v>5.6275864705739407</v>
      </c>
      <c r="O48" s="629">
        <f t="shared" si="241"/>
        <v>-1.8676902711445031</v>
      </c>
      <c r="P48" s="633">
        <f t="shared" si="242"/>
        <v>-2.3640071298455032</v>
      </c>
      <c r="Q48" s="585">
        <f t="shared" si="113"/>
        <v>341.63996366768447</v>
      </c>
      <c r="R48" s="629">
        <f t="shared" si="79"/>
        <v>5.9294178831243363</v>
      </c>
      <c r="S48" s="634">
        <f t="shared" si="80"/>
        <v>-2.3640071298455032</v>
      </c>
      <c r="T48" s="635">
        <f t="shared" si="81"/>
        <v>-1.8676902711444996</v>
      </c>
      <c r="U48" s="629">
        <f t="shared" si="82"/>
        <v>-5.6275864705739416</v>
      </c>
      <c r="V48" s="636">
        <f t="shared" si="114"/>
        <v>-2.3640071298455032</v>
      </c>
      <c r="W48" s="585">
        <f t="shared" si="224"/>
        <v>251.63996366768447</v>
      </c>
      <c r="X48" s="629">
        <f t="shared" si="83"/>
        <v>5.9294178831243363</v>
      </c>
      <c r="Y48" s="630">
        <f t="shared" si="223"/>
        <v>-2.3640071298455032</v>
      </c>
      <c r="Z48" s="632">
        <f t="shared" si="243"/>
        <v>-0.77281821620171764</v>
      </c>
      <c r="AA48" s="629">
        <f t="shared" si="244"/>
        <v>-0.63453295361638484</v>
      </c>
      <c r="AB48" s="629">
        <f t="shared" si="245"/>
        <v>-1.0951505908419036E-2</v>
      </c>
      <c r="AC48" s="636">
        <f t="shared" si="84"/>
        <v>1</v>
      </c>
      <c r="AD48" s="637">
        <f t="shared" si="115"/>
        <v>-0.77281821620171764</v>
      </c>
      <c r="AE48" s="629">
        <f t="shared" si="85"/>
        <v>-0.63453295361638484</v>
      </c>
      <c r="AF48" s="633">
        <f t="shared" si="86"/>
        <v>-1.0951505908419036E-2</v>
      </c>
      <c r="AG48" s="602">
        <f t="shared" si="87"/>
        <v>-89.011221132611666</v>
      </c>
      <c r="AH48" s="603">
        <f t="shared" si="88"/>
        <v>140.60764113803498</v>
      </c>
      <c r="AI48" s="585">
        <f t="shared" si="89"/>
        <v>-89.372512388703925</v>
      </c>
      <c r="AJ48" s="586">
        <f t="shared" si="90"/>
        <v>-50.611825769310769</v>
      </c>
      <c r="AK48" s="635">
        <f t="shared" si="211"/>
        <v>0.84566043876569486</v>
      </c>
      <c r="AL48" s="629">
        <f t="shared" si="91"/>
        <v>-0.53360892686025252</v>
      </c>
      <c r="AM48" s="634">
        <f t="shared" si="92"/>
        <v>-1.0951505908419036E-2</v>
      </c>
      <c r="AN48" s="581">
        <f t="shared" si="93"/>
        <v>-88.824256944784551</v>
      </c>
      <c r="AO48" s="582">
        <f t="shared" si="94"/>
        <v>32.257234382889827</v>
      </c>
      <c r="AP48" s="585">
        <f t="shared" si="95"/>
        <v>-32.251789436995246</v>
      </c>
      <c r="AQ48" s="586">
        <f t="shared" si="246"/>
        <v>0.38447153828106229</v>
      </c>
      <c r="AS48" s="52">
        <f t="shared" si="406"/>
        <v>-108.36003633231553</v>
      </c>
      <c r="AT48" s="72">
        <f t="shared" si="247"/>
        <v>-2.2887571046147284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3.157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>
        <f t="shared" si="112"/>
        <v>1313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5.6275864705739407</v>
      </c>
      <c r="C49" s="708">
        <v>-1.8676902711445023</v>
      </c>
      <c r="D49" s="709">
        <v>-2.9898090172639957</v>
      </c>
      <c r="E49" s="710">
        <v>0.77281821620171809</v>
      </c>
      <c r="F49" s="708">
        <v>0.63453295361638429</v>
      </c>
      <c r="G49" s="711">
        <v>1.0951505908416979E-2</v>
      </c>
      <c r="H49" s="710">
        <v>0.26600000000000001</v>
      </c>
      <c r="I49" s="708">
        <v>0.52</v>
      </c>
      <c r="J49" s="570">
        <v>3.1640000000000001</v>
      </c>
      <c r="K49" s="865">
        <f>IF($J49="","",IF(IFERROR(INDEX(Settings!$AK$14:$AK$36,MATCH((((ROUND($H49,6)*2)*1000000)+ROUND($I49,6)),Settings!$AI$14:$AI$36,0)),"Undefined")="Undefined","Undefined",IFERROR(INDEX(_xlfn.ANCHORARRAY(Settings!$BC$14),MATCH(IFERROR(INDEX(Settings!$AK$14:$AK$36,MATCH((((ROUND($H49,6)*2)*1000000)+ROUND($I49,6)),Settings!$AI$14:$AI$36,0)),"Undefined"),_xlfn.ANCHORARRAY(Settings!$BC$14),0)),"Inactive")))</f>
        <v>1313</v>
      </c>
      <c r="L49" s="320"/>
      <c r="M49" s="168">
        <f t="shared" si="239"/>
        <v>3.1640000000000001</v>
      </c>
      <c r="N49" s="632">
        <f t="shared" si="240"/>
        <v>5.6275864705739407</v>
      </c>
      <c r="O49" s="629">
        <f t="shared" si="241"/>
        <v>-1.8676902711445023</v>
      </c>
      <c r="P49" s="633">
        <f t="shared" si="242"/>
        <v>-2.9898090172639957</v>
      </c>
      <c r="Q49" s="585">
        <f t="shared" si="113"/>
        <v>341.63996366768447</v>
      </c>
      <c r="R49" s="629">
        <f t="shared" si="79"/>
        <v>5.9294178831243363</v>
      </c>
      <c r="S49" s="634">
        <f t="shared" si="80"/>
        <v>-2.9898090172639957</v>
      </c>
      <c r="T49" s="635">
        <f t="shared" si="81"/>
        <v>-1.8676902711444996</v>
      </c>
      <c r="U49" s="629">
        <f t="shared" si="82"/>
        <v>-5.6275864705739416</v>
      </c>
      <c r="V49" s="636">
        <f t="shared" si="114"/>
        <v>-2.9898090172639957</v>
      </c>
      <c r="W49" s="585">
        <f t="shared" si="224"/>
        <v>251.63996366768447</v>
      </c>
      <c r="X49" s="629">
        <f t="shared" si="83"/>
        <v>5.9294178831243363</v>
      </c>
      <c r="Y49" s="630">
        <f t="shared" si="223"/>
        <v>-2.9898090172639957</v>
      </c>
      <c r="Z49" s="632">
        <f t="shared" si="243"/>
        <v>-0.77281821620171809</v>
      </c>
      <c r="AA49" s="629">
        <f t="shared" si="244"/>
        <v>-0.63453295361638429</v>
      </c>
      <c r="AB49" s="629">
        <f t="shared" si="245"/>
        <v>-1.0951505908416979E-2</v>
      </c>
      <c r="AC49" s="636">
        <f t="shared" si="84"/>
        <v>1</v>
      </c>
      <c r="AD49" s="637">
        <f t="shared" si="115"/>
        <v>-0.77281821620171809</v>
      </c>
      <c r="AE49" s="629">
        <f t="shared" si="85"/>
        <v>-0.63453295361638429</v>
      </c>
      <c r="AF49" s="633">
        <f t="shared" si="86"/>
        <v>-1.0951505908416979E-2</v>
      </c>
      <c r="AG49" s="602">
        <f t="shared" si="87"/>
        <v>-89.011221132611851</v>
      </c>
      <c r="AH49" s="603">
        <f t="shared" si="88"/>
        <v>140.60764113803504</v>
      </c>
      <c r="AI49" s="585">
        <f t="shared" si="89"/>
        <v>-89.372512388704038</v>
      </c>
      <c r="AJ49" s="586">
        <f t="shared" si="90"/>
        <v>-50.611825769310805</v>
      </c>
      <c r="AK49" s="635">
        <f t="shared" si="211"/>
        <v>0.84566043876569452</v>
      </c>
      <c r="AL49" s="629">
        <f t="shared" si="91"/>
        <v>-0.53360892686025307</v>
      </c>
      <c r="AM49" s="634">
        <f t="shared" si="92"/>
        <v>-1.0951505908416979E-2</v>
      </c>
      <c r="AN49" s="581">
        <f t="shared" si="93"/>
        <v>-88.824256944784764</v>
      </c>
      <c r="AO49" s="582">
        <f t="shared" si="94"/>
        <v>32.257234382889862</v>
      </c>
      <c r="AP49" s="585">
        <f t="shared" si="95"/>
        <v>-32.251789436995288</v>
      </c>
      <c r="AQ49" s="586">
        <f t="shared" si="246"/>
        <v>0.38447153828106229</v>
      </c>
      <c r="AS49" s="52">
        <f t="shared" si="406"/>
        <v>-108.36003633231553</v>
      </c>
      <c r="AT49" s="72">
        <f t="shared" si="247"/>
        <v>-2.9145589920332209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3.1640000000000001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>
        <f t="shared" si="112"/>
        <v>1313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4.5114877497761103</v>
      </c>
      <c r="C50" s="708">
        <v>-2.4658788492617494</v>
      </c>
      <c r="D50" s="709">
        <v>-0.56924645977111299</v>
      </c>
      <c r="E50" s="710">
        <v>0.70729077754372882</v>
      </c>
      <c r="F50" s="708">
        <v>0.65969305953871271</v>
      </c>
      <c r="G50" s="711">
        <v>0.25405673224309588</v>
      </c>
      <c r="H50" s="710">
        <v>0.26600000000000001</v>
      </c>
      <c r="I50" s="708">
        <v>0.52</v>
      </c>
      <c r="J50" s="570">
        <v>3.2360000000000002</v>
      </c>
      <c r="K50" s="865">
        <f>IF($J50="","",IF(IFERROR(INDEX(Settings!$AK$14:$AK$36,MATCH((((ROUND($H50,6)*2)*1000000)+ROUND($I50,6)),Settings!$AI$14:$AI$36,0)),"Undefined")="Undefined","Undefined",IFERROR(INDEX(_xlfn.ANCHORARRAY(Settings!$BC$14),MATCH(IFERROR(INDEX(Settings!$AK$14:$AK$36,MATCH((((ROUND($H50,6)*2)*1000000)+ROUND($I50,6)),Settings!$AI$14:$AI$36,0)),"Undefined"),_xlfn.ANCHORARRAY(Settings!$BC$14),0)),"Inactive")))</f>
        <v>1313</v>
      </c>
      <c r="L50" s="320"/>
      <c r="M50" s="168">
        <f t="shared" si="239"/>
        <v>3.2360000000000002</v>
      </c>
      <c r="N50" s="632">
        <f t="shared" si="240"/>
        <v>4.5114877497761103</v>
      </c>
      <c r="O50" s="629">
        <f t="shared" si="241"/>
        <v>-2.4658788492617494</v>
      </c>
      <c r="P50" s="633">
        <f t="shared" si="242"/>
        <v>-0.56924645977111299</v>
      </c>
      <c r="Q50" s="585">
        <f t="shared" si="113"/>
        <v>331.33996515482022</v>
      </c>
      <c r="R50" s="629">
        <f t="shared" si="79"/>
        <v>5.1414083883325548</v>
      </c>
      <c r="S50" s="634">
        <f t="shared" si="80"/>
        <v>-0.56924645977111299</v>
      </c>
      <c r="T50" s="635">
        <f t="shared" si="81"/>
        <v>-2.4658788492617503</v>
      </c>
      <c r="U50" s="629">
        <f t="shared" si="82"/>
        <v>-4.5114877497761094</v>
      </c>
      <c r="V50" s="636">
        <f t="shared" si="114"/>
        <v>-0.56924645977111299</v>
      </c>
      <c r="W50" s="585">
        <f t="shared" si="224"/>
        <v>241.33996515482022</v>
      </c>
      <c r="X50" s="629">
        <f t="shared" si="83"/>
        <v>5.1414083883325548</v>
      </c>
      <c r="Y50" s="630">
        <f t="shared" si="223"/>
        <v>-0.56924645977111299</v>
      </c>
      <c r="Z50" s="632">
        <f t="shared" si="243"/>
        <v>-0.70729077754372882</v>
      </c>
      <c r="AA50" s="629">
        <f t="shared" si="244"/>
        <v>-0.65969305953871271</v>
      </c>
      <c r="AB50" s="629">
        <f t="shared" si="245"/>
        <v>-0.25405673224309588</v>
      </c>
      <c r="AC50" s="636">
        <f t="shared" si="84"/>
        <v>1</v>
      </c>
      <c r="AD50" s="637">
        <f t="shared" si="115"/>
        <v>-0.70729077754372882</v>
      </c>
      <c r="AE50" s="629">
        <f t="shared" si="85"/>
        <v>-0.65969305953871271</v>
      </c>
      <c r="AF50" s="633">
        <f t="shared" si="86"/>
        <v>-0.25405673224309588</v>
      </c>
      <c r="AG50" s="602">
        <f t="shared" si="87"/>
        <v>-68.937628833507262</v>
      </c>
      <c r="AH50" s="603">
        <f t="shared" si="88"/>
        <v>135.0149108834259</v>
      </c>
      <c r="AI50" s="585">
        <f t="shared" si="89"/>
        <v>-75.282300696238394</v>
      </c>
      <c r="AJ50" s="586">
        <f t="shared" si="90"/>
        <v>-46.994205748999939</v>
      </c>
      <c r="AK50" s="635">
        <f t="shared" si="211"/>
        <v>0.91809289766905144</v>
      </c>
      <c r="AL50" s="629">
        <f t="shared" si="91"/>
        <v>-0.30423774922189512</v>
      </c>
      <c r="AM50" s="634">
        <f t="shared" si="92"/>
        <v>-0.25405673224309588</v>
      </c>
      <c r="AN50" s="581">
        <f t="shared" si="93"/>
        <v>-50.13609785602177</v>
      </c>
      <c r="AO50" s="582">
        <f t="shared" si="94"/>
        <v>23.35115000799831</v>
      </c>
      <c r="AP50" s="585">
        <f t="shared" si="95"/>
        <v>-18.334170903820151</v>
      </c>
      <c r="AQ50" s="586">
        <f t="shared" si="246"/>
        <v>0.44339623509264869</v>
      </c>
      <c r="AS50" s="52">
        <f t="shared" si="406"/>
        <v>-118.66003484517978</v>
      </c>
      <c r="AT50" s="72">
        <f t="shared" si="247"/>
        <v>-0.4868436577952937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>Taper</v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3.2360000000000002</v>
      </c>
      <c r="IH50" s="731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3.1360000000000001</v>
      </c>
      <c r="II50" s="734" cm="1">
        <f t="array" ref="II50">IFERROR(IF($IH50&lt;1,$IH50+LARGE((IF($M$9:$M$150="",0,$M$9:$M$150)-MOD(IF($M$9:$M$150="",0,$M$9:$M$150),1)),1),$IH50),"")</f>
        <v>3.1360000000000001</v>
      </c>
      <c r="IJ50" s="533">
        <f t="shared" si="112"/>
        <v>1313</v>
      </c>
      <c r="IK50" s="533">
        <f t="shared" si="382"/>
        <v>1313</v>
      </c>
      <c r="IL50" s="727">
        <f t="shared" si="225"/>
        <v>11.529998335274229</v>
      </c>
      <c r="IM50" s="759">
        <v>1.5719504909267001E-4</v>
      </c>
      <c r="IN50" s="5">
        <f t="shared" si="226"/>
        <v>0</v>
      </c>
      <c r="IO50" s="771">
        <v>0</v>
      </c>
      <c r="IP50" s="9">
        <f t="shared" si="227"/>
        <v>-5.1376154950483341</v>
      </c>
      <c r="IQ50" s="5">
        <f t="shared" si="228"/>
        <v>-0.57060172093479078</v>
      </c>
      <c r="IR50" s="5">
        <f t="shared" si="383"/>
        <v>0.26600000000000001</v>
      </c>
      <c r="IS50" s="5">
        <f t="shared" si="229"/>
        <v>0.25188291778693445</v>
      </c>
      <c r="IT50" s="727">
        <f t="shared" si="230"/>
        <v>55.258173894551305</v>
      </c>
      <c r="IU50" s="9">
        <f t="shared" si="231"/>
        <v>-5.1414083883325548</v>
      </c>
      <c r="IV50" s="5">
        <f t="shared" si="232"/>
        <v>-0.56924645977111299</v>
      </c>
      <c r="IW50" s="5">
        <f t="shared" si="384"/>
        <v>0.26600000000000001</v>
      </c>
      <c r="IX50" s="5">
        <f t="shared" si="233"/>
        <v>0.24421271077996773</v>
      </c>
      <c r="IY50" s="762">
        <f t="shared" si="234"/>
        <v>50.13609785602177</v>
      </c>
    </row>
    <row r="51" spans="1:259" ht="15" customHeight="1" x14ac:dyDescent="0.25">
      <c r="A51" s="79"/>
      <c r="B51" s="707">
        <v>4.908323763071059</v>
      </c>
      <c r="C51" s="708">
        <v>-2.6550318389786649</v>
      </c>
      <c r="D51" s="709">
        <v>-1.0918741681105513</v>
      </c>
      <c r="E51" s="710">
        <v>0.78212280236764831</v>
      </c>
      <c r="F51" s="708">
        <v>0.59827067337233841</v>
      </c>
      <c r="G51" s="711">
        <v>0.17423008752562091</v>
      </c>
      <c r="H51" s="710">
        <v>0.26600000000000001</v>
      </c>
      <c r="I51" s="708">
        <v>0.52</v>
      </c>
      <c r="J51" s="570">
        <v>3.2429999999999999</v>
      </c>
      <c r="K51" s="865">
        <f>IF($J51="","",IF(IFERROR(INDEX(Settings!$AK$14:$AK$36,MATCH((((ROUND($H51,6)*2)*1000000)+ROUND($I51,6)),Settings!$AI$14:$AI$36,0)),"Undefined")="Undefined","Undefined",IFERROR(INDEX(_xlfn.ANCHORARRAY(Settings!$BC$14),MATCH(IFERROR(INDEX(Settings!$AK$14:$AK$36,MATCH((((ROUND($H51,6)*2)*1000000)+ROUND($I51,6)),Settings!$AI$14:$AI$36,0)),"Undefined"),_xlfn.ANCHORARRAY(Settings!$BC$14),0)),"Inactive")))</f>
        <v>1313</v>
      </c>
      <c r="L51" s="320"/>
      <c r="M51" s="168">
        <f t="shared" si="239"/>
        <v>3.2429999999999999</v>
      </c>
      <c r="N51" s="632">
        <f t="shared" si="240"/>
        <v>4.908323763071059</v>
      </c>
      <c r="O51" s="629">
        <f t="shared" si="241"/>
        <v>-2.6550318389786649</v>
      </c>
      <c r="P51" s="633">
        <f t="shared" si="242"/>
        <v>-1.0918741681105513</v>
      </c>
      <c r="Q51" s="585">
        <f t="shared" si="113"/>
        <v>331.58996511872471</v>
      </c>
      <c r="R51" s="629">
        <f t="shared" si="79"/>
        <v>5.5803974974116741</v>
      </c>
      <c r="S51" s="634">
        <f t="shared" si="80"/>
        <v>-1.0918741681105513</v>
      </c>
      <c r="T51" s="635">
        <f t="shared" si="81"/>
        <v>-2.6550318389786667</v>
      </c>
      <c r="U51" s="629">
        <f t="shared" si="82"/>
        <v>-4.9083237630710581</v>
      </c>
      <c r="V51" s="636">
        <f t="shared" si="114"/>
        <v>-1.0918741681105513</v>
      </c>
      <c r="W51" s="585">
        <f t="shared" si="224"/>
        <v>241.58996511872471</v>
      </c>
      <c r="X51" s="629">
        <f t="shared" si="83"/>
        <v>5.5803974974116741</v>
      </c>
      <c r="Y51" s="630">
        <f t="shared" si="223"/>
        <v>-1.0918741681105513</v>
      </c>
      <c r="Z51" s="632">
        <f t="shared" si="243"/>
        <v>-0.78212280236764831</v>
      </c>
      <c r="AA51" s="629">
        <f t="shared" si="244"/>
        <v>-0.59827067337233841</v>
      </c>
      <c r="AB51" s="629">
        <f t="shared" si="245"/>
        <v>-0.17423008752562091</v>
      </c>
      <c r="AC51" s="636">
        <f t="shared" si="84"/>
        <v>1</v>
      </c>
      <c r="AD51" s="637">
        <f t="shared" si="115"/>
        <v>-0.78212280236764831</v>
      </c>
      <c r="AE51" s="629">
        <f t="shared" si="85"/>
        <v>-0.59827067337233841</v>
      </c>
      <c r="AF51" s="633">
        <f t="shared" si="86"/>
        <v>-0.17423008752562091</v>
      </c>
      <c r="AG51" s="602">
        <f t="shared" si="87"/>
        <v>-73.763233557571084</v>
      </c>
      <c r="AH51" s="603">
        <f t="shared" si="88"/>
        <v>141.4553502049362</v>
      </c>
      <c r="AI51" s="585">
        <f t="shared" si="89"/>
        <v>-79.966142916862822</v>
      </c>
      <c r="AJ51" s="586">
        <f t="shared" si="90"/>
        <v>-52.586473207238242</v>
      </c>
      <c r="AK51" s="635">
        <f t="shared" si="211"/>
        <v>0.89833512889798295</v>
      </c>
      <c r="AL51" s="629">
        <f t="shared" si="91"/>
        <v>-0.4032838613044899</v>
      </c>
      <c r="AM51" s="634">
        <f t="shared" si="92"/>
        <v>-0.17423008752562091</v>
      </c>
      <c r="AN51" s="581">
        <f t="shared" si="93"/>
        <v>-66.634283512783369</v>
      </c>
      <c r="AO51" s="582">
        <f t="shared" si="94"/>
        <v>26.059916983246005</v>
      </c>
      <c r="AP51" s="585">
        <f t="shared" si="95"/>
        <v>-24.17643832596292</v>
      </c>
      <c r="AQ51" s="586">
        <f t="shared" si="246"/>
        <v>0.408517135527112</v>
      </c>
      <c r="AS51" s="52">
        <f t="shared" si="406"/>
        <v>-118.41003488127529</v>
      </c>
      <c r="AT51" s="72">
        <f t="shared" si="247"/>
        <v>-1.0096449772207767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Taper</v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3.2429999999999999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3.1429999999999998</v>
      </c>
      <c r="II51" s="734" cm="1">
        <f t="array" ref="II51">IFERROR(IF($IH51&lt;1,$IH51+LARGE((IF($M$9:$M$150="",0,$M$9:$M$150)-MOD(IF($M$9:$M$150="",0,$M$9:$M$150),1)),1),$IH51),"")</f>
        <v>3.1429999999999998</v>
      </c>
      <c r="IJ51" s="533">
        <f t="shared" si="112"/>
        <v>1313</v>
      </c>
      <c r="IK51" s="533">
        <f t="shared" si="382"/>
        <v>1313</v>
      </c>
      <c r="IL51" s="727">
        <f t="shared" si="225"/>
        <v>10.639998463774305</v>
      </c>
      <c r="IM51" s="759">
        <v>1.0146348651943E-4</v>
      </c>
      <c r="IN51" s="5">
        <f t="shared" si="226"/>
        <v>0</v>
      </c>
      <c r="IO51" s="771">
        <v>0</v>
      </c>
      <c r="IP51" s="9">
        <f t="shared" si="227"/>
        <v>-5.5747168133459084</v>
      </c>
      <c r="IQ51" s="5">
        <f t="shared" si="228"/>
        <v>-1.0932032971011445</v>
      </c>
      <c r="IR51" s="5">
        <f t="shared" si="383"/>
        <v>0.26600000000000001</v>
      </c>
      <c r="IS51" s="5">
        <f t="shared" si="229"/>
        <v>0.24732038723004876</v>
      </c>
      <c r="IT51" s="727">
        <f t="shared" si="230"/>
        <v>71.779907127924176</v>
      </c>
      <c r="IU51" s="9">
        <f t="shared" si="231"/>
        <v>-5.5803974974116741</v>
      </c>
      <c r="IV51" s="5">
        <f t="shared" si="232"/>
        <v>-1.0918741681105513</v>
      </c>
      <c r="IW51" s="5">
        <f t="shared" si="384"/>
        <v>0.26600000000000001</v>
      </c>
      <c r="IX51" s="5">
        <f t="shared" si="233"/>
        <v>0.23895714428686352</v>
      </c>
      <c r="IY51" s="762">
        <f t="shared" si="234"/>
        <v>66.634283512783369</v>
      </c>
    </row>
    <row r="52" spans="1:259" ht="15" customHeight="1" x14ac:dyDescent="0.25">
      <c r="A52" s="79"/>
      <c r="B52" s="707">
        <v>5.1348522987696787</v>
      </c>
      <c r="C52" s="708">
        <v>-2.7729346753877016</v>
      </c>
      <c r="D52" s="709">
        <v>-1.7137120221792725</v>
      </c>
      <c r="E52" s="710">
        <v>0.85237458812244427</v>
      </c>
      <c r="F52" s="708">
        <v>0.51241029425983364</v>
      </c>
      <c r="G52" s="711">
        <v>0.1043707423545723</v>
      </c>
      <c r="H52" s="710">
        <v>0.26600000000000001</v>
      </c>
      <c r="I52" s="708">
        <v>0.52</v>
      </c>
      <c r="J52" s="570">
        <v>3.25</v>
      </c>
      <c r="K52" s="865">
        <f>IF($J52="","",IF(IFERROR(INDEX(Settings!$AK$14:$AK$36,MATCH((((ROUND($H52,6)*2)*1000000)+ROUND($I52,6)),Settings!$AI$14:$AI$36,0)),"Undefined")="Undefined","Undefined",IFERROR(INDEX(_xlfn.ANCHORARRAY(Settings!$BC$14),MATCH(IFERROR(INDEX(Settings!$AK$14:$AK$36,MATCH((((ROUND($H52,6)*2)*1000000)+ROUND($I52,6)),Settings!$AI$14:$AI$36,0)),"Undefined"),_xlfn.ANCHORARRAY(Settings!$BC$14),0)),"Inactive")))</f>
        <v>1313</v>
      </c>
      <c r="L52" s="320"/>
      <c r="M52" s="168">
        <f t="shared" si="239"/>
        <v>3.25</v>
      </c>
      <c r="N52" s="632">
        <f t="shared" si="240"/>
        <v>5.1348522987696787</v>
      </c>
      <c r="O52" s="629">
        <f t="shared" si="241"/>
        <v>-2.7729346753877016</v>
      </c>
      <c r="P52" s="633">
        <f t="shared" si="242"/>
        <v>-1.7137120221792725</v>
      </c>
      <c r="Q52" s="585">
        <f t="shared" si="113"/>
        <v>331.62996511294944</v>
      </c>
      <c r="R52" s="629">
        <f t="shared" si="79"/>
        <v>5.8357411563697505</v>
      </c>
      <c r="S52" s="634">
        <f t="shared" si="80"/>
        <v>-1.7137120221792725</v>
      </c>
      <c r="T52" s="635">
        <f t="shared" si="81"/>
        <v>-2.7729346753876989</v>
      </c>
      <c r="U52" s="629">
        <f t="shared" si="82"/>
        <v>-5.1348522987696805</v>
      </c>
      <c r="V52" s="636">
        <f t="shared" si="114"/>
        <v>-1.7137120221792725</v>
      </c>
      <c r="W52" s="585">
        <f t="shared" si="224"/>
        <v>241.62996511294944</v>
      </c>
      <c r="X52" s="629">
        <f t="shared" si="83"/>
        <v>5.8357411563697505</v>
      </c>
      <c r="Y52" s="630">
        <f t="shared" si="223"/>
        <v>-1.7137120221792725</v>
      </c>
      <c r="Z52" s="632">
        <f t="shared" si="243"/>
        <v>-0.85237458812244427</v>
      </c>
      <c r="AA52" s="629">
        <f t="shared" si="244"/>
        <v>-0.51241029425983364</v>
      </c>
      <c r="AB52" s="629">
        <f t="shared" si="245"/>
        <v>-0.1043707423545723</v>
      </c>
      <c r="AC52" s="636">
        <f t="shared" si="84"/>
        <v>1</v>
      </c>
      <c r="AD52" s="637">
        <f t="shared" si="115"/>
        <v>-0.85237458812244427</v>
      </c>
      <c r="AE52" s="629">
        <f t="shared" si="85"/>
        <v>-0.51241029425983364</v>
      </c>
      <c r="AF52" s="633">
        <f t="shared" si="86"/>
        <v>-0.1043707423545723</v>
      </c>
      <c r="AG52" s="602">
        <f t="shared" si="87"/>
        <v>-78.487149284929188</v>
      </c>
      <c r="AH52" s="603">
        <f t="shared" si="88"/>
        <v>148.47088969505222</v>
      </c>
      <c r="AI52" s="585">
        <f t="shared" si="89"/>
        <v>-84.009086443875688</v>
      </c>
      <c r="AJ52" s="586">
        <f t="shared" si="90"/>
        <v>-58.987557196648012</v>
      </c>
      <c r="AK52" s="635">
        <f t="shared" si="211"/>
        <v>0.85588618401376615</v>
      </c>
      <c r="AL52" s="629">
        <f t="shared" si="91"/>
        <v>-0.50652303812828636</v>
      </c>
      <c r="AM52" s="634">
        <f t="shared" si="92"/>
        <v>-0.1043707423545723</v>
      </c>
      <c r="AN52" s="581">
        <f t="shared" si="93"/>
        <v>-78.356970185598286</v>
      </c>
      <c r="AO52" s="582">
        <f t="shared" si="94"/>
        <v>31.142225107073084</v>
      </c>
      <c r="AP52" s="585">
        <f t="shared" si="95"/>
        <v>-30.617522309597458</v>
      </c>
      <c r="AQ52" s="586">
        <f t="shared" si="246"/>
        <v>0.39064297854137164</v>
      </c>
      <c r="AS52" s="52">
        <f t="shared" si="406"/>
        <v>-118.37003488705056</v>
      </c>
      <c r="AT52" s="72">
        <f t="shared" si="247"/>
        <v>-1.6315106090632652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Taper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3.25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3.15</v>
      </c>
      <c r="II52" s="734" cm="1">
        <f t="array" ref="II52">IFERROR(IF($IH52&lt;1,$IH52+LARGE((IF($M$9:$M$150="",0,$M$9:$M$150)-MOD(IF($M$9:$M$150="",0,$M$9:$M$150),1)),1),$IH52),"")</f>
        <v>3.15</v>
      </c>
      <c r="IJ52" s="533">
        <f t="shared" si="112"/>
        <v>1313</v>
      </c>
      <c r="IK52" s="533">
        <f t="shared" si="382"/>
        <v>1313</v>
      </c>
      <c r="IL52" s="727">
        <f t="shared" si="225"/>
        <v>10.18999852874623</v>
      </c>
      <c r="IM52" s="759">
        <v>4.9265595704681305E-4</v>
      </c>
      <c r="IN52" s="5">
        <f t="shared" si="226"/>
        <v>0</v>
      </c>
      <c r="IO52" s="771">
        <v>0</v>
      </c>
      <c r="IP52" s="9">
        <f t="shared" si="227"/>
        <v>-5.8273175751898076</v>
      </c>
      <c r="IQ52" s="5">
        <f t="shared" si="228"/>
        <v>-1.7149051721539992</v>
      </c>
      <c r="IR52" s="5">
        <f t="shared" si="383"/>
        <v>0.26600000000000001</v>
      </c>
      <c r="IS52" s="5">
        <f t="shared" si="229"/>
        <v>0.23779819316264994</v>
      </c>
      <c r="IT52" s="727">
        <f t="shared" si="230"/>
        <v>82.248477222528209</v>
      </c>
      <c r="IU52" s="9">
        <f t="shared" si="231"/>
        <v>-5.8357411563697505</v>
      </c>
      <c r="IV52" s="5">
        <f t="shared" si="232"/>
        <v>-1.7137120221792725</v>
      </c>
      <c r="IW52" s="5">
        <f t="shared" si="384"/>
        <v>0.26600000000000001</v>
      </c>
      <c r="IX52" s="5">
        <f t="shared" si="233"/>
        <v>0.22766572494766182</v>
      </c>
      <c r="IY52" s="762">
        <f t="shared" si="234"/>
        <v>78.356970185598286</v>
      </c>
    </row>
    <row r="53" spans="1:259" ht="15" customHeight="1" x14ac:dyDescent="0.25">
      <c r="A53" s="79"/>
      <c r="B53" s="707">
        <v>5.3144352204714602</v>
      </c>
      <c r="C53" s="708">
        <v>-3.1932394660301457</v>
      </c>
      <c r="D53" s="709">
        <v>-2.3639999999999999</v>
      </c>
      <c r="E53" s="710">
        <v>0.8571669710437837</v>
      </c>
      <c r="F53" s="708">
        <v>-0.51503862355324925</v>
      </c>
      <c r="G53" s="711">
        <v>0</v>
      </c>
      <c r="H53" s="710">
        <v>0.25700000000000001</v>
      </c>
      <c r="I53" s="708">
        <v>0.71</v>
      </c>
      <c r="J53" s="570">
        <v>3.3010000000000002</v>
      </c>
      <c r="K53" s="865" t="str">
        <f>IF($J53="","",IF(IFERROR(INDEX(Settings!$AK$14:$AK$36,MATCH((((ROUND($H53,6)*2)*1000000)+ROUND($I53,6)),Settings!$AI$14:$AI$36,0)),"Undefined")="Undefined","Undefined",IFERROR(INDEX(_xlfn.ANCHORARRAY(Settings!$BC$14),MATCH(IFERROR(INDEX(Settings!$AK$14:$AK$36,MATCH((((ROUND($H53,6)*2)*1000000)+ROUND($I53,6)),Settings!$AI$14:$AI$36,0)),"Undefined"),_xlfn.ANCHORARRAY(Settings!$BC$14),0)),"Inactive")))</f>
        <v>Inactive</v>
      </c>
      <c r="L53" s="320"/>
      <c r="M53" s="168">
        <f t="shared" si="239"/>
        <v>3.3010000000000002</v>
      </c>
      <c r="N53" s="632">
        <f t="shared" si="240"/>
        <v>5.3144352204714602</v>
      </c>
      <c r="O53" s="629">
        <f t="shared" si="241"/>
        <v>-3.1932394660301457</v>
      </c>
      <c r="P53" s="633">
        <f t="shared" si="242"/>
        <v>-2.3639999999999999</v>
      </c>
      <c r="Q53" s="585">
        <f t="shared" si="113"/>
        <v>328.99996332694263</v>
      </c>
      <c r="R53" s="629">
        <f t="shared" ref="R53:R58" si="410">IF(M53="","",SQRT(N53^2+O53^2))</f>
        <v>6.200000000000002</v>
      </c>
      <c r="S53" s="634">
        <f t="shared" ref="S53:S58" si="411">IF(M53="","",P53)</f>
        <v>-2.3639999999999999</v>
      </c>
      <c r="T53" s="635">
        <f t="shared" ref="T53:T58" si="412">IF(M53="","",X53*COS(RADIANS(W53)))</f>
        <v>-3.1932394660301493</v>
      </c>
      <c r="U53" s="629">
        <f t="shared" ref="U53:U58" si="413">IF(M53="","",X53*SIN(RADIANS(W53)))</f>
        <v>-5.3144352204714576</v>
      </c>
      <c r="V53" s="636">
        <f t="shared" ref="V53:V58" si="414">IF(M53="","",Y53)</f>
        <v>-2.3639999999999999</v>
      </c>
      <c r="W53" s="585">
        <f t="shared" si="224"/>
        <v>238.99996332694263</v>
      </c>
      <c r="X53" s="629">
        <f t="shared" ref="X53:X58" si="415">IF(M53="","",R53)</f>
        <v>6.200000000000002</v>
      </c>
      <c r="Y53" s="630">
        <f t="shared" si="223"/>
        <v>-2.3639999999999999</v>
      </c>
      <c r="Z53" s="632">
        <f t="shared" si="243"/>
        <v>-0.8571669710437837</v>
      </c>
      <c r="AA53" s="629">
        <f t="shared" si="244"/>
        <v>0.51503862355324925</v>
      </c>
      <c r="AB53" s="629">
        <f t="shared" si="245"/>
        <v>0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-0.8571669710437837</v>
      </c>
      <c r="AE53" s="629">
        <f t="shared" ref="AE53:AE58" si="418">IF(M53="","",AA53*(1/SQRT(Z53^2+AA53^2+AB53^2)))</f>
        <v>0.51503862355324925</v>
      </c>
      <c r="AF53" s="633">
        <f t="shared" ref="AF53:AF58" si="419">IF(M53="","",AB53*(1/SQRT(Z53^2+AA53^2+AB53^2)))</f>
        <v>0</v>
      </c>
      <c r="AG53" s="602">
        <f t="shared" ref="AG53:AG58" si="420">IF(M53="","",DEGREES(ATAN2(-AF53,AE53)))</f>
        <v>90</v>
      </c>
      <c r="AH53" s="603">
        <f t="shared" ref="AH53:AH58" si="421">IF(M53="","",DEGREES(ACOS(AD53)))</f>
        <v>148.99996332694266</v>
      </c>
      <c r="AI53" s="585">
        <f t="shared" ref="AI53:AI58" si="422">IF(M53="","",DEGREES(-ACOS(-AF53)))</f>
        <v>-90</v>
      </c>
      <c r="AJ53" s="586">
        <f t="shared" ref="AJ53:AJ58" si="423">IF(M53="","",DEGREES(ATAN2(-AE53,AD53)))</f>
        <v>-121.00003667305735</v>
      </c>
      <c r="AK53" s="635">
        <f t="shared" ref="AK53:AK58" si="424">IF(M53="","",(COS(RADIANS((90-$Q$8)-W53))*AD53)+(-SIN(RADIANS((90-$Q$8)-W53))*AE53))</f>
        <v>6.106226635438361E-16</v>
      </c>
      <c r="AL53" s="629">
        <f t="shared" ref="AL53:AL58" si="425">IF(M53="","",(SIN(RADIANS((90-$Q$8)-W53))*AD53)+(COS(RADIANS((90-$Q$8)-W53))*AE53))</f>
        <v>-1.0000000000000002</v>
      </c>
      <c r="AM53" s="634">
        <f t="shared" ref="AM53:AM58" si="426">IF(M53="","",AF53)</f>
        <v>0</v>
      </c>
      <c r="AN53" s="581">
        <f t="shared" ref="AN53:AN58" si="427">IF(M53="","",DEGREES(ATAN2(-AM53,AL53)))</f>
        <v>-90</v>
      </c>
      <c r="AO53" s="582">
        <f t="shared" si="94"/>
        <v>0</v>
      </c>
      <c r="AP53" s="585">
        <f t="shared" ref="AP53:AP58" si="428">IF(M53="","",DEGREES(ATAN2(AK53,AL53)))</f>
        <v>-89.999999999999972</v>
      </c>
      <c r="AQ53" s="586">
        <f t="shared" si="246"/>
        <v>0.36769279613469613</v>
      </c>
      <c r="AS53" s="52">
        <f t="shared" si="406"/>
        <v>-121.00003667305737</v>
      </c>
      <c r="AT53" s="72">
        <f t="shared" si="247"/>
        <v>-2.2799721967548212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Taper</v>
      </c>
      <c r="IF53" s="533" t="str">
        <f>IFERROR(IF((((($IW53*COS(RADIANS(180-$IY53)))*COS(RADIANS($IY53)))-(($IX53*SIN(RADIANS(180-$IY53)))*SIN(RADIANS($IY53))))+$IU53)&lt;(((Settings!$C$19+$IF$8)/2)*-1),"Gage",""),"")</f>
        <v>Gage</v>
      </c>
      <c r="IG53" s="847">
        <f t="shared" si="210"/>
        <v>3.3010000000000002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2.3010000000000002</v>
      </c>
      <c r="II53" s="734" cm="1">
        <f t="array" ref="II53">IFERROR(IF($IH53&lt;1,$IH53+LARGE((IF($M$9:$M$150="",0,$M$9:$M$150)-MOD(IF($M$9:$M$150="",0,$M$9:$M$150),1)),1),$IH53),"")</f>
        <v>2.3010000000000002</v>
      </c>
      <c r="IJ53" s="533" t="str">
        <f t="shared" si="112"/>
        <v>Inactive</v>
      </c>
      <c r="IK53" s="533" t="str">
        <f t="shared" si="382"/>
        <v>Inactive</v>
      </c>
      <c r="IL53" s="727">
        <f t="shared" si="225"/>
        <v>49.999992780894218</v>
      </c>
      <c r="IM53" s="759">
        <v>7.7308329901698395E-4</v>
      </c>
      <c r="IN53" s="5">
        <f t="shared" si="226"/>
        <v>0</v>
      </c>
      <c r="IO53" s="771">
        <v>0</v>
      </c>
      <c r="IP53" s="9">
        <f t="shared" si="227"/>
        <v>-6.1999999999999993</v>
      </c>
      <c r="IQ53" s="5">
        <f t="shared" si="228"/>
        <v>-2.4548000000000001</v>
      </c>
      <c r="IR53" s="5">
        <f t="shared" si="383"/>
        <v>0.25700000000000001</v>
      </c>
      <c r="IS53" s="5">
        <f t="shared" si="229"/>
        <v>0.25700000000000001</v>
      </c>
      <c r="IT53" s="727">
        <f t="shared" si="230"/>
        <v>90</v>
      </c>
      <c r="IU53" s="9">
        <f t="shared" si="231"/>
        <v>-6.200000000000002</v>
      </c>
      <c r="IV53" s="5">
        <f t="shared" si="232"/>
        <v>-2.3639999999999999</v>
      </c>
      <c r="IW53" s="5">
        <f t="shared" si="384"/>
        <v>0.25700000000000001</v>
      </c>
      <c r="IX53" s="5">
        <f t="shared" si="233"/>
        <v>0.25700000000000001</v>
      </c>
      <c r="IY53" s="762">
        <f t="shared" si="234"/>
        <v>90</v>
      </c>
    </row>
    <row r="54" spans="1:259" ht="15" customHeight="1" x14ac:dyDescent="0.25">
      <c r="A54" s="79"/>
      <c r="B54" s="707">
        <v>1.0454938429989762</v>
      </c>
      <c r="C54" s="708">
        <v>-3.6460771256402409</v>
      </c>
      <c r="D54" s="709">
        <v>-4.350013119639564E-2</v>
      </c>
      <c r="E54" s="710">
        <v>0.93099737081303691</v>
      </c>
      <c r="F54" s="708">
        <v>0.25756204132237032</v>
      </c>
      <c r="G54" s="711">
        <v>0.2586613430898913</v>
      </c>
      <c r="H54" s="710">
        <v>0.26600000000000001</v>
      </c>
      <c r="I54" s="708">
        <v>0.52</v>
      </c>
      <c r="J54" s="570">
        <v>4.1210000000000004</v>
      </c>
      <c r="K54" s="865">
        <f>IF($J54="","",IF(IFERROR(INDEX(Settings!$AK$14:$AK$36,MATCH((((ROUND($H54,6)*2)*1000000)+ROUND($I54,6)),Settings!$AI$14:$AI$36,0)),"Undefined")="Undefined","Undefined",IFERROR(INDEX(_xlfn.ANCHORARRAY(Settings!$BC$14),MATCH(IFERROR(INDEX(Settings!$AK$14:$AK$36,MATCH((((ROUND($H54,6)*2)*1000000)+ROUND($I54,6)),Settings!$AI$14:$AI$36,0)),"Undefined"),_xlfn.ANCHORARRAY(Settings!$BC$14),0)),"Inactive")))</f>
        <v>1313</v>
      </c>
      <c r="L54" s="320"/>
      <c r="M54" s="168">
        <f t="shared" si="239"/>
        <v>4.1210000000000004</v>
      </c>
      <c r="N54" s="632">
        <f t="shared" si="240"/>
        <v>1.0454938429989762</v>
      </c>
      <c r="O54" s="629">
        <f t="shared" si="241"/>
        <v>-3.6460771256402409</v>
      </c>
      <c r="P54" s="633">
        <f t="shared" si="242"/>
        <v>-4.350013119639564E-2</v>
      </c>
      <c r="Q54" s="585">
        <f t="shared" si="113"/>
        <v>285.99997170110538</v>
      </c>
      <c r="R54" s="629">
        <f t="shared" si="410"/>
        <v>3.7930114397225019</v>
      </c>
      <c r="S54" s="634">
        <f t="shared" si="411"/>
        <v>-4.350013119639564E-2</v>
      </c>
      <c r="T54" s="635">
        <f t="shared" si="412"/>
        <v>-3.6460771256402404</v>
      </c>
      <c r="U54" s="629">
        <f t="shared" si="413"/>
        <v>-1.045493842998976</v>
      </c>
      <c r="V54" s="636">
        <f t="shared" si="414"/>
        <v>-4.350013119639564E-2</v>
      </c>
      <c r="W54" s="585">
        <f t="shared" si="224"/>
        <v>195.99997170110538</v>
      </c>
      <c r="X54" s="629">
        <f t="shared" si="415"/>
        <v>3.7930114397225019</v>
      </c>
      <c r="Y54" s="630">
        <f t="shared" si="223"/>
        <v>-4.350013119639564E-2</v>
      </c>
      <c r="Z54" s="632">
        <f t="shared" si="243"/>
        <v>-0.93099737081303691</v>
      </c>
      <c r="AA54" s="629">
        <f t="shared" si="244"/>
        <v>-0.25756204132237032</v>
      </c>
      <c r="AB54" s="629">
        <f t="shared" si="245"/>
        <v>-0.2586613430898913</v>
      </c>
      <c r="AC54" s="636">
        <f t="shared" si="416"/>
        <v>1</v>
      </c>
      <c r="AD54" s="637">
        <f t="shared" si="417"/>
        <v>-0.93099737081303691</v>
      </c>
      <c r="AE54" s="629">
        <f t="shared" si="418"/>
        <v>-0.25756204132237032</v>
      </c>
      <c r="AF54" s="633">
        <f t="shared" si="419"/>
        <v>-0.2586613430898913</v>
      </c>
      <c r="AG54" s="602">
        <f t="shared" si="420"/>
        <v>-44.877988370183083</v>
      </c>
      <c r="AH54" s="603">
        <f t="shared" si="421"/>
        <v>158.59082438026266</v>
      </c>
      <c r="AI54" s="585">
        <f t="shared" si="422"/>
        <v>-75.009354198745726</v>
      </c>
      <c r="AJ54" s="586">
        <f t="shared" si="423"/>
        <v>-74.535802085891973</v>
      </c>
      <c r="AK54" s="635">
        <f t="shared" si="424"/>
        <v>0.96592583607220739</v>
      </c>
      <c r="AL54" s="629">
        <f t="shared" si="425"/>
        <v>-9.0326518332542183E-3</v>
      </c>
      <c r="AM54" s="634">
        <f t="shared" si="426"/>
        <v>-0.2586613430898913</v>
      </c>
      <c r="AN54" s="581">
        <f t="shared" si="427"/>
        <v>-1.9999997112357251</v>
      </c>
      <c r="AO54" s="582">
        <f t="shared" si="94"/>
        <v>14.999997834268255</v>
      </c>
      <c r="AP54" s="585">
        <f t="shared" si="428"/>
        <v>-0.53577378699734024</v>
      </c>
      <c r="AQ54" s="586">
        <f t="shared" si="246"/>
        <v>0.60101137395955195</v>
      </c>
      <c r="AS54" s="52">
        <f t="shared" si="406"/>
        <v>-164.00002829889462</v>
      </c>
      <c r="AT54" s="72">
        <f t="shared" si="247"/>
        <v>7.0388777344503412E-2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4.1210000000000004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>
        <f t="shared" si="112"/>
        <v>1313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1.2004475005869324</v>
      </c>
      <c r="C55" s="708">
        <v>-4.2908527017808922</v>
      </c>
      <c r="D55" s="709">
        <v>-0.17080051513435332</v>
      </c>
      <c r="E55" s="710">
        <v>0.96450049206133204</v>
      </c>
      <c r="F55" s="708">
        <v>0.12780897524308815</v>
      </c>
      <c r="G55" s="711">
        <v>0.23109233362610776</v>
      </c>
      <c r="H55" s="710">
        <v>0.26600000000000001</v>
      </c>
      <c r="I55" s="708">
        <v>0.52</v>
      </c>
      <c r="J55" s="570">
        <v>4.1280000000000001</v>
      </c>
      <c r="K55" s="865">
        <f>IF($J55="","",IF(IFERROR(INDEX(Settings!$AK$14:$AK$36,MATCH((((ROUND($H55,6)*2)*1000000)+ROUND($I55,6)),Settings!$AI$14:$AI$36,0)),"Undefined")="Undefined","Undefined",IFERROR(INDEX(_xlfn.ANCHORARRAY(Settings!$BC$14),MATCH(IFERROR(INDEX(Settings!$AK$14:$AK$36,MATCH((((ROUND($H55,6)*2)*1000000)+ROUND($I55,6)),Settings!$AI$14:$AI$36,0)),"Undefined"),_xlfn.ANCHORARRAY(Settings!$BC$14),0)),"Inactive")))</f>
        <v>1313</v>
      </c>
      <c r="L55" s="320"/>
      <c r="M55" s="168">
        <f t="shared" si="239"/>
        <v>4.1280000000000001</v>
      </c>
      <c r="N55" s="632">
        <f t="shared" si="240"/>
        <v>1.2004475005869324</v>
      </c>
      <c r="O55" s="629">
        <f t="shared" si="241"/>
        <v>-4.2908527017808922</v>
      </c>
      <c r="P55" s="633">
        <f t="shared" si="242"/>
        <v>-0.17080051513435332</v>
      </c>
      <c r="Q55" s="585">
        <f t="shared" si="113"/>
        <v>285.62997175452676</v>
      </c>
      <c r="R55" s="629">
        <f t="shared" si="410"/>
        <v>4.4556134381301291</v>
      </c>
      <c r="S55" s="634">
        <f t="shared" si="411"/>
        <v>-0.17080051513435332</v>
      </c>
      <c r="T55" s="635">
        <f t="shared" si="412"/>
        <v>-4.2908527017808913</v>
      </c>
      <c r="U55" s="629">
        <f t="shared" si="413"/>
        <v>-1.2004475005869322</v>
      </c>
      <c r="V55" s="636">
        <f t="shared" si="414"/>
        <v>-0.17080051513435332</v>
      </c>
      <c r="W55" s="585">
        <f t="shared" si="224"/>
        <v>195.62997175452676</v>
      </c>
      <c r="X55" s="629">
        <f t="shared" si="415"/>
        <v>4.4556134381301291</v>
      </c>
      <c r="Y55" s="630">
        <f t="shared" si="223"/>
        <v>-0.17080051513435332</v>
      </c>
      <c r="Z55" s="632">
        <f t="shared" si="243"/>
        <v>-0.96450049206133204</v>
      </c>
      <c r="AA55" s="629">
        <f t="shared" si="244"/>
        <v>-0.12780897524308815</v>
      </c>
      <c r="AB55" s="629">
        <f t="shared" si="245"/>
        <v>-0.23109233362610776</v>
      </c>
      <c r="AC55" s="636">
        <f t="shared" si="416"/>
        <v>1</v>
      </c>
      <c r="AD55" s="637">
        <f t="shared" si="417"/>
        <v>-0.96450049206133204</v>
      </c>
      <c r="AE55" s="629">
        <f t="shared" si="418"/>
        <v>-0.12780897524308815</v>
      </c>
      <c r="AF55" s="633">
        <f t="shared" si="419"/>
        <v>-0.23109233362610776</v>
      </c>
      <c r="AG55" s="602">
        <f t="shared" si="420"/>
        <v>-28.945425585940779</v>
      </c>
      <c r="AH55" s="603">
        <f t="shared" si="421"/>
        <v>164.687644220398</v>
      </c>
      <c r="AI55" s="585">
        <f t="shared" si="422"/>
        <v>-76.638609484003425</v>
      </c>
      <c r="AJ55" s="586">
        <f t="shared" si="423"/>
        <v>-82.451535137974048</v>
      </c>
      <c r="AK55" s="635">
        <f t="shared" si="424"/>
        <v>0.96326971958202423</v>
      </c>
      <c r="AL55" s="629">
        <f t="shared" si="425"/>
        <v>-0.13677638932070252</v>
      </c>
      <c r="AM55" s="634">
        <f t="shared" si="426"/>
        <v>-0.23109233362610776</v>
      </c>
      <c r="AN55" s="581">
        <f t="shared" si="427"/>
        <v>-30.619974664160033</v>
      </c>
      <c r="AO55" s="582">
        <f>IF(ROUND(IF(M55="",0,DEGREES(ACOS(AK55))),4)=90,0,IF(M55="","",DEGREES(ACOS(AK55))))</f>
        <v>15.577153824064517</v>
      </c>
      <c r="AP55" s="585">
        <f t="shared" si="428"/>
        <v>-8.0815068925008031</v>
      </c>
      <c r="AQ55" s="586">
        <f t="shared" si="246"/>
        <v>0.51163909691028564</v>
      </c>
      <c r="AS55" s="52">
        <f t="shared" si="406"/>
        <v>-164.37002824547324</v>
      </c>
      <c r="AT55" s="72">
        <f t="shared" si="247"/>
        <v>-5.6654662186108012E-2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4.1280000000000001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>
        <f t="shared" si="112"/>
        <v>1313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1.3073507408132981</v>
      </c>
      <c r="C56" s="708">
        <v>-4.8893477846502842</v>
      </c>
      <c r="D56" s="709">
        <v>-0.50680152851341054</v>
      </c>
      <c r="E56" s="710">
        <v>0.98069167074715713</v>
      </c>
      <c r="F56" s="708">
        <v>1.9195428132592757E-3</v>
      </c>
      <c r="G56" s="711">
        <v>0.19555091992250387</v>
      </c>
      <c r="H56" s="710">
        <v>0.26600000000000001</v>
      </c>
      <c r="I56" s="708">
        <v>0.52</v>
      </c>
      <c r="J56" s="570">
        <v>4.1349999999999998</v>
      </c>
      <c r="K56" s="865">
        <f>IF($J56="","",IF(IFERROR(INDEX(Settings!$AK$14:$AK$36,MATCH((((ROUND($H56,6)*2)*1000000)+ROUND($I56,6)),Settings!$AI$14:$AI$36,0)),"Undefined")="Undefined","Undefined",IFERROR(INDEX(_xlfn.ANCHORARRAY(Settings!$BC$14),MATCH(IFERROR(INDEX(Settings!$AK$14:$AK$36,MATCH((((ROUND($H56,6)*2)*1000000)+ROUND($I56,6)),Settings!$AI$14:$AI$36,0)),"Undefined"),_xlfn.ANCHORARRAY(Settings!$BC$14),0)),"Inactive")))</f>
        <v>1313</v>
      </c>
      <c r="L56" s="320"/>
      <c r="M56" s="168">
        <f t="shared" si="239"/>
        <v>4.1349999999999998</v>
      </c>
      <c r="N56" s="632">
        <f t="shared" si="240"/>
        <v>1.3073507408132981</v>
      </c>
      <c r="O56" s="629">
        <f t="shared" si="241"/>
        <v>-4.8893477846502842</v>
      </c>
      <c r="P56" s="633">
        <f t="shared" si="242"/>
        <v>-0.50680152851341054</v>
      </c>
      <c r="Q56" s="585">
        <f t="shared" si="113"/>
        <v>284.96997184981899</v>
      </c>
      <c r="R56" s="629">
        <f t="shared" si="410"/>
        <v>5.0611152643236368</v>
      </c>
      <c r="S56" s="634">
        <f t="shared" si="411"/>
        <v>-0.50680152851341054</v>
      </c>
      <c r="T56" s="635">
        <f t="shared" si="412"/>
        <v>-4.8893477846502833</v>
      </c>
      <c r="U56" s="629">
        <f t="shared" si="413"/>
        <v>-1.3073507408133005</v>
      </c>
      <c r="V56" s="636">
        <f t="shared" si="414"/>
        <v>-0.50680152851341054</v>
      </c>
      <c r="W56" s="585">
        <f t="shared" si="224"/>
        <v>194.96997184981899</v>
      </c>
      <c r="X56" s="629">
        <f t="shared" si="415"/>
        <v>5.0611152643236368</v>
      </c>
      <c r="Y56" s="630">
        <f t="shared" si="223"/>
        <v>-0.50680152851341054</v>
      </c>
      <c r="Z56" s="632">
        <f t="shared" si="243"/>
        <v>-0.98069167074715713</v>
      </c>
      <c r="AA56" s="629">
        <f t="shared" si="244"/>
        <v>-1.9195428132592757E-3</v>
      </c>
      <c r="AB56" s="629">
        <f t="shared" si="245"/>
        <v>-0.19555091992250387</v>
      </c>
      <c r="AC56" s="636">
        <f t="shared" si="416"/>
        <v>1</v>
      </c>
      <c r="AD56" s="637">
        <f t="shared" si="417"/>
        <v>-0.98069167074715713</v>
      </c>
      <c r="AE56" s="629">
        <f t="shared" si="418"/>
        <v>-1.9195428132592757E-3</v>
      </c>
      <c r="AF56" s="633">
        <f t="shared" si="419"/>
        <v>-0.19555091992250387</v>
      </c>
      <c r="AG56" s="602">
        <f t="shared" si="420"/>
        <v>-0.56240169874962476</v>
      </c>
      <c r="AH56" s="603">
        <f t="shared" si="421"/>
        <v>168.72254100084109</v>
      </c>
      <c r="AI56" s="585">
        <f t="shared" si="422"/>
        <v>-78.723091409193273</v>
      </c>
      <c r="AJ56" s="586">
        <f t="shared" si="423"/>
        <v>-89.887853068785276</v>
      </c>
      <c r="AK56" s="635">
        <f t="shared" si="424"/>
        <v>0.94790415016415608</v>
      </c>
      <c r="AL56" s="629">
        <f t="shared" si="425"/>
        <v>-0.25147079317294785</v>
      </c>
      <c r="AM56" s="634">
        <f t="shared" si="426"/>
        <v>-0.19555091992250387</v>
      </c>
      <c r="AN56" s="581">
        <f t="shared" si="427"/>
        <v>-52.130336782890524</v>
      </c>
      <c r="AO56" s="582">
        <f t="shared" ref="AO56:AO119" si="461">IF(ROUND(IF(M56="",0,DEGREES(ACOS(AK56))),4)=90,0,IF(M56="","",DEGREES(ACOS(AK56))))</f>
        <v>18.575601082439608</v>
      </c>
      <c r="AP56" s="585">
        <f t="shared" si="428"/>
        <v>-14.85782491860426</v>
      </c>
      <c r="AQ56" s="586">
        <f t="shared" si="246"/>
        <v>0.45043030004475626</v>
      </c>
      <c r="AS56" s="52">
        <f t="shared" si="406"/>
        <v>-165.03002815018101</v>
      </c>
      <c r="AT56" s="72">
        <f t="shared" si="247"/>
        <v>-0.39219734229800707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4.1349999999999998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>
        <f t="shared" si="112"/>
        <v>1313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1.3652594024783435</v>
      </c>
      <c r="C57" s="708">
        <v>-5.3522339038988056</v>
      </c>
      <c r="D57" s="709">
        <v>-1.0110030491851962</v>
      </c>
      <c r="E57" s="710">
        <v>0.9863592883717559</v>
      </c>
      <c r="F57" s="708">
        <v>-0.10163794036602218</v>
      </c>
      <c r="G57" s="711">
        <v>0.12948004989540424</v>
      </c>
      <c r="H57" s="710">
        <v>0.26600000000000001</v>
      </c>
      <c r="I57" s="708">
        <v>0.52</v>
      </c>
      <c r="J57" s="570">
        <v>4.1420000000000003</v>
      </c>
      <c r="K57" s="865">
        <f>IF($J57="","",IF(IFERROR(INDEX(Settings!$AK$14:$AK$36,MATCH((((ROUND($H57,6)*2)*1000000)+ROUND($I57,6)),Settings!$AI$14:$AI$36,0)),"Undefined")="Undefined","Undefined",IFERROR(INDEX(_xlfn.ANCHORARRAY(Settings!$BC$14),MATCH(IFERROR(INDEX(Settings!$AK$14:$AK$36,MATCH((((ROUND($H57,6)*2)*1000000)+ROUND($I57,6)),Settings!$AI$14:$AI$36,0)),"Undefined"),_xlfn.ANCHORARRAY(Settings!$BC$14),0)),"Inactive")))</f>
        <v>1313</v>
      </c>
      <c r="L57" s="320"/>
      <c r="M57" s="168">
        <f t="shared" si="239"/>
        <v>4.1420000000000003</v>
      </c>
      <c r="N57" s="632">
        <f t="shared" si="240"/>
        <v>1.3652594024783435</v>
      </c>
      <c r="O57" s="629">
        <f t="shared" si="241"/>
        <v>-5.3522339038988056</v>
      </c>
      <c r="P57" s="633">
        <f t="shared" si="242"/>
        <v>-1.0110030491851962</v>
      </c>
      <c r="Q57" s="585">
        <f t="shared" si="113"/>
        <v>284.30997194511116</v>
      </c>
      <c r="R57" s="629">
        <f t="shared" si="410"/>
        <v>5.5236166592278444</v>
      </c>
      <c r="S57" s="634">
        <f t="shared" si="411"/>
        <v>-1.0110030491851962</v>
      </c>
      <c r="T57" s="635">
        <f t="shared" si="412"/>
        <v>-5.3522339038988047</v>
      </c>
      <c r="U57" s="629">
        <f t="shared" si="413"/>
        <v>-1.3652594024783455</v>
      </c>
      <c r="V57" s="636">
        <f t="shared" si="414"/>
        <v>-1.0110030491851962</v>
      </c>
      <c r="W57" s="585">
        <f t="shared" si="224"/>
        <v>194.30997194511116</v>
      </c>
      <c r="X57" s="629">
        <f t="shared" si="415"/>
        <v>5.5236166592278444</v>
      </c>
      <c r="Y57" s="630">
        <f t="shared" si="223"/>
        <v>-1.0110030491851962</v>
      </c>
      <c r="Z57" s="632">
        <f t="shared" si="243"/>
        <v>-0.9863592883717559</v>
      </c>
      <c r="AA57" s="629">
        <f t="shared" si="244"/>
        <v>0.10163794036602218</v>
      </c>
      <c r="AB57" s="629">
        <f t="shared" si="245"/>
        <v>-0.12948004989540424</v>
      </c>
      <c r="AC57" s="636">
        <f t="shared" si="416"/>
        <v>1</v>
      </c>
      <c r="AD57" s="637">
        <f t="shared" si="417"/>
        <v>-0.9863592883717559</v>
      </c>
      <c r="AE57" s="629">
        <f t="shared" si="418"/>
        <v>0.10163794036602218</v>
      </c>
      <c r="AF57" s="633">
        <f t="shared" si="419"/>
        <v>-0.12948004989540424</v>
      </c>
      <c r="AG57" s="602">
        <f t="shared" si="420"/>
        <v>38.130846206110881</v>
      </c>
      <c r="AH57" s="603">
        <f t="shared" si="421"/>
        <v>170.52561437799349</v>
      </c>
      <c r="AI57" s="585">
        <f t="shared" si="422"/>
        <v>-82.560452568502157</v>
      </c>
      <c r="AJ57" s="586">
        <f t="shared" si="423"/>
        <v>-95.883195331447638</v>
      </c>
      <c r="AK57" s="635">
        <f t="shared" si="424"/>
        <v>0.93063363880037231</v>
      </c>
      <c r="AL57" s="629">
        <f t="shared" si="425"/>
        <v>-0.34228050924974074</v>
      </c>
      <c r="AM57" s="634">
        <f t="shared" si="426"/>
        <v>-0.12948004989540424</v>
      </c>
      <c r="AN57" s="581">
        <f t="shared" si="427"/>
        <v>-69.279052957304941</v>
      </c>
      <c r="AO57" s="582">
        <f t="shared" si="461"/>
        <v>21.466195952537316</v>
      </c>
      <c r="AP57" s="585">
        <f t="shared" si="428"/>
        <v>-20.19316727655881</v>
      </c>
      <c r="AQ57" s="586">
        <f t="shared" si="246"/>
        <v>0.41271640359925693</v>
      </c>
      <c r="AS57" s="52">
        <f t="shared" si="406"/>
        <v>-165.69002805488884</v>
      </c>
      <c r="AT57" s="72">
        <f t="shared" si="247"/>
        <v>-0.89594052970263449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4.1420000000000003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>
        <f t="shared" si="112"/>
        <v>1313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1.3901597182975112</v>
      </c>
      <c r="C58" s="708">
        <v>-5.6342514444237946</v>
      </c>
      <c r="D58" s="709">
        <v>-1.6229048946811622</v>
      </c>
      <c r="E58" s="710">
        <v>0.97755780935389069</v>
      </c>
      <c r="F58" s="708">
        <v>-0.19973493245282681</v>
      </c>
      <c r="G58" s="711">
        <v>6.6982730082366493E-2</v>
      </c>
      <c r="H58" s="710">
        <v>0.26600000000000001</v>
      </c>
      <c r="I58" s="708">
        <v>0.52</v>
      </c>
      <c r="J58" s="570">
        <v>4.149</v>
      </c>
      <c r="K58" s="865">
        <f>IF($J58="","",IF(IFERROR(INDEX(Settings!$AK$14:$AK$36,MATCH((((ROUND($H58,6)*2)*1000000)+ROUND($I58,6)),Settings!$AI$14:$AI$36,0)),"Undefined")="Undefined","Undefined",IFERROR(INDEX(_xlfn.ANCHORARRAY(Settings!$BC$14),MATCH(IFERROR(INDEX(Settings!$AK$14:$AK$36,MATCH((((ROUND($H58,6)*2)*1000000)+ROUND($I58,6)),Settings!$AI$14:$AI$36,0)),"Undefined"),_xlfn.ANCHORARRAY(Settings!$BC$14),0)),"Inactive")))</f>
        <v>1313</v>
      </c>
      <c r="L58" s="320"/>
      <c r="M58" s="168">
        <f t="shared" si="239"/>
        <v>4.149</v>
      </c>
      <c r="N58" s="632">
        <f t="shared" si="240"/>
        <v>1.3901597182975112</v>
      </c>
      <c r="O58" s="629">
        <f t="shared" si="241"/>
        <v>-5.6342514444237946</v>
      </c>
      <c r="P58" s="633">
        <f t="shared" si="242"/>
        <v>-1.6229048946811622</v>
      </c>
      <c r="Q58" s="585">
        <f t="shared" si="113"/>
        <v>283.85997201008308</v>
      </c>
      <c r="R58" s="629">
        <f t="shared" si="410"/>
        <v>5.8032175025039887</v>
      </c>
      <c r="S58" s="634">
        <f t="shared" si="411"/>
        <v>-1.6229048946811622</v>
      </c>
      <c r="T58" s="635">
        <f t="shared" si="412"/>
        <v>-5.6342514444237946</v>
      </c>
      <c r="U58" s="629">
        <f t="shared" si="413"/>
        <v>-1.3901597182975105</v>
      </c>
      <c r="V58" s="636">
        <f t="shared" si="414"/>
        <v>-1.6229048946811622</v>
      </c>
      <c r="W58" s="585">
        <f t="shared" si="224"/>
        <v>193.85997201008308</v>
      </c>
      <c r="X58" s="629">
        <f t="shared" si="415"/>
        <v>5.8032175025039887</v>
      </c>
      <c r="Y58" s="630">
        <f t="shared" si="223"/>
        <v>-1.6229048946811622</v>
      </c>
      <c r="Z58" s="632">
        <f t="shared" si="243"/>
        <v>-0.97755780935389069</v>
      </c>
      <c r="AA58" s="629">
        <f t="shared" si="244"/>
        <v>0.19973493245282681</v>
      </c>
      <c r="AB58" s="629">
        <f t="shared" si="245"/>
        <v>-6.6982730082366493E-2</v>
      </c>
      <c r="AC58" s="636">
        <f t="shared" si="416"/>
        <v>1</v>
      </c>
      <c r="AD58" s="637">
        <f t="shared" si="417"/>
        <v>-0.97755780935389069</v>
      </c>
      <c r="AE58" s="629">
        <f t="shared" si="418"/>
        <v>0.19973493245282681</v>
      </c>
      <c r="AF58" s="633">
        <f t="shared" si="419"/>
        <v>-6.6982730082366493E-2</v>
      </c>
      <c r="AG58" s="602">
        <f t="shared" si="420"/>
        <v>71.460704470849251</v>
      </c>
      <c r="AH58" s="603">
        <f t="shared" si="421"/>
        <v>167.83853689852864</v>
      </c>
      <c r="AI58" s="585">
        <f t="shared" si="422"/>
        <v>-86.159296601489288</v>
      </c>
      <c r="AJ58" s="586">
        <f t="shared" si="423"/>
        <v>-101.54774945633011</v>
      </c>
      <c r="AK58" s="635">
        <f t="shared" si="424"/>
        <v>0.9012488399186156</v>
      </c>
      <c r="AL58" s="629">
        <f t="shared" si="425"/>
        <v>-0.42809326368919032</v>
      </c>
      <c r="AM58" s="634">
        <f t="shared" si="426"/>
        <v>-6.6982730082366493E-2</v>
      </c>
      <c r="AN58" s="581">
        <f t="shared" si="427"/>
        <v>-81.10717022896003</v>
      </c>
      <c r="AO58" s="582">
        <f t="shared" si="461"/>
        <v>25.677289680680875</v>
      </c>
      <c r="AP58" s="585">
        <f t="shared" si="428"/>
        <v>-25.407721466413197</v>
      </c>
      <c r="AQ58" s="586">
        <f t="shared" si="246"/>
        <v>0.39283223647757454</v>
      </c>
      <c r="AS58" s="52">
        <f t="shared" si="406"/>
        <v>-166.14002798991692</v>
      </c>
      <c r="AT58" s="72">
        <f t="shared" si="247"/>
        <v>-1.5075298752437198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4.149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>
        <f t="shared" si="112"/>
        <v>1313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1.3982761454238941</v>
      </c>
      <c r="C59" s="708">
        <v>-5.7621888422589196</v>
      </c>
      <c r="D59" s="709">
        <v>-2.2738068578014832</v>
      </c>
      <c r="E59" s="710">
        <v>0.9476457704223471</v>
      </c>
      <c r="F59" s="708">
        <v>-0.31913564250796878</v>
      </c>
      <c r="G59" s="711">
        <v>1.0951505908419062E-2</v>
      </c>
      <c r="H59" s="710">
        <v>0.26600000000000001</v>
      </c>
      <c r="I59" s="708">
        <v>0.52</v>
      </c>
      <c r="J59" s="570">
        <v>4.1559999999999997</v>
      </c>
      <c r="K59" s="865">
        <f>IF($J59="","",IF(IFERROR(INDEX(Settings!$AK$14:$AK$36,MATCH((((ROUND($H59,6)*2)*1000000)+ROUND($I59,6)),Settings!$AI$14:$AI$36,0)),"Undefined")="Undefined","Undefined",IFERROR(INDEX(_xlfn.ANCHORARRAY(Settings!$BC$14),MATCH(IFERROR(INDEX(Settings!$AK$14:$AK$36,MATCH((((ROUND($H59,6)*2)*1000000)+ROUND($I59,6)),Settings!$AI$14:$AI$36,0)),"Undefined"),_xlfn.ANCHORARRAY(Settings!$BC$14),0)),"Inactive")))</f>
        <v>1313</v>
      </c>
      <c r="L59" s="320"/>
      <c r="M59" s="168">
        <f t="shared" si="239"/>
        <v>4.1559999999999997</v>
      </c>
      <c r="N59" s="632">
        <f t="shared" si="240"/>
        <v>1.3982761454238941</v>
      </c>
      <c r="O59" s="629">
        <f t="shared" si="241"/>
        <v>-5.7621888422589196</v>
      </c>
      <c r="P59" s="633">
        <f t="shared" si="242"/>
        <v>-2.2738068578014832</v>
      </c>
      <c r="Q59" s="585">
        <f t="shared" si="113"/>
        <v>283.63997204184716</v>
      </c>
      <c r="R59" s="629">
        <f t="shared" si="79"/>
        <v>5.9294178831243363</v>
      </c>
      <c r="S59" s="634">
        <f t="shared" si="80"/>
        <v>-2.2738068578014832</v>
      </c>
      <c r="T59" s="635">
        <f t="shared" si="81"/>
        <v>-5.7621888422589196</v>
      </c>
      <c r="U59" s="629">
        <f t="shared" si="82"/>
        <v>-1.3982761454238921</v>
      </c>
      <c r="V59" s="636">
        <f t="shared" si="114"/>
        <v>-2.2738068578014832</v>
      </c>
      <c r="W59" s="585">
        <f t="shared" si="224"/>
        <v>193.63997204184716</v>
      </c>
      <c r="X59" s="629">
        <f t="shared" si="83"/>
        <v>5.9294178831243363</v>
      </c>
      <c r="Y59" s="630">
        <f t="shared" si="223"/>
        <v>-2.2738068578014832</v>
      </c>
      <c r="Z59" s="632">
        <f t="shared" si="243"/>
        <v>-0.9476457704223471</v>
      </c>
      <c r="AA59" s="629">
        <f t="shared" si="244"/>
        <v>0.31913564250796878</v>
      </c>
      <c r="AB59" s="629">
        <f t="shared" si="245"/>
        <v>-1.0951505908419062E-2</v>
      </c>
      <c r="AC59" s="636">
        <f t="shared" si="84"/>
        <v>1</v>
      </c>
      <c r="AD59" s="637">
        <f t="shared" si="115"/>
        <v>-0.9476457704223471</v>
      </c>
      <c r="AE59" s="629">
        <f t="shared" si="85"/>
        <v>0.31913564250796878</v>
      </c>
      <c r="AF59" s="633">
        <f t="shared" si="86"/>
        <v>-1.0951505908419062E-2</v>
      </c>
      <c r="AG59" s="602">
        <f t="shared" si="87"/>
        <v>88.034600797469309</v>
      </c>
      <c r="AH59" s="603">
        <f t="shared" si="88"/>
        <v>161.37798239079117</v>
      </c>
      <c r="AI59" s="585">
        <f t="shared" si="89"/>
        <v>-89.372512388703925</v>
      </c>
      <c r="AJ59" s="586">
        <f t="shared" si="90"/>
        <v>-108.61181739514805</v>
      </c>
      <c r="AK59" s="635">
        <f t="shared" si="211"/>
        <v>0.8456604387656953</v>
      </c>
      <c r="AL59" s="629">
        <f t="shared" si="91"/>
        <v>-0.53360892686025185</v>
      </c>
      <c r="AM59" s="634">
        <f t="shared" si="92"/>
        <v>-1.0951505908419062E-2</v>
      </c>
      <c r="AN59" s="581">
        <f t="shared" si="93"/>
        <v>-88.824256944784551</v>
      </c>
      <c r="AO59" s="582">
        <f t="shared" si="461"/>
        <v>32.25723438288977</v>
      </c>
      <c r="AP59" s="585">
        <f t="shared" si="95"/>
        <v>-32.251789436995203</v>
      </c>
      <c r="AQ59" s="586">
        <f t="shared" si="246"/>
        <v>0.38447153828106229</v>
      </c>
      <c r="AS59" s="52">
        <f t="shared" si="406"/>
        <v>-166.36002795815284</v>
      </c>
      <c r="AT59" s="72">
        <f t="shared" si="247"/>
        <v>-2.1582790606083213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4.1559999999999997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>
        <f t="shared" si="112"/>
        <v>1313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1.3982761454238941</v>
      </c>
      <c r="C60" s="708">
        <v>-5.7621888422589196</v>
      </c>
      <c r="D60" s="709">
        <v>-2.8996087452199757</v>
      </c>
      <c r="E60" s="710">
        <v>0.94764577042234721</v>
      </c>
      <c r="F60" s="708">
        <v>-0.31913564250796878</v>
      </c>
      <c r="G60" s="711">
        <v>1.0951505908419035E-2</v>
      </c>
      <c r="H60" s="710">
        <v>0.26600000000000001</v>
      </c>
      <c r="I60" s="708">
        <v>0.52</v>
      </c>
      <c r="J60" s="570">
        <v>4.1630000000000003</v>
      </c>
      <c r="K60" s="865">
        <f>IF($J60="","",IF(IFERROR(INDEX(Settings!$AK$14:$AK$36,MATCH((((ROUND($H60,6)*2)*1000000)+ROUND($I60,6)),Settings!$AI$14:$AI$36,0)),"Undefined")="Undefined","Undefined",IFERROR(INDEX(_xlfn.ANCHORARRAY(Settings!$BC$14),MATCH(IFERROR(INDEX(Settings!$AK$14:$AK$36,MATCH((((ROUND($H60,6)*2)*1000000)+ROUND($I60,6)),Settings!$AI$14:$AI$36,0)),"Undefined"),_xlfn.ANCHORARRAY(Settings!$BC$14),0)),"Inactive")))</f>
        <v>1313</v>
      </c>
      <c r="L60" s="320"/>
      <c r="M60" s="168">
        <f t="shared" si="239"/>
        <v>4.1630000000000003</v>
      </c>
      <c r="N60" s="632">
        <f t="shared" si="240"/>
        <v>1.3982761454238941</v>
      </c>
      <c r="O60" s="629">
        <f t="shared" si="241"/>
        <v>-5.7621888422589196</v>
      </c>
      <c r="P60" s="633">
        <f t="shared" si="242"/>
        <v>-2.8996087452199757</v>
      </c>
      <c r="Q60" s="585">
        <f t="shared" si="113"/>
        <v>283.63997204184716</v>
      </c>
      <c r="R60" s="629">
        <f t="shared" si="79"/>
        <v>5.9294178831243363</v>
      </c>
      <c r="S60" s="634">
        <f t="shared" si="80"/>
        <v>-2.8996087452199757</v>
      </c>
      <c r="T60" s="635">
        <f t="shared" si="81"/>
        <v>-5.7621888422589196</v>
      </c>
      <c r="U60" s="629">
        <f t="shared" si="82"/>
        <v>-1.3982761454238921</v>
      </c>
      <c r="V60" s="636">
        <f t="shared" si="114"/>
        <v>-2.8996087452199757</v>
      </c>
      <c r="W60" s="585">
        <f t="shared" si="224"/>
        <v>193.63997204184716</v>
      </c>
      <c r="X60" s="629">
        <f t="shared" si="83"/>
        <v>5.9294178831243363</v>
      </c>
      <c r="Y60" s="630">
        <f t="shared" si="223"/>
        <v>-2.8996087452199757</v>
      </c>
      <c r="Z60" s="632">
        <f t="shared" si="243"/>
        <v>-0.94764577042234721</v>
      </c>
      <c r="AA60" s="629">
        <f t="shared" si="244"/>
        <v>0.31913564250796878</v>
      </c>
      <c r="AB60" s="629">
        <f t="shared" si="245"/>
        <v>-1.0951505908419035E-2</v>
      </c>
      <c r="AC60" s="636">
        <f t="shared" si="84"/>
        <v>1</v>
      </c>
      <c r="AD60" s="637">
        <f t="shared" si="115"/>
        <v>-0.94764577042234721</v>
      </c>
      <c r="AE60" s="629">
        <f t="shared" si="85"/>
        <v>0.31913564250796878</v>
      </c>
      <c r="AF60" s="633">
        <f t="shared" si="86"/>
        <v>-1.0951505908419035E-2</v>
      </c>
      <c r="AG60" s="602">
        <f t="shared" si="87"/>
        <v>88.034600797469324</v>
      </c>
      <c r="AH60" s="603">
        <f t="shared" si="88"/>
        <v>161.37798239079117</v>
      </c>
      <c r="AI60" s="585">
        <f t="shared" si="89"/>
        <v>-89.372512388703925</v>
      </c>
      <c r="AJ60" s="586">
        <f t="shared" si="90"/>
        <v>-108.61181739514805</v>
      </c>
      <c r="AK60" s="635">
        <f t="shared" si="211"/>
        <v>0.84566043876569541</v>
      </c>
      <c r="AL60" s="629">
        <f t="shared" si="91"/>
        <v>-0.53360892686025185</v>
      </c>
      <c r="AM60" s="634">
        <f t="shared" si="92"/>
        <v>-1.0951505908419035E-2</v>
      </c>
      <c r="AN60" s="581">
        <f t="shared" si="93"/>
        <v>-88.824256944784551</v>
      </c>
      <c r="AO60" s="582">
        <f t="shared" si="461"/>
        <v>32.257234382889763</v>
      </c>
      <c r="AP60" s="585">
        <f t="shared" si="95"/>
        <v>-32.251789436995196</v>
      </c>
      <c r="AQ60" s="586">
        <f t="shared" si="246"/>
        <v>0.38447153828106229</v>
      </c>
      <c r="AS60" s="52">
        <f t="shared" si="406"/>
        <v>-166.36002795815284</v>
      </c>
      <c r="AT60" s="72">
        <f t="shared" si="247"/>
        <v>-2.7840809480268138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4.1630000000000003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>
        <f t="shared" si="112"/>
        <v>1313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0.28889375494411362</v>
      </c>
      <c r="C61" s="708">
        <v>-5.0564377204396473</v>
      </c>
      <c r="D61" s="709">
        <v>-0.5054030603514883</v>
      </c>
      <c r="E61" s="710">
        <v>0.93404094684531436</v>
      </c>
      <c r="F61" s="708">
        <v>-0.23634153313078091</v>
      </c>
      <c r="G61" s="711">
        <v>0.26778758248600859</v>
      </c>
      <c r="H61" s="710">
        <v>0.26600000000000001</v>
      </c>
      <c r="I61" s="708">
        <v>0.52</v>
      </c>
      <c r="J61" s="570">
        <v>4.2350000000000003</v>
      </c>
      <c r="K61" s="865">
        <f>IF($J61="","",IF(IFERROR(INDEX(Settings!$AK$14:$AK$36,MATCH((((ROUND($H61,6)*2)*1000000)+ROUND($I61,6)),Settings!$AI$14:$AI$36,0)),"Undefined")="Undefined","Undefined",IFERROR(INDEX(_xlfn.ANCHORARRAY(Settings!$BC$14),MATCH(IFERROR(INDEX(Settings!$AK$14:$AK$36,MATCH((((ROUND($H61,6)*2)*1000000)+ROUND($I61,6)),Settings!$AI$14:$AI$36,0)),"Undefined"),_xlfn.ANCHORARRAY(Settings!$BC$14),0)),"Inactive")))</f>
        <v>1313</v>
      </c>
      <c r="L61" s="320"/>
      <c r="M61" s="168">
        <f t="shared" si="239"/>
        <v>4.2350000000000003</v>
      </c>
      <c r="N61" s="632">
        <f t="shared" si="240"/>
        <v>0.28889375494411362</v>
      </c>
      <c r="O61" s="629">
        <f t="shared" si="241"/>
        <v>-5.0564377204396473</v>
      </c>
      <c r="P61" s="633">
        <f t="shared" si="242"/>
        <v>-0.5054030603514883</v>
      </c>
      <c r="Q61" s="585">
        <f t="shared" si="113"/>
        <v>273.26997353908973</v>
      </c>
      <c r="R61" s="629">
        <f t="shared" si="79"/>
        <v>5.0646838027986121</v>
      </c>
      <c r="S61" s="634">
        <f t="shared" si="80"/>
        <v>-0.5054030603514883</v>
      </c>
      <c r="T61" s="635">
        <f t="shared" si="81"/>
        <v>-5.0564377204396473</v>
      </c>
      <c r="U61" s="629">
        <f t="shared" si="82"/>
        <v>-0.28889375494411629</v>
      </c>
      <c r="V61" s="636">
        <f t="shared" si="114"/>
        <v>-0.5054030603514883</v>
      </c>
      <c r="W61" s="585">
        <f t="shared" si="224"/>
        <v>183.26997353908973</v>
      </c>
      <c r="X61" s="629">
        <f t="shared" si="83"/>
        <v>5.0646838027986121</v>
      </c>
      <c r="Y61" s="630">
        <f t="shared" si="223"/>
        <v>-0.5054030603514883</v>
      </c>
      <c r="Z61" s="632">
        <f t="shared" si="243"/>
        <v>-0.93404094684531436</v>
      </c>
      <c r="AA61" s="629">
        <f t="shared" si="244"/>
        <v>0.23634153313078091</v>
      </c>
      <c r="AB61" s="629">
        <f t="shared" si="245"/>
        <v>-0.26778758248600859</v>
      </c>
      <c r="AC61" s="636">
        <f t="shared" si="84"/>
        <v>1</v>
      </c>
      <c r="AD61" s="637">
        <f t="shared" si="115"/>
        <v>-0.93404094684531436</v>
      </c>
      <c r="AE61" s="629">
        <f t="shared" si="85"/>
        <v>0.23634153313078091</v>
      </c>
      <c r="AF61" s="633">
        <f t="shared" si="86"/>
        <v>-0.26778758248600859</v>
      </c>
      <c r="AG61" s="602">
        <f t="shared" si="87"/>
        <v>41.430687051867302</v>
      </c>
      <c r="AH61" s="603">
        <f t="shared" si="88"/>
        <v>159.07375155536735</v>
      </c>
      <c r="AI61" s="585">
        <f t="shared" si="89"/>
        <v>-74.467342565770323</v>
      </c>
      <c r="AJ61" s="586">
        <f t="shared" si="90"/>
        <v>-104.19958713426242</v>
      </c>
      <c r="AK61" s="635">
        <f t="shared" si="211"/>
        <v>0.91903906825069259</v>
      </c>
      <c r="AL61" s="629">
        <f t="shared" si="91"/>
        <v>-0.28923520134174235</v>
      </c>
      <c r="AM61" s="634">
        <f t="shared" si="92"/>
        <v>-0.26778758248600859</v>
      </c>
      <c r="AN61" s="581">
        <f t="shared" si="93"/>
        <v>-47.205028826672418</v>
      </c>
      <c r="AO61" s="582">
        <f t="shared" si="461"/>
        <v>23.213997877699811</v>
      </c>
      <c r="AP61" s="585">
        <f t="shared" si="95"/>
        <v>-17.469560673352149</v>
      </c>
      <c r="AQ61" s="586">
        <f t="shared" si="246"/>
        <v>0.45011294327340756</v>
      </c>
      <c r="AS61" s="52">
        <f t="shared" si="406"/>
        <v>-176.73002646091027</v>
      </c>
      <c r="AT61" s="72">
        <f t="shared" si="247"/>
        <v>-0.3826738753091895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>Taper</v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4.2350000000000003</v>
      </c>
      <c r="IH61" s="731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4.1349999999999998</v>
      </c>
      <c r="II61" s="734" cm="1">
        <f t="array" ref="II61">IFERROR(IF($IH61&lt;1,$IH61+LARGE((IF($M$9:$M$150="",0,$M$9:$M$150)-MOD(IF($M$9:$M$150="",0,$M$9:$M$150),1)),1),$IH61),"")</f>
        <v>4.1349999999999998</v>
      </c>
      <c r="IJ61" s="533">
        <f t="shared" si="112"/>
        <v>1313</v>
      </c>
      <c r="IK61" s="533">
        <f t="shared" si="382"/>
        <v>1313</v>
      </c>
      <c r="IL61" s="727">
        <f t="shared" si="225"/>
        <v>11.699998310729256</v>
      </c>
      <c r="IM61" s="759">
        <v>8.8952267052526E-4</v>
      </c>
      <c r="IN61" s="5">
        <f t="shared" si="226"/>
        <v>0</v>
      </c>
      <c r="IO61" s="771">
        <v>0</v>
      </c>
      <c r="IP61" s="9">
        <f t="shared" si="227"/>
        <v>-5.0611152643236368</v>
      </c>
      <c r="IQ61" s="5">
        <f t="shared" si="228"/>
        <v>-0.50680152851341054</v>
      </c>
      <c r="IR61" s="5">
        <f t="shared" si="383"/>
        <v>0.26600000000000001</v>
      </c>
      <c r="IS61" s="5">
        <f t="shared" si="229"/>
        <v>0.25214250394366555</v>
      </c>
      <c r="IT61" s="727">
        <f t="shared" si="230"/>
        <v>52.130336782890524</v>
      </c>
      <c r="IU61" s="9">
        <f t="shared" si="231"/>
        <v>-5.0646838027986121</v>
      </c>
      <c r="IV61" s="5">
        <f t="shared" si="232"/>
        <v>-0.5054030603514883</v>
      </c>
      <c r="IW61" s="5">
        <f t="shared" si="384"/>
        <v>0.26600000000000001</v>
      </c>
      <c r="IX61" s="5">
        <f t="shared" si="233"/>
        <v>0.24446439215468424</v>
      </c>
      <c r="IY61" s="762">
        <f t="shared" si="234"/>
        <v>47.205028826672418</v>
      </c>
    </row>
    <row r="62" spans="1:259" ht="15" customHeight="1" x14ac:dyDescent="0.25">
      <c r="A62" s="79"/>
      <c r="B62" s="707">
        <v>0.34524613581859542</v>
      </c>
      <c r="C62" s="708">
        <v>-5.5183083532929142</v>
      </c>
      <c r="D62" s="709">
        <v>-1.0095403270825836</v>
      </c>
      <c r="E62" s="710">
        <v>0.92201497512595076</v>
      </c>
      <c r="F62" s="708">
        <v>-0.33714497675244626</v>
      </c>
      <c r="G62" s="711">
        <v>0.19031986310967361</v>
      </c>
      <c r="H62" s="710">
        <v>0.26600000000000001</v>
      </c>
      <c r="I62" s="708">
        <v>0.52</v>
      </c>
      <c r="J62" s="570">
        <v>4.242</v>
      </c>
      <c r="K62" s="865">
        <f>IF($J62="","",IF(IFERROR(INDEX(Settings!$AK$14:$AK$36,MATCH((((ROUND($H62,6)*2)*1000000)+ROUND($I62,6)),Settings!$AI$14:$AI$36,0)),"Undefined")="Undefined","Undefined",IFERROR(INDEX(_xlfn.ANCHORARRAY(Settings!$BC$14),MATCH(IFERROR(INDEX(Settings!$AK$14:$AK$36,MATCH((((ROUND($H62,6)*2)*1000000)+ROUND($I62,6)),Settings!$AI$14:$AI$36,0)),"Undefined"),_xlfn.ANCHORARRAY(Settings!$BC$14),0)),"Inactive")))</f>
        <v>1313</v>
      </c>
      <c r="L62" s="320"/>
      <c r="M62" s="168">
        <f t="shared" si="239"/>
        <v>4.242</v>
      </c>
      <c r="N62" s="632">
        <f t="shared" si="240"/>
        <v>0.34524613581859542</v>
      </c>
      <c r="O62" s="629">
        <f t="shared" si="241"/>
        <v>-5.5183083532929142</v>
      </c>
      <c r="P62" s="633">
        <f t="shared" si="242"/>
        <v>-1.0095403270825836</v>
      </c>
      <c r="Q62" s="585">
        <f t="shared" si="113"/>
        <v>273.57997349433128</v>
      </c>
      <c r="R62" s="629">
        <f t="shared" si="79"/>
        <v>5.5290977542742024</v>
      </c>
      <c r="S62" s="634">
        <f t="shared" si="80"/>
        <v>-1.0095403270825836</v>
      </c>
      <c r="T62" s="635">
        <f t="shared" si="81"/>
        <v>-5.5183083532929142</v>
      </c>
      <c r="U62" s="629">
        <f t="shared" si="82"/>
        <v>-0.34524613581859992</v>
      </c>
      <c r="V62" s="636">
        <f t="shared" si="114"/>
        <v>-1.0095403270825836</v>
      </c>
      <c r="W62" s="585">
        <f t="shared" si="224"/>
        <v>183.57997349433128</v>
      </c>
      <c r="X62" s="629">
        <f t="shared" si="83"/>
        <v>5.5290977542742024</v>
      </c>
      <c r="Y62" s="630">
        <f t="shared" si="223"/>
        <v>-1.0095403270825836</v>
      </c>
      <c r="Z62" s="632">
        <f t="shared" si="243"/>
        <v>-0.92201497512595076</v>
      </c>
      <c r="AA62" s="629">
        <f t="shared" si="244"/>
        <v>0.33714497675244626</v>
      </c>
      <c r="AB62" s="629">
        <f t="shared" si="245"/>
        <v>-0.19031986310967361</v>
      </c>
      <c r="AC62" s="636">
        <f t="shared" si="84"/>
        <v>1</v>
      </c>
      <c r="AD62" s="637">
        <f t="shared" si="115"/>
        <v>-0.92201497512595076</v>
      </c>
      <c r="AE62" s="629">
        <f t="shared" si="85"/>
        <v>0.33714497675244626</v>
      </c>
      <c r="AF62" s="633">
        <f t="shared" si="86"/>
        <v>-0.19031986310967361</v>
      </c>
      <c r="AG62" s="602">
        <f t="shared" si="87"/>
        <v>60.555075698920213</v>
      </c>
      <c r="AH62" s="603">
        <f t="shared" si="88"/>
        <v>157.22245820814734</v>
      </c>
      <c r="AI62" s="585">
        <f t="shared" si="89"/>
        <v>-79.028548372596688</v>
      </c>
      <c r="AJ62" s="586">
        <f t="shared" si="90"/>
        <v>-110.08549837431642</v>
      </c>
      <c r="AK62" s="635">
        <f t="shared" si="211"/>
        <v>0.89916387078181981</v>
      </c>
      <c r="AL62" s="629">
        <f t="shared" si="91"/>
        <v>-0.39405923816930122</v>
      </c>
      <c r="AM62" s="634">
        <f t="shared" si="92"/>
        <v>-0.19031986310967361</v>
      </c>
      <c r="AN62" s="581">
        <f t="shared" si="93"/>
        <v>-64.220724646977274</v>
      </c>
      <c r="AO62" s="582">
        <f t="shared" si="461"/>
        <v>25.951621492091856</v>
      </c>
      <c r="AP62" s="585">
        <f t="shared" si="95"/>
        <v>-23.665471868647703</v>
      </c>
      <c r="AQ62" s="586">
        <f t="shared" si="246"/>
        <v>0.41230728446216158</v>
      </c>
      <c r="AS62" s="52">
        <f t="shared" si="406"/>
        <v>-176.42002650566872</v>
      </c>
      <c r="AT62" s="72">
        <f t="shared" si="247"/>
        <v>-0.88702641978698027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>Taper</v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4.242</v>
      </c>
      <c r="IH62" s="731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4.1420000000000003</v>
      </c>
      <c r="II62" s="734" cm="1">
        <f t="array" ref="II62">IFERROR(IF($IH62&lt;1,$IH62+LARGE((IF($M$9:$M$150="",0,$M$9:$M$150)-MOD(IF($M$9:$M$150="",0,$M$9:$M$150),1)),1),$IH62),"")</f>
        <v>4.1420000000000003</v>
      </c>
      <c r="IJ62" s="533">
        <f t="shared" si="112"/>
        <v>1313</v>
      </c>
      <c r="IK62" s="533">
        <f t="shared" si="382"/>
        <v>1313</v>
      </c>
      <c r="IL62" s="727">
        <f t="shared" si="225"/>
        <v>10.729998450779874</v>
      </c>
      <c r="IM62" s="759">
        <v>2.7723315023956698E-4</v>
      </c>
      <c r="IN62" s="5">
        <f t="shared" si="226"/>
        <v>0</v>
      </c>
      <c r="IO62" s="771">
        <v>0</v>
      </c>
      <c r="IP62" s="9">
        <f t="shared" si="227"/>
        <v>-5.5236166592278444</v>
      </c>
      <c r="IQ62" s="5">
        <f t="shared" si="228"/>
        <v>-1.0110030491851962</v>
      </c>
      <c r="IR62" s="5">
        <f t="shared" si="383"/>
        <v>0.26600000000000001</v>
      </c>
      <c r="IS62" s="5">
        <f t="shared" si="229"/>
        <v>0.24754854792089906</v>
      </c>
      <c r="IT62" s="727">
        <f t="shared" si="230"/>
        <v>69.279052957304941</v>
      </c>
      <c r="IU62" s="9">
        <f t="shared" si="231"/>
        <v>-5.5290977542742024</v>
      </c>
      <c r="IV62" s="5">
        <f t="shared" si="232"/>
        <v>-1.0095403270825836</v>
      </c>
      <c r="IW62" s="5">
        <f t="shared" si="384"/>
        <v>0.26600000000000001</v>
      </c>
      <c r="IX62" s="5">
        <f t="shared" si="233"/>
        <v>0.23917758962796409</v>
      </c>
      <c r="IY62" s="762">
        <f t="shared" si="234"/>
        <v>64.220724646977274</v>
      </c>
    </row>
    <row r="63" spans="1:259" ht="15" customHeight="1" x14ac:dyDescent="0.25">
      <c r="A63" s="79"/>
      <c r="B63" s="707">
        <v>0.36791982943880719</v>
      </c>
      <c r="C63" s="708">
        <v>-5.7995028318937392</v>
      </c>
      <c r="D63" s="709">
        <v>-1.6216859626075635</v>
      </c>
      <c r="E63" s="710">
        <v>0.89374983163647903</v>
      </c>
      <c r="F63" s="708">
        <v>-0.43402868467818895</v>
      </c>
      <c r="G63" s="711">
        <v>0.11327108777744967</v>
      </c>
      <c r="H63" s="710">
        <v>0.26600000000000001</v>
      </c>
      <c r="I63" s="708">
        <v>0.52</v>
      </c>
      <c r="J63" s="570">
        <v>4.2489999999999997</v>
      </c>
      <c r="K63" s="865">
        <f>IF($J63="","",IF(IFERROR(INDEX(Settings!$AK$14:$AK$36,MATCH((((ROUND($H63,6)*2)*1000000)+ROUND($I63,6)),Settings!$AI$14:$AI$36,0)),"Undefined")="Undefined","Undefined",IFERROR(INDEX(_xlfn.ANCHORARRAY(Settings!$BC$14),MATCH(IFERROR(INDEX(Settings!$AK$14:$AK$36,MATCH((((ROUND($H63,6)*2)*1000000)+ROUND($I63,6)),Settings!$AI$14:$AI$36,0)),"Undefined"),_xlfn.ANCHORARRAY(Settings!$BC$14),0)),"Inactive")))</f>
        <v>1313</v>
      </c>
      <c r="L63" s="320"/>
      <c r="M63" s="168">
        <f t="shared" si="239"/>
        <v>4.2489999999999997</v>
      </c>
      <c r="N63" s="632">
        <f t="shared" si="240"/>
        <v>0.36791982943880719</v>
      </c>
      <c r="O63" s="629">
        <f t="shared" si="241"/>
        <v>-5.7995028318937392</v>
      </c>
      <c r="P63" s="633">
        <f t="shared" si="242"/>
        <v>-1.6216859626075635</v>
      </c>
      <c r="Q63" s="585">
        <f t="shared" si="113"/>
        <v>273.62997348711212</v>
      </c>
      <c r="R63" s="629">
        <f t="shared" si="79"/>
        <v>5.8111615102350909</v>
      </c>
      <c r="S63" s="634">
        <f t="shared" si="80"/>
        <v>-1.6216859626075635</v>
      </c>
      <c r="T63" s="635">
        <f t="shared" si="81"/>
        <v>-5.7995028318937392</v>
      </c>
      <c r="U63" s="629">
        <f t="shared" si="82"/>
        <v>-0.36791982943880569</v>
      </c>
      <c r="V63" s="636">
        <f t="shared" si="114"/>
        <v>-1.6216859626075635</v>
      </c>
      <c r="W63" s="585">
        <f t="shared" si="224"/>
        <v>183.62997348711212</v>
      </c>
      <c r="X63" s="629">
        <f t="shared" si="83"/>
        <v>5.8111615102350909</v>
      </c>
      <c r="Y63" s="630">
        <f t="shared" si="223"/>
        <v>-1.6216859626075635</v>
      </c>
      <c r="Z63" s="632">
        <f t="shared" si="243"/>
        <v>-0.89374983163647903</v>
      </c>
      <c r="AA63" s="629">
        <f t="shared" si="244"/>
        <v>0.43402868467818895</v>
      </c>
      <c r="AB63" s="629">
        <f t="shared" si="245"/>
        <v>-0.11327108777744967</v>
      </c>
      <c r="AC63" s="636">
        <f t="shared" si="84"/>
        <v>1</v>
      </c>
      <c r="AD63" s="637">
        <f t="shared" si="115"/>
        <v>-0.89374983163647903</v>
      </c>
      <c r="AE63" s="629">
        <f t="shared" si="85"/>
        <v>0.43402868467818895</v>
      </c>
      <c r="AF63" s="633">
        <f t="shared" si="86"/>
        <v>-0.11327108777744967</v>
      </c>
      <c r="AG63" s="602">
        <f t="shared" si="87"/>
        <v>75.373414262333469</v>
      </c>
      <c r="AH63" s="603">
        <f t="shared" si="88"/>
        <v>153.34829841011978</v>
      </c>
      <c r="AI63" s="585">
        <f t="shared" si="89"/>
        <v>-83.496085930372757</v>
      </c>
      <c r="AJ63" s="586">
        <f t="shared" si="90"/>
        <v>-115.90244246956654</v>
      </c>
      <c r="AK63" s="635">
        <f t="shared" si="211"/>
        <v>0.86447724970196771</v>
      </c>
      <c r="AL63" s="629">
        <f t="shared" si="91"/>
        <v>-0.48974355066854647</v>
      </c>
      <c r="AM63" s="634">
        <f t="shared" si="92"/>
        <v>-0.11327108777744967</v>
      </c>
      <c r="AN63" s="581">
        <f t="shared" si="93"/>
        <v>-76.977245790770027</v>
      </c>
      <c r="AO63" s="582">
        <f t="shared" si="461"/>
        <v>30.176932494967893</v>
      </c>
      <c r="AP63" s="585">
        <f t="shared" si="95"/>
        <v>-29.532415956678662</v>
      </c>
      <c r="AQ63" s="586">
        <f t="shared" si="246"/>
        <v>0.39229524146845346</v>
      </c>
      <c r="AS63" s="52">
        <f t="shared" si="406"/>
        <v>-176.37002651288788</v>
      </c>
      <c r="AT63" s="72">
        <f t="shared" si="247"/>
        <v>-1.4992067775291691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>Taper</v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4.2489999999999997</v>
      </c>
      <c r="IH63" s="731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4.149</v>
      </c>
      <c r="II63" s="734" cm="1">
        <f t="array" ref="II63">IFERROR(IF($IH63&lt;1,$IH63+LARGE((IF($M$9:$M$150="",0,$M$9:$M$150)-MOD(IF($M$9:$M$150="",0,$M$9:$M$150),1)),1),$IH63),"")</f>
        <v>4.149</v>
      </c>
      <c r="IJ63" s="533">
        <f t="shared" si="112"/>
        <v>1313</v>
      </c>
      <c r="IK63" s="533">
        <f t="shared" si="382"/>
        <v>1313</v>
      </c>
      <c r="IL63" s="727">
        <f t="shared" si="225"/>
        <v>10.229998522970959</v>
      </c>
      <c r="IM63" s="759">
        <v>3.4257742476850297E-4</v>
      </c>
      <c r="IN63" s="5">
        <f t="shared" si="226"/>
        <v>0</v>
      </c>
      <c r="IO63" s="771">
        <v>0</v>
      </c>
      <c r="IP63" s="9">
        <f t="shared" si="227"/>
        <v>-5.8032175025039887</v>
      </c>
      <c r="IQ63" s="5">
        <f t="shared" si="228"/>
        <v>-1.6229048946811622</v>
      </c>
      <c r="IR63" s="5">
        <f t="shared" si="383"/>
        <v>0.26600000000000001</v>
      </c>
      <c r="IS63" s="5">
        <f t="shared" si="229"/>
        <v>0.23973219141835175</v>
      </c>
      <c r="IT63" s="727">
        <f t="shared" si="230"/>
        <v>81.10717022896003</v>
      </c>
      <c r="IU63" s="9">
        <f t="shared" si="231"/>
        <v>-5.8111615102350909</v>
      </c>
      <c r="IV63" s="5">
        <f t="shared" si="232"/>
        <v>-1.6216859626075635</v>
      </c>
      <c r="IW63" s="5">
        <f t="shared" si="384"/>
        <v>0.26600000000000001</v>
      </c>
      <c r="IX63" s="5">
        <f t="shared" si="233"/>
        <v>0.22995094842072342</v>
      </c>
      <c r="IY63" s="762">
        <f t="shared" si="234"/>
        <v>76.977245790770027</v>
      </c>
    </row>
    <row r="64" spans="1:259" ht="15" customHeight="1" x14ac:dyDescent="0.25">
      <c r="A64" s="79"/>
      <c r="B64" s="707">
        <v>0.10820185814244503</v>
      </c>
      <c r="C64" s="708">
        <v>-6.1990557634122414</v>
      </c>
      <c r="D64" s="709">
        <v>-2.2738</v>
      </c>
      <c r="E64" s="710">
        <v>1.745191260362023E-2</v>
      </c>
      <c r="F64" s="708">
        <v>-0.99984770377616794</v>
      </c>
      <c r="G64" s="711">
        <v>0</v>
      </c>
      <c r="H64" s="710">
        <v>0.25700000000000001</v>
      </c>
      <c r="I64" s="708">
        <v>0.71</v>
      </c>
      <c r="J64" s="570">
        <v>4.3010000000000002</v>
      </c>
      <c r="K64" s="865" t="str">
        <f>IF($J64="","",IF(IFERROR(INDEX(Settings!$AK$14:$AK$36,MATCH((((ROUND($H64,6)*2)*1000000)+ROUND($I64,6)),Settings!$AI$14:$AI$36,0)),"Undefined")="Undefined","Undefined",IFERROR(INDEX(_xlfn.ANCHORARRAY(Settings!$BC$14),MATCH(IFERROR(INDEX(Settings!$AK$14:$AK$36,MATCH((((ROUND($H64,6)*2)*1000000)+ROUND($I64,6)),Settings!$AI$14:$AI$36,0)),"Undefined"),_xlfn.ANCHORARRAY(Settings!$BC$14),0)),"Inactive")))</f>
        <v>Inactive</v>
      </c>
      <c r="L64" s="320"/>
      <c r="M64" s="168">
        <f t="shared" si="239"/>
        <v>4.3010000000000002</v>
      </c>
      <c r="N64" s="632">
        <f t="shared" si="240"/>
        <v>0.10820185814244503</v>
      </c>
      <c r="O64" s="629">
        <f t="shared" si="241"/>
        <v>-6.1990557634122414</v>
      </c>
      <c r="P64" s="633">
        <f t="shared" si="242"/>
        <v>-2.2738</v>
      </c>
      <c r="Q64" s="585">
        <f t="shared" si="113"/>
        <v>270.99997170110538</v>
      </c>
      <c r="R64" s="629">
        <f t="shared" si="79"/>
        <v>6.2</v>
      </c>
      <c r="S64" s="634">
        <f t="shared" si="80"/>
        <v>-2.2738</v>
      </c>
      <c r="T64" s="635">
        <f t="shared" si="81"/>
        <v>-6.1990557634122414</v>
      </c>
      <c r="U64" s="629">
        <f t="shared" si="82"/>
        <v>-0.10820185814244668</v>
      </c>
      <c r="V64" s="636">
        <f t="shared" si="114"/>
        <v>-2.2738</v>
      </c>
      <c r="W64" s="585">
        <f t="shared" si="224"/>
        <v>180.99997170110538</v>
      </c>
      <c r="X64" s="629">
        <f t="shared" si="83"/>
        <v>6.2</v>
      </c>
      <c r="Y64" s="630">
        <f t="shared" si="223"/>
        <v>-2.2738</v>
      </c>
      <c r="Z64" s="632">
        <f t="shared" si="243"/>
        <v>-1.745191260362023E-2</v>
      </c>
      <c r="AA64" s="629">
        <f t="shared" si="244"/>
        <v>0.99984770377616794</v>
      </c>
      <c r="AB64" s="629">
        <f t="shared" si="245"/>
        <v>0</v>
      </c>
      <c r="AC64" s="636">
        <f t="shared" si="84"/>
        <v>1</v>
      </c>
      <c r="AD64" s="637">
        <f t="shared" si="115"/>
        <v>-1.745191260362023E-2</v>
      </c>
      <c r="AE64" s="629">
        <f t="shared" si="85"/>
        <v>0.99984770377616794</v>
      </c>
      <c r="AF64" s="633">
        <f t="shared" si="86"/>
        <v>0</v>
      </c>
      <c r="AG64" s="602">
        <f t="shared" si="87"/>
        <v>90</v>
      </c>
      <c r="AH64" s="603">
        <f t="shared" si="88"/>
        <v>90.99997170110538</v>
      </c>
      <c r="AI64" s="585">
        <f t="shared" si="89"/>
        <v>-90</v>
      </c>
      <c r="AJ64" s="586">
        <f t="shared" si="90"/>
        <v>-179.00002829889462</v>
      </c>
      <c r="AK64" s="635">
        <f t="shared" si="211"/>
        <v>-2.0122792321330962E-16</v>
      </c>
      <c r="AL64" s="629">
        <f t="shared" si="91"/>
        <v>-1.0000000000000002</v>
      </c>
      <c r="AM64" s="634">
        <f t="shared" si="92"/>
        <v>0</v>
      </c>
      <c r="AN64" s="581">
        <f t="shared" si="93"/>
        <v>-90</v>
      </c>
      <c r="AO64" s="582">
        <f t="shared" si="461"/>
        <v>0</v>
      </c>
      <c r="AP64" s="585">
        <f t="shared" si="95"/>
        <v>-90.000000000000014</v>
      </c>
      <c r="AQ64" s="586">
        <f t="shared" si="246"/>
        <v>0.36769279613469624</v>
      </c>
      <c r="AS64" s="52">
        <f t="shared" si="406"/>
        <v>-179.00002829889462</v>
      </c>
      <c r="AT64" s="72">
        <f t="shared" si="247"/>
        <v>-2.1494944247924344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>Taper</v>
      </c>
      <c r="IF64" s="533" t="str">
        <f>IFERROR(IF((((($IW64*COS(RADIANS(180-$IY64)))*COS(RADIANS($IY64)))-(($IX64*SIN(RADIANS(180-$IY64)))*SIN(RADIANS($IY64))))+$IU64)&lt;(((Settings!$C$19+$IF$8)/2)*-1),"Gage",""),"")</f>
        <v>Gage</v>
      </c>
      <c r="IG64" s="847">
        <f t="shared" si="210"/>
        <v>4.3010000000000002</v>
      </c>
      <c r="IH64" s="731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3.3010000000000002</v>
      </c>
      <c r="II64" s="734" cm="1">
        <f t="array" ref="II64">IFERROR(IF($IH64&lt;1,$IH64+LARGE((IF($M$9:$M$150="",0,$M$9:$M$150)-MOD(IF($M$9:$M$150="",0,$M$9:$M$150),1)),1),$IH64),"")</f>
        <v>3.3010000000000002</v>
      </c>
      <c r="IJ64" s="533" t="str">
        <f t="shared" si="112"/>
        <v>Inactive</v>
      </c>
      <c r="IK64" s="533" t="str">
        <f t="shared" si="382"/>
        <v>Inactive</v>
      </c>
      <c r="IL64" s="727">
        <f t="shared" si="225"/>
        <v>57.999991625837254</v>
      </c>
      <c r="IM64" s="759">
        <v>9.4483667919797998E-4</v>
      </c>
      <c r="IN64" s="5">
        <f t="shared" si="226"/>
        <v>0</v>
      </c>
      <c r="IO64" s="771">
        <v>0</v>
      </c>
      <c r="IP64" s="9">
        <f t="shared" si="227"/>
        <v>-6.200000000000002</v>
      </c>
      <c r="IQ64" s="5">
        <f t="shared" si="228"/>
        <v>-2.3639999999999999</v>
      </c>
      <c r="IR64" s="5">
        <f t="shared" si="383"/>
        <v>0.25700000000000001</v>
      </c>
      <c r="IS64" s="5">
        <f t="shared" si="229"/>
        <v>0.25700000000000001</v>
      </c>
      <c r="IT64" s="727">
        <f t="shared" si="230"/>
        <v>90</v>
      </c>
      <c r="IU64" s="9">
        <f t="shared" si="231"/>
        <v>-6.2</v>
      </c>
      <c r="IV64" s="5">
        <f t="shared" si="232"/>
        <v>-2.2738</v>
      </c>
      <c r="IW64" s="5">
        <f t="shared" si="384"/>
        <v>0.25700000000000001</v>
      </c>
      <c r="IX64" s="5">
        <f t="shared" si="233"/>
        <v>0.25700000000000001</v>
      </c>
      <c r="IY64" s="762">
        <f t="shared" si="234"/>
        <v>90</v>
      </c>
    </row>
    <row r="65" spans="1:259" ht="15" customHeight="1" x14ac:dyDescent="0.25">
      <c r="A65" s="79"/>
      <c r="B65" s="707">
        <v>-0.30930939974519311</v>
      </c>
      <c r="C65" s="708">
        <v>-0.39589768595901198</v>
      </c>
      <c r="D65" s="709">
        <v>-0.41500125164377499</v>
      </c>
      <c r="E65" s="710">
        <v>0.76614956153927471</v>
      </c>
      <c r="F65" s="708">
        <v>-0.54568715607324347</v>
      </c>
      <c r="G65" s="711">
        <v>0.33947073077052292</v>
      </c>
      <c r="H65" s="710">
        <v>0.26600000000000001</v>
      </c>
      <c r="I65" s="708">
        <v>0.52</v>
      </c>
      <c r="J65" s="570">
        <v>5.1020000000000003</v>
      </c>
      <c r="K65" s="865">
        <f>IF($J65="","",IF(IFERROR(INDEX(Settings!$AK$14:$AK$36,MATCH((((ROUND($H65,6)*2)*1000000)+ROUND($I65,6)),Settings!$AI$14:$AI$36,0)),"Undefined")="Undefined","Undefined",IFERROR(INDEX(_xlfn.ANCHORARRAY(Settings!$BC$14),MATCH(IFERROR(INDEX(Settings!$AK$14:$AK$36,MATCH((((ROUND($H65,6)*2)*1000000)+ROUND($I65,6)),Settings!$AI$14:$AI$36,0)),"Undefined"),_xlfn.ANCHORARRAY(Settings!$BC$14),0)),"Inactive")))</f>
        <v>1313</v>
      </c>
      <c r="L65" s="320"/>
      <c r="M65" s="168">
        <f t="shared" si="239"/>
        <v>5.1020000000000003</v>
      </c>
      <c r="N65" s="632">
        <f t="shared" si="240"/>
        <v>-0.30930939974519311</v>
      </c>
      <c r="O65" s="629">
        <f t="shared" si="241"/>
        <v>-0.39589768595901198</v>
      </c>
      <c r="P65" s="633">
        <f t="shared" si="242"/>
        <v>-0.41500125164377499</v>
      </c>
      <c r="Q65" s="585">
        <f t="shared" si="113"/>
        <v>231.99997949773959</v>
      </c>
      <c r="R65" s="629">
        <f t="shared" si="79"/>
        <v>0.50240151524296994</v>
      </c>
      <c r="S65" s="634">
        <f t="shared" si="80"/>
        <v>-0.41500125164377499</v>
      </c>
      <c r="T65" s="635">
        <f t="shared" si="81"/>
        <v>-0.39589768595901198</v>
      </c>
      <c r="U65" s="629">
        <f t="shared" si="82"/>
        <v>0.30930939974519311</v>
      </c>
      <c r="V65" s="636">
        <f t="shared" si="114"/>
        <v>-0.41500125164377499</v>
      </c>
      <c r="W65" s="585">
        <f t="shared" si="224"/>
        <v>141.99997949773959</v>
      </c>
      <c r="X65" s="629">
        <f t="shared" si="83"/>
        <v>0.50240151524296994</v>
      </c>
      <c r="Y65" s="630">
        <f t="shared" si="223"/>
        <v>-0.41500125164377499</v>
      </c>
      <c r="Z65" s="632">
        <f t="shared" si="243"/>
        <v>-0.76614956153927471</v>
      </c>
      <c r="AA65" s="629">
        <f t="shared" si="244"/>
        <v>0.54568715607324347</v>
      </c>
      <c r="AB65" s="629">
        <f t="shared" si="245"/>
        <v>-0.33947073077052292</v>
      </c>
      <c r="AC65" s="636">
        <f t="shared" si="84"/>
        <v>1</v>
      </c>
      <c r="AD65" s="637">
        <f t="shared" si="115"/>
        <v>-0.76614956153927471</v>
      </c>
      <c r="AE65" s="629">
        <f t="shared" si="85"/>
        <v>0.54568715607324347</v>
      </c>
      <c r="AF65" s="633">
        <f t="shared" si="86"/>
        <v>-0.33947073077052292</v>
      </c>
      <c r="AG65" s="602">
        <f t="shared" si="87"/>
        <v>58.11435133782949</v>
      </c>
      <c r="AH65" s="603">
        <f t="shared" si="88"/>
        <v>140.0093707918285</v>
      </c>
      <c r="AI65" s="585">
        <f t="shared" si="89"/>
        <v>-70.155368582028359</v>
      </c>
      <c r="AJ65" s="586">
        <f t="shared" si="90"/>
        <v>-125.46022789086102</v>
      </c>
      <c r="AK65" s="635">
        <f t="shared" si="211"/>
        <v>0.93969263802333458</v>
      </c>
      <c r="AL65" s="629">
        <f t="shared" si="91"/>
        <v>4.1681758538640645E-2</v>
      </c>
      <c r="AM65" s="634">
        <f t="shared" si="92"/>
        <v>-0.33947073077052292</v>
      </c>
      <c r="AN65" s="581">
        <f t="shared" si="93"/>
        <v>6.9999989893252081</v>
      </c>
      <c r="AO65" s="582">
        <f t="shared" si="461"/>
        <v>19.999997112357679</v>
      </c>
      <c r="AP65" s="585">
        <f t="shared" si="95"/>
        <v>2.5397926113993843</v>
      </c>
      <c r="AQ65" s="586">
        <f t="shared" si="246"/>
        <v>4.5282072922477337</v>
      </c>
      <c r="AS65" s="52">
        <f t="shared" si="406"/>
        <v>-218.00002050226041</v>
      </c>
      <c r="AT65" s="72">
        <f t="shared" si="247"/>
        <v>-0.26361234851720527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5.1020000000000003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>
        <f t="shared" si="112"/>
        <v>1313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-0.69237530046465812</v>
      </c>
      <c r="C66" s="708">
        <v>-0.88619931853006562</v>
      </c>
      <c r="D66" s="709">
        <v>-0.34239999999999993</v>
      </c>
      <c r="E66" s="710">
        <v>0.7741010443191787</v>
      </c>
      <c r="F66" s="708">
        <v>-0.5582889791472635</v>
      </c>
      <c r="G66" s="711">
        <v>0.29846438472062858</v>
      </c>
      <c r="H66" s="710">
        <v>0.26600000000000001</v>
      </c>
      <c r="I66" s="708">
        <v>0.52</v>
      </c>
      <c r="J66" s="570">
        <v>5.1050000000000004</v>
      </c>
      <c r="K66" s="865">
        <f>IF($J66="","",IF(IFERROR(INDEX(Settings!$AK$14:$AK$36,MATCH((((ROUND($H66,6)*2)*1000000)+ROUND($I66,6)),Settings!$AI$14:$AI$36,0)),"Undefined")="Undefined","Undefined",IFERROR(INDEX(_xlfn.ANCHORARRAY(Settings!$BC$14),MATCH(IFERROR(INDEX(Settings!$AK$14:$AK$36,MATCH((((ROUND($H66,6)*2)*1000000)+ROUND($I66,6)),Settings!$AI$14:$AI$36,0)),"Undefined"),_xlfn.ANCHORARRAY(Settings!$BC$14),0)),"Inactive")))</f>
        <v>1313</v>
      </c>
      <c r="L66" s="320"/>
      <c r="M66" s="168">
        <f t="shared" si="239"/>
        <v>5.1050000000000004</v>
      </c>
      <c r="N66" s="632">
        <f t="shared" si="240"/>
        <v>-0.69237530046465812</v>
      </c>
      <c r="O66" s="629">
        <f t="shared" si="241"/>
        <v>-0.88619931853006562</v>
      </c>
      <c r="P66" s="633">
        <f t="shared" si="242"/>
        <v>-0.34239999999999993</v>
      </c>
      <c r="Q66" s="585">
        <f t="shared" si="113"/>
        <v>231.99997949773959</v>
      </c>
      <c r="R66" s="629">
        <f t="shared" si="79"/>
        <v>1.1246033918038298</v>
      </c>
      <c r="S66" s="634">
        <f t="shared" si="80"/>
        <v>-0.34239999999999993</v>
      </c>
      <c r="T66" s="635">
        <f t="shared" si="81"/>
        <v>-0.88619931853006562</v>
      </c>
      <c r="U66" s="629">
        <f t="shared" si="82"/>
        <v>0.69237530046465812</v>
      </c>
      <c r="V66" s="636">
        <f t="shared" si="114"/>
        <v>-0.34239999999999993</v>
      </c>
      <c r="W66" s="585">
        <f t="shared" si="224"/>
        <v>141.99997949773959</v>
      </c>
      <c r="X66" s="629">
        <f t="shared" si="83"/>
        <v>1.1246033918038298</v>
      </c>
      <c r="Y66" s="630">
        <f t="shared" si="223"/>
        <v>-0.34239999999999993</v>
      </c>
      <c r="Z66" s="632">
        <f t="shared" si="243"/>
        <v>-0.7741010443191787</v>
      </c>
      <c r="AA66" s="629">
        <f t="shared" si="244"/>
        <v>0.5582889791472635</v>
      </c>
      <c r="AB66" s="629">
        <f t="shared" si="245"/>
        <v>-0.29846438472062858</v>
      </c>
      <c r="AC66" s="636">
        <f t="shared" si="84"/>
        <v>1</v>
      </c>
      <c r="AD66" s="637">
        <f t="shared" si="115"/>
        <v>-0.7741010443191787</v>
      </c>
      <c r="AE66" s="629">
        <f t="shared" si="85"/>
        <v>0.5582889791472635</v>
      </c>
      <c r="AF66" s="633">
        <f t="shared" si="86"/>
        <v>-0.29846438472062858</v>
      </c>
      <c r="AG66" s="602">
        <f t="shared" si="87"/>
        <v>61.870792878365208</v>
      </c>
      <c r="AH66" s="603">
        <f t="shared" si="88"/>
        <v>140.72360109674429</v>
      </c>
      <c r="AI66" s="585">
        <f t="shared" si="89"/>
        <v>-72.634606162444484</v>
      </c>
      <c r="AJ66" s="586">
        <f t="shared" si="90"/>
        <v>-125.79949839889724</v>
      </c>
      <c r="AK66" s="635">
        <f t="shared" si="211"/>
        <v>0.95371695074822693</v>
      </c>
      <c r="AL66" s="629">
        <f t="shared" si="91"/>
        <v>3.6646813078912543E-2</v>
      </c>
      <c r="AM66" s="634">
        <f t="shared" si="92"/>
        <v>-0.29846438472062858</v>
      </c>
      <c r="AN66" s="581">
        <f t="shared" si="93"/>
        <v>6.9999989893252144</v>
      </c>
      <c r="AO66" s="582">
        <f t="shared" si="461"/>
        <v>17.499999999999993</v>
      </c>
      <c r="AP66" s="585">
        <f t="shared" si="95"/>
        <v>2.2005221033631424</v>
      </c>
      <c r="AQ66" s="586">
        <f t="shared" si="246"/>
        <v>2.026293125079536</v>
      </c>
      <c r="AS66" s="52">
        <f t="shared" si="406"/>
        <v>-218.00002050226041</v>
      </c>
      <c r="AT66" s="72">
        <f t="shared" si="247"/>
        <v>-0.19101109687343018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5.1050000000000004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>
        <f t="shared" si="112"/>
        <v>1313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-1.0747639712085664</v>
      </c>
      <c r="C67" s="708">
        <v>-1.3756341369001737</v>
      </c>
      <c r="D67" s="709">
        <v>-0.2661</v>
      </c>
      <c r="E67" s="710">
        <v>0.7741010443191787</v>
      </c>
      <c r="F67" s="708">
        <v>-0.5582889791472635</v>
      </c>
      <c r="G67" s="711">
        <v>0.29846438472062853</v>
      </c>
      <c r="H67" s="710">
        <v>0.26600000000000001</v>
      </c>
      <c r="I67" s="708">
        <v>0.52</v>
      </c>
      <c r="J67" s="570">
        <v>5.1079999999999997</v>
      </c>
      <c r="K67" s="865">
        <f>IF($J67="","",IF(IFERROR(INDEX(Settings!$AK$14:$AK$36,MATCH((((ROUND($H67,6)*2)*1000000)+ROUND($I67,6)),Settings!$AI$14:$AI$36,0)),"Undefined")="Undefined","Undefined",IFERROR(INDEX(_xlfn.ANCHORARRAY(Settings!$BC$14),MATCH(IFERROR(INDEX(Settings!$AK$14:$AK$36,MATCH((((ROUND($H67,6)*2)*1000000)+ROUND($I67,6)),Settings!$AI$14:$AI$36,0)),"Undefined"),_xlfn.ANCHORARRAY(Settings!$BC$14),0)),"Inactive")))</f>
        <v>1313</v>
      </c>
      <c r="L67" s="320"/>
      <c r="M67" s="168">
        <f t="shared" si="239"/>
        <v>5.1079999999999997</v>
      </c>
      <c r="N67" s="632">
        <f t="shared" si="240"/>
        <v>-1.0747639712085664</v>
      </c>
      <c r="O67" s="629">
        <f t="shared" si="241"/>
        <v>-1.3756341369001737</v>
      </c>
      <c r="P67" s="633">
        <f t="shared" si="242"/>
        <v>-0.2661</v>
      </c>
      <c r="Q67" s="585">
        <f t="shared" si="113"/>
        <v>231.99997949773959</v>
      </c>
      <c r="R67" s="629">
        <f>IF(M67="","",SQRT(N67^2+O67^2))</f>
        <v>1.7457052650470795</v>
      </c>
      <c r="S67" s="634">
        <f>IF(M67="","",P67)</f>
        <v>-0.2661</v>
      </c>
      <c r="T67" s="635">
        <f>IF(M67="","",X67*COS(RADIANS(W67)))</f>
        <v>-1.3756341369001739</v>
      </c>
      <c r="U67" s="629">
        <f>IF(M67="","",X67*SIN(RADIANS(W67)))</f>
        <v>1.0747639712085661</v>
      </c>
      <c r="V67" s="636">
        <f>IF(M67="","",Y67)</f>
        <v>-0.2661</v>
      </c>
      <c r="W67" s="585">
        <f t="shared" si="224"/>
        <v>141.99997949773959</v>
      </c>
      <c r="X67" s="629">
        <f>IF(M67="","",R67)</f>
        <v>1.7457052650470795</v>
      </c>
      <c r="Y67" s="630">
        <f t="shared" si="223"/>
        <v>-0.2661</v>
      </c>
      <c r="Z67" s="632">
        <f t="shared" si="243"/>
        <v>-0.7741010443191787</v>
      </c>
      <c r="AA67" s="629">
        <f t="shared" si="244"/>
        <v>0.5582889791472635</v>
      </c>
      <c r="AB67" s="629">
        <f t="shared" si="245"/>
        <v>-0.29846438472062853</v>
      </c>
      <c r="AC67" s="636">
        <f>IF(M67="","",SQRT(Z67^2+AA67^2+AB67^2))</f>
        <v>1</v>
      </c>
      <c r="AD67" s="637">
        <f>IF(M67="","",Z67*(1/SQRT(Z67^2+AA67^2+AB67^2)))</f>
        <v>-0.7741010443191787</v>
      </c>
      <c r="AE67" s="629">
        <f>IF(M67="","",AA67*(1/SQRT(Z67^2+AA67^2+AB67^2)))</f>
        <v>0.5582889791472635</v>
      </c>
      <c r="AF67" s="633">
        <f>IF(M67="","",AB67*(1/SQRT(Z67^2+AA67^2+AB67^2)))</f>
        <v>-0.29846438472062853</v>
      </c>
      <c r="AG67" s="602">
        <f>IF(M67="","",DEGREES(ATAN2(-AF67,AE67)))</f>
        <v>61.870792878365208</v>
      </c>
      <c r="AH67" s="603">
        <f>IF(M67="","",DEGREES(ACOS(AD67)))</f>
        <v>140.72360109674429</v>
      </c>
      <c r="AI67" s="585">
        <f>IF(M67="","",DEGREES(-ACOS(-AF67)))</f>
        <v>-72.634606162444484</v>
      </c>
      <c r="AJ67" s="586">
        <f>IF(M67="","",DEGREES(ATAN2(-AE67,AD67)))</f>
        <v>-125.79949839889724</v>
      </c>
      <c r="AK67" s="635">
        <f>IF(M67="","",(COS(RADIANS((90-$Q$8)-W67))*AD67)+(-SIN(RADIANS((90-$Q$8)-W67))*AE67))</f>
        <v>0.95371695074822693</v>
      </c>
      <c r="AL67" s="629">
        <f>IF(M67="","",(SIN(RADIANS((90-$Q$8)-W67))*AD67)+(COS(RADIANS((90-$Q$8)-W67))*AE67))</f>
        <v>3.6646813078912543E-2</v>
      </c>
      <c r="AM67" s="634">
        <f>IF(M67="","",AF67)</f>
        <v>-0.29846438472062853</v>
      </c>
      <c r="AN67" s="581">
        <f>IF(M67="","",DEGREES(ATAN2(-AM67,AL67)))</f>
        <v>6.9999989893252161</v>
      </c>
      <c r="AO67" s="582">
        <f t="shared" si="461"/>
        <v>17.499999999999993</v>
      </c>
      <c r="AP67" s="585">
        <f>IF(M67="","",DEGREES(ATAN2(AK67,AL67)))</f>
        <v>2.2005221033631424</v>
      </c>
      <c r="AQ67" s="586">
        <f t="shared" si="246"/>
        <v>1.3056797355179979</v>
      </c>
      <c r="AS67" s="52">
        <f t="shared" si="406"/>
        <v>-218.00002050226041</v>
      </c>
      <c r="AT67" s="72">
        <f t="shared" si="247"/>
        <v>-0.11471109687343026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5.1079999999999997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>
        <f t="shared" si="112"/>
        <v>1313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-1.45709107559106</v>
      </c>
      <c r="C68" s="708">
        <v>-1.8649901539792872</v>
      </c>
      <c r="D68" s="709">
        <v>-0.19060000000000002</v>
      </c>
      <c r="E68" s="710">
        <v>0.77551495259372016</v>
      </c>
      <c r="F68" s="708">
        <v>-0.56068255091596553</v>
      </c>
      <c r="G68" s="711">
        <v>0.29019241099988469</v>
      </c>
      <c r="H68" s="710">
        <v>0.26600000000000001</v>
      </c>
      <c r="I68" s="708">
        <v>0.52</v>
      </c>
      <c r="J68" s="570">
        <v>5.1109999999999998</v>
      </c>
      <c r="K68" s="865">
        <f>IF($J68="","",IF(IFERROR(INDEX(Settings!$AK$14:$AK$36,MATCH((((ROUND($H68,6)*2)*1000000)+ROUND($I68,6)),Settings!$AI$14:$AI$36,0)),"Undefined")="Undefined","Undefined",IFERROR(INDEX(_xlfn.ANCHORARRAY(Settings!$BC$14),MATCH(IFERROR(INDEX(Settings!$AK$14:$AK$36,MATCH((((ROUND($H68,6)*2)*1000000)+ROUND($I68,6)),Settings!$AI$14:$AI$36,0)),"Undefined"),_xlfn.ANCHORARRAY(Settings!$BC$14),0)),"Inactive")))</f>
        <v>1313</v>
      </c>
      <c r="L68" s="320"/>
      <c r="M68" s="168">
        <f t="shared" si="239"/>
        <v>5.1109999999999998</v>
      </c>
      <c r="N68" s="632">
        <f t="shared" si="240"/>
        <v>-1.45709107559106</v>
      </c>
      <c r="O68" s="629">
        <f t="shared" si="241"/>
        <v>-1.8649901539792872</v>
      </c>
      <c r="P68" s="633">
        <f t="shared" si="242"/>
        <v>-0.19060000000000002</v>
      </c>
      <c r="Q68" s="585">
        <f t="shared" si="113"/>
        <v>231.99997949773959</v>
      </c>
      <c r="R68" s="629">
        <f>IF(M68="","",SQRT(N68^2+O68^2))</f>
        <v>2.3667071379887283</v>
      </c>
      <c r="S68" s="634">
        <f>IF(M68="","",P68)</f>
        <v>-0.19060000000000002</v>
      </c>
      <c r="T68" s="635">
        <f>IF(M68="","",X68*COS(RADIANS(W68)))</f>
        <v>-1.864990153979287</v>
      </c>
      <c r="U68" s="629">
        <f>IF(M68="","",X68*SIN(RADIANS(W68)))</f>
        <v>1.4570910755910602</v>
      </c>
      <c r="V68" s="636">
        <f>IF(M68="","",Y68)</f>
        <v>-0.19060000000000002</v>
      </c>
      <c r="W68" s="585">
        <f t="shared" si="224"/>
        <v>141.99997949773959</v>
      </c>
      <c r="X68" s="629">
        <f>IF(M68="","",R68)</f>
        <v>2.3667071379887283</v>
      </c>
      <c r="Y68" s="630">
        <f t="shared" si="223"/>
        <v>-0.19060000000000002</v>
      </c>
      <c r="Z68" s="632">
        <f t="shared" si="243"/>
        <v>-0.77551495259372016</v>
      </c>
      <c r="AA68" s="629">
        <f t="shared" si="244"/>
        <v>0.56068255091596553</v>
      </c>
      <c r="AB68" s="629">
        <f t="shared" si="245"/>
        <v>-0.29019241099988469</v>
      </c>
      <c r="AC68" s="636">
        <f>IF(M68="","",SQRT(Z68^2+AA68^2+AB68^2))</f>
        <v>1</v>
      </c>
      <c r="AD68" s="637">
        <f>IF(M68="","",Z68*(1/SQRT(Z68^2+AA68^2+AB68^2)))</f>
        <v>-0.77551495259372016</v>
      </c>
      <c r="AE68" s="629">
        <f>IF(M68="","",AA68*(1/SQRT(Z68^2+AA68^2+AB68^2)))</f>
        <v>0.56068255091596553</v>
      </c>
      <c r="AF68" s="633">
        <f>IF(M68="","",AB68*(1/SQRT(Z68^2+AA68^2+AB68^2)))</f>
        <v>-0.29019241099988469</v>
      </c>
      <c r="AG68" s="602">
        <f>IF(M68="","",DEGREES(ATAN2(-AF68,AE68)))</f>
        <v>62.6352763547861</v>
      </c>
      <c r="AH68" s="603">
        <f>IF(M68="","",DEGREES(ACOS(AD68)))</f>
        <v>140.8517433031947</v>
      </c>
      <c r="AI68" s="585">
        <f>IF(M68="","",DEGREES(-ACOS(-AF68)))</f>
        <v>-73.130524262571399</v>
      </c>
      <c r="AJ68" s="586">
        <f>IF(M68="","",DEGREES(ATAN2(-AE68,AD68)))</f>
        <v>-125.86621310166267</v>
      </c>
      <c r="AK68" s="635">
        <f>IF(M68="","",(COS(RADIANS((90-$Q$8)-W68))*AD68)+(-SIN(RADIANS((90-$Q$8)-W68))*AE68))</f>
        <v>0.95630475596303555</v>
      </c>
      <c r="AL68" s="629">
        <f>IF(M68="","",(SIN(RADIANS((90-$Q$8)-W68))*AD68)+(COS(RADIANS((90-$Q$8)-W68))*AE68))</f>
        <v>3.5631142565924645E-2</v>
      </c>
      <c r="AM68" s="634">
        <f>IF(M68="","",AF68)</f>
        <v>-0.29019241099988469</v>
      </c>
      <c r="AN68" s="581">
        <f>IF(M68="","",DEGREES(ATAN2(-AM68,AL68)))</f>
        <v>6.9999989893251886</v>
      </c>
      <c r="AO68" s="582">
        <f t="shared" si="461"/>
        <v>16.999999999999986</v>
      </c>
      <c r="AP68" s="585">
        <f>IF(M68="","",DEGREES(ATAN2(AK68,AL68)))</f>
        <v>2.1338074005977412</v>
      </c>
      <c r="AQ68" s="586">
        <f t="shared" si="246"/>
        <v>0.9631575670320619</v>
      </c>
      <c r="AS68" s="52">
        <f t="shared" si="406"/>
        <v>-218.00002050226041</v>
      </c>
      <c r="AT68" s="72">
        <f t="shared" si="247"/>
        <v>-3.9211096873430273E-2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5.1109999999999998</v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>
        <f t="shared" si="112"/>
        <v>1313</v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>
        <v>-1.841265170815982</v>
      </c>
      <c r="C69" s="708">
        <v>-2.3567102097882513</v>
      </c>
      <c r="D69" s="709">
        <v>-0.11649999999999998</v>
      </c>
      <c r="E69" s="710">
        <v>0.78057899179407486</v>
      </c>
      <c r="F69" s="708">
        <v>-0.56982808257896123</v>
      </c>
      <c r="G69" s="711">
        <v>0.25688984774437895</v>
      </c>
      <c r="H69" s="710">
        <v>0.26600000000000001</v>
      </c>
      <c r="I69" s="708">
        <v>0.52</v>
      </c>
      <c r="J69" s="570">
        <v>5.1139999999999999</v>
      </c>
      <c r="K69" s="865">
        <f>IF($J69="","",IF(IFERROR(INDEX(Settings!$AK$14:$AK$36,MATCH((((ROUND($H69,6)*2)*1000000)+ROUND($I69,6)),Settings!$AI$14:$AI$36,0)),"Undefined")="Undefined","Undefined",IFERROR(INDEX(_xlfn.ANCHORARRAY(Settings!$BC$14),MATCH(IFERROR(INDEX(Settings!$AK$14:$AK$36,MATCH((((ROUND($H69,6)*2)*1000000)+ROUND($I69,6)),Settings!$AI$14:$AI$36,0)),"Undefined"),_xlfn.ANCHORARRAY(Settings!$BC$14),0)),"Inactive")))</f>
        <v>1313</v>
      </c>
      <c r="L69" s="320"/>
      <c r="M69" s="168">
        <f t="shared" si="239"/>
        <v>5.1139999999999999</v>
      </c>
      <c r="N69" s="632">
        <f t="shared" si="240"/>
        <v>-1.841265170815982</v>
      </c>
      <c r="O69" s="629">
        <f t="shared" si="241"/>
        <v>-2.3567102097882513</v>
      </c>
      <c r="P69" s="633">
        <f t="shared" si="242"/>
        <v>-0.11649999999999998</v>
      </c>
      <c r="Q69" s="585">
        <f t="shared" si="113"/>
        <v>231.99997949773959</v>
      </c>
      <c r="R69" s="629">
        <f t="shared" si="79"/>
        <v>2.990709019978405</v>
      </c>
      <c r="S69" s="634">
        <f t="shared" si="80"/>
        <v>-0.11649999999999998</v>
      </c>
      <c r="T69" s="635">
        <f t="shared" si="81"/>
        <v>-2.3567102097882513</v>
      </c>
      <c r="U69" s="629">
        <f t="shared" si="82"/>
        <v>1.841265170815982</v>
      </c>
      <c r="V69" s="636">
        <f t="shared" si="114"/>
        <v>-0.11649999999999998</v>
      </c>
      <c r="W69" s="585">
        <f t="shared" si="224"/>
        <v>141.99997949773959</v>
      </c>
      <c r="X69" s="629">
        <f t="shared" si="83"/>
        <v>2.990709019978405</v>
      </c>
      <c r="Y69" s="630">
        <f t="shared" si="223"/>
        <v>-0.11649999999999998</v>
      </c>
      <c r="Z69" s="632">
        <f t="shared" si="243"/>
        <v>-0.78057899179407486</v>
      </c>
      <c r="AA69" s="629">
        <f t="shared" si="244"/>
        <v>0.56982808257896123</v>
      </c>
      <c r="AB69" s="629">
        <f t="shared" si="245"/>
        <v>-0.25688984774437895</v>
      </c>
      <c r="AC69" s="636">
        <f t="shared" si="84"/>
        <v>1</v>
      </c>
      <c r="AD69" s="637">
        <f t="shared" si="115"/>
        <v>-0.78057899179407486</v>
      </c>
      <c r="AE69" s="629">
        <f t="shared" si="85"/>
        <v>0.56982808257896123</v>
      </c>
      <c r="AF69" s="633">
        <f t="shared" si="86"/>
        <v>-0.25688984774437895</v>
      </c>
      <c r="AG69" s="602">
        <f t="shared" si="87"/>
        <v>65.733200003252762</v>
      </c>
      <c r="AH69" s="603">
        <f t="shared" si="88"/>
        <v>141.31361795330949</v>
      </c>
      <c r="AI69" s="585">
        <f t="shared" si="89"/>
        <v>-75.114403586325622</v>
      </c>
      <c r="AJ69" s="586">
        <f t="shared" si="90"/>
        <v>-126.12970360606735</v>
      </c>
      <c r="AK69" s="635">
        <f t="shared" si="211"/>
        <v>0.9659258262890682</v>
      </c>
      <c r="AL69" s="629">
        <f t="shared" si="91"/>
        <v>3.154210255595663E-2</v>
      </c>
      <c r="AM69" s="634">
        <f t="shared" si="92"/>
        <v>-0.25688984774437895</v>
      </c>
      <c r="AN69" s="581">
        <f t="shared" si="93"/>
        <v>6.999998989325217</v>
      </c>
      <c r="AO69" s="582">
        <f t="shared" si="461"/>
        <v>15.000000000000021</v>
      </c>
      <c r="AP69" s="585">
        <f t="shared" si="95"/>
        <v>1.8703168961930412</v>
      </c>
      <c r="AQ69" s="586">
        <f t="shared" si="246"/>
        <v>0.76222465226153302</v>
      </c>
      <c r="AS69" s="52">
        <f t="shared" si="406"/>
        <v>-218.00002050226041</v>
      </c>
      <c r="AT69" s="72">
        <f t="shared" si="247"/>
        <v>3.4888903126569767E-2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5.1139999999999999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>
        <f t="shared" si="112"/>
        <v>1313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-2.2774012750745305</v>
      </c>
      <c r="C70" s="708">
        <v>-2.9149385551970179</v>
      </c>
      <c r="D70" s="709">
        <v>-4.2600128481987458E-2</v>
      </c>
      <c r="E70" s="710">
        <v>0.76110411133793965</v>
      </c>
      <c r="F70" s="708">
        <v>-0.59475479036193746</v>
      </c>
      <c r="G70" s="711">
        <v>0.25881899282319498</v>
      </c>
      <c r="H70" s="710">
        <v>0.26600000000000001</v>
      </c>
      <c r="I70" s="708">
        <v>0.52</v>
      </c>
      <c r="J70" s="570">
        <v>5.12</v>
      </c>
      <c r="K70" s="865">
        <f>IF($J70="","",IF(IFERROR(INDEX(Settings!$AK$14:$AK$36,MATCH((((ROUND($H70,6)*2)*1000000)+ROUND($I70,6)),Settings!$AI$14:$AI$36,0)),"Undefined")="Undefined","Undefined",IFERROR(INDEX(_xlfn.ANCHORARRAY(Settings!$BC$14),MATCH(IFERROR(INDEX(Settings!$AK$14:$AK$36,MATCH((((ROUND($H70,6)*2)*1000000)+ROUND($I70,6)),Settings!$AI$14:$AI$36,0)),"Undefined"),_xlfn.ANCHORARRAY(Settings!$BC$14),0)),"Inactive")))</f>
        <v>1313</v>
      </c>
      <c r="L70" s="320"/>
      <c r="M70" s="168">
        <f t="shared" si="239"/>
        <v>5.12</v>
      </c>
      <c r="N70" s="632">
        <f t="shared" si="240"/>
        <v>-2.2774012750745305</v>
      </c>
      <c r="O70" s="629">
        <f t="shared" si="241"/>
        <v>-2.9149385551970179</v>
      </c>
      <c r="P70" s="633">
        <f t="shared" si="242"/>
        <v>-4.2600128481987458E-2</v>
      </c>
      <c r="Q70" s="585">
        <f t="shared" si="113"/>
        <v>231.99997949773959</v>
      </c>
      <c r="R70" s="629">
        <f t="shared" si="79"/>
        <v>3.6991111565192489</v>
      </c>
      <c r="S70" s="634">
        <f t="shared" si="80"/>
        <v>-4.2600128481987458E-2</v>
      </c>
      <c r="T70" s="635">
        <f t="shared" si="81"/>
        <v>-2.9149385551970179</v>
      </c>
      <c r="U70" s="629">
        <f t="shared" si="82"/>
        <v>2.2774012750745305</v>
      </c>
      <c r="V70" s="636">
        <f t="shared" si="114"/>
        <v>-4.2600128481987458E-2</v>
      </c>
      <c r="W70" s="585">
        <f t="shared" si="224"/>
        <v>141.99997949773959</v>
      </c>
      <c r="X70" s="629">
        <f t="shared" si="83"/>
        <v>3.6991111565192489</v>
      </c>
      <c r="Y70" s="630">
        <f t="shared" si="223"/>
        <v>-4.2600128481987458E-2</v>
      </c>
      <c r="Z70" s="632">
        <f t="shared" si="243"/>
        <v>-0.76110411133793965</v>
      </c>
      <c r="AA70" s="629">
        <f t="shared" si="244"/>
        <v>0.59475479036193746</v>
      </c>
      <c r="AB70" s="629">
        <f t="shared" si="245"/>
        <v>-0.25881899282319498</v>
      </c>
      <c r="AC70" s="636">
        <f t="shared" si="84"/>
        <v>1</v>
      </c>
      <c r="AD70" s="637">
        <f t="shared" si="115"/>
        <v>-0.76110411133793965</v>
      </c>
      <c r="AE70" s="629">
        <f t="shared" si="85"/>
        <v>0.59475479036193746</v>
      </c>
      <c r="AF70" s="633">
        <f t="shared" si="86"/>
        <v>-0.25881899282319498</v>
      </c>
      <c r="AG70" s="602">
        <f t="shared" si="87"/>
        <v>66.482806231325227</v>
      </c>
      <c r="AH70" s="603">
        <f t="shared" si="88"/>
        <v>139.56163082206285</v>
      </c>
      <c r="AI70" s="585">
        <f t="shared" si="89"/>
        <v>-75.000003101050424</v>
      </c>
      <c r="AJ70" s="586">
        <f t="shared" si="90"/>
        <v>-128.00537948440058</v>
      </c>
      <c r="AK70" s="635">
        <f t="shared" si="211"/>
        <v>0.96592583607220739</v>
      </c>
      <c r="AL70" s="629">
        <f t="shared" si="91"/>
        <v>-9.0344862454572183E-5</v>
      </c>
      <c r="AM70" s="634">
        <f t="shared" si="92"/>
        <v>-0.25881899282319498</v>
      </c>
      <c r="AN70" s="581">
        <f t="shared" si="93"/>
        <v>-1.9999997112387476E-2</v>
      </c>
      <c r="AO70" s="582">
        <f t="shared" si="461"/>
        <v>14.999997834268255</v>
      </c>
      <c r="AP70" s="585">
        <f t="shared" si="95"/>
        <v>-5.358982140172581E-3</v>
      </c>
      <c r="AQ70" s="586">
        <f t="shared" si="246"/>
        <v>0.61626661695966056</v>
      </c>
      <c r="AS70" s="52">
        <f t="shared" si="406"/>
        <v>-218.00002050226041</v>
      </c>
      <c r="AT70" s="72">
        <f t="shared" si="247"/>
        <v>0.10878877464458228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5.12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>
        <f t="shared" si="112"/>
        <v>1313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-2.7027640810274551</v>
      </c>
      <c r="C71" s="708">
        <v>-3.4235187049922788</v>
      </c>
      <c r="D71" s="709">
        <v>-0.13930042013006716</v>
      </c>
      <c r="E71" s="710">
        <v>0.68176948213923949</v>
      </c>
      <c r="F71" s="708">
        <v>-0.6919629544612893</v>
      </c>
      <c r="G71" s="711">
        <v>0.23743976683950191</v>
      </c>
      <c r="H71" s="710">
        <v>0.26600000000000001</v>
      </c>
      <c r="I71" s="708">
        <v>0.52</v>
      </c>
      <c r="J71" s="570">
        <v>5.1269999999999998</v>
      </c>
      <c r="K71" s="865">
        <f>IF($J71="","",IF(IFERROR(INDEX(Settings!$AK$14:$AK$36,MATCH((((ROUND($H71,6)*2)*1000000)+ROUND($I71,6)),Settings!$AI$14:$AI$36,0)),"Undefined")="Undefined","Undefined",IFERROR(INDEX(_xlfn.ANCHORARRAY(Settings!$BC$14),MATCH(IFERROR(INDEX(Settings!$AK$14:$AK$36,MATCH((((ROUND($H71,6)*2)*1000000)+ROUND($I71,6)),Settings!$AI$14:$AI$36,0)),"Undefined"),_xlfn.ANCHORARRAY(Settings!$BC$14),0)),"Inactive")))</f>
        <v>1313</v>
      </c>
      <c r="L71" s="320"/>
      <c r="M71" s="168">
        <f t="shared" si="239"/>
        <v>5.1269999999999998</v>
      </c>
      <c r="N71" s="632">
        <f t="shared" si="240"/>
        <v>-2.7027640810274551</v>
      </c>
      <c r="O71" s="629">
        <f t="shared" si="241"/>
        <v>-3.4235187049922788</v>
      </c>
      <c r="P71" s="633">
        <f t="shared" si="242"/>
        <v>-0.13930042013006716</v>
      </c>
      <c r="Q71" s="585">
        <f t="shared" si="113"/>
        <v>231.70997953961043</v>
      </c>
      <c r="R71" s="629">
        <f t="shared" si="79"/>
        <v>4.361813155228476</v>
      </c>
      <c r="S71" s="634">
        <f t="shared" si="80"/>
        <v>-0.13930042013006716</v>
      </c>
      <c r="T71" s="635">
        <f t="shared" si="81"/>
        <v>-3.4235187049922788</v>
      </c>
      <c r="U71" s="629">
        <f t="shared" si="82"/>
        <v>2.7027640810274551</v>
      </c>
      <c r="V71" s="636">
        <f t="shared" si="114"/>
        <v>-0.13930042013006716</v>
      </c>
      <c r="W71" s="585">
        <f t="shared" si="224"/>
        <v>141.70997953961043</v>
      </c>
      <c r="X71" s="629">
        <f t="shared" si="83"/>
        <v>4.361813155228476</v>
      </c>
      <c r="Y71" s="630">
        <f t="shared" si="223"/>
        <v>-0.13930042013006716</v>
      </c>
      <c r="Z71" s="632">
        <f t="shared" si="243"/>
        <v>-0.68176948213923949</v>
      </c>
      <c r="AA71" s="629">
        <f t="shared" si="244"/>
        <v>0.6919629544612893</v>
      </c>
      <c r="AB71" s="629">
        <f t="shared" si="245"/>
        <v>-0.23743976683950191</v>
      </c>
      <c r="AC71" s="636">
        <f t="shared" si="84"/>
        <v>1</v>
      </c>
      <c r="AD71" s="637">
        <f t="shared" si="115"/>
        <v>-0.68176948213923949</v>
      </c>
      <c r="AE71" s="629">
        <f t="shared" si="85"/>
        <v>0.6919629544612893</v>
      </c>
      <c r="AF71" s="633">
        <f t="shared" si="86"/>
        <v>-0.23743976683950191</v>
      </c>
      <c r="AG71" s="602">
        <f t="shared" si="87"/>
        <v>71.060884757568985</v>
      </c>
      <c r="AH71" s="603">
        <f t="shared" si="88"/>
        <v>132.98207183983908</v>
      </c>
      <c r="AI71" s="585">
        <f t="shared" si="89"/>
        <v>-76.264517557767263</v>
      </c>
      <c r="AJ71" s="586">
        <f t="shared" si="90"/>
        <v>-135.42514263200195</v>
      </c>
      <c r="AK71" s="635">
        <f t="shared" si="211"/>
        <v>0.96387970866578121</v>
      </c>
      <c r="AL71" s="629">
        <f t="shared" si="91"/>
        <v>-0.1206576327696347</v>
      </c>
      <c r="AM71" s="634">
        <f t="shared" si="92"/>
        <v>-0.23743976683950191</v>
      </c>
      <c r="AN71" s="581">
        <f t="shared" si="93"/>
        <v>-26.937902104119608</v>
      </c>
      <c r="AO71" s="582">
        <f t="shared" si="461"/>
        <v>15.446469572215044</v>
      </c>
      <c r="AP71" s="585">
        <f t="shared" si="95"/>
        <v>-7.1351221716123714</v>
      </c>
      <c r="AQ71" s="586">
        <f t="shared" si="246"/>
        <v>0.52264123207791091</v>
      </c>
      <c r="AS71" s="52">
        <f t="shared" si="406"/>
        <v>-218.29002046038957</v>
      </c>
      <c r="AT71" s="72">
        <f t="shared" si="247"/>
        <v>1.2289871856314499E-2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5.1269999999999998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>
        <f t="shared" si="112"/>
        <v>1313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-3.1299240721314403</v>
      </c>
      <c r="C72" s="708">
        <v>-3.8748014090359204</v>
      </c>
      <c r="D72" s="709">
        <v>-0.44760134996567141</v>
      </c>
      <c r="E72" s="710">
        <v>0.59663911621200738</v>
      </c>
      <c r="F72" s="708">
        <v>-0.77920850085741822</v>
      </c>
      <c r="G72" s="711">
        <v>0.19197884570256618</v>
      </c>
      <c r="H72" s="710">
        <v>0.26600000000000001</v>
      </c>
      <c r="I72" s="708">
        <v>0.52</v>
      </c>
      <c r="J72" s="570">
        <v>5.1340000000000003</v>
      </c>
      <c r="K72" s="865">
        <f>IF($J72="","",IF(IFERROR(INDEX(Settings!$AK$14:$AK$36,MATCH((((ROUND($H72,6)*2)*1000000)+ROUND($I72,6)),Settings!$AI$14:$AI$36,0)),"Undefined")="Undefined","Undefined",IFERROR(INDEX(_xlfn.ANCHORARRAY(Settings!$BC$14),MATCH(IFERROR(INDEX(Settings!$AK$14:$AK$36,MATCH((((ROUND($H72,6)*2)*1000000)+ROUND($I72,6)),Settings!$AI$14:$AI$36,0)),"Undefined"),_xlfn.ANCHORARRAY(Settings!$BC$14),0)),"Inactive")))</f>
        <v>1313</v>
      </c>
      <c r="L72" s="320"/>
      <c r="M72" s="168">
        <f t="shared" si="239"/>
        <v>5.1340000000000003</v>
      </c>
      <c r="N72" s="632">
        <f t="shared" si="240"/>
        <v>-3.1299240721314403</v>
      </c>
      <c r="O72" s="629">
        <f t="shared" si="241"/>
        <v>-3.8748014090359204</v>
      </c>
      <c r="P72" s="633">
        <f t="shared" si="242"/>
        <v>-0.44760134996567141</v>
      </c>
      <c r="Q72" s="585">
        <f t="shared" si="113"/>
        <v>231.06997963201496</v>
      </c>
      <c r="R72" s="629">
        <f t="shared" si="79"/>
        <v>4.9810150227413095</v>
      </c>
      <c r="S72" s="634">
        <f t="shared" si="80"/>
        <v>-0.44760134996567141</v>
      </c>
      <c r="T72" s="635">
        <f t="shared" si="81"/>
        <v>-3.87480140903592</v>
      </c>
      <c r="U72" s="629">
        <f t="shared" si="82"/>
        <v>3.1299240721314407</v>
      </c>
      <c r="V72" s="636">
        <f t="shared" si="114"/>
        <v>-0.44760134996567141</v>
      </c>
      <c r="W72" s="585">
        <f t="shared" si="224"/>
        <v>141.06997963201496</v>
      </c>
      <c r="X72" s="629">
        <f t="shared" si="83"/>
        <v>4.9810150227413095</v>
      </c>
      <c r="Y72" s="630">
        <f t="shared" si="223"/>
        <v>-0.44760134996567141</v>
      </c>
      <c r="Z72" s="632">
        <f t="shared" si="243"/>
        <v>-0.59663911621200738</v>
      </c>
      <c r="AA72" s="629">
        <f t="shared" si="244"/>
        <v>0.77920850085741822</v>
      </c>
      <c r="AB72" s="629">
        <f t="shared" si="245"/>
        <v>-0.19197884570256618</v>
      </c>
      <c r="AC72" s="636">
        <f t="shared" si="84"/>
        <v>1</v>
      </c>
      <c r="AD72" s="637">
        <f t="shared" si="115"/>
        <v>-0.59663911621200738</v>
      </c>
      <c r="AE72" s="629">
        <f t="shared" si="85"/>
        <v>0.77920850085741822</v>
      </c>
      <c r="AF72" s="633">
        <f t="shared" si="86"/>
        <v>-0.19197884570256618</v>
      </c>
      <c r="AG72" s="602">
        <f t="shared" si="87"/>
        <v>76.159308688906918</v>
      </c>
      <c r="AH72" s="603">
        <f t="shared" si="88"/>
        <v>126.62956939302107</v>
      </c>
      <c r="AI72" s="585">
        <f t="shared" si="89"/>
        <v>-78.931710053805332</v>
      </c>
      <c r="AJ72" s="586">
        <f t="shared" si="90"/>
        <v>-142.55875799646034</v>
      </c>
      <c r="AK72" s="635">
        <f t="shared" si="211"/>
        <v>0.9537657506627536</v>
      </c>
      <c r="AL72" s="629">
        <f t="shared" si="91"/>
        <v>-0.23124665546862416</v>
      </c>
      <c r="AM72" s="634">
        <f t="shared" si="92"/>
        <v>-0.19197884570256618</v>
      </c>
      <c r="AN72" s="581">
        <f t="shared" si="93"/>
        <v>-50.300854612610024</v>
      </c>
      <c r="AO72" s="582">
        <f t="shared" si="461"/>
        <v>17.490699384282323</v>
      </c>
      <c r="AP72" s="585">
        <f t="shared" si="95"/>
        <v>-13.62873762847531</v>
      </c>
      <c r="AQ72" s="586">
        <f t="shared" si="246"/>
        <v>0.45767341276440049</v>
      </c>
      <c r="AS72" s="52">
        <f t="shared" si="406"/>
        <v>-218.93002036798504</v>
      </c>
      <c r="AT72" s="72">
        <f t="shared" si="247"/>
        <v>-0.29556661359901515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5.1340000000000003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>
        <f t="shared" si="112"/>
        <v>1313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-3.4859266394726101</v>
      </c>
      <c r="C73" s="708">
        <v>-4.2122613344328892</v>
      </c>
      <c r="D73" s="709">
        <v>-0.93160280971407405</v>
      </c>
      <c r="E73" s="710">
        <v>0.51534658539746547</v>
      </c>
      <c r="F73" s="708">
        <v>-0.8469121484212514</v>
      </c>
      <c r="G73" s="711">
        <v>0.13098744128989381</v>
      </c>
      <c r="H73" s="710">
        <v>0.26600000000000001</v>
      </c>
      <c r="I73" s="708">
        <v>0.52</v>
      </c>
      <c r="J73" s="570">
        <v>5.141</v>
      </c>
      <c r="K73" s="865">
        <f>IF($J73="","",IF(IFERROR(INDEX(Settings!$AK$14:$AK$36,MATCH((((ROUND($H73,6)*2)*1000000)+ROUND($I73,6)),Settings!$AI$14:$AI$36,0)),"Undefined")="Undefined","Undefined",IFERROR(INDEX(_xlfn.ANCHORARRAY(Settings!$BC$14),MATCH(IFERROR(INDEX(Settings!$AK$14:$AK$36,MATCH((((ROUND($H73,6)*2)*1000000)+ROUND($I73,6)),Settings!$AI$14:$AI$36,0)),"Undefined"),_xlfn.ANCHORARRAY(Settings!$BC$14),0)),"Inactive")))</f>
        <v>1313</v>
      </c>
      <c r="L73" s="320"/>
      <c r="M73" s="168">
        <f t="shared" ref="M73:M104" si="464">IF(J73="","",VALUE(J73))</f>
        <v>5.141</v>
      </c>
      <c r="N73" s="632">
        <f t="shared" ref="N73:N104" si="465">IF(M73="","",B73)</f>
        <v>-3.4859266394726101</v>
      </c>
      <c r="O73" s="629">
        <f t="shared" ref="O73:O104" si="466">IF(M73="","",C73)</f>
        <v>-4.2122613344328892</v>
      </c>
      <c r="P73" s="633">
        <f t="shared" ref="P73:P104" si="467">IF(M73="","",D73)</f>
        <v>-0.93160280971407405</v>
      </c>
      <c r="Q73" s="585">
        <f t="shared" si="113"/>
        <v>230.38997973019482</v>
      </c>
      <c r="R73" s="629">
        <f>IF(M73="","",SQRT(N73^2+O73^2))</f>
        <v>5.467616490331336</v>
      </c>
      <c r="S73" s="634">
        <f>IF(M73="","",P73)</f>
        <v>-0.93160280971407405</v>
      </c>
      <c r="T73" s="635">
        <f>IF(M73="","",X73*COS(RADIANS(W73)))</f>
        <v>-4.2122613344328919</v>
      </c>
      <c r="U73" s="629">
        <f>IF(M73="","",X73*SIN(RADIANS(W73)))</f>
        <v>3.4859266394726078</v>
      </c>
      <c r="V73" s="636">
        <f>IF(M73="","",Y73)</f>
        <v>-0.93160280971407405</v>
      </c>
      <c r="W73" s="585">
        <f t="shared" si="224"/>
        <v>140.38997973019482</v>
      </c>
      <c r="X73" s="629">
        <f>IF(M73="","",R73)</f>
        <v>5.467616490331336</v>
      </c>
      <c r="Y73" s="630">
        <f t="shared" si="223"/>
        <v>-0.93160280971407405</v>
      </c>
      <c r="Z73" s="632">
        <f t="shared" ref="Z73:Z104" si="468">IF(M73="","",-E73)</f>
        <v>-0.51534658539746547</v>
      </c>
      <c r="AA73" s="629">
        <f t="shared" ref="AA73:AA104" si="469">IF(M73="","",-F73)</f>
        <v>0.8469121484212514</v>
      </c>
      <c r="AB73" s="629">
        <f t="shared" ref="AB73:AB104" si="470">IF(M73="","",-G73)</f>
        <v>-0.13098744128989381</v>
      </c>
      <c r="AC73" s="636">
        <f>IF(M73="","",SQRT(Z73^2+AA73^2+AB73^2))</f>
        <v>1</v>
      </c>
      <c r="AD73" s="637">
        <f>IF(M73="","",Z73*(1/SQRT(Z73^2+AA73^2+AB73^2)))</f>
        <v>-0.51534658539746547</v>
      </c>
      <c r="AE73" s="629">
        <f>IF(M73="","",AA73*(1/SQRT(Z73^2+AA73^2+AB73^2)))</f>
        <v>0.8469121484212514</v>
      </c>
      <c r="AF73" s="633">
        <f>IF(M73="","",AB73*(1/SQRT(Z73^2+AA73^2+AB73^2)))</f>
        <v>-0.13098744128989381</v>
      </c>
      <c r="AG73" s="602">
        <f>IF(M73="","",DEGREES(ATAN2(-AF73,AE73)))</f>
        <v>81.208026672868655</v>
      </c>
      <c r="AH73" s="603">
        <f>IF(M73="","",DEGREES(ACOS(AD73)))</f>
        <v>121.02062404970052</v>
      </c>
      <c r="AI73" s="585">
        <f>IF(M73="","",DEGREES(-ACOS(-AF73)))</f>
        <v>-82.473343514736683</v>
      </c>
      <c r="AJ73" s="586">
        <f>IF(M73="","",DEGREES(ATAN2(-AE73,AD73)))</f>
        <v>-148.67946049653577</v>
      </c>
      <c r="AK73" s="635">
        <f>IF(M73="","",(COS(RADIANS((90-$Q$8)-W73))*AD73)+(-SIN(RADIANS((90-$Q$8)-W73))*AE73))</f>
        <v>0.93698014921780415</v>
      </c>
      <c r="AL73" s="629">
        <f>IF(M73="","",(SIN(RADIANS((90-$Q$8)-W73))*AD73)+(COS(RADIANS((90-$Q$8)-W73))*AE73))</f>
        <v>-0.32389888884667156</v>
      </c>
      <c r="AM73" s="634">
        <f>IF(M73="","",AF73)</f>
        <v>-0.13098744128989381</v>
      </c>
      <c r="AN73" s="581">
        <f>IF(M73="","",DEGREES(ATAN2(-AM73,AL73)))</f>
        <v>-67.981176832383852</v>
      </c>
      <c r="AO73" s="582">
        <f t="shared" si="461"/>
        <v>20.44955672355913</v>
      </c>
      <c r="AP73" s="585">
        <f>IF(M73="","",DEGREES(ATAN2(AK73,AL73)))</f>
        <v>-19.06944022673061</v>
      </c>
      <c r="AQ73" s="586">
        <f t="shared" ref="AQ73:AQ104" si="471">IF(M73="","",DEGREES(ATAN(($AS$5*SIN(RADIANS(90)))/(($X73*2*PI())-($AS$5*COS(RADIANS(90)))))))</f>
        <v>0.41694335999834853</v>
      </c>
      <c r="AS73" s="52">
        <f t="shared" si="406"/>
        <v>-219.61002026980518</v>
      </c>
      <c r="AT73" s="72">
        <f t="shared" ref="AT73:AT104" si="472">IF(M73="","",Y73+(((AS73-$AS$9)*$AS$6)*-1))</f>
        <v>-0.77909585119337599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5.141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>
        <f t="shared" si="112"/>
        <v>1313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-3.7195046752660903</v>
      </c>
      <c r="C74" s="708">
        <v>-4.4170506401580152</v>
      </c>
      <c r="D74" s="709">
        <v>-1.5305046160019218</v>
      </c>
      <c r="E74" s="710">
        <v>0.42946410652804617</v>
      </c>
      <c r="F74" s="708">
        <v>-0.90014547937631717</v>
      </c>
      <c r="G74" s="711">
        <v>7.2792150417797227E-2</v>
      </c>
      <c r="H74" s="710">
        <v>0.26600000000000001</v>
      </c>
      <c r="I74" s="708">
        <v>0.52</v>
      </c>
      <c r="J74" s="570">
        <v>5.1479999999999997</v>
      </c>
      <c r="K74" s="865">
        <f>IF($J74="","",IF(IFERROR(INDEX(Settings!$AK$14:$AK$36,MATCH((((ROUND($H74,6)*2)*1000000)+ROUND($I74,6)),Settings!$AI$14:$AI$36,0)),"Undefined")="Undefined","Undefined",IFERROR(INDEX(_xlfn.ANCHORARRAY(Settings!$BC$14),MATCH(IFERROR(INDEX(Settings!$AK$14:$AK$36,MATCH((((ROUND($H74,6)*2)*1000000)+ROUND($I74,6)),Settings!$AI$14:$AI$36,0)),"Undefined"),_xlfn.ANCHORARRAY(Settings!$BC$14),0)),"Inactive")))</f>
        <v>1313</v>
      </c>
      <c r="L74" s="320"/>
      <c r="M74" s="168">
        <f t="shared" si="464"/>
        <v>5.1479999999999997</v>
      </c>
      <c r="N74" s="632">
        <f t="shared" si="465"/>
        <v>-3.7195046752660903</v>
      </c>
      <c r="O74" s="629">
        <f t="shared" si="466"/>
        <v>-4.4170506401580152</v>
      </c>
      <c r="P74" s="633">
        <f t="shared" si="467"/>
        <v>-1.5305046160019218</v>
      </c>
      <c r="Q74" s="585">
        <f t="shared" ref="Q74:Q129" si="520">IF(M74="","",IF(DEGREES(ATAN2(N74,O74))&lt;0,DEGREES(ATAN2(N74,O74))+360,IF(DEGREES(ATAN2(N74,O74))&gt;360,DEGREES(ATAN2(N74,O74))-360,DEGREES(ATAN2(N74,O74)))))</f>
        <v>229.89997980094202</v>
      </c>
      <c r="R74" s="629">
        <f>IF(M74="","",SQRT(N74^2+O74^2))</f>
        <v>5.7745174159445254</v>
      </c>
      <c r="S74" s="634">
        <f>IF(M74="","",P74)</f>
        <v>-1.5305046160019218</v>
      </c>
      <c r="T74" s="635">
        <f>IF(M74="","",X74*COS(RADIANS(W74)))</f>
        <v>-4.4170506401580143</v>
      </c>
      <c r="U74" s="629">
        <f>IF(M74="","",X74*SIN(RADIANS(W74)))</f>
        <v>3.7195046752660912</v>
      </c>
      <c r="V74" s="636">
        <f>IF(M74="","",Y74)</f>
        <v>-1.5305046160019218</v>
      </c>
      <c r="W74" s="585">
        <f t="shared" si="224"/>
        <v>139.89997980094202</v>
      </c>
      <c r="X74" s="629">
        <f>IF(M74="","",R74)</f>
        <v>5.7745174159445254</v>
      </c>
      <c r="Y74" s="630">
        <f t="shared" si="223"/>
        <v>-1.5305046160019218</v>
      </c>
      <c r="Z74" s="632">
        <f t="shared" si="468"/>
        <v>-0.42946410652804617</v>
      </c>
      <c r="AA74" s="629">
        <f t="shared" si="469"/>
        <v>0.90014547937631717</v>
      </c>
      <c r="AB74" s="629">
        <f t="shared" si="470"/>
        <v>-7.2792150417797227E-2</v>
      </c>
      <c r="AC74" s="636">
        <f>IF(M74="","",SQRT(Z74^2+AA74^2+AB74^2))</f>
        <v>1</v>
      </c>
      <c r="AD74" s="637">
        <f>IF(M74="","",Z74*(1/SQRT(Z74^2+AA74^2+AB74^2)))</f>
        <v>-0.42946410652804617</v>
      </c>
      <c r="AE74" s="629">
        <f>IF(M74="","",AA74*(1/SQRT(Z74^2+AA74^2+AB74^2)))</f>
        <v>0.90014547937631717</v>
      </c>
      <c r="AF74" s="633">
        <f>IF(M74="","",AB74*(1/SQRT(Z74^2+AA74^2+AB74^2)))</f>
        <v>-7.2792150417797227E-2</v>
      </c>
      <c r="AG74" s="602">
        <f>IF(M74="","",DEGREES(ATAN2(-AF74,AE74)))</f>
        <v>85.376717179594991</v>
      </c>
      <c r="AH74" s="603">
        <f>IF(M74="","",DEGREES(ACOS(AD74)))</f>
        <v>115.43355580622098</v>
      </c>
      <c r="AI74" s="585">
        <f>IF(M74="","",DEGREES(-ACOS(-AF74)))</f>
        <v>-85.825624991615385</v>
      </c>
      <c r="AJ74" s="586">
        <f>IF(M74="","",DEGREES(ATAN2(-AE74,AD74)))</f>
        <v>-154.4939469668227</v>
      </c>
      <c r="AK74" s="635">
        <f>IF(M74="","",(COS(RADIANS((90-$Q$8)-W74))*AD74)+(-SIN(RADIANS((90-$Q$8)-W74))*AE74))</f>
        <v>0.90831140471441829</v>
      </c>
      <c r="AL74" s="629">
        <f>IF(M74="","",(SIN(RADIANS((90-$Q$8)-W74))*AD74)+(COS(RADIANS((90-$Q$8)-W74))*AE74))</f>
        <v>-0.41191224174971169</v>
      </c>
      <c r="AM74" s="634">
        <f>IF(M74="","",AF74)</f>
        <v>-7.2792150417797227E-2</v>
      </c>
      <c r="AN74" s="581">
        <f>IF(M74="","",DEGREES(ATAN2(-AM74,AL74)))</f>
        <v>-79.978294447684931</v>
      </c>
      <c r="AO74" s="582">
        <f t="shared" si="461"/>
        <v>24.726966677607713</v>
      </c>
      <c r="AP74" s="585">
        <f>IF(M74="","",DEGREES(ATAN2(AK74,AL74)))</f>
        <v>-24.393926767764743</v>
      </c>
      <c r="AQ74" s="586">
        <f t="shared" si="471"/>
        <v>0.39478460105167507</v>
      </c>
      <c r="AS74" s="52">
        <f t="shared" si="406"/>
        <v>-220.10002019905798</v>
      </c>
      <c r="AT74" s="72">
        <f t="shared" si="472"/>
        <v>-1.377657379752576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5.1479999999999997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>
        <f t="shared" ref="IJ74:IJ137" si="542">IF(ISNUMBER($II74),INDEX($K$9:$K$150,MATCH($II74,$M$9:$M$150,0)),$K74)</f>
        <v>1313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-3.8045453529409667</v>
      </c>
      <c r="C75" s="708">
        <v>-4.4893385590280204</v>
      </c>
      <c r="D75" s="709">
        <v>-2.1834065851542603</v>
      </c>
      <c r="E75" s="710">
        <v>0.33188716255855955</v>
      </c>
      <c r="F75" s="708">
        <v>-0.94321723867896412</v>
      </c>
      <c r="G75" s="711">
        <v>1.3861889757834228E-2</v>
      </c>
      <c r="H75" s="710">
        <v>0.26600000000000001</v>
      </c>
      <c r="I75" s="708">
        <v>0.52</v>
      </c>
      <c r="J75" s="570">
        <v>5.1550000000000002</v>
      </c>
      <c r="K75" s="865">
        <f>IF($J75="","",IF(IFERROR(INDEX(Settings!$AK$14:$AK$36,MATCH((((ROUND($H75,6)*2)*1000000)+ROUND($I75,6)),Settings!$AI$14:$AI$36,0)),"Undefined")="Undefined","Undefined",IFERROR(INDEX(_xlfn.ANCHORARRAY(Settings!$BC$14),MATCH(IFERROR(INDEX(Settings!$AK$14:$AK$36,MATCH((((ROUND($H75,6)*2)*1000000)+ROUND($I75,6)),Settings!$AI$14:$AI$36,0)),"Undefined"),_xlfn.ANCHORARRAY(Settings!$BC$14),0)),"Inactive")))</f>
        <v>1313</v>
      </c>
      <c r="L75" s="320"/>
      <c r="M75" s="168">
        <f t="shared" si="464"/>
        <v>5.1550000000000002</v>
      </c>
      <c r="N75" s="632">
        <f t="shared" si="465"/>
        <v>-3.8045453529409667</v>
      </c>
      <c r="O75" s="629">
        <f t="shared" si="466"/>
        <v>-4.4893385590280204</v>
      </c>
      <c r="P75" s="633">
        <f t="shared" si="467"/>
        <v>-2.1834065851542603</v>
      </c>
      <c r="Q75" s="585">
        <f t="shared" si="520"/>
        <v>229.71997982693082</v>
      </c>
      <c r="R75" s="629">
        <f>IF(M75="","",SQRT(N75^2+O75^2))</f>
        <v>5.8846177480071287</v>
      </c>
      <c r="S75" s="634">
        <f>IF(M75="","",P75)</f>
        <v>-2.1834065851542603</v>
      </c>
      <c r="T75" s="635">
        <f>IF(M75="","",X75*COS(RADIANS(W75)))</f>
        <v>-4.4893385590280221</v>
      </c>
      <c r="U75" s="629">
        <f>IF(M75="","",X75*SIN(RADIANS(W75)))</f>
        <v>3.8045453529409654</v>
      </c>
      <c r="V75" s="636">
        <f>IF(M75="","",Y75)</f>
        <v>-2.1834065851542603</v>
      </c>
      <c r="W75" s="585">
        <f t="shared" si="224"/>
        <v>139.71997982693082</v>
      </c>
      <c r="X75" s="629">
        <f>IF(M75="","",R75)</f>
        <v>5.8846177480071287</v>
      </c>
      <c r="Y75" s="630">
        <f t="shared" si="223"/>
        <v>-2.1834065851542603</v>
      </c>
      <c r="Z75" s="632">
        <f t="shared" si="468"/>
        <v>-0.33188716255855955</v>
      </c>
      <c r="AA75" s="629">
        <f t="shared" si="469"/>
        <v>0.94321723867896412</v>
      </c>
      <c r="AB75" s="629">
        <f t="shared" si="470"/>
        <v>-1.3861889757834228E-2</v>
      </c>
      <c r="AC75" s="636">
        <f>IF(M75="","",SQRT(Z75^2+AA75^2+AB75^2))</f>
        <v>1</v>
      </c>
      <c r="AD75" s="637">
        <f>IF(M75="","",Z75*(1/SQRT(Z75^2+AA75^2+AB75^2)))</f>
        <v>-0.33188716255855955</v>
      </c>
      <c r="AE75" s="629">
        <f>IF(M75="","",AA75*(1/SQRT(Z75^2+AA75^2+AB75^2)))</f>
        <v>0.94321723867896412</v>
      </c>
      <c r="AF75" s="633">
        <f>IF(M75="","",AB75*(1/SQRT(Z75^2+AA75^2+AB75^2)))</f>
        <v>-1.3861889757834228E-2</v>
      </c>
      <c r="AG75" s="602">
        <f>IF(M75="","",DEGREES(ATAN2(-AF75,AE75)))</f>
        <v>89.158019410695658</v>
      </c>
      <c r="AH75" s="603">
        <f>IF(M75="","",DEGREES(ACOS(AD75)))</f>
        <v>109.38335866574056</v>
      </c>
      <c r="AI75" s="585">
        <f>IF(M75="","",DEGREES(-ACOS(-AF75)))</f>
        <v>-89.205746783193121</v>
      </c>
      <c r="AJ75" s="586">
        <f>IF(M75="","",DEGREES(ATAN2(-AE75,AD75)))</f>
        <v>-160.61470431239132</v>
      </c>
      <c r="AK75" s="635">
        <f>IF(M75="","",(COS(RADIANS((90-$Q$8)-W75))*AD75)+(-SIN(RADIANS((90-$Q$8)-W75))*AE75))</f>
        <v>0.86300704919538174</v>
      </c>
      <c r="AL75" s="629">
        <f>IF(M75="","",(SIN(RADIANS((90-$Q$8)-W75))*AD75)+(COS(RADIANS((90-$Q$8)-W75))*AE75))</f>
        <v>-0.50500166440460525</v>
      </c>
      <c r="AM75" s="634">
        <f>IF(M75="","",AF75)</f>
        <v>-1.3861889757834228E-2</v>
      </c>
      <c r="AN75" s="581">
        <f>IF(M75="","",DEGREES(ATAN2(-AM75,AL75)))</f>
        <v>-88.427671723140122</v>
      </c>
      <c r="AO75" s="582">
        <f t="shared" si="461"/>
        <v>30.344090443100754</v>
      </c>
      <c r="AP75" s="585">
        <f>IF(M75="","",DEGREES(ATAN2(AK75,AL75)))</f>
        <v>-30.334684139322142</v>
      </c>
      <c r="AQ75" s="586">
        <f t="shared" si="471"/>
        <v>0.38739846652572851</v>
      </c>
      <c r="AS75" s="52">
        <f t="shared" ref="AS75:AS106" si="543">IF(G75="","",IF(AND(W75&lt;(AS74+180),W75&gt;(AS74-180)),W75,IF(W75&gt;(AS74+180),W75-360,IF(W75&lt;(AS74-180),W75+360,"Error"))))</f>
        <v>-220.28002017306918</v>
      </c>
      <c r="AT75" s="72">
        <f t="shared" si="472"/>
        <v>-2.0304343489229622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5.1550000000000002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>
        <f t="shared" si="542"/>
        <v>1313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-3.83982198645539</v>
      </c>
      <c r="C76" s="708">
        <v>-4.5181593093923178</v>
      </c>
      <c r="D76" s="709">
        <v>-2.8079084686519415</v>
      </c>
      <c r="E76" s="710">
        <v>0.29882617980258153</v>
      </c>
      <c r="F76" s="708">
        <v>-0.95424471640294306</v>
      </c>
      <c r="G76" s="711">
        <v>1.0951505908418729E-2</v>
      </c>
      <c r="H76" s="710">
        <v>0.26600000000000001</v>
      </c>
      <c r="I76" s="708">
        <v>0.52</v>
      </c>
      <c r="J76" s="570">
        <v>5.1619999999999999</v>
      </c>
      <c r="K76" s="865">
        <f>IF($J76="","",IF(IFERROR(INDEX(Settings!$AK$14:$AK$36,MATCH((((ROUND($H76,6)*2)*1000000)+ROUND($I76,6)),Settings!$AI$14:$AI$36,0)),"Undefined")="Undefined","Undefined",IFERROR(INDEX(_xlfn.ANCHORARRAY(Settings!$BC$14),MATCH(IFERROR(INDEX(Settings!$AK$14:$AK$36,MATCH((((ROUND($H76,6)*2)*1000000)+ROUND($I76,6)),Settings!$AI$14:$AI$36,0)),"Undefined"),_xlfn.ANCHORARRAY(Settings!$BC$14),0)),"Inactive")))</f>
        <v>1313</v>
      </c>
      <c r="L76" s="320"/>
      <c r="M76" s="168">
        <f t="shared" si="464"/>
        <v>5.1619999999999999</v>
      </c>
      <c r="N76" s="632">
        <f t="shared" si="465"/>
        <v>-3.83982198645539</v>
      </c>
      <c r="O76" s="629">
        <f t="shared" si="466"/>
        <v>-4.5181593093923178</v>
      </c>
      <c r="P76" s="633">
        <f t="shared" si="467"/>
        <v>-2.8079084686519415</v>
      </c>
      <c r="Q76" s="585">
        <f t="shared" si="520"/>
        <v>229.63997983848139</v>
      </c>
      <c r="R76" s="629">
        <f t="shared" si="79"/>
        <v>5.9294178831243363</v>
      </c>
      <c r="S76" s="634">
        <f t="shared" si="80"/>
        <v>-2.8079084686519415</v>
      </c>
      <c r="T76" s="635">
        <f t="shared" si="81"/>
        <v>-4.5181593093923178</v>
      </c>
      <c r="U76" s="629">
        <f t="shared" si="82"/>
        <v>3.83982198645539</v>
      </c>
      <c r="V76" s="636">
        <f t="shared" si="114"/>
        <v>-2.8079084686519415</v>
      </c>
      <c r="W76" s="585">
        <f t="shared" si="224"/>
        <v>139.63997983848139</v>
      </c>
      <c r="X76" s="629">
        <f t="shared" si="83"/>
        <v>5.9294178831243363</v>
      </c>
      <c r="Y76" s="630">
        <f t="shared" ref="Y76:Y129" si="644">IF(M76="","",S76)</f>
        <v>-2.8079084686519415</v>
      </c>
      <c r="Z76" s="632">
        <f t="shared" si="468"/>
        <v>-0.29882617980258153</v>
      </c>
      <c r="AA76" s="629">
        <f t="shared" si="469"/>
        <v>0.95424471640294306</v>
      </c>
      <c r="AB76" s="629">
        <f t="shared" si="470"/>
        <v>-1.0951505908418729E-2</v>
      </c>
      <c r="AC76" s="636">
        <f t="shared" si="84"/>
        <v>1</v>
      </c>
      <c r="AD76" s="637">
        <f t="shared" si="115"/>
        <v>-0.29882617980258153</v>
      </c>
      <c r="AE76" s="629">
        <f t="shared" si="85"/>
        <v>0.95424471640294306</v>
      </c>
      <c r="AF76" s="633">
        <f t="shared" si="86"/>
        <v>-1.0951505908418729E-2</v>
      </c>
      <c r="AG76" s="602">
        <f t="shared" si="87"/>
        <v>89.342466863674801</v>
      </c>
      <c r="AH76" s="603">
        <f t="shared" si="88"/>
        <v>107.38711440477319</v>
      </c>
      <c r="AI76" s="585">
        <f t="shared" si="89"/>
        <v>-89.372512388703939</v>
      </c>
      <c r="AJ76" s="586">
        <f t="shared" si="90"/>
        <v>-162.61180959851382</v>
      </c>
      <c r="AK76" s="635">
        <f t="shared" si="211"/>
        <v>0.84566043876569519</v>
      </c>
      <c r="AL76" s="629">
        <f t="shared" si="91"/>
        <v>-0.53360892686025219</v>
      </c>
      <c r="AM76" s="634">
        <f t="shared" si="92"/>
        <v>-1.0951505908418729E-2</v>
      </c>
      <c r="AN76" s="581">
        <f t="shared" si="93"/>
        <v>-88.824256944784594</v>
      </c>
      <c r="AO76" s="582">
        <f t="shared" si="461"/>
        <v>32.257234382889784</v>
      </c>
      <c r="AP76" s="585">
        <f t="shared" si="95"/>
        <v>-32.251789436995224</v>
      </c>
      <c r="AQ76" s="586">
        <f t="shared" si="471"/>
        <v>0.38447153828106229</v>
      </c>
      <c r="AS76" s="52">
        <f t="shared" si="543"/>
        <v>-220.36002016151861</v>
      </c>
      <c r="AT76" s="72">
        <f t="shared" si="472"/>
        <v>-2.654880676873109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5.1619999999999999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>
        <f t="shared" si="542"/>
        <v>1313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-4.2197992181815307</v>
      </c>
      <c r="C77" s="708">
        <v>-3.4847209930641534</v>
      </c>
      <c r="D77" s="709">
        <v>-0.93031596101930814</v>
      </c>
      <c r="E77" s="710">
        <v>0.28898160513888504</v>
      </c>
      <c r="F77" s="708">
        <v>-0.93749189895506235</v>
      </c>
      <c r="G77" s="711">
        <v>0.19390351024410254</v>
      </c>
      <c r="H77" s="710">
        <v>0.26600000000000001</v>
      </c>
      <c r="I77" s="708">
        <v>0.52</v>
      </c>
      <c r="J77" s="570">
        <v>5.2409999999999997</v>
      </c>
      <c r="K77" s="865">
        <f>IF($J77="","",IF(IFERROR(INDEX(Settings!$AK$14:$AK$36,MATCH((((ROUND($H77,6)*2)*1000000)+ROUND($I77,6)),Settings!$AI$14:$AI$36,0)),"Undefined")="Undefined","Undefined",IFERROR(INDEX(_xlfn.ANCHORARRAY(Settings!$BC$14),MATCH(IFERROR(INDEX(Settings!$AK$14:$AK$36,MATCH((((ROUND($H77,6)*2)*1000000)+ROUND($I77,6)),Settings!$AI$14:$AI$36,0)),"Undefined"),_xlfn.ANCHORARRAY(Settings!$BC$14),0)),"Inactive")))</f>
        <v>1313</v>
      </c>
      <c r="L77" s="320"/>
      <c r="M77" s="168">
        <f t="shared" si="464"/>
        <v>5.2409999999999997</v>
      </c>
      <c r="N77" s="632">
        <f t="shared" si="465"/>
        <v>-4.2197992181815307</v>
      </c>
      <c r="O77" s="629">
        <f t="shared" si="466"/>
        <v>-3.4847209930641534</v>
      </c>
      <c r="P77" s="633">
        <f t="shared" si="467"/>
        <v>-0.93031596101930814</v>
      </c>
      <c r="Q77" s="585">
        <f t="shared" si="520"/>
        <v>219.54998129529696</v>
      </c>
      <c r="R77" s="629">
        <f t="shared" si="79"/>
        <v>5.4726580234167272</v>
      </c>
      <c r="S77" s="634">
        <f t="shared" si="80"/>
        <v>-0.93031596101930814</v>
      </c>
      <c r="T77" s="635">
        <f t="shared" si="81"/>
        <v>-3.4847209930641534</v>
      </c>
      <c r="U77" s="629">
        <f t="shared" si="82"/>
        <v>4.2197992181815307</v>
      </c>
      <c r="V77" s="636">
        <f t="shared" si="114"/>
        <v>-0.93031596101930814</v>
      </c>
      <c r="W77" s="585">
        <f t="shared" si="224"/>
        <v>129.54998129529696</v>
      </c>
      <c r="X77" s="629">
        <f t="shared" si="83"/>
        <v>5.4726580234167272</v>
      </c>
      <c r="Y77" s="630">
        <f t="shared" si="644"/>
        <v>-0.93031596101930814</v>
      </c>
      <c r="Z77" s="632">
        <f t="shared" si="468"/>
        <v>-0.28898160513888504</v>
      </c>
      <c r="AA77" s="629">
        <f t="shared" si="469"/>
        <v>0.93749189895506235</v>
      </c>
      <c r="AB77" s="629">
        <f t="shared" si="470"/>
        <v>-0.19390351024410254</v>
      </c>
      <c r="AC77" s="636">
        <f t="shared" si="84"/>
        <v>1</v>
      </c>
      <c r="AD77" s="637">
        <f t="shared" si="115"/>
        <v>-0.28898160513888504</v>
      </c>
      <c r="AE77" s="629">
        <f t="shared" si="85"/>
        <v>0.93749189895506235</v>
      </c>
      <c r="AF77" s="633">
        <f t="shared" si="86"/>
        <v>-0.19390351024410254</v>
      </c>
      <c r="AG77" s="602">
        <f t="shared" si="87"/>
        <v>78.31416670032003</v>
      </c>
      <c r="AH77" s="603">
        <f t="shared" si="88"/>
        <v>106.79699603332595</v>
      </c>
      <c r="AI77" s="585">
        <f t="shared" si="89"/>
        <v>-78.81932316576426</v>
      </c>
      <c r="AJ77" s="586">
        <f t="shared" si="90"/>
        <v>-162.86810095253949</v>
      </c>
      <c r="AK77" s="635">
        <f t="shared" si="211"/>
        <v>0.90688068340151384</v>
      </c>
      <c r="AL77" s="629">
        <f t="shared" si="91"/>
        <v>-0.3741241168225039</v>
      </c>
      <c r="AM77" s="634">
        <f t="shared" si="92"/>
        <v>-0.19390351024410254</v>
      </c>
      <c r="AN77" s="581">
        <f t="shared" si="93"/>
        <v>-62.602898651112895</v>
      </c>
      <c r="AO77" s="582">
        <f t="shared" si="461"/>
        <v>24.922217263887344</v>
      </c>
      <c r="AP77" s="585">
        <f t="shared" si="95"/>
        <v>-22.418082247836452</v>
      </c>
      <c r="AQ77" s="586">
        <f t="shared" si="471"/>
        <v>0.41655927613464916</v>
      </c>
      <c r="AS77" s="52">
        <f t="shared" si="543"/>
        <v>-230.45001870470304</v>
      </c>
      <c r="AT77" s="72">
        <f t="shared" si="472"/>
        <v>-0.77028122580770875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>Taper</v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5.2409999999999997</v>
      </c>
      <c r="IH77" s="731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5.141</v>
      </c>
      <c r="II77" s="734" cm="1">
        <f t="array" ref="II77">IFERROR(IF($IH77&lt;1,$IH77+LARGE((IF($M$9:$M$150="",0,$M$9:$M$150)-MOD(IF($M$9:$M$150="",0,$M$9:$M$150),1)),1),$IH77),"")</f>
        <v>5.141</v>
      </c>
      <c r="IJ77" s="533">
        <f t="shared" si="542"/>
        <v>1313</v>
      </c>
      <c r="IK77" s="533">
        <f t="shared" si="517"/>
        <v>1313</v>
      </c>
      <c r="IL77" s="727">
        <f t="shared" si="225"/>
        <v>10.839998434897865</v>
      </c>
      <c r="IM77" s="759">
        <v>1.0225969731633101E-3</v>
      </c>
      <c r="IN77" s="5">
        <f t="shared" si="226"/>
        <v>0</v>
      </c>
      <c r="IO77" s="771">
        <v>0</v>
      </c>
      <c r="IP77" s="9">
        <f t="shared" si="227"/>
        <v>-5.467616490331336</v>
      </c>
      <c r="IQ77" s="5">
        <f t="shared" si="228"/>
        <v>-0.93160280971407405</v>
      </c>
      <c r="IR77" s="5">
        <f t="shared" si="518"/>
        <v>0.26600000000000001</v>
      </c>
      <c r="IS77" s="5">
        <f t="shared" si="229"/>
        <v>0.24923671969193592</v>
      </c>
      <c r="IT77" s="727">
        <f t="shared" si="230"/>
        <v>67.981176832383852</v>
      </c>
      <c r="IU77" s="9">
        <f t="shared" si="231"/>
        <v>-5.4726580234167272</v>
      </c>
      <c r="IV77" s="5">
        <f t="shared" si="232"/>
        <v>-0.93031596101930814</v>
      </c>
      <c r="IW77" s="5">
        <f t="shared" si="519"/>
        <v>0.26600000000000001</v>
      </c>
      <c r="IX77" s="5">
        <f t="shared" si="233"/>
        <v>0.2412302617848027</v>
      </c>
      <c r="IY77" s="762">
        <f t="shared" si="234"/>
        <v>62.602898651112895</v>
      </c>
    </row>
    <row r="78" spans="1:259" ht="15" customHeight="1" x14ac:dyDescent="0.25">
      <c r="A78" s="79"/>
      <c r="B78" s="707">
        <v>-4.4538106689275043</v>
      </c>
      <c r="C78" s="708">
        <v>-3.6871295825038244</v>
      </c>
      <c r="D78" s="709">
        <v>-1.5292905032345991</v>
      </c>
      <c r="E78" s="710">
        <v>0.19257990674677372</v>
      </c>
      <c r="F78" s="708">
        <v>-0.97374078531520913</v>
      </c>
      <c r="G78" s="711">
        <v>0.12141607196382176</v>
      </c>
      <c r="H78" s="710">
        <v>0.26600000000000001</v>
      </c>
      <c r="I78" s="708">
        <v>0.52</v>
      </c>
      <c r="J78" s="570">
        <v>5.2480000000000002</v>
      </c>
      <c r="K78" s="865">
        <f>IF($J78="","",IF(IFERROR(INDEX(Settings!$AK$14:$AK$36,MATCH((((ROUND($H78,6)*2)*1000000)+ROUND($I78,6)),Settings!$AI$14:$AI$36,0)),"Undefined")="Undefined","Undefined",IFERROR(INDEX(_xlfn.ANCHORARRAY(Settings!$BC$14),MATCH(IFERROR(INDEX(Settings!$AK$14:$AK$36,MATCH((((ROUND($H78,6)*2)*1000000)+ROUND($I78,6)),Settings!$AI$14:$AI$36,0)),"Undefined"),_xlfn.ANCHORARRAY(Settings!$BC$14),0)),"Inactive")))</f>
        <v>1313</v>
      </c>
      <c r="L78" s="320"/>
      <c r="M78" s="168">
        <f t="shared" si="464"/>
        <v>5.2480000000000002</v>
      </c>
      <c r="N78" s="632">
        <f t="shared" si="465"/>
        <v>-4.4538106689275043</v>
      </c>
      <c r="O78" s="629">
        <f t="shared" si="466"/>
        <v>-3.6871295825038244</v>
      </c>
      <c r="P78" s="633">
        <f t="shared" si="467"/>
        <v>-1.5292905032345991</v>
      </c>
      <c r="Q78" s="585">
        <f t="shared" si="520"/>
        <v>219.61998128519019</v>
      </c>
      <c r="R78" s="629">
        <f>IF(M78="","",SQRT(N78^2+O78^2))</f>
        <v>5.7819853020244949</v>
      </c>
      <c r="S78" s="634">
        <f>IF(M78="","",P78)</f>
        <v>-1.5292905032345991</v>
      </c>
      <c r="T78" s="635">
        <f>IF(M78="","",X78*COS(RADIANS(W78)))</f>
        <v>-3.6871295825038244</v>
      </c>
      <c r="U78" s="629">
        <f>IF(M78="","",X78*SIN(RADIANS(W78)))</f>
        <v>4.4538106689275034</v>
      </c>
      <c r="V78" s="636">
        <f>IF(M78="","",Y78)</f>
        <v>-1.5292905032345991</v>
      </c>
      <c r="W78" s="585">
        <f t="shared" si="224"/>
        <v>129.61998128519019</v>
      </c>
      <c r="X78" s="629">
        <f>IF(M78="","",R78)</f>
        <v>5.7819853020244949</v>
      </c>
      <c r="Y78" s="630">
        <f t="shared" si="644"/>
        <v>-1.5292905032345991</v>
      </c>
      <c r="Z78" s="632">
        <f t="shared" si="468"/>
        <v>-0.19257990674677372</v>
      </c>
      <c r="AA78" s="629">
        <f t="shared" si="469"/>
        <v>0.97374078531520913</v>
      </c>
      <c r="AB78" s="629">
        <f t="shared" si="470"/>
        <v>-0.12141607196382176</v>
      </c>
      <c r="AC78" s="636">
        <f>IF(M78="","",SQRT(Z78^2+AA78^2+AB78^2))</f>
        <v>1</v>
      </c>
      <c r="AD78" s="637">
        <f>IF(M78="","",Z78*(1/SQRT(Z78^2+AA78^2+AB78^2)))</f>
        <v>-0.19257990674677372</v>
      </c>
      <c r="AE78" s="629">
        <f>IF(M78="","",AA78*(1/SQRT(Z78^2+AA78^2+AB78^2)))</f>
        <v>0.97374078531520913</v>
      </c>
      <c r="AF78" s="633">
        <f>IF(M78="","",AB78*(1/SQRT(Z78^2+AA78^2+AB78^2)))</f>
        <v>-0.12141607196382176</v>
      </c>
      <c r="AG78" s="602">
        <f>IF(M78="","",DEGREES(ATAN2(-AF78,AE78)))</f>
        <v>82.892453432984865</v>
      </c>
      <c r="AH78" s="603">
        <f>IF(M78="","",DEGREES(ACOS(AD78)))</f>
        <v>101.10338303695906</v>
      </c>
      <c r="AI78" s="585">
        <f>IF(M78="","",DEGREES(-ACOS(-AF78)))</f>
        <v>-83.026164842151857</v>
      </c>
      <c r="AJ78" s="586">
        <f>IF(M78="","",DEGREES(ATAN2(-AE78,AD78)))</f>
        <v>-168.81279468982208</v>
      </c>
      <c r="AK78" s="635">
        <f>IF(M78="","",(COS(RADIANS((90-$Q$8)-W78))*AD78)+(-SIN(RADIANS((90-$Q$8)-W78))*AE78))</f>
        <v>0.87287045987499479</v>
      </c>
      <c r="AL78" s="629">
        <f>IF(M78="","",(SIN(RADIANS((90-$Q$8)-W78))*AD78)+(COS(RADIANS((90-$Q$8)-W78))*AE78))</f>
        <v>-0.47260480080770584</v>
      </c>
      <c r="AM78" s="634">
        <f>IF(M78="","",AF78)</f>
        <v>-0.12141607196382176</v>
      </c>
      <c r="AN78" s="581">
        <f>IF(M78="","",DEGREES(ATAN2(-AM78,AL78)))</f>
        <v>-75.591835932950573</v>
      </c>
      <c r="AO78" s="582">
        <f t="shared" si="461"/>
        <v>29.206061536205972</v>
      </c>
      <c r="AP78" s="585">
        <f>IF(M78="","",DEGREES(ATAN2(AK78,AL78)))</f>
        <v>-28.432775975012291</v>
      </c>
      <c r="AQ78" s="586">
        <f t="shared" si="471"/>
        <v>0.39427472198048297</v>
      </c>
      <c r="AS78" s="52">
        <f t="shared" si="543"/>
        <v>-230.38001871480981</v>
      </c>
      <c r="AT78" s="72">
        <f t="shared" si="472"/>
        <v>-1.3693043791270922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>Taper</v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5.2480000000000002</v>
      </c>
      <c r="IH78" s="731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5.1479999999999997</v>
      </c>
      <c r="II78" s="734" cm="1">
        <f t="array" ref="II78">IFERROR(IF($IH78&lt;1,$IH78+LARGE((IF($M$9:$M$150="",0,$M$9:$M$150)-MOD(IF($M$9:$M$150="",0,$M$9:$M$150),1)),1),$IH78),"")</f>
        <v>5.1479999999999997</v>
      </c>
      <c r="IJ78" s="533">
        <f t="shared" si="542"/>
        <v>1313</v>
      </c>
      <c r="IK78" s="533">
        <f t="shared" si="517"/>
        <v>1313</v>
      </c>
      <c r="IL78" s="727">
        <f t="shared" si="225"/>
        <v>10.279998515751828</v>
      </c>
      <c r="IM78" s="759">
        <v>7.9523933432725403E-4</v>
      </c>
      <c r="IN78" s="5">
        <f t="shared" si="226"/>
        <v>0</v>
      </c>
      <c r="IO78" s="771">
        <v>0</v>
      </c>
      <c r="IP78" s="9">
        <f t="shared" si="227"/>
        <v>-5.7745174159445254</v>
      </c>
      <c r="IQ78" s="5">
        <f t="shared" si="228"/>
        <v>-1.5305046160019218</v>
      </c>
      <c r="IR78" s="5">
        <f t="shared" si="518"/>
        <v>0.26600000000000001</v>
      </c>
      <c r="IS78" s="5">
        <f t="shared" si="229"/>
        <v>0.24161083365403527</v>
      </c>
      <c r="IT78" s="727">
        <f t="shared" si="230"/>
        <v>79.978294447684931</v>
      </c>
      <c r="IU78" s="9">
        <f t="shared" si="231"/>
        <v>-5.7819853020244949</v>
      </c>
      <c r="IV78" s="5">
        <f t="shared" si="232"/>
        <v>-1.5292905032345991</v>
      </c>
      <c r="IW78" s="5">
        <f t="shared" si="519"/>
        <v>0.26600000000000001</v>
      </c>
      <c r="IX78" s="5">
        <f t="shared" si="233"/>
        <v>0.23218354232674865</v>
      </c>
      <c r="IY78" s="762">
        <f t="shared" si="234"/>
        <v>75.591835932950573</v>
      </c>
    </row>
    <row r="79" spans="1:259" ht="15" customHeight="1" x14ac:dyDescent="0.25">
      <c r="A79" s="79"/>
      <c r="B79" s="707">
        <v>-4.5359583873317577</v>
      </c>
      <c r="C79" s="708">
        <v>-3.7551363535991151</v>
      </c>
      <c r="D79" s="709">
        <v>-2.1861087203157958</v>
      </c>
      <c r="E79" s="710">
        <v>0.1301821654151771</v>
      </c>
      <c r="F79" s="708">
        <v>-0.99112014003229687</v>
      </c>
      <c r="G79" s="711">
        <v>2.7082685062154447E-2</v>
      </c>
      <c r="H79" s="710">
        <v>0.26600000000000001</v>
      </c>
      <c r="I79" s="708">
        <v>0.52</v>
      </c>
      <c r="J79" s="570">
        <v>5.2549999999999999</v>
      </c>
      <c r="K79" s="865">
        <f>IF($J79="","",IF(IFERROR(INDEX(Settings!$AK$14:$AK$36,MATCH((((ROUND($H79,6)*2)*1000000)+ROUND($I79,6)),Settings!$AI$14:$AI$36,0)),"Undefined")="Undefined","Undefined",IFERROR(INDEX(_xlfn.ANCHORARRAY(Settings!$BC$14),MATCH(IFERROR(INDEX(Settings!$AK$14:$AK$36,MATCH((((ROUND($H79,6)*2)*1000000)+ROUND($I79,6)),Settings!$AI$14:$AI$36,0)),"Undefined"),_xlfn.ANCHORARRAY(Settings!$BC$14),0)),"Inactive")))</f>
        <v>1313</v>
      </c>
      <c r="L79" s="320"/>
      <c r="M79" s="168">
        <f t="shared" si="464"/>
        <v>5.2549999999999999</v>
      </c>
      <c r="N79" s="632">
        <f t="shared" si="465"/>
        <v>-4.5359583873317577</v>
      </c>
      <c r="O79" s="629">
        <f t="shared" si="466"/>
        <v>-3.7551363535991151</v>
      </c>
      <c r="P79" s="633">
        <f t="shared" si="467"/>
        <v>-2.1861087203157958</v>
      </c>
      <c r="Q79" s="585">
        <f t="shared" si="520"/>
        <v>219.61998128519019</v>
      </c>
      <c r="R79" s="629">
        <f>IF(M79="","",SQRT(N79^2+O79^2))</f>
        <v>5.8886303607653092</v>
      </c>
      <c r="S79" s="634">
        <f>IF(M79="","",P79)</f>
        <v>-2.1861087203157958</v>
      </c>
      <c r="T79" s="635">
        <f>IF(M79="","",X79*COS(RADIANS(W79)))</f>
        <v>-3.7551363535991151</v>
      </c>
      <c r="U79" s="629">
        <f>IF(M79="","",X79*SIN(RADIANS(W79)))</f>
        <v>4.5359583873317568</v>
      </c>
      <c r="V79" s="636">
        <f>IF(M79="","",Y79)</f>
        <v>-2.1861087203157958</v>
      </c>
      <c r="W79" s="585">
        <f t="shared" ref="W79:W129" si="645">IF(M79="","",IF(Q79-$Q$8&lt;0,360+Q79-$Q$8,Q79-$Q$8))</f>
        <v>129.61998128519019</v>
      </c>
      <c r="X79" s="629">
        <f>IF(M79="","",R79)</f>
        <v>5.8886303607653092</v>
      </c>
      <c r="Y79" s="630">
        <f t="shared" si="644"/>
        <v>-2.1861087203157958</v>
      </c>
      <c r="Z79" s="632">
        <f t="shared" si="468"/>
        <v>-0.1301821654151771</v>
      </c>
      <c r="AA79" s="629">
        <f t="shared" si="469"/>
        <v>0.99112014003229687</v>
      </c>
      <c r="AB79" s="629">
        <f t="shared" si="470"/>
        <v>-2.7082685062154447E-2</v>
      </c>
      <c r="AC79" s="636">
        <f>IF(M79="","",SQRT(Z79^2+AA79^2+AB79^2))</f>
        <v>1</v>
      </c>
      <c r="AD79" s="637">
        <f>IF(M79="","",Z79*(1/SQRT(Z79^2+AA79^2+AB79^2)))</f>
        <v>-0.1301821654151771</v>
      </c>
      <c r="AE79" s="629">
        <f>IF(M79="","",AA79*(1/SQRT(Z79^2+AA79^2+AB79^2)))</f>
        <v>0.99112014003229687</v>
      </c>
      <c r="AF79" s="633">
        <f>IF(M79="","",AB79*(1/SQRT(Z79^2+AA79^2+AB79^2)))</f>
        <v>-2.7082685062154447E-2</v>
      </c>
      <c r="AG79" s="602">
        <f>IF(M79="","",DEGREES(ATAN2(-AF79,AE79)))</f>
        <v>88.434763403705972</v>
      </c>
      <c r="AH79" s="603">
        <f>IF(M79="","",DEGREES(ACOS(AD79)))</f>
        <v>97.48011908184786</v>
      </c>
      <c r="AI79" s="585">
        <f>IF(M79="","",DEGREES(-ACOS(-AF79)))</f>
        <v>-88.448086694500446</v>
      </c>
      <c r="AJ79" s="586">
        <f>IF(M79="","",DEGREES(ATAN2(-AE79,AD79)))</f>
        <v>-172.51712047028769</v>
      </c>
      <c r="AK79" s="635">
        <f>IF(M79="","",(COS(RADIANS((90-$Q$8)-W79))*AD79)+(-SIN(RADIANS((90-$Q$8)-W79))*AE79))</f>
        <v>0.84646703708634519</v>
      </c>
      <c r="AL79" s="629">
        <f>IF(M79="","",(SIN(RADIANS((90-$Q$8)-W79))*AD79)+(COS(RADIANS((90-$Q$8)-W79))*AE79))</f>
        <v>-0.53175190013397045</v>
      </c>
      <c r="AM79" s="634">
        <f>IF(M79="","",AF79)</f>
        <v>-2.7082685062154447E-2</v>
      </c>
      <c r="AN79" s="581">
        <f>IF(M79="","",DEGREES(ATAN2(-AM79,AL79)))</f>
        <v>-87.084384791873916</v>
      </c>
      <c r="AO79" s="582">
        <f t="shared" si="461"/>
        <v>32.170540892960148</v>
      </c>
      <c r="AP79" s="585">
        <f>IF(M79="","",DEGREES(ATAN2(AK79,AL79)))</f>
        <v>-32.137101755477893</v>
      </c>
      <c r="AQ79" s="586">
        <f t="shared" si="471"/>
        <v>0.38713449466703875</v>
      </c>
      <c r="AS79" s="52">
        <f t="shared" si="543"/>
        <v>-230.38001871480981</v>
      </c>
      <c r="AT79" s="72">
        <f t="shared" si="472"/>
        <v>-2.0261225962082889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>Taper</v>
      </c>
      <c r="IF79" s="533" t="str">
        <f>IFERROR(IF((((($IW79*COS(RADIANS(180-$IY79)))*COS(RADIANS($IY79)))-(($IX79*SIN(RADIANS(180-$IY79)))*SIN(RADIANS($IY79))))+$IU79)&lt;(((Settings!$C$19+$IF$8)/2)*-1),"Gage",""),"")</f>
        <v>Gage</v>
      </c>
      <c r="IG79" s="847">
        <f t="shared" si="643"/>
        <v>5.2549999999999999</v>
      </c>
      <c r="IH79" s="731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5.1550000000000002</v>
      </c>
      <c r="II79" s="734" cm="1">
        <f t="array" ref="II79">IFERROR(IF($IH79&lt;1,$IH79+LARGE((IF($M$9:$M$150="",0,$M$9:$M$150)-MOD(IF($M$9:$M$150="",0,$M$9:$M$150),1)),1),$IH79),"")</f>
        <v>5.1550000000000002</v>
      </c>
      <c r="IJ79" s="533">
        <f t="shared" si="542"/>
        <v>1313</v>
      </c>
      <c r="IK79" s="533">
        <f t="shared" si="517"/>
        <v>1313</v>
      </c>
      <c r="IL79" s="727">
        <f t="shared" si="225"/>
        <v>10.099998541740632</v>
      </c>
      <c r="IM79" s="759">
        <v>1.3423354300617801E-4</v>
      </c>
      <c r="IN79" s="5">
        <f t="shared" si="226"/>
        <v>0</v>
      </c>
      <c r="IO79" s="771">
        <v>0</v>
      </c>
      <c r="IP79" s="9">
        <f t="shared" si="227"/>
        <v>-5.8846177480071287</v>
      </c>
      <c r="IQ79" s="5">
        <f t="shared" si="228"/>
        <v>-2.1834065851542603</v>
      </c>
      <c r="IR79" s="5">
        <f t="shared" si="518"/>
        <v>0.26600000000000001</v>
      </c>
      <c r="IS79" s="5">
        <f t="shared" si="229"/>
        <v>0.22955987508597159</v>
      </c>
      <c r="IT79" s="727">
        <f t="shared" si="230"/>
        <v>88.427671723140122</v>
      </c>
      <c r="IU79" s="9">
        <f t="shared" si="231"/>
        <v>-5.8886303607653092</v>
      </c>
      <c r="IV79" s="5">
        <f t="shared" si="232"/>
        <v>-2.1861087203157958</v>
      </c>
      <c r="IW79" s="5">
        <f t="shared" si="519"/>
        <v>0.26600000000000001</v>
      </c>
      <c r="IX79" s="5">
        <f t="shared" si="233"/>
        <v>0.22516023186496784</v>
      </c>
      <c r="IY79" s="762">
        <f t="shared" si="234"/>
        <v>87.084384791873916</v>
      </c>
    </row>
    <row r="80" spans="1:259" ht="15" customHeight="1" x14ac:dyDescent="0.25">
      <c r="A80" s="79"/>
      <c r="B80" s="707">
        <v>-4.9515414974544809</v>
      </c>
      <c r="C80" s="708">
        <v>-3.7312513717231983</v>
      </c>
      <c r="D80" s="709">
        <v>-2.8079000000000001</v>
      </c>
      <c r="E80" s="710">
        <v>-0.79863572539588401</v>
      </c>
      <c r="F80" s="708">
        <v>-0.60181473737470936</v>
      </c>
      <c r="G80" s="711">
        <v>0</v>
      </c>
      <c r="H80" s="710">
        <v>0.25700000000000001</v>
      </c>
      <c r="I80" s="708">
        <v>0.71</v>
      </c>
      <c r="J80" s="570">
        <v>5.3010000000000002</v>
      </c>
      <c r="K80" s="865" t="str">
        <f>IF($J80="","",IF(IFERROR(INDEX(Settings!$AK$14:$AK$36,MATCH((((ROUND($H80,6)*2)*1000000)+ROUND($I80,6)),Settings!$AI$14:$AI$36,0)),"Undefined")="Undefined","Undefined",IFERROR(INDEX(_xlfn.ANCHORARRAY(Settings!$BC$14),MATCH(IFERROR(INDEX(Settings!$AK$14:$AK$36,MATCH((((ROUND($H80,6)*2)*1000000)+ROUND($I80,6)),Settings!$AI$14:$AI$36,0)),"Undefined"),_xlfn.ANCHORARRAY(Settings!$BC$14),0)),"Inactive")))</f>
        <v>Inactive</v>
      </c>
      <c r="L80" s="320"/>
      <c r="M80" s="168">
        <f t="shared" si="464"/>
        <v>5.3010000000000002</v>
      </c>
      <c r="N80" s="632">
        <f t="shared" si="465"/>
        <v>-4.9515414974544809</v>
      </c>
      <c r="O80" s="629">
        <f t="shared" si="466"/>
        <v>-3.7312513717231983</v>
      </c>
      <c r="P80" s="633">
        <f t="shared" si="467"/>
        <v>-2.8079000000000001</v>
      </c>
      <c r="Q80" s="585">
        <f t="shared" si="520"/>
        <v>216.99997949773959</v>
      </c>
      <c r="R80" s="629">
        <f t="shared" si="79"/>
        <v>6.2000000000000011</v>
      </c>
      <c r="S80" s="634">
        <f t="shared" si="80"/>
        <v>-2.8079000000000001</v>
      </c>
      <c r="T80" s="635">
        <f t="shared" si="81"/>
        <v>-3.7312513717231974</v>
      </c>
      <c r="U80" s="629">
        <f t="shared" si="82"/>
        <v>4.9515414974544818</v>
      </c>
      <c r="V80" s="636">
        <f t="shared" si="114"/>
        <v>-2.8079000000000001</v>
      </c>
      <c r="W80" s="585">
        <f t="shared" si="645"/>
        <v>126.99997949773959</v>
      </c>
      <c r="X80" s="629">
        <f t="shared" si="83"/>
        <v>6.2000000000000011</v>
      </c>
      <c r="Y80" s="630">
        <f t="shared" si="644"/>
        <v>-2.8079000000000001</v>
      </c>
      <c r="Z80" s="632">
        <f t="shared" si="468"/>
        <v>0.79863572539588401</v>
      </c>
      <c r="AA80" s="629">
        <f t="shared" si="469"/>
        <v>0.60181473737470936</v>
      </c>
      <c r="AB80" s="629">
        <f t="shared" si="470"/>
        <v>0</v>
      </c>
      <c r="AC80" s="636">
        <f t="shared" si="84"/>
        <v>1</v>
      </c>
      <c r="AD80" s="637">
        <f t="shared" si="115"/>
        <v>0.79863572539588401</v>
      </c>
      <c r="AE80" s="629">
        <f t="shared" si="85"/>
        <v>0.60181473737470936</v>
      </c>
      <c r="AF80" s="633">
        <f t="shared" si="86"/>
        <v>0</v>
      </c>
      <c r="AG80" s="602">
        <f t="shared" si="87"/>
        <v>90</v>
      </c>
      <c r="AH80" s="603">
        <f t="shared" si="88"/>
        <v>36.999979497739574</v>
      </c>
      <c r="AI80" s="585">
        <f t="shared" si="89"/>
        <v>-90</v>
      </c>
      <c r="AJ80" s="586">
        <f t="shared" si="90"/>
        <v>126.99997949773959</v>
      </c>
      <c r="AK80" s="635">
        <f t="shared" si="211"/>
        <v>1.6653345369377348E-16</v>
      </c>
      <c r="AL80" s="629">
        <f t="shared" si="91"/>
        <v>-1</v>
      </c>
      <c r="AM80" s="634">
        <f t="shared" si="92"/>
        <v>0</v>
      </c>
      <c r="AN80" s="581">
        <f t="shared" si="93"/>
        <v>-90</v>
      </c>
      <c r="AO80" s="582">
        <f t="shared" si="461"/>
        <v>0</v>
      </c>
      <c r="AP80" s="585">
        <f t="shared" si="95"/>
        <v>-90</v>
      </c>
      <c r="AQ80" s="586">
        <f t="shared" si="471"/>
        <v>0.36769279613469619</v>
      </c>
      <c r="AS80" s="52">
        <f t="shared" si="543"/>
        <v>-233.00002050226041</v>
      </c>
      <c r="AT80" s="72">
        <f t="shared" si="472"/>
        <v>-2.6460944302067637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>Taper</v>
      </c>
      <c r="IF80" s="533" t="str">
        <f>IFERROR(IF((((($IW80*COS(RADIANS(180-$IY80)))*COS(RADIANS($IY80)))-(($IX80*SIN(RADIANS(180-$IY80)))*SIN(RADIANS($IY80))))+$IU80)&lt;(((Settings!$C$19+$IF$8)/2)*-1),"Gage",""),"")</f>
        <v>Gage</v>
      </c>
      <c r="IG80" s="847">
        <f t="shared" si="643"/>
        <v>5.3010000000000002</v>
      </c>
      <c r="IH80" s="731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4.3010000000000002</v>
      </c>
      <c r="II80" s="734" cm="1">
        <f t="array" ref="II80">IFERROR(IF($IH80&lt;1,$IH80+LARGE((IF($M$9:$M$150="",0,$M$9:$M$150)-MOD(IF($M$9:$M$150="",0,$M$9:$M$150),1)),1),$IH80),"")</f>
        <v>4.3010000000000002</v>
      </c>
      <c r="IJ80" s="533" t="str">
        <f t="shared" si="542"/>
        <v>Inactive</v>
      </c>
      <c r="IK80" s="533" t="str">
        <f t="shared" si="517"/>
        <v>Inactive</v>
      </c>
      <c r="IL80" s="727">
        <f t="shared" si="225"/>
        <v>53.999992203365792</v>
      </c>
      <c r="IM80" s="759">
        <v>9.0113605118543605E-2</v>
      </c>
      <c r="IN80" s="5">
        <f t="shared" si="226"/>
        <v>0.6</v>
      </c>
      <c r="IO80" s="771">
        <v>300</v>
      </c>
      <c r="IP80" s="9">
        <f t="shared" si="227"/>
        <v>-6.2</v>
      </c>
      <c r="IQ80" s="5">
        <f t="shared" si="228"/>
        <v>-2.2738</v>
      </c>
      <c r="IR80" s="5">
        <f t="shared" si="518"/>
        <v>0.25700000000000001</v>
      </c>
      <c r="IS80" s="5">
        <f t="shared" si="229"/>
        <v>0.25700000000000001</v>
      </c>
      <c r="IT80" s="727">
        <f t="shared" si="230"/>
        <v>90</v>
      </c>
      <c r="IU80" s="9">
        <f t="shared" si="231"/>
        <v>-6.2000000000000011</v>
      </c>
      <c r="IV80" s="5">
        <f t="shared" si="232"/>
        <v>-2.8079000000000001</v>
      </c>
      <c r="IW80" s="5">
        <f t="shared" si="519"/>
        <v>0.25700000000000001</v>
      </c>
      <c r="IX80" s="5">
        <f t="shared" si="233"/>
        <v>0.25700000000000001</v>
      </c>
      <c r="IY80" s="762">
        <f t="shared" si="234"/>
        <v>90</v>
      </c>
    </row>
    <row r="81" spans="1:259" ht="15" customHeight="1" x14ac:dyDescent="0.25">
      <c r="A81" s="79"/>
      <c r="B81" s="707">
        <v>-3.5857595995732807</v>
      </c>
      <c r="C81" s="708">
        <v>-0.37687764352968189</v>
      </c>
      <c r="D81" s="709">
        <v>-4.5800138133216692E-2</v>
      </c>
      <c r="E81" s="710">
        <v>0.10770448722957675</v>
      </c>
      <c r="F81" s="708">
        <v>-0.95992622949796269</v>
      </c>
      <c r="G81" s="711">
        <v>0.25873031780686001</v>
      </c>
      <c r="H81" s="710">
        <v>0.26600000000000001</v>
      </c>
      <c r="I81" s="708">
        <v>0.52</v>
      </c>
      <c r="J81" s="570">
        <v>6.1189999999999998</v>
      </c>
      <c r="K81" s="865">
        <f>IF($J81="","",IF(IFERROR(INDEX(Settings!$AK$14:$AK$36,MATCH((((ROUND($H81,6)*2)*1000000)+ROUND($I81,6)),Settings!$AI$14:$AI$36,0)),"Undefined")="Undefined","Undefined",IFERROR(INDEX(_xlfn.ANCHORARRAY(Settings!$BC$14),MATCH(IFERROR(INDEX(Settings!$AK$14:$AK$36,MATCH((((ROUND($H81,6)*2)*1000000)+ROUND($I81,6)),Settings!$AI$14:$AI$36,0)),"Undefined"),_xlfn.ANCHORARRAY(Settings!$BC$14),0)),"Inactive")))</f>
        <v>1313</v>
      </c>
      <c r="L81" s="320"/>
      <c r="M81" s="168">
        <f t="shared" si="464"/>
        <v>6.1189999999999998</v>
      </c>
      <c r="N81" s="632">
        <f t="shared" si="465"/>
        <v>-3.5857595995732807</v>
      </c>
      <c r="O81" s="629">
        <f t="shared" si="466"/>
        <v>-0.37687764352968189</v>
      </c>
      <c r="P81" s="633">
        <f t="shared" si="467"/>
        <v>-4.5800138133216692E-2</v>
      </c>
      <c r="Q81" s="585">
        <f t="shared" si="520"/>
        <v>185.99998613931692</v>
      </c>
      <c r="R81" s="629">
        <f t="shared" si="79"/>
        <v>3.6055108742207973</v>
      </c>
      <c r="S81" s="634">
        <f t="shared" si="80"/>
        <v>-4.5800138133216692E-2</v>
      </c>
      <c r="T81" s="635">
        <f t="shared" si="81"/>
        <v>-0.37687764352968223</v>
      </c>
      <c r="U81" s="629">
        <f t="shared" si="82"/>
        <v>3.5857595995732803</v>
      </c>
      <c r="V81" s="636">
        <f t="shared" si="114"/>
        <v>-4.5800138133216692E-2</v>
      </c>
      <c r="W81" s="585">
        <f t="shared" si="645"/>
        <v>95.999986139316917</v>
      </c>
      <c r="X81" s="629">
        <f t="shared" si="83"/>
        <v>3.6055108742207973</v>
      </c>
      <c r="Y81" s="630">
        <f t="shared" si="644"/>
        <v>-4.5800138133216692E-2</v>
      </c>
      <c r="Z81" s="632">
        <f t="shared" si="468"/>
        <v>-0.10770448722957675</v>
      </c>
      <c r="AA81" s="629">
        <f t="shared" si="469"/>
        <v>0.95992622949796269</v>
      </c>
      <c r="AB81" s="629">
        <f t="shared" si="470"/>
        <v>-0.25873031780686001</v>
      </c>
      <c r="AC81" s="636">
        <f t="shared" si="84"/>
        <v>1</v>
      </c>
      <c r="AD81" s="637">
        <f t="shared" si="115"/>
        <v>-0.10770448722957675</v>
      </c>
      <c r="AE81" s="629">
        <f t="shared" si="85"/>
        <v>0.95992622949796269</v>
      </c>
      <c r="AF81" s="633">
        <f t="shared" si="86"/>
        <v>-0.25873031780686001</v>
      </c>
      <c r="AG81" s="602">
        <f t="shared" si="87"/>
        <v>74.915449155565526</v>
      </c>
      <c r="AH81" s="603">
        <f t="shared" si="88"/>
        <v>96.18300615510671</v>
      </c>
      <c r="AI81" s="585">
        <f t="shared" si="89"/>
        <v>-75.005262968311385</v>
      </c>
      <c r="AJ81" s="586">
        <f t="shared" si="90"/>
        <v>-173.59814269186703</v>
      </c>
      <c r="AK81" s="635">
        <f t="shared" si="211"/>
        <v>0.96592583607220739</v>
      </c>
      <c r="AL81" s="629">
        <f t="shared" si="91"/>
        <v>6.7750908310120206E-3</v>
      </c>
      <c r="AM81" s="634">
        <f t="shared" si="92"/>
        <v>-0.25873031780686001</v>
      </c>
      <c r="AN81" s="581">
        <f t="shared" si="93"/>
        <v>1.4999997834268211</v>
      </c>
      <c r="AO81" s="582">
        <f t="shared" si="461"/>
        <v>14.999997834268255</v>
      </c>
      <c r="AP81" s="585">
        <f t="shared" si="95"/>
        <v>0.40187116881605195</v>
      </c>
      <c r="AQ81" s="586">
        <f t="shared" si="471"/>
        <v>0.63226382453375551</v>
      </c>
      <c r="AS81" s="52">
        <f t="shared" si="543"/>
        <v>-264.00001386068311</v>
      </c>
      <c r="AT81" s="72">
        <f t="shared" si="472"/>
        <v>0.137533204825591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6.1189999999999998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>
        <f t="shared" si="542"/>
        <v>1313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-4.2450206775711443</v>
      </c>
      <c r="C82" s="708">
        <v>-0.42969541353716501</v>
      </c>
      <c r="D82" s="709">
        <v>-0.11200033779301871</v>
      </c>
      <c r="E82" s="710">
        <v>-6.0269432108456464E-3</v>
      </c>
      <c r="F82" s="708">
        <v>-0.9699580135431829</v>
      </c>
      <c r="G82" s="711">
        <v>0.24319771363829865</v>
      </c>
      <c r="H82" s="710">
        <v>0.26600000000000001</v>
      </c>
      <c r="I82" s="708">
        <v>0.52</v>
      </c>
      <c r="J82" s="570">
        <v>6.1260000000000003</v>
      </c>
      <c r="K82" s="865">
        <f>IF($J82="","",IF(IFERROR(INDEX(Settings!$AK$14:$AK$36,MATCH((((ROUND($H82,6)*2)*1000000)+ROUND($I82,6)),Settings!$AI$14:$AI$36,0)),"Undefined")="Undefined","Undefined",IFERROR(INDEX(_xlfn.ANCHORARRAY(Settings!$BC$14),MATCH(IFERROR(INDEX(Settings!$AK$14:$AK$36,MATCH((((ROUND($H82,6)*2)*1000000)+ROUND($I82,6)),Settings!$AI$14:$AI$36,0)),"Undefined"),_xlfn.ANCHORARRAY(Settings!$BC$14),0)),"Inactive")))</f>
        <v>1313</v>
      </c>
      <c r="L82" s="320"/>
      <c r="M82" s="168">
        <f t="shared" si="464"/>
        <v>6.1260000000000003</v>
      </c>
      <c r="N82" s="632">
        <f t="shared" si="465"/>
        <v>-4.2450206775711443</v>
      </c>
      <c r="O82" s="629">
        <f t="shared" si="466"/>
        <v>-0.42969541353716501</v>
      </c>
      <c r="P82" s="633">
        <f t="shared" si="467"/>
        <v>-0.11200033779301871</v>
      </c>
      <c r="Q82" s="585">
        <f t="shared" si="520"/>
        <v>185.77998617108099</v>
      </c>
      <c r="R82" s="629">
        <f t="shared" si="79"/>
        <v>4.2667128684060112</v>
      </c>
      <c r="S82" s="634">
        <f t="shared" si="80"/>
        <v>-0.11200033779301871</v>
      </c>
      <c r="T82" s="635">
        <f t="shared" si="81"/>
        <v>-0.42969541353716595</v>
      </c>
      <c r="U82" s="629">
        <f t="shared" si="82"/>
        <v>4.2450206775711443</v>
      </c>
      <c r="V82" s="636">
        <f t="shared" si="114"/>
        <v>-0.11200033779301871</v>
      </c>
      <c r="W82" s="585">
        <f t="shared" si="645"/>
        <v>95.779986171080992</v>
      </c>
      <c r="X82" s="629">
        <f t="shared" si="83"/>
        <v>4.2667128684060112</v>
      </c>
      <c r="Y82" s="630">
        <f t="shared" si="644"/>
        <v>-0.11200033779301871</v>
      </c>
      <c r="Z82" s="632">
        <f t="shared" si="468"/>
        <v>6.0269432108456464E-3</v>
      </c>
      <c r="AA82" s="629">
        <f t="shared" si="469"/>
        <v>0.9699580135431829</v>
      </c>
      <c r="AB82" s="629">
        <f t="shared" si="470"/>
        <v>-0.24319771363829865</v>
      </c>
      <c r="AC82" s="636">
        <f t="shared" si="84"/>
        <v>1</v>
      </c>
      <c r="AD82" s="637">
        <f t="shared" si="115"/>
        <v>6.0269432108456464E-3</v>
      </c>
      <c r="AE82" s="629">
        <f t="shared" si="85"/>
        <v>0.9699580135431829</v>
      </c>
      <c r="AF82" s="633">
        <f t="shared" si="86"/>
        <v>-0.24319771363829865</v>
      </c>
      <c r="AG82" s="602">
        <f t="shared" si="87"/>
        <v>75.924389896976308</v>
      </c>
      <c r="AH82" s="603">
        <f t="shared" si="88"/>
        <v>89.654679500059132</v>
      </c>
      <c r="AI82" s="585">
        <f t="shared" si="89"/>
        <v>-75.924650810796521</v>
      </c>
      <c r="AJ82" s="586">
        <f t="shared" si="90"/>
        <v>179.6439908114605</v>
      </c>
      <c r="AK82" s="635">
        <f t="shared" si="211"/>
        <v>0.96441973034585016</v>
      </c>
      <c r="AL82" s="629">
        <f t="shared" si="91"/>
        <v>-0.10367958237156391</v>
      </c>
      <c r="AM82" s="634">
        <f t="shared" si="92"/>
        <v>-0.24319771363829865</v>
      </c>
      <c r="AN82" s="581">
        <f t="shared" si="93"/>
        <v>-23.089428128353322</v>
      </c>
      <c r="AO82" s="582">
        <f t="shared" si="461"/>
        <v>15.329868297708799</v>
      </c>
      <c r="AP82" s="585">
        <f t="shared" si="95"/>
        <v>-6.1359953596205123</v>
      </c>
      <c r="AQ82" s="586">
        <f t="shared" si="471"/>
        <v>0.53428965620997237</v>
      </c>
      <c r="AS82" s="52">
        <f t="shared" si="543"/>
        <v>-264.22001382891904</v>
      </c>
      <c r="AT82" s="72">
        <f t="shared" si="472"/>
        <v>7.1485782921508395E-2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6.1260000000000003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>
        <f t="shared" si="542"/>
        <v>1313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-4.8790843037917417</v>
      </c>
      <c r="C83" s="708">
        <v>-0.44145455752595453</v>
      </c>
      <c r="D83" s="709">
        <v>-0.3912011798627581</v>
      </c>
      <c r="E83" s="710">
        <v>-0.13066240666060738</v>
      </c>
      <c r="F83" s="708">
        <v>-0.97041893867359108</v>
      </c>
      <c r="G83" s="711">
        <v>0.20301334672695587</v>
      </c>
      <c r="H83" s="710">
        <v>0.26600000000000001</v>
      </c>
      <c r="I83" s="708">
        <v>0.52</v>
      </c>
      <c r="J83" s="570">
        <v>6.133</v>
      </c>
      <c r="K83" s="865">
        <f>IF($J83="","",IF(IFERROR(INDEX(Settings!$AK$14:$AK$36,MATCH((((ROUND($H83,6)*2)*1000000)+ROUND($I83,6)),Settings!$AI$14:$AI$36,0)),"Undefined")="Undefined","Undefined",IFERROR(INDEX(_xlfn.ANCHORARRAY(Settings!$BC$14),MATCH(IFERROR(INDEX(Settings!$AK$14:$AK$36,MATCH((((ROUND($H83,6)*2)*1000000)+ROUND($I83,6)),Settings!$AI$14:$AI$36,0)),"Undefined"),_xlfn.ANCHORARRAY(Settings!$BC$14),0)),"Inactive")))</f>
        <v>1313</v>
      </c>
      <c r="L83" s="320"/>
      <c r="M83" s="168">
        <f t="shared" si="464"/>
        <v>6.133</v>
      </c>
      <c r="N83" s="632">
        <f t="shared" si="465"/>
        <v>-4.8790843037917417</v>
      </c>
      <c r="O83" s="629">
        <f t="shared" si="466"/>
        <v>-0.44145455752595453</v>
      </c>
      <c r="P83" s="633">
        <f t="shared" si="467"/>
        <v>-0.3912011798627581</v>
      </c>
      <c r="Q83" s="585">
        <f t="shared" si="520"/>
        <v>185.16998625915409</v>
      </c>
      <c r="R83" s="629">
        <f t="shared" si="79"/>
        <v>4.8990147754285642</v>
      </c>
      <c r="S83" s="634">
        <f t="shared" si="80"/>
        <v>-0.3912011798627581</v>
      </c>
      <c r="T83" s="635">
        <f t="shared" si="81"/>
        <v>-0.44145455752595525</v>
      </c>
      <c r="U83" s="629">
        <f t="shared" si="82"/>
        <v>4.8790843037917417</v>
      </c>
      <c r="V83" s="636">
        <f t="shared" si="114"/>
        <v>-0.3912011798627581</v>
      </c>
      <c r="W83" s="585">
        <f t="shared" si="645"/>
        <v>95.169986259154086</v>
      </c>
      <c r="X83" s="629">
        <f t="shared" si="83"/>
        <v>4.8990147754285642</v>
      </c>
      <c r="Y83" s="630">
        <f t="shared" si="644"/>
        <v>-0.3912011798627581</v>
      </c>
      <c r="Z83" s="632">
        <f t="shared" si="468"/>
        <v>0.13066240666060738</v>
      </c>
      <c r="AA83" s="629">
        <f t="shared" si="469"/>
        <v>0.97041893867359108</v>
      </c>
      <c r="AB83" s="629">
        <f t="shared" si="470"/>
        <v>-0.20301334672695587</v>
      </c>
      <c r="AC83" s="636">
        <f t="shared" si="84"/>
        <v>1</v>
      </c>
      <c r="AD83" s="637">
        <f t="shared" si="115"/>
        <v>0.13066240666060738</v>
      </c>
      <c r="AE83" s="629">
        <f t="shared" si="85"/>
        <v>0.97041893867359108</v>
      </c>
      <c r="AF83" s="633">
        <f t="shared" si="86"/>
        <v>-0.20301334672695587</v>
      </c>
      <c r="AG83" s="602">
        <f t="shared" si="87"/>
        <v>78.184032109830895</v>
      </c>
      <c r="AH83" s="603">
        <f t="shared" si="88"/>
        <v>82.492128071398255</v>
      </c>
      <c r="AI83" s="585">
        <f t="shared" si="89"/>
        <v>-78.28677308263525</v>
      </c>
      <c r="AJ83" s="586">
        <f t="shared" si="90"/>
        <v>172.331508890458</v>
      </c>
      <c r="AK83" s="635">
        <f t="shared" si="211"/>
        <v>0.9546969158625932</v>
      </c>
      <c r="AL83" s="629">
        <f t="shared" si="91"/>
        <v>-0.21757614734426578</v>
      </c>
      <c r="AM83" s="634">
        <f t="shared" si="92"/>
        <v>-0.20301334672695587</v>
      </c>
      <c r="AN83" s="581">
        <f t="shared" si="93"/>
        <v>-46.983059071792987</v>
      </c>
      <c r="AO83" s="582">
        <f t="shared" si="461"/>
        <v>17.312304340056759</v>
      </c>
      <c r="AP83" s="585">
        <f t="shared" si="95"/>
        <v>-12.838477368696106</v>
      </c>
      <c r="AQ83" s="586">
        <f t="shared" si="471"/>
        <v>0.46533366652127878</v>
      </c>
      <c r="AS83" s="52">
        <f t="shared" si="543"/>
        <v>-264.83001374084591</v>
      </c>
      <c r="AT83" s="72">
        <f t="shared" si="472"/>
        <v>-0.20729144809828176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6.133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>
        <f t="shared" si="542"/>
        <v>1313</v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-5.3926894219162076</v>
      </c>
      <c r="C84" s="708">
        <v>-0.42251855878951705</v>
      </c>
      <c r="D84" s="709">
        <v>-0.85420257627497009</v>
      </c>
      <c r="E84" s="710">
        <v>-0.24103483019292968</v>
      </c>
      <c r="F84" s="708">
        <v>-0.95966306938432855</v>
      </c>
      <c r="G84" s="711">
        <v>0.14473770722833509</v>
      </c>
      <c r="H84" s="710">
        <v>0.26600000000000001</v>
      </c>
      <c r="I84" s="708">
        <v>0.52</v>
      </c>
      <c r="J84" s="570">
        <v>6.14</v>
      </c>
      <c r="K84" s="865">
        <f>IF($J84="","",IF(IFERROR(INDEX(Settings!$AK$14:$AK$36,MATCH((((ROUND($H84,6)*2)*1000000)+ROUND($I84,6)),Settings!$AI$14:$AI$36,0)),"Undefined")="Undefined","Undefined",IFERROR(INDEX(_xlfn.ANCHORARRAY(Settings!$BC$14),MATCH(IFERROR(INDEX(Settings!$AK$14:$AK$36,MATCH((((ROUND($H84,6)*2)*1000000)+ROUND($I84,6)),Settings!$AI$14:$AI$36,0)),"Undefined"),_xlfn.ANCHORARRAY(Settings!$BC$14),0)),"Inactive")))</f>
        <v>1313</v>
      </c>
      <c r="L84" s="320"/>
      <c r="M84" s="168">
        <f t="shared" si="464"/>
        <v>6.14</v>
      </c>
      <c r="N84" s="632">
        <f t="shared" si="465"/>
        <v>-5.3926894219162076</v>
      </c>
      <c r="O84" s="629">
        <f t="shared" si="466"/>
        <v>-0.42251855878951705</v>
      </c>
      <c r="P84" s="633">
        <f t="shared" si="467"/>
        <v>-0.85420257627497009</v>
      </c>
      <c r="Q84" s="585">
        <f t="shared" si="520"/>
        <v>184.47998635877772</v>
      </c>
      <c r="R84" s="629">
        <f t="shared" si="79"/>
        <v>5.4092163141964038</v>
      </c>
      <c r="S84" s="634">
        <f t="shared" si="80"/>
        <v>-0.85420257627497009</v>
      </c>
      <c r="T84" s="635">
        <f t="shared" si="81"/>
        <v>-0.42251855878951483</v>
      </c>
      <c r="U84" s="629">
        <f t="shared" si="82"/>
        <v>5.3926894219162076</v>
      </c>
      <c r="V84" s="636">
        <f t="shared" si="114"/>
        <v>-0.85420257627497009</v>
      </c>
      <c r="W84" s="585">
        <f t="shared" si="645"/>
        <v>94.479986358777722</v>
      </c>
      <c r="X84" s="629">
        <f t="shared" si="83"/>
        <v>5.4092163141964038</v>
      </c>
      <c r="Y84" s="630">
        <f t="shared" si="644"/>
        <v>-0.85420257627497009</v>
      </c>
      <c r="Z84" s="632">
        <f t="shared" si="468"/>
        <v>0.24103483019292968</v>
      </c>
      <c r="AA84" s="629">
        <f t="shared" si="469"/>
        <v>0.95966306938432855</v>
      </c>
      <c r="AB84" s="629">
        <f t="shared" si="470"/>
        <v>-0.14473770722833509</v>
      </c>
      <c r="AC84" s="636">
        <f t="shared" si="84"/>
        <v>1</v>
      </c>
      <c r="AD84" s="637">
        <f t="shared" si="115"/>
        <v>0.24103483019292968</v>
      </c>
      <c r="AE84" s="629">
        <f t="shared" si="85"/>
        <v>0.95966306938432855</v>
      </c>
      <c r="AF84" s="633">
        <f t="shared" si="86"/>
        <v>-0.14473770722833509</v>
      </c>
      <c r="AG84" s="602">
        <f t="shared" si="87"/>
        <v>81.423213995215932</v>
      </c>
      <c r="AH84" s="603">
        <f t="shared" si="88"/>
        <v>76.052375083610031</v>
      </c>
      <c r="AI84" s="585">
        <f t="shared" si="89"/>
        <v>-81.677909305423753</v>
      </c>
      <c r="AJ84" s="586">
        <f t="shared" si="90"/>
        <v>165.90089136549415</v>
      </c>
      <c r="AK84" s="635">
        <f t="shared" si="211"/>
        <v>0.93790355184843666</v>
      </c>
      <c r="AL84" s="629">
        <f t="shared" si="91"/>
        <v>-0.31525850271859768</v>
      </c>
      <c r="AM84" s="634">
        <f t="shared" si="92"/>
        <v>-0.14473770722833509</v>
      </c>
      <c r="AN84" s="581">
        <f t="shared" si="93"/>
        <v>-65.339765172252726</v>
      </c>
      <c r="AO84" s="582">
        <f t="shared" si="461"/>
        <v>20.297585852998559</v>
      </c>
      <c r="AP84" s="585">
        <f t="shared" si="95"/>
        <v>-18.579094993283569</v>
      </c>
      <c r="AQ84" s="586">
        <f t="shared" si="471"/>
        <v>0.42144469450999966</v>
      </c>
      <c r="AS84" s="52">
        <f t="shared" si="543"/>
        <v>-265.52001364122225</v>
      </c>
      <c r="AT84" s="72">
        <f t="shared" si="472"/>
        <v>-0.66981367791301016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6.14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>
        <f t="shared" si="542"/>
        <v>1313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-5.7289069513139319</v>
      </c>
      <c r="C85" s="708">
        <v>-0.39658394331334074</v>
      </c>
      <c r="D85" s="709">
        <v>-1.4400043430530993</v>
      </c>
      <c r="E85" s="710">
        <v>-0.33135189570289658</v>
      </c>
      <c r="F85" s="708">
        <v>-0.94029001840947479</v>
      </c>
      <c r="G85" s="711">
        <v>7.7849871506679547E-2</v>
      </c>
      <c r="H85" s="710">
        <v>0.26600000000000001</v>
      </c>
      <c r="I85" s="708">
        <v>0.52</v>
      </c>
      <c r="J85" s="570">
        <v>6.1470000000000002</v>
      </c>
      <c r="K85" s="865">
        <f>IF($J85="","",IF(IFERROR(INDEX(Settings!$AK$14:$AK$36,MATCH((((ROUND($H85,6)*2)*1000000)+ROUND($I85,6)),Settings!$AI$14:$AI$36,0)),"Undefined")="Undefined","Undefined",IFERROR(INDEX(_xlfn.ANCHORARRAY(Settings!$BC$14),MATCH(IFERROR(INDEX(Settings!$AK$14:$AK$36,MATCH((((ROUND($H85,6)*2)*1000000)+ROUND($I85,6)),Settings!$AI$14:$AI$36,0)),"Undefined"),_xlfn.ANCHORARRAY(Settings!$BC$14),0)),"Inactive")))</f>
        <v>1313</v>
      </c>
      <c r="L85" s="320"/>
      <c r="M85" s="168">
        <f t="shared" si="464"/>
        <v>6.1470000000000002</v>
      </c>
      <c r="N85" s="632">
        <f t="shared" si="465"/>
        <v>-5.7289069513139319</v>
      </c>
      <c r="O85" s="629">
        <f t="shared" si="466"/>
        <v>-0.39658394331334074</v>
      </c>
      <c r="P85" s="633">
        <f t="shared" si="467"/>
        <v>-1.4400043430530993</v>
      </c>
      <c r="Q85" s="585">
        <f t="shared" si="520"/>
        <v>183.95998643385644</v>
      </c>
      <c r="R85" s="629">
        <f t="shared" si="79"/>
        <v>5.7426173197338377</v>
      </c>
      <c r="S85" s="634">
        <f t="shared" si="80"/>
        <v>-1.4400043430530993</v>
      </c>
      <c r="T85" s="635">
        <f t="shared" si="81"/>
        <v>-0.3965839433133409</v>
      </c>
      <c r="U85" s="629">
        <f t="shared" si="82"/>
        <v>5.7289069513139319</v>
      </c>
      <c r="V85" s="636">
        <f t="shared" si="114"/>
        <v>-1.4400043430530993</v>
      </c>
      <c r="W85" s="585">
        <f t="shared" si="645"/>
        <v>93.959986433856443</v>
      </c>
      <c r="X85" s="629">
        <f t="shared" si="83"/>
        <v>5.7426173197338377</v>
      </c>
      <c r="Y85" s="630">
        <f t="shared" si="644"/>
        <v>-1.4400043430530993</v>
      </c>
      <c r="Z85" s="632">
        <f t="shared" si="468"/>
        <v>0.33135189570289658</v>
      </c>
      <c r="AA85" s="629">
        <f t="shared" si="469"/>
        <v>0.94029001840947479</v>
      </c>
      <c r="AB85" s="629">
        <f t="shared" si="470"/>
        <v>-7.7849871506679547E-2</v>
      </c>
      <c r="AC85" s="636">
        <f t="shared" si="84"/>
        <v>1</v>
      </c>
      <c r="AD85" s="637">
        <f t="shared" si="115"/>
        <v>0.33135189570289658</v>
      </c>
      <c r="AE85" s="629">
        <f t="shared" si="85"/>
        <v>0.94029001840947479</v>
      </c>
      <c r="AF85" s="633">
        <f t="shared" si="86"/>
        <v>-7.7849871506679547E-2</v>
      </c>
      <c r="AG85" s="602">
        <f t="shared" si="87"/>
        <v>85.267078362404519</v>
      </c>
      <c r="AH85" s="603">
        <f t="shared" si="88"/>
        <v>70.649149393218266</v>
      </c>
      <c r="AI85" s="585">
        <f t="shared" si="89"/>
        <v>-85.535013073076158</v>
      </c>
      <c r="AJ85" s="586">
        <f t="shared" si="90"/>
        <v>160.58788419251442</v>
      </c>
      <c r="AK85" s="635">
        <f t="shared" si="211"/>
        <v>0.91516200517754887</v>
      </c>
      <c r="AL85" s="629">
        <f t="shared" si="91"/>
        <v>-0.39549703132362701</v>
      </c>
      <c r="AM85" s="634">
        <f t="shared" si="92"/>
        <v>-7.7849871506679547E-2</v>
      </c>
      <c r="AN85" s="581">
        <f t="shared" si="93"/>
        <v>-78.864230975018771</v>
      </c>
      <c r="AO85" s="582">
        <f t="shared" si="461"/>
        <v>23.771255587277409</v>
      </c>
      <c r="AP85" s="585">
        <f t="shared" si="95"/>
        <v>-23.372102241341992</v>
      </c>
      <c r="AQ85" s="586">
        <f t="shared" si="471"/>
        <v>0.39697754969033283</v>
      </c>
      <c r="AS85" s="52">
        <f t="shared" si="543"/>
        <v>-266.04001356614356</v>
      </c>
      <c r="AT85" s="72">
        <f t="shared" si="472"/>
        <v>-1.2552543336321662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6.1470000000000002</v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>
        <f t="shared" si="542"/>
        <v>1313</v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>
        <v>-5.868061080846382</v>
      </c>
      <c r="C86" s="708">
        <v>-0.38255455905022723</v>
      </c>
      <c r="D86" s="709">
        <v>-2.0941063158246487</v>
      </c>
      <c r="E86" s="710">
        <v>-0.4332158437094748</v>
      </c>
      <c r="F86" s="708">
        <v>-0.90104098677204303</v>
      </c>
      <c r="G86" s="711">
        <v>2.1193699911788461E-2</v>
      </c>
      <c r="H86" s="710">
        <v>0.26600000000000001</v>
      </c>
      <c r="I86" s="708">
        <v>0.52</v>
      </c>
      <c r="J86" s="570">
        <v>6.1539999999999999</v>
      </c>
      <c r="K86" s="865">
        <f>IF($J86="","",IF(IFERROR(INDEX(Settings!$AK$14:$AK$36,MATCH((((ROUND($H86,6)*2)*1000000)+ROUND($I86,6)),Settings!$AI$14:$AI$36,0)),"Undefined")="Undefined","Undefined",IFERROR(INDEX(_xlfn.ANCHORARRAY(Settings!$BC$14),MATCH(IFERROR(INDEX(Settings!$AK$14:$AK$36,MATCH((((ROUND($H86,6)*2)*1000000)+ROUND($I86,6)),Settings!$AI$14:$AI$36,0)),"Undefined"),_xlfn.ANCHORARRAY(Settings!$BC$14),0)),"Inactive")))</f>
        <v>1313</v>
      </c>
      <c r="L86" s="320"/>
      <c r="M86" s="168">
        <f t="shared" si="464"/>
        <v>6.1539999999999999</v>
      </c>
      <c r="N86" s="632">
        <f t="shared" si="465"/>
        <v>-5.868061080846382</v>
      </c>
      <c r="O86" s="629">
        <f t="shared" si="466"/>
        <v>-0.38255455905022723</v>
      </c>
      <c r="P86" s="633">
        <f t="shared" si="467"/>
        <v>-2.0941063158246487</v>
      </c>
      <c r="Q86" s="585">
        <f t="shared" si="520"/>
        <v>183.72998646706432</v>
      </c>
      <c r="R86" s="629">
        <f t="shared" si="79"/>
        <v>5.8805177356414911</v>
      </c>
      <c r="S86" s="634">
        <f t="shared" si="80"/>
        <v>-2.0941063158246487</v>
      </c>
      <c r="T86" s="635">
        <f t="shared" si="81"/>
        <v>-0.38255455905022784</v>
      </c>
      <c r="U86" s="629">
        <f t="shared" si="82"/>
        <v>5.8680610808463829</v>
      </c>
      <c r="V86" s="636">
        <f t="shared" si="114"/>
        <v>-2.0941063158246487</v>
      </c>
      <c r="W86" s="585">
        <f t="shared" si="645"/>
        <v>93.729986467064322</v>
      </c>
      <c r="X86" s="629">
        <f t="shared" si="83"/>
        <v>5.8805177356414911</v>
      </c>
      <c r="Y86" s="630">
        <f t="shared" si="644"/>
        <v>-2.0941063158246487</v>
      </c>
      <c r="Z86" s="632">
        <f t="shared" si="468"/>
        <v>0.4332158437094748</v>
      </c>
      <c r="AA86" s="629">
        <f t="shared" si="469"/>
        <v>0.90104098677204303</v>
      </c>
      <c r="AB86" s="629">
        <f t="shared" si="470"/>
        <v>-2.1193699911788461E-2</v>
      </c>
      <c r="AC86" s="636">
        <f t="shared" si="84"/>
        <v>1</v>
      </c>
      <c r="AD86" s="637">
        <f t="shared" si="115"/>
        <v>0.4332158437094748</v>
      </c>
      <c r="AE86" s="629">
        <f t="shared" si="85"/>
        <v>0.90104098677204303</v>
      </c>
      <c r="AF86" s="633">
        <f t="shared" si="86"/>
        <v>-2.1193699911788461E-2</v>
      </c>
      <c r="AG86" s="602">
        <f t="shared" si="87"/>
        <v>88.652574401328053</v>
      </c>
      <c r="AH86" s="603">
        <f t="shared" si="88"/>
        <v>64.328180529189623</v>
      </c>
      <c r="AI86" s="585">
        <f t="shared" si="89"/>
        <v>-88.785599518580781</v>
      </c>
      <c r="AJ86" s="586">
        <f t="shared" si="90"/>
        <v>154.32199319624993</v>
      </c>
      <c r="AK86" s="635">
        <f t="shared" si="211"/>
        <v>0.87094964778673334</v>
      </c>
      <c r="AL86" s="629">
        <f t="shared" si="91"/>
        <v>-0.49091500089548529</v>
      </c>
      <c r="AM86" s="634">
        <f t="shared" si="92"/>
        <v>-2.1193699911788461E-2</v>
      </c>
      <c r="AN86" s="581">
        <f t="shared" si="93"/>
        <v>-87.527971268729729</v>
      </c>
      <c r="AO86" s="582">
        <f t="shared" si="461"/>
        <v>29.430817088738227</v>
      </c>
      <c r="AP86" s="585">
        <f t="shared" si="95"/>
        <v>-29.407993270814391</v>
      </c>
      <c r="AQ86" s="586">
        <f t="shared" si="471"/>
        <v>0.38766856009840578</v>
      </c>
      <c r="AS86" s="52">
        <f t="shared" si="543"/>
        <v>-266.27001353293565</v>
      </c>
      <c r="AT86" s="72">
        <f t="shared" si="472"/>
        <v>-1.9091965842045544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6.1539999999999999</v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>
        <f t="shared" si="542"/>
        <v>1313</v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>
        <v>-5.917456255844189</v>
      </c>
      <c r="C87" s="708">
        <v>-0.37644108819993055</v>
      </c>
      <c r="D87" s="709">
        <v>-2.7164081926871093</v>
      </c>
      <c r="E87" s="710">
        <v>-0.47884399490339902</v>
      </c>
      <c r="F87" s="708">
        <v>-0.87783169973708031</v>
      </c>
      <c r="G87" s="711">
        <v>1.0951505908419009E-2</v>
      </c>
      <c r="H87" s="710">
        <v>0.26600000000000001</v>
      </c>
      <c r="I87" s="708">
        <v>0.52</v>
      </c>
      <c r="J87" s="570">
        <v>6.1609999999999996</v>
      </c>
      <c r="K87" s="865">
        <f>IF($J87="","",IF(IFERROR(INDEX(Settings!$AK$14:$AK$36,MATCH((((ROUND($H87,6)*2)*1000000)+ROUND($I87,6)),Settings!$AI$14:$AI$36,0)),"Undefined")="Undefined","Undefined",IFERROR(INDEX(_xlfn.ANCHORARRAY(Settings!$BC$14),MATCH(IFERROR(INDEX(Settings!$AK$14:$AK$36,MATCH((((ROUND($H87,6)*2)*1000000)+ROUND($I87,6)),Settings!$AI$14:$AI$36,0)),"Undefined"),_xlfn.ANCHORARRAY(Settings!$BC$14),0)),"Inactive")))</f>
        <v>1313</v>
      </c>
      <c r="L87" s="320"/>
      <c r="M87" s="168">
        <f t="shared" si="464"/>
        <v>6.1609999999999996</v>
      </c>
      <c r="N87" s="632">
        <f t="shared" si="465"/>
        <v>-5.917456255844189</v>
      </c>
      <c r="O87" s="629">
        <f t="shared" si="466"/>
        <v>-0.37644108819993055</v>
      </c>
      <c r="P87" s="633">
        <f t="shared" si="467"/>
        <v>-2.7164081926871093</v>
      </c>
      <c r="Q87" s="585">
        <f t="shared" si="520"/>
        <v>183.63998648005872</v>
      </c>
      <c r="R87" s="629">
        <f t="shared" si="79"/>
        <v>5.9294178831243354</v>
      </c>
      <c r="S87" s="634">
        <f t="shared" si="80"/>
        <v>-2.7164081926871093</v>
      </c>
      <c r="T87" s="635">
        <f t="shared" si="81"/>
        <v>-0.37644108819993122</v>
      </c>
      <c r="U87" s="629">
        <f t="shared" si="82"/>
        <v>5.917456255844189</v>
      </c>
      <c r="V87" s="636">
        <f t="shared" si="114"/>
        <v>-2.7164081926871093</v>
      </c>
      <c r="W87" s="585">
        <f t="shared" si="645"/>
        <v>93.639986480058724</v>
      </c>
      <c r="X87" s="629">
        <f t="shared" si="83"/>
        <v>5.9294178831243354</v>
      </c>
      <c r="Y87" s="630">
        <f t="shared" si="644"/>
        <v>-2.7164081926871093</v>
      </c>
      <c r="Z87" s="632">
        <f t="shared" si="468"/>
        <v>0.47884399490339902</v>
      </c>
      <c r="AA87" s="629">
        <f t="shared" si="469"/>
        <v>0.87783169973708031</v>
      </c>
      <c r="AB87" s="629">
        <f t="shared" si="470"/>
        <v>-1.0951505908419009E-2</v>
      </c>
      <c r="AC87" s="636">
        <f t="shared" si="84"/>
        <v>1</v>
      </c>
      <c r="AD87" s="637">
        <f t="shared" si="115"/>
        <v>0.47884399490339902</v>
      </c>
      <c r="AE87" s="629">
        <f t="shared" si="85"/>
        <v>0.87783169973708031</v>
      </c>
      <c r="AF87" s="633">
        <f t="shared" si="86"/>
        <v>-1.0951505908419009E-2</v>
      </c>
      <c r="AG87" s="602">
        <f t="shared" si="87"/>
        <v>89.285235977020875</v>
      </c>
      <c r="AH87" s="603">
        <f t="shared" si="88"/>
        <v>61.390071313494502</v>
      </c>
      <c r="AI87" s="585">
        <f t="shared" si="89"/>
        <v>-89.372512388703925</v>
      </c>
      <c r="AJ87" s="586">
        <f t="shared" si="90"/>
        <v>151.38819704306351</v>
      </c>
      <c r="AK87" s="635">
        <f t="shared" si="211"/>
        <v>0.84566043876569541</v>
      </c>
      <c r="AL87" s="629">
        <f t="shared" si="91"/>
        <v>-0.53360892686025196</v>
      </c>
      <c r="AM87" s="634">
        <f t="shared" si="92"/>
        <v>-1.0951505908419009E-2</v>
      </c>
      <c r="AN87" s="581">
        <f t="shared" si="93"/>
        <v>-88.824256944784551</v>
      </c>
      <c r="AO87" s="582">
        <f t="shared" si="461"/>
        <v>32.257234382889763</v>
      </c>
      <c r="AP87" s="585">
        <f t="shared" si="95"/>
        <v>-32.251789436995203</v>
      </c>
      <c r="AQ87" s="586">
        <f t="shared" si="471"/>
        <v>0.38447153828106234</v>
      </c>
      <c r="AS87" s="52">
        <f t="shared" si="543"/>
        <v>-266.36001351994128</v>
      </c>
      <c r="AT87" s="72">
        <f t="shared" si="472"/>
        <v>-2.5314359610760389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6.1609999999999996</v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>
        <f t="shared" si="542"/>
        <v>1313</v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>
        <v>-5.3795746897221708</v>
      </c>
      <c r="C88" s="708">
        <v>0.61007312782376977</v>
      </c>
      <c r="D88" s="709">
        <v>-0.8528115134089993</v>
      </c>
      <c r="E88" s="710">
        <v>-0.46350580001246455</v>
      </c>
      <c r="F88" s="708">
        <v>-0.86102903861475277</v>
      </c>
      <c r="G88" s="711">
        <v>0.20926387174321298</v>
      </c>
      <c r="H88" s="710">
        <v>0.26600000000000001</v>
      </c>
      <c r="I88" s="708">
        <v>0.52</v>
      </c>
      <c r="J88" s="570">
        <v>6.24</v>
      </c>
      <c r="K88" s="865">
        <f>IF($J88="","",IF(IFERROR(INDEX(Settings!$AK$14:$AK$36,MATCH((((ROUND($H88,6)*2)*1000000)+ROUND($I88,6)),Settings!$AI$14:$AI$36,0)),"Undefined")="Undefined","Undefined",IFERROR(INDEX(_xlfn.ANCHORARRAY(Settings!$BC$14),MATCH(IFERROR(INDEX(Settings!$AK$14:$AK$36,MATCH((((ROUND($H88,6)*2)*1000000)+ROUND($I88,6)),Settings!$AI$14:$AI$36,0)),"Undefined"),_xlfn.ANCHORARRAY(Settings!$BC$14),0)),"Inactive")))</f>
        <v>1313</v>
      </c>
      <c r="L88" s="320"/>
      <c r="M88" s="168">
        <f t="shared" si="464"/>
        <v>6.24</v>
      </c>
      <c r="N88" s="632">
        <f t="shared" si="465"/>
        <v>-5.3795746897221708</v>
      </c>
      <c r="O88" s="629">
        <f t="shared" si="466"/>
        <v>0.61007312782376977</v>
      </c>
      <c r="P88" s="633">
        <f t="shared" si="467"/>
        <v>-0.8528115134089993</v>
      </c>
      <c r="Q88" s="585">
        <f t="shared" si="520"/>
        <v>173.5299879397619</v>
      </c>
      <c r="R88" s="629">
        <f t="shared" si="79"/>
        <v>5.4140569874717857</v>
      </c>
      <c r="S88" s="634">
        <f t="shared" si="80"/>
        <v>-0.8528115134089993</v>
      </c>
      <c r="T88" s="635">
        <f t="shared" si="81"/>
        <v>0.61007312782377021</v>
      </c>
      <c r="U88" s="629">
        <f t="shared" si="82"/>
        <v>5.3795746897221708</v>
      </c>
      <c r="V88" s="636">
        <f t="shared" si="114"/>
        <v>-0.8528115134089993</v>
      </c>
      <c r="W88" s="585">
        <f t="shared" si="645"/>
        <v>83.529987939761895</v>
      </c>
      <c r="X88" s="629">
        <f t="shared" si="83"/>
        <v>5.4140569874717857</v>
      </c>
      <c r="Y88" s="630">
        <f t="shared" si="644"/>
        <v>-0.8528115134089993</v>
      </c>
      <c r="Z88" s="632">
        <f t="shared" si="468"/>
        <v>0.46350580001246455</v>
      </c>
      <c r="AA88" s="629">
        <f t="shared" si="469"/>
        <v>0.86102903861475277</v>
      </c>
      <c r="AB88" s="629">
        <f t="shared" si="470"/>
        <v>-0.20926387174321298</v>
      </c>
      <c r="AC88" s="636">
        <f t="shared" si="84"/>
        <v>1</v>
      </c>
      <c r="AD88" s="637">
        <f t="shared" si="115"/>
        <v>0.46350580001246455</v>
      </c>
      <c r="AE88" s="629">
        <f t="shared" si="85"/>
        <v>0.86102903861475277</v>
      </c>
      <c r="AF88" s="633">
        <f t="shared" si="86"/>
        <v>-0.20926387174321298</v>
      </c>
      <c r="AG88" s="602">
        <f t="shared" si="87"/>
        <v>76.339727168616037</v>
      </c>
      <c r="AH88" s="603">
        <f t="shared" si="88"/>
        <v>62.386437216978109</v>
      </c>
      <c r="AI88" s="585">
        <f t="shared" si="89"/>
        <v>-77.920783253460399</v>
      </c>
      <c r="AJ88" s="586">
        <f t="shared" si="90"/>
        <v>151.70570431276906</v>
      </c>
      <c r="AK88" s="635">
        <f t="shared" si="211"/>
        <v>0.90777442272931252</v>
      </c>
      <c r="AL88" s="629">
        <f t="shared" si="91"/>
        <v>-0.36353023178479082</v>
      </c>
      <c r="AM88" s="634">
        <f t="shared" si="92"/>
        <v>-0.20926387174321298</v>
      </c>
      <c r="AN88" s="581">
        <f t="shared" si="93"/>
        <v>-60.073390487983893</v>
      </c>
      <c r="AO88" s="582">
        <f t="shared" si="461"/>
        <v>24.800417409463865</v>
      </c>
      <c r="AP88" s="585">
        <f t="shared" si="95"/>
        <v>-21.824283626992841</v>
      </c>
      <c r="AQ88" s="586">
        <f t="shared" si="471"/>
        <v>0.42106789711229137</v>
      </c>
      <c r="AS88" s="52">
        <f t="shared" si="543"/>
        <v>-276.4700120602381</v>
      </c>
      <c r="AT88" s="72">
        <f t="shared" si="472"/>
        <v>-0.66081844947827839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>Taper</v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6.24</v>
      </c>
      <c r="IH88" s="731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6.14</v>
      </c>
      <c r="II88" s="734" cm="1">
        <f t="array" ref="II88">IFERROR(IF($IH88&lt;1,$IH88+LARGE((IF($M$9:$M$150="",0,$M$9:$M$150)-MOD(IF($M$9:$M$150="",0,$M$9:$M$150),1)),1),$IH88),"")</f>
        <v>6.14</v>
      </c>
      <c r="IJ88" s="533">
        <f t="shared" si="542"/>
        <v>1313</v>
      </c>
      <c r="IK88" s="533">
        <f t="shared" si="517"/>
        <v>1313</v>
      </c>
      <c r="IL88" s="727">
        <f t="shared" si="647"/>
        <v>10.949998419015827</v>
      </c>
      <c r="IM88" s="759">
        <v>5.2625585071497199E-4</v>
      </c>
      <c r="IN88" s="5">
        <f t="shared" si="648"/>
        <v>0</v>
      </c>
      <c r="IO88" s="771">
        <v>0</v>
      </c>
      <c r="IP88" s="9">
        <f t="shared" si="649"/>
        <v>-5.4092163141964038</v>
      </c>
      <c r="IQ88" s="5">
        <f t="shared" si="650"/>
        <v>-0.85420257627497009</v>
      </c>
      <c r="IR88" s="5">
        <f t="shared" si="518"/>
        <v>0.26600000000000001</v>
      </c>
      <c r="IS88" s="5">
        <f t="shared" si="651"/>
        <v>0.24948234479168416</v>
      </c>
      <c r="IT88" s="727">
        <f t="shared" si="652"/>
        <v>65.339765172252726</v>
      </c>
      <c r="IU88" s="9">
        <f t="shared" si="653"/>
        <v>-5.4140569874717857</v>
      </c>
      <c r="IV88" s="5">
        <f t="shared" si="654"/>
        <v>-0.8528115134089993</v>
      </c>
      <c r="IW88" s="5">
        <f t="shared" si="519"/>
        <v>0.26600000000000001</v>
      </c>
      <c r="IX88" s="5">
        <f t="shared" si="655"/>
        <v>0.24146799644599715</v>
      </c>
      <c r="IY88" s="762">
        <f t="shared" si="656"/>
        <v>60.073390487983893</v>
      </c>
    </row>
    <row r="89" spans="1:259" ht="15" customHeight="1" x14ac:dyDescent="0.25">
      <c r="A89" s="79"/>
      <c r="B89" s="707">
        <v>-5.7140050107837483</v>
      </c>
      <c r="C89" s="708">
        <v>0.63890999364648748</v>
      </c>
      <c r="D89" s="709">
        <v>-1.4388253806988811</v>
      </c>
      <c r="E89" s="710">
        <v>-0.55021855764046823</v>
      </c>
      <c r="F89" s="708">
        <v>-0.82503002892458455</v>
      </c>
      <c r="G89" s="711">
        <v>0.12878272477604363</v>
      </c>
      <c r="H89" s="710">
        <v>0.26600000000000001</v>
      </c>
      <c r="I89" s="708">
        <v>0.52</v>
      </c>
      <c r="J89" s="570">
        <v>6.2469999999999999</v>
      </c>
      <c r="K89" s="865">
        <f>IF($J89="","",IF(IFERROR(INDEX(Settings!$AK$14:$AK$36,MATCH((((ROUND($H89,6)*2)*1000000)+ROUND($I89,6)),Settings!$AI$14:$AI$36,0)),"Undefined")="Undefined","Undefined",IFERROR(INDEX(_xlfn.ANCHORARRAY(Settings!$BC$14),MATCH(IFERROR(INDEX(Settings!$AK$14:$AK$36,MATCH((((ROUND($H89,6)*2)*1000000)+ROUND($I89,6)),Settings!$AI$14:$AI$36,0)),"Undefined"),_xlfn.ANCHORARRAY(Settings!$BC$14),0)),"Inactive")))</f>
        <v>1313</v>
      </c>
      <c r="L89" s="320"/>
      <c r="M89" s="168">
        <f t="shared" si="464"/>
        <v>6.2469999999999999</v>
      </c>
      <c r="N89" s="632">
        <f t="shared" si="465"/>
        <v>-5.7140050107837483</v>
      </c>
      <c r="O89" s="629">
        <f t="shared" si="466"/>
        <v>0.63890999364648748</v>
      </c>
      <c r="P89" s="633">
        <f t="shared" si="467"/>
        <v>-1.4388253806988811</v>
      </c>
      <c r="Q89" s="585">
        <f t="shared" si="520"/>
        <v>173.61998792676752</v>
      </c>
      <c r="R89" s="629">
        <f t="shared" si="79"/>
        <v>5.7496138342712317</v>
      </c>
      <c r="S89" s="634">
        <f t="shared" si="80"/>
        <v>-1.4388253806988811</v>
      </c>
      <c r="T89" s="635">
        <f t="shared" si="81"/>
        <v>0.63890999364648726</v>
      </c>
      <c r="U89" s="629">
        <f t="shared" si="82"/>
        <v>5.7140050107837483</v>
      </c>
      <c r="V89" s="636">
        <f t="shared" si="114"/>
        <v>-1.4388253806988811</v>
      </c>
      <c r="W89" s="585">
        <f t="shared" si="645"/>
        <v>83.619987926767521</v>
      </c>
      <c r="X89" s="629">
        <f t="shared" si="83"/>
        <v>5.7496138342712317</v>
      </c>
      <c r="Y89" s="630">
        <f t="shared" si="644"/>
        <v>-1.4388253806988811</v>
      </c>
      <c r="Z89" s="632">
        <f t="shared" si="468"/>
        <v>0.55021855764046823</v>
      </c>
      <c r="AA89" s="629">
        <f t="shared" si="469"/>
        <v>0.82503002892458455</v>
      </c>
      <c r="AB89" s="629">
        <f t="shared" si="470"/>
        <v>-0.12878272477604363</v>
      </c>
      <c r="AC89" s="636">
        <f t="shared" si="84"/>
        <v>1</v>
      </c>
      <c r="AD89" s="637">
        <f t="shared" si="115"/>
        <v>0.55021855764046823</v>
      </c>
      <c r="AE89" s="629">
        <f t="shared" si="85"/>
        <v>0.82503002892458455</v>
      </c>
      <c r="AF89" s="633">
        <f t="shared" si="86"/>
        <v>-0.12878272477604363</v>
      </c>
      <c r="AG89" s="602">
        <f t="shared" si="87"/>
        <v>81.128033136768877</v>
      </c>
      <c r="AH89" s="603">
        <f t="shared" si="88"/>
        <v>56.617991772413362</v>
      </c>
      <c r="AI89" s="585">
        <f t="shared" si="89"/>
        <v>-82.600743693381574</v>
      </c>
      <c r="AJ89" s="586">
        <f t="shared" si="90"/>
        <v>146.3003880830509</v>
      </c>
      <c r="AK89" s="635">
        <f t="shared" si="211"/>
        <v>0.8810619287669913</v>
      </c>
      <c r="AL89" s="629">
        <f t="shared" si="91"/>
        <v>-0.45513172541215713</v>
      </c>
      <c r="AM89" s="634">
        <f t="shared" si="92"/>
        <v>-0.12878272477604363</v>
      </c>
      <c r="AN89" s="581">
        <f t="shared" si="93"/>
        <v>-74.200765992919003</v>
      </c>
      <c r="AO89" s="582">
        <f t="shared" si="461"/>
        <v>28.229270246008131</v>
      </c>
      <c r="AP89" s="585">
        <f t="shared" si="95"/>
        <v>-27.319599843716613</v>
      </c>
      <c r="AQ89" s="586">
        <f t="shared" si="471"/>
        <v>0.39649449629709183</v>
      </c>
      <c r="AS89" s="52">
        <f t="shared" si="543"/>
        <v>-276.38001207323248</v>
      </c>
      <c r="AT89" s="72">
        <f t="shared" si="472"/>
        <v>-1.2468948167591363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>Taper</v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6.2469999999999999</v>
      </c>
      <c r="IH89" s="731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6.1470000000000002</v>
      </c>
      <c r="II89" s="734" cm="1">
        <f t="array" ref="II89">IFERROR(IF($IH89&lt;1,$IH89+LARGE((IF($M$9:$M$150="",0,$M$9:$M$150)-MOD(IF($M$9:$M$150="",0,$M$9:$M$150),1)),1),$IH89),"")</f>
        <v>6.1470000000000002</v>
      </c>
      <c r="IJ89" s="533">
        <f t="shared" si="542"/>
        <v>1313</v>
      </c>
      <c r="IK89" s="533">
        <f t="shared" si="517"/>
        <v>1313</v>
      </c>
      <c r="IL89" s="727">
        <f t="shared" si="647"/>
        <v>10.339998507088922</v>
      </c>
      <c r="IM89" s="759">
        <v>3.5439038705115198E-4</v>
      </c>
      <c r="IN89" s="5">
        <f t="shared" si="648"/>
        <v>0</v>
      </c>
      <c r="IO89" s="771">
        <v>0</v>
      </c>
      <c r="IP89" s="9">
        <f t="shared" si="649"/>
        <v>-5.7426173197338377</v>
      </c>
      <c r="IQ89" s="5">
        <f t="shared" si="650"/>
        <v>-1.4400043430530993</v>
      </c>
      <c r="IR89" s="5">
        <f t="shared" si="518"/>
        <v>0.26600000000000001</v>
      </c>
      <c r="IS89" s="5">
        <f t="shared" si="651"/>
        <v>0.24343309337722802</v>
      </c>
      <c r="IT89" s="727">
        <f t="shared" si="652"/>
        <v>78.864230975018771</v>
      </c>
      <c r="IU89" s="9">
        <f t="shared" si="653"/>
        <v>-5.7496138342712317</v>
      </c>
      <c r="IV89" s="5">
        <f t="shared" si="654"/>
        <v>-1.4388253806988811</v>
      </c>
      <c r="IW89" s="5">
        <f t="shared" si="519"/>
        <v>0.26600000000000001</v>
      </c>
      <c r="IX89" s="5">
        <f t="shared" si="655"/>
        <v>0.23436247305201974</v>
      </c>
      <c r="IY89" s="762">
        <f t="shared" si="656"/>
        <v>74.200765992919003</v>
      </c>
    </row>
    <row r="90" spans="1:259" ht="15" customHeight="1" x14ac:dyDescent="0.25">
      <c r="A90" s="79"/>
      <c r="B90" s="707">
        <v>-5.8499015300201096</v>
      </c>
      <c r="C90" s="708">
        <v>0.65410522782601987</v>
      </c>
      <c r="D90" s="709">
        <v>-2.0957043880934987</v>
      </c>
      <c r="E90" s="710">
        <v>-0.62144318895316175</v>
      </c>
      <c r="F90" s="708">
        <v>-0.78231981298363462</v>
      </c>
      <c r="G90" s="711">
        <v>4.2238289702308085E-2</v>
      </c>
      <c r="H90" s="710">
        <v>0.26600000000000001</v>
      </c>
      <c r="I90" s="708">
        <v>0.52</v>
      </c>
      <c r="J90" s="570">
        <v>6.2539999999999996</v>
      </c>
      <c r="K90" s="865">
        <f>IF($J90="","",IF(IFERROR(INDEX(Settings!$AK$14:$AK$36,MATCH((((ROUND($H90,6)*2)*1000000)+ROUND($I90,6)),Settings!$AI$14:$AI$36,0)),"Undefined")="Undefined","Undefined",IFERROR(INDEX(_xlfn.ANCHORARRAY(Settings!$BC$14),MATCH(IFERROR(INDEX(Settings!$AK$14:$AK$36,MATCH((((ROUND($H90,6)*2)*1000000)+ROUND($I90,6)),Settings!$AI$14:$AI$36,0)),"Undefined"),_xlfn.ANCHORARRAY(Settings!$BC$14),0)),"Inactive")))</f>
        <v>1313</v>
      </c>
      <c r="L90" s="320"/>
      <c r="M90" s="168">
        <f t="shared" si="464"/>
        <v>6.2539999999999996</v>
      </c>
      <c r="N90" s="632">
        <f t="shared" si="465"/>
        <v>-5.8499015300201096</v>
      </c>
      <c r="O90" s="629">
        <f t="shared" si="466"/>
        <v>0.65410522782601987</v>
      </c>
      <c r="P90" s="633">
        <f t="shared" si="467"/>
        <v>-2.0957043880934987</v>
      </c>
      <c r="Q90" s="585">
        <f t="shared" si="520"/>
        <v>173.61998792676752</v>
      </c>
      <c r="R90" s="629">
        <f t="shared" si="79"/>
        <v>5.8863572402633659</v>
      </c>
      <c r="S90" s="634">
        <f t="shared" si="80"/>
        <v>-2.0957043880934987</v>
      </c>
      <c r="T90" s="635">
        <f t="shared" si="81"/>
        <v>0.65410522782602021</v>
      </c>
      <c r="U90" s="629">
        <f t="shared" si="82"/>
        <v>5.8499015300201096</v>
      </c>
      <c r="V90" s="636">
        <f t="shared" si="114"/>
        <v>-2.0957043880934987</v>
      </c>
      <c r="W90" s="585">
        <f t="shared" si="645"/>
        <v>83.619987926767521</v>
      </c>
      <c r="X90" s="629">
        <f t="shared" si="83"/>
        <v>5.8863572402633659</v>
      </c>
      <c r="Y90" s="630">
        <f t="shared" si="644"/>
        <v>-2.0957043880934987</v>
      </c>
      <c r="Z90" s="632">
        <f t="shared" si="468"/>
        <v>0.62144318895316175</v>
      </c>
      <c r="AA90" s="629">
        <f t="shared" si="469"/>
        <v>0.78231981298363462</v>
      </c>
      <c r="AB90" s="629">
        <f t="shared" si="470"/>
        <v>-4.2238289702308085E-2</v>
      </c>
      <c r="AC90" s="636">
        <f t="shared" si="84"/>
        <v>1</v>
      </c>
      <c r="AD90" s="637">
        <f t="shared" si="115"/>
        <v>0.62144318895316175</v>
      </c>
      <c r="AE90" s="629">
        <f t="shared" si="85"/>
        <v>0.78231981298363462</v>
      </c>
      <c r="AF90" s="633">
        <f t="shared" si="86"/>
        <v>-4.2238289702308085E-2</v>
      </c>
      <c r="AG90" s="602">
        <f t="shared" si="87"/>
        <v>86.909539728278162</v>
      </c>
      <c r="AH90" s="603">
        <f t="shared" si="88"/>
        <v>51.57839946260259</v>
      </c>
      <c r="AI90" s="585">
        <f t="shared" si="89"/>
        <v>-87.579204089198825</v>
      </c>
      <c r="AJ90" s="586">
        <f t="shared" si="90"/>
        <v>141.53779310570897</v>
      </c>
      <c r="AK90" s="635">
        <f t="shared" si="211"/>
        <v>0.84653086896339969</v>
      </c>
      <c r="AL90" s="629">
        <f t="shared" si="91"/>
        <v>-0.5306612994887564</v>
      </c>
      <c r="AM90" s="634">
        <f t="shared" si="92"/>
        <v>-4.2238289702308085E-2</v>
      </c>
      <c r="AN90" s="581">
        <f t="shared" si="93"/>
        <v>-85.449104135434865</v>
      </c>
      <c r="AO90" s="582">
        <f t="shared" si="461"/>
        <v>32.163671315160983</v>
      </c>
      <c r="AP90" s="585">
        <f t="shared" si="95"/>
        <v>-32.082194821058536</v>
      </c>
      <c r="AQ90" s="586">
        <f t="shared" si="471"/>
        <v>0.38728398891651894</v>
      </c>
      <c r="AS90" s="52">
        <f t="shared" si="543"/>
        <v>-276.38001207323248</v>
      </c>
      <c r="AT90" s="72">
        <f t="shared" si="472"/>
        <v>-1.9037738241537538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>Taper</v>
      </c>
      <c r="IF90" s="533" t="str">
        <f>IFERROR(IF((((($IW90*COS(RADIANS(180-$IY90)))*COS(RADIANS($IY90)))-(($IX90*SIN(RADIANS(180-$IY90)))*SIN(RADIANS($IY90))))+$IU90)&lt;(((Settings!$C$19+$IF$8)/2)*-1),"Gage",""),"")</f>
        <v>Gage</v>
      </c>
      <c r="IG90" s="847">
        <f t="shared" si="643"/>
        <v>6.2539999999999996</v>
      </c>
      <c r="IH90" s="731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6.1539999999999999</v>
      </c>
      <c r="II90" s="734" cm="1">
        <f t="array" ref="II90">IFERROR(IF($IH90&lt;1,$IH90+LARGE((IF($M$9:$M$150="",0,$M$9:$M$150)-MOD(IF($M$9:$M$150="",0,$M$9:$M$150),1)),1),$IH90),"")</f>
        <v>6.1539999999999999</v>
      </c>
      <c r="IJ90" s="533">
        <f t="shared" si="542"/>
        <v>1313</v>
      </c>
      <c r="IK90" s="533">
        <f t="shared" si="517"/>
        <v>1313</v>
      </c>
      <c r="IL90" s="727">
        <f t="shared" si="647"/>
        <v>10.1099985402968</v>
      </c>
      <c r="IM90" s="759">
        <v>6.4907361650435702E-4</v>
      </c>
      <c r="IN90" s="5">
        <f t="shared" si="648"/>
        <v>0</v>
      </c>
      <c r="IO90" s="771">
        <v>0</v>
      </c>
      <c r="IP90" s="9">
        <f t="shared" si="649"/>
        <v>-5.8805177356414911</v>
      </c>
      <c r="IQ90" s="5">
        <f t="shared" si="650"/>
        <v>-2.0941063158246487</v>
      </c>
      <c r="IR90" s="5">
        <f t="shared" si="518"/>
        <v>0.26600000000000001</v>
      </c>
      <c r="IS90" s="5">
        <f t="shared" si="651"/>
        <v>0.23167260631127112</v>
      </c>
      <c r="IT90" s="727">
        <f t="shared" si="652"/>
        <v>87.527971268729729</v>
      </c>
      <c r="IU90" s="9">
        <f t="shared" si="653"/>
        <v>-5.8863572402633659</v>
      </c>
      <c r="IV90" s="5">
        <f t="shared" si="654"/>
        <v>-2.0957043880934987</v>
      </c>
      <c r="IW90" s="5">
        <f t="shared" si="519"/>
        <v>0.26600000000000001</v>
      </c>
      <c r="IX90" s="5">
        <f t="shared" si="655"/>
        <v>0.22517721114426437</v>
      </c>
      <c r="IY90" s="762">
        <f t="shared" si="656"/>
        <v>85.449104135434865</v>
      </c>
    </row>
    <row r="91" spans="1:259" ht="15" customHeight="1" x14ac:dyDescent="0.25">
      <c r="A91" s="79"/>
      <c r="B91" s="707">
        <v>-6.1236674770582766</v>
      </c>
      <c r="C91" s="708">
        <v>0.96989516465376091</v>
      </c>
      <c r="D91" s="709">
        <v>-2.7164000000000001</v>
      </c>
      <c r="E91" s="710">
        <v>-0.98768830275133479</v>
      </c>
      <c r="F91" s="708">
        <v>0.1564347039764129</v>
      </c>
      <c r="G91" s="711">
        <v>0</v>
      </c>
      <c r="H91" s="710">
        <v>0.25700000000000001</v>
      </c>
      <c r="I91" s="708">
        <v>0.71</v>
      </c>
      <c r="J91" s="570">
        <v>6.3010000000000002</v>
      </c>
      <c r="K91" s="865" t="str">
        <f>IF($J91="","",IF(IFERROR(INDEX(Settings!$AK$14:$AK$36,MATCH((((ROUND($H91,6)*2)*1000000)+ROUND($I91,6)),Settings!$AI$14:$AI$36,0)),"Undefined")="Undefined","Undefined",IFERROR(INDEX(_xlfn.ANCHORARRAY(Settings!$BC$14),MATCH(IFERROR(INDEX(Settings!$AK$14:$AK$36,MATCH((((ROUND($H91,6)*2)*1000000)+ROUND($I91,6)),Settings!$AI$14:$AI$36,0)),"Undefined"),_xlfn.ANCHORARRAY(Settings!$BC$14),0)),"Inactive")))</f>
        <v>Inactive</v>
      </c>
      <c r="L91" s="320"/>
      <c r="M91" s="168">
        <f t="shared" si="464"/>
        <v>6.3010000000000002</v>
      </c>
      <c r="N91" s="632">
        <f t="shared" si="465"/>
        <v>-6.1236674770582766</v>
      </c>
      <c r="O91" s="629">
        <f t="shared" si="466"/>
        <v>0.96989516465376091</v>
      </c>
      <c r="P91" s="633">
        <f t="shared" si="467"/>
        <v>-2.7164000000000001</v>
      </c>
      <c r="Q91" s="585">
        <f t="shared" si="520"/>
        <v>170.99998613931692</v>
      </c>
      <c r="R91" s="629">
        <f t="shared" si="79"/>
        <v>6.200000000000002</v>
      </c>
      <c r="S91" s="634">
        <f t="shared" si="80"/>
        <v>-2.7164000000000001</v>
      </c>
      <c r="T91" s="635">
        <f t="shared" si="81"/>
        <v>0.96989516465376147</v>
      </c>
      <c r="U91" s="629">
        <f t="shared" si="82"/>
        <v>6.1236674770582766</v>
      </c>
      <c r="V91" s="636">
        <f t="shared" si="114"/>
        <v>-2.7164000000000001</v>
      </c>
      <c r="W91" s="585">
        <f t="shared" si="645"/>
        <v>80.999986139316917</v>
      </c>
      <c r="X91" s="629">
        <f t="shared" si="83"/>
        <v>6.200000000000002</v>
      </c>
      <c r="Y91" s="630">
        <f t="shared" si="644"/>
        <v>-2.7164000000000001</v>
      </c>
      <c r="Z91" s="632">
        <f t="shared" si="468"/>
        <v>0.98768830275133479</v>
      </c>
      <c r="AA91" s="629">
        <f t="shared" si="469"/>
        <v>-0.1564347039764129</v>
      </c>
      <c r="AB91" s="629">
        <f t="shared" si="470"/>
        <v>0</v>
      </c>
      <c r="AC91" s="636">
        <f t="shared" si="84"/>
        <v>1</v>
      </c>
      <c r="AD91" s="637">
        <f t="shared" si="115"/>
        <v>0.98768830275133479</v>
      </c>
      <c r="AE91" s="629">
        <f t="shared" si="85"/>
        <v>-0.1564347039764129</v>
      </c>
      <c r="AF91" s="633">
        <f t="shared" si="86"/>
        <v>0</v>
      </c>
      <c r="AG91" s="602">
        <f t="shared" si="87"/>
        <v>-90</v>
      </c>
      <c r="AH91" s="603">
        <f t="shared" si="88"/>
        <v>9.0000138606830209</v>
      </c>
      <c r="AI91" s="585">
        <f t="shared" si="89"/>
        <v>-90</v>
      </c>
      <c r="AJ91" s="586">
        <f t="shared" si="90"/>
        <v>80.999986139316931</v>
      </c>
      <c r="AK91" s="635">
        <f t="shared" si="211"/>
        <v>2.2204460492503131E-16</v>
      </c>
      <c r="AL91" s="629">
        <f t="shared" si="91"/>
        <v>-1</v>
      </c>
      <c r="AM91" s="634">
        <f t="shared" si="92"/>
        <v>0</v>
      </c>
      <c r="AN91" s="581">
        <f t="shared" si="93"/>
        <v>-90</v>
      </c>
      <c r="AO91" s="582">
        <f t="shared" si="461"/>
        <v>0</v>
      </c>
      <c r="AP91" s="585">
        <f t="shared" si="95"/>
        <v>-89.999999999999986</v>
      </c>
      <c r="AQ91" s="586">
        <f t="shared" si="471"/>
        <v>0.36769279613469613</v>
      </c>
      <c r="AS91" s="52">
        <f t="shared" si="543"/>
        <v>-279.00001386068311</v>
      </c>
      <c r="AT91" s="72">
        <f t="shared" si="472"/>
        <v>-2.5226499903745259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>Taper</v>
      </c>
      <c r="IF91" s="533" t="str">
        <f>IFERROR(IF((((($IW91*COS(RADIANS(180-$IY91)))*COS(RADIANS($IY91)))-(($IX91*SIN(RADIANS(180-$IY91)))*SIN(RADIANS($IY91))))+$IU91)&lt;(((Settings!$C$19+$IF$8)/2)*-1),"Gage",""),"")</f>
        <v>Gage</v>
      </c>
      <c r="IG91" s="847">
        <f t="shared" si="643"/>
        <v>6.3010000000000002</v>
      </c>
      <c r="IH91" s="731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5.3010000000000002</v>
      </c>
      <c r="II91" s="734" cm="1">
        <f t="array" ref="II91">IFERROR(IF($IH91&lt;1,$IH91+LARGE((IF($M$9:$M$150="",0,$M$9:$M$150)-MOD(IF($M$9:$M$150="",0,$M$9:$M$150),1)),1),$IH91),"")</f>
        <v>5.3010000000000002</v>
      </c>
      <c r="IJ91" s="533" t="str">
        <f t="shared" si="542"/>
        <v>Inactive</v>
      </c>
      <c r="IK91" s="533" t="str">
        <f t="shared" si="517"/>
        <v>Inactive</v>
      </c>
      <c r="IL91" s="727">
        <f t="shared" si="647"/>
        <v>45.999993358422671</v>
      </c>
      <c r="IM91" s="759">
        <v>4.0087577949204798E-4</v>
      </c>
      <c r="IN91" s="5">
        <f t="shared" si="648"/>
        <v>0</v>
      </c>
      <c r="IO91" s="771">
        <v>0</v>
      </c>
      <c r="IP91" s="9">
        <f t="shared" si="649"/>
        <v>-6.2000000000000011</v>
      </c>
      <c r="IQ91" s="5">
        <f t="shared" si="650"/>
        <v>-2.8079000000000001</v>
      </c>
      <c r="IR91" s="5">
        <f t="shared" si="518"/>
        <v>0.25700000000000001</v>
      </c>
      <c r="IS91" s="5">
        <f t="shared" si="651"/>
        <v>0.25700000000000001</v>
      </c>
      <c r="IT91" s="727">
        <f t="shared" si="652"/>
        <v>90</v>
      </c>
      <c r="IU91" s="9">
        <f t="shared" si="653"/>
        <v>-6.200000000000002</v>
      </c>
      <c r="IV91" s="5">
        <f t="shared" si="654"/>
        <v>-2.7164000000000001</v>
      </c>
      <c r="IW91" s="5">
        <f t="shared" si="519"/>
        <v>0.25700000000000001</v>
      </c>
      <c r="IX91" s="5">
        <f t="shared" si="655"/>
        <v>0.25700000000000001</v>
      </c>
      <c r="IY91" s="762">
        <f t="shared" si="656"/>
        <v>90</v>
      </c>
    </row>
    <row r="92" spans="1:259" ht="15" customHeight="1" x14ac:dyDescent="0.25">
      <c r="A92" s="79"/>
      <c r="B92" s="707">
        <v>-2.5263287154000045</v>
      </c>
      <c r="C92" s="708">
        <v>2.4396478478744759</v>
      </c>
      <c r="D92" s="709">
        <v>-5.3000159848482054E-2</v>
      </c>
      <c r="E92" s="710">
        <v>-0.66027134829193768</v>
      </c>
      <c r="F92" s="708">
        <v>-0.70517830195849451</v>
      </c>
      <c r="G92" s="711">
        <v>0.25838983933522058</v>
      </c>
      <c r="H92" s="710">
        <v>0.26600000000000001</v>
      </c>
      <c r="I92" s="708">
        <v>0.52</v>
      </c>
      <c r="J92" s="570">
        <v>7.1180000000000003</v>
      </c>
      <c r="K92" s="865">
        <f>IF($J92="","",IF(IFERROR(INDEX(Settings!$AK$14:$AK$36,MATCH((((ROUND($H92,6)*2)*1000000)+ROUND($I92,6)),Settings!$AI$14:$AI$36,0)),"Undefined")="Undefined","Undefined",IFERROR(INDEX(_xlfn.ANCHORARRAY(Settings!$BC$14),MATCH(IFERROR(INDEX(Settings!$AK$14:$AK$36,MATCH((((ROUND($H92,6)*2)*1000000)+ROUND($I92,6)),Settings!$AI$14:$AI$36,0)),"Undefined"),_xlfn.ANCHORARRAY(Settings!$BC$14),0)),"Inactive")))</f>
        <v>1313</v>
      </c>
      <c r="L92" s="320"/>
      <c r="M92" s="168">
        <f t="shared" si="464"/>
        <v>7.1180000000000003</v>
      </c>
      <c r="N92" s="632">
        <f t="shared" si="465"/>
        <v>-2.5263287154000045</v>
      </c>
      <c r="O92" s="629">
        <f t="shared" si="466"/>
        <v>2.4396478478744759</v>
      </c>
      <c r="P92" s="633">
        <f t="shared" si="467"/>
        <v>-5.3000159848482054E-2</v>
      </c>
      <c r="Q92" s="585">
        <f t="shared" si="520"/>
        <v>135.9999933584227</v>
      </c>
      <c r="R92" s="629">
        <f t="shared" si="79"/>
        <v>3.5120105922239468</v>
      </c>
      <c r="S92" s="634">
        <f t="shared" si="80"/>
        <v>-5.3000159848482054E-2</v>
      </c>
      <c r="T92" s="635">
        <f t="shared" si="81"/>
        <v>2.4396478478744759</v>
      </c>
      <c r="U92" s="629">
        <f t="shared" si="82"/>
        <v>2.526328715400004</v>
      </c>
      <c r="V92" s="636">
        <f t="shared" si="114"/>
        <v>-5.3000159848482054E-2</v>
      </c>
      <c r="W92" s="585">
        <f t="shared" si="645"/>
        <v>45.999993358422699</v>
      </c>
      <c r="X92" s="629">
        <f t="shared" si="83"/>
        <v>3.5120105922239468</v>
      </c>
      <c r="Y92" s="630">
        <f t="shared" si="644"/>
        <v>-5.3000159848482054E-2</v>
      </c>
      <c r="Z92" s="632">
        <f t="shared" si="468"/>
        <v>0.66027134829193768</v>
      </c>
      <c r="AA92" s="629">
        <f t="shared" si="469"/>
        <v>0.70517830195849451</v>
      </c>
      <c r="AB92" s="629">
        <f t="shared" si="470"/>
        <v>-0.25838983933522058</v>
      </c>
      <c r="AC92" s="636">
        <f t="shared" si="84"/>
        <v>1</v>
      </c>
      <c r="AD92" s="637">
        <f t="shared" si="115"/>
        <v>0.66027134829193768</v>
      </c>
      <c r="AE92" s="629">
        <f t="shared" si="85"/>
        <v>0.70517830195849451</v>
      </c>
      <c r="AF92" s="633">
        <f t="shared" si="86"/>
        <v>-0.25838983933522058</v>
      </c>
      <c r="AG92" s="602">
        <f t="shared" si="87"/>
        <v>69.876269796065827</v>
      </c>
      <c r="AH92" s="603">
        <f t="shared" si="88"/>
        <v>48.67942936231271</v>
      </c>
      <c r="AI92" s="585">
        <f t="shared" si="89"/>
        <v>-75.025457664918207</v>
      </c>
      <c r="AJ92" s="586">
        <f t="shared" si="90"/>
        <v>136.88366656566853</v>
      </c>
      <c r="AK92" s="635">
        <f t="shared" si="211"/>
        <v>0.96592583607220739</v>
      </c>
      <c r="AL92" s="629">
        <f t="shared" si="91"/>
        <v>1.4898662239479443E-2</v>
      </c>
      <c r="AM92" s="634">
        <f t="shared" si="92"/>
        <v>-0.25838983933522058</v>
      </c>
      <c r="AN92" s="581">
        <f t="shared" si="93"/>
        <v>3.2999995235390815</v>
      </c>
      <c r="AO92" s="582">
        <f t="shared" si="461"/>
        <v>14.999997834268255</v>
      </c>
      <c r="AP92" s="585">
        <f t="shared" si="95"/>
        <v>0.88367320724583043</v>
      </c>
      <c r="AQ92" s="586">
        <f t="shared" si="471"/>
        <v>0.64909516712100479</v>
      </c>
      <c r="AS92" s="52">
        <f t="shared" si="543"/>
        <v>-314.00000664157733</v>
      </c>
      <c r="AT92" s="73">
        <f t="shared" si="472"/>
        <v>0.16505540031927998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7.1180000000000003</v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>
        <f t="shared" si="542"/>
        <v>1313</v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>
        <v>-2.9923487838667802</v>
      </c>
      <c r="C93" s="708">
        <v>2.9048562487899696</v>
      </c>
      <c r="D93" s="709">
        <v>-8.9300269329612283E-2</v>
      </c>
      <c r="E93" s="710">
        <v>-0.73441793830907487</v>
      </c>
      <c r="F93" s="708">
        <v>-0.63179720542124851</v>
      </c>
      <c r="G93" s="711">
        <v>0.24791648414687734</v>
      </c>
      <c r="H93" s="710">
        <v>0.26600000000000001</v>
      </c>
      <c r="I93" s="708">
        <v>0.52</v>
      </c>
      <c r="J93" s="570">
        <v>7.125</v>
      </c>
      <c r="K93" s="865">
        <f>IF($J93="","",IF(IFERROR(INDEX(Settings!$AK$14:$AK$36,MATCH((((ROUND($H93,6)*2)*1000000)+ROUND($I93,6)),Settings!$AI$14:$AI$36,0)),"Undefined")="Undefined","Undefined",IFERROR(INDEX(_xlfn.ANCHORARRAY(Settings!$BC$14),MATCH(IFERROR(INDEX(Settings!$AK$14:$AK$36,MATCH((((ROUND($H93,6)*2)*1000000)+ROUND($I93,6)),Settings!$AI$14:$AI$36,0)),"Undefined"),_xlfn.ANCHORARRAY(Settings!$BC$14),0)),"Inactive")))</f>
        <v>1313</v>
      </c>
      <c r="L93" s="320"/>
      <c r="M93" s="168">
        <f t="shared" si="464"/>
        <v>7.125</v>
      </c>
      <c r="N93" s="632">
        <f t="shared" si="465"/>
        <v>-2.9923487838667802</v>
      </c>
      <c r="O93" s="629">
        <f t="shared" si="466"/>
        <v>2.9048562487899696</v>
      </c>
      <c r="P93" s="633">
        <f t="shared" si="467"/>
        <v>-8.9300269329612283E-2</v>
      </c>
      <c r="Q93" s="585">
        <f t="shared" si="520"/>
        <v>135.84999338008001</v>
      </c>
      <c r="R93" s="629">
        <f t="shared" si="79"/>
        <v>4.1704125779643348</v>
      </c>
      <c r="S93" s="634">
        <f t="shared" si="80"/>
        <v>-8.9300269329612283E-2</v>
      </c>
      <c r="T93" s="635">
        <f t="shared" si="81"/>
        <v>2.9048562487899696</v>
      </c>
      <c r="U93" s="629">
        <f t="shared" si="82"/>
        <v>2.9923487838667797</v>
      </c>
      <c r="V93" s="636">
        <f t="shared" si="114"/>
        <v>-8.9300269329612283E-2</v>
      </c>
      <c r="W93" s="585">
        <f t="shared" si="645"/>
        <v>45.849993380080008</v>
      </c>
      <c r="X93" s="629">
        <f t="shared" si="83"/>
        <v>4.1704125779643348</v>
      </c>
      <c r="Y93" s="630">
        <f t="shared" si="644"/>
        <v>-8.9300269329612283E-2</v>
      </c>
      <c r="Z93" s="632">
        <f t="shared" si="468"/>
        <v>0.73441793830907487</v>
      </c>
      <c r="AA93" s="629">
        <f t="shared" si="469"/>
        <v>0.63179720542124851</v>
      </c>
      <c r="AB93" s="629">
        <f t="shared" si="470"/>
        <v>-0.24791648414687734</v>
      </c>
      <c r="AC93" s="636">
        <f t="shared" si="84"/>
        <v>1</v>
      </c>
      <c r="AD93" s="637">
        <f t="shared" si="115"/>
        <v>0.73441793830907487</v>
      </c>
      <c r="AE93" s="629">
        <f t="shared" si="85"/>
        <v>0.63179720542124851</v>
      </c>
      <c r="AF93" s="633">
        <f t="shared" si="86"/>
        <v>-0.24791648414687734</v>
      </c>
      <c r="AG93" s="602">
        <f t="shared" si="87"/>
        <v>68.57501569317499</v>
      </c>
      <c r="AH93" s="603">
        <f t="shared" si="88"/>
        <v>42.741944488014504</v>
      </c>
      <c r="AI93" s="585">
        <f t="shared" si="89"/>
        <v>-75.645745366814495</v>
      </c>
      <c r="AJ93" s="586">
        <f t="shared" si="90"/>
        <v>130.70439955977832</v>
      </c>
      <c r="AK93" s="635">
        <f t="shared" si="211"/>
        <v>0.96487723010307835</v>
      </c>
      <c r="AL93" s="629">
        <f t="shared" si="91"/>
        <v>-8.6886982436166327E-2</v>
      </c>
      <c r="AM93" s="634">
        <f t="shared" si="92"/>
        <v>-0.24791648414687734</v>
      </c>
      <c r="AN93" s="581">
        <f t="shared" si="93"/>
        <v>-19.313969571529203</v>
      </c>
      <c r="AO93" s="582">
        <f t="shared" si="461"/>
        <v>15.23040352969568</v>
      </c>
      <c r="AP93" s="585">
        <f t="shared" si="95"/>
        <v>-5.145593820301694</v>
      </c>
      <c r="AQ93" s="586">
        <f t="shared" si="471"/>
        <v>0.54662636421707123</v>
      </c>
      <c r="AS93" s="52">
        <f t="shared" si="543"/>
        <v>-314.15000661991996</v>
      </c>
      <c r="AT93" s="73">
        <f t="shared" si="472"/>
        <v>0.12885945748977656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7.125</v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>
        <f t="shared" si="542"/>
        <v>1313</v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>
        <v>-3.4203803632758509</v>
      </c>
      <c r="C94" s="708">
        <v>3.388295772117913</v>
      </c>
      <c r="D94" s="709">
        <v>-0.33860102122068025</v>
      </c>
      <c r="E94" s="710">
        <v>-0.81691366047499259</v>
      </c>
      <c r="F94" s="708">
        <v>-0.53582684759192745</v>
      </c>
      <c r="G94" s="711">
        <v>0.21340492198880073</v>
      </c>
      <c r="H94" s="710">
        <v>0.26600000000000001</v>
      </c>
      <c r="I94" s="708">
        <v>0.52</v>
      </c>
      <c r="J94" s="570">
        <v>7.1319999999999997</v>
      </c>
      <c r="K94" s="865">
        <f>IF($J94="","",IF(IFERROR(INDEX(Settings!$AK$14:$AK$36,MATCH((((ROUND($H94,6)*2)*1000000)+ROUND($I94,6)),Settings!$AI$14:$AI$36,0)),"Undefined")="Undefined","Undefined",IFERROR(INDEX(_xlfn.ANCHORARRAY(Settings!$BC$14),MATCH(IFERROR(INDEX(Settings!$AK$14:$AK$36,MATCH((((ROUND($H94,6)*2)*1000000)+ROUND($I94,6)),Settings!$AI$14:$AI$36,0)),"Undefined"),_xlfn.ANCHORARRAY(Settings!$BC$14),0)),"Inactive")))</f>
        <v>1313</v>
      </c>
      <c r="L94" s="320"/>
      <c r="M94" s="168">
        <f t="shared" si="464"/>
        <v>7.1319999999999997</v>
      </c>
      <c r="N94" s="632">
        <f t="shared" si="465"/>
        <v>-3.4203803632758509</v>
      </c>
      <c r="O94" s="629">
        <f t="shared" si="466"/>
        <v>3.388295772117913</v>
      </c>
      <c r="P94" s="633">
        <f t="shared" si="467"/>
        <v>-0.33860102122068025</v>
      </c>
      <c r="Q94" s="585">
        <f t="shared" si="520"/>
        <v>135.26999346382161</v>
      </c>
      <c r="R94" s="629">
        <f t="shared" si="79"/>
        <v>4.814514520575794</v>
      </c>
      <c r="S94" s="634">
        <f t="shared" si="80"/>
        <v>-0.33860102122068025</v>
      </c>
      <c r="T94" s="635">
        <f t="shared" si="81"/>
        <v>3.3882957721179148</v>
      </c>
      <c r="U94" s="629">
        <f t="shared" si="82"/>
        <v>3.4203803632758496</v>
      </c>
      <c r="V94" s="636">
        <f t="shared" si="114"/>
        <v>-0.33860102122068025</v>
      </c>
      <c r="W94" s="585">
        <f t="shared" si="645"/>
        <v>45.269993463821606</v>
      </c>
      <c r="X94" s="629">
        <f t="shared" si="83"/>
        <v>4.814514520575794</v>
      </c>
      <c r="Y94" s="630">
        <f t="shared" si="644"/>
        <v>-0.33860102122068025</v>
      </c>
      <c r="Z94" s="632">
        <f t="shared" si="468"/>
        <v>0.81691366047499259</v>
      </c>
      <c r="AA94" s="629">
        <f t="shared" si="469"/>
        <v>0.53582684759192745</v>
      </c>
      <c r="AB94" s="629">
        <f t="shared" si="470"/>
        <v>-0.21340492198880073</v>
      </c>
      <c r="AC94" s="636">
        <f t="shared" si="84"/>
        <v>1</v>
      </c>
      <c r="AD94" s="637">
        <f t="shared" si="115"/>
        <v>0.81691366047499259</v>
      </c>
      <c r="AE94" s="629">
        <f t="shared" si="85"/>
        <v>0.53582684759192745</v>
      </c>
      <c r="AF94" s="633">
        <f t="shared" si="86"/>
        <v>-0.21340492198880073</v>
      </c>
      <c r="AG94" s="602">
        <f t="shared" si="87"/>
        <v>68.283983825270056</v>
      </c>
      <c r="AH94" s="603">
        <f t="shared" si="88"/>
        <v>35.22297787341752</v>
      </c>
      <c r="AI94" s="585">
        <f t="shared" si="89"/>
        <v>-77.678035606903393</v>
      </c>
      <c r="AJ94" s="586">
        <f t="shared" si="90"/>
        <v>123.26151502667953</v>
      </c>
      <c r="AK94" s="635">
        <f t="shared" si="211"/>
        <v>0.95558476559376893</v>
      </c>
      <c r="AL94" s="629">
        <f t="shared" si="91"/>
        <v>-0.20326360971914215</v>
      </c>
      <c r="AM94" s="634">
        <f t="shared" si="92"/>
        <v>-0.21340492198880073</v>
      </c>
      <c r="AN94" s="581">
        <f t="shared" si="93"/>
        <v>-43.605750970835693</v>
      </c>
      <c r="AO94" s="582">
        <f t="shared" si="461"/>
        <v>17.140532191046589</v>
      </c>
      <c r="AP94" s="585">
        <f t="shared" si="95"/>
        <v>-12.008478437142058</v>
      </c>
      <c r="AQ94" s="586">
        <f t="shared" si="471"/>
        <v>0.47350043773026645</v>
      </c>
      <c r="AS94" s="52">
        <f t="shared" si="543"/>
        <v>-314.73000653617839</v>
      </c>
      <c r="AT94" s="73">
        <f t="shared" si="472"/>
        <v>-0.12003851668166748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7.1319999999999997</v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>
        <f t="shared" si="542"/>
        <v>1313</v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>
        <v>-3.7526398369974516</v>
      </c>
      <c r="C95" s="708">
        <v>3.8093941803467297</v>
      </c>
      <c r="D95" s="709">
        <v>-0.77940235067749042</v>
      </c>
      <c r="E95" s="710">
        <v>-0.88350795836314777</v>
      </c>
      <c r="F95" s="708">
        <v>-0.44090297209308571</v>
      </c>
      <c r="G95" s="711">
        <v>0.15817160525349072</v>
      </c>
      <c r="H95" s="710">
        <v>0.26600000000000001</v>
      </c>
      <c r="I95" s="708">
        <v>0.52</v>
      </c>
      <c r="J95" s="570">
        <v>7.1390000000000002</v>
      </c>
      <c r="K95" s="865">
        <f>IF($J95="","",IF(IFERROR(INDEX(Settings!$AK$14:$AK$36,MATCH((((ROUND($H95,6)*2)*1000000)+ROUND($I95,6)),Settings!$AI$14:$AI$36,0)),"Undefined")="Undefined","Undefined",IFERROR(INDEX(_xlfn.ANCHORARRAY(Settings!$BC$14),MATCH(IFERROR(INDEX(Settings!$AK$14:$AK$36,MATCH((((ROUND($H95,6)*2)*1000000)+ROUND($I95,6)),Settings!$AI$14:$AI$36,0)),"Undefined"),_xlfn.ANCHORARRAY(Settings!$BC$14),0)),"Inactive")))</f>
        <v>1313</v>
      </c>
      <c r="L95" s="320"/>
      <c r="M95" s="168">
        <f t="shared" si="464"/>
        <v>7.1390000000000002</v>
      </c>
      <c r="N95" s="632">
        <f t="shared" si="465"/>
        <v>-3.7526398369974516</v>
      </c>
      <c r="O95" s="629">
        <f t="shared" si="466"/>
        <v>3.8093941803467297</v>
      </c>
      <c r="P95" s="633">
        <f t="shared" si="467"/>
        <v>-0.77940235067749042</v>
      </c>
      <c r="Q95" s="585">
        <f t="shared" si="520"/>
        <v>134.5699935648891</v>
      </c>
      <c r="R95" s="629">
        <f t="shared" si="79"/>
        <v>5.3473161275054411</v>
      </c>
      <c r="S95" s="634">
        <f t="shared" si="80"/>
        <v>-0.77940235067749042</v>
      </c>
      <c r="T95" s="635">
        <f t="shared" si="81"/>
        <v>3.8093941803467293</v>
      </c>
      <c r="U95" s="629">
        <f t="shared" si="82"/>
        <v>3.7526398369974512</v>
      </c>
      <c r="V95" s="636">
        <f t="shared" si="114"/>
        <v>-0.77940235067749042</v>
      </c>
      <c r="W95" s="585">
        <f t="shared" si="645"/>
        <v>44.569993564889103</v>
      </c>
      <c r="X95" s="629">
        <f t="shared" si="83"/>
        <v>5.3473161275054411</v>
      </c>
      <c r="Y95" s="630">
        <f t="shared" si="644"/>
        <v>-0.77940235067749042</v>
      </c>
      <c r="Z95" s="632">
        <f t="shared" si="468"/>
        <v>0.88350795836314777</v>
      </c>
      <c r="AA95" s="629">
        <f t="shared" si="469"/>
        <v>0.44090297209308571</v>
      </c>
      <c r="AB95" s="629">
        <f t="shared" si="470"/>
        <v>-0.15817160525349072</v>
      </c>
      <c r="AC95" s="636">
        <f t="shared" si="84"/>
        <v>1</v>
      </c>
      <c r="AD95" s="637">
        <f t="shared" si="115"/>
        <v>0.88350795836314777</v>
      </c>
      <c r="AE95" s="629">
        <f t="shared" si="85"/>
        <v>0.44090297209308571</v>
      </c>
      <c r="AF95" s="633">
        <f t="shared" si="86"/>
        <v>-0.15817160525349072</v>
      </c>
      <c r="AG95" s="602">
        <f t="shared" si="87"/>
        <v>70.264820567773484</v>
      </c>
      <c r="AH95" s="603">
        <f t="shared" si="88"/>
        <v>27.931534288819137</v>
      </c>
      <c r="AI95" s="585">
        <f t="shared" si="89"/>
        <v>-80.899214441754197</v>
      </c>
      <c r="AJ95" s="586">
        <f t="shared" si="90"/>
        <v>116.52088369873914</v>
      </c>
      <c r="AK95" s="635">
        <f t="shared" si="211"/>
        <v>0.93882239473050055</v>
      </c>
      <c r="AL95" s="629">
        <f t="shared" si="91"/>
        <v>-0.30593178070285915</v>
      </c>
      <c r="AM95" s="634">
        <f t="shared" si="92"/>
        <v>-0.15817160525349072</v>
      </c>
      <c r="AN95" s="581">
        <f t="shared" si="93"/>
        <v>-62.660315837698668</v>
      </c>
      <c r="AO95" s="582">
        <f t="shared" si="461"/>
        <v>20.145275841841503</v>
      </c>
      <c r="AP95" s="585">
        <f t="shared" si="95"/>
        <v>-18.049109866149958</v>
      </c>
      <c r="AQ95" s="586">
        <f t="shared" si="471"/>
        <v>0.42632313208205064</v>
      </c>
      <c r="AS95" s="52">
        <f t="shared" si="543"/>
        <v>-315.4300064351109</v>
      </c>
      <c r="AT95" s="73">
        <f t="shared" si="472"/>
        <v>-0.56035373509755226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7.1390000000000002</v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>
        <f t="shared" si="542"/>
        <v>1313</v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>
        <v>-3.9651646833557948</v>
      </c>
      <c r="C96" s="708">
        <v>4.1031818662158264</v>
      </c>
      <c r="D96" s="709">
        <v>-1.3513040755330923</v>
      </c>
      <c r="E96" s="710">
        <v>-0.92614374658468002</v>
      </c>
      <c r="F96" s="708">
        <v>-0.36811827148759602</v>
      </c>
      <c r="G96" s="711">
        <v>8.2138291064987906E-2</v>
      </c>
      <c r="H96" s="710">
        <v>0.26600000000000001</v>
      </c>
      <c r="I96" s="708">
        <v>0.52</v>
      </c>
      <c r="J96" s="570">
        <v>7.1459999999999999</v>
      </c>
      <c r="K96" s="865">
        <f>IF($J96="","",IF(IFERROR(INDEX(Settings!$AK$14:$AK$36,MATCH((((ROUND($H96,6)*2)*1000000)+ROUND($I96,6)),Settings!$AI$14:$AI$36,0)),"Undefined")="Undefined","Undefined",IFERROR(INDEX(_xlfn.ANCHORARRAY(Settings!$BC$14),MATCH(IFERROR(INDEX(Settings!$AK$14:$AK$36,MATCH((((ROUND($H96,6)*2)*1000000)+ROUND($I96,6)),Settings!$AI$14:$AI$36,0)),"Undefined"),_xlfn.ANCHORARRAY(Settings!$BC$14),0)),"Inactive")))</f>
        <v>1313</v>
      </c>
      <c r="L96" s="320"/>
      <c r="M96" s="168">
        <f t="shared" si="464"/>
        <v>7.1459999999999999</v>
      </c>
      <c r="N96" s="632">
        <f t="shared" si="465"/>
        <v>-3.9651646833557948</v>
      </c>
      <c r="O96" s="629">
        <f t="shared" si="466"/>
        <v>4.1031818662158264</v>
      </c>
      <c r="P96" s="633">
        <f t="shared" si="467"/>
        <v>-1.3513040755330923</v>
      </c>
      <c r="Q96" s="585">
        <f t="shared" si="520"/>
        <v>134.01999364429929</v>
      </c>
      <c r="R96" s="629">
        <f t="shared" si="79"/>
        <v>5.7060172093479045</v>
      </c>
      <c r="S96" s="634">
        <f t="shared" si="80"/>
        <v>-1.3513040755330923</v>
      </c>
      <c r="T96" s="635">
        <f t="shared" si="81"/>
        <v>4.1031818662158264</v>
      </c>
      <c r="U96" s="629">
        <f t="shared" si="82"/>
        <v>3.9651646833557943</v>
      </c>
      <c r="V96" s="636">
        <f t="shared" si="114"/>
        <v>-1.3513040755330923</v>
      </c>
      <c r="W96" s="585">
        <f t="shared" si="645"/>
        <v>44.019993644299291</v>
      </c>
      <c r="X96" s="629">
        <f t="shared" si="83"/>
        <v>5.7060172093479045</v>
      </c>
      <c r="Y96" s="630">
        <f t="shared" si="644"/>
        <v>-1.3513040755330923</v>
      </c>
      <c r="Z96" s="632">
        <f t="shared" si="468"/>
        <v>0.92614374658468002</v>
      </c>
      <c r="AA96" s="629">
        <f t="shared" si="469"/>
        <v>0.36811827148759602</v>
      </c>
      <c r="AB96" s="629">
        <f t="shared" si="470"/>
        <v>-8.2138291064987906E-2</v>
      </c>
      <c r="AC96" s="636">
        <f t="shared" si="84"/>
        <v>1</v>
      </c>
      <c r="AD96" s="637">
        <f t="shared" si="115"/>
        <v>0.92614374658468002</v>
      </c>
      <c r="AE96" s="629">
        <f t="shared" si="85"/>
        <v>0.36811827148759602</v>
      </c>
      <c r="AF96" s="633">
        <f t="shared" si="86"/>
        <v>-8.2138291064987906E-2</v>
      </c>
      <c r="AG96" s="602">
        <f t="shared" si="87"/>
        <v>77.421628543740439</v>
      </c>
      <c r="AH96" s="603">
        <f t="shared" si="88"/>
        <v>22.158540987118233</v>
      </c>
      <c r="AI96" s="585">
        <f t="shared" si="89"/>
        <v>-85.28851459427807</v>
      </c>
      <c r="AJ96" s="586">
        <f t="shared" si="90"/>
        <v>111.67654573797344</v>
      </c>
      <c r="AK96" s="635">
        <f t="shared" si="211"/>
        <v>0.92179634286401679</v>
      </c>
      <c r="AL96" s="629">
        <f t="shared" si="91"/>
        <v>-0.37887307033285916</v>
      </c>
      <c r="AM96" s="634">
        <f t="shared" si="92"/>
        <v>-8.2138291064987906E-2</v>
      </c>
      <c r="AN96" s="581">
        <f t="shared" si="93"/>
        <v>-77.767781489892201</v>
      </c>
      <c r="AO96" s="582">
        <f t="shared" si="461"/>
        <v>22.80987592102834</v>
      </c>
      <c r="AP96" s="585">
        <f t="shared" si="95"/>
        <v>-22.343447906325842</v>
      </c>
      <c r="AQ96" s="586">
        <f t="shared" si="471"/>
        <v>0.39952380080340905</v>
      </c>
      <c r="AS96" s="52">
        <f t="shared" si="543"/>
        <v>-315.98000635570071</v>
      </c>
      <c r="AT96" s="73">
        <f t="shared" si="472"/>
        <v>-1.1318735155638557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7.1459999999999999</v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>
        <f t="shared" si="542"/>
        <v>1313</v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>
        <v>-4.0599051974574989</v>
      </c>
      <c r="C97" s="708">
        <v>4.2425153142161891</v>
      </c>
      <c r="D97" s="709">
        <v>-1.9948060163349453</v>
      </c>
      <c r="E97" s="710">
        <v>-0.96420174352579835</v>
      </c>
      <c r="F97" s="708">
        <v>-0.2633923120681908</v>
      </c>
      <c r="G97" s="711">
        <v>3.0651064013887563E-2</v>
      </c>
      <c r="H97" s="710">
        <v>0.26600000000000001</v>
      </c>
      <c r="I97" s="708">
        <v>0.52</v>
      </c>
      <c r="J97" s="570">
        <v>7.1529999999999996</v>
      </c>
      <c r="K97" s="865">
        <f>IF($J97="","",IF(IFERROR(INDEX(Settings!$AK$14:$AK$36,MATCH((((ROUND($H97,6)*2)*1000000)+ROUND($I97,6)),Settings!$AI$14:$AI$36,0)),"Undefined")="Undefined","Undefined",IFERROR(INDEX(_xlfn.ANCHORARRAY(Settings!$BC$14),MATCH(IFERROR(INDEX(Settings!$AK$14:$AK$36,MATCH((((ROUND($H97,6)*2)*1000000)+ROUND($I97,6)),Settings!$AI$14:$AI$36,0)),"Undefined"),_xlfn.ANCHORARRAY(Settings!$BC$14),0)),"Inactive")))</f>
        <v>1313</v>
      </c>
      <c r="L97" s="320"/>
      <c r="M97" s="168">
        <f t="shared" si="464"/>
        <v>7.1529999999999996</v>
      </c>
      <c r="N97" s="632">
        <f t="shared" si="465"/>
        <v>-4.0599051974574989</v>
      </c>
      <c r="O97" s="629">
        <f t="shared" si="466"/>
        <v>4.2425153142161891</v>
      </c>
      <c r="P97" s="633">
        <f t="shared" si="467"/>
        <v>-1.9948060163349453</v>
      </c>
      <c r="Q97" s="585">
        <f t="shared" si="520"/>
        <v>133.73999368472627</v>
      </c>
      <c r="R97" s="629">
        <f t="shared" si="79"/>
        <v>5.8721177103070152</v>
      </c>
      <c r="S97" s="634">
        <f t="shared" si="80"/>
        <v>-1.9948060163349453</v>
      </c>
      <c r="T97" s="635">
        <f t="shared" si="81"/>
        <v>4.2425153142161891</v>
      </c>
      <c r="U97" s="629">
        <f t="shared" si="82"/>
        <v>4.0599051974574989</v>
      </c>
      <c r="V97" s="636">
        <f t="shared" si="114"/>
        <v>-1.9948060163349453</v>
      </c>
      <c r="W97" s="585">
        <f t="shared" si="645"/>
        <v>43.739993684726272</v>
      </c>
      <c r="X97" s="629">
        <f t="shared" si="83"/>
        <v>5.8721177103070152</v>
      </c>
      <c r="Y97" s="630">
        <f t="shared" si="644"/>
        <v>-1.9948060163349453</v>
      </c>
      <c r="Z97" s="632">
        <f t="shared" si="468"/>
        <v>0.96420174352579835</v>
      </c>
      <c r="AA97" s="629">
        <f t="shared" si="469"/>
        <v>0.2633923120681908</v>
      </c>
      <c r="AB97" s="629">
        <f t="shared" si="470"/>
        <v>-3.0651064013887563E-2</v>
      </c>
      <c r="AC97" s="636">
        <f t="shared" si="84"/>
        <v>1</v>
      </c>
      <c r="AD97" s="637">
        <f t="shared" si="115"/>
        <v>0.96420174352579835</v>
      </c>
      <c r="AE97" s="629">
        <f t="shared" si="85"/>
        <v>0.2633923120681908</v>
      </c>
      <c r="AF97" s="633">
        <f t="shared" si="86"/>
        <v>-3.0651064013887563E-2</v>
      </c>
      <c r="AG97" s="602">
        <f t="shared" si="87"/>
        <v>83.362323418886518</v>
      </c>
      <c r="AH97" s="603">
        <f t="shared" si="88"/>
        <v>15.37703977563516</v>
      </c>
      <c r="AI97" s="585">
        <f t="shared" si="89"/>
        <v>-88.243548293704833</v>
      </c>
      <c r="AJ97" s="586">
        <f t="shared" si="90"/>
        <v>105.27879940764714</v>
      </c>
      <c r="AK97" s="635">
        <f t="shared" si="211"/>
        <v>0.87872701709999645</v>
      </c>
      <c r="AL97" s="629">
        <f t="shared" si="91"/>
        <v>-0.47633952354739484</v>
      </c>
      <c r="AM97" s="634">
        <f t="shared" si="92"/>
        <v>-3.0651064013887563E-2</v>
      </c>
      <c r="AN97" s="581">
        <f t="shared" si="93"/>
        <v>-86.318258977120223</v>
      </c>
      <c r="AO97" s="582">
        <f t="shared" si="461"/>
        <v>28.510816521980349</v>
      </c>
      <c r="AP97" s="585">
        <f t="shared" si="95"/>
        <v>-28.461194277079134</v>
      </c>
      <c r="AQ97" s="586">
        <f t="shared" si="471"/>
        <v>0.38822310043432479</v>
      </c>
      <c r="AS97" s="52">
        <f t="shared" si="543"/>
        <v>-316.2600063152737</v>
      </c>
      <c r="AT97" s="73">
        <f t="shared" si="472"/>
        <v>-1.7751810119493385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7.1529999999999996</v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>
        <f t="shared" si="542"/>
        <v>1313</v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>
        <v>-4.0920387065576804</v>
      </c>
      <c r="C98" s="708">
        <v>4.291062299332002</v>
      </c>
      <c r="D98" s="709">
        <v>-2.6248079164206755</v>
      </c>
      <c r="E98" s="710">
        <v>-0.9802530575966506</v>
      </c>
      <c r="F98" s="708">
        <v>-0.19744368207353635</v>
      </c>
      <c r="G98" s="711">
        <v>1.0951505908419909E-2</v>
      </c>
      <c r="H98" s="710">
        <v>0.26600000000000001</v>
      </c>
      <c r="I98" s="708">
        <v>0.52</v>
      </c>
      <c r="J98" s="570">
        <v>7.16</v>
      </c>
      <c r="K98" s="865">
        <f>IF($J98="","",IF(IFERROR(INDEX(Settings!$AK$14:$AK$36,MATCH((((ROUND($H98,6)*2)*1000000)+ROUND($I98,6)),Settings!$AI$14:$AI$36,0)),"Undefined")="Undefined","Undefined",IFERROR(INDEX(_xlfn.ANCHORARRAY(Settings!$BC$14),MATCH(IFERROR(INDEX(Settings!$AK$14:$AK$36,MATCH((((ROUND($H98,6)*2)*1000000)+ROUND($I98,6)),Settings!$AI$14:$AI$36,0)),"Undefined"),_xlfn.ANCHORARRAY(Settings!$BC$14),0)),"Inactive")))</f>
        <v>1313</v>
      </c>
      <c r="L98" s="320"/>
      <c r="M98" s="168">
        <f t="shared" si="464"/>
        <v>7.16</v>
      </c>
      <c r="N98" s="632">
        <f t="shared" si="465"/>
        <v>-4.0920387065576804</v>
      </c>
      <c r="O98" s="629">
        <f t="shared" si="466"/>
        <v>4.291062299332002</v>
      </c>
      <c r="P98" s="633">
        <f t="shared" si="467"/>
        <v>-2.6248079164206755</v>
      </c>
      <c r="Q98" s="585">
        <f t="shared" si="520"/>
        <v>133.63999369916448</v>
      </c>
      <c r="R98" s="629">
        <f t="shared" si="79"/>
        <v>5.929417883124338</v>
      </c>
      <c r="S98" s="634">
        <f t="shared" si="80"/>
        <v>-2.6248079164206755</v>
      </c>
      <c r="T98" s="635">
        <f t="shared" si="81"/>
        <v>4.2910622993320029</v>
      </c>
      <c r="U98" s="629">
        <f t="shared" si="82"/>
        <v>4.0920387065576804</v>
      </c>
      <c r="V98" s="636">
        <f t="shared" si="114"/>
        <v>-2.6248079164206755</v>
      </c>
      <c r="W98" s="585">
        <f t="shared" si="645"/>
        <v>43.639993699164478</v>
      </c>
      <c r="X98" s="629">
        <f t="shared" si="83"/>
        <v>5.929417883124338</v>
      </c>
      <c r="Y98" s="630">
        <f t="shared" si="644"/>
        <v>-2.6248079164206755</v>
      </c>
      <c r="Z98" s="632">
        <f t="shared" si="468"/>
        <v>0.9802530575966506</v>
      </c>
      <c r="AA98" s="629">
        <f t="shared" si="469"/>
        <v>0.19744368207353635</v>
      </c>
      <c r="AB98" s="629">
        <f t="shared" si="470"/>
        <v>-1.0951505908419909E-2</v>
      </c>
      <c r="AC98" s="636">
        <f t="shared" si="84"/>
        <v>1</v>
      </c>
      <c r="AD98" s="637">
        <f t="shared" si="115"/>
        <v>0.9802530575966506</v>
      </c>
      <c r="AE98" s="629">
        <f t="shared" si="85"/>
        <v>0.19744368207353635</v>
      </c>
      <c r="AF98" s="633">
        <f t="shared" si="86"/>
        <v>-1.0951505908419909E-2</v>
      </c>
      <c r="AG98" s="602">
        <f t="shared" si="87"/>
        <v>86.825257893958423</v>
      </c>
      <c r="AH98" s="603">
        <f t="shared" si="88"/>
        <v>11.405250466532742</v>
      </c>
      <c r="AI98" s="585">
        <f t="shared" si="89"/>
        <v>-89.372512388703882</v>
      </c>
      <c r="AJ98" s="586">
        <f t="shared" si="90"/>
        <v>101.3882042621693</v>
      </c>
      <c r="AK98" s="635">
        <f t="shared" si="211"/>
        <v>0.84566043876569552</v>
      </c>
      <c r="AL98" s="629">
        <f t="shared" si="91"/>
        <v>-0.53360892686025174</v>
      </c>
      <c r="AM98" s="634">
        <f t="shared" si="92"/>
        <v>-1.0951505908419909E-2</v>
      </c>
      <c r="AN98" s="581">
        <f t="shared" si="93"/>
        <v>-88.824256944784466</v>
      </c>
      <c r="AO98" s="582">
        <f t="shared" si="461"/>
        <v>32.257234382889749</v>
      </c>
      <c r="AP98" s="585">
        <f t="shared" si="95"/>
        <v>-32.251789436995189</v>
      </c>
      <c r="AQ98" s="586">
        <f t="shared" si="471"/>
        <v>0.38447153828106212</v>
      </c>
      <c r="AS98" s="52">
        <f t="shared" si="543"/>
        <v>-316.36000630083549</v>
      </c>
      <c r="AT98" s="73">
        <f t="shared" si="472"/>
        <v>-2.4051134676006507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7.16</v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>
        <f t="shared" si="542"/>
        <v>1313</v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>
        <v>-2.9531604434033749</v>
      </c>
      <c r="C99" s="708">
        <v>4.4634319368992745</v>
      </c>
      <c r="D99" s="709">
        <v>-0.77792273720778193</v>
      </c>
      <c r="E99" s="710">
        <v>-0.95214928262015763</v>
      </c>
      <c r="F99" s="708">
        <v>-0.20766582203567047</v>
      </c>
      <c r="G99" s="711">
        <v>0.22424685051114671</v>
      </c>
      <c r="H99" s="710">
        <v>0.26600000000000001</v>
      </c>
      <c r="I99" s="708">
        <v>0.52</v>
      </c>
      <c r="J99" s="570">
        <v>7.2389999999999999</v>
      </c>
      <c r="K99" s="865">
        <f>IF($J99="","",IF(IFERROR(INDEX(Settings!$AK$14:$AK$36,MATCH((((ROUND($H99,6)*2)*1000000)+ROUND($I99,6)),Settings!$AI$14:$AI$36,0)),"Undefined")="Undefined","Undefined",IFERROR(INDEX(_xlfn.ANCHORARRAY(Settings!$BC$14),MATCH(IFERROR(INDEX(Settings!$AK$14:$AK$36,MATCH((((ROUND($H99,6)*2)*1000000)+ROUND($I99,6)),Settings!$AI$14:$AI$36,0)),"Undefined"),_xlfn.ANCHORARRAY(Settings!$BC$14),0)),"Inactive")))</f>
        <v>1313</v>
      </c>
      <c r="L99" s="320"/>
      <c r="M99" s="168">
        <f t="shared" si="464"/>
        <v>7.2389999999999999</v>
      </c>
      <c r="N99" s="632">
        <f t="shared" si="465"/>
        <v>-2.9531604434033749</v>
      </c>
      <c r="O99" s="629">
        <f t="shared" si="466"/>
        <v>4.4634319368992745</v>
      </c>
      <c r="P99" s="633">
        <f t="shared" si="467"/>
        <v>-0.77792273720778193</v>
      </c>
      <c r="Q99" s="585">
        <f t="shared" si="520"/>
        <v>123.48999516464295</v>
      </c>
      <c r="R99" s="629">
        <f t="shared" si="79"/>
        <v>5.3519511638107113</v>
      </c>
      <c r="S99" s="634">
        <f t="shared" si="80"/>
        <v>-0.77792273720778193</v>
      </c>
      <c r="T99" s="635">
        <f t="shared" si="81"/>
        <v>4.4634319368992745</v>
      </c>
      <c r="U99" s="629">
        <f t="shared" si="82"/>
        <v>2.9531604434033749</v>
      </c>
      <c r="V99" s="636">
        <f t="shared" si="114"/>
        <v>-0.77792273720778193</v>
      </c>
      <c r="W99" s="585">
        <f t="shared" si="645"/>
        <v>33.489995164642949</v>
      </c>
      <c r="X99" s="629">
        <f t="shared" si="83"/>
        <v>5.3519511638107113</v>
      </c>
      <c r="Y99" s="630">
        <f t="shared" si="644"/>
        <v>-0.77792273720778193</v>
      </c>
      <c r="Z99" s="632">
        <f t="shared" si="468"/>
        <v>0.95214928262015763</v>
      </c>
      <c r="AA99" s="629">
        <f t="shared" si="469"/>
        <v>0.20766582203567047</v>
      </c>
      <c r="AB99" s="629">
        <f t="shared" si="470"/>
        <v>-0.22424685051114671</v>
      </c>
      <c r="AC99" s="636">
        <f t="shared" si="84"/>
        <v>1</v>
      </c>
      <c r="AD99" s="637">
        <f t="shared" si="115"/>
        <v>0.95214928262015763</v>
      </c>
      <c r="AE99" s="629">
        <f t="shared" si="85"/>
        <v>0.20766582203567047</v>
      </c>
      <c r="AF99" s="633">
        <f t="shared" si="86"/>
        <v>-0.22424685051114671</v>
      </c>
      <c r="AG99" s="602">
        <f t="shared" si="87"/>
        <v>42.801507763693266</v>
      </c>
      <c r="AH99" s="603">
        <f t="shared" si="88"/>
        <v>17.796271707341074</v>
      </c>
      <c r="AI99" s="585">
        <f t="shared" si="89"/>
        <v>-77.041405772757898</v>
      </c>
      <c r="AJ99" s="586">
        <f t="shared" si="90"/>
        <v>102.30365945384274</v>
      </c>
      <c r="AK99" s="635">
        <f t="shared" si="211"/>
        <v>0.90866374878549461</v>
      </c>
      <c r="AL99" s="629">
        <f t="shared" si="91"/>
        <v>-0.35219815683635125</v>
      </c>
      <c r="AM99" s="634">
        <f t="shared" si="92"/>
        <v>-0.22424685051114671</v>
      </c>
      <c r="AN99" s="581">
        <f t="shared" si="93"/>
        <v>-57.514828125513965</v>
      </c>
      <c r="AO99" s="582">
        <f t="shared" si="461"/>
        <v>24.678660230227884</v>
      </c>
      <c r="AP99" s="585">
        <f t="shared" si="95"/>
        <v>-21.186335710800215</v>
      </c>
      <c r="AQ99" s="586">
        <f t="shared" si="471"/>
        <v>0.42595393021613864</v>
      </c>
      <c r="AS99" s="52">
        <f t="shared" si="543"/>
        <v>-326.51000483535705</v>
      </c>
      <c r="AT99" s="73">
        <f t="shared" si="472"/>
        <v>-0.55117967829433956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>Taper</v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7.2389999999999999</v>
      </c>
      <c r="IH99" s="731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0.13900000000000001</v>
      </c>
      <c r="II99" s="734" cm="1">
        <f t="array" ref="II99">IFERROR(IF($IH99&lt;1,$IH99+LARGE((IF($M$9:$M$150="",0,$M$9:$M$150)-MOD(IF($M$9:$M$150="",0,$M$9:$M$150),1)),1),$IH99),"")</f>
        <v>7.1390000000000002</v>
      </c>
      <c r="IJ99" s="533">
        <f t="shared" si="542"/>
        <v>1313</v>
      </c>
      <c r="IK99" s="533">
        <f t="shared" si="517"/>
        <v>1313</v>
      </c>
      <c r="IL99" s="727">
        <f t="shared" si="647"/>
        <v>11.079998400246154</v>
      </c>
      <c r="IM99" s="759">
        <v>1.14289217314871E-5</v>
      </c>
      <c r="IN99" s="5">
        <f t="shared" si="648"/>
        <v>0</v>
      </c>
      <c r="IO99" s="771">
        <v>0</v>
      </c>
      <c r="IP99" s="9">
        <f t="shared" si="649"/>
        <v>-5.3473161275054411</v>
      </c>
      <c r="IQ99" s="5">
        <f t="shared" si="650"/>
        <v>-0.77940235067749042</v>
      </c>
      <c r="IR99" s="5">
        <f t="shared" si="518"/>
        <v>0.26600000000000001</v>
      </c>
      <c r="IS99" s="5">
        <f t="shared" si="651"/>
        <v>0.24972675699831315</v>
      </c>
      <c r="IT99" s="727">
        <f t="shared" si="652"/>
        <v>62.660315837698668</v>
      </c>
      <c r="IU99" s="9">
        <f t="shared" si="653"/>
        <v>-5.3519511638107113</v>
      </c>
      <c r="IV99" s="5">
        <f t="shared" si="654"/>
        <v>-0.77792273720778193</v>
      </c>
      <c r="IW99" s="5">
        <f t="shared" si="519"/>
        <v>0.26600000000000001</v>
      </c>
      <c r="IX99" s="5">
        <f t="shared" si="655"/>
        <v>0.24170455717694159</v>
      </c>
      <c r="IY99" s="762">
        <f t="shared" si="656"/>
        <v>57.514828125513965</v>
      </c>
    </row>
    <row r="100" spans="1:259" ht="15" customHeight="1" x14ac:dyDescent="0.25">
      <c r="A100" s="79"/>
      <c r="B100" s="707">
        <v>-3.1629362964986645</v>
      </c>
      <c r="C100" s="708">
        <v>4.7569993730777256</v>
      </c>
      <c r="D100" s="709">
        <v>-1.3501856219279236</v>
      </c>
      <c r="E100" s="710">
        <v>-0.98248790736567149</v>
      </c>
      <c r="F100" s="708">
        <v>-0.12805553932702085</v>
      </c>
      <c r="G100" s="711">
        <v>0.1353487743863595</v>
      </c>
      <c r="H100" s="710">
        <v>0.26600000000000001</v>
      </c>
      <c r="I100" s="708">
        <v>0.52</v>
      </c>
      <c r="J100" s="570">
        <v>7.2460000000000004</v>
      </c>
      <c r="K100" s="865">
        <f>IF($J100="","",IF(IFERROR(INDEX(Settings!$AK$14:$AK$36,MATCH((((ROUND($H100,6)*2)*1000000)+ROUND($I100,6)),Settings!$AI$14:$AI$36,0)),"Undefined")="Undefined","Undefined",IFERROR(INDEX(_xlfn.ANCHORARRAY(Settings!$BC$14),MATCH(IFERROR(INDEX(Settings!$AK$14:$AK$36,MATCH((((ROUND($H100,6)*2)*1000000)+ROUND($I100,6)),Settings!$AI$14:$AI$36,0)),"Undefined"),_xlfn.ANCHORARRAY(Settings!$BC$14),0)),"Inactive")))</f>
        <v>1313</v>
      </c>
      <c r="L100" s="320"/>
      <c r="M100" s="168">
        <f t="shared" si="464"/>
        <v>7.2460000000000004</v>
      </c>
      <c r="N100" s="632">
        <f t="shared" si="465"/>
        <v>-3.1629362964986645</v>
      </c>
      <c r="O100" s="629">
        <f t="shared" si="466"/>
        <v>4.7569993730777256</v>
      </c>
      <c r="P100" s="633">
        <f t="shared" si="467"/>
        <v>-1.3501856219279236</v>
      </c>
      <c r="Q100" s="585">
        <f t="shared" si="520"/>
        <v>123.61999514587326</v>
      </c>
      <c r="R100" s="629">
        <f t="shared" si="79"/>
        <v>5.7125483850178949</v>
      </c>
      <c r="S100" s="634">
        <f t="shared" si="80"/>
        <v>-1.3501856219279236</v>
      </c>
      <c r="T100" s="635">
        <f t="shared" si="81"/>
        <v>4.7569993730777256</v>
      </c>
      <c r="U100" s="629">
        <f t="shared" si="82"/>
        <v>3.1629362964986636</v>
      </c>
      <c r="V100" s="636">
        <f t="shared" si="114"/>
        <v>-1.3501856219279236</v>
      </c>
      <c r="W100" s="585">
        <f t="shared" si="645"/>
        <v>33.619995145873261</v>
      </c>
      <c r="X100" s="629">
        <f t="shared" si="83"/>
        <v>5.7125483850178949</v>
      </c>
      <c r="Y100" s="630">
        <f t="shared" si="644"/>
        <v>-1.3501856219279236</v>
      </c>
      <c r="Z100" s="632">
        <f t="shared" si="468"/>
        <v>0.98248790736567149</v>
      </c>
      <c r="AA100" s="629">
        <f t="shared" si="469"/>
        <v>0.12805553932702085</v>
      </c>
      <c r="AB100" s="629">
        <f t="shared" si="470"/>
        <v>-0.1353487743863595</v>
      </c>
      <c r="AC100" s="636">
        <f t="shared" si="84"/>
        <v>1</v>
      </c>
      <c r="AD100" s="637">
        <f t="shared" si="115"/>
        <v>0.98248790736567149</v>
      </c>
      <c r="AE100" s="629">
        <f t="shared" si="85"/>
        <v>0.12805553932702085</v>
      </c>
      <c r="AF100" s="633">
        <f t="shared" si="86"/>
        <v>-0.1353487743863595</v>
      </c>
      <c r="AG100" s="602">
        <f t="shared" si="87"/>
        <v>43.413978705862846</v>
      </c>
      <c r="AH100" s="603">
        <f t="shared" si="88"/>
        <v>10.738471815523893</v>
      </c>
      <c r="AI100" s="585">
        <f t="shared" si="89"/>
        <v>-82.22121170173088</v>
      </c>
      <c r="AJ100" s="586">
        <f t="shared" si="90"/>
        <v>97.425957179135096</v>
      </c>
      <c r="AK100" s="635">
        <f t="shared" si="211"/>
        <v>0.88904732711234313</v>
      </c>
      <c r="AL100" s="629">
        <f t="shared" si="91"/>
        <v>-0.43735061384032448</v>
      </c>
      <c r="AM100" s="634">
        <f t="shared" si="92"/>
        <v>-0.1353487743863595</v>
      </c>
      <c r="AN100" s="581">
        <f t="shared" si="93"/>
        <v>-72.804047576653588</v>
      </c>
      <c r="AO100" s="582">
        <f t="shared" si="461"/>
        <v>27.246222497819598</v>
      </c>
      <c r="AP100" s="585">
        <f t="shared" si="95"/>
        <v>-26.194037966738154</v>
      </c>
      <c r="AQ100" s="586">
        <f t="shared" si="471"/>
        <v>0.39906703868702997</v>
      </c>
      <c r="AS100" s="52">
        <f t="shared" si="543"/>
        <v>-326.38000485412675</v>
      </c>
      <c r="AT100" s="73">
        <f t="shared" si="472"/>
        <v>-1.1235328407792244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>Taper</v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7.2460000000000004</v>
      </c>
      <c r="IH100" s="731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0.14599999999999999</v>
      </c>
      <c r="II100" s="734" cm="1">
        <f t="array" ref="II100">IFERROR(IF($IH100&lt;1,$IH100+LARGE((IF($M$9:$M$150="",0,$M$9:$M$150)-MOD(IF($M$9:$M$150="",0,$M$9:$M$150),1)),1),$IH100),"")</f>
        <v>7.1459999999999999</v>
      </c>
      <c r="IJ100" s="533">
        <f t="shared" si="542"/>
        <v>1313</v>
      </c>
      <c r="IK100" s="533">
        <f t="shared" si="517"/>
        <v>1313</v>
      </c>
      <c r="IL100" s="727">
        <f t="shared" si="647"/>
        <v>10.399998498426029</v>
      </c>
      <c r="IM100" s="759">
        <v>5.9439315772022005E-4</v>
      </c>
      <c r="IN100" s="5">
        <f t="shared" si="648"/>
        <v>0</v>
      </c>
      <c r="IO100" s="771">
        <v>0</v>
      </c>
      <c r="IP100" s="9">
        <f t="shared" si="649"/>
        <v>-5.7060172093479045</v>
      </c>
      <c r="IQ100" s="5">
        <f t="shared" si="650"/>
        <v>-1.3513040755330923</v>
      </c>
      <c r="IR100" s="5">
        <f t="shared" si="518"/>
        <v>0.26600000000000001</v>
      </c>
      <c r="IS100" s="5">
        <f t="shared" si="651"/>
        <v>0.24519782720182848</v>
      </c>
      <c r="IT100" s="727">
        <f t="shared" si="652"/>
        <v>77.767781489892201</v>
      </c>
      <c r="IU100" s="9">
        <f t="shared" si="653"/>
        <v>-5.7125483850178949</v>
      </c>
      <c r="IV100" s="5">
        <f t="shared" si="654"/>
        <v>-1.3501856219279236</v>
      </c>
      <c r="IW100" s="5">
        <f t="shared" si="519"/>
        <v>0.26600000000000001</v>
      </c>
      <c r="IX100" s="5">
        <f t="shared" si="655"/>
        <v>0.2364865890118833</v>
      </c>
      <c r="IY100" s="762">
        <f t="shared" si="656"/>
        <v>72.804047576653588</v>
      </c>
    </row>
    <row r="101" spans="1:259" ht="15" customHeight="1" x14ac:dyDescent="0.25">
      <c r="A101" s="79"/>
      <c r="B101" s="707">
        <v>-3.2554513506460161</v>
      </c>
      <c r="C101" s="708">
        <v>4.8961403526372491</v>
      </c>
      <c r="D101" s="709">
        <v>-1.9951931476910922</v>
      </c>
      <c r="E101" s="710">
        <v>-0.99775270984572639</v>
      </c>
      <c r="F101" s="708">
        <v>-2.8596390627526651E-2</v>
      </c>
      <c r="G101" s="711">
        <v>6.0595184945568391E-2</v>
      </c>
      <c r="H101" s="710">
        <v>0.26600000000000001</v>
      </c>
      <c r="I101" s="708">
        <v>0.52</v>
      </c>
      <c r="J101" s="570">
        <v>7.2530000000000001</v>
      </c>
      <c r="K101" s="865">
        <f>IF($J101="","",IF(IFERROR(INDEX(Settings!$AK$14:$AK$36,MATCH((((ROUND($H101,6)*2)*1000000)+ROUND($I101,6)),Settings!$AI$14:$AI$36,0)),"Undefined")="Undefined","Undefined",IFERROR(INDEX(_xlfn.ANCHORARRAY(Settings!$BC$14),MATCH(IFERROR(INDEX(Settings!$AK$14:$AK$36,MATCH((((ROUND($H101,6)*2)*1000000)+ROUND($I101,6)),Settings!$AI$14:$AI$36,0)),"Undefined"),_xlfn.ANCHORARRAY(Settings!$BC$14),0)),"Inactive")))</f>
        <v>1313</v>
      </c>
      <c r="L101" s="320"/>
      <c r="M101" s="168">
        <f t="shared" si="464"/>
        <v>7.2530000000000001</v>
      </c>
      <c r="N101" s="632">
        <f t="shared" si="465"/>
        <v>-3.2554513506460161</v>
      </c>
      <c r="O101" s="629">
        <f t="shared" si="466"/>
        <v>4.8961403526372491</v>
      </c>
      <c r="P101" s="633">
        <f t="shared" si="467"/>
        <v>-1.9951931476910922</v>
      </c>
      <c r="Q101" s="585">
        <f t="shared" si="520"/>
        <v>123.61999514587326</v>
      </c>
      <c r="R101" s="629">
        <f t="shared" si="79"/>
        <v>5.8796389216639637</v>
      </c>
      <c r="S101" s="634">
        <f t="shared" si="80"/>
        <v>-1.9951931476910922</v>
      </c>
      <c r="T101" s="635">
        <f t="shared" si="81"/>
        <v>4.89614035263725</v>
      </c>
      <c r="U101" s="629">
        <f t="shared" si="82"/>
        <v>3.2554513506460143</v>
      </c>
      <c r="V101" s="636">
        <f t="shared" si="114"/>
        <v>-1.9951931476910922</v>
      </c>
      <c r="W101" s="585">
        <f t="shared" si="645"/>
        <v>33.619995145873261</v>
      </c>
      <c r="X101" s="629">
        <f t="shared" si="83"/>
        <v>5.8796389216639637</v>
      </c>
      <c r="Y101" s="630">
        <f t="shared" si="644"/>
        <v>-1.9951931476910922</v>
      </c>
      <c r="Z101" s="632">
        <f t="shared" si="468"/>
        <v>0.99775270984572639</v>
      </c>
      <c r="AA101" s="629">
        <f t="shared" si="469"/>
        <v>2.8596390627526651E-2</v>
      </c>
      <c r="AB101" s="629">
        <f t="shared" si="470"/>
        <v>-6.0595184945568391E-2</v>
      </c>
      <c r="AC101" s="636">
        <f t="shared" si="84"/>
        <v>1</v>
      </c>
      <c r="AD101" s="637">
        <f t="shared" si="115"/>
        <v>0.99775270984572639</v>
      </c>
      <c r="AE101" s="629">
        <f t="shared" si="85"/>
        <v>2.8596390627526651E-2</v>
      </c>
      <c r="AF101" s="633">
        <f t="shared" si="86"/>
        <v>-6.0595184945568391E-2</v>
      </c>
      <c r="AG101" s="602">
        <f t="shared" si="87"/>
        <v>25.263802301490163</v>
      </c>
      <c r="AH101" s="603">
        <f t="shared" si="88"/>
        <v>3.8419222391506209</v>
      </c>
      <c r="AI101" s="585">
        <f t="shared" si="89"/>
        <v>-86.526023483735941</v>
      </c>
      <c r="AJ101" s="586">
        <f t="shared" si="90"/>
        <v>91.641693443835706</v>
      </c>
      <c r="AK101" s="635">
        <f t="shared" si="211"/>
        <v>0.84668999737010187</v>
      </c>
      <c r="AL101" s="629">
        <f t="shared" si="91"/>
        <v>-0.52862488771796334</v>
      </c>
      <c r="AM101" s="634">
        <f t="shared" si="92"/>
        <v>-6.0595184945568391E-2</v>
      </c>
      <c r="AN101" s="581">
        <f t="shared" si="93"/>
        <v>-83.460843386411753</v>
      </c>
      <c r="AO101" s="582">
        <f t="shared" si="461"/>
        <v>32.146540232617049</v>
      </c>
      <c r="AP101" s="585">
        <f t="shared" si="95"/>
        <v>-31.978301702037552</v>
      </c>
      <c r="AQ101" s="586">
        <f t="shared" si="471"/>
        <v>0.38772650211725218</v>
      </c>
      <c r="AS101" s="52">
        <f t="shared" si="543"/>
        <v>-326.38000485412675</v>
      </c>
      <c r="AT101" s="73">
        <f t="shared" si="472"/>
        <v>-1.7685403665423931</v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>Taper</v>
      </c>
      <c r="IF101" s="533" t="str">
        <f>IFERROR(IF((((($IW101*COS(RADIANS(180-$IY101)))*COS(RADIANS($IY101)))-(($IX101*SIN(RADIANS(180-$IY101)))*SIN(RADIANS($IY101))))+$IU101)&lt;(((Settings!$C$19+$IF$8)/2)*-1),"Gage",""),"")</f>
        <v>Gage</v>
      </c>
      <c r="IG101" s="847">
        <f t="shared" si="643"/>
        <v>7.2530000000000001</v>
      </c>
      <c r="IH101" s="731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0.153</v>
      </c>
      <c r="II101" s="734" cm="1">
        <f t="array" ref="II101">IFERROR(IF($IH101&lt;1,$IH101+LARGE((IF($M$9:$M$150="",0,$M$9:$M$150)-MOD(IF($M$9:$M$150="",0,$M$9:$M$150),1)),1),$IH101),"")</f>
        <v>7.1529999999999996</v>
      </c>
      <c r="IJ101" s="533">
        <f t="shared" si="542"/>
        <v>1313</v>
      </c>
      <c r="IK101" s="533">
        <f t="shared" si="517"/>
        <v>1313</v>
      </c>
      <c r="IL101" s="727">
        <f t="shared" si="647"/>
        <v>10.119998538853011</v>
      </c>
      <c r="IM101" s="759">
        <v>1.06944578916691E-3</v>
      </c>
      <c r="IN101" s="5">
        <f t="shared" si="648"/>
        <v>0</v>
      </c>
      <c r="IO101" s="771">
        <v>0</v>
      </c>
      <c r="IP101" s="9">
        <f t="shared" si="649"/>
        <v>-5.8721177103070152</v>
      </c>
      <c r="IQ101" s="5">
        <f t="shared" si="650"/>
        <v>-1.9948060163349453</v>
      </c>
      <c r="IR101" s="5">
        <f t="shared" si="518"/>
        <v>0.26600000000000001</v>
      </c>
      <c r="IS101" s="5">
        <f t="shared" si="651"/>
        <v>0.23374138654859908</v>
      </c>
      <c r="IT101" s="727">
        <f t="shared" si="652"/>
        <v>86.318258977120223</v>
      </c>
      <c r="IU101" s="9">
        <f t="shared" si="653"/>
        <v>-5.8796389216639637</v>
      </c>
      <c r="IV101" s="5">
        <f t="shared" si="654"/>
        <v>-1.9951931476910922</v>
      </c>
      <c r="IW101" s="5">
        <f t="shared" si="519"/>
        <v>0.26600000000000001</v>
      </c>
      <c r="IX101" s="5">
        <f t="shared" si="655"/>
        <v>0.22521953930044711</v>
      </c>
      <c r="IY101" s="762">
        <f t="shared" si="656"/>
        <v>83.460843386411753</v>
      </c>
    </row>
    <row r="102" spans="1:259" ht="15" customHeight="1" x14ac:dyDescent="0.25">
      <c r="A102" s="79"/>
      <c r="B102" s="707">
        <v>-3.1932354484066097</v>
      </c>
      <c r="C102" s="708">
        <v>5.3144376345046549</v>
      </c>
      <c r="D102" s="709">
        <v>-2.6248</v>
      </c>
      <c r="E102" s="710">
        <v>-0.51503797554945319</v>
      </c>
      <c r="F102" s="708">
        <v>0.85716736040397667</v>
      </c>
      <c r="G102" s="711">
        <v>0</v>
      </c>
      <c r="H102" s="710">
        <v>0.25700000000000001</v>
      </c>
      <c r="I102" s="708">
        <v>0.71</v>
      </c>
      <c r="J102" s="570">
        <v>7.3010000000000002</v>
      </c>
      <c r="K102" s="865" t="str">
        <f>IF($J102="","",IF(IFERROR(INDEX(Settings!$AK$14:$AK$36,MATCH((((ROUND($H102,6)*2)*1000000)+ROUND($I102,6)),Settings!$AI$14:$AI$36,0)),"Undefined")="Undefined","Undefined",IFERROR(INDEX(_xlfn.ANCHORARRAY(Settings!$BC$14),MATCH(IFERROR(INDEX(Settings!$AK$14:$AK$36,MATCH((((ROUND($H102,6)*2)*1000000)+ROUND($I102,6)),Settings!$AI$14:$AI$36,0)),"Undefined"),_xlfn.ANCHORARRAY(Settings!$BC$14),0)),"Inactive")))</f>
        <v>Inactive</v>
      </c>
      <c r="L102" s="320"/>
      <c r="M102" s="168">
        <f t="shared" si="464"/>
        <v>7.3010000000000002</v>
      </c>
      <c r="N102" s="632">
        <f t="shared" si="465"/>
        <v>-3.1932354484066097</v>
      </c>
      <c r="O102" s="629">
        <f t="shared" si="466"/>
        <v>5.3144376345046549</v>
      </c>
      <c r="P102" s="633">
        <f t="shared" si="467"/>
        <v>-2.6248</v>
      </c>
      <c r="Q102" s="585">
        <f t="shared" si="520"/>
        <v>120.99999335842269</v>
      </c>
      <c r="R102" s="629">
        <f t="shared" si="79"/>
        <v>6.1999999999999993</v>
      </c>
      <c r="S102" s="634">
        <f t="shared" si="80"/>
        <v>-2.6248</v>
      </c>
      <c r="T102" s="635">
        <f t="shared" si="81"/>
        <v>5.3144376345046558</v>
      </c>
      <c r="U102" s="629">
        <f t="shared" si="82"/>
        <v>3.1932354484066079</v>
      </c>
      <c r="V102" s="636">
        <f t="shared" si="114"/>
        <v>-2.6248</v>
      </c>
      <c r="W102" s="585">
        <f t="shared" si="645"/>
        <v>30.999993358422685</v>
      </c>
      <c r="X102" s="629">
        <f t="shared" si="83"/>
        <v>6.1999999999999993</v>
      </c>
      <c r="Y102" s="630">
        <f t="shared" si="644"/>
        <v>-2.6248</v>
      </c>
      <c r="Z102" s="632">
        <f t="shared" si="468"/>
        <v>0.51503797554945319</v>
      </c>
      <c r="AA102" s="629">
        <f t="shared" si="469"/>
        <v>-0.85716736040397667</v>
      </c>
      <c r="AB102" s="629">
        <f t="shared" si="470"/>
        <v>0</v>
      </c>
      <c r="AC102" s="636">
        <f t="shared" si="84"/>
        <v>1</v>
      </c>
      <c r="AD102" s="637">
        <f t="shared" si="115"/>
        <v>0.51503797554945319</v>
      </c>
      <c r="AE102" s="629">
        <f t="shared" si="85"/>
        <v>-0.85716736040397667</v>
      </c>
      <c r="AF102" s="633">
        <f t="shared" si="86"/>
        <v>0</v>
      </c>
      <c r="AG102" s="602">
        <f t="shared" si="87"/>
        <v>-90</v>
      </c>
      <c r="AH102" s="603">
        <f t="shared" si="88"/>
        <v>59.000006641577308</v>
      </c>
      <c r="AI102" s="585">
        <f t="shared" si="89"/>
        <v>-90</v>
      </c>
      <c r="AJ102" s="586">
        <f t="shared" si="90"/>
        <v>30.999993358422696</v>
      </c>
      <c r="AK102" s="635">
        <f t="shared" si="211"/>
        <v>2.2204460492503131E-16</v>
      </c>
      <c r="AL102" s="629">
        <f t="shared" si="91"/>
        <v>-0.99999999999999989</v>
      </c>
      <c r="AM102" s="634">
        <f t="shared" si="92"/>
        <v>0</v>
      </c>
      <c r="AN102" s="581">
        <f t="shared" si="93"/>
        <v>-90</v>
      </c>
      <c r="AO102" s="582">
        <f t="shared" si="461"/>
        <v>0</v>
      </c>
      <c r="AP102" s="585">
        <f t="shared" si="95"/>
        <v>-89.999999999999986</v>
      </c>
      <c r="AQ102" s="586">
        <f t="shared" si="471"/>
        <v>0.36769279613469635</v>
      </c>
      <c r="AS102" s="52">
        <f t="shared" si="543"/>
        <v>-329.00000664157733</v>
      </c>
      <c r="AT102" s="73">
        <f t="shared" si="472"/>
        <v>-2.3963277731655714</v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>Taper</v>
      </c>
      <c r="IF102" s="533" t="str">
        <f>IFERROR(IF((((($IW102*COS(RADIANS(180-$IY102)))*COS(RADIANS($IY102)))-(($IX102*SIN(RADIANS(180-$IY102)))*SIN(RADIANS($IY102))))+$IU102)&lt;(((Settings!$C$19+$IF$8)/2)*-1),"Gage",""),"")</f>
        <v>Gage</v>
      </c>
      <c r="IG102" s="847">
        <f t="shared" si="643"/>
        <v>7.3010000000000002</v>
      </c>
      <c r="IH102" s="731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>6.3010000000000002</v>
      </c>
      <c r="II102" s="734" cm="1">
        <f t="array" ref="II102">IFERROR(IF($IH102&lt;1,$IH102+LARGE((IF($M$9:$M$150="",0,$M$9:$M$150)-MOD(IF($M$9:$M$150="",0,$M$9:$M$150),1)),1),$IH102),"")</f>
        <v>6.3010000000000002</v>
      </c>
      <c r="IJ102" s="533" t="str">
        <f t="shared" si="542"/>
        <v>Inactive</v>
      </c>
      <c r="IK102" s="533" t="str">
        <f t="shared" si="517"/>
        <v>Inactive</v>
      </c>
      <c r="IL102" s="727">
        <f t="shared" si="647"/>
        <v>49.999992780894232</v>
      </c>
      <c r="IM102" s="759">
        <v>4.2223103652720901E-4</v>
      </c>
      <c r="IN102" s="5">
        <f t="shared" si="648"/>
        <v>0</v>
      </c>
      <c r="IO102" s="771">
        <v>0</v>
      </c>
      <c r="IP102" s="9">
        <f t="shared" si="649"/>
        <v>-6.200000000000002</v>
      </c>
      <c r="IQ102" s="5">
        <f t="shared" si="650"/>
        <v>-2.7164000000000001</v>
      </c>
      <c r="IR102" s="5">
        <f t="shared" si="518"/>
        <v>0.25700000000000001</v>
      </c>
      <c r="IS102" s="5">
        <f t="shared" si="651"/>
        <v>0.25700000000000001</v>
      </c>
      <c r="IT102" s="727">
        <f t="shared" si="652"/>
        <v>90</v>
      </c>
      <c r="IU102" s="9">
        <f t="shared" si="653"/>
        <v>-6.1999999999999993</v>
      </c>
      <c r="IV102" s="5">
        <f t="shared" si="654"/>
        <v>-2.6248</v>
      </c>
      <c r="IW102" s="5">
        <f t="shared" si="519"/>
        <v>0.25700000000000001</v>
      </c>
      <c r="IX102" s="5">
        <f t="shared" si="655"/>
        <v>0.25700000000000001</v>
      </c>
      <c r="IY102" s="762">
        <f t="shared" si="656"/>
        <v>90</v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$36,MATCH((((ROUND($H103,6)*2)*1000000)+ROUND($I103,6)),Settings!$AI$14:$AI$36,0)),"Undefined")="Undefined","Undefined",IFERROR(INDEX(_xlfn.ANCHORARRAY(Settings!$BC$14),MATCH(IFERROR(INDEX(Settings!$AK$14:$AK$36,MATCH((((ROUND($H103,6)*2)*1000000)+ROUND($I103,6)),Settings!$AI$14:$AI$36,0)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$36,MATCH((((ROUND($H104,6)*2)*1000000)+ROUND($I104,6)),Settings!$AI$14:$AI$36,0)),"Undefined")="Undefined","Undefined",IFERROR(INDEX(_xlfn.ANCHORARRAY(Settings!$BC$14),MATCH(IFERROR(INDEX(Settings!$AK$14:$AK$36,MATCH((((ROUND($H104,6)*2)*1000000)+ROUND($I104,6)),Settings!$AI$14:$AI$36,0)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$36,MATCH((((ROUND($H105,6)*2)*1000000)+ROUND($I105,6)),Settings!$AI$14:$AI$36,0)),"Undefined")="Undefined","Undefined",IFERROR(INDEX(_xlfn.ANCHORARRAY(Settings!$BC$14),MATCH(IFERROR(INDEX(Settings!$AK$14:$AK$36,MATCH((((ROUND($H105,6)*2)*1000000)+ROUND($I105,6)),Settings!$AI$14:$AI$36,0)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$36,MATCH((((ROUND($H106,6)*2)*1000000)+ROUND($I106,6)),Settings!$AI$14:$AI$36,0)),"Undefined")="Undefined","Undefined",IFERROR(INDEX(_xlfn.ANCHORARRAY(Settings!$BC$14),MATCH(IFERROR(INDEX(Settings!$AK$14:$AK$36,MATCH((((ROUND($H106,6)*2)*1000000)+ROUND($I106,6)),Settings!$AI$14:$AI$36,0)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$36,MATCH((((ROUND($H107,6)*2)*1000000)+ROUND($I107,6)),Settings!$AI$14:$AI$36,0)),"Undefined")="Undefined","Undefined",IFERROR(INDEX(_xlfn.ANCHORARRAY(Settings!$BC$14),MATCH(IFERROR(INDEX(Settings!$AK$14:$AK$36,MATCH((((ROUND($H107,6)*2)*1000000)+ROUND($I107,6)),Settings!$AI$14:$AI$36,0)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$36,MATCH((((ROUND($H108,6)*2)*1000000)+ROUND($I108,6)),Settings!$AI$14:$AI$36,0)),"Undefined")="Undefined","Undefined",IFERROR(INDEX(_xlfn.ANCHORARRAY(Settings!$BC$14),MATCH(IFERROR(INDEX(Settings!$AK$14:$AK$36,MATCH((((ROUND($H108,6)*2)*1000000)+ROUND($I108,6)),Settings!$AI$14:$AI$36,0)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$36,MATCH((((ROUND($H109,6)*2)*1000000)+ROUND($I109,6)),Settings!$AI$14:$AI$36,0)),"Undefined")="Undefined","Undefined",IFERROR(INDEX(_xlfn.ANCHORARRAY(Settings!$BC$14),MATCH(IFERROR(INDEX(Settings!$AK$14:$AK$36,MATCH((((ROUND($H109,6)*2)*1000000)+ROUND($I109,6)),Settings!$AI$14:$AI$36,0)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$36,MATCH((((ROUND($H110,6)*2)*1000000)+ROUND($I110,6)),Settings!$AI$14:$AI$36,0)),"Undefined")="Undefined","Undefined",IFERROR(INDEX(_xlfn.ANCHORARRAY(Settings!$BC$14),MATCH(IFERROR(INDEX(Settings!$AK$14:$AK$36,MATCH((((ROUND($H110,6)*2)*1000000)+ROUND($I110,6)),Settings!$AI$14:$AI$36,0)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$36,MATCH((((ROUND($H111,6)*2)*1000000)+ROUND($I111,6)),Settings!$AI$14:$AI$36,0)),"Undefined")="Undefined","Undefined",IFERROR(INDEX(_xlfn.ANCHORARRAY(Settings!$BC$14),MATCH(IFERROR(INDEX(Settings!$AK$14:$AK$36,MATCH((((ROUND($H111,6)*2)*1000000)+ROUND($I111,6)),Settings!$AI$14:$AI$36,0)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$36,MATCH((((ROUND($H112,6)*2)*1000000)+ROUND($I112,6)),Settings!$AI$14:$AI$36,0)),"Undefined")="Undefined","Undefined",IFERROR(INDEX(_xlfn.ANCHORARRAY(Settings!$BC$14),MATCH(IFERROR(INDEX(Settings!$AK$14:$AK$36,MATCH((((ROUND($H112,6)*2)*1000000)+ROUND($I112,6)),Settings!$AI$14:$AI$36,0)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$36,MATCH((((ROUND($H113,6)*2)*1000000)+ROUND($I113,6)),Settings!$AI$14:$AI$36,0)),"Undefined")="Undefined","Undefined",IFERROR(INDEX(_xlfn.ANCHORARRAY(Settings!$BC$14),MATCH(IFERROR(INDEX(Settings!$AK$14:$AK$36,MATCH((((ROUND($H113,6)*2)*1000000)+ROUND($I113,6)),Settings!$AI$14:$AI$36,0)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$36,MATCH((((ROUND($H114,6)*2)*1000000)+ROUND($I114,6)),Settings!$AI$14:$AI$36,0)),"Undefined")="Undefined","Undefined",IFERROR(INDEX(_xlfn.ANCHORARRAY(Settings!$BC$14),MATCH(IFERROR(INDEX(Settings!$AK$14:$AK$36,MATCH((((ROUND($H114,6)*2)*1000000)+ROUND($I114,6)),Settings!$AI$14:$AI$36,0)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$36,MATCH((((ROUND($H115,6)*2)*1000000)+ROUND($I115,6)),Settings!$AI$14:$AI$36,0)),"Undefined")="Undefined","Undefined",IFERROR(INDEX(_xlfn.ANCHORARRAY(Settings!$BC$14),MATCH(IFERROR(INDEX(Settings!$AK$14:$AK$36,MATCH((((ROUND($H115,6)*2)*1000000)+ROUND($I115,6)),Settings!$AI$14:$AI$36,0)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$36,MATCH((((ROUND($H116,6)*2)*1000000)+ROUND($I116,6)),Settings!$AI$14:$AI$36,0)),"Undefined")="Undefined","Undefined",IFERROR(INDEX(_xlfn.ANCHORARRAY(Settings!$BC$14),MATCH(IFERROR(INDEX(Settings!$AK$14:$AK$36,MATCH((((ROUND($H116,6)*2)*1000000)+ROUND($I116,6)),Settings!$AI$14:$AI$36,0)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$36,MATCH((((ROUND($H117,6)*2)*1000000)+ROUND($I117,6)),Settings!$AI$14:$AI$36,0)),"Undefined")="Undefined","Undefined",IFERROR(INDEX(_xlfn.ANCHORARRAY(Settings!$BC$14),MATCH(IFERROR(INDEX(Settings!$AK$14:$AK$36,MATCH((((ROUND($H117,6)*2)*1000000)+ROUND($I117,6)),Settings!$AI$14:$AI$36,0)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$36,MATCH((((ROUND($H118,6)*2)*1000000)+ROUND($I118,6)),Settings!$AI$14:$AI$36,0)),"Undefined")="Undefined","Undefined",IFERROR(INDEX(_xlfn.ANCHORARRAY(Settings!$BC$14),MATCH(IFERROR(INDEX(Settings!$AK$14:$AK$36,MATCH((((ROUND($H118,6)*2)*1000000)+ROUND($I118,6)),Settings!$AI$14:$AI$36,0)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$36,MATCH((((ROUND($H119,6)*2)*1000000)+ROUND($I119,6)),Settings!$AI$14:$AI$36,0)),"Undefined")="Undefined","Undefined",IFERROR(INDEX(_xlfn.ANCHORARRAY(Settings!$BC$14),MATCH(IFERROR(INDEX(Settings!$AK$14:$AK$36,MATCH((((ROUND($H119,6)*2)*1000000)+ROUND($I119,6)),Settings!$AI$14:$AI$36,0)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$36,MATCH((((ROUND($H120,6)*2)*1000000)+ROUND($I120,6)),Settings!$AI$14:$AI$36,0)),"Undefined")="Undefined","Undefined",IFERROR(INDEX(_xlfn.ANCHORARRAY(Settings!$BC$14),MATCH(IFERROR(INDEX(Settings!$AK$14:$AK$36,MATCH((((ROUND($H120,6)*2)*1000000)+ROUND($I120,6)),Settings!$AI$14:$AI$36,0)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$36,MATCH((((ROUND($H121,6)*2)*1000000)+ROUND($I121,6)),Settings!$AI$14:$AI$36,0)),"Undefined")="Undefined","Undefined",IFERROR(INDEX(_xlfn.ANCHORARRAY(Settings!$BC$14),MATCH(IFERROR(INDEX(Settings!$AK$14:$AK$36,MATCH((((ROUND($H121,6)*2)*1000000)+ROUND($I121,6)),Settings!$AI$14:$AI$36,0)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$36,MATCH((((ROUND($H122,6)*2)*1000000)+ROUND($I122,6)),Settings!$AI$14:$AI$36,0)),"Undefined")="Undefined","Undefined",IFERROR(INDEX(_xlfn.ANCHORARRAY(Settings!$BC$14),MATCH(IFERROR(INDEX(Settings!$AK$14:$AK$36,MATCH((((ROUND($H122,6)*2)*1000000)+ROUND($I122,6)),Settings!$AI$14:$AI$36,0)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$36,MATCH((((ROUND($H123,6)*2)*1000000)+ROUND($I123,6)),Settings!$AI$14:$AI$36,0)),"Undefined")="Undefined","Undefined",IFERROR(INDEX(_xlfn.ANCHORARRAY(Settings!$BC$14),MATCH(IFERROR(INDEX(Settings!$AK$14:$AK$36,MATCH((((ROUND($H123,6)*2)*1000000)+ROUND($I123,6)),Settings!$AI$14:$AI$36,0)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$36,MATCH((((ROUND($H124,6)*2)*1000000)+ROUND($I124,6)),Settings!$AI$14:$AI$36,0)),"Undefined")="Undefined","Undefined",IFERROR(INDEX(_xlfn.ANCHORARRAY(Settings!$BC$14),MATCH(IFERROR(INDEX(Settings!$AK$14:$AK$36,MATCH((((ROUND($H124,6)*2)*1000000)+ROUND($I124,6)),Settings!$AI$14:$AI$36,0)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$36,MATCH((((ROUND($H125,6)*2)*1000000)+ROUND($I125,6)),Settings!$AI$14:$AI$36,0)),"Undefined")="Undefined","Undefined",IFERROR(INDEX(_xlfn.ANCHORARRAY(Settings!$BC$14),MATCH(IFERROR(INDEX(Settings!$AK$14:$AK$36,MATCH((((ROUND($H125,6)*2)*1000000)+ROUND($I125,6)),Settings!$AI$14:$AI$36,0)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$36,MATCH((((ROUND($H126,6)*2)*1000000)+ROUND($I126,6)),Settings!$AI$14:$AI$36,0)),"Undefined")="Undefined","Undefined",IFERROR(INDEX(_xlfn.ANCHORARRAY(Settings!$BC$14),MATCH(IFERROR(INDEX(Settings!$AK$14:$AK$36,MATCH((((ROUND($H126,6)*2)*1000000)+ROUND($I126,6)),Settings!$AI$14:$AI$36,0)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$36,MATCH((((ROUND($H127,6)*2)*1000000)+ROUND($I127,6)),Settings!$AI$14:$AI$36,0)),"Undefined")="Undefined","Undefined",IFERROR(INDEX(_xlfn.ANCHORARRAY(Settings!$BC$14),MATCH(IFERROR(INDEX(Settings!$AK$14:$AK$36,MATCH((((ROUND($H127,6)*2)*1000000)+ROUND($I127,6)),Settings!$AI$14:$AI$36,0)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$36,MATCH((((ROUND($H128,6)*2)*1000000)+ROUND($I128,6)),Settings!$AI$14:$AI$36,0)),"Undefined")="Undefined","Undefined",IFERROR(INDEX(_xlfn.ANCHORARRAY(Settings!$BC$14),MATCH(IFERROR(INDEX(Settings!$AK$14:$AK$36,MATCH((((ROUND($H128,6)*2)*1000000)+ROUND($I128,6)),Settings!$AI$14:$AI$36,0)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$36,MATCH((((ROUND($H129,6)*2)*1000000)+ROUND($I129,6)),Settings!$AI$14:$AI$36,0)),"Undefined")="Undefined","Undefined",IFERROR(INDEX(_xlfn.ANCHORARRAY(Settings!$BC$14),MATCH(IFERROR(INDEX(Settings!$AK$14:$AK$36,MATCH((((ROUND($H129,6)*2)*1000000)+ROUND($I129,6)),Settings!$AI$14:$AI$36,0)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$36,MATCH((((ROUND($H130,6)*2)*1000000)+ROUND($I130,6)),Settings!$AI$14:$AI$36,0)),"Undefined")="Undefined","Undefined",IFERROR(INDEX(_xlfn.ANCHORARRAY(Settings!$BC$14),MATCH(IFERROR(INDEX(Settings!$AK$14:$AK$36,MATCH((((ROUND($H130,6)*2)*1000000)+ROUND($I130,6)),Settings!$AI$14:$AI$36,0)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$36,MATCH((((ROUND($H131,6)*2)*1000000)+ROUND($I131,6)),Settings!$AI$14:$AI$36,0)),"Undefined")="Undefined","Undefined",IFERROR(INDEX(_xlfn.ANCHORARRAY(Settings!$BC$14),MATCH(IFERROR(INDEX(Settings!$AK$14:$AK$36,MATCH((((ROUND($H131,6)*2)*1000000)+ROUND($I131,6)),Settings!$AI$14:$AI$36,0)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$36,MATCH((((ROUND($H132,6)*2)*1000000)+ROUND($I132,6)),Settings!$AI$14:$AI$36,0)),"Undefined")="Undefined","Undefined",IFERROR(INDEX(_xlfn.ANCHORARRAY(Settings!$BC$14),MATCH(IFERROR(INDEX(Settings!$AK$14:$AK$36,MATCH((((ROUND($H132,6)*2)*1000000)+ROUND($I132,6)),Settings!$AI$14:$AI$36,0)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$36,MATCH((((ROUND($H133,6)*2)*1000000)+ROUND($I133,6)),Settings!$AI$14:$AI$36,0)),"Undefined")="Undefined","Undefined",IFERROR(INDEX(_xlfn.ANCHORARRAY(Settings!$BC$14),MATCH(IFERROR(INDEX(Settings!$AK$14:$AK$36,MATCH((((ROUND($H133,6)*2)*1000000)+ROUND($I133,6)),Settings!$AI$14:$AI$36,0)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$36,MATCH((((ROUND($H134,6)*2)*1000000)+ROUND($I134,6)),Settings!$AI$14:$AI$36,0)),"Undefined")="Undefined","Undefined",IFERROR(INDEX(_xlfn.ANCHORARRAY(Settings!$BC$14),MATCH(IFERROR(INDEX(Settings!$AK$14:$AK$36,MATCH((((ROUND($H134,6)*2)*1000000)+ROUND($I134,6)),Settings!$AI$14:$AI$36,0)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$36,MATCH((((ROUND($H135,6)*2)*1000000)+ROUND($I135,6)),Settings!$AI$14:$AI$36,0)),"Undefined")="Undefined","Undefined",IFERROR(INDEX(_xlfn.ANCHORARRAY(Settings!$BC$14),MATCH(IFERROR(INDEX(Settings!$AK$14:$AK$36,MATCH((((ROUND($H135,6)*2)*1000000)+ROUND($I135,6)),Settings!$AI$14:$AI$36,0)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$36,MATCH((((ROUND($H136,6)*2)*1000000)+ROUND($I136,6)),Settings!$AI$14:$AI$36,0)),"Undefined")="Undefined","Undefined",IFERROR(INDEX(_xlfn.ANCHORARRAY(Settings!$BC$14),MATCH(IFERROR(INDEX(Settings!$AK$14:$AK$36,MATCH((((ROUND($H136,6)*2)*1000000)+ROUND($I136,6)),Settings!$AI$14:$AI$36,0)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$36,MATCH((((ROUND($H137,6)*2)*1000000)+ROUND($I137,6)),Settings!$AI$14:$AI$36,0)),"Undefined")="Undefined","Undefined",IFERROR(INDEX(_xlfn.ANCHORARRAY(Settings!$BC$14),MATCH(IFERROR(INDEX(Settings!$AK$14:$AK$36,MATCH((((ROUND($H137,6)*2)*1000000)+ROUND($I137,6)),Settings!$AI$14:$AI$36,0)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$36,MATCH((((ROUND($H138,6)*2)*1000000)+ROUND($I138,6)),Settings!$AI$14:$AI$36,0)),"Undefined")="Undefined","Undefined",IFERROR(INDEX(_xlfn.ANCHORARRAY(Settings!$BC$14),MATCH(IFERROR(INDEX(Settings!$AK$14:$AK$36,MATCH((((ROUND($H138,6)*2)*1000000)+ROUND($I138,6)),Settings!$AI$14:$AI$36,0)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$36,MATCH((((ROUND($H139,6)*2)*1000000)+ROUND($I139,6)),Settings!$AI$14:$AI$36,0)),"Undefined")="Undefined","Undefined",IFERROR(INDEX(_xlfn.ANCHORARRAY(Settings!$BC$14),MATCH(IFERROR(INDEX(Settings!$AK$14:$AK$36,MATCH((((ROUND($H139,6)*2)*1000000)+ROUND($I139,6)),Settings!$AI$14:$AI$36,0)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$36,MATCH((((ROUND($H140,6)*2)*1000000)+ROUND($I140,6)),Settings!$AI$14:$AI$36,0)),"Undefined")="Undefined","Undefined",IFERROR(INDEX(_xlfn.ANCHORARRAY(Settings!$BC$14),MATCH(IFERROR(INDEX(Settings!$AK$14:$AK$36,MATCH((((ROUND($H140,6)*2)*1000000)+ROUND($I140,6)),Settings!$AI$14:$AI$36,0)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$36,MATCH((((ROUND($H141,6)*2)*1000000)+ROUND($I141,6)),Settings!$AI$14:$AI$36,0)),"Undefined")="Undefined","Undefined",IFERROR(INDEX(_xlfn.ANCHORARRAY(Settings!$BC$14),MATCH(IFERROR(INDEX(Settings!$AK$14:$AK$36,MATCH((((ROUND($H141,6)*2)*1000000)+ROUND($I141,6)),Settings!$AI$14:$AI$36,0)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$36,MATCH((((ROUND($H142,6)*2)*1000000)+ROUND($I142,6)),Settings!$AI$14:$AI$36,0)),"Undefined")="Undefined","Undefined",IFERROR(INDEX(_xlfn.ANCHORARRAY(Settings!$BC$14),MATCH(IFERROR(INDEX(Settings!$AK$14:$AK$36,MATCH((((ROUND($H142,6)*2)*1000000)+ROUND($I142,6)),Settings!$AI$14:$AI$36,0)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$36,MATCH((((ROUND($H143,6)*2)*1000000)+ROUND($I143,6)),Settings!$AI$14:$AI$36,0)),"Undefined")="Undefined","Undefined",IFERROR(INDEX(_xlfn.ANCHORARRAY(Settings!$BC$14),MATCH(IFERROR(INDEX(Settings!$AK$14:$AK$36,MATCH((((ROUND($H143,6)*2)*1000000)+ROUND($I143,6)),Settings!$AI$14:$AI$36,0)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$36,MATCH((((ROUND($H144,6)*2)*1000000)+ROUND($I144,6)),Settings!$AI$14:$AI$36,0)),"Undefined")="Undefined","Undefined",IFERROR(INDEX(_xlfn.ANCHORARRAY(Settings!$BC$14),MATCH(IFERROR(INDEX(Settings!$AK$14:$AK$36,MATCH((((ROUND($H144,6)*2)*1000000)+ROUND($I144,6)),Settings!$AI$14:$AI$36,0)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$36,MATCH((((ROUND($H145,6)*2)*1000000)+ROUND($I145,6)),Settings!$AI$14:$AI$36,0)),"Undefined")="Undefined","Undefined",IFERROR(INDEX(_xlfn.ANCHORARRAY(Settings!$BC$14),MATCH(IFERROR(INDEX(Settings!$AK$14:$AK$36,MATCH((((ROUND($H145,6)*2)*1000000)+ROUND($I145,6)),Settings!$AI$14:$AI$36,0)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$36,MATCH((((ROUND($H146,6)*2)*1000000)+ROUND($I146,6)),Settings!$AI$14:$AI$36,0)),"Undefined")="Undefined","Undefined",IFERROR(INDEX(_xlfn.ANCHORARRAY(Settings!$BC$14),MATCH(IFERROR(INDEX(Settings!$AK$14:$AK$36,MATCH((((ROUND($H146,6)*2)*1000000)+ROUND($I146,6)),Settings!$AI$14:$AI$36,0)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$36,MATCH((((ROUND($H147,6)*2)*1000000)+ROUND($I147,6)),Settings!$AI$14:$AI$36,0)),"Undefined")="Undefined","Undefined",IFERROR(INDEX(_xlfn.ANCHORARRAY(Settings!$BC$14),MATCH(IFERROR(INDEX(Settings!$AK$14:$AK$36,MATCH((((ROUND($H147,6)*2)*1000000)+ROUND($I147,6)),Settings!$AI$14:$AI$36,0)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$36,MATCH((((ROUND($H148,6)*2)*1000000)+ROUND($I148,6)),Settings!$AI$14:$AI$36,0)),"Undefined")="Undefined","Undefined",IFERROR(INDEX(_xlfn.ANCHORARRAY(Settings!$BC$14),MATCH(IFERROR(INDEX(Settings!$AK$14:$AK$36,MATCH((((ROUND($H148,6)*2)*1000000)+ROUND($I148,6)),Settings!$AI$14:$AI$36,0)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$36,MATCH((((ROUND($H149,6)*2)*1000000)+ROUND($I149,6)),Settings!$AI$14:$AI$36,0)),"Undefined")="Undefined","Undefined",IFERROR(INDEX(_xlfn.ANCHORARRAY(Settings!$BC$14),MATCH(IFERROR(INDEX(Settings!$AK$14:$AK$36,MATCH((((ROUND($H149,6)*2)*1000000)+ROUND($I149,6)),Settings!$AI$14:$AI$36,0)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$36,MATCH((((ROUND($H150,6)*2)*1000000)+ROUND($I150,6)),Settings!$AI$14:$AI$36,0)),"Undefined")="Undefined","Undefined",IFERROR(INDEX(_xlfn.ANCHORARRAY(Settings!$BC$14),MATCH(IFERROR(INDEX(Settings!$AK$14:$AK$36,MATCH((((ROUND($H150,6)*2)*1000000)+ROUND($I150,6)),Settings!$AI$14:$AI$36,0)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4.1681758538640527E-2</v>
      </c>
      <c r="G154" s="170">
        <f t="shared" si="929"/>
        <v>-0.33947073077052287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0.95371695074822693</v>
      </c>
      <c r="F155" s="170">
        <f t="shared" si="929"/>
        <v>3.6646813078912426E-2</v>
      </c>
      <c r="G155" s="170">
        <f t="shared" si="929"/>
        <v>-0.29846438472062853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0.95371695074822693</v>
      </c>
      <c r="F156" s="170">
        <f t="shared" si="929"/>
        <v>3.6646813078912439E-2</v>
      </c>
      <c r="G156" s="170">
        <f t="shared" si="929"/>
        <v>-0.29846438472062853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0.95371695074822693</v>
      </c>
      <c r="F157" s="170">
        <f t="shared" si="929"/>
        <v>3.6646813078912426E-2</v>
      </c>
      <c r="G157" s="170">
        <f t="shared" si="929"/>
        <v>-0.29846438472062853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0.96592582628906831</v>
      </c>
      <c r="F158" s="170">
        <f t="shared" si="929"/>
        <v>3.1542102555956505E-2</v>
      </c>
      <c r="G158" s="170">
        <f t="shared" si="929"/>
        <v>-0.25688984774437884</v>
      </c>
      <c r="H158" s="139"/>
      <c r="I158" s="86"/>
      <c r="J158" s="79">
        <f t="shared" si="930"/>
        <v>1.113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0.96592583607220739</v>
      </c>
      <c r="F159" s="170">
        <f t="shared" si="929"/>
        <v>2.2557559682354435E-2</v>
      </c>
      <c r="G159" s="170">
        <f t="shared" si="929"/>
        <v>-0.25783412440827963</v>
      </c>
      <c r="H159" s="139"/>
      <c r="I159" s="86"/>
      <c r="J159" s="79">
        <f t="shared" si="930"/>
        <v>1.117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0.9651360452186718</v>
      </c>
      <c r="F160" s="170">
        <f t="shared" si="929"/>
        <v>-7.0974666005660686E-2</v>
      </c>
      <c r="G160" s="170">
        <f t="shared" si="929"/>
        <v>-0.25194247558727922</v>
      </c>
      <c r="H160" s="139"/>
      <c r="I160" s="86"/>
      <c r="J160" s="79">
        <f t="shared" si="930"/>
        <v>1.1240000000000001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0.95431080177182759</v>
      </c>
      <c r="F161" s="170">
        <f t="shared" si="929"/>
        <v>-0.19906766330020284</v>
      </c>
      <c r="G161" s="170">
        <f t="shared" si="929"/>
        <v>-0.22285187692682523</v>
      </c>
      <c r="H161" s="139"/>
      <c r="I161" s="86"/>
      <c r="J161" s="79">
        <f t="shared" si="930"/>
        <v>1.131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0.9379218480812237</v>
      </c>
      <c r="F162" s="170">
        <f t="shared" si="929"/>
        <v>-0.3089329681691495</v>
      </c>
      <c r="G162" s="170">
        <f t="shared" si="929"/>
        <v>-0.15768014481887477</v>
      </c>
      <c r="H162" s="139"/>
      <c r="I162" s="86"/>
      <c r="J162" s="79">
        <f t="shared" si="930"/>
        <v>1.1379999999999999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0.90949379263174057</v>
      </c>
      <c r="F163" s="170">
        <f t="shared" si="929"/>
        <v>-0.4040829025972138</v>
      </c>
      <c r="G163" s="170">
        <f t="shared" si="929"/>
        <v>-9.7662935615018709E-2</v>
      </c>
      <c r="H163" s="139"/>
      <c r="I163" s="86"/>
      <c r="J163" s="79">
        <f t="shared" si="930"/>
        <v>1.145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0.86751815371055119</v>
      </c>
      <c r="F164" s="170">
        <f t="shared" si="929"/>
        <v>-0.4959291439712516</v>
      </c>
      <c r="G164" s="170">
        <f t="shared" si="929"/>
        <v>-3.8295393229187125E-2</v>
      </c>
      <c r="H164" s="139"/>
      <c r="I164" s="86"/>
      <c r="J164" s="79">
        <f t="shared" si="930"/>
        <v>1.1519999999999999</v>
      </c>
    </row>
    <row r="165" spans="5:16" x14ac:dyDescent="0.25">
      <c r="E165" s="170">
        <f t="shared" si="929"/>
        <v>0.82297015630709835</v>
      </c>
      <c r="F165" s="170">
        <f t="shared" si="929"/>
        <v>-0.56797903688975004</v>
      </c>
      <c r="G165" s="170">
        <f t="shared" si="929"/>
        <v>-1.0951505908419146E-2</v>
      </c>
      <c r="H165" s="139"/>
      <c r="I165" s="86"/>
      <c r="J165" s="79">
        <f t="shared" si="930"/>
        <v>1.159</v>
      </c>
    </row>
    <row r="166" spans="5:16" x14ac:dyDescent="0.25">
      <c r="E166" s="170">
        <f t="shared" si="929"/>
        <v>0.82297015630709835</v>
      </c>
      <c r="F166" s="170">
        <f t="shared" si="929"/>
        <v>-0.56797903688975004</v>
      </c>
      <c r="G166" s="170">
        <f t="shared" si="929"/>
        <v>-1.0951505908419146E-2</v>
      </c>
      <c r="H166" s="139"/>
      <c r="I166" s="86"/>
      <c r="J166" s="79">
        <f t="shared" si="930"/>
        <v>1.1659999999999999</v>
      </c>
    </row>
    <row r="167" spans="5:16" x14ac:dyDescent="0.25">
      <c r="E167" s="170">
        <f t="shared" si="929"/>
        <v>0.82215887704374457</v>
      </c>
      <c r="F167" s="170">
        <f t="shared" si="929"/>
        <v>-0.52258440160030695</v>
      </c>
      <c r="G167" s="170">
        <f t="shared" si="929"/>
        <v>-0.22574393480715699</v>
      </c>
      <c r="H167" s="139"/>
      <c r="I167" s="86"/>
      <c r="J167" s="79">
        <f t="shared" si="930"/>
        <v>1.238</v>
      </c>
    </row>
    <row r="168" spans="5:16" x14ac:dyDescent="0.25">
      <c r="E168" s="170">
        <f t="shared" si="929"/>
        <v>0.7767378859011127</v>
      </c>
      <c r="F168" s="170">
        <f t="shared" si="929"/>
        <v>-0.61100111181769012</v>
      </c>
      <c r="G168" s="170">
        <f t="shared" si="929"/>
        <v>-0.15282636540668137</v>
      </c>
      <c r="H168" s="139"/>
      <c r="I168" s="86"/>
      <c r="J168" s="79">
        <f t="shared" si="930"/>
        <v>1.2450000000000001</v>
      </c>
    </row>
    <row r="169" spans="5:16" x14ac:dyDescent="0.25">
      <c r="E169" s="170">
        <f t="shared" si="929"/>
        <v>0.71557845282369015</v>
      </c>
      <c r="F169" s="170">
        <f t="shared" si="929"/>
        <v>-0.69417010569984683</v>
      </c>
      <c r="G169" s="170">
        <f t="shared" si="929"/>
        <v>-7.7944481569367646E-2</v>
      </c>
      <c r="H169" s="139"/>
      <c r="I169" s="86"/>
      <c r="J169" s="79">
        <f t="shared" si="930"/>
        <v>1.252</v>
      </c>
    </row>
    <row r="170" spans="5:16" x14ac:dyDescent="0.25">
      <c r="E170" s="170">
        <f t="shared" si="929"/>
        <v>-0.25881904510252068</v>
      </c>
      <c r="F170" s="170">
        <f t="shared" si="929"/>
        <v>-0.96592582628906842</v>
      </c>
      <c r="G170" s="170">
        <f t="shared" si="929"/>
        <v>0</v>
      </c>
      <c r="H170" s="139"/>
      <c r="I170" s="86"/>
      <c r="J170" s="79">
        <f t="shared" si="930"/>
        <v>1.3009999999999999</v>
      </c>
    </row>
    <row r="171" spans="5:16" x14ac:dyDescent="0.25">
      <c r="E171" s="170">
        <f t="shared" si="929"/>
        <v>0.56628785731526987</v>
      </c>
      <c r="F171" s="170">
        <f t="shared" si="929"/>
        <v>-0.7831511267961152</v>
      </c>
      <c r="G171" s="170">
        <f t="shared" si="929"/>
        <v>-0.25688981150535295</v>
      </c>
      <c r="H171" s="139"/>
      <c r="I171" s="86"/>
      <c r="J171" s="79">
        <f t="shared" si="930"/>
        <v>2.1160000000000001</v>
      </c>
    </row>
    <row r="172" spans="5:16" x14ac:dyDescent="0.25">
      <c r="E172" s="170">
        <f t="shared" si="929"/>
        <v>0.49516590397289145</v>
      </c>
      <c r="F172" s="170">
        <f t="shared" si="929"/>
        <v>-0.83059021670790767</v>
      </c>
      <c r="G172" s="170">
        <f t="shared" si="929"/>
        <v>-0.25481487290152538</v>
      </c>
      <c r="H172" s="139"/>
      <c r="I172" s="86"/>
      <c r="J172" s="79">
        <f t="shared" si="930"/>
        <v>2.1230000000000002</v>
      </c>
    </row>
    <row r="173" spans="5:16" x14ac:dyDescent="0.25">
      <c r="E173" s="170">
        <f t="shared" si="929"/>
        <v>0.39019693807447503</v>
      </c>
      <c r="F173" s="170">
        <f t="shared" si="929"/>
        <v>-0.89505841464456282</v>
      </c>
      <c r="G173" s="170">
        <f t="shared" si="929"/>
        <v>-0.21590920288692236</v>
      </c>
      <c r="H173" s="139"/>
      <c r="I173" s="86"/>
      <c r="J173" s="79">
        <f t="shared" si="930"/>
        <v>2.13</v>
      </c>
    </row>
    <row r="174" spans="5:16" x14ac:dyDescent="0.25">
      <c r="E174" s="170">
        <f t="shared" ref="E174:G193" si="933">E29*-1</f>
        <v>0.28022224759188297</v>
      </c>
      <c r="F174" s="170">
        <f t="shared" si="933"/>
        <v>-0.94460655694531348</v>
      </c>
      <c r="G174" s="170">
        <f t="shared" si="933"/>
        <v>-0.17086235551014142</v>
      </c>
      <c r="H174" s="139"/>
      <c r="I174" s="86"/>
      <c r="J174" s="79">
        <f t="shared" si="930"/>
        <v>2.137</v>
      </c>
    </row>
    <row r="175" spans="5:16" x14ac:dyDescent="0.25">
      <c r="E175" s="170">
        <f t="shared" si="933"/>
        <v>0.17999380156266193</v>
      </c>
      <c r="F175" s="170">
        <f t="shared" si="933"/>
        <v>-0.97731358325806461</v>
      </c>
      <c r="G175" s="170">
        <f t="shared" si="933"/>
        <v>-0.1116261231894361</v>
      </c>
      <c r="H175" s="139"/>
      <c r="I175" s="86"/>
      <c r="J175" s="79">
        <f t="shared" si="930"/>
        <v>2.1440000000000001</v>
      </c>
    </row>
    <row r="176" spans="5:16" x14ac:dyDescent="0.25">
      <c r="E176" s="170">
        <f t="shared" si="933"/>
        <v>7.6226649106396982E-2</v>
      </c>
      <c r="F176" s="170">
        <f t="shared" si="933"/>
        <v>-0.99566309926030705</v>
      </c>
      <c r="G176" s="170">
        <f t="shared" si="933"/>
        <v>-5.333376732774555E-2</v>
      </c>
      <c r="H176" s="139"/>
      <c r="I176" s="86"/>
      <c r="J176" s="79">
        <f t="shared" si="930"/>
        <v>2.1520000000000001</v>
      </c>
    </row>
    <row r="177" spans="5:10" x14ac:dyDescent="0.25">
      <c r="E177" s="170">
        <f t="shared" si="933"/>
        <v>-1.0677656803239588E-2</v>
      </c>
      <c r="F177" s="170">
        <f t="shared" si="933"/>
        <v>-0.99988301923951595</v>
      </c>
      <c r="G177" s="170">
        <f t="shared" si="933"/>
        <v>-1.0951505908418185E-2</v>
      </c>
      <c r="H177" s="139"/>
      <c r="I177" s="86"/>
      <c r="J177" s="79">
        <f t="shared" si="930"/>
        <v>2.1579999999999999</v>
      </c>
    </row>
    <row r="178" spans="5:10" x14ac:dyDescent="0.25">
      <c r="E178" s="170">
        <f t="shared" si="933"/>
        <v>-1.0677656803239588E-2</v>
      </c>
      <c r="F178" s="170">
        <f t="shared" si="933"/>
        <v>-0.99988301923951595</v>
      </c>
      <c r="G178" s="170">
        <f t="shared" si="933"/>
        <v>-1.0951505908418185E-2</v>
      </c>
      <c r="H178" s="139"/>
      <c r="I178" s="86"/>
      <c r="J178" s="79">
        <f t="shared" si="930"/>
        <v>2.165</v>
      </c>
    </row>
    <row r="179" spans="5:10" x14ac:dyDescent="0.25">
      <c r="E179" s="170">
        <f t="shared" si="933"/>
        <v>3.8642440320930047E-2</v>
      </c>
      <c r="F179" s="170">
        <f t="shared" si="933"/>
        <v>-0.96991243445048858</v>
      </c>
      <c r="G179" s="170">
        <f t="shared" si="933"/>
        <v>-0.24036770021026121</v>
      </c>
      <c r="H179" s="139"/>
      <c r="I179" s="86"/>
      <c r="J179" s="79">
        <f t="shared" si="930"/>
        <v>2.2370000000000001</v>
      </c>
    </row>
    <row r="180" spans="5:10" x14ac:dyDescent="0.25">
      <c r="E180" s="170">
        <f t="shared" si="933"/>
        <v>-6.5300076194372308E-2</v>
      </c>
      <c r="F180" s="170">
        <f t="shared" si="933"/>
        <v>-0.98353769108174849</v>
      </c>
      <c r="G180" s="170">
        <f t="shared" si="933"/>
        <v>-0.16849187004301511</v>
      </c>
      <c r="H180" s="139"/>
      <c r="I180" s="86"/>
      <c r="J180" s="79">
        <f t="shared" si="930"/>
        <v>2.2440000000000002</v>
      </c>
    </row>
    <row r="181" spans="5:10" x14ac:dyDescent="0.25">
      <c r="E181" s="170">
        <f t="shared" si="933"/>
        <v>-0.17376272841384005</v>
      </c>
      <c r="F181" s="170">
        <f t="shared" si="933"/>
        <v>-0.98020516291088733</v>
      </c>
      <c r="G181" s="170">
        <f t="shared" si="933"/>
        <v>-9.4891268391875311E-2</v>
      </c>
      <c r="H181" s="139"/>
      <c r="I181" s="86"/>
      <c r="J181" s="79">
        <f t="shared" si="930"/>
        <v>2.2509999999999999</v>
      </c>
    </row>
    <row r="182" spans="5:10" x14ac:dyDescent="0.25">
      <c r="E182" s="170">
        <f t="shared" si="933"/>
        <v>-0.9455188250046791</v>
      </c>
      <c r="F182" s="170">
        <f t="shared" si="933"/>
        <v>-0.32556743013048928</v>
      </c>
      <c r="G182" s="170">
        <f t="shared" si="933"/>
        <v>0</v>
      </c>
      <c r="H182" s="139"/>
      <c r="I182" s="86"/>
      <c r="J182" s="79">
        <f t="shared" si="930"/>
        <v>2.3010000000000002</v>
      </c>
    </row>
    <row r="183" spans="5:10" x14ac:dyDescent="0.25">
      <c r="E183" s="170">
        <f t="shared" si="933"/>
        <v>-0.21894789134243933</v>
      </c>
      <c r="F183" s="170">
        <f t="shared" si="933"/>
        <v>-0.91477943347683988</v>
      </c>
      <c r="G183" s="170">
        <f t="shared" si="933"/>
        <v>-0.33947077777695578</v>
      </c>
      <c r="H183" s="139"/>
      <c r="I183" s="86"/>
      <c r="J183" s="79">
        <f t="shared" si="930"/>
        <v>3.1030000000000002</v>
      </c>
    </row>
    <row r="184" spans="5:10" x14ac:dyDescent="0.25">
      <c r="E184" s="170">
        <f t="shared" si="933"/>
        <v>-0.22765343407047114</v>
      </c>
      <c r="F184" s="170">
        <f t="shared" si="933"/>
        <v>-0.92687265846461264</v>
      </c>
      <c r="G184" s="170">
        <f t="shared" si="933"/>
        <v>-0.29846438472062853</v>
      </c>
      <c r="H184" s="139"/>
      <c r="I184" s="86"/>
      <c r="J184" s="79">
        <f t="shared" si="930"/>
        <v>3.1059999999999999</v>
      </c>
    </row>
    <row r="185" spans="5:10" x14ac:dyDescent="0.25">
      <c r="E185" s="170">
        <f t="shared" si="933"/>
        <v>-0.22765343407047123</v>
      </c>
      <c r="F185" s="170">
        <f t="shared" si="933"/>
        <v>-0.92687265846461264</v>
      </c>
      <c r="G185" s="170">
        <f t="shared" si="933"/>
        <v>-0.29846438472062858</v>
      </c>
      <c r="H185" s="139"/>
      <c r="I185" s="86"/>
      <c r="J185" s="79">
        <f t="shared" si="930"/>
        <v>3.109</v>
      </c>
    </row>
    <row r="186" spans="5:10" x14ac:dyDescent="0.25">
      <c r="E186" s="170">
        <f t="shared" si="933"/>
        <v>-0.23592562554777452</v>
      </c>
      <c r="F186" s="170">
        <f t="shared" si="933"/>
        <v>-0.93720152866699979</v>
      </c>
      <c r="G186" s="170">
        <f t="shared" si="933"/>
        <v>-0.25688984774437895</v>
      </c>
      <c r="H186" s="139"/>
      <c r="I186" s="86"/>
      <c r="J186" s="79">
        <f t="shared" si="930"/>
        <v>3.1120000000000001</v>
      </c>
    </row>
    <row r="187" spans="5:10" x14ac:dyDescent="0.25">
      <c r="E187" s="170">
        <f t="shared" si="933"/>
        <v>-0.23592562554777452</v>
      </c>
      <c r="F187" s="170">
        <f t="shared" si="933"/>
        <v>-0.93720152866699979</v>
      </c>
      <c r="G187" s="170">
        <f t="shared" si="933"/>
        <v>-0.25688984774437895</v>
      </c>
      <c r="H187" s="139"/>
      <c r="I187" s="86"/>
      <c r="J187" s="79">
        <f t="shared" si="930"/>
        <v>3.1150000000000002</v>
      </c>
    </row>
    <row r="188" spans="5:10" x14ac:dyDescent="0.25">
      <c r="E188" s="170">
        <f t="shared" si="933"/>
        <v>-0.30114513615691452</v>
      </c>
      <c r="F188" s="170">
        <f t="shared" si="933"/>
        <v>-0.91829524914298388</v>
      </c>
      <c r="G188" s="170">
        <f t="shared" si="933"/>
        <v>-0.25699307844854291</v>
      </c>
      <c r="H188" s="139"/>
      <c r="I188" s="86"/>
      <c r="J188" s="79">
        <f t="shared" si="930"/>
        <v>3.1219999999999999</v>
      </c>
    </row>
    <row r="189" spans="5:10" x14ac:dyDescent="0.25">
      <c r="E189" s="170">
        <f t="shared" si="933"/>
        <v>-0.41915119578518534</v>
      </c>
      <c r="F189" s="170">
        <f t="shared" si="933"/>
        <v>-0.87991713882474365</v>
      </c>
      <c r="G189" s="170">
        <f t="shared" si="933"/>
        <v>-0.22373668423914322</v>
      </c>
      <c r="H189" s="139"/>
      <c r="I189" s="86"/>
      <c r="J189" s="79">
        <f t="shared" si="930"/>
        <v>3.129</v>
      </c>
    </row>
    <row r="190" spans="5:10" x14ac:dyDescent="0.25">
      <c r="E190" s="170">
        <f t="shared" si="933"/>
        <v>-0.53133233060671281</v>
      </c>
      <c r="F190" s="170">
        <f t="shared" si="933"/>
        <v>-0.82712105738063413</v>
      </c>
      <c r="G190" s="170">
        <f t="shared" si="933"/>
        <v>-0.18318490901157988</v>
      </c>
      <c r="H190" s="139"/>
      <c r="I190" s="86"/>
      <c r="J190" s="79">
        <f t="shared" si="930"/>
        <v>3.1360000000000001</v>
      </c>
    </row>
    <row r="191" spans="5:10" x14ac:dyDescent="0.25">
      <c r="E191" s="170">
        <f t="shared" si="933"/>
        <v>-0.61675122491391809</v>
      </c>
      <c r="F191" s="170">
        <f t="shared" si="933"/>
        <v>-0.77869739200127497</v>
      </c>
      <c r="G191" s="170">
        <f t="shared" si="933"/>
        <v>-0.11510125219820319</v>
      </c>
      <c r="H191" s="139"/>
      <c r="I191" s="86"/>
      <c r="J191" s="79">
        <f t="shared" si="930"/>
        <v>3.1429999999999998</v>
      </c>
    </row>
    <row r="192" spans="5:10" x14ac:dyDescent="0.25">
      <c r="E192" s="170">
        <f t="shared" si="933"/>
        <v>-0.70077558949739327</v>
      </c>
      <c r="F192" s="170">
        <f t="shared" si="933"/>
        <v>-0.71081684644262277</v>
      </c>
      <c r="G192" s="170">
        <f t="shared" si="933"/>
        <v>-6.0439920399898102E-2</v>
      </c>
      <c r="H192" s="139"/>
      <c r="I192" s="86"/>
      <c r="J192" s="79">
        <f t="shared" si="930"/>
        <v>3.15</v>
      </c>
    </row>
    <row r="193" spans="5:10" x14ac:dyDescent="0.25">
      <c r="E193" s="170">
        <f t="shared" si="933"/>
        <v>-0.77281821620171764</v>
      </c>
      <c r="F193" s="170">
        <f t="shared" si="933"/>
        <v>-0.63453295361638484</v>
      </c>
      <c r="G193" s="170">
        <f t="shared" si="933"/>
        <v>-1.0951505908419036E-2</v>
      </c>
      <c r="H193" s="139"/>
      <c r="I193" s="86"/>
      <c r="J193" s="79">
        <f t="shared" si="930"/>
        <v>3.157</v>
      </c>
    </row>
    <row r="194" spans="5:10" x14ac:dyDescent="0.25">
      <c r="E194" s="170">
        <f t="shared" ref="E194:G213" si="934">E49*-1</f>
        <v>-0.77281821620171809</v>
      </c>
      <c r="F194" s="170">
        <f t="shared" si="934"/>
        <v>-0.63453295361638429</v>
      </c>
      <c r="G194" s="170">
        <f t="shared" si="934"/>
        <v>-1.0951505908416979E-2</v>
      </c>
      <c r="H194" s="139"/>
      <c r="I194" s="86"/>
      <c r="J194" s="79">
        <f t="shared" si="930"/>
        <v>3.1640000000000001</v>
      </c>
    </row>
    <row r="195" spans="5:10" x14ac:dyDescent="0.25">
      <c r="E195" s="170">
        <f t="shared" si="934"/>
        <v>-0.70729077754372882</v>
      </c>
      <c r="F195" s="170">
        <f t="shared" si="934"/>
        <v>-0.65969305953871271</v>
      </c>
      <c r="G195" s="170">
        <f t="shared" si="934"/>
        <v>-0.25405673224309588</v>
      </c>
      <c r="H195" s="139"/>
      <c r="I195" s="86"/>
      <c r="J195" s="79">
        <f t="shared" si="930"/>
        <v>3.2360000000000002</v>
      </c>
    </row>
    <row r="196" spans="5:10" x14ac:dyDescent="0.25">
      <c r="E196" s="170">
        <f t="shared" si="934"/>
        <v>-0.78212280236764831</v>
      </c>
      <c r="F196" s="170">
        <f t="shared" si="934"/>
        <v>-0.59827067337233841</v>
      </c>
      <c r="G196" s="170">
        <f t="shared" si="934"/>
        <v>-0.17423008752562091</v>
      </c>
      <c r="H196" s="139"/>
      <c r="I196" s="86"/>
      <c r="J196" s="79">
        <f t="shared" si="930"/>
        <v>3.2429999999999999</v>
      </c>
    </row>
    <row r="197" spans="5:10" x14ac:dyDescent="0.25">
      <c r="E197" s="170">
        <f t="shared" si="934"/>
        <v>-0.85237458812244427</v>
      </c>
      <c r="F197" s="170">
        <f t="shared" si="934"/>
        <v>-0.51241029425983364</v>
      </c>
      <c r="G197" s="170">
        <f t="shared" si="934"/>
        <v>-0.1043707423545723</v>
      </c>
      <c r="H197" s="139"/>
      <c r="I197" s="86"/>
      <c r="J197" s="79">
        <f t="shared" si="930"/>
        <v>3.25</v>
      </c>
    </row>
    <row r="198" spans="5:10" x14ac:dyDescent="0.25">
      <c r="E198" s="170">
        <f t="shared" si="934"/>
        <v>-0.8571669710437837</v>
      </c>
      <c r="F198" s="170">
        <f t="shared" si="934"/>
        <v>0.51503862355324925</v>
      </c>
      <c r="G198" s="170">
        <f t="shared" si="934"/>
        <v>0</v>
      </c>
      <c r="H198" s="139"/>
      <c r="I198" s="86"/>
      <c r="J198" s="79">
        <f t="shared" si="930"/>
        <v>3.3010000000000002</v>
      </c>
    </row>
    <row r="199" spans="5:10" x14ac:dyDescent="0.25">
      <c r="E199" s="170">
        <f t="shared" si="934"/>
        <v>-0.93099737081303691</v>
      </c>
      <c r="F199" s="170">
        <f t="shared" si="934"/>
        <v>-0.25756204132237032</v>
      </c>
      <c r="G199" s="170">
        <f t="shared" si="934"/>
        <v>-0.2586613430898913</v>
      </c>
      <c r="H199" s="139"/>
      <c r="I199" s="86"/>
      <c r="J199" s="79">
        <f t="shared" si="930"/>
        <v>4.1210000000000004</v>
      </c>
    </row>
    <row r="200" spans="5:10" x14ac:dyDescent="0.25">
      <c r="E200" s="170">
        <f t="shared" si="934"/>
        <v>-0.96450049206133204</v>
      </c>
      <c r="F200" s="170">
        <f t="shared" si="934"/>
        <v>-0.12780897524308815</v>
      </c>
      <c r="G200" s="170">
        <f t="shared" si="934"/>
        <v>-0.23109233362610776</v>
      </c>
      <c r="H200" s="139"/>
      <c r="I200" s="86"/>
      <c r="J200" s="79">
        <f t="shared" si="930"/>
        <v>4.1280000000000001</v>
      </c>
    </row>
    <row r="201" spans="5:10" x14ac:dyDescent="0.25">
      <c r="E201" s="170">
        <f t="shared" si="934"/>
        <v>-0.98069167074715713</v>
      </c>
      <c r="F201" s="170">
        <f t="shared" si="934"/>
        <v>-1.9195428132592757E-3</v>
      </c>
      <c r="G201" s="170">
        <f t="shared" si="934"/>
        <v>-0.19555091992250387</v>
      </c>
      <c r="H201" s="139"/>
      <c r="I201" s="86"/>
      <c r="J201" s="79">
        <f t="shared" si="930"/>
        <v>4.1349999999999998</v>
      </c>
    </row>
    <row r="202" spans="5:10" x14ac:dyDescent="0.25">
      <c r="E202" s="170">
        <f t="shared" si="934"/>
        <v>-0.9863592883717559</v>
      </c>
      <c r="F202" s="170">
        <f t="shared" si="934"/>
        <v>0.10163794036602218</v>
      </c>
      <c r="G202" s="170">
        <f t="shared" si="934"/>
        <v>-0.12948004989540424</v>
      </c>
      <c r="H202" s="139"/>
      <c r="I202" s="86"/>
      <c r="J202" s="79">
        <f t="shared" si="930"/>
        <v>4.1420000000000003</v>
      </c>
    </row>
    <row r="203" spans="5:10" x14ac:dyDescent="0.25">
      <c r="E203" s="170">
        <f t="shared" si="934"/>
        <v>-0.97755780935389069</v>
      </c>
      <c r="F203" s="170">
        <f t="shared" si="934"/>
        <v>0.19973493245282681</v>
      </c>
      <c r="G203" s="170">
        <f t="shared" si="934"/>
        <v>-6.6982730082366493E-2</v>
      </c>
      <c r="H203" s="139"/>
      <c r="I203" s="86"/>
      <c r="J203" s="79">
        <f t="shared" si="930"/>
        <v>4.149</v>
      </c>
    </row>
    <row r="204" spans="5:10" x14ac:dyDescent="0.25">
      <c r="E204" s="170">
        <f t="shared" si="934"/>
        <v>-0.9476457704223471</v>
      </c>
      <c r="F204" s="170">
        <f t="shared" si="934"/>
        <v>0.31913564250796878</v>
      </c>
      <c r="G204" s="170">
        <f t="shared" si="934"/>
        <v>-1.0951505908419062E-2</v>
      </c>
      <c r="H204" s="139"/>
      <c r="I204" s="86"/>
      <c r="J204" s="79">
        <f t="shared" si="930"/>
        <v>4.1559999999999997</v>
      </c>
    </row>
    <row r="205" spans="5:10" x14ac:dyDescent="0.25">
      <c r="E205" s="170">
        <f t="shared" si="934"/>
        <v>-0.94764577042234721</v>
      </c>
      <c r="F205" s="170">
        <f t="shared" si="934"/>
        <v>0.31913564250796878</v>
      </c>
      <c r="G205" s="170">
        <f t="shared" si="934"/>
        <v>-1.0951505908419035E-2</v>
      </c>
      <c r="H205" s="139"/>
      <c r="I205" s="86"/>
      <c r="J205" s="79">
        <f t="shared" si="930"/>
        <v>4.1630000000000003</v>
      </c>
    </row>
    <row r="206" spans="5:10" x14ac:dyDescent="0.25">
      <c r="E206" s="170">
        <f t="shared" si="934"/>
        <v>-0.93404094684531436</v>
      </c>
      <c r="F206" s="170">
        <f t="shared" si="934"/>
        <v>0.23634153313078091</v>
      </c>
      <c r="G206" s="170">
        <f t="shared" si="934"/>
        <v>-0.26778758248600859</v>
      </c>
      <c r="H206" s="139"/>
      <c r="I206" s="86"/>
      <c r="J206" s="79">
        <f t="shared" si="930"/>
        <v>4.2350000000000003</v>
      </c>
    </row>
    <row r="207" spans="5:10" x14ac:dyDescent="0.25">
      <c r="E207" s="170">
        <f t="shared" si="934"/>
        <v>-0.92201497512595076</v>
      </c>
      <c r="F207" s="170">
        <f t="shared" si="934"/>
        <v>0.33714497675244626</v>
      </c>
      <c r="G207" s="170">
        <f t="shared" si="934"/>
        <v>-0.19031986310967361</v>
      </c>
      <c r="H207" s="139"/>
      <c r="I207" s="86"/>
      <c r="J207" s="79">
        <f t="shared" si="930"/>
        <v>4.242</v>
      </c>
    </row>
    <row r="208" spans="5:10" x14ac:dyDescent="0.25">
      <c r="E208" s="170">
        <f t="shared" si="934"/>
        <v>-0.89374983163647903</v>
      </c>
      <c r="F208" s="170">
        <f t="shared" si="934"/>
        <v>0.43402868467818895</v>
      </c>
      <c r="G208" s="170">
        <f t="shared" si="934"/>
        <v>-0.11327108777744967</v>
      </c>
      <c r="H208" s="139"/>
      <c r="I208" s="86"/>
      <c r="J208" s="79">
        <f t="shared" si="930"/>
        <v>4.2489999999999997</v>
      </c>
    </row>
    <row r="209" spans="5:10" x14ac:dyDescent="0.25">
      <c r="E209" s="170">
        <f t="shared" si="934"/>
        <v>-1.745191260362023E-2</v>
      </c>
      <c r="F209" s="170">
        <f t="shared" si="934"/>
        <v>0.99984770377616794</v>
      </c>
      <c r="G209" s="170">
        <f t="shared" si="934"/>
        <v>0</v>
      </c>
      <c r="H209" s="139"/>
      <c r="I209" s="86"/>
      <c r="J209" s="79">
        <f t="shared" si="930"/>
        <v>4.3010000000000002</v>
      </c>
    </row>
    <row r="210" spans="5:10" x14ac:dyDescent="0.25">
      <c r="E210" s="170">
        <f t="shared" si="934"/>
        <v>-0.76614956153927471</v>
      </c>
      <c r="F210" s="170">
        <f t="shared" si="934"/>
        <v>0.54568715607324347</v>
      </c>
      <c r="G210" s="170">
        <f t="shared" si="934"/>
        <v>-0.33947073077052292</v>
      </c>
      <c r="H210" s="139"/>
      <c r="I210" s="86"/>
      <c r="J210" s="79">
        <f t="shared" si="930"/>
        <v>5.1020000000000003</v>
      </c>
    </row>
    <row r="211" spans="5:10" x14ac:dyDescent="0.25">
      <c r="E211" s="170">
        <f t="shared" si="934"/>
        <v>-0.7741010443191787</v>
      </c>
      <c r="F211" s="170">
        <f t="shared" si="934"/>
        <v>0.5582889791472635</v>
      </c>
      <c r="G211" s="170">
        <f t="shared" si="934"/>
        <v>-0.29846438472062858</v>
      </c>
      <c r="H211" s="139"/>
      <c r="I211" s="86"/>
      <c r="J211" s="79">
        <f t="shared" si="930"/>
        <v>5.1050000000000004</v>
      </c>
    </row>
    <row r="212" spans="5:10" x14ac:dyDescent="0.25">
      <c r="E212" s="170">
        <f t="shared" si="934"/>
        <v>-0.7741010443191787</v>
      </c>
      <c r="F212" s="170">
        <f t="shared" si="934"/>
        <v>0.5582889791472635</v>
      </c>
      <c r="G212" s="170">
        <f t="shared" si="934"/>
        <v>-0.29846438472062853</v>
      </c>
      <c r="H212" s="139"/>
      <c r="I212" s="86"/>
      <c r="J212" s="79">
        <f t="shared" si="930"/>
        <v>5.1079999999999997</v>
      </c>
    </row>
    <row r="213" spans="5:10" x14ac:dyDescent="0.25">
      <c r="E213" s="170">
        <f t="shared" si="934"/>
        <v>-0.77551495259372016</v>
      </c>
      <c r="F213" s="170">
        <f t="shared" si="934"/>
        <v>0.56068255091596553</v>
      </c>
      <c r="G213" s="170">
        <f t="shared" si="934"/>
        <v>-0.29019241099988469</v>
      </c>
      <c r="H213" s="139"/>
      <c r="I213" s="86"/>
      <c r="J213" s="79">
        <f t="shared" si="930"/>
        <v>5.1109999999999998</v>
      </c>
    </row>
    <row r="214" spans="5:10" x14ac:dyDescent="0.25">
      <c r="E214" s="170">
        <f t="shared" ref="E214:G233" si="935">E69*-1</f>
        <v>-0.78057899179407486</v>
      </c>
      <c r="F214" s="170">
        <f t="shared" si="935"/>
        <v>0.56982808257896123</v>
      </c>
      <c r="G214" s="170">
        <f t="shared" si="935"/>
        <v>-0.25688984774437895</v>
      </c>
      <c r="H214" s="139"/>
      <c r="I214" s="86"/>
      <c r="J214" s="79">
        <f t="shared" si="930"/>
        <v>5.1139999999999999</v>
      </c>
    </row>
    <row r="215" spans="5:10" x14ac:dyDescent="0.25">
      <c r="E215" s="170">
        <f t="shared" si="935"/>
        <v>-0.76110411133793965</v>
      </c>
      <c r="F215" s="170">
        <f t="shared" si="935"/>
        <v>0.59475479036193746</v>
      </c>
      <c r="G215" s="170">
        <f t="shared" si="935"/>
        <v>-0.25881899282319498</v>
      </c>
      <c r="H215" s="139"/>
      <c r="I215" s="86"/>
      <c r="J215" s="79">
        <f t="shared" si="930"/>
        <v>5.12</v>
      </c>
    </row>
    <row r="216" spans="5:10" x14ac:dyDescent="0.25">
      <c r="E216" s="170">
        <f t="shared" si="935"/>
        <v>-0.68176948213923949</v>
      </c>
      <c r="F216" s="170">
        <f t="shared" si="935"/>
        <v>0.6919629544612893</v>
      </c>
      <c r="G216" s="170">
        <f t="shared" si="935"/>
        <v>-0.23743976683950191</v>
      </c>
      <c r="H216" s="139"/>
      <c r="I216" s="86"/>
      <c r="J216" s="79">
        <f t="shared" si="930"/>
        <v>5.1269999999999998</v>
      </c>
    </row>
    <row r="217" spans="5:10" x14ac:dyDescent="0.25">
      <c r="E217" s="170">
        <f t="shared" si="935"/>
        <v>-0.59663911621200738</v>
      </c>
      <c r="F217" s="170">
        <f t="shared" si="935"/>
        <v>0.77920850085741822</v>
      </c>
      <c r="G217" s="170">
        <f t="shared" si="935"/>
        <v>-0.19197884570256618</v>
      </c>
      <c r="H217" s="139"/>
      <c r="I217" s="86"/>
      <c r="J217" s="79">
        <f t="shared" si="930"/>
        <v>5.1340000000000003</v>
      </c>
    </row>
    <row r="218" spans="5:10" x14ac:dyDescent="0.25">
      <c r="E218" s="170">
        <f t="shared" si="935"/>
        <v>-0.51534658539746547</v>
      </c>
      <c r="F218" s="170">
        <f t="shared" si="935"/>
        <v>0.8469121484212514</v>
      </c>
      <c r="G218" s="170">
        <f t="shared" si="935"/>
        <v>-0.13098744128989381</v>
      </c>
      <c r="H218" s="139"/>
      <c r="I218" s="86"/>
      <c r="J218" s="79">
        <f t="shared" si="930"/>
        <v>5.141</v>
      </c>
    </row>
    <row r="219" spans="5:10" x14ac:dyDescent="0.25">
      <c r="E219" s="170">
        <f t="shared" si="935"/>
        <v>-0.42946410652804617</v>
      </c>
      <c r="F219" s="170">
        <f t="shared" si="935"/>
        <v>0.90014547937631717</v>
      </c>
      <c r="G219" s="170">
        <f t="shared" si="935"/>
        <v>-7.2792150417797227E-2</v>
      </c>
      <c r="H219" s="139"/>
      <c r="I219" s="86"/>
      <c r="J219" s="79">
        <f t="shared" ref="J219:J282" si="936">J74</f>
        <v>5.1479999999999997</v>
      </c>
    </row>
    <row r="220" spans="5:10" x14ac:dyDescent="0.25">
      <c r="E220" s="170">
        <f t="shared" si="935"/>
        <v>-0.33188716255855955</v>
      </c>
      <c r="F220" s="170">
        <f t="shared" si="935"/>
        <v>0.94321723867896412</v>
      </c>
      <c r="G220" s="170">
        <f t="shared" si="935"/>
        <v>-1.3861889757834228E-2</v>
      </c>
      <c r="H220" s="139"/>
      <c r="I220" s="86"/>
      <c r="J220" s="79">
        <f t="shared" si="936"/>
        <v>5.1550000000000002</v>
      </c>
    </row>
    <row r="221" spans="5:10" x14ac:dyDescent="0.25">
      <c r="E221" s="170">
        <f t="shared" si="935"/>
        <v>-0.29882617980258153</v>
      </c>
      <c r="F221" s="170">
        <f t="shared" si="935"/>
        <v>0.95424471640294306</v>
      </c>
      <c r="G221" s="170">
        <f t="shared" si="935"/>
        <v>-1.0951505908418729E-2</v>
      </c>
      <c r="H221" s="139"/>
      <c r="I221" s="86"/>
      <c r="J221" s="79">
        <f t="shared" si="936"/>
        <v>5.1619999999999999</v>
      </c>
    </row>
    <row r="222" spans="5:10" x14ac:dyDescent="0.25">
      <c r="E222" s="170">
        <f t="shared" si="935"/>
        <v>-0.28898160513888504</v>
      </c>
      <c r="F222" s="170">
        <f t="shared" si="935"/>
        <v>0.93749189895506235</v>
      </c>
      <c r="G222" s="170">
        <f t="shared" si="935"/>
        <v>-0.19390351024410254</v>
      </c>
      <c r="H222" s="139"/>
      <c r="I222" s="86"/>
      <c r="J222" s="79">
        <f t="shared" si="936"/>
        <v>5.2409999999999997</v>
      </c>
    </row>
    <row r="223" spans="5:10" x14ac:dyDescent="0.25">
      <c r="E223" s="170">
        <f t="shared" si="935"/>
        <v>-0.19257990674677372</v>
      </c>
      <c r="F223" s="170">
        <f t="shared" si="935"/>
        <v>0.97374078531520913</v>
      </c>
      <c r="G223" s="170">
        <f t="shared" si="935"/>
        <v>-0.12141607196382176</v>
      </c>
      <c r="H223" s="139"/>
      <c r="I223" s="86"/>
      <c r="J223" s="79">
        <f t="shared" si="936"/>
        <v>5.2480000000000002</v>
      </c>
    </row>
    <row r="224" spans="5:10" x14ac:dyDescent="0.25">
      <c r="E224" s="170">
        <f t="shared" si="935"/>
        <v>-0.1301821654151771</v>
      </c>
      <c r="F224" s="170">
        <f t="shared" si="935"/>
        <v>0.99112014003229687</v>
      </c>
      <c r="G224" s="170">
        <f t="shared" si="935"/>
        <v>-2.7082685062154447E-2</v>
      </c>
      <c r="H224" s="139"/>
      <c r="I224" s="86"/>
      <c r="J224" s="79">
        <f t="shared" si="936"/>
        <v>5.2549999999999999</v>
      </c>
    </row>
    <row r="225" spans="5:10" x14ac:dyDescent="0.25">
      <c r="E225" s="170">
        <f t="shared" si="935"/>
        <v>0.79863572539588401</v>
      </c>
      <c r="F225" s="170">
        <f t="shared" si="935"/>
        <v>0.60181473737470936</v>
      </c>
      <c r="G225" s="170">
        <f t="shared" si="935"/>
        <v>0</v>
      </c>
      <c r="H225" s="139"/>
      <c r="I225" s="86"/>
      <c r="J225" s="79">
        <f t="shared" si="936"/>
        <v>5.3010000000000002</v>
      </c>
    </row>
    <row r="226" spans="5:10" x14ac:dyDescent="0.25">
      <c r="E226" s="170">
        <f t="shared" si="935"/>
        <v>-0.10770448722957675</v>
      </c>
      <c r="F226" s="170">
        <f t="shared" si="935"/>
        <v>0.95992622949796269</v>
      </c>
      <c r="G226" s="170">
        <f t="shared" si="935"/>
        <v>-0.25873031780686001</v>
      </c>
      <c r="H226" s="139"/>
      <c r="I226" s="86"/>
      <c r="J226" s="79">
        <f t="shared" si="936"/>
        <v>6.1189999999999998</v>
      </c>
    </row>
    <row r="227" spans="5:10" x14ac:dyDescent="0.25">
      <c r="E227" s="170">
        <f t="shared" si="935"/>
        <v>6.0269432108456464E-3</v>
      </c>
      <c r="F227" s="170">
        <f t="shared" si="935"/>
        <v>0.9699580135431829</v>
      </c>
      <c r="G227" s="170">
        <f t="shared" si="935"/>
        <v>-0.24319771363829865</v>
      </c>
      <c r="H227" s="139"/>
      <c r="I227" s="86"/>
      <c r="J227" s="79">
        <f t="shared" si="936"/>
        <v>6.1260000000000003</v>
      </c>
    </row>
    <row r="228" spans="5:10" x14ac:dyDescent="0.25">
      <c r="E228" s="170">
        <f t="shared" si="935"/>
        <v>0.13066240666060738</v>
      </c>
      <c r="F228" s="170">
        <f t="shared" si="935"/>
        <v>0.97041893867359108</v>
      </c>
      <c r="G228" s="170">
        <f t="shared" si="935"/>
        <v>-0.20301334672695587</v>
      </c>
      <c r="H228" s="139"/>
      <c r="I228" s="86"/>
      <c r="J228" s="79">
        <f t="shared" si="936"/>
        <v>6.133</v>
      </c>
    </row>
    <row r="229" spans="5:10" x14ac:dyDescent="0.25">
      <c r="E229" s="170">
        <f t="shared" si="935"/>
        <v>0.24103483019292968</v>
      </c>
      <c r="F229" s="170">
        <f t="shared" si="935"/>
        <v>0.95966306938432855</v>
      </c>
      <c r="G229" s="170">
        <f t="shared" si="935"/>
        <v>-0.14473770722833509</v>
      </c>
      <c r="H229" s="139"/>
      <c r="I229" s="86"/>
      <c r="J229" s="79">
        <f t="shared" si="936"/>
        <v>6.14</v>
      </c>
    </row>
    <row r="230" spans="5:10" x14ac:dyDescent="0.25">
      <c r="E230" s="170">
        <f t="shared" si="935"/>
        <v>0.33135189570289658</v>
      </c>
      <c r="F230" s="170">
        <f t="shared" si="935"/>
        <v>0.94029001840947479</v>
      </c>
      <c r="G230" s="170">
        <f t="shared" si="935"/>
        <v>-7.7849871506679547E-2</v>
      </c>
      <c r="H230" s="139"/>
      <c r="I230" s="86"/>
      <c r="J230" s="79">
        <f t="shared" si="936"/>
        <v>6.1470000000000002</v>
      </c>
    </row>
    <row r="231" spans="5:10" x14ac:dyDescent="0.25">
      <c r="E231" s="170">
        <f t="shared" si="935"/>
        <v>0.4332158437094748</v>
      </c>
      <c r="F231" s="170">
        <f t="shared" si="935"/>
        <v>0.90104098677204303</v>
      </c>
      <c r="G231" s="170">
        <f t="shared" si="935"/>
        <v>-2.1193699911788461E-2</v>
      </c>
      <c r="H231" s="139"/>
      <c r="I231" s="86"/>
      <c r="J231" s="79">
        <f t="shared" si="936"/>
        <v>6.1539999999999999</v>
      </c>
    </row>
    <row r="232" spans="5:10" x14ac:dyDescent="0.25">
      <c r="E232" s="170">
        <f t="shared" si="935"/>
        <v>0.47884399490339902</v>
      </c>
      <c r="F232" s="170">
        <f t="shared" si="935"/>
        <v>0.87783169973708031</v>
      </c>
      <c r="G232" s="170">
        <f t="shared" si="935"/>
        <v>-1.0951505908419009E-2</v>
      </c>
      <c r="H232" s="139"/>
      <c r="I232" s="86"/>
      <c r="J232" s="79">
        <f t="shared" si="936"/>
        <v>6.1609999999999996</v>
      </c>
    </row>
    <row r="233" spans="5:10" x14ac:dyDescent="0.25">
      <c r="E233" s="170">
        <f t="shared" si="935"/>
        <v>0.46350580001246455</v>
      </c>
      <c r="F233" s="170">
        <f t="shared" si="935"/>
        <v>0.86102903861475277</v>
      </c>
      <c r="G233" s="170">
        <f t="shared" si="935"/>
        <v>-0.20926387174321298</v>
      </c>
      <c r="H233" s="139"/>
      <c r="I233" s="86"/>
      <c r="J233" s="79">
        <f t="shared" si="936"/>
        <v>6.24</v>
      </c>
    </row>
    <row r="234" spans="5:10" x14ac:dyDescent="0.25">
      <c r="E234" s="170">
        <f t="shared" ref="E234:G253" si="937">E89*-1</f>
        <v>0.55021855764046823</v>
      </c>
      <c r="F234" s="170">
        <f t="shared" si="937"/>
        <v>0.82503002892458455</v>
      </c>
      <c r="G234" s="170">
        <f t="shared" si="937"/>
        <v>-0.12878272477604363</v>
      </c>
      <c r="H234" s="139"/>
      <c r="I234" s="86"/>
      <c r="J234" s="79">
        <f t="shared" si="936"/>
        <v>6.2469999999999999</v>
      </c>
    </row>
    <row r="235" spans="5:10" x14ac:dyDescent="0.25">
      <c r="E235" s="170">
        <f t="shared" si="937"/>
        <v>0.62144318895316175</v>
      </c>
      <c r="F235" s="170">
        <f t="shared" si="937"/>
        <v>0.78231981298363462</v>
      </c>
      <c r="G235" s="170">
        <f t="shared" si="937"/>
        <v>-4.2238289702308085E-2</v>
      </c>
      <c r="H235" s="139"/>
      <c r="I235" s="86"/>
      <c r="J235" s="79">
        <f t="shared" si="936"/>
        <v>6.2539999999999996</v>
      </c>
    </row>
    <row r="236" spans="5:10" x14ac:dyDescent="0.25">
      <c r="E236" s="170">
        <f t="shared" si="937"/>
        <v>0.98768830275133479</v>
      </c>
      <c r="F236" s="170">
        <f t="shared" si="937"/>
        <v>-0.1564347039764129</v>
      </c>
      <c r="G236" s="170">
        <f t="shared" si="937"/>
        <v>0</v>
      </c>
      <c r="H236" s="139"/>
      <c r="I236" s="86"/>
      <c r="J236" s="79">
        <f t="shared" si="936"/>
        <v>6.3010000000000002</v>
      </c>
    </row>
    <row r="237" spans="5:10" x14ac:dyDescent="0.25">
      <c r="E237" s="170">
        <f t="shared" si="937"/>
        <v>0.66027134829193768</v>
      </c>
      <c r="F237" s="170">
        <f t="shared" si="937"/>
        <v>0.70517830195849451</v>
      </c>
      <c r="G237" s="170">
        <f t="shared" si="937"/>
        <v>-0.25838983933522058</v>
      </c>
      <c r="H237" s="139"/>
      <c r="I237" s="86"/>
      <c r="J237" s="79">
        <f t="shared" si="936"/>
        <v>7.1180000000000003</v>
      </c>
    </row>
    <row r="238" spans="5:10" x14ac:dyDescent="0.25">
      <c r="E238" s="170">
        <f t="shared" si="937"/>
        <v>0.73441793830907487</v>
      </c>
      <c r="F238" s="170">
        <f t="shared" si="937"/>
        <v>0.63179720542124851</v>
      </c>
      <c r="G238" s="170">
        <f t="shared" si="937"/>
        <v>-0.24791648414687734</v>
      </c>
      <c r="H238" s="139"/>
      <c r="I238" s="86"/>
      <c r="J238" s="79">
        <f t="shared" si="936"/>
        <v>7.125</v>
      </c>
    </row>
    <row r="239" spans="5:10" x14ac:dyDescent="0.25">
      <c r="E239" s="170">
        <f t="shared" si="937"/>
        <v>0.81691366047499259</v>
      </c>
      <c r="F239" s="170">
        <f t="shared" si="937"/>
        <v>0.53582684759192745</v>
      </c>
      <c r="G239" s="170">
        <f t="shared" si="937"/>
        <v>-0.21340492198880073</v>
      </c>
      <c r="H239" s="139"/>
      <c r="I239" s="86"/>
      <c r="J239" s="79">
        <f t="shared" si="936"/>
        <v>7.1319999999999997</v>
      </c>
    </row>
    <row r="240" spans="5:10" x14ac:dyDescent="0.25">
      <c r="E240" s="170">
        <f t="shared" si="937"/>
        <v>0.88350795836314777</v>
      </c>
      <c r="F240" s="170">
        <f t="shared" si="937"/>
        <v>0.44090297209308571</v>
      </c>
      <c r="G240" s="170">
        <f t="shared" si="937"/>
        <v>-0.15817160525349072</v>
      </c>
      <c r="H240" s="139"/>
      <c r="I240" s="86"/>
      <c r="J240" s="79">
        <f t="shared" si="936"/>
        <v>7.1390000000000002</v>
      </c>
    </row>
    <row r="241" spans="5:10" x14ac:dyDescent="0.25">
      <c r="E241" s="170">
        <f t="shared" si="937"/>
        <v>0.92614374658468002</v>
      </c>
      <c r="F241" s="170">
        <f t="shared" si="937"/>
        <v>0.36811827148759602</v>
      </c>
      <c r="G241" s="170">
        <f t="shared" si="937"/>
        <v>-8.2138291064987906E-2</v>
      </c>
      <c r="H241" s="139"/>
      <c r="I241" s="86"/>
      <c r="J241" s="79">
        <f t="shared" si="936"/>
        <v>7.1459999999999999</v>
      </c>
    </row>
    <row r="242" spans="5:10" x14ac:dyDescent="0.25">
      <c r="E242" s="170">
        <f t="shared" si="937"/>
        <v>0.96420174352579835</v>
      </c>
      <c r="F242" s="170">
        <f t="shared" si="937"/>
        <v>0.2633923120681908</v>
      </c>
      <c r="G242" s="170">
        <f t="shared" si="937"/>
        <v>-3.0651064013887563E-2</v>
      </c>
      <c r="H242" s="139"/>
      <c r="I242" s="86"/>
      <c r="J242" s="79">
        <f t="shared" si="936"/>
        <v>7.1529999999999996</v>
      </c>
    </row>
    <row r="243" spans="5:10" x14ac:dyDescent="0.25">
      <c r="E243" s="170">
        <f t="shared" si="937"/>
        <v>0.9802530575966506</v>
      </c>
      <c r="F243" s="170">
        <f t="shared" si="937"/>
        <v>0.19744368207353635</v>
      </c>
      <c r="G243" s="170">
        <f t="shared" si="937"/>
        <v>-1.0951505908419909E-2</v>
      </c>
      <c r="H243" s="139"/>
      <c r="I243" s="86"/>
      <c r="J243" s="79">
        <f t="shared" si="936"/>
        <v>7.16</v>
      </c>
    </row>
    <row r="244" spans="5:10" x14ac:dyDescent="0.25">
      <c r="E244" s="170">
        <f t="shared" si="937"/>
        <v>0.95214928262015763</v>
      </c>
      <c r="F244" s="170">
        <f t="shared" si="937"/>
        <v>0.20766582203567047</v>
      </c>
      <c r="G244" s="170">
        <f t="shared" si="937"/>
        <v>-0.22424685051114671</v>
      </c>
      <c r="H244" s="139"/>
      <c r="I244" s="86"/>
      <c r="J244" s="79">
        <f t="shared" si="936"/>
        <v>7.2389999999999999</v>
      </c>
    </row>
    <row r="245" spans="5:10" x14ac:dyDescent="0.25">
      <c r="E245" s="170">
        <f t="shared" si="937"/>
        <v>0.98248790736567149</v>
      </c>
      <c r="F245" s="170">
        <f t="shared" si="937"/>
        <v>0.12805553932702085</v>
      </c>
      <c r="G245" s="170">
        <f t="shared" si="937"/>
        <v>-0.1353487743863595</v>
      </c>
      <c r="H245" s="139"/>
      <c r="I245" s="86"/>
      <c r="J245" s="79">
        <f t="shared" si="936"/>
        <v>7.2460000000000004</v>
      </c>
    </row>
    <row r="246" spans="5:10" x14ac:dyDescent="0.25">
      <c r="E246" s="170">
        <f t="shared" si="937"/>
        <v>0.99775270984572639</v>
      </c>
      <c r="F246" s="170">
        <f t="shared" si="937"/>
        <v>2.8596390627526651E-2</v>
      </c>
      <c r="G246" s="170">
        <f t="shared" si="937"/>
        <v>-6.0595184945568391E-2</v>
      </c>
      <c r="H246" s="139"/>
      <c r="I246" s="86"/>
      <c r="J246" s="79">
        <f t="shared" si="936"/>
        <v>7.2530000000000001</v>
      </c>
    </row>
    <row r="247" spans="5:10" x14ac:dyDescent="0.25">
      <c r="E247" s="170">
        <f t="shared" si="937"/>
        <v>0.51503797554945319</v>
      </c>
      <c r="F247" s="170">
        <f t="shared" si="937"/>
        <v>-0.85716736040397667</v>
      </c>
      <c r="G247" s="170">
        <f t="shared" si="937"/>
        <v>0</v>
      </c>
      <c r="H247" s="139"/>
      <c r="I247" s="86"/>
      <c r="J247" s="79">
        <f t="shared" si="936"/>
        <v>7.3010000000000002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0" priority="135" stopIfTrue="1" operator="between">
      <formula>9</formula>
      <formula>9.99</formula>
    </cfRule>
    <cfRule type="cellIs" dxfId="39" priority="136" stopIfTrue="1" operator="between">
      <formula>8</formula>
      <formula>8.99</formula>
    </cfRule>
    <cfRule type="cellIs" dxfId="38" priority="137" stopIfTrue="1" operator="between">
      <formula>7</formula>
      <formula>7.99</formula>
    </cfRule>
    <cfRule type="cellIs" dxfId="37" priority="138" stopIfTrue="1" operator="between">
      <formula>6</formula>
      <formula>6.99</formula>
    </cfRule>
    <cfRule type="cellIs" dxfId="36" priority="139" stopIfTrue="1" operator="between">
      <formula>5</formula>
      <formula>5.99</formula>
    </cfRule>
    <cfRule type="cellIs" dxfId="35" priority="140" stopIfTrue="1" operator="between">
      <formula>4</formula>
      <formula>4.99</formula>
    </cfRule>
    <cfRule type="cellIs" dxfId="34" priority="141" stopIfTrue="1" operator="between">
      <formula>3</formula>
      <formula>3.99</formula>
    </cfRule>
    <cfRule type="cellIs" dxfId="33" priority="142" stopIfTrue="1" operator="between">
      <formula>2</formula>
      <formula>2.99</formula>
    </cfRule>
    <cfRule type="cellIs" dxfId="32" priority="143" stopIfTrue="1" operator="between">
      <formula>1</formula>
      <formula>1.99</formula>
    </cfRule>
  </conditionalFormatting>
  <conditionalFormatting sqref="HN9:HN40 HN54:HN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1" priority="21" stopIfTrue="1" operator="between">
      <formula>9</formula>
      <formula>9.99</formula>
    </cfRule>
    <cfRule type="cellIs" dxfId="30" priority="22" stopIfTrue="1" operator="between">
      <formula>8</formula>
      <formula>8.99</formula>
    </cfRule>
    <cfRule type="cellIs" dxfId="29" priority="23" stopIfTrue="1" operator="between">
      <formula>7</formula>
      <formula>7.99</formula>
    </cfRule>
    <cfRule type="cellIs" dxfId="28" priority="24" stopIfTrue="1" operator="between">
      <formula>6</formula>
      <formula>6.99</formula>
    </cfRule>
    <cfRule type="cellIs" dxfId="27" priority="25" stopIfTrue="1" operator="between">
      <formula>5</formula>
      <formula>5.99</formula>
    </cfRule>
    <cfRule type="cellIs" dxfId="26" priority="26" stopIfTrue="1" operator="between">
      <formula>4</formula>
      <formula>4.99</formula>
    </cfRule>
    <cfRule type="cellIs" dxfId="25" priority="27" stopIfTrue="1" operator="between">
      <formula>3</formula>
      <formula>3.99</formula>
    </cfRule>
    <cfRule type="cellIs" dxfId="24" priority="28" stopIfTrue="1" operator="between">
      <formula>2</formula>
      <formula>2.99</formula>
    </cfRule>
    <cfRule type="cellIs" dxfId="23" priority="29" stopIfTrue="1" operator="between">
      <formula>1</formula>
      <formula>1.99</formula>
    </cfRule>
  </conditionalFormatting>
  <conditionalFormatting sqref="HN41:HN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0" priority="1" operator="equal">
      <formula>"Wrong CS"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9" t="str">
        <f>CONCATENATE(Settings!$C$19," ",Settings!$B$28)</f>
        <v>12.25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M1" s="107" t="s">
        <v>319</v>
      </c>
      <c r="N1" s="1261" t="s">
        <v>321</v>
      </c>
      <c r="O1" s="126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0" t="str">
        <f>Settings!B28</f>
        <v xml:space="preserve"> Job# --- Assy# --- Post Braze --- yy.mm.dd</v>
      </c>
      <c r="C2" s="1271"/>
      <c r="D2" s="1271"/>
      <c r="E2" s="1271"/>
      <c r="F2" s="1271"/>
      <c r="G2" s="1271"/>
      <c r="H2" s="1271"/>
      <c r="I2" s="1271"/>
      <c r="J2" s="1271"/>
      <c r="K2" s="1272"/>
      <c r="L2" s="984" t="str" cm="1">
        <f t="array" ref="L2">IF(OR($K$9:$K$150="Undefined"),"Undefined Element","")</f>
        <v/>
      </c>
      <c r="M2" s="1267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83" t="str">
        <f>M2</f>
        <v>CS-Name</v>
      </c>
      <c r="AW2" s="1297"/>
      <c r="AX2" s="1297"/>
      <c r="AY2" s="1297"/>
      <c r="AZ2" s="1297"/>
      <c r="BA2" s="1297"/>
      <c r="BB2" s="1297"/>
      <c r="BC2" s="1298"/>
      <c r="BF2" s="1290" t="s">
        <v>322</v>
      </c>
      <c r="BG2" s="1291"/>
      <c r="BH2" s="1291"/>
      <c r="BI2" s="1291"/>
      <c r="BJ2" s="1291"/>
      <c r="BK2" s="1292"/>
      <c r="BM2" s="1307" t="s">
        <v>279</v>
      </c>
      <c r="BN2" s="1223"/>
      <c r="BO2" s="1223"/>
      <c r="BP2" s="1224"/>
      <c r="BR2" s="1307" t="s">
        <v>279</v>
      </c>
      <c r="BS2" s="1223"/>
      <c r="BT2" s="1223"/>
      <c r="BU2" s="122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4"/>
      <c r="C3" s="1235"/>
      <c r="D3" s="1235"/>
      <c r="E3" s="1235"/>
      <c r="F3" s="1235"/>
      <c r="G3" s="1235"/>
      <c r="H3" s="1235"/>
      <c r="I3" s="1235"/>
      <c r="J3" s="1235"/>
      <c r="K3" s="1236"/>
      <c r="L3" s="984"/>
      <c r="M3" s="1268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048"/>
      <c r="AA3" s="1049"/>
      <c r="AB3" s="1049"/>
      <c r="AC3" s="1049"/>
      <c r="AD3" s="1049"/>
      <c r="AE3" s="1049"/>
      <c r="AF3" s="1049"/>
      <c r="AG3" s="1049"/>
      <c r="AH3" s="1049"/>
      <c r="AI3" s="1049"/>
      <c r="AJ3" s="1049"/>
      <c r="AK3" s="1049"/>
      <c r="AL3" s="1049"/>
      <c r="AM3" s="1049"/>
      <c r="AN3" s="1049"/>
      <c r="AO3" s="1049"/>
      <c r="AP3" s="1049"/>
      <c r="AQ3" s="1163"/>
      <c r="AS3" s="466">
        <v>100</v>
      </c>
      <c r="AT3" s="463" t="s">
        <v>45</v>
      </c>
      <c r="AV3" s="1284"/>
      <c r="AW3" s="1299"/>
      <c r="AX3" s="1299"/>
      <c r="AY3" s="1299"/>
      <c r="AZ3" s="1299"/>
      <c r="BA3" s="1299"/>
      <c r="BB3" s="1299"/>
      <c r="BC3" s="1300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8" t="s">
        <v>316</v>
      </c>
      <c r="C4" s="913"/>
      <c r="D4" s="913"/>
      <c r="E4" s="913"/>
      <c r="F4" s="913"/>
      <c r="G4" s="913"/>
      <c r="H4" s="913"/>
      <c r="I4" s="913"/>
      <c r="J4" s="913"/>
      <c r="K4" s="1273"/>
      <c r="L4" s="984"/>
      <c r="M4" s="1268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Q4</f>
        <v>Polar XY; Cartesian Z</v>
      </c>
      <c r="X4" s="1167"/>
      <c r="Y4" s="1233"/>
      <c r="Z4" s="1263" t="s">
        <v>3</v>
      </c>
      <c r="AA4" s="1264"/>
      <c r="AB4" s="1264"/>
      <c r="AC4" s="1264"/>
      <c r="AD4" s="1264"/>
      <c r="AE4" s="1264"/>
      <c r="AF4" s="1264"/>
      <c r="AG4" s="1303" t="s">
        <v>31</v>
      </c>
      <c r="AH4" s="1264"/>
      <c r="AI4" s="1264"/>
      <c r="AJ4" s="1304"/>
      <c r="AK4" s="1310" t="s">
        <v>32</v>
      </c>
      <c r="AL4" s="1311"/>
      <c r="AM4" s="1311"/>
      <c r="AN4" s="1311"/>
      <c r="AO4" s="1311"/>
      <c r="AP4" s="1311"/>
      <c r="AQ4" s="1312"/>
      <c r="AS4" s="467">
        <v>125</v>
      </c>
      <c r="AT4" s="464" t="s">
        <v>46</v>
      </c>
      <c r="AV4" s="1284"/>
      <c r="AW4" s="1301"/>
      <c r="AX4" s="1301"/>
      <c r="AY4" s="1301"/>
      <c r="AZ4" s="1302"/>
      <c r="BA4" s="1301" t="str">
        <f>Z2</f>
        <v>PDC Orientation</v>
      </c>
      <c r="BB4" s="1301"/>
      <c r="BC4" s="1302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4" t="str">
        <f>CONCATENATE(B7," ; ",E7," ; ",H8)</f>
        <v>Absolute-Point ; Incremental-Vector Point ; Radius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68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&amp; Z; Z Axis")</f>
        <v>Relative to 's θ &amp; Z; Z Axis</v>
      </c>
      <c r="U5" s="1137"/>
      <c r="V5" s="1138"/>
      <c r="W5" s="1137" t="str">
        <f>CONCATENATE("Relative to ",M8,"'s θ &amp; Z; Z Axis")</f>
        <v>Relative to 's θ &amp; Z;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84"/>
      <c r="AW5" s="1258" t="str">
        <f>W4</f>
        <v>Polar XY; Cartesian Z</v>
      </c>
      <c r="AX5" s="1167"/>
      <c r="AY5" s="1167"/>
      <c r="AZ5" s="985" t="s">
        <v>104</v>
      </c>
      <c r="BA5" s="1167" t="str">
        <f>AK4</f>
        <v>Polar Z Projection → XZ Plane</v>
      </c>
      <c r="BB5" s="1167"/>
      <c r="BC5" s="1168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/>
      </c>
      <c r="M6" s="1268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Q6</f>
        <v>Projected XY</v>
      </c>
      <c r="X6" s="1170"/>
      <c r="Y6" s="1211" t="str">
        <f>S6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258" t="str">
        <f>AD6</f>
        <v>Unit Vector</v>
      </c>
      <c r="AL6" s="1167"/>
      <c r="AM6" s="1168"/>
      <c r="AN6" s="34" t="s">
        <v>15</v>
      </c>
      <c r="AO6" s="35" t="s">
        <v>16</v>
      </c>
      <c r="AP6" s="737" t="s">
        <v>17</v>
      </c>
      <c r="AQ6" s="1265" t="s">
        <v>108</v>
      </c>
      <c r="AS6" s="172">
        <f>(AS5/360)</f>
        <v>6.9444444444444447E-4</v>
      </c>
      <c r="AT6" s="465" t="s">
        <v>48</v>
      </c>
      <c r="AV6" s="1284"/>
      <c r="AW6" s="1136" t="str">
        <f>W5</f>
        <v>Relative to 's θ &amp; Z; Z Axis</v>
      </c>
      <c r="AX6" s="1137"/>
      <c r="AY6" s="1137"/>
      <c r="AZ6" s="1280"/>
      <c r="BA6" s="1137" t="str">
        <f>AK5</f>
        <v>Vector Along X Axis</v>
      </c>
      <c r="BB6" s="1137"/>
      <c r="BC6" s="1174"/>
      <c r="BD6" s="468"/>
      <c r="BF6" s="461">
        <f>SUM(AZ9:AZ150)</f>
        <v>0</v>
      </c>
      <c r="BG6" s="1262" t="s">
        <v>318</v>
      </c>
      <c r="BH6" s="1262"/>
      <c r="BI6" s="1262"/>
      <c r="BJ6" s="1262"/>
      <c r="BK6" s="1262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1" t="s">
        <v>40</v>
      </c>
      <c r="C7" s="1252"/>
      <c r="D7" s="1253"/>
      <c r="E7" s="1254" t="s">
        <v>41</v>
      </c>
      <c r="F7" s="1252"/>
      <c r="G7" s="1255"/>
      <c r="H7" s="880" t="s">
        <v>314</v>
      </c>
      <c r="I7" s="878"/>
      <c r="J7" s="879"/>
      <c r="K7" s="539"/>
      <c r="L7" s="984"/>
      <c r="M7" s="126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Q7</f>
        <v>&lt; θ°</v>
      </c>
      <c r="X7" s="27" t="str">
        <f>R7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6"/>
      <c r="AS7" s="1305" t="s">
        <v>54</v>
      </c>
      <c r="AT7" s="1308" t="s">
        <v>53</v>
      </c>
      <c r="AV7" s="1284"/>
      <c r="AW7" s="1279" t="str">
        <f>$W$6</f>
        <v>Projected XY</v>
      </c>
      <c r="AX7" s="1170"/>
      <c r="AY7" s="1281" t="str">
        <f>$Y$6</f>
        <v>Z</v>
      </c>
      <c r="AZ7" s="1280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2"/>
      <c r="BH7" s="1262"/>
      <c r="BI7" s="1262"/>
      <c r="BJ7" s="1262"/>
      <c r="BK7" s="1262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313" t="s">
        <v>364</v>
      </c>
      <c r="JC7" s="1220"/>
      <c r="JD7" s="1220"/>
      <c r="JE7" s="122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4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6"/>
      <c r="AT8" s="1309"/>
      <c r="AV8" s="1285"/>
      <c r="AW8" s="46" t="str">
        <f>$W$7</f>
        <v>&lt; θ°</v>
      </c>
      <c r="AX8" s="27" t="str">
        <f>$X$7</f>
        <v>r</v>
      </c>
      <c r="AY8" s="1282"/>
      <c r="AZ8" s="986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7" t="str">
        <f>$W$6</f>
        <v>Projected XY</v>
      </c>
      <c r="AX152" s="1278"/>
      <c r="AY152" s="1295" t="str">
        <f>$Y$6</f>
        <v>Z</v>
      </c>
      <c r="AZ152" s="1293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6"/>
      <c r="AZ153" s="1294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0" t="s">
        <v>42</v>
      </c>
      <c r="C157" s="1241"/>
      <c r="D157" s="1241"/>
      <c r="E157" s="1241"/>
      <c r="F157" s="1241"/>
      <c r="G157" s="1241"/>
      <c r="H157" s="1241"/>
      <c r="I157" s="1241"/>
      <c r="J157" s="1241"/>
      <c r="K157" s="1242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3"/>
      <c r="C158" s="1198"/>
      <c r="D158" s="1198"/>
      <c r="E158" s="1198"/>
      <c r="F158" s="1198"/>
      <c r="G158" s="1198"/>
      <c r="H158" s="1198"/>
      <c r="I158" s="1198"/>
      <c r="J158" s="1198"/>
      <c r="K158" s="1244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5"/>
      <c r="C159" s="1246"/>
      <c r="D159" s="1246"/>
      <c r="E159" s="1246"/>
      <c r="F159" s="1246"/>
      <c r="G159" s="1246"/>
      <c r="H159" s="1246"/>
      <c r="I159" s="1246"/>
      <c r="J159" s="1246"/>
      <c r="K159" s="1247"/>
      <c r="AQ159" s="166"/>
      <c r="BD159" s="468"/>
    </row>
    <row r="160" spans="1:259" ht="15" customHeight="1" x14ac:dyDescent="0.25">
      <c r="B160" s="1234" t="str">
        <f>CONCATENATE(B162," ; ",E162," ; ",H163)</f>
        <v>Absolute-Point ; Incremental-Vector Point ; Radius</v>
      </c>
      <c r="C160" s="1235"/>
      <c r="D160" s="1235"/>
      <c r="E160" s="1235"/>
      <c r="F160" s="1235"/>
      <c r="G160" s="1235"/>
      <c r="H160" s="1235"/>
      <c r="I160" s="1235"/>
      <c r="J160" s="1235"/>
      <c r="K160" s="1236"/>
      <c r="AQ160" s="166"/>
      <c r="BD160" s="468"/>
    </row>
    <row r="161" spans="2:56" ht="15" customHeight="1" x14ac:dyDescent="0.25">
      <c r="B161" s="1237"/>
      <c r="C161" s="1238"/>
      <c r="D161" s="1238"/>
      <c r="E161" s="1238"/>
      <c r="F161" s="1238"/>
      <c r="G161" s="1238"/>
      <c r="H161" s="1238"/>
      <c r="I161" s="1238"/>
      <c r="J161" s="1238"/>
      <c r="K161" s="1239"/>
      <c r="AQ161" s="166"/>
      <c r="BD161" s="468"/>
    </row>
    <row r="162" spans="2:56" ht="15" customHeight="1" x14ac:dyDescent="0.25">
      <c r="B162" s="1251" t="s">
        <v>40</v>
      </c>
      <c r="C162" s="1252"/>
      <c r="D162" s="1253"/>
      <c r="E162" s="1254" t="s">
        <v>41</v>
      </c>
      <c r="F162" s="1252"/>
      <c r="G162" s="1255"/>
      <c r="H162" s="880" t="s">
        <v>314</v>
      </c>
      <c r="I162" s="878"/>
      <c r="J162" s="879"/>
      <c r="K162" s="539"/>
      <c r="M162" s="1026" t="s">
        <v>313</v>
      </c>
      <c r="N162" s="1274"/>
      <c r="O162" s="1286" t="s">
        <v>292</v>
      </c>
      <c r="P162" s="1287"/>
      <c r="Q162" s="1288"/>
      <c r="R162" s="1289" t="s">
        <v>41</v>
      </c>
      <c r="S162" s="1287"/>
      <c r="T162" s="1288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5"/>
      <c r="N163" s="1276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1313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1313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1313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1.113</v>
      </c>
      <c r="N168" s="869">
        <f>Assy.Model!K13</f>
        <v>1313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1.117</v>
      </c>
      <c r="N169" s="869">
        <f>Assy.Model!K14</f>
        <v>1313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1.1240000000000001</v>
      </c>
      <c r="N170" s="869">
        <f>Assy.Model!K15</f>
        <v>1313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1.131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1.1379999999999999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1.145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1.1519999999999999</v>
      </c>
      <c r="N174" s="869">
        <f>Assy.Model!K19</f>
        <v>1313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1.159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1.1659999999999999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1.238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1.2450000000000001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1.252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1.3009999999999999</v>
      </c>
      <c r="N180" s="869" t="str">
        <f>Assy.Model!K25</f>
        <v>Inactive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2.1160000000000001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2.1230000000000002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2.13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2.137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2.1440000000000001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2.1520000000000001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2.1579999999999999</v>
      </c>
      <c r="N187" s="869">
        <f>Assy.Model!K32</f>
        <v>1313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2.165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2.2370000000000001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2.2440000000000002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2.2509999999999999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2.3010000000000002</v>
      </c>
      <c r="N192" s="869" t="str">
        <f>Assy.Model!K37</f>
        <v>Inactive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3.1030000000000002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3.1059999999999999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3.109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3.1120000000000001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3.1150000000000002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3.1219999999999999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3.129</v>
      </c>
      <c r="N199" s="869">
        <f>Assy.Model!K44</f>
        <v>1313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3.1360000000000001</v>
      </c>
      <c r="N200" s="869">
        <f>Assy.Model!K45</f>
        <v>1313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3.1429999999999998</v>
      </c>
      <c r="N201" s="869">
        <f>Assy.Model!K46</f>
        <v>1313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3.15</v>
      </c>
      <c r="N202" s="869">
        <f>Assy.Model!K47</f>
        <v>1313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3.157</v>
      </c>
      <c r="N203" s="869">
        <f>Assy.Model!K48</f>
        <v>1313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3.1640000000000001</v>
      </c>
      <c r="N204" s="869">
        <f>Assy.Model!K49</f>
        <v>1313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3.2360000000000002</v>
      </c>
      <c r="N205" s="869">
        <f>Assy.Model!K50</f>
        <v>1313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3.2429999999999999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3.25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3.3010000000000002</v>
      </c>
      <c r="N208" s="869" t="str">
        <f>Assy.Model!K53</f>
        <v>Inactive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4.1210000000000004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4.1280000000000001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4.1349999999999998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4.1420000000000003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4.149</v>
      </c>
      <c r="N213" s="869">
        <f>Assy.Model!K58</f>
        <v>1313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4.1559999999999997</v>
      </c>
      <c r="N214" s="869">
        <f>Assy.Model!K59</f>
        <v>1313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4.1630000000000003</v>
      </c>
      <c r="N215" s="869">
        <f>Assy.Model!K60</f>
        <v>1313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4.2350000000000003</v>
      </c>
      <c r="N216" s="869">
        <f>Assy.Model!K61</f>
        <v>1313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4.242</v>
      </c>
      <c r="N217" s="869">
        <f>Assy.Model!K62</f>
        <v>1313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4.2489999999999997</v>
      </c>
      <c r="N218" s="869">
        <f>Assy.Model!K63</f>
        <v>1313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4.3010000000000002</v>
      </c>
      <c r="N219" s="869" t="str">
        <f>Assy.Model!K64</f>
        <v>Inactive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5.1020000000000003</v>
      </c>
      <c r="N220" s="869">
        <f>Assy.Model!K65</f>
        <v>1313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5.1050000000000004</v>
      </c>
      <c r="N221" s="869">
        <f>Assy.Model!K66</f>
        <v>1313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5.1079999999999997</v>
      </c>
      <c r="N222" s="869">
        <f>Assy.Model!K67</f>
        <v>1313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5.1109999999999998</v>
      </c>
      <c r="N223" s="869">
        <f>Assy.Model!K68</f>
        <v>1313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5.1139999999999999</v>
      </c>
      <c r="N224" s="869">
        <f>Assy.Model!K69</f>
        <v>1313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5.12</v>
      </c>
      <c r="N225" s="869">
        <f>Assy.Model!K70</f>
        <v>1313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5.1269999999999998</v>
      </c>
      <c r="N226" s="869">
        <f>Assy.Model!K71</f>
        <v>1313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5.1340000000000003</v>
      </c>
      <c r="N227" s="869">
        <f>Assy.Model!K72</f>
        <v>1313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5.141</v>
      </c>
      <c r="N228" s="869">
        <f>Assy.Model!K73</f>
        <v>1313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5.1479999999999997</v>
      </c>
      <c r="N229" s="869">
        <f>Assy.Model!K74</f>
        <v>1313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5.1550000000000002</v>
      </c>
      <c r="N230" s="869">
        <f>Assy.Model!K75</f>
        <v>1313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5.1619999999999999</v>
      </c>
      <c r="N231" s="869">
        <f>Assy.Model!K76</f>
        <v>1313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5.2409999999999997</v>
      </c>
      <c r="N232" s="869">
        <f>Assy.Model!K77</f>
        <v>1313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5.2480000000000002</v>
      </c>
      <c r="N233" s="869">
        <f>Assy.Model!K78</f>
        <v>1313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5.2549999999999999</v>
      </c>
      <c r="N234" s="869">
        <f>Assy.Model!K79</f>
        <v>1313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5.3010000000000002</v>
      </c>
      <c r="N235" s="869" t="str">
        <f>Assy.Model!K80</f>
        <v>Inactive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6.1189999999999998</v>
      </c>
      <c r="N236" s="869">
        <f>Assy.Model!K81</f>
        <v>1313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6.1260000000000003</v>
      </c>
      <c r="N237" s="869">
        <f>Assy.Model!K82</f>
        <v>1313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6.133</v>
      </c>
      <c r="N238" s="869">
        <f>Assy.Model!K83</f>
        <v>1313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6.14</v>
      </c>
      <c r="N239" s="869">
        <f>Assy.Model!K84</f>
        <v>1313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6.1470000000000002</v>
      </c>
      <c r="N240" s="869">
        <f>Assy.Model!K85</f>
        <v>1313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6.1539999999999999</v>
      </c>
      <c r="N241" s="869">
        <f>Assy.Model!K86</f>
        <v>1313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6.1609999999999996</v>
      </c>
      <c r="N242" s="869">
        <f>Assy.Model!K87</f>
        <v>1313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6.24</v>
      </c>
      <c r="N243" s="869">
        <f>Assy.Model!K88</f>
        <v>1313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6.2469999999999999</v>
      </c>
      <c r="N244" s="869">
        <f>Assy.Model!K89</f>
        <v>1313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6.2539999999999996</v>
      </c>
      <c r="N245" s="869">
        <f>Assy.Model!K90</f>
        <v>1313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6.3010000000000002</v>
      </c>
      <c r="N246" s="869" t="str">
        <f>Assy.Model!K91</f>
        <v>Inactive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7.1180000000000003</v>
      </c>
      <c r="N247" s="869">
        <f>Assy.Model!K92</f>
        <v>1313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7.125</v>
      </c>
      <c r="N248" s="869">
        <f>Assy.Model!K93</f>
        <v>1313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7.1319999999999997</v>
      </c>
      <c r="N249" s="869">
        <f>Assy.Model!K94</f>
        <v>1313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7.1390000000000002</v>
      </c>
      <c r="N250" s="869">
        <f>Assy.Model!K95</f>
        <v>1313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7.1459999999999999</v>
      </c>
      <c r="N251" s="869">
        <f>Assy.Model!K96</f>
        <v>1313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7.1529999999999996</v>
      </c>
      <c r="N252" s="869">
        <f>Assy.Model!K97</f>
        <v>1313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7.16</v>
      </c>
      <c r="N253" s="869">
        <f>Assy.Model!K98</f>
        <v>1313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7.2389999999999999</v>
      </c>
      <c r="N254" s="869">
        <f>Assy.Model!K99</f>
        <v>1313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7.2460000000000004</v>
      </c>
      <c r="N255" s="869">
        <f>Assy.Model!K100</f>
        <v>1313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>
        <f>Assy.Model!$M101</f>
        <v>7.2530000000000001</v>
      </c>
      <c r="N256" s="869">
        <f>Assy.Model!K101</f>
        <v>1313</v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>
        <f>Assy.Model!$M102</f>
        <v>7.3010000000000002</v>
      </c>
      <c r="N257" s="869" t="str">
        <f>Assy.Model!K102</f>
        <v>Inactive</v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2023-03-30T17:01:28Z</dcterms:modified>
</cp:coreProperties>
</file>