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24\"/>
    </mc:Choice>
  </mc:AlternateContent>
  <xr:revisionPtr revIDLastSave="0" documentId="13_ncr:1_{603A49C4-E60A-463C-A2CD-83028D60DA50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9" i="1" l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28" i="1" a="1"/>
  <c r="JB28" i="1" s="1"/>
  <c r="JB27" i="1" a="1"/>
  <c r="JB27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6" i="1" l="1" a="1"/>
  <c r="L6" i="1" s="1"/>
  <c r="L2" i="1" a="1"/>
  <c r="L2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P84" i="1"/>
  <c r="IW84" i="1"/>
  <c r="IQ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W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W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X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Q85" i="1"/>
  <c r="IK85" i="1"/>
  <c r="IR85" i="1"/>
  <c r="IW85" i="1"/>
  <c r="IP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Q50" i="1"/>
  <c r="IN50" i="1"/>
  <c r="IP50" i="1"/>
  <c r="IR50" i="1"/>
  <c r="IK48" i="1"/>
  <c r="IP48" i="1"/>
  <c r="IW48" i="1"/>
  <c r="IR48" i="1"/>
  <c r="IN48" i="1"/>
  <c r="IQ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Q49" i="1"/>
  <c r="IW49" i="1"/>
  <c r="IP49" i="1"/>
  <c r="IN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Q86" i="1"/>
  <c r="IK86" i="1"/>
  <c r="IN86" i="1"/>
  <c r="IP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U11" i="1" l="1"/>
  <c r="IE11" i="1" s="1"/>
  <c r="IL11" i="1"/>
  <c r="IR11" i="1"/>
  <c r="IV11" i="1"/>
  <c r="IS11" i="1"/>
  <c r="IW11" i="1"/>
  <c r="IT11" i="1"/>
  <c r="IP11" i="1"/>
  <c r="IY11" i="1"/>
  <c r="IQ11" i="1"/>
  <c r="IN11" i="1"/>
  <c r="IK11" i="1"/>
  <c r="JA23" i="1" s="1" a="1"/>
  <c r="JA9" i="1" a="1"/>
  <c r="IF129" i="1"/>
  <c r="IF73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131" i="1"/>
  <c r="IF123" i="1"/>
  <c r="IF141" i="1"/>
  <c r="IF89" i="1"/>
  <c r="IF124" i="1"/>
  <c r="IF107" i="1"/>
  <c r="IF146" i="1"/>
  <c r="IF134" i="1"/>
  <c r="IF12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A23" i="1" l="1"/>
  <c r="JB26" i="1" a="1"/>
  <c r="JB26" i="1" s="1"/>
  <c r="JB12" i="1" a="1"/>
  <c r="JB12" i="1" s="1"/>
  <c r="JB13" i="1" a="1"/>
  <c r="JB13" i="1" s="1"/>
  <c r="IF11" i="1"/>
  <c r="JA9" i="1"/>
  <c r="JB15" i="1" s="1" a="1"/>
  <c r="JB15" i="1" s="1"/>
  <c r="JB11" i="1" a="1"/>
  <c r="JB11" i="1" s="1"/>
  <c r="JB10" i="1" a="1"/>
  <c r="JB10" i="1" s="1"/>
  <c r="JB24" i="1" a="1"/>
  <c r="JB24" i="1" s="1"/>
  <c r="JB25" i="1" a="1"/>
  <c r="JB25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7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V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9" i="1" s="1"/>
  <c r="Z88" i="1"/>
  <c r="O88" i="1"/>
  <c r="M236" i="7"/>
  <c r="Z81" i="1"/>
  <c r="AA81" i="1"/>
  <c r="N81" i="1"/>
  <c r="M228" i="7"/>
  <c r="P73" i="1"/>
  <c r="S73" i="1" s="1"/>
  <c r="Y73" i="1" s="1"/>
  <c r="IQ82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V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V97" i="1" l="1"/>
  <c r="IV74" i="1"/>
  <c r="IQ83" i="1"/>
  <c r="Q98" i="1"/>
  <c r="IQ97" i="1"/>
  <c r="IQ96" i="1"/>
  <c r="IQ95" i="1"/>
  <c r="IV86" i="1"/>
  <c r="IQ94" i="1"/>
  <c r="IV85" i="1"/>
  <c r="IQ93" i="1"/>
  <c r="IQ92" i="1"/>
  <c r="IQ78" i="1"/>
  <c r="IQ77" i="1"/>
  <c r="IQ76" i="1"/>
  <c r="Q62" i="1"/>
  <c r="IQ61" i="1"/>
  <c r="IQ54" i="1"/>
  <c r="IV50" i="1"/>
  <c r="IQ52" i="1"/>
  <c r="IQ57" i="1"/>
  <c r="R90" i="1"/>
  <c r="X90" i="1" s="1"/>
  <c r="AQ90" i="1" s="1"/>
  <c r="AD86" i="1"/>
  <c r="AH86" i="1" s="1"/>
  <c r="JB16" i="1" a="1"/>
  <c r="JB16" i="1" s="1"/>
  <c r="JB9" i="1" a="1"/>
  <c r="JB9" i="1" s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7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U48" i="1" s="1"/>
  <c r="IE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P99" i="1" s="1"/>
  <c r="Q86" i="1"/>
  <c r="R86" i="1"/>
  <c r="X86" i="1" s="1"/>
  <c r="IU86" i="1" s="1"/>
  <c r="IE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P83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92" i="1" l="1"/>
  <c r="IU84" i="1"/>
  <c r="IE84" i="1" s="1"/>
  <c r="AG75" i="1"/>
  <c r="AI75" i="1"/>
  <c r="AQ73" i="1"/>
  <c r="IP82" i="1"/>
  <c r="IP54" i="1"/>
  <c r="IU50" i="1"/>
  <c r="IE50" i="1" s="1"/>
  <c r="IP52" i="1"/>
  <c r="IP57" i="1"/>
  <c r="AG97" i="1"/>
  <c r="AQ92" i="1"/>
  <c r="IU92" i="1"/>
  <c r="IE92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W87" i="1"/>
  <c r="W88" i="1"/>
  <c r="W85" i="1"/>
  <c r="W86" i="1"/>
  <c r="W83" i="1"/>
  <c r="W84" i="1"/>
  <c r="IL92" i="1" s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99" i="1" l="1"/>
  <c r="IL86" i="1"/>
  <c r="IL85" i="1"/>
  <c r="IL83" i="1"/>
  <c r="IL84" i="1"/>
  <c r="IL47" i="1"/>
  <c r="IL50" i="1"/>
  <c r="IL49" i="1"/>
  <c r="IL48" i="1"/>
  <c r="IL57" i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X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IY86" i="1" s="1"/>
  <c r="U86" i="1"/>
  <c r="AK86" i="1"/>
  <c r="T86" i="1"/>
  <c r="T85" i="1"/>
  <c r="AL85" i="1"/>
  <c r="AN85" i="1" s="1"/>
  <c r="IY85" i="1" s="1"/>
  <c r="IF85" i="1" s="1"/>
  <c r="AK83" i="1"/>
  <c r="AL84" i="1"/>
  <c r="AN84" i="1" s="1"/>
  <c r="IY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AK50" i="1"/>
  <c r="AL50" i="1"/>
  <c r="AN50" i="1" s="1"/>
  <c r="IY50" i="1" s="1"/>
  <c r="U50" i="1"/>
  <c r="T50" i="1"/>
  <c r="T49" i="1"/>
  <c r="AK49" i="1"/>
  <c r="AO49" i="1" s="1"/>
  <c r="IX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IT49" i="1" s="1"/>
  <c r="U40" i="1"/>
  <c r="T40" i="1"/>
  <c r="T39" i="1"/>
  <c r="AL39" i="1"/>
  <c r="AN39" i="1" s="1"/>
  <c r="IT48" i="1" s="1"/>
  <c r="AL38" i="1"/>
  <c r="AN38" i="1" s="1"/>
  <c r="IT47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9" i="1" l="1"/>
  <c r="IT98" i="1"/>
  <c r="IY77" i="1"/>
  <c r="IT86" i="1"/>
  <c r="IY76" i="1"/>
  <c r="IT85" i="1"/>
  <c r="IY75" i="1"/>
  <c r="IT84" i="1"/>
  <c r="IY74" i="1"/>
  <c r="IT83" i="1"/>
  <c r="IF49" i="1"/>
  <c r="IX41" i="1"/>
  <c r="IS50" i="1"/>
  <c r="IY41" i="1"/>
  <c r="IT50" i="1"/>
  <c r="IT57" i="1"/>
  <c r="IY48" i="1"/>
  <c r="IT97" i="1"/>
  <c r="IT96" i="1"/>
  <c r="IT95" i="1"/>
  <c r="IT94" i="1"/>
  <c r="IT93" i="1"/>
  <c r="IT92" i="1"/>
  <c r="IT78" i="1"/>
  <c r="IT77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IS97" i="1" s="1"/>
  <c r="AP88" i="1"/>
  <c r="AP86" i="1"/>
  <c r="AO86" i="1"/>
  <c r="IX86" i="1" s="1"/>
  <c r="IF86" i="1" s="1"/>
  <c r="AP85" i="1"/>
  <c r="AP84" i="1"/>
  <c r="AO84" i="1"/>
  <c r="IX84" i="1" s="1"/>
  <c r="IF84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AP71" i="1"/>
  <c r="AO72" i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IS58" i="1" s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IX48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IS49" i="1" s="1"/>
  <c r="AP40" i="1"/>
  <c r="AO39" i="1"/>
  <c r="IS48" i="1" s="1"/>
  <c r="AP39" i="1"/>
  <c r="AP37" i="1"/>
  <c r="AO37" i="1"/>
  <c r="IX37" i="1" s="1"/>
  <c r="IF37" i="1" s="1"/>
  <c r="AO38" i="1"/>
  <c r="IS47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99" i="1" l="1"/>
  <c r="IS98" i="1"/>
  <c r="IX77" i="1"/>
  <c r="IF77" i="1" s="1"/>
  <c r="IS86" i="1"/>
  <c r="IX76" i="1"/>
  <c r="IF76" i="1" s="1"/>
  <c r="IS85" i="1"/>
  <c r="IX75" i="1"/>
  <c r="IF75" i="1" s="1"/>
  <c r="IS84" i="1"/>
  <c r="IX74" i="1"/>
  <c r="IF74" i="1" s="1"/>
  <c r="IS83" i="1"/>
  <c r="IF41" i="1"/>
  <c r="IS54" i="1"/>
  <c r="IX50" i="1"/>
  <c r="IF50" i="1" s="1"/>
  <c r="IF48" i="1"/>
  <c r="IT29" i="1"/>
  <c r="IY47" i="1"/>
  <c r="IF47" i="1" s="1"/>
  <c r="IS96" i="1"/>
  <c r="IS95" i="1"/>
  <c r="IS94" i="1"/>
  <c r="IS93" i="1"/>
  <c r="IS92" i="1"/>
  <c r="IS78" i="1"/>
  <c r="IS77" i="1"/>
  <c r="IT60" i="1"/>
  <c r="IY57" i="1"/>
  <c r="IF57" i="1" s="1"/>
  <c r="IS52" i="1"/>
  <c r="IS57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<sst xmlns="http://schemas.openxmlformats.org/spreadsheetml/2006/main" count="734" uniqueCount="391">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</sst>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12.25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55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1.111's θ about Z Axis</v>
      </c>
      <c r="U5" s="1137"/>
      <c r="V5" s="1138"/>
      <c r="W5" s="1137" t="str">
        <f>CONCATENATE("Relative to ",M8,"'s θ about Z Axis")</f>
        <v>Relative to 1.111's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1.111's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>Inactive Element</v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89.990000001443818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-0.16410049492709269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0.29700089575470157</v>
      </c>
      <c r="D9" s="704">
        <v>-0.69660210095193653</v>
      </c>
      <c r="E9" s="705">
        <v>-0.86602544158358563</v>
      </c>
      <c r="F9" s="703">
        <v>-0.12940948735077984</v>
      </c>
      <c r="G9" s="706">
        <v>0.48296285479689216</v>
      </c>
      <c r="H9" s="705">
        <v>0.26600000000000001</v>
      </c>
      <c r="I9" s="703">
        <v>0.315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1308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0.29700089575470157</v>
      </c>
      <c r="P9" s="625">
        <f t="shared" ref="P9:P40" si="4">IF(M9="","",D9)</f>
        <v>-0.69660210095193653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0.29700089575470157</v>
      </c>
      <c r="S9" s="626">
        <f>IF(M9="","",P9)</f>
        <v>-0.69660210095193653</v>
      </c>
      <c r="T9" s="627">
        <f>IF(M9="","",X9*COS(RADIANS(W9)))</f>
        <v>0.29700089123112056</v>
      </c>
      <c r="U9" s="624">
        <f>IF(M9="","",X9*SIN(RADIANS(W9)))</f>
        <v>5.1836427375512302E-5</v>
      </c>
      <c r="V9" s="628">
        <f>IF(M9="","",Y9)</f>
        <v>-0.69660210095193653</v>
      </c>
      <c r="W9" s="583">
        <f t="shared" ref="W9:W14" si="5">IF(M9="","",IF(Q9-$Q$8&lt;0,360+Q9-$Q$8,Q9-$Q$8))</f>
        <v>9.9999985561822768E-3</v>
      </c>
      <c r="X9" s="629">
        <f>IF(M9="","",R9)</f>
        <v>0.29700089575470157</v>
      </c>
      <c r="Y9" s="630">
        <f>IF(M9="","",S9)</f>
        <v>-0.69660210095193653</v>
      </c>
      <c r="Z9" s="623">
        <f t="shared" ref="Z9:Z40" si="6">IF(M9="","",-E9)</f>
        <v>0.86602544158358563</v>
      </c>
      <c r="AA9" s="624">
        <f t="shared" ref="AA9:AA40" si="7">IF(M9="","",-F9)</f>
        <v>0.12940948735077984</v>
      </c>
      <c r="AB9" s="624">
        <f t="shared" ref="AB9:AB40" si="8">IF(M9="","",-G9)</f>
        <v>-0.48296285479689216</v>
      </c>
      <c r="AC9" s="628">
        <f>IF(M9="","",SQRT(Z9^2+AA9^2+AB9^2))</f>
        <v>1</v>
      </c>
      <c r="AD9" s="631">
        <f>IF(M9="","",Z9*(1/SQRT(Z9^2+AA9^2+AB9^2)))</f>
        <v>0.86602544158358563</v>
      </c>
      <c r="AE9" s="624">
        <f>IF(M9="","",AA9*(1/SQRT(Z9^2+AA9^2+AB9^2)))</f>
        <v>0.12940948735077984</v>
      </c>
      <c r="AF9" s="625">
        <f>IF(M9="","",AB9*(1/SQRT(Z9^2+AA9^2+AB9^2)))</f>
        <v>-0.48296285479689216</v>
      </c>
      <c r="AG9" s="599">
        <f>IF(M9="","",DEGREES(ATAN2(-AF9,AE9)))</f>
        <v>14.999997834268264</v>
      </c>
      <c r="AH9" s="600">
        <f>IF(M9="","",DEGREES(ACOS(AD9)))</f>
        <v>29.999995668536535</v>
      </c>
      <c r="AI9" s="583">
        <f>IF(M9="","",DEGREES(-ACOS(-AF9)))</f>
        <v>-61.120909800431889</v>
      </c>
      <c r="AJ9" s="601">
        <f>IF(M9="","",DEGREES(ATAN2(-AE9,AD9)))</f>
        <v>98.498778059971826</v>
      </c>
      <c r="AK9" s="627">
        <f>IF(M9="","",(COS(RADIANS((90-$Q$8)-W9))*AD9)+(-SIN(RADIANS((90-$Q$8)-W9))*AE9))</f>
        <v>0.86602544158358563</v>
      </c>
      <c r="AL9" s="624">
        <f>IF(M9="","",(SIN(RADIANS((90-$Q$8)-W9))*AD9)+(COS(RADIANS((90-$Q$8)-W9))*AE9))</f>
        <v>0.12940948735077984</v>
      </c>
      <c r="AM9" s="626">
        <f>IF(M9="","",AF9)</f>
        <v>-0.48296285479689216</v>
      </c>
      <c r="AN9" s="581">
        <f>IF(M9="","",DEGREES(ATAN2(-AM9,AL9)))</f>
        <v>14.999997834268264</v>
      </c>
      <c r="AO9" s="582">
        <f>IF(ROUND(IF(M9="",0,DEGREES(ACOS(AK9))),4)=90,0,IF(M9="","",DEGREES(ACOS(AK9))))</f>
        <v>29.999995668536535</v>
      </c>
      <c r="AP9" s="781">
        <f>IF(M9="","",DEGREES(ATAN2(AK9,AL9)))</f>
        <v>8.4987780599718246</v>
      </c>
      <c r="AQ9" s="584">
        <f t="shared" ref="AQ9:AQ40" si="9">IF(M9="","",DEGREES(ATAN(($AS$5*SIN(RADIANS(90)))/(($X9*2*PI())-($AS$5*COS(RADIANS(90)))))))</f>
        <v>7.630391638909372</v>
      </c>
      <c r="AS9" s="51">
        <f>IF(M9="","",W9)</f>
        <v>9.9999985561822768E-3</v>
      </c>
      <c r="AT9" s="71">
        <f t="shared" ref="AT9:AT40" si="10">IF(M9="","",Y9+(((AS9-$AS$9)*$AS$6)*-1))</f>
        <v>-0.69660210095193653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1308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1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49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0.99770300907227538</v>
      </c>
      <c r="D10" s="709">
        <v>-0.55880168534588293</v>
      </c>
      <c r="E10" s="710">
        <v>-0.96592583607220739</v>
      </c>
      <c r="F10" s="708">
        <v>-6.6987279208207212E-2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0.99770300907227538</v>
      </c>
      <c r="P10" s="633">
        <f t="shared" si="4"/>
        <v>-0.55880168534588293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0.99770300907227538</v>
      </c>
      <c r="S10" s="634">
        <f t="shared" ref="S10:S105" si="80">IF(M10="","",P10)</f>
        <v>-0.55880168534588293</v>
      </c>
      <c r="T10" s="635">
        <f t="shared" ref="T10:T105" si="81">IF(M10="","",X10*COS(RADIANS(W10)))</f>
        <v>0.99770299387639394</v>
      </c>
      <c r="U10" s="629">
        <f t="shared" ref="U10:U105" si="82">IF(M10="","",X10*SIN(RADIANS(W10)))</f>
        <v>1.7413199862810987E-4</v>
      </c>
      <c r="V10" s="636">
        <f>IF(M10="","",Y10)</f>
        <v>-0.55880168534588293</v>
      </c>
      <c r="W10" s="585">
        <f t="shared" si="5"/>
        <v>9.9999985561822768E-3</v>
      </c>
      <c r="X10" s="629">
        <f t="shared" ref="X10:X105" si="83">IF(M10="","",R10)</f>
        <v>0.99770300907227538</v>
      </c>
      <c r="Y10" s="630">
        <f>IF(M10="","",S10)</f>
        <v>-0.55880168534588293</v>
      </c>
      <c r="Z10" s="632">
        <f t="shared" si="6"/>
        <v>0.96592583607220739</v>
      </c>
      <c r="AA10" s="629">
        <f t="shared" si="7"/>
        <v>6.6987279208207212E-2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6.6987279208207212E-2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14.999997834268271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6.6987279208207212E-2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14.999997834268271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3.9671296450865721</v>
      </c>
      <c r="AQ10" s="586">
        <f t="shared" si="9"/>
        <v>2.2837649807392064</v>
      </c>
      <c r="AS10" s="52">
        <f>IF($M10="","",IF(AND($W10&lt;($AS$9+180),$W10&gt;($AS$9-180)),$W10,IF($W10&gt;($AS$9+180),$W10-360,IF($W10&lt;($AS$9-180),$W10+360,"Error"))))</f>
        <v>9.9999985561822768E-3</v>
      </c>
      <c r="AT10" s="72">
        <f t="shared" si="10"/>
        <v>-0.55880168534588293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5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1.7342052303629749</v>
      </c>
      <c r="D11" s="709">
        <v>-0.36140108998568743</v>
      </c>
      <c r="E11" s="710">
        <v>-0.96592583607220739</v>
      </c>
      <c r="F11" s="708">
        <v>-6.6987279208207198E-2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1.7342052303629749</v>
      </c>
      <c r="P11" s="633">
        <f t="shared" si="4"/>
        <v>-0.36140108998568743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1.7342052303629749</v>
      </c>
      <c r="S11" s="634">
        <f t="shared" si="80"/>
        <v>-0.36140108998568743</v>
      </c>
      <c r="T11" s="635">
        <f t="shared" si="81"/>
        <v>1.7342052039495264</v>
      </c>
      <c r="U11" s="629">
        <f t="shared" si="82"/>
        <v>3.0267586651385001E-4</v>
      </c>
      <c r="V11" s="636">
        <f t="shared" ref="V11:V105" si="114">IF(M11="","",Y11)</f>
        <v>-0.36140108998568743</v>
      </c>
      <c r="W11" s="585">
        <f t="shared" si="5"/>
        <v>9.9999985561822768E-3</v>
      </c>
      <c r="X11" s="629">
        <f>IF(M11="","",R11)</f>
        <v>1.7342052303629749</v>
      </c>
      <c r="Y11" s="630">
        <f>IF(M11="","",S11)</f>
        <v>-0.36140108998568743</v>
      </c>
      <c r="Z11" s="632">
        <f t="shared" si="6"/>
        <v>0.96592583607220739</v>
      </c>
      <c r="AA11" s="629">
        <f t="shared" si="7"/>
        <v>6.6987279208207198E-2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6.6987279208207198E-2</v>
      </c>
      <c r="AF11" s="633">
        <f t="shared" si="86"/>
        <v>-0.24999996726497564</v>
      </c>
      <c r="AG11" s="602">
        <f>IF(M11="","",DEGREES(ATAN2(-AF11,AE11)))</f>
        <v>14.999997834268267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6.6987279208207198E-2</v>
      </c>
      <c r="AM11" s="634">
        <f t="shared" si="92"/>
        <v>-0.24999996726497564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14.999997834268255</v>
      </c>
      <c r="AP11" s="585">
        <f t="shared" si="95"/>
        <v>3.9671296450865712</v>
      </c>
      <c r="AQ11" s="586">
        <f t="shared" si="9"/>
        <v>1.3143350620567273</v>
      </c>
      <c r="AS11" s="52">
        <f t="shared" ref="AS11:AS42" si="116">IF(G11="","",IF(AND(W11&lt;(AS10+180),W11&gt;(AS10-180)),W11,IF(W11&gt;(AS10+180),W11-360,IF(W11&lt;(AS10-180),W11+360,"Error"))))</f>
        <v>9.9999985561822768E-3</v>
      </c>
      <c r="AT11" s="72">
        <f t="shared" si="10"/>
        <v>-0.36140108998568743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>
        <v>1308</v>
      </c>
      <c r="JB11" s="787" cm="1">
        <f t="array" ref="JB11">IF($JA11="","",COUNT(IF(IF($II$9:$II$150="",$IJ$9:$IJ$150,"")=$JA11,$IG$9:$IG$150,"")))</f>
        <v>1</v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4.3123718774199286E-4</v>
      </c>
      <c r="C12" s="708">
        <v>2.4708074143227368</v>
      </c>
      <c r="D12" s="709">
        <v>-0.16410049492709269</v>
      </c>
      <c r="E12" s="710">
        <v>-0.96590360933816044</v>
      </c>
      <c r="F12" s="708">
        <v>-3.2802578933048124E-2</v>
      </c>
      <c r="G12" s="711">
        <v>0.25681551410079467</v>
      </c>
      <c r="H12" s="710">
        <v>0.314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4.3123718774199286E-4</v>
      </c>
      <c r="O12" s="629">
        <f t="shared" si="3"/>
        <v>2.4708074143227368</v>
      </c>
      <c r="P12" s="633">
        <f t="shared" si="4"/>
        <v>-0.16410049492709269</v>
      </c>
      <c r="Q12" s="585">
        <f>IF(M12="","",IF(DEGREES(ATAN2(N12,O12))&lt;0,DEGREES(ATAN2(N12,O12))+360,IF(DEGREES(ATAN2(N12,O12))&gt;360,DEGREES(ATAN2(N12,O12))-360,DEGREES(ATAN2(N12,O12)))))</f>
        <v>89.990000001443818</v>
      </c>
      <c r="R12" s="629">
        <f t="shared" si="79"/>
        <v>2.4708074519552752</v>
      </c>
      <c r="S12" s="634">
        <f t="shared" si="80"/>
        <v>-0.16410049492709269</v>
      </c>
      <c r="T12" s="635">
        <f>IF(M12="","",X12*COS(RADIANS(W12)))</f>
        <v>2.4708074519552752</v>
      </c>
      <c r="U12" s="629">
        <f t="shared" si="82"/>
        <v>0</v>
      </c>
      <c r="V12" s="636">
        <f t="shared" si="114"/>
        <v>-0.16410049492709269</v>
      </c>
      <c r="W12" s="585">
        <f>IF(M12="","",IF(Q12-$Q$8&lt;0,360+Q12-$Q$8,Q12-$Q$8))</f>
        <v>0</v>
      </c>
      <c r="X12" s="629">
        <f t="shared" si="83"/>
        <v>2.4708074519552752</v>
      </c>
      <c r="Y12" s="630">
        <f>IF(M12="","",S12)</f>
        <v>-0.16410049492709269</v>
      </c>
      <c r="Z12" s="632">
        <f t="shared" si="6"/>
        <v>0.96590360933816044</v>
      </c>
      <c r="AA12" s="629">
        <f t="shared" si="7"/>
        <v>3.2802578933048124E-2</v>
      </c>
      <c r="AB12" s="629">
        <f t="shared" si="8"/>
        <v>-0.25681551410079467</v>
      </c>
      <c r="AC12" s="636">
        <f t="shared" si="84"/>
        <v>1</v>
      </c>
      <c r="AD12" s="637">
        <f t="shared" si="115"/>
        <v>0.96590360933816044</v>
      </c>
      <c r="AE12" s="629">
        <f t="shared" si="85"/>
        <v>3.2802578933048124E-2</v>
      </c>
      <c r="AF12" s="633">
        <f t="shared" si="86"/>
        <v>-0.25681551410079467</v>
      </c>
      <c r="AG12" s="602">
        <f t="shared" si="87"/>
        <v>7.2788728573052541</v>
      </c>
      <c r="AH12" s="603">
        <f t="shared" si="88"/>
        <v>15.004917465362983</v>
      </c>
      <c r="AI12" s="585">
        <f t="shared" si="89"/>
        <v>-75.118810437742241</v>
      </c>
      <c r="AJ12" s="586">
        <f t="shared" si="90"/>
        <v>91.94504635688881</v>
      </c>
      <c r="AK12" s="635">
        <f t="shared" ref="AK12:AK105" si="211">IF(M12="","",(COS(RADIANS((90-$Q$8)-W12))*AD12)+(-SIN(RADIANS((90-$Q$8)-W12))*AE12))</f>
        <v>0.96589786949741185</v>
      </c>
      <c r="AL12" s="629">
        <f>IF(M12="","",(SIN(RADIANS((90-$Q$8)-W12))*AD12)+(COS(RADIANS((90-$Q$8)-W12))*AE12))</f>
        <v>3.2971160390638847E-2</v>
      </c>
      <c r="AM12" s="634">
        <f t="shared" si="92"/>
        <v>-0.25681551410079467</v>
      </c>
      <c r="AN12" s="581">
        <f>IF(M12="","",DEGREES(ATAN2(-AM12,AL12)))</f>
        <v>7.3158767298667353</v>
      </c>
      <c r="AO12" s="582">
        <f t="shared" si="94"/>
        <v>15.006187656862561</v>
      </c>
      <c r="AP12" s="585">
        <f t="shared" si="95"/>
        <v>1.9550463554449875</v>
      </c>
      <c r="AQ12" s="586">
        <f t="shared" si="9"/>
        <v>0.92258488143311446</v>
      </c>
      <c r="AS12" s="52">
        <f t="shared" si="116"/>
        <v>0</v>
      </c>
      <c r="AT12" s="72">
        <f>IF(M12="","",Y12+(((AS12-$AS$9)*$AS$6)*-1))</f>
        <v>-0.1640935504836509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2.8295891496788374E-2</v>
      </c>
      <c r="C13" s="708">
        <v>3.2488865810628873</v>
      </c>
      <c r="D13" s="709">
        <v>-9.5900289235272329E-2</v>
      </c>
      <c r="E13" s="710">
        <v>-0.96365513229557709</v>
      </c>
      <c r="F13" s="708">
        <v>9.6711369362793759E-2</v>
      </c>
      <c r="G13" s="711">
        <v>0.24902951037250057</v>
      </c>
      <c r="H13" s="710">
        <v>0.314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170</v>
      </c>
      <c r="M13" s="168">
        <f t="shared" si="1"/>
        <v>1.1160000000000001</v>
      </c>
      <c r="N13" s="632">
        <f t="shared" si="2"/>
        <v>2.8295891496788374E-2</v>
      </c>
      <c r="O13" s="629">
        <f t="shared" si="3"/>
        <v>3.2488865810628873</v>
      </c>
      <c r="P13" s="633">
        <f t="shared" si="4"/>
        <v>-9.5900289235272329E-2</v>
      </c>
      <c r="Q13" s="585">
        <f t="shared" si="113"/>
        <v>89.501000072046679</v>
      </c>
      <c r="R13" s="629">
        <f t="shared" si="79"/>
        <v>3.249009799013554</v>
      </c>
      <c r="S13" s="634">
        <f t="shared" si="80"/>
        <v>-9.5900289235272329E-2</v>
      </c>
      <c r="T13" s="635">
        <f>IF(M13="","",X13*COS(RADIANS(W13)))</f>
        <v>3.248891470143505</v>
      </c>
      <c r="U13" s="629">
        <f t="shared" si="82"/>
        <v>-2.7728853471934271E-2</v>
      </c>
      <c r="V13" s="636">
        <f t="shared" si="114"/>
        <v>-9.5900289235272329E-2</v>
      </c>
      <c r="W13" s="585">
        <f t="shared" si="5"/>
        <v>359.51100007060285</v>
      </c>
      <c r="X13" s="629">
        <f t="shared" si="83"/>
        <v>3.249009799013554</v>
      </c>
      <c r="Y13" s="630">
        <f>IF(M13="","",S13)</f>
        <v>-9.5900289235272329E-2</v>
      </c>
      <c r="Z13" s="632">
        <f t="shared" si="6"/>
        <v>0.96365513229557709</v>
      </c>
      <c r="AA13" s="629">
        <f t="shared" si="7"/>
        <v>-9.6711369362793759E-2</v>
      </c>
      <c r="AB13" s="629">
        <f t="shared" si="8"/>
        <v>-0.24902951037250057</v>
      </c>
      <c r="AC13" s="636">
        <f t="shared" si="84"/>
        <v>1</v>
      </c>
      <c r="AD13" s="637">
        <f>IF(M13="","",Z13*(1/SQRT(Z13^2+AA13^2+AB13^2)))</f>
        <v>0.96365513229557709</v>
      </c>
      <c r="AE13" s="629">
        <f t="shared" si="85"/>
        <v>-9.6711369362793759E-2</v>
      </c>
      <c r="AF13" s="633">
        <f t="shared" si="86"/>
        <v>-0.24902951037250057</v>
      </c>
      <c r="AG13" s="602">
        <f>IF(M13="","",DEGREES(ATAN2(-AF13,AE13)))</f>
        <v>-21.223832415735902</v>
      </c>
      <c r="AH13" s="603">
        <f t="shared" si="88"/>
        <v>15.494707934328435</v>
      </c>
      <c r="AI13" s="585">
        <f t="shared" si="89"/>
        <v>-75.579908949880618</v>
      </c>
      <c r="AJ13" s="586">
        <f t="shared" si="90"/>
        <v>84.269047712084358</v>
      </c>
      <c r="AK13" s="635">
        <f t="shared" si="211"/>
        <v>0.96446085310449536</v>
      </c>
      <c r="AL13" s="629">
        <f t="shared" si="91"/>
        <v>-8.8315150413629737E-2</v>
      </c>
      <c r="AM13" s="634">
        <f t="shared" si="92"/>
        <v>-0.24902951037250057</v>
      </c>
      <c r="AN13" s="581">
        <f t="shared" si="93"/>
        <v>-19.526404307121155</v>
      </c>
      <c r="AO13" s="582">
        <f t="shared" si="94"/>
        <v>15.320953604952649</v>
      </c>
      <c r="AP13" s="585">
        <f t="shared" si="95"/>
        <v>-5.2319523599623272</v>
      </c>
      <c r="AQ13" s="586">
        <f t="shared" si="9"/>
        <v>0.70163305624101469</v>
      </c>
      <c r="AS13" s="52">
        <f t="shared" si="116"/>
        <v>-0.48899992939715275</v>
      </c>
      <c r="AT13" s="72">
        <f t="shared" si="10"/>
        <v>-9.5553761507526952E-2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9.6699021326089707E-2</v>
      </c>
      <c r="C14" s="708">
        <v>3.9995432658609293</v>
      </c>
      <c r="D14" s="709">
        <v>-0.3087009310420078</v>
      </c>
      <c r="E14" s="710">
        <v>-0.95661035549279361</v>
      </c>
      <c r="F14" s="708">
        <v>0.22118464794412498</v>
      </c>
      <c r="G14" s="711">
        <v>0.18966807659114562</v>
      </c>
      <c r="H14" s="710">
        <v>0.314</v>
      </c>
      <c r="I14" s="708">
        <v>0.52</v>
      </c>
      <c r="J14" s="570">
        <v>1.121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1.121</v>
      </c>
      <c r="N14" s="632">
        <f t="shared" si="2"/>
        <v>9.6699021326089707E-2</v>
      </c>
      <c r="O14" s="629">
        <f t="shared" si="3"/>
        <v>3.9995432658609293</v>
      </c>
      <c r="P14" s="633">
        <f t="shared" si="4"/>
        <v>-0.3087009310420078</v>
      </c>
      <c r="Q14" s="585">
        <f t="shared" si="113"/>
        <v>88.615000199969231</v>
      </c>
      <c r="R14" s="629">
        <f t="shared" si="79"/>
        <v>4.0007120661475915</v>
      </c>
      <c r="S14" s="634">
        <f t="shared" si="80"/>
        <v>-0.3087009310420078</v>
      </c>
      <c r="T14" s="635">
        <f t="shared" si="81"/>
        <v>3.9995600821049528</v>
      </c>
      <c r="U14" s="629">
        <f t="shared" si="82"/>
        <v>-9.6000967971959242E-2</v>
      </c>
      <c r="V14" s="636">
        <f t="shared" si="114"/>
        <v>-0.3087009310420078</v>
      </c>
      <c r="W14" s="585">
        <f t="shared" si="5"/>
        <v>358.62500019852541</v>
      </c>
      <c r="X14" s="629">
        <f t="shared" si="83"/>
        <v>4.0007120661475915</v>
      </c>
      <c r="Y14" s="630">
        <f t="shared" ref="Y14:Y75" si="223">IF(M14="","",S14)</f>
        <v>-0.3087009310420078</v>
      </c>
      <c r="Z14" s="632">
        <f t="shared" si="6"/>
        <v>0.95661035549279361</v>
      </c>
      <c r="AA14" s="629">
        <f t="shared" si="7"/>
        <v>-0.22118464794412498</v>
      </c>
      <c r="AB14" s="629">
        <f t="shared" si="8"/>
        <v>-0.18966807659114562</v>
      </c>
      <c r="AC14" s="636">
        <f t="shared" si="84"/>
        <v>1</v>
      </c>
      <c r="AD14" s="637">
        <f>IF(M14="","",Z14*(1/SQRT(Z14^2+AA14^2+AB14^2)))</f>
        <v>0.95661035549279361</v>
      </c>
      <c r="AE14" s="629">
        <f t="shared" si="85"/>
        <v>-0.22118464794412498</v>
      </c>
      <c r="AF14" s="633">
        <f t="shared" si="86"/>
        <v>-0.18966807659114562</v>
      </c>
      <c r="AG14" s="602">
        <f t="shared" si="87"/>
        <v>-49.386576722680324</v>
      </c>
      <c r="AH14" s="603">
        <f t="shared" si="88"/>
        <v>16.940009241177655</v>
      </c>
      <c r="AI14" s="585">
        <f t="shared" si="89"/>
        <v>-79.066585832561529</v>
      </c>
      <c r="AJ14" s="586">
        <f t="shared" si="90"/>
        <v>76.981023431123205</v>
      </c>
      <c r="AK14" s="635">
        <f>IF(M14="","",(COS(RADIANS((90-$Q$8)-W14))*AD14)+(-SIN(RADIANS((90-$Q$8)-W14))*AE14))</f>
        <v>0.96167701667602323</v>
      </c>
      <c r="AL14" s="629">
        <f t="shared" si="91"/>
        <v>-0.19799832403159218</v>
      </c>
      <c r="AM14" s="634">
        <f t="shared" si="92"/>
        <v>-0.18966807659114562</v>
      </c>
      <c r="AN14" s="581">
        <f t="shared" si="93"/>
        <v>-46.230992881742502</v>
      </c>
      <c r="AO14" s="582">
        <f t="shared" si="94"/>
        <v>15.9134406652579</v>
      </c>
      <c r="AP14" s="585">
        <f>IF(M14="","",DEGREES(ATAN2(AK14,AL14)))</f>
        <v>-11.633976768846056</v>
      </c>
      <c r="AQ14" s="586">
        <f t="shared" si="9"/>
        <v>0.5698114323612179</v>
      </c>
      <c r="AS14" s="52">
        <f t="shared" si="116"/>
        <v>-1.374999801474587</v>
      </c>
      <c r="AT14" s="72">
        <f t="shared" si="10"/>
        <v>-0.30773912562531974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0.18408752710494244</v>
      </c>
      <c r="C15" s="708">
        <v>4.6175458892424084</v>
      </c>
      <c r="D15" s="709">
        <v>-0.7557022791980742</v>
      </c>
      <c r="E15" s="710">
        <v>-0.94798803929412845</v>
      </c>
      <c r="F15" s="708">
        <v>0.28585937546797002</v>
      </c>
      <c r="G15" s="711">
        <v>0.14001105246492634</v>
      </c>
      <c r="H15" s="710">
        <v>0.314</v>
      </c>
      <c r="I15" s="708">
        <v>0.52</v>
      </c>
      <c r="J15" s="570">
        <v>1.1259999999999999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>
        <f>IF($L14=$JH$22,$JH$29,IF($L14=$JI$22,$JI$29,""))</f>
        <v>130</v>
      </c>
      <c r="M15" s="168">
        <f t="shared" si="1"/>
        <v>1.1259999999999999</v>
      </c>
      <c r="N15" s="632">
        <f t="shared" si="2"/>
        <v>0.18408752710494244</v>
      </c>
      <c r="O15" s="629">
        <f t="shared" si="3"/>
        <v>4.6175458892424084</v>
      </c>
      <c r="P15" s="633">
        <f t="shared" si="4"/>
        <v>-0.7557022791980742</v>
      </c>
      <c r="Q15" s="585">
        <f t="shared" si="113"/>
        <v>87.717000329624369</v>
      </c>
      <c r="R15" s="629">
        <f t="shared" si="79"/>
        <v>4.6212139375812367</v>
      </c>
      <c r="S15" s="634">
        <f t="shared" si="80"/>
        <v>-0.7557022791980742</v>
      </c>
      <c r="T15" s="635">
        <f t="shared" si="81"/>
        <v>4.61757794824298</v>
      </c>
      <c r="U15" s="629">
        <f t="shared" si="82"/>
        <v>-0.18328161063028944</v>
      </c>
      <c r="V15" s="636">
        <f t="shared" si="114"/>
        <v>-0.7557022791980742</v>
      </c>
      <c r="W15" s="585">
        <f t="shared" ref="W15:W78" si="224">IF(M15="","",IF(Q15-$Q$8&lt;0,360+Q15-$Q$8,Q15-$Q$8))</f>
        <v>357.72700032818057</v>
      </c>
      <c r="X15" s="629">
        <f>IF(M15="","",R15)</f>
        <v>4.6212139375812367</v>
      </c>
      <c r="Y15" s="630">
        <f>IF(M15="","",S15)</f>
        <v>-0.7557022791980742</v>
      </c>
      <c r="Z15" s="632">
        <f t="shared" si="6"/>
        <v>0.94798803929412845</v>
      </c>
      <c r="AA15" s="629">
        <f t="shared" si="7"/>
        <v>-0.28585937546797002</v>
      </c>
      <c r="AB15" s="629">
        <f t="shared" si="8"/>
        <v>-0.14001105246492634</v>
      </c>
      <c r="AC15" s="636">
        <f t="shared" si="84"/>
        <v>1</v>
      </c>
      <c r="AD15" s="637">
        <f t="shared" si="115"/>
        <v>0.94798803929412845</v>
      </c>
      <c r="AE15" s="629">
        <f t="shared" si="85"/>
        <v>-0.28585937546797002</v>
      </c>
      <c r="AF15" s="633">
        <f t="shared" si="86"/>
        <v>-0.14001105246492634</v>
      </c>
      <c r="AG15" s="602">
        <f t="shared" si="87"/>
        <v>-63.904851116549928</v>
      </c>
      <c r="AH15" s="603">
        <f t="shared" si="88"/>
        <v>18.560506773611447</v>
      </c>
      <c r="AI15" s="585">
        <f t="shared" si="89"/>
        <v>-81.951514193902824</v>
      </c>
      <c r="AJ15" s="586">
        <f t="shared" si="90"/>
        <v>73.219670469931756</v>
      </c>
      <c r="AK15" s="635">
        <f t="shared" si="211"/>
        <v>0.9586228811864782</v>
      </c>
      <c r="AL15" s="629">
        <f t="shared" si="91"/>
        <v>-0.24786907199850353</v>
      </c>
      <c r="AM15" s="634">
        <f t="shared" si="92"/>
        <v>-0.14001105246492634</v>
      </c>
      <c r="AN15" s="581">
        <f>IF(M15="","",DEGREES(ATAN2(-AM15,AL15)))</f>
        <v>-60.539680069931222</v>
      </c>
      <c r="AO15" s="582">
        <f t="shared" si="94"/>
        <v>16.539665888901411</v>
      </c>
      <c r="AP15" s="585">
        <f t="shared" si="95"/>
        <v>-14.497329859692664</v>
      </c>
      <c r="AQ15" s="586">
        <f t="shared" si="9"/>
        <v>0.49330551049390803</v>
      </c>
      <c r="AS15" s="52">
        <f t="shared" si="116"/>
        <v>-2.2729996718194343</v>
      </c>
      <c r="AT15" s="72">
        <f t="shared" si="10"/>
        <v>-0.75411686276031331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1.1259999999999999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55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0.27002818242313364</v>
      </c>
      <c r="C16" s="708">
        <v>5.0895571870993557</v>
      </c>
      <c r="D16" s="709">
        <v>-1.350904074326688</v>
      </c>
      <c r="E16" s="710">
        <v>-0.93985598630509226</v>
      </c>
      <c r="F16" s="708">
        <v>0.32729896885868681</v>
      </c>
      <c r="G16" s="711">
        <v>9.7704196381336234E-2</v>
      </c>
      <c r="H16" s="710">
        <v>0.314</v>
      </c>
      <c r="I16" s="708">
        <v>0.52</v>
      </c>
      <c r="J16" s="570">
        <v>1.131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1.131</v>
      </c>
      <c r="N16" s="632">
        <f t="shared" si="2"/>
        <v>0.27002818242313364</v>
      </c>
      <c r="O16" s="629">
        <f t="shared" si="3"/>
        <v>5.0895571870993557</v>
      </c>
      <c r="P16" s="633">
        <f t="shared" si="4"/>
        <v>-1.350904074326688</v>
      </c>
      <c r="Q16" s="585">
        <f>IF(M16="","",IF(DEGREES(ATAN2(N16,O16))&lt;0,DEGREES(ATAN2(N16,O16))+360,IF(DEGREES(ATAN2(N16,O16))&gt;360,DEGREES(ATAN2(N16,O16))-360,DEGREES(ATAN2(N16,O16)))))</f>
        <v>86.963000438488478</v>
      </c>
      <c r="R16" s="629">
        <f t="shared" si="79"/>
        <v>5.0967153716935618</v>
      </c>
      <c r="S16" s="634">
        <f t="shared" si="80"/>
        <v>-1.350904074326688</v>
      </c>
      <c r="T16" s="635">
        <f t="shared" si="81"/>
        <v>5.0896042383825097</v>
      </c>
      <c r="U16" s="629">
        <f t="shared" si="82"/>
        <v>-0.26913988313929882</v>
      </c>
      <c r="V16" s="636">
        <f t="shared" si="114"/>
        <v>-1.350904074326688</v>
      </c>
      <c r="W16" s="585">
        <f>IF(M16="","",IF(Q16-$Q$8&lt;0,360+Q16-$Q$8,Q16-$Q$8))</f>
        <v>356.97300043704467</v>
      </c>
      <c r="X16" s="629">
        <f t="shared" si="83"/>
        <v>5.0967153716935618</v>
      </c>
      <c r="Y16" s="630">
        <f t="shared" si="223"/>
        <v>-1.350904074326688</v>
      </c>
      <c r="Z16" s="632">
        <f t="shared" si="6"/>
        <v>0.93985598630509226</v>
      </c>
      <c r="AA16" s="629">
        <f t="shared" si="7"/>
        <v>-0.32729896885868681</v>
      </c>
      <c r="AB16" s="629">
        <f t="shared" si="8"/>
        <v>-9.7704196381336234E-2</v>
      </c>
      <c r="AC16" s="636">
        <f t="shared" si="84"/>
        <v>1</v>
      </c>
      <c r="AD16" s="637">
        <f t="shared" si="115"/>
        <v>0.93985598630509226</v>
      </c>
      <c r="AE16" s="629">
        <f t="shared" si="85"/>
        <v>-0.32729896885868681</v>
      </c>
      <c r="AF16" s="633">
        <f t="shared" si="86"/>
        <v>-9.7704196381336234E-2</v>
      </c>
      <c r="AG16" s="602">
        <f t="shared" si="87"/>
        <v>-73.378759013406452</v>
      </c>
      <c r="AH16" s="603">
        <f t="shared" si="88"/>
        <v>19.972614756226463</v>
      </c>
      <c r="AI16" s="585">
        <f t="shared" si="89"/>
        <v>-84.393016846135637</v>
      </c>
      <c r="AJ16" s="586">
        <f t="shared" si="90"/>
        <v>70.799647343987772</v>
      </c>
      <c r="AK16" s="635">
        <f t="shared" si="211"/>
        <v>0.9558765558431559</v>
      </c>
      <c r="AL16" s="629">
        <f t="shared" si="91"/>
        <v>-0.27704494220054515</v>
      </c>
      <c r="AM16" s="634">
        <f t="shared" si="92"/>
        <v>-9.7704196381336234E-2</v>
      </c>
      <c r="AN16" s="581">
        <f t="shared" si="93"/>
        <v>-70.574011264013293</v>
      </c>
      <c r="AO16" s="582">
        <f t="shared" si="94"/>
        <v>17.0837139288817</v>
      </c>
      <c r="AP16" s="585">
        <f t="shared" si="95"/>
        <v>-16.163353094500724</v>
      </c>
      <c r="AQ16" s="586">
        <f t="shared" si="9"/>
        <v>0.44728421239829463</v>
      </c>
      <c r="AS16" s="52">
        <f t="shared" si="116"/>
        <v>-3.026999562955325</v>
      </c>
      <c r="AT16" s="72">
        <f t="shared" si="10"/>
        <v>-1.3487950468534162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0.34353926973795412</v>
      </c>
      <c r="C17" s="708">
        <v>5.4346692531091252</v>
      </c>
      <c r="D17" s="709">
        <v>-2.0290061194824562</v>
      </c>
      <c r="E17" s="710">
        <v>-0.92772150767768935</v>
      </c>
      <c r="F17" s="708">
        <v>0.36727038013309532</v>
      </c>
      <c r="G17" s="711">
        <v>6.667287356284067E-2</v>
      </c>
      <c r="H17" s="710">
        <v>0.314</v>
      </c>
      <c r="I17" s="708">
        <v>0.52</v>
      </c>
      <c r="J17" s="570">
        <v>1.1359999999999999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1.1359999999999999</v>
      </c>
      <c r="N17" s="632">
        <f t="shared" si="2"/>
        <v>0.34353926973795412</v>
      </c>
      <c r="O17" s="629">
        <f t="shared" si="3"/>
        <v>5.4346692531091252</v>
      </c>
      <c r="P17" s="633">
        <f t="shared" si="4"/>
        <v>-2.0290061194824562</v>
      </c>
      <c r="Q17" s="585">
        <f>IF(M17="","",IF(DEGREES(ATAN2(N17,O17))&lt;0,DEGREES(ATAN2(N17,O17))+360,IF(DEGREES(ATAN2(N17,O17))&gt;360,DEGREES(ATAN2(N17,O17))-360,DEGREES(ATAN2(N17,O17)))))</f>
        <v>86.383000522230105</v>
      </c>
      <c r="R17" s="629">
        <f>IF(M17="","",SQRT(N17^2+O17^2))</f>
        <v>5.4455164236775362</v>
      </c>
      <c r="S17" s="634">
        <f>IF(M17="","",P17)</f>
        <v>-2.0290061194824562</v>
      </c>
      <c r="T17" s="635">
        <f>IF(M17="","",X17*COS(RADIANS(W17)))</f>
        <v>5.4347291292391091</v>
      </c>
      <c r="U17" s="629">
        <f>IF(M17="","",X17*SIN(RADIANS(W17)))</f>
        <v>-0.34259073592508882</v>
      </c>
      <c r="V17" s="636">
        <f>IF(M17="","",Y17)</f>
        <v>-2.0290061194824562</v>
      </c>
      <c r="W17" s="585">
        <f t="shared" si="224"/>
        <v>356.39300052078625</v>
      </c>
      <c r="X17" s="629">
        <f>IF(M17="","",R17)</f>
        <v>5.4455164236775362</v>
      </c>
      <c r="Y17" s="630">
        <f t="shared" si="223"/>
        <v>-2.0290061194824562</v>
      </c>
      <c r="Z17" s="632">
        <f t="shared" si="6"/>
        <v>0.92772150767768935</v>
      </c>
      <c r="AA17" s="629">
        <f t="shared" si="7"/>
        <v>-0.36727038013309532</v>
      </c>
      <c r="AB17" s="629">
        <f t="shared" si="8"/>
        <v>-6.667287356284067E-2</v>
      </c>
      <c r="AC17" s="636">
        <f>IF(M17="","",SQRT(Z17^2+AA17^2+AB17^2))</f>
        <v>1</v>
      </c>
      <c r="AD17" s="637">
        <f>IF(M17="","",Z17*(1/SQRT(Z17^2+AA17^2+AB17^2)))</f>
        <v>0.92772150767768935</v>
      </c>
      <c r="AE17" s="629">
        <f>IF(M17="","",AA17*(1/SQRT(Z17^2+AA17^2+AB17^2)))</f>
        <v>-0.36727038013309532</v>
      </c>
      <c r="AF17" s="633">
        <f>IF(M17="","",AB17*(1/SQRT(Z17^2+AA17^2+AB17^2)))</f>
        <v>-6.667287356284067E-2</v>
      </c>
      <c r="AG17" s="602">
        <f>IF(M17="","",DEGREES(ATAN2(-AF17,AE17)))</f>
        <v>-79.710793009711026</v>
      </c>
      <c r="AH17" s="603">
        <f>IF(M17="","",DEGREES(ACOS(AD17)))</f>
        <v>21.917619774340537</v>
      </c>
      <c r="AI17" s="585">
        <f>IF(M17="","",DEGREES(-ACOS(-AF17)))</f>
        <v>-86.177089848766286</v>
      </c>
      <c r="AJ17" s="586">
        <f>IF(M17="","",DEGREES(ATAN2(-AE17,AD17)))</f>
        <v>68.402164960918938</v>
      </c>
      <c r="AK17" s="635">
        <f>IF(M17="","",(COS(RADIANS((90-$Q$8)-W17))*AD17)+(-SIN(RADIANS((90-$Q$8)-W17))*AE17))</f>
        <v>0.94904338713226088</v>
      </c>
      <c r="AL17" s="629">
        <f>IF(M17="","",(SIN(RADIANS((90-$Q$8)-W17))*AD17)+(COS(RADIANS((90-$Q$8)-W17))*AE17))</f>
        <v>-0.3080119758571071</v>
      </c>
      <c r="AM17" s="634">
        <f>IF(M17="","",AF17)</f>
        <v>-6.667287356284067E-2</v>
      </c>
      <c r="AN17" s="581">
        <f>IF(M17="","",DEGREES(ATAN2(-AM17,AL17)))</f>
        <v>-77.786081144854094</v>
      </c>
      <c r="AO17" s="582">
        <f t="shared" si="94"/>
        <v>18.369594189091927</v>
      </c>
      <c r="AP17" s="585">
        <f>IF(M17="","",DEGREES(ATAN2(AK17,AL17)))</f>
        <v>-17.980835561311153</v>
      </c>
      <c r="AQ17" s="586">
        <f t="shared" si="9"/>
        <v>0.41863542151232813</v>
      </c>
      <c r="AS17" s="52">
        <f t="shared" si="116"/>
        <v>-3.606999479213755</v>
      </c>
      <c r="AT17" s="72">
        <f t="shared" si="10"/>
        <v>-2.0264943142895606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1.1359999999999999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0.39921805487700163</v>
      </c>
      <c r="C18" s="708">
        <v>5.670681966442193</v>
      </c>
      <c r="D18" s="709">
        <v>-2.753508304581048</v>
      </c>
      <c r="E18" s="710">
        <v>-0.91077694680279009</v>
      </c>
      <c r="F18" s="708">
        <v>0.41057639958786424</v>
      </c>
      <c r="G18" s="711">
        <v>4.3730690299310815E-2</v>
      </c>
      <c r="H18" s="710">
        <v>0.314</v>
      </c>
      <c r="I18" s="708">
        <v>0.52</v>
      </c>
      <c r="J18" s="570">
        <v>1.141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1.141</v>
      </c>
      <c r="N18" s="632">
        <f t="shared" si="2"/>
        <v>0.39921805487700163</v>
      </c>
      <c r="O18" s="629">
        <f t="shared" si="3"/>
        <v>5.670681966442193</v>
      </c>
      <c r="P18" s="633">
        <f t="shared" si="4"/>
        <v>-2.753508304581048</v>
      </c>
      <c r="Q18" s="585">
        <f t="shared" si="113"/>
        <v>85.973000581426788</v>
      </c>
      <c r="R18" s="629">
        <f>IF(M18="","",SQRT(N18^2+O18^2))</f>
        <v>5.6847171451069114</v>
      </c>
      <c r="S18" s="634">
        <f>IF(M18="","",P18)</f>
        <v>-2.753508304581048</v>
      </c>
      <c r="T18" s="635">
        <f>IF(M18="","",X18*COS(RADIANS(W18)))</f>
        <v>5.6707515567572884</v>
      </c>
      <c r="U18" s="629">
        <f>IF(M18="","",X18*SIN(RADIANS(W18)))</f>
        <v>-0.39822832823301063</v>
      </c>
      <c r="V18" s="636">
        <f>IF(M18="","",Y18)</f>
        <v>-2.753508304581048</v>
      </c>
      <c r="W18" s="585">
        <f t="shared" si="224"/>
        <v>355.98300057998296</v>
      </c>
      <c r="X18" s="629">
        <f>IF(M18="","",R18)</f>
        <v>5.6847171451069114</v>
      </c>
      <c r="Y18" s="630">
        <f t="shared" si="223"/>
        <v>-2.753508304581048</v>
      </c>
      <c r="Z18" s="632">
        <f t="shared" si="6"/>
        <v>0.91077694680279009</v>
      </c>
      <c r="AA18" s="629">
        <f t="shared" si="7"/>
        <v>-0.41057639958786424</v>
      </c>
      <c r="AB18" s="629">
        <f t="shared" si="8"/>
        <v>-4.3730690299310815E-2</v>
      </c>
      <c r="AC18" s="636">
        <f>IF(M18="","",SQRT(Z18^2+AA18^2+AB18^2))</f>
        <v>1</v>
      </c>
      <c r="AD18" s="637">
        <f>IF(M18="","",Z18*(1/SQRT(Z18^2+AA18^2+AB18^2)))</f>
        <v>0.91077694680279009</v>
      </c>
      <c r="AE18" s="629">
        <f>IF(M18="","",AA18*(1/SQRT(Z18^2+AA18^2+AB18^2)))</f>
        <v>-0.41057639958786424</v>
      </c>
      <c r="AF18" s="633">
        <f>IF(M18="","",AB18*(1/SQRT(Z18^2+AA18^2+AB18^2)))</f>
        <v>-4.3730690299310815E-2</v>
      </c>
      <c r="AG18" s="602">
        <f>IF(M18="","",DEGREES(ATAN2(-AF18,AE18)))</f>
        <v>-83.920320031320784</v>
      </c>
      <c r="AH18" s="603">
        <f>IF(M18="","",DEGREES(ACOS(AD18)))</f>
        <v>24.387058417705838</v>
      </c>
      <c r="AI18" s="585">
        <f>IF(M18="","",DEGREES(-ACOS(-AF18)))</f>
        <v>-87.493616720645008</v>
      </c>
      <c r="AJ18" s="586">
        <f>IF(M18="","",DEGREES(ATAN2(-AE18,AD18)))</f>
        <v>65.734244943239219</v>
      </c>
      <c r="AK18" s="635">
        <f>IF(M18="","",(COS(RADIANS((90-$Q$8)-W18))*AD18)+(-SIN(RADIANS((90-$Q$8)-W18))*AE18))</f>
        <v>0.93736166343726091</v>
      </c>
      <c r="AL18" s="629">
        <f>IF(M18="","",(SIN(RADIANS((90-$Q$8)-W18))*AD18)+(COS(RADIANS((90-$Q$8)-W18))*AE18))</f>
        <v>-0.34560199456032836</v>
      </c>
      <c r="AM18" s="634">
        <f>IF(M18="","",AF18)</f>
        <v>-4.3730690299310815E-2</v>
      </c>
      <c r="AN18" s="581">
        <f>IF(M18="","",DEGREES(ATAN2(-AM18,AL18)))</f>
        <v>-82.788413591668302</v>
      </c>
      <c r="AO18" s="582">
        <f t="shared" si="94"/>
        <v>20.386899739689358</v>
      </c>
      <c r="AP18" s="585">
        <f>IF(M18="","",DEGREES(ATAN2(AK18,AL18)))</f>
        <v>-20.238755638187584</v>
      </c>
      <c r="AQ18" s="586">
        <f t="shared" si="9"/>
        <v>0.40102072756450452</v>
      </c>
      <c r="AS18" s="52">
        <f t="shared" si="116"/>
        <v>-4.0169994200170436</v>
      </c>
      <c r="AT18" s="72">
        <f t="shared" si="10"/>
        <v>-2.7507117772070386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0.43422821464359301</v>
      </c>
      <c r="C19" s="708">
        <v>5.8103143532417088</v>
      </c>
      <c r="D19" s="709">
        <v>-3.5032105656830663</v>
      </c>
      <c r="E19" s="710">
        <v>-0.89435240980002184</v>
      </c>
      <c r="F19" s="708">
        <v>0.44704887145056121</v>
      </c>
      <c r="G19" s="711">
        <v>1.6765250361194223E-2</v>
      </c>
      <c r="H19" s="710">
        <v>0.314</v>
      </c>
      <c r="I19" s="708">
        <v>0.52</v>
      </c>
      <c r="J19" s="570">
        <v>1.1459999999999999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1.1459999999999999</v>
      </c>
      <c r="N19" s="632">
        <f t="shared" si="2"/>
        <v>0.43422821464359301</v>
      </c>
      <c r="O19" s="629">
        <f t="shared" si="3"/>
        <v>5.8103143532417088</v>
      </c>
      <c r="P19" s="633">
        <f t="shared" si="4"/>
        <v>-3.5032105656830663</v>
      </c>
      <c r="Q19" s="585">
        <f t="shared" si="113"/>
        <v>85.72600061708917</v>
      </c>
      <c r="R19" s="629">
        <f>IF(M19="","",SQRT(N19^2+O19^2))</f>
        <v>5.826517572777</v>
      </c>
      <c r="S19" s="634">
        <f>IF(M19="","",P19)</f>
        <v>-3.5032105656830663</v>
      </c>
      <c r="T19" s="635">
        <f>IF(M19="","",X19*COS(RADIANS(W19)))</f>
        <v>5.8103900518547658</v>
      </c>
      <c r="U19" s="629">
        <f>IF(M19="","",X19*SIN(RADIANS(W19)))</f>
        <v>-0.43321411702108348</v>
      </c>
      <c r="V19" s="636">
        <f>IF(M19="","",Y19)</f>
        <v>-3.5032105656830663</v>
      </c>
      <c r="W19" s="585">
        <f t="shared" si="224"/>
        <v>355.73600061564537</v>
      </c>
      <c r="X19" s="629">
        <f>IF(M19="","",R19)</f>
        <v>5.826517572777</v>
      </c>
      <c r="Y19" s="630">
        <f t="shared" si="223"/>
        <v>-3.5032105656830663</v>
      </c>
      <c r="Z19" s="632">
        <f t="shared" si="6"/>
        <v>0.89435240980002184</v>
      </c>
      <c r="AA19" s="629">
        <f t="shared" si="7"/>
        <v>-0.44704887145056121</v>
      </c>
      <c r="AB19" s="629">
        <f t="shared" si="8"/>
        <v>-1.6765250361194223E-2</v>
      </c>
      <c r="AC19" s="636">
        <f>IF(M19="","",SQRT(Z19^2+AA19^2+AB19^2))</f>
        <v>1</v>
      </c>
      <c r="AD19" s="637">
        <f>IF(M19="","",Z19*(1/SQRT(Z19^2+AA19^2+AB19^2)))</f>
        <v>0.89435240980002184</v>
      </c>
      <c r="AE19" s="629">
        <f>IF(M19="","",AA19*(1/SQRT(Z19^2+AA19^2+AB19^2)))</f>
        <v>-0.44704887145056121</v>
      </c>
      <c r="AF19" s="633">
        <f>IF(M19="","",AB19*(1/SQRT(Z19^2+AA19^2+AB19^2)))</f>
        <v>-1.6765250361194223E-2</v>
      </c>
      <c r="AG19" s="602">
        <f>IF(M19="","",DEGREES(ATAN2(-AF19,AE19)))</f>
        <v>-87.852297122676376</v>
      </c>
      <c r="AH19" s="603">
        <f>IF(M19="","",DEGREES(ACOS(AD19)))</f>
        <v>26.574630337869433</v>
      </c>
      <c r="AI19" s="585">
        <f>IF(M19="","",DEGREES(-ACOS(-AF19)))</f>
        <v>-89.039376907270807</v>
      </c>
      <c r="AJ19" s="586">
        <f>IF(M19="","",DEGREES(ATAN2(-AE19,AD19)))</f>
        <v>63.441475185143361</v>
      </c>
      <c r="AK19" s="635">
        <f>IF(M19="","",(COS(RADIANS((90-$Q$8)-W19))*AD19)+(-SIN(RADIANS((90-$Q$8)-W19))*AE19))</f>
        <v>0.92518211942104489</v>
      </c>
      <c r="AL19" s="629">
        <f>IF(M19="","",(SIN(RADIANS((90-$Q$8)-W19))*AD19)+(COS(RADIANS((90-$Q$8)-W19))*AE19))</f>
        <v>-0.37915296686681749</v>
      </c>
      <c r="AM19" s="634">
        <f>IF(M19="","",AF19)</f>
        <v>-1.6765250361194223E-2</v>
      </c>
      <c r="AN19" s="581">
        <f>IF(M19="","",DEGREES(ATAN2(-AM19,AL19)))</f>
        <v>-87.468164923580446</v>
      </c>
      <c r="AO19" s="582">
        <f t="shared" si="94"/>
        <v>22.304166921447159</v>
      </c>
      <c r="AP19" s="585">
        <f>IF(M19="","",DEGREES(ATAN2(AK19,AL19)))</f>
        <v>-22.284525431945834</v>
      </c>
      <c r="AQ19" s="586">
        <f t="shared" si="9"/>
        <v>0.39126136099655451</v>
      </c>
      <c r="AS19" s="52">
        <f t="shared" si="116"/>
        <v>-4.2639993843546335</v>
      </c>
      <c r="AT19" s="72">
        <f t="shared" si="10"/>
        <v>-3.5002425105560451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1.1459999999999999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0.46457871593623529</v>
      </c>
      <c r="C20" s="708">
        <v>5.9268376733963546</v>
      </c>
      <c r="D20" s="709">
        <v>-4.254312831007498</v>
      </c>
      <c r="E20" s="710">
        <v>-0.71347068963389515</v>
      </c>
      <c r="F20" s="708">
        <v>0.70068507550349191</v>
      </c>
      <c r="G20" s="711">
        <v>0</v>
      </c>
      <c r="H20" s="710">
        <v>0.26600000000000001</v>
      </c>
      <c r="I20" s="708">
        <v>0.52</v>
      </c>
      <c r="J20" s="570">
        <v>1.151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320</v>
      </c>
      <c r="M20" s="168">
        <f t="shared" si="1"/>
        <v>1.151</v>
      </c>
      <c r="N20" s="632">
        <f t="shared" si="2"/>
        <v>0.46457871593623529</v>
      </c>
      <c r="O20" s="629">
        <f t="shared" si="3"/>
        <v>5.9268376733963546</v>
      </c>
      <c r="P20" s="633">
        <f t="shared" si="4"/>
        <v>-4.254312831007498</v>
      </c>
      <c r="Q20" s="585">
        <f t="shared" si="113"/>
        <v>85.518000647120644</v>
      </c>
      <c r="R20" s="629">
        <f>IF(M20="","",SQRT(N20^2+O20^2))</f>
        <v>5.9450179301740782</v>
      </c>
      <c r="S20" s="634">
        <f>IF(M20="","",P20)</f>
        <v>-4.254312831007498</v>
      </c>
      <c r="T20" s="635">
        <f>IF(M20="","",X20*COS(RADIANS(W20)))</f>
        <v>5.9269186673956407</v>
      </c>
      <c r="U20" s="629">
        <f>IF(M20="","",X20*SIN(RADIANS(W20)))</f>
        <v>-0.46354428069858433</v>
      </c>
      <c r="V20" s="636">
        <f>IF(M20="","",Y20)</f>
        <v>-4.254312831007498</v>
      </c>
      <c r="W20" s="585">
        <f t="shared" si="224"/>
        <v>355.5280006456768</v>
      </c>
      <c r="X20" s="629">
        <f>IF(M20="","",R20)</f>
        <v>5.9450179301740782</v>
      </c>
      <c r="Y20" s="630">
        <f t="shared" si="223"/>
        <v>-4.254312831007498</v>
      </c>
      <c r="Z20" s="632">
        <f t="shared" si="6"/>
        <v>0.71347068963389515</v>
      </c>
      <c r="AA20" s="629">
        <f t="shared" si="7"/>
        <v>-0.70068507550349191</v>
      </c>
      <c r="AB20" s="629">
        <f t="shared" si="8"/>
        <v>0</v>
      </c>
      <c r="AC20" s="636">
        <f>IF(M20="","",SQRT(Z20^2+AA20^2+AB20^2))</f>
        <v>1</v>
      </c>
      <c r="AD20" s="637">
        <f>IF(M20="","",Z20*(1/SQRT(Z20^2+AA20^2+AB20^2)))</f>
        <v>0.71347068963389515</v>
      </c>
      <c r="AE20" s="629">
        <f>IF(M20="","",AA20*(1/SQRT(Z20^2+AA20^2+AB20^2)))</f>
        <v>-0.70068507550349191</v>
      </c>
      <c r="AF20" s="633">
        <f>IF(M20="","",AB20*(1/SQRT(Z20^2+AA20^2+AB20^2)))</f>
        <v>0</v>
      </c>
      <c r="AG20" s="602">
        <f>IF(M20="","",DEGREES(ATAN2(-AF20,AE20)))</f>
        <v>-90</v>
      </c>
      <c r="AH20" s="603">
        <f>IF(M20="","",DEGREES(ACOS(AD20)))</f>
        <v>44.481993577594729</v>
      </c>
      <c r="AI20" s="585">
        <f>IF(M20="","",DEGREES(-ACOS(-AF20)))</f>
        <v>-90</v>
      </c>
      <c r="AJ20" s="586">
        <f>IF(M20="","",DEGREES(ATAN2(-AE20,AD20)))</f>
        <v>45.518006422405264</v>
      </c>
      <c r="AK20" s="635">
        <f>IF(M20="","",(COS(RADIANS((90-$Q$8)-W20))*AD20)+(-SIN(RADIANS((90-$Q$8)-W20))*AE20))</f>
        <v>0.76604450791050738</v>
      </c>
      <c r="AL20" s="629">
        <f>IF(M20="","",(SIN(RADIANS((90-$Q$8)-W20))*AD20)+(COS(RADIANS((90-$Q$8)-W20))*AE20))</f>
        <v>-0.64278753247099352</v>
      </c>
      <c r="AM20" s="634">
        <f>IF(M20="","",AF20)</f>
        <v>0</v>
      </c>
      <c r="AN20" s="581">
        <f>IF(M20="","",DEGREES(ATAN2(-AM20,AL20)))</f>
        <v>-90</v>
      </c>
      <c r="AO20" s="582">
        <f t="shared" si="94"/>
        <v>39.999994224715365</v>
      </c>
      <c r="AP20" s="585">
        <f>IF(M20="","",DEGREES(ATAN2(AK20,AL20)))</f>
        <v>-39.999994224715365</v>
      </c>
      <c r="AQ20" s="586">
        <f t="shared" si="9"/>
        <v>0.38346269443547887</v>
      </c>
      <c r="AS20" s="52">
        <f t="shared" si="116"/>
        <v>-4.4719993543232022</v>
      </c>
      <c r="AT20" s="72">
        <f t="shared" si="10"/>
        <v>-4.2512003314568876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1.151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0.99255133189203659</v>
      </c>
      <c r="C21" s="708">
        <v>2.2559584737342147</v>
      </c>
      <c r="D21" s="709">
        <v>-0.16660872354574033</v>
      </c>
      <c r="E21" s="710">
        <v>-6.2998654794308787E-2</v>
      </c>
      <c r="F21" s="708">
        <v>-0.1431883526626159</v>
      </c>
      <c r="G21" s="711">
        <v>0.98768834414296591</v>
      </c>
      <c r="H21" s="710">
        <v>0.26250000000000001</v>
      </c>
      <c r="I21" s="708">
        <v>0.40699999999999997</v>
      </c>
      <c r="J21" s="570">
        <v>1.2110000000000001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Inactive</v>
      </c>
      <c r="L21" s="776" t="s">
        <v>367</v>
      </c>
      <c r="M21" s="168">
        <f t="shared" si="1"/>
        <v>1.2110000000000001</v>
      </c>
      <c r="N21" s="632">
        <f t="shared" si="2"/>
        <v>0.99255133189203659</v>
      </c>
      <c r="O21" s="629">
        <f t="shared" si="3"/>
        <v>2.2559584737342147</v>
      </c>
      <c r="P21" s="633">
        <f t="shared" si="4"/>
        <v>-0.16660872354574033</v>
      </c>
      <c r="Q21" s="585">
        <f t="shared" si="113"/>
        <v>66.25200342878648</v>
      </c>
      <c r="R21" s="629">
        <f>IF(M21="","",SQRT(N21^2+O21^2))</f>
        <v>2.4646514523668177</v>
      </c>
      <c r="S21" s="634">
        <f>IF(M21="","",P21)</f>
        <v>-0.16660872354574033</v>
      </c>
      <c r="T21" s="635">
        <f>IF(M21="","",X21*COS(RADIANS(W21)))</f>
        <v>2.2561316722354863</v>
      </c>
      <c r="U21" s="629">
        <f>IF(M21="","",X21*SIN(RADIANS(W21)))</f>
        <v>-0.99215757780191938</v>
      </c>
      <c r="V21" s="636">
        <f>IF(M21="","",Y21)</f>
        <v>-0.16660872354574033</v>
      </c>
      <c r="W21" s="585">
        <f t="shared" si="224"/>
        <v>336.26200342734262</v>
      </c>
      <c r="X21" s="629">
        <f>IF(M21="","",R21)</f>
        <v>2.4646514523668177</v>
      </c>
      <c r="Y21" s="630">
        <f t="shared" si="223"/>
        <v>-0.16660872354574033</v>
      </c>
      <c r="Z21" s="632">
        <f t="shared" si="6"/>
        <v>6.2998654794308787E-2</v>
      </c>
      <c r="AA21" s="629">
        <f t="shared" si="7"/>
        <v>0.1431883526626159</v>
      </c>
      <c r="AB21" s="629">
        <f t="shared" si="8"/>
        <v>-0.98768834414296591</v>
      </c>
      <c r="AC21" s="636">
        <f>IF(M21="","",SQRT(Z21^2+AA21^2+AB21^2))</f>
        <v>1</v>
      </c>
      <c r="AD21" s="637">
        <f>IF(M21="","",Z21*(1/SQRT(Z21^2+AA21^2+AB21^2)))</f>
        <v>6.2998654794308787E-2</v>
      </c>
      <c r="AE21" s="629">
        <f>IF(M21="","",AA21*(1/SQRT(Z21^2+AA21^2+AB21^2)))</f>
        <v>0.1431883526626159</v>
      </c>
      <c r="AF21" s="633">
        <f>IF(M21="","",AB21*(1/SQRT(Z21^2+AA21^2+AB21^2)))</f>
        <v>-0.98768834414296591</v>
      </c>
      <c r="AG21" s="602">
        <f>IF(M21="","",DEGREES(ATAN2(-AF21,AE21)))</f>
        <v>8.2488840437241215</v>
      </c>
      <c r="AH21" s="603">
        <f>IF(M21="","",DEGREES(ACOS(AD21)))</f>
        <v>86.388051070944769</v>
      </c>
      <c r="AI21" s="585">
        <f>IF(M21="","",DEGREES(-ACOS(-AF21)))</f>
        <v>-8.9999987005702629</v>
      </c>
      <c r="AJ21" s="586">
        <f>IF(M21="","",DEGREES(ATAN2(-AE21,AD21)))</f>
        <v>156.25192036274183</v>
      </c>
      <c r="AK21" s="635">
        <f>IF(M21="","",(COS(RADIANS((90-$Q$8)-W21))*AD21)+(-SIN(RADIANS((90-$Q$8)-W21))*AE21))</f>
        <v>2.2679489659199747E-7</v>
      </c>
      <c r="AL21" s="629">
        <f>IF(M21="","",(SIN(RADIANS((90-$Q$8)-W21))*AD21)+(COS(RADIANS((90-$Q$8)-W21))*AE21))</f>
        <v>0.15643444263995926</v>
      </c>
      <c r="AM21" s="634">
        <f>IF(M21="","",AF21)</f>
        <v>-0.98768834414296591</v>
      </c>
      <c r="AN21" s="581">
        <f>IF(M21="","",DEGREES(ATAN2(-AM21,AL21)))</f>
        <v>8.9999987005609583</v>
      </c>
      <c r="AO21" s="582">
        <f>IF(ROUND(IF(M21="",0,DEGREES(ACOS(AK21))),4)=90,0,IF(M21="","",DEGREES(ACOS(AK21))))</f>
        <v>0</v>
      </c>
      <c r="AP21" s="585">
        <f>IF(M21="","",DEGREES(ATAN2(AK21,AL21)))</f>
        <v>89.999916933955404</v>
      </c>
      <c r="AQ21" s="586">
        <f t="shared" si="9"/>
        <v>0.9248888367492345</v>
      </c>
      <c r="AS21" s="52">
        <f t="shared" si="116"/>
        <v>-23.73799657265738</v>
      </c>
      <c r="AT21" s="72">
        <f t="shared" si="10"/>
        <v>-0.15011705926017535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1.2110000000000001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1.111</v>
      </c>
      <c r="II21" s="734" cm="1">
        <f t="array" ref="II21">IFERROR(ROUND(VALUE(IF($IH21&lt;1,$IH21+LARGE((IF($M$9:$M$150="",0,$M$9:$M$150)-MOD(IF($M$9:$M$150="",0,$M$9:$M$150),1)),1),$IH21)),4),"")</f>
        <v>1.111</v>
      </c>
      <c r="IJ21" s="533">
        <f t="shared" si="112"/>
        <v>1613</v>
      </c>
      <c r="IK21" s="533" t="str">
        <f t="shared" si="66"/>
        <v>Inactive</v>
      </c>
      <c r="IL21" s="727">
        <f t="shared" si="225"/>
        <v>23.73799657265738</v>
      </c>
      <c r="IM21" s="759">
        <v>4.1474720519001002E-2</v>
      </c>
      <c r="IN21" s="5">
        <f t="shared" si="226"/>
        <v>0.64</v>
      </c>
      <c r="IO21" s="771">
        <v>320</v>
      </c>
      <c r="IP21" s="9">
        <f t="shared" si="227"/>
        <v>-2.4708074519552752</v>
      </c>
      <c r="IQ21" s="5">
        <f t="shared" si="228"/>
        <v>-0.16410049492709269</v>
      </c>
      <c r="IR21" s="5">
        <f t="shared" si="71"/>
        <v>0.314</v>
      </c>
      <c r="IS21" s="5">
        <f t="shared" si="229"/>
        <v>0.30329193102218732</v>
      </c>
      <c r="IT21" s="727">
        <f t="shared" si="230"/>
        <v>-7.3158767298667353</v>
      </c>
      <c r="IU21" s="9">
        <f t="shared" si="231"/>
        <v>-2.4646514523668177</v>
      </c>
      <c r="IV21" s="5">
        <f t="shared" si="232"/>
        <v>-0.16660872354574033</v>
      </c>
      <c r="IW21" s="5">
        <f t="shared" si="76"/>
        <v>0.26250000000000001</v>
      </c>
      <c r="IX21" s="5">
        <f t="shared" si="233"/>
        <v>0.26250000000000001</v>
      </c>
      <c r="IY21" s="762">
        <f t="shared" si="234"/>
        <v>-8.9999987005609583</v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1.12445018167342</v>
      </c>
      <c r="C22" s="708">
        <v>3.053699339525521</v>
      </c>
      <c r="D22" s="709">
        <v>-9.3791789108781429E-2</v>
      </c>
      <c r="E22" s="710">
        <v>4.5102301892247898E-2</v>
      </c>
      <c r="F22" s="708">
        <v>0.12248618015093532</v>
      </c>
      <c r="G22" s="711">
        <v>0.99144486384067432</v>
      </c>
      <c r="H22" s="710">
        <v>0.26250000000000001</v>
      </c>
      <c r="I22" s="708">
        <v>0.40699999999999997</v>
      </c>
      <c r="J22" s="570">
        <v>1.216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Inactive</v>
      </c>
      <c r="L22" s="873" t="str">
        <f>IF($L21=$JH$22,$JH$30,IF($L21=$JI$22,$JI$30,""))</f>
        <v/>
      </c>
      <c r="M22" s="168">
        <f t="shared" si="1"/>
        <v>1.216</v>
      </c>
      <c r="N22" s="632">
        <f t="shared" si="2"/>
        <v>1.12445018167342</v>
      </c>
      <c r="O22" s="629">
        <f t="shared" si="3"/>
        <v>3.053699339525521</v>
      </c>
      <c r="P22" s="633">
        <f t="shared" si="4"/>
        <v>-9.3791789108781429E-2</v>
      </c>
      <c r="Q22" s="585">
        <f t="shared" si="113"/>
        <v>69.785002918684455</v>
      </c>
      <c r="R22" s="629">
        <f t="shared" si="79"/>
        <v>3.2541462578200124</v>
      </c>
      <c r="S22" s="634">
        <f t="shared" si="80"/>
        <v>-9.3791789108781429E-2</v>
      </c>
      <c r="T22" s="635">
        <f t="shared" si="81"/>
        <v>3.0538955465651494</v>
      </c>
      <c r="U22" s="629">
        <f t="shared" si="82"/>
        <v>-1.123917193548323</v>
      </c>
      <c r="V22" s="636">
        <f t="shared" si="114"/>
        <v>-9.3791789108781429E-2</v>
      </c>
      <c r="W22" s="585">
        <f t="shared" si="224"/>
        <v>339.79500291724059</v>
      </c>
      <c r="X22" s="629">
        <f t="shared" si="83"/>
        <v>3.2541462578200124</v>
      </c>
      <c r="Y22" s="630">
        <f t="shared" si="223"/>
        <v>-9.3791789108781429E-2</v>
      </c>
      <c r="Z22" s="632">
        <f t="shared" si="6"/>
        <v>-4.5102301892247898E-2</v>
      </c>
      <c r="AA22" s="629">
        <f t="shared" si="7"/>
        <v>-0.12248618015093532</v>
      </c>
      <c r="AB22" s="629">
        <f t="shared" si="8"/>
        <v>-0.99144486384067432</v>
      </c>
      <c r="AC22" s="636">
        <f t="shared" si="84"/>
        <v>1</v>
      </c>
      <c r="AD22" s="637">
        <f t="shared" si="115"/>
        <v>-4.5102301892247898E-2</v>
      </c>
      <c r="AE22" s="629">
        <f t="shared" si="85"/>
        <v>-0.12248618015093532</v>
      </c>
      <c r="AF22" s="633">
        <f t="shared" si="86"/>
        <v>-0.99144486384067432</v>
      </c>
      <c r="AG22" s="602">
        <f t="shared" si="87"/>
        <v>-7.0428121290825025</v>
      </c>
      <c r="AH22" s="603">
        <f t="shared" si="88"/>
        <v>92.58504847561727</v>
      </c>
      <c r="AI22" s="585">
        <f t="shared" si="89"/>
        <v>-7.4999989171453043</v>
      </c>
      <c r="AJ22" s="586">
        <f t="shared" si="90"/>
        <v>-20.214897527409608</v>
      </c>
      <c r="AK22" s="635">
        <f t="shared" si="211"/>
        <v>2.2679489684873655E-7</v>
      </c>
      <c r="AL22" s="629">
        <f t="shared" si="91"/>
        <v>-0.13052617348216186</v>
      </c>
      <c r="AM22" s="634">
        <f t="shared" si="92"/>
        <v>-0.99144486384067432</v>
      </c>
      <c r="AN22" s="581">
        <f t="shared" si="93"/>
        <v>-7.4999989171341275</v>
      </c>
      <c r="AO22" s="582">
        <f t="shared" si="94"/>
        <v>0</v>
      </c>
      <c r="AP22" s="585">
        <f t="shared" si="95"/>
        <v>-89.999900446094017</v>
      </c>
      <c r="AQ22" s="586">
        <f t="shared" si="9"/>
        <v>0.70052568442238905</v>
      </c>
      <c r="AS22" s="52">
        <f t="shared" si="116"/>
        <v>-20.204997082759405</v>
      </c>
      <c r="AT22" s="72">
        <f t="shared" si="10"/>
        <v>-7.9753596691201162E-2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1.216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1.1160000000000001</v>
      </c>
      <c r="II22" s="734" cm="1">
        <f t="array" ref="II22">IFERROR(ROUND(VALUE(IF($IH22&lt;1,$IH22+LARGE((IF($M$9:$M$150="",0,$M$9:$M$150)-MOD(IF($M$9:$M$150="",0,$M$9:$M$150),1)),1),$IH22)),4),"")</f>
        <v>1.1160000000000001</v>
      </c>
      <c r="IJ22" s="533">
        <f t="shared" si="112"/>
        <v>1613</v>
      </c>
      <c r="IK22" s="533" t="str">
        <f t="shared" si="66"/>
        <v>Inactive</v>
      </c>
      <c r="IL22" s="727">
        <f t="shared" si="225"/>
        <v>19.715997153362252</v>
      </c>
      <c r="IM22" s="759">
        <v>3.63242772869007E-2</v>
      </c>
      <c r="IN22" s="5">
        <f t="shared" si="226"/>
        <v>0.68</v>
      </c>
      <c r="IO22" s="771">
        <v>340</v>
      </c>
      <c r="IP22" s="9">
        <f t="shared" si="227"/>
        <v>-3.249009799013554</v>
      </c>
      <c r="IQ22" s="5">
        <f t="shared" si="228"/>
        <v>-9.5900289235272329E-2</v>
      </c>
      <c r="IR22" s="5">
        <f t="shared" si="71"/>
        <v>0.314</v>
      </c>
      <c r="IS22" s="5">
        <f t="shared" si="229"/>
        <v>0.30284070787481154</v>
      </c>
      <c r="IT22" s="727">
        <f t="shared" si="230"/>
        <v>19.526404307121155</v>
      </c>
      <c r="IU22" s="9">
        <f t="shared" si="231"/>
        <v>-3.2541462578200124</v>
      </c>
      <c r="IV22" s="5">
        <f t="shared" si="232"/>
        <v>-9.3791789108781429E-2</v>
      </c>
      <c r="IW22" s="5">
        <f t="shared" si="76"/>
        <v>0.26250000000000001</v>
      </c>
      <c r="IX22" s="5">
        <f t="shared" si="233"/>
        <v>0.26250000000000001</v>
      </c>
      <c r="IY22" s="762">
        <f t="shared" si="234"/>
        <v>7.4999989171341275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1.2959632391628726</v>
      </c>
      <c r="C23" s="708">
        <v>3.8033857783434772</v>
      </c>
      <c r="D23" s="709">
        <v>-0.30777513069830764</v>
      </c>
      <c r="E23" s="710">
        <v>0.1426511339631519</v>
      </c>
      <c r="F23" s="708">
        <v>0.41865246565088821</v>
      </c>
      <c r="G23" s="711">
        <v>0.89687277078940186</v>
      </c>
      <c r="H23" s="710">
        <v>0.26250000000000001</v>
      </c>
      <c r="I23" s="708">
        <v>0.40699999999999997</v>
      </c>
      <c r="J23" s="570">
        <v>1.2210000000000001</v>
      </c>
      <c r="K23" s="865" t="str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Inactive</v>
      </c>
      <c r="M23" s="168">
        <f t="shared" si="1"/>
        <v>1.2210000000000001</v>
      </c>
      <c r="N23" s="632">
        <f t="shared" si="2"/>
        <v>1.2959632391628726</v>
      </c>
      <c r="O23" s="629">
        <f t="shared" si="3"/>
        <v>3.8033857783434772</v>
      </c>
      <c r="P23" s="633">
        <f t="shared" si="4"/>
        <v>-0.30777513069830764</v>
      </c>
      <c r="Q23" s="585">
        <f t="shared" si="113"/>
        <v>71.184002716693882</v>
      </c>
      <c r="R23" s="629">
        <f t="shared" si="79"/>
        <v>4.0181169838827424</v>
      </c>
      <c r="S23" s="634">
        <f t="shared" si="80"/>
        <v>-0.30777513069830764</v>
      </c>
      <c r="T23" s="635">
        <f t="shared" si="81"/>
        <v>3.8036119086358924</v>
      </c>
      <c r="U23" s="629">
        <f t="shared" si="82"/>
        <v>-1.295299403477888</v>
      </c>
      <c r="V23" s="636">
        <f t="shared" si="114"/>
        <v>-0.30777513069830764</v>
      </c>
      <c r="W23" s="585">
        <f t="shared" si="224"/>
        <v>341.19400271525006</v>
      </c>
      <c r="X23" s="629">
        <f t="shared" si="83"/>
        <v>4.0181169838827424</v>
      </c>
      <c r="Y23" s="630">
        <f t="shared" si="223"/>
        <v>-0.30777513069830764</v>
      </c>
      <c r="Z23" s="632">
        <f t="shared" si="6"/>
        <v>-0.1426511339631519</v>
      </c>
      <c r="AA23" s="629">
        <f t="shared" si="7"/>
        <v>-0.41865246565088821</v>
      </c>
      <c r="AB23" s="629">
        <f t="shared" si="8"/>
        <v>-0.89687277078940186</v>
      </c>
      <c r="AC23" s="636">
        <f t="shared" si="84"/>
        <v>1</v>
      </c>
      <c r="AD23" s="637">
        <f t="shared" si="115"/>
        <v>-0.1426511339631519</v>
      </c>
      <c r="AE23" s="629">
        <f t="shared" si="85"/>
        <v>-0.41865246565088821</v>
      </c>
      <c r="AF23" s="633">
        <f t="shared" si="86"/>
        <v>-0.89687277078940186</v>
      </c>
      <c r="AG23" s="602">
        <f t="shared" si="87"/>
        <v>-25.022760225191</v>
      </c>
      <c r="AH23" s="603">
        <f t="shared" si="88"/>
        <v>98.201285121912306</v>
      </c>
      <c r="AI23" s="585">
        <f t="shared" si="89"/>
        <v>-26.249996209972451</v>
      </c>
      <c r="AJ23" s="586">
        <f t="shared" si="90"/>
        <v>-18.815967903418219</v>
      </c>
      <c r="AK23" s="635">
        <f t="shared" si="211"/>
        <v>2.267948964462807E-7</v>
      </c>
      <c r="AL23" s="629">
        <f t="shared" si="91"/>
        <v>-0.44228863089219217</v>
      </c>
      <c r="AM23" s="634">
        <f t="shared" si="92"/>
        <v>-0.89687277078940186</v>
      </c>
      <c r="AN23" s="581">
        <f t="shared" si="93"/>
        <v>-26.249996209969471</v>
      </c>
      <c r="AO23" s="582">
        <f t="shared" si="94"/>
        <v>0</v>
      </c>
      <c r="AP23" s="585">
        <f t="shared" si="95"/>
        <v>-89.999970620112137</v>
      </c>
      <c r="AQ23" s="586">
        <f t="shared" si="9"/>
        <v>0.56734339286079871</v>
      </c>
      <c r="AS23" s="52">
        <f t="shared" si="116"/>
        <v>-18.805997284749935</v>
      </c>
      <c r="AT23" s="72">
        <f t="shared" si="10"/>
        <v>-0.29470846591823396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Nose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1.2210000000000001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1.121</v>
      </c>
      <c r="II23" s="734" cm="1">
        <f t="array" ref="II23">IFERROR(ROUND(VALUE(IF($IH23&lt;1,$IH23+LARGE((IF($M$9:$M$150="",0,$M$9:$M$150)-MOD(IF($M$9:$M$150="",0,$M$9:$M$150),1)),1),$IH23)),4),"")</f>
        <v>1.121</v>
      </c>
      <c r="IJ23" s="533">
        <f t="shared" si="112"/>
        <v>1613</v>
      </c>
      <c r="IK23" s="533" t="str">
        <f t="shared" si="66"/>
        <v>Inactive</v>
      </c>
      <c r="IL23" s="727">
        <f t="shared" si="225"/>
        <v>17.430997483275348</v>
      </c>
      <c r="IM23" s="759">
        <v>2.45646879271126E-2</v>
      </c>
      <c r="IN23" s="5">
        <f t="shared" si="226"/>
        <v>0.7</v>
      </c>
      <c r="IO23" s="771">
        <v>350</v>
      </c>
      <c r="IP23" s="9">
        <f t="shared" si="227"/>
        <v>-4.0007120661475915</v>
      </c>
      <c r="IQ23" s="5">
        <f t="shared" si="228"/>
        <v>-0.3087009310420078</v>
      </c>
      <c r="IR23" s="5">
        <f t="shared" si="71"/>
        <v>0.314</v>
      </c>
      <c r="IS23" s="5">
        <f t="shared" si="229"/>
        <v>0.30196658323627129</v>
      </c>
      <c r="IT23" s="727">
        <f t="shared" si="230"/>
        <v>46.230992881742502</v>
      </c>
      <c r="IU23" s="9">
        <f t="shared" si="231"/>
        <v>-4.0181169838827424</v>
      </c>
      <c r="IV23" s="5">
        <f t="shared" si="232"/>
        <v>-0.30777513069830764</v>
      </c>
      <c r="IW23" s="5">
        <f t="shared" si="76"/>
        <v>0.26250000000000001</v>
      </c>
      <c r="IX23" s="5">
        <f t="shared" si="233"/>
        <v>0.26250000000000001</v>
      </c>
      <c r="IY23" s="762">
        <f t="shared" si="234"/>
        <v>26.249996209969471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24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3</v>
      </c>
      <c r="JG23" s="801">
        <v>20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170</v>
      </c>
      <c r="JI23" s="801">
        <v>130</v>
      </c>
    </row>
    <row r="24" spans="1:269" ht="15" customHeight="1" x14ac:dyDescent="0.25">
      <c r="A24" s="79"/>
      <c r="B24" s="707">
        <v>1.2451943494923505</v>
      </c>
      <c r="C24" s="708">
        <v>4.4872892070506722</v>
      </c>
      <c r="D24" s="709">
        <v>-0.71950101489516105</v>
      </c>
      <c r="E24" s="710">
        <v>-0.77549572812813583</v>
      </c>
      <c r="F24" s="708">
        <v>0.56919492021238227</v>
      </c>
      <c r="G24" s="711">
        <v>0.27317305588112506</v>
      </c>
      <c r="H24" s="710">
        <v>0.26600000000000001</v>
      </c>
      <c r="I24" s="708">
        <v>0.52</v>
      </c>
      <c r="J24" s="570">
        <v>1.226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1.226</v>
      </c>
      <c r="N24" s="632">
        <f t="shared" si="2"/>
        <v>1.2451943494923505</v>
      </c>
      <c r="O24" s="629">
        <f t="shared" si="3"/>
        <v>4.4872892070506722</v>
      </c>
      <c r="P24" s="633">
        <f t="shared" si="4"/>
        <v>-0.71950101489516105</v>
      </c>
      <c r="Q24" s="585">
        <f t="shared" si="113"/>
        <v>74.491002239222226</v>
      </c>
      <c r="R24" s="629">
        <f t="shared" si="79"/>
        <v>4.6568523055515865</v>
      </c>
      <c r="S24" s="634">
        <f t="shared" si="80"/>
        <v>-0.71950101489516105</v>
      </c>
      <c r="T24" s="635">
        <f t="shared" si="81"/>
        <v>4.4875064660851463</v>
      </c>
      <c r="U24" s="629">
        <f t="shared" si="82"/>
        <v>-1.2444111509324931</v>
      </c>
      <c r="V24" s="636">
        <f t="shared" si="114"/>
        <v>-0.71950101489516105</v>
      </c>
      <c r="W24" s="585">
        <f t="shared" si="224"/>
        <v>344.50100223777838</v>
      </c>
      <c r="X24" s="629">
        <f t="shared" si="83"/>
        <v>4.6568523055515865</v>
      </c>
      <c r="Y24" s="630">
        <f t="shared" si="223"/>
        <v>-0.71950101489516105</v>
      </c>
      <c r="Z24" s="632">
        <f t="shared" si="6"/>
        <v>0.77549572812813583</v>
      </c>
      <c r="AA24" s="629">
        <f t="shared" si="7"/>
        <v>-0.56919492021238227</v>
      </c>
      <c r="AB24" s="629">
        <f t="shared" si="8"/>
        <v>-0.27317305588112506</v>
      </c>
      <c r="AC24" s="636">
        <f t="shared" si="84"/>
        <v>1</v>
      </c>
      <c r="AD24" s="637">
        <f t="shared" si="115"/>
        <v>0.77549572812813583</v>
      </c>
      <c r="AE24" s="629">
        <f t="shared" si="85"/>
        <v>-0.56919492021238227</v>
      </c>
      <c r="AF24" s="633">
        <f t="shared" si="86"/>
        <v>-0.27317305588112506</v>
      </c>
      <c r="AG24" s="602">
        <f t="shared" si="87"/>
        <v>-64.362308116817161</v>
      </c>
      <c r="AH24" s="603">
        <f t="shared" si="88"/>
        <v>39.15000136526416</v>
      </c>
      <c r="AI24" s="585">
        <f t="shared" si="89"/>
        <v>-74.146830236563318</v>
      </c>
      <c r="AJ24" s="586">
        <f t="shared" si="90"/>
        <v>53.722240558398717</v>
      </c>
      <c r="AK24" s="635">
        <f>IF(M24="","",(COS(RADIANS((90-$Q$8)-W24))*AD24)+(-SIN(RADIANS((90-$Q$8)-W24))*AE24))</f>
        <v>0.89945560531479352</v>
      </c>
      <c r="AL24" s="629">
        <f t="shared" si="91"/>
        <v>-0.34111009309072943</v>
      </c>
      <c r="AM24" s="634">
        <f t="shared" si="92"/>
        <v>-0.27317305588112506</v>
      </c>
      <c r="AN24" s="581">
        <f t="shared" si="93"/>
        <v>-51.31101588028158</v>
      </c>
      <c r="AO24" s="582">
        <f t="shared" si="94"/>
        <v>25.913399004359238</v>
      </c>
      <c r="AP24" s="585">
        <f t="shared" si="95"/>
        <v>-20.768761680823506</v>
      </c>
      <c r="AQ24" s="586">
        <f t="shared" si="9"/>
        <v>0.48953048322382597</v>
      </c>
      <c r="AS24" s="52">
        <f t="shared" si="116"/>
        <v>-15.49899776222162</v>
      </c>
      <c r="AT24" s="72">
        <f t="shared" si="10"/>
        <v>-0.70873087756128761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1.226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1.1259999999999999</v>
      </c>
      <c r="II24" s="734" cm="1">
        <f t="array" ref="II24">IFERROR(ROUND(VALUE(IF($IH24&lt;1,$IH24+LARGE((IF($M$9:$M$150="",0,$M$9:$M$150)-MOD(IF($M$9:$M$150="",0,$M$9:$M$150),1)),1),$IH24)),4),"")</f>
        <v>1.1259999999999999</v>
      </c>
      <c r="IJ24" s="533">
        <f t="shared" si="112"/>
        <v>1613</v>
      </c>
      <c r="IK24" s="533">
        <f t="shared" si="66"/>
        <v>1313</v>
      </c>
      <c r="IL24" s="727">
        <f t="shared" si="225"/>
        <v>13.225998090402186</v>
      </c>
      <c r="IM24" s="759">
        <v>1.1570217340478599E-2</v>
      </c>
      <c r="IN24" s="5">
        <f t="shared" si="226"/>
        <v>0.34</v>
      </c>
      <c r="IO24" s="771">
        <v>170</v>
      </c>
      <c r="IP24" s="9">
        <f t="shared" si="227"/>
        <v>-4.6212139375812367</v>
      </c>
      <c r="IQ24" s="5">
        <f t="shared" si="228"/>
        <v>-0.7557022791980742</v>
      </c>
      <c r="IR24" s="5">
        <f t="shared" si="71"/>
        <v>0.314</v>
      </c>
      <c r="IS24" s="5">
        <f t="shared" si="229"/>
        <v>0.30100758469255418</v>
      </c>
      <c r="IT24" s="727">
        <f t="shared" si="230"/>
        <v>60.539680069931222</v>
      </c>
      <c r="IU24" s="9">
        <f t="shared" si="231"/>
        <v>-4.6568523055515865</v>
      </c>
      <c r="IV24" s="5">
        <f t="shared" si="232"/>
        <v>-0.71950101489516105</v>
      </c>
      <c r="IW24" s="5">
        <f t="shared" si="76"/>
        <v>0.26600000000000001</v>
      </c>
      <c r="IX24" s="5">
        <f t="shared" si="233"/>
        <v>0.23925519101373507</v>
      </c>
      <c r="IY24" s="762">
        <f t="shared" si="234"/>
        <v>51.31101588028158</v>
      </c>
      <c r="JA24" s="798" t="str">
        <v>Inactive</v>
      </c>
      <c r="JB24" s="856" cm="1">
        <f t="array" ref="JB24">IF($JA24="","",COUNT(IF(IF($II$9:$II$150&lt;&gt;"",$IK$9:$IK$150,"")=$JA24,$IG$9:$IG$150,"")))</f>
        <v>11</v>
      </c>
      <c r="JC24" s="5"/>
      <c r="JD24" s="5"/>
      <c r="JE24" s="10"/>
      <c r="JF24" s="247">
        <v>11</v>
      </c>
      <c r="JG24" s="803" t="str">
        <v/>
      </c>
      <c r="JH24" s="787">
        <v>320</v>
      </c>
      <c r="JI24" s="803" t="str">
        <v/>
      </c>
    </row>
    <row r="25" spans="1:269" ht="15" customHeight="1" x14ac:dyDescent="0.25">
      <c r="A25" s="79"/>
      <c r="B25" s="707">
        <v>1.3527549209368406</v>
      </c>
      <c r="C25" s="708">
        <v>4.9563938203893398</v>
      </c>
      <c r="D25" s="709">
        <v>-1.3177773803969188</v>
      </c>
      <c r="E25" s="710">
        <v>-0.76414459063069418</v>
      </c>
      <c r="F25" s="708">
        <v>0.60652322433612649</v>
      </c>
      <c r="G25" s="711">
        <v>0.21957373010166215</v>
      </c>
      <c r="H25" s="710">
        <v>0.26600000000000001</v>
      </c>
      <c r="I25" s="708">
        <v>0.52</v>
      </c>
      <c r="J25" s="570">
        <v>1.2310000000000001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1.2310000000000001</v>
      </c>
      <c r="N25" s="632">
        <f t="shared" si="2"/>
        <v>1.3527549209368406</v>
      </c>
      <c r="O25" s="629">
        <f t="shared" si="3"/>
        <v>4.9563938203893398</v>
      </c>
      <c r="P25" s="633">
        <f t="shared" si="4"/>
        <v>-1.3177773803969188</v>
      </c>
      <c r="Q25" s="585">
        <f t="shared" si="113"/>
        <v>74.734002204137369</v>
      </c>
      <c r="R25" s="629">
        <f>IF(M25="","",SQRT(N25^2+O25^2))</f>
        <v>5.1376828998014732</v>
      </c>
      <c r="S25" s="634">
        <f>IF(M25="","",P25)</f>
        <v>-1.3177773803969188</v>
      </c>
      <c r="T25" s="635">
        <f>IF(M25="","",X25*COS(RADIANS(W25)))</f>
        <v>4.9566298451373081</v>
      </c>
      <c r="U25" s="629">
        <f>IF(M25="","",X25*SIN(RADIANS(W25)))</f>
        <v>-1.3518898465505913</v>
      </c>
      <c r="V25" s="636">
        <f>IF(M25="","",Y25)</f>
        <v>-1.3177773803969188</v>
      </c>
      <c r="W25" s="585">
        <f t="shared" si="224"/>
        <v>344.74400220269354</v>
      </c>
      <c r="X25" s="629">
        <f>IF(M25="","",R25)</f>
        <v>5.1376828998014732</v>
      </c>
      <c r="Y25" s="630">
        <f t="shared" si="223"/>
        <v>-1.3177773803969188</v>
      </c>
      <c r="Z25" s="632">
        <f t="shared" si="6"/>
        <v>0.76414459063069418</v>
      </c>
      <c r="AA25" s="629">
        <f t="shared" si="7"/>
        <v>-0.60652322433612649</v>
      </c>
      <c r="AB25" s="629">
        <f t="shared" si="8"/>
        <v>-0.21957373010166215</v>
      </c>
      <c r="AC25" s="636">
        <f>IF(M25="","",SQRT(Z25^2+AA25^2+AB25^2))</f>
        <v>1</v>
      </c>
      <c r="AD25" s="637">
        <f>IF(M25="","",Z25*(1/SQRT(Z25^2+AA25^2+AB25^2)))</f>
        <v>0.76414459063069418</v>
      </c>
      <c r="AE25" s="629">
        <f>IF(M25="","",AA25*(1/SQRT(Z25^2+AA25^2+AB25^2)))</f>
        <v>-0.60652322433612649</v>
      </c>
      <c r="AF25" s="633">
        <f>IF(M25="","",AB25*(1/SQRT(Z25^2+AA25^2+AB25^2)))</f>
        <v>-0.21957373010166215</v>
      </c>
      <c r="AG25" s="602">
        <f>IF(M25="","",DEGREES(ATAN2(-AF25,AE25)))</f>
        <v>-70.098714787673629</v>
      </c>
      <c r="AH25" s="603">
        <f>IF(M25="","",DEGREES(ACOS(AD25)))</f>
        <v>40.16904906736621</v>
      </c>
      <c r="AI25" s="585">
        <f>IF(M25="","",DEGREES(-ACOS(-AF25)))</f>
        <v>-77.316002645538916</v>
      </c>
      <c r="AJ25" s="586">
        <f>IF(M25="","",DEGREES(ATAN2(-AE25,AD25)))</f>
        <v>51.559972281618698</v>
      </c>
      <c r="AK25" s="635">
        <f>IF(M25="","",(COS(RADIANS((90-$Q$8)-W25))*AD25)+(-SIN(RADIANS((90-$Q$8)-W25))*AE25))</f>
        <v>0.89687878624177897</v>
      </c>
      <c r="AL25" s="629">
        <f>IF(M25="","",(SIN(RADIANS((90-$Q$8)-W25))*AD25)+(COS(RADIANS((90-$Q$8)-W25))*AE25))</f>
        <v>-0.38392163241827848</v>
      </c>
      <c r="AM25" s="634">
        <f>IF(M25="","",AF25)</f>
        <v>-0.21957373010166215</v>
      </c>
      <c r="AN25" s="581">
        <f>IF(M25="","",DEGREES(ATAN2(-AM25,AL25)))</f>
        <v>-60.233754486123438</v>
      </c>
      <c r="AO25" s="582">
        <f>IF(ROUND(IF(M25="",0,DEGREES(ACOS(AK25))),4)=90,0,IF(M25="","",DEGREES(ACOS(AK25))))</f>
        <v>26.249216934264403</v>
      </c>
      <c r="AP25" s="585">
        <f>IF(M25="","",DEGREES(ATAN2(AK25,AL25)))</f>
        <v>-23.174029922518681</v>
      </c>
      <c r="AQ25" s="586">
        <f t="shared" si="9"/>
        <v>0.44371774219976634</v>
      </c>
      <c r="AS25" s="52">
        <f t="shared" si="116"/>
        <v>-15.255997797306463</v>
      </c>
      <c r="AT25" s="72">
        <f t="shared" si="10"/>
        <v>-1.3071759930386808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1.2310000000000001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1.131</v>
      </c>
      <c r="II25" s="734" cm="1">
        <f t="array" ref="II25">IFERROR(ROUND(VALUE(IF($IH25&lt;1,$IH25+LARGE((IF($M$9:$M$150="",0,$M$9:$M$150)-MOD(IF($M$9:$M$150="",0,$M$9:$M$150),1)),1),$IH25)),4),"")</f>
        <v>1.131</v>
      </c>
      <c r="IJ25" s="533">
        <f t="shared" si="112"/>
        <v>1613</v>
      </c>
      <c r="IK25" s="533">
        <f t="shared" si="66"/>
        <v>1313</v>
      </c>
      <c r="IL25" s="727">
        <f t="shared" si="225"/>
        <v>12.228998234351138</v>
      </c>
      <c r="IM25" s="759">
        <v>9.7314291274958904E-3</v>
      </c>
      <c r="IN25" s="5">
        <f t="shared" si="226"/>
        <v>0.32</v>
      </c>
      <c r="IO25" s="771">
        <v>160</v>
      </c>
      <c r="IP25" s="9">
        <f t="shared" si="227"/>
        <v>-5.0967153716935618</v>
      </c>
      <c r="IQ25" s="5">
        <f t="shared" si="228"/>
        <v>-1.350904074326688</v>
      </c>
      <c r="IR25" s="5">
        <f t="shared" si="71"/>
        <v>0.314</v>
      </c>
      <c r="IS25" s="5">
        <f t="shared" si="229"/>
        <v>0.30014523853475095</v>
      </c>
      <c r="IT25" s="727">
        <f t="shared" si="230"/>
        <v>70.574011264013293</v>
      </c>
      <c r="IU25" s="9">
        <f t="shared" si="231"/>
        <v>-5.1376828998014732</v>
      </c>
      <c r="IV25" s="5">
        <f t="shared" si="232"/>
        <v>-1.3177773803969188</v>
      </c>
      <c r="IW25" s="5">
        <f t="shared" si="76"/>
        <v>0.26600000000000001</v>
      </c>
      <c r="IX25" s="5">
        <f t="shared" si="233"/>
        <v>0.23856975714031323</v>
      </c>
      <c r="IY25" s="762">
        <f t="shared" si="234"/>
        <v>60.233754486123438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1.4427356505751023</v>
      </c>
      <c r="C26" s="708">
        <v>5.298817492709337</v>
      </c>
      <c r="D26" s="709">
        <v>-1.9995757938890208</v>
      </c>
      <c r="E26" s="710">
        <v>-0.74416283060539801</v>
      </c>
      <c r="F26" s="708">
        <v>0.64460899431378993</v>
      </c>
      <c r="G26" s="711">
        <v>0.17521679712609245</v>
      </c>
      <c r="H26" s="710">
        <v>0.26600000000000001</v>
      </c>
      <c r="I26" s="708">
        <v>0.52</v>
      </c>
      <c r="J26" s="570">
        <v>1.236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1.236</v>
      </c>
      <c r="N26" s="632">
        <f t="shared" si="2"/>
        <v>1.4427356505751023</v>
      </c>
      <c r="O26" s="629">
        <f t="shared" si="3"/>
        <v>5.298817492709337</v>
      </c>
      <c r="P26" s="633">
        <f t="shared" si="4"/>
        <v>-1.9995757938890208</v>
      </c>
      <c r="Q26" s="585">
        <f t="shared" si="113"/>
        <v>74.769002199083999</v>
      </c>
      <c r="R26" s="629">
        <f>IF(M26="","",SQRT(N26^2+O26^2))</f>
        <v>5.4917167605843282</v>
      </c>
      <c r="S26" s="634">
        <f>IF(M26="","",P26)</f>
        <v>-1.9995757938890208</v>
      </c>
      <c r="T26" s="635">
        <f>IF(M26="","",X26*COS(RADIANS(W26)))</f>
        <v>5.2990692168395048</v>
      </c>
      <c r="U26" s="629">
        <f>IF(M26="","",X26*SIN(RADIANS(W26)))</f>
        <v>-1.4418108106221108</v>
      </c>
      <c r="V26" s="636">
        <f>IF(M26="","",Y26)</f>
        <v>-1.9995757938890208</v>
      </c>
      <c r="W26" s="585">
        <f t="shared" si="224"/>
        <v>344.77900219764018</v>
      </c>
      <c r="X26" s="629">
        <f>IF(M26="","",R26)</f>
        <v>5.4917167605843282</v>
      </c>
      <c r="Y26" s="630">
        <f t="shared" si="223"/>
        <v>-1.9995757938890208</v>
      </c>
      <c r="Z26" s="632">
        <f t="shared" si="6"/>
        <v>0.74416283060539801</v>
      </c>
      <c r="AA26" s="629">
        <f t="shared" si="7"/>
        <v>-0.64460899431378993</v>
      </c>
      <c r="AB26" s="629">
        <f t="shared" si="8"/>
        <v>-0.17521679712609245</v>
      </c>
      <c r="AC26" s="636">
        <f>IF(M26="","",SQRT(Z26^2+AA26^2+AB26^2))</f>
        <v>1</v>
      </c>
      <c r="AD26" s="637">
        <f>IF(M26="","",Z26*(1/SQRT(Z26^2+AA26^2+AB26^2)))</f>
        <v>0.74416283060539801</v>
      </c>
      <c r="AE26" s="629">
        <f>IF(M26="","",AA26*(1/SQRT(Z26^2+AA26^2+AB26^2)))</f>
        <v>-0.64460899431378993</v>
      </c>
      <c r="AF26" s="633">
        <f>IF(M26="","",AB26*(1/SQRT(Z26^2+AA26^2+AB26^2)))</f>
        <v>-0.17521679712609245</v>
      </c>
      <c r="AG26" s="602">
        <f>IF(M26="","",DEGREES(ATAN2(-AF26,AE26)))</f>
        <v>-74.793344359850664</v>
      </c>
      <c r="AH26" s="603">
        <f>IF(M26="","",DEGREES(ACOS(AD26)))</f>
        <v>41.912757270666411</v>
      </c>
      <c r="AI26" s="585">
        <f>IF(M26="","",DEGREES(-ACOS(-AF26)))</f>
        <v>-79.908725396392825</v>
      </c>
      <c r="AJ26" s="586">
        <f>IF(M26="","",DEGREES(ATAN2(-AE26,AD26)))</f>
        <v>49.100223044626794</v>
      </c>
      <c r="AK26" s="635">
        <f>IF(M26="","",(COS(RADIANS((90-$Q$8)-W26))*AD26)+(-SIN(RADIANS((90-$Q$8)-W26))*AE26))</f>
        <v>0.88736976312946836</v>
      </c>
      <c r="AL26" s="629">
        <f>IF(M26="","",(SIN(RADIANS((90-$Q$8)-W26))*AD26)+(COS(RADIANS((90-$Q$8)-W26))*AE26))</f>
        <v>-0.42646685391531336</v>
      </c>
      <c r="AM26" s="634">
        <f>IF(M26="","",AF26)</f>
        <v>-0.17521679712609245</v>
      </c>
      <c r="AN26" s="581">
        <f>IF(M26="","",DEGREES(ATAN2(-AM26,AL26)))</f>
        <v>-67.664358218901071</v>
      </c>
      <c r="AO26" s="582">
        <f t="shared" si="94"/>
        <v>27.455429101254257</v>
      </c>
      <c r="AP26" s="585">
        <f>IF(M26="","",DEGREES(ATAN2(AK26,AL26)))</f>
        <v>-25.668779154457205</v>
      </c>
      <c r="AQ26" s="586">
        <f t="shared" si="9"/>
        <v>0.41511367800920512</v>
      </c>
      <c r="AS26" s="52">
        <f t="shared" si="116"/>
        <v>-15.220997802359818</v>
      </c>
      <c r="AT26" s="72">
        <f t="shared" si="10"/>
        <v>-1.9889987120828292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1.236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1.1359999999999999</v>
      </c>
      <c r="II26" s="734" cm="1">
        <f t="array" ref="II26">IFERROR(ROUND(VALUE(IF($IH26&lt;1,$IH26+LARGE((IF($M$9:$M$150="",0,$M$9:$M$150)-MOD(IF($M$9:$M$150="",0,$M$9:$M$150),1)),1),$IH26)),4),"")</f>
        <v>1.1359999999999999</v>
      </c>
      <c r="IJ26" s="533">
        <f t="shared" si="112"/>
        <v>1613</v>
      </c>
      <c r="IK26" s="533">
        <f t="shared" si="66"/>
        <v>1313</v>
      </c>
      <c r="IL26" s="727">
        <f t="shared" si="225"/>
        <v>11.613998323146063</v>
      </c>
      <c r="IM26" s="759">
        <v>8.1626152707650803E-3</v>
      </c>
      <c r="IN26" s="5">
        <f t="shared" si="226"/>
        <v>0.32</v>
      </c>
      <c r="IO26" s="771">
        <v>160</v>
      </c>
      <c r="IP26" s="9">
        <f t="shared" si="227"/>
        <v>-5.4455164236775362</v>
      </c>
      <c r="IQ26" s="5">
        <f t="shared" si="228"/>
        <v>-2.0290061194824562</v>
      </c>
      <c r="IR26" s="5">
        <f t="shared" si="71"/>
        <v>0.314</v>
      </c>
      <c r="IS26" s="5">
        <f t="shared" si="229"/>
        <v>0.29799962355952991</v>
      </c>
      <c r="IT26" s="727">
        <f t="shared" si="230"/>
        <v>77.786081144854094</v>
      </c>
      <c r="IU26" s="9">
        <f t="shared" si="231"/>
        <v>-5.4917167605843282</v>
      </c>
      <c r="IV26" s="5">
        <f t="shared" si="232"/>
        <v>-1.9995757938890208</v>
      </c>
      <c r="IW26" s="5">
        <f t="shared" si="76"/>
        <v>0.26600000000000001</v>
      </c>
      <c r="IX26" s="5">
        <f t="shared" si="233"/>
        <v>0.23604035699243864</v>
      </c>
      <c r="IY26" s="762">
        <f t="shared" si="234"/>
        <v>67.664358218901071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1.5101148050464677</v>
      </c>
      <c r="C27" s="708">
        <v>5.5337092261655414</v>
      </c>
      <c r="D27" s="709">
        <v>-2.7283477462159853</v>
      </c>
      <c r="E27" s="710">
        <v>-0.71497314446676929</v>
      </c>
      <c r="F27" s="708">
        <v>0.68554927740444382</v>
      </c>
      <c r="G27" s="711">
        <v>0.13724281744974934</v>
      </c>
      <c r="H27" s="710">
        <v>0.26600000000000001</v>
      </c>
      <c r="I27" s="708">
        <v>0.52</v>
      </c>
      <c r="J27" s="570">
        <v>1.2410000000000001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1.2410000000000001</v>
      </c>
      <c r="N27" s="632">
        <f t="shared" si="2"/>
        <v>1.5101148050464677</v>
      </c>
      <c r="O27" s="629">
        <f t="shared" si="3"/>
        <v>5.5337092261655414</v>
      </c>
      <c r="P27" s="633">
        <f t="shared" si="4"/>
        <v>-2.7283477462159853</v>
      </c>
      <c r="Q27" s="585">
        <f t="shared" si="113"/>
        <v>74.736002203848614</v>
      </c>
      <c r="R27" s="629">
        <f t="shared" si="79"/>
        <v>5.7360600174832692</v>
      </c>
      <c r="S27" s="634">
        <f t="shared" si="80"/>
        <v>-2.7283477462159853</v>
      </c>
      <c r="T27" s="635">
        <f t="shared" si="81"/>
        <v>5.5339727065972744</v>
      </c>
      <c r="U27" s="629">
        <f t="shared" si="82"/>
        <v>-1.5091489677320147</v>
      </c>
      <c r="V27" s="636">
        <f t="shared" si="114"/>
        <v>-2.7283477462159853</v>
      </c>
      <c r="W27" s="585">
        <f t="shared" si="224"/>
        <v>344.74600220240478</v>
      </c>
      <c r="X27" s="629">
        <f t="shared" si="83"/>
        <v>5.7360600174832692</v>
      </c>
      <c r="Y27" s="630">
        <f t="shared" si="223"/>
        <v>-2.7283477462159853</v>
      </c>
      <c r="Z27" s="632">
        <f t="shared" si="6"/>
        <v>0.71497314446676929</v>
      </c>
      <c r="AA27" s="629">
        <f t="shared" si="7"/>
        <v>-0.68554927740444382</v>
      </c>
      <c r="AB27" s="629">
        <f t="shared" si="8"/>
        <v>-0.13724281744974934</v>
      </c>
      <c r="AC27" s="636">
        <f t="shared" si="84"/>
        <v>1</v>
      </c>
      <c r="AD27" s="637">
        <f t="shared" si="115"/>
        <v>0.71497314446676929</v>
      </c>
      <c r="AE27" s="629">
        <f t="shared" si="85"/>
        <v>-0.68554927740444382</v>
      </c>
      <c r="AF27" s="633">
        <f t="shared" si="86"/>
        <v>-0.13724281744974934</v>
      </c>
      <c r="AG27" s="602">
        <f t="shared" si="87"/>
        <v>-78.679382837855641</v>
      </c>
      <c r="AH27" s="603">
        <f t="shared" si="88"/>
        <v>44.359001703178976</v>
      </c>
      <c r="AI27" s="585">
        <f t="shared" si="89"/>
        <v>-82.111668776381322</v>
      </c>
      <c r="AJ27" s="586">
        <f t="shared" si="90"/>
        <v>46.203561899239375</v>
      </c>
      <c r="AK27" s="635">
        <f t="shared" si="211"/>
        <v>0.87023350247019404</v>
      </c>
      <c r="AL27" s="629">
        <f t="shared" si="91"/>
        <v>-0.47313640764256715</v>
      </c>
      <c r="AM27" s="634">
        <f t="shared" si="92"/>
        <v>-0.13724281744974934</v>
      </c>
      <c r="AN27" s="581">
        <f t="shared" si="93"/>
        <v>-73.824125880115943</v>
      </c>
      <c r="AO27" s="582">
        <f t="shared" si="94"/>
        <v>29.514214664079518</v>
      </c>
      <c r="AP27" s="585">
        <f t="shared" si="95"/>
        <v>-28.532440304609228</v>
      </c>
      <c r="AQ27" s="586">
        <f t="shared" si="9"/>
        <v>0.39743134869557534</v>
      </c>
      <c r="AS27" s="52">
        <f t="shared" si="116"/>
        <v>-15.253997797595218</v>
      </c>
      <c r="AT27" s="72">
        <f t="shared" si="10"/>
        <v>-2.7177477477464356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1.2410000000000001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1.141</v>
      </c>
      <c r="II27" s="734" cm="1">
        <f t="array" ref="II27">IFERROR(ROUND(VALUE(IF($IH27&lt;1,$IH27+LARGE((IF($M$9:$M$150="",0,$M$9:$M$150)-MOD(IF($M$9:$M$150="",0,$M$9:$M$150),1)),1),$IH27)),4),"")</f>
        <v>1.141</v>
      </c>
      <c r="IJ27" s="533">
        <f t="shared" si="112"/>
        <v>1613</v>
      </c>
      <c r="IK27" s="533">
        <f t="shared" si="66"/>
        <v>1313</v>
      </c>
      <c r="IL27" s="727">
        <f t="shared" si="225"/>
        <v>11.236998377578175</v>
      </c>
      <c r="IM27" s="759">
        <v>6.6979537303427702E-3</v>
      </c>
      <c r="IN27" s="5">
        <f t="shared" si="226"/>
        <v>0.28000000000000003</v>
      </c>
      <c r="IO27" s="771">
        <v>140</v>
      </c>
      <c r="IP27" s="9">
        <f t="shared" si="227"/>
        <v>-5.6847171451069114</v>
      </c>
      <c r="IQ27" s="5">
        <f t="shared" si="228"/>
        <v>-2.753508304581048</v>
      </c>
      <c r="IR27" s="5">
        <f t="shared" si="71"/>
        <v>0.314</v>
      </c>
      <c r="IS27" s="5">
        <f t="shared" si="229"/>
        <v>0.29433156231929991</v>
      </c>
      <c r="IT27" s="727">
        <f t="shared" si="230"/>
        <v>82.788413591668302</v>
      </c>
      <c r="IU27" s="9">
        <f t="shared" si="231"/>
        <v>-5.7360600174832692</v>
      </c>
      <c r="IV27" s="5">
        <f t="shared" si="232"/>
        <v>-2.7283477462159853</v>
      </c>
      <c r="IW27" s="5">
        <f t="shared" si="76"/>
        <v>0.26600000000000001</v>
      </c>
      <c r="IX27" s="5">
        <f t="shared" si="233"/>
        <v>0.23148211165707167</v>
      </c>
      <c r="IY27" s="762">
        <f t="shared" si="234"/>
        <v>73.824125880115943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1.328898353536383</v>
      </c>
      <c r="C28" s="708">
        <v>5.7560911577187763</v>
      </c>
      <c r="D28" s="709">
        <v>-10.998133170369645</v>
      </c>
      <c r="E28" s="710">
        <v>-0.60401183141679837</v>
      </c>
      <c r="F28" s="708">
        <v>0.78912037607310881</v>
      </c>
      <c r="G28" s="711">
        <v>-0.11161872412261613</v>
      </c>
      <c r="H28" s="710">
        <v>0.26600000000000001</v>
      </c>
      <c r="I28" s="708">
        <v>0.52</v>
      </c>
      <c r="J28" s="570">
        <v>1.5009999999999999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1.5009999999999999</v>
      </c>
      <c r="N28" s="632">
        <f t="shared" si="2"/>
        <v>1.328898353536383</v>
      </c>
      <c r="O28" s="629">
        <f t="shared" si="3"/>
        <v>5.7560911577187763</v>
      </c>
      <c r="P28" s="633">
        <f t="shared" si="4"/>
        <v>-10.998133170369645</v>
      </c>
      <c r="Q28" s="585">
        <f t="shared" si="113"/>
        <v>77</v>
      </c>
      <c r="R28" s="629">
        <f t="shared" si="79"/>
        <v>5.9074999999999998</v>
      </c>
      <c r="S28" s="634">
        <f t="shared" si="80"/>
        <v>-10.998133170369645</v>
      </c>
      <c r="T28" s="635">
        <f t="shared" si="81"/>
        <v>5.7563230065307911</v>
      </c>
      <c r="U28" s="629">
        <f t="shared" si="82"/>
        <v>-1.3278937060187901</v>
      </c>
      <c r="V28" s="636">
        <f t="shared" si="114"/>
        <v>-10.998133170369645</v>
      </c>
      <c r="W28" s="585">
        <f t="shared" si="224"/>
        <v>347.00999999855617</v>
      </c>
      <c r="X28" s="629">
        <f t="shared" si="83"/>
        <v>5.9074999999999998</v>
      </c>
      <c r="Y28" s="630">
        <f t="shared" si="223"/>
        <v>-10.998133170369645</v>
      </c>
      <c r="Z28" s="632">
        <f t="shared" si="6"/>
        <v>0.60401183141679837</v>
      </c>
      <c r="AA28" s="629">
        <f t="shared" si="7"/>
        <v>-0.78912037607310881</v>
      </c>
      <c r="AB28" s="629">
        <f t="shared" si="8"/>
        <v>0.11161872412261613</v>
      </c>
      <c r="AC28" s="636">
        <f t="shared" si="84"/>
        <v>1</v>
      </c>
      <c r="AD28" s="637">
        <f t="shared" si="115"/>
        <v>0.60401183141679837</v>
      </c>
      <c r="AE28" s="629">
        <f t="shared" si="85"/>
        <v>-0.78912037607310881</v>
      </c>
      <c r="AF28" s="633">
        <f t="shared" si="86"/>
        <v>0.11161872412261613</v>
      </c>
      <c r="AG28" s="602">
        <f t="shared" si="87"/>
        <v>-98.050908457456856</v>
      </c>
      <c r="AH28" s="603">
        <f t="shared" si="88"/>
        <v>52.842232507133041</v>
      </c>
      <c r="AI28" s="585">
        <f t="shared" si="89"/>
        <v>-96.408636339561312</v>
      </c>
      <c r="AJ28" s="586">
        <f t="shared" si="90"/>
        <v>37.431317554030201</v>
      </c>
      <c r="AK28" s="635">
        <f t="shared" si="211"/>
        <v>0.76604450791050771</v>
      </c>
      <c r="AL28" s="629">
        <f t="shared" si="91"/>
        <v>-0.63302217364432622</v>
      </c>
      <c r="AM28" s="634">
        <f t="shared" si="92"/>
        <v>0.11161872412261613</v>
      </c>
      <c r="AN28" s="581">
        <f t="shared" si="93"/>
        <v>-99.999985561788449</v>
      </c>
      <c r="AO28" s="582">
        <f t="shared" si="94"/>
        <v>39.999994224715337</v>
      </c>
      <c r="AP28" s="585">
        <f t="shared" si="95"/>
        <v>-39.568682445969785</v>
      </c>
      <c r="AQ28" s="586">
        <f t="shared" si="9"/>
        <v>0.38589795349423855</v>
      </c>
      <c r="AS28" s="52">
        <f t="shared" si="116"/>
        <v>-12.990000001443832</v>
      </c>
      <c r="AT28" s="72">
        <f t="shared" si="10"/>
        <v>-10.989105392591867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>Gage</v>
      </c>
      <c r="IG28" s="847">
        <f t="shared" si="210"/>
        <v>1.5009999999999999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1.101</v>
      </c>
      <c r="II28" s="734" cm="1">
        <f t="array" ref="II28">IFERROR(ROUND(VALUE(IF($IH28&lt;1,$IH28+LARGE((IF($M$9:$M$150="",0,$M$9:$M$150)-MOD(IF($M$9:$M$150="",0,$M$9:$M$150),1)),1),$IH28)),4),"")</f>
        <v>1.101</v>
      </c>
      <c r="IJ28" s="533">
        <f t="shared" si="112"/>
        <v>1308</v>
      </c>
      <c r="IK28" s="533">
        <f t="shared" si="66"/>
        <v>1313</v>
      </c>
      <c r="IL28" s="727">
        <f t="shared" si="225"/>
        <v>13</v>
      </c>
      <c r="IM28" s="759">
        <v>11.673590386744801</v>
      </c>
      <c r="IN28" s="5">
        <f t="shared" si="226"/>
        <v>4</v>
      </c>
      <c r="IO28" s="771">
        <v>2000</v>
      </c>
      <c r="IP28" s="9">
        <f t="shared" si="227"/>
        <v>-0.29700089575470157</v>
      </c>
      <c r="IQ28" s="5">
        <f t="shared" si="228"/>
        <v>-0.69660210095193653</v>
      </c>
      <c r="IR28" s="5">
        <f t="shared" si="71"/>
        <v>0.26600000000000001</v>
      </c>
      <c r="IS28" s="5">
        <f t="shared" si="229"/>
        <v>0.2303627674612338</v>
      </c>
      <c r="IT28" s="727">
        <f t="shared" si="230"/>
        <v>-14.999997834268264</v>
      </c>
      <c r="IU28" s="9">
        <f t="shared" si="231"/>
        <v>-5.9074999999999998</v>
      </c>
      <c r="IV28" s="5">
        <f t="shared" si="232"/>
        <v>-10.998133170369645</v>
      </c>
      <c r="IW28" s="5">
        <f t="shared" si="76"/>
        <v>0.26600000000000001</v>
      </c>
      <c r="IX28" s="5">
        <f t="shared" si="233"/>
        <v>0.2037678391041951</v>
      </c>
      <c r="IY28" s="762">
        <f t="shared" si="234"/>
        <v>99.999985561788449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0.76643080837444089</v>
      </c>
      <c r="C29" s="708">
        <v>5.3593531224073607E-2</v>
      </c>
      <c r="D29" s="709">
        <v>-0.62020187052884157</v>
      </c>
      <c r="E29" s="710">
        <v>-0.15385467056479674</v>
      </c>
      <c r="F29" s="708">
        <v>0.93122876632763962</v>
      </c>
      <c r="G29" s="711">
        <v>0.33036604714967338</v>
      </c>
      <c r="H29" s="710">
        <v>0.314</v>
      </c>
      <c r="I29" s="708">
        <v>0.52</v>
      </c>
      <c r="J29" s="570">
        <v>2.1030000000000002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2.1030000000000002</v>
      </c>
      <c r="N29" s="632">
        <f t="shared" si="2"/>
        <v>0.76643080837444089</v>
      </c>
      <c r="O29" s="629">
        <f t="shared" si="3"/>
        <v>5.3593531224073607E-2</v>
      </c>
      <c r="P29" s="633">
        <f t="shared" si="4"/>
        <v>-0.62020187052884157</v>
      </c>
      <c r="Q29" s="585">
        <f t="shared" si="113"/>
        <v>3.9999604393003421</v>
      </c>
      <c r="R29" s="629">
        <f>IF(M29="","",SQRT(N29^2+O29^2))</f>
        <v>0.7683023171997887</v>
      </c>
      <c r="S29" s="634">
        <f>IF(M29="","",P29)</f>
        <v>-0.62020187052884157</v>
      </c>
      <c r="T29" s="635">
        <f>IF(M29="","",X29*COS(RADIANS(W29)))</f>
        <v>5.372729779875348E-2</v>
      </c>
      <c r="U29" s="629">
        <f>IF(M29="","",X29*SIN(RADIANS(W29)))</f>
        <v>-0.76642144286665725</v>
      </c>
      <c r="V29" s="636">
        <f>IF(M29="","",Y29)</f>
        <v>-0.62020187052884157</v>
      </c>
      <c r="W29" s="585">
        <f t="shared" si="224"/>
        <v>274.00996043785653</v>
      </c>
      <c r="X29" s="629">
        <f>IF(M29="","",R29)</f>
        <v>0.7683023171997887</v>
      </c>
      <c r="Y29" s="630">
        <f t="shared" si="223"/>
        <v>-0.62020187052884157</v>
      </c>
      <c r="Z29" s="632">
        <f t="shared" si="6"/>
        <v>0.15385467056479674</v>
      </c>
      <c r="AA29" s="629">
        <f t="shared" si="7"/>
        <v>-0.93122876632763962</v>
      </c>
      <c r="AB29" s="629">
        <f t="shared" si="8"/>
        <v>-0.33036604714967338</v>
      </c>
      <c r="AC29" s="636">
        <f>IF(M29="","",SQRT(Z29^2+AA29^2+AB29^2))</f>
        <v>1</v>
      </c>
      <c r="AD29" s="637">
        <f>IF(M29="","",Z29*(1/SQRT(Z29^2+AA29^2+AB29^2)))</f>
        <v>0.15385467056479674</v>
      </c>
      <c r="AE29" s="629">
        <f>IF(M29="","",AA29*(1/SQRT(Z29^2+AA29^2+AB29^2)))</f>
        <v>-0.93122876632763962</v>
      </c>
      <c r="AF29" s="633">
        <f>IF(M29="","",AB29*(1/SQRT(Z29^2+AA29^2+AB29^2)))</f>
        <v>-0.33036604714967338</v>
      </c>
      <c r="AG29" s="602">
        <f>IF(M29="","",DEGREES(ATAN2(-AF29,AE29)))</f>
        <v>-70.467168588357183</v>
      </c>
      <c r="AH29" s="603">
        <f>IF(M29="","",DEGREES(ACOS(AD29)))</f>
        <v>81.149623049812817</v>
      </c>
      <c r="AI29" s="585">
        <f>IF(M29="","",DEGREES(-ACOS(-AF29)))</f>
        <v>-70.709005437865216</v>
      </c>
      <c r="AJ29" s="586">
        <f>IF(M29="","",DEGREES(ATAN2(-AE29,AD29)))</f>
        <v>9.3814792015398236</v>
      </c>
      <c r="AK29" s="635">
        <f>IF(M29="","",(COS(RADIANS((90-$Q$8)-W29))*AD29)+(-SIN(RADIANS((90-$Q$8)-W29))*AE29))</f>
        <v>0.93969263802333447</v>
      </c>
      <c r="AL29" s="629">
        <f>IF(M29="","",(SIN(RADIANS((90-$Q$8)-W29))*AD29)+(COS(RADIANS((90-$Q$8)-W29))*AE29))</f>
        <v>8.8521302156295625E-2</v>
      </c>
      <c r="AM29" s="634">
        <f>IF(M29="","",AF29)</f>
        <v>-0.33036604714967338</v>
      </c>
      <c r="AN29" s="581">
        <f>IF(M29="","",DEGREES(ATAN2(-AM29,AL29)))</f>
        <v>14.999997834268274</v>
      </c>
      <c r="AO29" s="582">
        <f t="shared" si="94"/>
        <v>19.999997112357704</v>
      </c>
      <c r="AP29" s="585">
        <f>IF(M29="","",DEGREES(ATAN2(AK29,AL29)))</f>
        <v>5.3815187622394829</v>
      </c>
      <c r="AQ29" s="586">
        <f t="shared" si="9"/>
        <v>2.9645776040943246</v>
      </c>
      <c r="AS29" s="52">
        <f t="shared" si="116"/>
        <v>-85.990039562143465</v>
      </c>
      <c r="AT29" s="72">
        <f t="shared" si="10"/>
        <v>-0.56047962083391123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2.1030000000000002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24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170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130</v>
      </c>
    </row>
    <row r="30" spans="1:269" ht="15" customHeight="1" x14ac:dyDescent="0.25">
      <c r="A30" s="79"/>
      <c r="B30" s="707">
        <v>1.4850781523194458</v>
      </c>
      <c r="C30" s="708">
        <v>0.1038457502710899</v>
      </c>
      <c r="D30" s="709">
        <v>-0.427201288439086</v>
      </c>
      <c r="E30" s="710">
        <v>-0.13420301969909801</v>
      </c>
      <c r="F30" s="708">
        <v>0.95890018556216505</v>
      </c>
      <c r="G30" s="711">
        <v>0.24999996726497564</v>
      </c>
      <c r="H30" s="710">
        <v>0.314</v>
      </c>
      <c r="I30" s="708">
        <v>0.52</v>
      </c>
      <c r="J30" s="570">
        <v>2.1059999999999999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2.1059999999999999</v>
      </c>
      <c r="N30" s="632">
        <f t="shared" si="2"/>
        <v>1.4850781523194458</v>
      </c>
      <c r="O30" s="629">
        <f t="shared" si="3"/>
        <v>0.1038457502710899</v>
      </c>
      <c r="P30" s="633">
        <f t="shared" si="4"/>
        <v>-0.427201288439086</v>
      </c>
      <c r="Q30" s="585">
        <f t="shared" si="113"/>
        <v>3.9999604393003412</v>
      </c>
      <c r="R30" s="629">
        <f>IF(M30="","",SQRT(N30^2+O30^2))</f>
        <v>1.4887044899327417</v>
      </c>
      <c r="S30" s="634">
        <f>IF(M30="","",P30)</f>
        <v>-0.427201288439086</v>
      </c>
      <c r="T30" s="635">
        <f>IF(M30="","",X30*COS(RADIANS(W30)))</f>
        <v>0.10410494368476415</v>
      </c>
      <c r="U30" s="629">
        <f>IF(M30="","",X30*SIN(RADIANS(W30)))</f>
        <v>-1.4850600052005631</v>
      </c>
      <c r="V30" s="636">
        <f>IF(M30="","",Y30)</f>
        <v>-0.427201288439086</v>
      </c>
      <c r="W30" s="585">
        <f t="shared" si="224"/>
        <v>274.00996043785653</v>
      </c>
      <c r="X30" s="629">
        <f>IF(M30="","",R30)</f>
        <v>1.4887044899327417</v>
      </c>
      <c r="Y30" s="630">
        <f t="shared" si="223"/>
        <v>-0.427201288439086</v>
      </c>
      <c r="Z30" s="632">
        <f t="shared" si="6"/>
        <v>0.13420301969909801</v>
      </c>
      <c r="AA30" s="629">
        <f t="shared" si="7"/>
        <v>-0.95890018556216505</v>
      </c>
      <c r="AB30" s="629">
        <f t="shared" si="8"/>
        <v>-0.24999996726497564</v>
      </c>
      <c r="AC30" s="636">
        <f>IF(M30="","",SQRT(Z30^2+AA30^2+AB30^2))</f>
        <v>1</v>
      </c>
      <c r="AD30" s="637">
        <f>IF(M30="","",Z30*(1/SQRT(Z30^2+AA30^2+AB30^2)))</f>
        <v>0.13420301969909801</v>
      </c>
      <c r="AE30" s="629">
        <f>IF(M30="","",AA30*(1/SQRT(Z30^2+AA30^2+AB30^2)))</f>
        <v>-0.95890018556216505</v>
      </c>
      <c r="AF30" s="633">
        <f>IF(M30="","",AB30*(1/SQRT(Z30^2+AA30^2+AB30^2)))</f>
        <v>-0.24999996726497564</v>
      </c>
      <c r="AG30" s="602">
        <f>IF(M30="","",DEGREES(ATAN2(-AF30,AE30)))</f>
        <v>-75.387400901100847</v>
      </c>
      <c r="AH30" s="603">
        <f>IF(M30="","",DEGREES(ACOS(AD30)))</f>
        <v>82.287463084114179</v>
      </c>
      <c r="AI30" s="585">
        <f>IF(M30="","",DEGREES(-ACOS(-AF30)))</f>
        <v>-75.522489751159469</v>
      </c>
      <c r="AJ30" s="586">
        <f>IF(M30="","",DEGREES(ATAN2(-AE30,AD30)))</f>
        <v>7.9670900843869159</v>
      </c>
      <c r="AK30" s="635">
        <f>IF(M30="","",(COS(RADIANS((90-$Q$8)-W30))*AD30)+(-SIN(RADIANS((90-$Q$8)-W30))*AE30))</f>
        <v>0.96592583607220739</v>
      </c>
      <c r="AL30" s="629">
        <f>IF(M30="","",(SIN(RADIANS((90-$Q$8)-W30))*AD30)+(COS(RADIANS((90-$Q$8)-W30))*AE30))</f>
        <v>6.6987279208207254E-2</v>
      </c>
      <c r="AM30" s="634">
        <f>IF(M30="","",AF30)</f>
        <v>-0.24999996726497564</v>
      </c>
      <c r="AN30" s="581">
        <f>IF(M30="","",DEGREES(ATAN2(-AM30,AL30)))</f>
        <v>14.99999783426828</v>
      </c>
      <c r="AO30" s="582">
        <f>IF(ROUND(IF(M30="",0,DEGREES(ACOS(AK30))),4)=90,0,IF(M30="","",DEGREES(ACOS(AK30))))</f>
        <v>14.999997834268255</v>
      </c>
      <c r="AP30" s="585">
        <f>IF(M30="","",DEGREES(ATAN2(AK30,AL30)))</f>
        <v>3.9671296450865743</v>
      </c>
      <c r="AQ30" s="586">
        <f t="shared" si="9"/>
        <v>1.5309848587845787</v>
      </c>
      <c r="AS30" s="52">
        <f t="shared" si="116"/>
        <v>-85.990039562143465</v>
      </c>
      <c r="AT30" s="72">
        <f t="shared" si="10"/>
        <v>-0.36747903874415566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2.1059999999999999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11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320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2.3099663931691463</v>
      </c>
      <c r="C31" s="708">
        <v>0.16152698282241937</v>
      </c>
      <c r="D31" s="709">
        <v>-0.2056006200914702</v>
      </c>
      <c r="E31" s="710">
        <v>-0.12105932545302002</v>
      </c>
      <c r="F31" s="708">
        <v>0.95981927307832449</v>
      </c>
      <c r="G31" s="711">
        <v>0.25316319390515024</v>
      </c>
      <c r="H31" s="710">
        <v>0.314</v>
      </c>
      <c r="I31" s="708">
        <v>0.52</v>
      </c>
      <c r="J31" s="570">
        <v>2.11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2.11</v>
      </c>
      <c r="N31" s="632">
        <f t="shared" si="2"/>
        <v>2.3099663931691463</v>
      </c>
      <c r="O31" s="629">
        <f t="shared" si="3"/>
        <v>0.16152698282241937</v>
      </c>
      <c r="P31" s="633">
        <f t="shared" si="4"/>
        <v>-0.2056006200914702</v>
      </c>
      <c r="Q31" s="585">
        <f t="shared" si="113"/>
        <v>3.9999604393003412</v>
      </c>
      <c r="R31" s="629">
        <f>IF(M31="","",SQRT(N31^2+O31^2))</f>
        <v>2.315606983870663</v>
      </c>
      <c r="S31" s="634">
        <f>IF(M31="","",P31)</f>
        <v>-0.2056006200914702</v>
      </c>
      <c r="T31" s="635">
        <f>IF(M31="","",X31*COS(RADIANS(W31)))</f>
        <v>0.16193014549367893</v>
      </c>
      <c r="U31" s="629">
        <f>IF(M31="","",X31*SIN(RADIANS(W31)))</f>
        <v>-2.309938166213759</v>
      </c>
      <c r="V31" s="636">
        <f>IF(M31="","",Y31)</f>
        <v>-0.2056006200914702</v>
      </c>
      <c r="W31" s="585">
        <f t="shared" si="224"/>
        <v>274.00996043785653</v>
      </c>
      <c r="X31" s="629">
        <f>IF(M31="","",R31)</f>
        <v>2.315606983870663</v>
      </c>
      <c r="Y31" s="630">
        <f t="shared" si="223"/>
        <v>-0.2056006200914702</v>
      </c>
      <c r="Z31" s="632">
        <f t="shared" si="6"/>
        <v>0.12105932545302002</v>
      </c>
      <c r="AA31" s="629">
        <f t="shared" si="7"/>
        <v>-0.95981927307832449</v>
      </c>
      <c r="AB31" s="629">
        <f t="shared" si="8"/>
        <v>-0.25316319390515024</v>
      </c>
      <c r="AC31" s="636">
        <f>IF(M31="","",SQRT(Z31^2+AA31^2+AB31^2))</f>
        <v>1</v>
      </c>
      <c r="AD31" s="637">
        <f>IF(M31="","",Z31*(1/SQRT(Z31^2+AA31^2+AB31^2)))</f>
        <v>0.12105932545302002</v>
      </c>
      <c r="AE31" s="629">
        <f>IF(M31="","",AA31*(1/SQRT(Z31^2+AA31^2+AB31^2)))</f>
        <v>-0.95981927307832449</v>
      </c>
      <c r="AF31" s="633">
        <f>IF(M31="","",AB31*(1/SQRT(Z31^2+AA31^2+AB31^2)))</f>
        <v>-0.25316319390515024</v>
      </c>
      <c r="AG31" s="602">
        <f>IF(M31="","",DEGREES(ATAN2(-AF31,AE31)))</f>
        <v>-75.224107730540453</v>
      </c>
      <c r="AH31" s="603">
        <f>IF(M31="","",DEGREES(ACOS(AD31)))</f>
        <v>83.046756808250208</v>
      </c>
      <c r="AI31" s="585">
        <f>IF(M31="","",DEGREES(-ACOS(-AF31)))</f>
        <v>-75.33522701738265</v>
      </c>
      <c r="AJ31" s="586">
        <f>IF(M31="","",DEGREES(ATAN2(-AE31,AD31)))</f>
        <v>7.18859817976558</v>
      </c>
      <c r="AK31" s="635">
        <f>IF(M31="","",(COS(RADIANS((90-$Q$8)-W31))*AD31)+(-SIN(RADIANS((90-$Q$8)-W31))*AE31))</f>
        <v>0.96592583607220739</v>
      </c>
      <c r="AL31" s="629">
        <f>IF(M31="","",(SIN(RADIANS((90-$Q$8)-W31))*AD31)+(COS(RADIANS((90-$Q$8)-W31))*AE31))</f>
        <v>5.381149003652029E-2</v>
      </c>
      <c r="AM31" s="634">
        <f>IF(M31="","",AF31)</f>
        <v>-0.25316319390515024</v>
      </c>
      <c r="AN31" s="581">
        <f>IF(M31="","",DEGREES(ATAN2(-AM31,AL31)))</f>
        <v>11.999998267414629</v>
      </c>
      <c r="AO31" s="582">
        <f t="shared" si="94"/>
        <v>14.999997834268255</v>
      </c>
      <c r="AP31" s="585">
        <f>IF(M31="","",DEGREES(ATAN2(AK31,AL31)))</f>
        <v>3.1886377404652406</v>
      </c>
      <c r="AQ31" s="586">
        <f t="shared" si="9"/>
        <v>0.98440811593869992</v>
      </c>
      <c r="AS31" s="52">
        <f t="shared" si="116"/>
        <v>-85.990039562143465</v>
      </c>
      <c r="AT31" s="72">
        <f t="shared" si="10"/>
        <v>-0.14587837039653989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3.0859542470567809</v>
      </c>
      <c r="C32" s="708">
        <v>0.19658306517248655</v>
      </c>
      <c r="D32" s="709">
        <v>-8.6800261789589564E-2</v>
      </c>
      <c r="E32" s="710">
        <v>1.6280976003597777E-3</v>
      </c>
      <c r="F32" s="708">
        <v>0.96695003832543625</v>
      </c>
      <c r="G32" s="711">
        <v>0.2549607277222144</v>
      </c>
      <c r="H32" s="710">
        <v>0.314</v>
      </c>
      <c r="I32" s="708">
        <v>0.52</v>
      </c>
      <c r="J32" s="570">
        <v>2.1150000000000002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2.1150000000000002</v>
      </c>
      <c r="N32" s="632">
        <f t="shared" si="2"/>
        <v>3.0859542470567809</v>
      </c>
      <c r="O32" s="629">
        <f t="shared" si="3"/>
        <v>0.19658306517248655</v>
      </c>
      <c r="P32" s="633">
        <f t="shared" si="4"/>
        <v>-8.6800261789589564E-2</v>
      </c>
      <c r="Q32" s="585">
        <f t="shared" si="113"/>
        <v>3.644960490555992</v>
      </c>
      <c r="R32" s="629">
        <f t="shared" si="79"/>
        <v>3.0922093261033274</v>
      </c>
      <c r="S32" s="634">
        <f t="shared" si="80"/>
        <v>-8.6800261789589564E-2</v>
      </c>
      <c r="T32" s="635">
        <f t="shared" si="81"/>
        <v>0.19712166271962656</v>
      </c>
      <c r="U32" s="629">
        <f t="shared" si="82"/>
        <v>-3.0859198898427427</v>
      </c>
      <c r="V32" s="636">
        <f t="shared" si="114"/>
        <v>-8.6800261789589564E-2</v>
      </c>
      <c r="W32" s="585">
        <f t="shared" si="224"/>
        <v>273.65496048911217</v>
      </c>
      <c r="X32" s="629">
        <f t="shared" si="83"/>
        <v>3.0922093261033274</v>
      </c>
      <c r="Y32" s="630">
        <f t="shared" si="223"/>
        <v>-8.6800261789589564E-2</v>
      </c>
      <c r="Z32" s="632">
        <f t="shared" si="6"/>
        <v>-1.6280976003597777E-3</v>
      </c>
      <c r="AA32" s="629">
        <f t="shared" si="7"/>
        <v>-0.96695003832543625</v>
      </c>
      <c r="AB32" s="629">
        <f t="shared" si="8"/>
        <v>-0.2549607277222144</v>
      </c>
      <c r="AC32" s="636">
        <f t="shared" si="84"/>
        <v>1</v>
      </c>
      <c r="AD32" s="637">
        <f t="shared" si="115"/>
        <v>-1.6280976003597777E-3</v>
      </c>
      <c r="AE32" s="629">
        <f t="shared" si="85"/>
        <v>-0.96695003832543625</v>
      </c>
      <c r="AF32" s="633">
        <f t="shared" si="86"/>
        <v>-0.2549607277222144</v>
      </c>
      <c r="AG32" s="602">
        <f t="shared" si="87"/>
        <v>-75.228721880037384</v>
      </c>
      <c r="AH32" s="603">
        <f t="shared" si="88"/>
        <v>90.093283162346992</v>
      </c>
      <c r="AI32" s="585">
        <f t="shared" si="89"/>
        <v>-75.228741902755431</v>
      </c>
      <c r="AJ32" s="586">
        <f t="shared" si="90"/>
        <v>-9.6471409365879099E-2</v>
      </c>
      <c r="AK32" s="635">
        <f t="shared" si="211"/>
        <v>0.96489053824997062</v>
      </c>
      <c r="AL32" s="629">
        <f t="shared" si="91"/>
        <v>-6.309735743310492E-2</v>
      </c>
      <c r="AM32" s="634">
        <f t="shared" si="92"/>
        <v>-0.2549607277222144</v>
      </c>
      <c r="AN32" s="581">
        <f t="shared" si="93"/>
        <v>-13.900202496745591</v>
      </c>
      <c r="AO32" s="582">
        <f t="shared" si="94"/>
        <v>15.227500720177126</v>
      </c>
      <c r="AP32" s="585">
        <f t="shared" si="95"/>
        <v>-3.7414318999218961</v>
      </c>
      <c r="AQ32" s="586">
        <f t="shared" si="9"/>
        <v>0.73720779730030039</v>
      </c>
      <c r="AS32" s="52">
        <f t="shared" si="116"/>
        <v>-86.34503951088783</v>
      </c>
      <c r="AT32" s="72">
        <f t="shared" si="10"/>
        <v>-2.6831484352475662E-2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2.1150000000000002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3.8527933794269114</v>
      </c>
      <c r="C33" s="708">
        <v>0.18869999789049149</v>
      </c>
      <c r="D33" s="709">
        <v>-0.2445007374142241</v>
      </c>
      <c r="E33" s="710">
        <v>0.13145650909774415</v>
      </c>
      <c r="F33" s="708">
        <v>0.96988310480594808</v>
      </c>
      <c r="G33" s="711">
        <v>0.2050510893114427</v>
      </c>
      <c r="H33" s="710">
        <v>0.314</v>
      </c>
      <c r="I33" s="708">
        <v>0.52</v>
      </c>
      <c r="J33" s="570">
        <v>2.12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2.12</v>
      </c>
      <c r="N33" s="632">
        <f t="shared" si="2"/>
        <v>3.8527933794269114</v>
      </c>
      <c r="O33" s="629">
        <f t="shared" si="3"/>
        <v>0.18869999789049149</v>
      </c>
      <c r="P33" s="633">
        <f t="shared" si="4"/>
        <v>-0.2445007374142241</v>
      </c>
      <c r="Q33" s="585">
        <f t="shared" si="113"/>
        <v>2.803960611981354</v>
      </c>
      <c r="R33" s="629">
        <f t="shared" si="79"/>
        <v>3.8574116339534874</v>
      </c>
      <c r="S33" s="634">
        <f t="shared" si="80"/>
        <v>-0.2445007374142241</v>
      </c>
      <c r="T33" s="635">
        <f t="shared" si="81"/>
        <v>0.18937243421462635</v>
      </c>
      <c r="U33" s="629">
        <f t="shared" si="82"/>
        <v>-3.8527603863878355</v>
      </c>
      <c r="V33" s="636">
        <f t="shared" si="114"/>
        <v>-0.2445007374142241</v>
      </c>
      <c r="W33" s="585">
        <f t="shared" si="224"/>
        <v>272.81396061053755</v>
      </c>
      <c r="X33" s="629">
        <f t="shared" si="83"/>
        <v>3.8574116339534874</v>
      </c>
      <c r="Y33" s="630">
        <f t="shared" si="223"/>
        <v>-0.2445007374142241</v>
      </c>
      <c r="Z33" s="632">
        <f t="shared" si="6"/>
        <v>-0.13145650909774415</v>
      </c>
      <c r="AA33" s="629">
        <f t="shared" si="7"/>
        <v>-0.96988310480594808</v>
      </c>
      <c r="AB33" s="629">
        <f t="shared" si="8"/>
        <v>-0.2050510893114427</v>
      </c>
      <c r="AC33" s="636">
        <f t="shared" si="84"/>
        <v>1</v>
      </c>
      <c r="AD33" s="637">
        <f t="shared" si="115"/>
        <v>-0.13145650909774415</v>
      </c>
      <c r="AE33" s="629">
        <f t="shared" si="85"/>
        <v>-0.96988310480594808</v>
      </c>
      <c r="AF33" s="633">
        <f t="shared" si="86"/>
        <v>-0.2050510893114427</v>
      </c>
      <c r="AG33" s="602">
        <f t="shared" si="87"/>
        <v>-78.062409888462383</v>
      </c>
      <c r="AH33" s="603">
        <f t="shared" si="88"/>
        <v>97.553766511308439</v>
      </c>
      <c r="AI33" s="585">
        <f t="shared" si="89"/>
        <v>-78.167510216078512</v>
      </c>
      <c r="AJ33" s="586">
        <f t="shared" si="90"/>
        <v>-7.7187475937647063</v>
      </c>
      <c r="AK33" s="635">
        <f t="shared" si="211"/>
        <v>0.96229122382267818</v>
      </c>
      <c r="AL33" s="629">
        <f t="shared" si="91"/>
        <v>-0.17874465397891803</v>
      </c>
      <c r="AM33" s="634">
        <f t="shared" si="92"/>
        <v>-0.2050510893114427</v>
      </c>
      <c r="AN33" s="581">
        <f t="shared" si="93"/>
        <v>-41.078919664100852</v>
      </c>
      <c r="AO33" s="582">
        <f t="shared" si="94"/>
        <v>15.784582860149385</v>
      </c>
      <c r="AP33" s="585">
        <f t="shared" si="95"/>
        <v>-10.522708205746076</v>
      </c>
      <c r="AQ33" s="586">
        <f t="shared" si="9"/>
        <v>0.59097809661353806</v>
      </c>
      <c r="AS33" s="52">
        <f t="shared" si="116"/>
        <v>-87.186039389462451</v>
      </c>
      <c r="AT33" s="72">
        <f t="shared" si="10"/>
        <v>-0.18394793228365561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2.12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4.5068683591677203</v>
      </c>
      <c r="C34" s="708">
        <v>0.14848143684602386</v>
      </c>
      <c r="D34" s="709">
        <v>-0.65170196553312809</v>
      </c>
      <c r="E34" s="710">
        <v>0.20887934721337256</v>
      </c>
      <c r="F34" s="708">
        <v>0.96662265711591855</v>
      </c>
      <c r="G34" s="711">
        <v>0.14835786820346566</v>
      </c>
      <c r="H34" s="710">
        <v>0.314</v>
      </c>
      <c r="I34" s="708">
        <v>0.52</v>
      </c>
      <c r="J34" s="570">
        <v>2.125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2.125</v>
      </c>
      <c r="N34" s="632">
        <f t="shared" si="2"/>
        <v>4.5068683591677203</v>
      </c>
      <c r="O34" s="629">
        <f t="shared" si="3"/>
        <v>0.14848143684602386</v>
      </c>
      <c r="P34" s="633">
        <f t="shared" si="4"/>
        <v>-0.65170196553312809</v>
      </c>
      <c r="Q34" s="585">
        <f t="shared" si="113"/>
        <v>1.8869607443797507</v>
      </c>
      <c r="R34" s="629">
        <f>IF(M34="","",SQRT(N34^2+O34^2))</f>
        <v>4.5093136000898184</v>
      </c>
      <c r="S34" s="634">
        <f>IF(M34="","",P34)</f>
        <v>-0.65170196553312809</v>
      </c>
      <c r="T34" s="635">
        <f>IF(M34="","",X34*COS(RADIANS(W34)))</f>
        <v>0.14926803138517158</v>
      </c>
      <c r="U34" s="629">
        <f>IF(M34="","",X34*SIN(RADIANS(W34)))</f>
        <v>-4.5068423756285725</v>
      </c>
      <c r="V34" s="636">
        <f>IF(M34="","",Y34)</f>
        <v>-0.65170196553312809</v>
      </c>
      <c r="W34" s="585">
        <f t="shared" si="224"/>
        <v>271.8969607429359</v>
      </c>
      <c r="X34" s="629">
        <f>IF(M34="","",R34)</f>
        <v>4.5093136000898184</v>
      </c>
      <c r="Y34" s="630">
        <f t="shared" si="223"/>
        <v>-0.65170196553312809</v>
      </c>
      <c r="Z34" s="632">
        <f t="shared" si="6"/>
        <v>-0.20887934721337256</v>
      </c>
      <c r="AA34" s="629">
        <f t="shared" si="7"/>
        <v>-0.96662265711591855</v>
      </c>
      <c r="AB34" s="629">
        <f t="shared" si="8"/>
        <v>-0.14835786820346566</v>
      </c>
      <c r="AC34" s="636">
        <f>IF(M34="","",SQRT(Z34^2+AA34^2+AB34^2))</f>
        <v>1</v>
      </c>
      <c r="AD34" s="637">
        <f>IF(M34="","",Z34*(1/SQRT(Z34^2+AA34^2+AB34^2)))</f>
        <v>-0.20887934721337256</v>
      </c>
      <c r="AE34" s="629">
        <f>IF(M34="","",AA34*(1/SQRT(Z34^2+AA34^2+AB34^2)))</f>
        <v>-0.96662265711591855</v>
      </c>
      <c r="AF34" s="633">
        <f>IF(M34="","",AB34*(1/SQRT(Z34^2+AA34^2+AB34^2)))</f>
        <v>-0.14835786820346566</v>
      </c>
      <c r="AG34" s="602">
        <f>IF(M34="","",DEGREES(ATAN2(-AF34,AE34)))</f>
        <v>-81.274296803466825</v>
      </c>
      <c r="AH34" s="603">
        <f>IF(M34="","",DEGREES(ACOS(AD34)))</f>
        <v>102.05668721864447</v>
      </c>
      <c r="AI34" s="585">
        <f>IF(M34="","",DEGREES(-ACOS(-AF34)))</f>
        <v>-81.468225404013808</v>
      </c>
      <c r="AJ34" s="586">
        <f>IF(M34="","",DEGREES(ATAN2(-AE34,AD34)))</f>
        <v>-12.193665042836876</v>
      </c>
      <c r="AK34" s="635">
        <f>IF(M34="","",(COS(RADIANS((90-$Q$8)-W34))*AD34)+(-SIN(RADIANS((90-$Q$8)-W34))*AE34))</f>
        <v>0.95922057027093999</v>
      </c>
      <c r="AL34" s="629">
        <f>IF(M34="","",(SIN(RADIANS((90-$Q$8)-W34))*AD34)+(COS(RADIANS((90-$Q$8)-W34))*AE34))</f>
        <v>-0.24059476409767519</v>
      </c>
      <c r="AM34" s="634">
        <f>IF(M34="","",AF34)</f>
        <v>-0.14835786820346566</v>
      </c>
      <c r="AN34" s="581">
        <f>IF(M34="","",DEGREES(ATAN2(-AM34,AL34)))</f>
        <v>-58.340784980534913</v>
      </c>
      <c r="AO34" s="582">
        <f t="shared" si="94"/>
        <v>16.418943963175213</v>
      </c>
      <c r="AP34" s="585">
        <f>IF(M34="","",DEGREES(ATAN2(AK34,AL34)))</f>
        <v>-14.080625787216604</v>
      </c>
      <c r="AQ34" s="586">
        <f t="shared" si="9"/>
        <v>0.50554644729274101</v>
      </c>
      <c r="AS34" s="52">
        <f t="shared" si="116"/>
        <v>-88.103039257064097</v>
      </c>
      <c r="AT34" s="72">
        <f t="shared" si="10"/>
        <v>-0.59051235493894738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2.125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5.0113914739584464</v>
      </c>
      <c r="C35" s="708">
        <v>9.6220207185156892E-2</v>
      </c>
      <c r="D35" s="709">
        <v>-1.2236036903887304</v>
      </c>
      <c r="E35" s="710">
        <v>0.25369397333586247</v>
      </c>
      <c r="F35" s="708">
        <v>0.96143621232671828</v>
      </c>
      <c r="G35" s="711">
        <v>0.10620629698806078</v>
      </c>
      <c r="H35" s="710">
        <v>0.314</v>
      </c>
      <c r="I35" s="708">
        <v>0.52</v>
      </c>
      <c r="J35" s="570">
        <v>2.13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2.13</v>
      </c>
      <c r="N35" s="632">
        <f t="shared" si="2"/>
        <v>5.0113914739584464</v>
      </c>
      <c r="O35" s="629">
        <f t="shared" si="3"/>
        <v>9.6220207185156892E-2</v>
      </c>
      <c r="P35" s="633">
        <f t="shared" si="4"/>
        <v>-1.2236036903887304</v>
      </c>
      <c r="Q35" s="585">
        <f t="shared" si="113"/>
        <v>1.0999608580084752</v>
      </c>
      <c r="R35" s="629">
        <f>IF(M35="","",SQRT(N35^2+O35^2))</f>
        <v>5.0123151171423936</v>
      </c>
      <c r="S35" s="634">
        <f>IF(M35="","",P35)</f>
        <v>-1.2236036903887304</v>
      </c>
      <c r="T35" s="635">
        <f>IF(M35="","",X35*COS(RADIANS(W35)))</f>
        <v>9.7094858402185236E-2</v>
      </c>
      <c r="U35" s="629">
        <f>IF(M35="","",X35*SIN(RADIANS(W35)))</f>
        <v>-5.011374604038898</v>
      </c>
      <c r="V35" s="636">
        <f>IF(M35="","",Y35)</f>
        <v>-1.2236036903887304</v>
      </c>
      <c r="W35" s="585">
        <f t="shared" si="224"/>
        <v>271.10996085656467</v>
      </c>
      <c r="X35" s="629">
        <f>IF(M35="","",R35)</f>
        <v>5.0123151171423936</v>
      </c>
      <c r="Y35" s="630">
        <f t="shared" si="223"/>
        <v>-1.2236036903887304</v>
      </c>
      <c r="Z35" s="632">
        <f t="shared" si="6"/>
        <v>-0.25369397333586247</v>
      </c>
      <c r="AA35" s="629">
        <f t="shared" si="7"/>
        <v>-0.96143621232671828</v>
      </c>
      <c r="AB35" s="629">
        <f t="shared" si="8"/>
        <v>-0.10620629698806078</v>
      </c>
      <c r="AC35" s="636">
        <f>IF(M35="","",SQRT(Z35^2+AA35^2+AB35^2))</f>
        <v>1</v>
      </c>
      <c r="AD35" s="637">
        <f>IF(M35="","",Z35*(1/SQRT(Z35^2+AA35^2+AB35^2)))</f>
        <v>-0.25369397333586247</v>
      </c>
      <c r="AE35" s="629">
        <f>IF(M35="","",AA35*(1/SQRT(Z35^2+AA35^2+AB35^2)))</f>
        <v>-0.96143621232671828</v>
      </c>
      <c r="AF35" s="633">
        <f>IF(M35="","",AB35*(1/SQRT(Z35^2+AA35^2+AB35^2)))</f>
        <v>-0.10620629698806078</v>
      </c>
      <c r="AG35" s="602">
        <f>IF(M35="","",DEGREES(ATAN2(-AF35,AE35)))</f>
        <v>-83.696305478972334</v>
      </c>
      <c r="AH35" s="603">
        <f>IF(M35="","",DEGREES(ACOS(AD35)))</f>
        <v>104.69621071748732</v>
      </c>
      <c r="AI35" s="585">
        <f>IF(M35="","",DEGREES(-ACOS(-AF35)))</f>
        <v>-83.903329065393208</v>
      </c>
      <c r="AJ35" s="586">
        <f>IF(M35="","",DEGREES(ATAN2(-AE35,AD35)))</f>
        <v>-14.781703099461222</v>
      </c>
      <c r="AK35" s="635">
        <f>IF(M35="","",(COS(RADIANS((90-$Q$8)-W35))*AD35)+(-SIN(RADIANS((90-$Q$8)-W35))*AE35))</f>
        <v>0.95638894173636857</v>
      </c>
      <c r="AL35" s="629">
        <f>IF(M35="","",(SIN(RADIANS((90-$Q$8)-W35))*AD35)+(COS(RADIANS((90-$Q$8)-W35))*AE35))</f>
        <v>-0.27210368355550196</v>
      </c>
      <c r="AM35" s="634">
        <f>IF(M35="","",AF35)</f>
        <v>-0.10620629698806078</v>
      </c>
      <c r="AN35" s="581">
        <f>IF(M35="","",DEGREES(ATAN2(-AM35,AL35)))</f>
        <v>-68.678525601502443</v>
      </c>
      <c r="AO35" s="582">
        <f t="shared" si="94"/>
        <v>16.983494424910401</v>
      </c>
      <c r="AP35" s="585">
        <f>IF(M35="","",DEGREES(ATAN2(AK35,AL35)))</f>
        <v>-15.881663957469705</v>
      </c>
      <c r="AQ35" s="586">
        <f t="shared" si="9"/>
        <v>0.45481552832778943</v>
      </c>
      <c r="AS35" s="52">
        <f t="shared" si="116"/>
        <v>-88.890039143435331</v>
      </c>
      <c r="AT35" s="72">
        <f t="shared" si="10"/>
        <v>-1.1618675520956807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2.13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5.3847233487222033</v>
      </c>
      <c r="C36" s="708">
        <v>4.557827677781294E-2</v>
      </c>
      <c r="D36" s="709">
        <v>-1.8888056966379811</v>
      </c>
      <c r="E36" s="710">
        <v>0.29673161025847489</v>
      </c>
      <c r="F36" s="708">
        <v>0.95198575907678207</v>
      </c>
      <c r="G36" s="711">
        <v>7.5322413585967765E-2</v>
      </c>
      <c r="H36" s="710">
        <v>0.314</v>
      </c>
      <c r="I36" s="708">
        <v>0.52</v>
      </c>
      <c r="J36" s="570">
        <v>2.1349999999999998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2.1349999999999998</v>
      </c>
      <c r="N36" s="632">
        <f t="shared" si="2"/>
        <v>5.3847233487222033</v>
      </c>
      <c r="O36" s="629">
        <f t="shared" si="3"/>
        <v>4.557827677781294E-2</v>
      </c>
      <c r="P36" s="633">
        <f t="shared" si="4"/>
        <v>-1.8888056966379811</v>
      </c>
      <c r="Q36" s="585">
        <f t="shared" si="113"/>
        <v>0.48496094680347623</v>
      </c>
      <c r="R36" s="629">
        <f>IF(M36="","",SQRT(N36^2+O36^2))</f>
        <v>5.3849162409073825</v>
      </c>
      <c r="S36" s="634">
        <f>IF(M36="","",P36)</f>
        <v>-1.8888056966379811</v>
      </c>
      <c r="T36" s="635">
        <f>IF(M36="","",X36*COS(RADIANS(W36)))</f>
        <v>4.6518087460595214E-2</v>
      </c>
      <c r="U36" s="629">
        <f>IF(M36="","",X36*SIN(RADIANS(W36)))</f>
        <v>-5.3847153117994182</v>
      </c>
      <c r="V36" s="636">
        <f>IF(M36="","",Y36)</f>
        <v>-1.8888056966379811</v>
      </c>
      <c r="W36" s="585">
        <f t="shared" si="224"/>
        <v>270.49496094535965</v>
      </c>
      <c r="X36" s="629">
        <f>IF(M36="","",R36)</f>
        <v>5.3849162409073825</v>
      </c>
      <c r="Y36" s="630">
        <f t="shared" si="223"/>
        <v>-1.8888056966379811</v>
      </c>
      <c r="Z36" s="632">
        <f t="shared" si="6"/>
        <v>-0.29673161025847489</v>
      </c>
      <c r="AA36" s="629">
        <f t="shared" si="7"/>
        <v>-0.95198575907678207</v>
      </c>
      <c r="AB36" s="629">
        <f t="shared" si="8"/>
        <v>-7.5322413585967765E-2</v>
      </c>
      <c r="AC36" s="636">
        <f>IF(M36="","",SQRT(Z36^2+AA36^2+AB36^2))</f>
        <v>1</v>
      </c>
      <c r="AD36" s="637">
        <f>IF(M36="","",Z36*(1/SQRT(Z36^2+AA36^2+AB36^2)))</f>
        <v>-0.29673161025847489</v>
      </c>
      <c r="AE36" s="629">
        <f>IF(M36="","",AA36*(1/SQRT(Z36^2+AA36^2+AB36^2)))</f>
        <v>-0.95198575907678207</v>
      </c>
      <c r="AF36" s="633">
        <f>IF(M36="","",AB36*(1/SQRT(Z36^2+AA36^2+AB36^2)))</f>
        <v>-7.5322413585967765E-2</v>
      </c>
      <c r="AG36" s="602">
        <f>IF(M36="","",DEGREES(ATAN2(-AF36,AE36)))</f>
        <v>-85.476104106318985</v>
      </c>
      <c r="AH36" s="603">
        <f>IF(M36="","",DEGREES(ACOS(AD36)))</f>
        <v>107.26140139135141</v>
      </c>
      <c r="AI36" s="585">
        <f>IF(M36="","",DEGREES(-ACOS(-AF36)))</f>
        <v>-85.680252356667069</v>
      </c>
      <c r="AJ36" s="586">
        <f>IF(M36="","",DEGREES(ATAN2(-AE36,AD36)))</f>
        <v>-17.312127540564365</v>
      </c>
      <c r="AK36" s="635">
        <f>IF(M36="","",(COS(RADIANS((90-$Q$8)-W36))*AD36)+(-SIN(RADIANS((90-$Q$8)-W36))*AE36))</f>
        <v>0.94944010275435342</v>
      </c>
      <c r="AL36" s="629">
        <f>IF(M36="","",(SIN(RADIANS((90-$Q$8)-W36))*AD36)+(COS(RADIANS((90-$Q$8)-W36))*AE36))</f>
        <v>-0.30477864966789786</v>
      </c>
      <c r="AM36" s="634">
        <f>IF(M36="","",AF36)</f>
        <v>-7.5322413585967765E-2</v>
      </c>
      <c r="AN36" s="581">
        <f>IF(M36="","",DEGREES(ATAN2(-AM36,AL36)))</f>
        <v>-76.118189865492226</v>
      </c>
      <c r="AO36" s="582">
        <f t="shared" si="94"/>
        <v>18.297331094364502</v>
      </c>
      <c r="AP36" s="585">
        <f>IF(M36="","",DEGREES(ATAN2(AK36,AL36)))</f>
        <v>-17.797088487367844</v>
      </c>
      <c r="AQ36" s="586">
        <f t="shared" si="9"/>
        <v>0.42334644462255894</v>
      </c>
      <c r="AS36" s="52">
        <f t="shared" si="116"/>
        <v>-89.505039054640349</v>
      </c>
      <c r="AT36" s="72">
        <f t="shared" si="10"/>
        <v>-1.8266424750732613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2.1349999999999998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5.6450155115247869</v>
      </c>
      <c r="C37" s="708">
        <v>4.1341718536279937E-3</v>
      </c>
      <c r="D37" s="709">
        <v>-2.6060078597197043</v>
      </c>
      <c r="E37" s="710">
        <v>0.32990992499887023</v>
      </c>
      <c r="F37" s="708">
        <v>0.94304860116292277</v>
      </c>
      <c r="G37" s="711">
        <v>4.264712454427199E-2</v>
      </c>
      <c r="H37" s="710">
        <v>0.314</v>
      </c>
      <c r="I37" s="708">
        <v>0.52</v>
      </c>
      <c r="J37" s="570">
        <v>2.14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2.14</v>
      </c>
      <c r="N37" s="632">
        <f t="shared" si="2"/>
        <v>5.6450155115247869</v>
      </c>
      <c r="O37" s="629">
        <f t="shared" si="3"/>
        <v>4.1341718536279937E-3</v>
      </c>
      <c r="P37" s="633">
        <f t="shared" si="4"/>
        <v>-2.6060078597197043</v>
      </c>
      <c r="Q37" s="585">
        <f t="shared" si="113"/>
        <v>4.1961010764756008E-2</v>
      </c>
      <c r="R37" s="629">
        <f t="shared" si="79"/>
        <v>5.645017025371347</v>
      </c>
      <c r="S37" s="634">
        <f t="shared" si="80"/>
        <v>-2.6060078597197043</v>
      </c>
      <c r="T37" s="635">
        <f t="shared" si="81"/>
        <v>5.1194127134257094E-3</v>
      </c>
      <c r="U37" s="629">
        <f t="shared" si="82"/>
        <v>-5.64501470399731</v>
      </c>
      <c r="V37" s="636">
        <f t="shared" si="114"/>
        <v>-2.6060078597197043</v>
      </c>
      <c r="W37" s="585">
        <f t="shared" si="224"/>
        <v>270.05196100932091</v>
      </c>
      <c r="X37" s="629">
        <f t="shared" si="83"/>
        <v>5.645017025371347</v>
      </c>
      <c r="Y37" s="630">
        <f t="shared" si="223"/>
        <v>-2.6060078597197043</v>
      </c>
      <c r="Z37" s="632">
        <f t="shared" si="6"/>
        <v>-0.32990992499887023</v>
      </c>
      <c r="AA37" s="629">
        <f t="shared" si="7"/>
        <v>-0.94304860116292277</v>
      </c>
      <c r="AB37" s="629">
        <f t="shared" si="8"/>
        <v>-4.264712454427199E-2</v>
      </c>
      <c r="AC37" s="636">
        <f t="shared" si="84"/>
        <v>1</v>
      </c>
      <c r="AD37" s="637">
        <f t="shared" si="115"/>
        <v>-0.32990992499887023</v>
      </c>
      <c r="AE37" s="629">
        <f t="shared" si="85"/>
        <v>-0.94304860116292277</v>
      </c>
      <c r="AF37" s="633">
        <f t="shared" si="86"/>
        <v>-4.264712454427199E-2</v>
      </c>
      <c r="AG37" s="602">
        <f t="shared" si="87"/>
        <v>-87.410699129601255</v>
      </c>
      <c r="AH37" s="603">
        <f t="shared" si="88"/>
        <v>109.26330839870387</v>
      </c>
      <c r="AI37" s="585">
        <f t="shared" si="89"/>
        <v>-87.555758451262079</v>
      </c>
      <c r="AJ37" s="586">
        <f t="shared" si="90"/>
        <v>-19.281543445773469</v>
      </c>
      <c r="AK37" s="635">
        <f t="shared" si="211"/>
        <v>0.94280673617812205</v>
      </c>
      <c r="AL37" s="629">
        <f t="shared" si="91"/>
        <v>-0.33060048545829862</v>
      </c>
      <c r="AM37" s="634">
        <f t="shared" si="92"/>
        <v>-4.264712454427199E-2</v>
      </c>
      <c r="AN37" s="581">
        <f t="shared" si="93"/>
        <v>-82.649496263270976</v>
      </c>
      <c r="AO37" s="582">
        <f t="shared" si="94"/>
        <v>19.471616900362591</v>
      </c>
      <c r="AP37" s="585">
        <f t="shared" si="95"/>
        <v>-19.323504456538174</v>
      </c>
      <c r="AQ37" s="586">
        <f t="shared" si="9"/>
        <v>0.40384092197556215</v>
      </c>
      <c r="AS37" s="52">
        <f t="shared" si="116"/>
        <v>-89.948038990679095</v>
      </c>
      <c r="AT37" s="72">
        <f t="shared" si="10"/>
        <v>-2.543536999310513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2.14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5.8054678268214159</v>
      </c>
      <c r="C38" s="708">
        <v>-2.4017996695124198E-2</v>
      </c>
      <c r="D38" s="709">
        <v>-3.3519101093608903</v>
      </c>
      <c r="E38" s="710">
        <v>0.36827851564074005</v>
      </c>
      <c r="F38" s="708">
        <v>0.92955229785052085</v>
      </c>
      <c r="G38" s="711">
        <v>1.7420117056719673E-2</v>
      </c>
      <c r="H38" s="710">
        <v>0.314</v>
      </c>
      <c r="I38" s="708">
        <v>0.52</v>
      </c>
      <c r="J38" s="570">
        <v>2.145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2.145</v>
      </c>
      <c r="N38" s="632">
        <f t="shared" si="2"/>
        <v>5.8054678268214159</v>
      </c>
      <c r="O38" s="629">
        <f t="shared" si="3"/>
        <v>-2.4017996695124198E-2</v>
      </c>
      <c r="P38" s="633">
        <f t="shared" si="4"/>
        <v>-3.3519101093608903</v>
      </c>
      <c r="Q38" s="585">
        <f t="shared" si="113"/>
        <v>359.76296105104734</v>
      </c>
      <c r="R38" s="629">
        <f t="shared" si="79"/>
        <v>5.8055175094408096</v>
      </c>
      <c r="S38" s="634">
        <f t="shared" si="80"/>
        <v>-3.3519101093608903</v>
      </c>
      <c r="T38" s="635">
        <f t="shared" si="81"/>
        <v>-2.3004751198785419E-2</v>
      </c>
      <c r="U38" s="629">
        <f t="shared" si="82"/>
        <v>-5.8054719303297038</v>
      </c>
      <c r="V38" s="636">
        <f t="shared" si="114"/>
        <v>-3.3519101093608903</v>
      </c>
      <c r="W38" s="585">
        <f t="shared" si="224"/>
        <v>269.77296104960351</v>
      </c>
      <c r="X38" s="629">
        <f t="shared" si="83"/>
        <v>5.8055175094408096</v>
      </c>
      <c r="Y38" s="630">
        <f t="shared" si="223"/>
        <v>-3.3519101093608903</v>
      </c>
      <c r="Z38" s="632">
        <f t="shared" si="6"/>
        <v>-0.36827851564074005</v>
      </c>
      <c r="AA38" s="629">
        <f t="shared" si="7"/>
        <v>-0.92955229785052085</v>
      </c>
      <c r="AB38" s="629">
        <f t="shared" si="8"/>
        <v>-1.7420117056719673E-2</v>
      </c>
      <c r="AC38" s="636">
        <f t="shared" si="84"/>
        <v>1</v>
      </c>
      <c r="AD38" s="637">
        <f t="shared" si="115"/>
        <v>-0.36827851564074005</v>
      </c>
      <c r="AE38" s="629">
        <f t="shared" si="85"/>
        <v>-0.92955229785052085</v>
      </c>
      <c r="AF38" s="633">
        <f t="shared" si="86"/>
        <v>-1.7420117056719673E-2</v>
      </c>
      <c r="AG38" s="602">
        <f t="shared" si="87"/>
        <v>-88.926383842243908</v>
      </c>
      <c r="AH38" s="603">
        <f t="shared" si="88"/>
        <v>111.60948799733404</v>
      </c>
      <c r="AI38" s="585">
        <f t="shared" si="89"/>
        <v>-89.001850326521975</v>
      </c>
      <c r="AJ38" s="586">
        <f t="shared" si="90"/>
        <v>-21.61293248877395</v>
      </c>
      <c r="AK38" s="635">
        <f t="shared" si="211"/>
        <v>0.93106794732780107</v>
      </c>
      <c r="AL38" s="629">
        <f t="shared" si="91"/>
        <v>-0.36442971473320507</v>
      </c>
      <c r="AM38" s="634">
        <f t="shared" si="92"/>
        <v>-1.7420117056719673E-2</v>
      </c>
      <c r="AN38" s="581">
        <f t="shared" si="93"/>
        <v>-87.263285655272057</v>
      </c>
      <c r="AO38" s="582">
        <f t="shared" si="94"/>
        <v>21.398094942520345</v>
      </c>
      <c r="AP38" s="585">
        <f t="shared" si="95"/>
        <v>-21.375893539821277</v>
      </c>
      <c r="AQ38" s="586">
        <f t="shared" si="9"/>
        <v>0.39267661063204146</v>
      </c>
      <c r="AS38" s="52">
        <f t="shared" si="116"/>
        <v>-90.227038950396491</v>
      </c>
      <c r="AT38" s="72">
        <f t="shared" si="10"/>
        <v>-3.2892454989796733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2.145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5.8744030194916013</v>
      </c>
      <c r="C39" s="708">
        <v>-3.6709376774894019E-2</v>
      </c>
      <c r="D39" s="709">
        <v>-4.1119124015278024</v>
      </c>
      <c r="E39" s="710">
        <v>0.52613558110908498</v>
      </c>
      <c r="F39" s="708">
        <v>0.84907259269581248</v>
      </c>
      <c r="G39" s="711">
        <v>4.7508763652788485E-2</v>
      </c>
      <c r="H39" s="710">
        <v>0.314</v>
      </c>
      <c r="I39" s="708">
        <v>0.52</v>
      </c>
      <c r="J39" s="570">
        <v>2.15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2.15</v>
      </c>
      <c r="N39" s="632">
        <f t="shared" si="2"/>
        <v>5.8744030194916013</v>
      </c>
      <c r="O39" s="629">
        <f t="shared" si="3"/>
        <v>-3.6709376774894019E-2</v>
      </c>
      <c r="P39" s="633">
        <f t="shared" si="4"/>
        <v>-4.1119124015278024</v>
      </c>
      <c r="Q39" s="585">
        <f t="shared" si="113"/>
        <v>359.64196106851762</v>
      </c>
      <c r="R39" s="629">
        <f t="shared" si="79"/>
        <v>5.8745177175454364</v>
      </c>
      <c r="S39" s="634">
        <f t="shared" si="80"/>
        <v>-4.1119124015278024</v>
      </c>
      <c r="T39" s="635">
        <f t="shared" si="81"/>
        <v>-3.5684099626223542E-2</v>
      </c>
      <c r="U39" s="629">
        <f t="shared" si="82"/>
        <v>-5.8744093370133061</v>
      </c>
      <c r="V39" s="636">
        <f t="shared" si="114"/>
        <v>-4.1119124015278024</v>
      </c>
      <c r="W39" s="585">
        <f t="shared" si="224"/>
        <v>269.65196106707378</v>
      </c>
      <c r="X39" s="629">
        <f t="shared" si="83"/>
        <v>5.8745177175454364</v>
      </c>
      <c r="Y39" s="630">
        <f t="shared" si="223"/>
        <v>-4.1119124015278024</v>
      </c>
      <c r="Z39" s="632">
        <f t="shared" si="6"/>
        <v>-0.52613558110908498</v>
      </c>
      <c r="AA39" s="629">
        <f t="shared" si="7"/>
        <v>-0.84907259269581248</v>
      </c>
      <c r="AB39" s="629">
        <f t="shared" si="8"/>
        <v>-4.7508763652788485E-2</v>
      </c>
      <c r="AC39" s="636">
        <f t="shared" si="84"/>
        <v>1</v>
      </c>
      <c r="AD39" s="637">
        <f t="shared" si="115"/>
        <v>-0.52613558110908498</v>
      </c>
      <c r="AE39" s="629">
        <f t="shared" si="85"/>
        <v>-0.84907259269581248</v>
      </c>
      <c r="AF39" s="633">
        <f t="shared" si="86"/>
        <v>-4.7508763652788485E-2</v>
      </c>
      <c r="AG39" s="602">
        <f t="shared" si="87"/>
        <v>-86.797427869383654</v>
      </c>
      <c r="AH39" s="603">
        <f t="shared" si="88"/>
        <v>121.74472151775939</v>
      </c>
      <c r="AI39" s="585">
        <f t="shared" si="89"/>
        <v>-87.276923328786268</v>
      </c>
      <c r="AJ39" s="586">
        <f t="shared" si="90"/>
        <v>-31.784803032643772</v>
      </c>
      <c r="AK39" s="635">
        <f t="shared" si="211"/>
        <v>0.8523437926873062</v>
      </c>
      <c r="AL39" s="629">
        <f t="shared" si="91"/>
        <v>-0.5208195238694513</v>
      </c>
      <c r="AM39" s="634">
        <f t="shared" si="92"/>
        <v>-4.7508763652788485E-2</v>
      </c>
      <c r="AN39" s="581">
        <f t="shared" si="93"/>
        <v>-84.787946735733669</v>
      </c>
      <c r="AO39" s="582">
        <f t="shared" si="94"/>
        <v>31.532484290097806</v>
      </c>
      <c r="AP39" s="585">
        <f t="shared" si="95"/>
        <v>-31.426764101161378</v>
      </c>
      <c r="AQ39" s="586">
        <f t="shared" si="9"/>
        <v>0.38806449852083563</v>
      </c>
      <c r="AS39" s="52">
        <f t="shared" si="116"/>
        <v>-90.348038932926215</v>
      </c>
      <c r="AT39" s="72">
        <f t="shared" si="10"/>
        <v>-4.0491637633809399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2.15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5.9448075331733268</v>
      </c>
      <c r="C40" s="708">
        <v>-5.0015833662248661E-2</v>
      </c>
      <c r="D40" s="709">
        <v>-4.7961144650812244</v>
      </c>
      <c r="E40" s="710">
        <v>0.64920956762126658</v>
      </c>
      <c r="F40" s="708">
        <v>0.76060958270916368</v>
      </c>
      <c r="G40" s="711">
        <v>2.1988039814664991E-17</v>
      </c>
      <c r="H40" s="710">
        <v>0.26600000000000001</v>
      </c>
      <c r="I40" s="708">
        <v>0.52</v>
      </c>
      <c r="J40" s="570">
        <v>2.1549999999999998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2.1549999999999998</v>
      </c>
      <c r="N40" s="632">
        <f t="shared" si="2"/>
        <v>5.9448075331733268</v>
      </c>
      <c r="O40" s="629">
        <f t="shared" si="3"/>
        <v>-5.0015833662248661E-2</v>
      </c>
      <c r="P40" s="633">
        <f t="shared" si="4"/>
        <v>-4.7961144650812244</v>
      </c>
      <c r="Q40" s="585">
        <f t="shared" si="113"/>
        <v>359.517961086421</v>
      </c>
      <c r="R40" s="629">
        <f t="shared" si="79"/>
        <v>5.9450179301740773</v>
      </c>
      <c r="S40" s="634">
        <f t="shared" si="80"/>
        <v>-4.7961144650812244</v>
      </c>
      <c r="T40" s="635">
        <f t="shared" si="81"/>
        <v>-4.8978268407025467E-2</v>
      </c>
      <c r="U40" s="629">
        <f t="shared" si="82"/>
        <v>-5.9448161720372079</v>
      </c>
      <c r="V40" s="636">
        <f t="shared" si="114"/>
        <v>-4.7961144650812244</v>
      </c>
      <c r="W40" s="585">
        <f t="shared" si="224"/>
        <v>269.52796108497716</v>
      </c>
      <c r="X40" s="629">
        <f t="shared" si="83"/>
        <v>5.9450179301740773</v>
      </c>
      <c r="Y40" s="630">
        <f t="shared" si="223"/>
        <v>-4.7961144650812244</v>
      </c>
      <c r="Z40" s="632">
        <f t="shared" si="6"/>
        <v>-0.64920956762126658</v>
      </c>
      <c r="AA40" s="629">
        <f t="shared" si="7"/>
        <v>-0.76060958270916368</v>
      </c>
      <c r="AB40" s="629">
        <f t="shared" si="8"/>
        <v>-2.1988039814664991E-17</v>
      </c>
      <c r="AC40" s="636">
        <f t="shared" si="84"/>
        <v>1</v>
      </c>
      <c r="AD40" s="637">
        <f t="shared" si="115"/>
        <v>-0.64920956762126658</v>
      </c>
      <c r="AE40" s="629">
        <f t="shared" si="85"/>
        <v>-0.76060958270916368</v>
      </c>
      <c r="AF40" s="633">
        <f t="shared" si="86"/>
        <v>-2.1988039814664991E-17</v>
      </c>
      <c r="AG40" s="602">
        <f t="shared" si="87"/>
        <v>-90</v>
      </c>
      <c r="AH40" s="603">
        <f t="shared" si="88"/>
        <v>130.48203313829441</v>
      </c>
      <c r="AI40" s="585">
        <f t="shared" si="89"/>
        <v>-90</v>
      </c>
      <c r="AJ40" s="586">
        <f t="shared" si="90"/>
        <v>-40.482033138294405</v>
      </c>
      <c r="AK40" s="635">
        <f t="shared" si="211"/>
        <v>0.76604450791050716</v>
      </c>
      <c r="AL40" s="629">
        <f t="shared" si="91"/>
        <v>-0.64278753247099374</v>
      </c>
      <c r="AM40" s="634">
        <f t="shared" si="92"/>
        <v>-2.1988039814664991E-17</v>
      </c>
      <c r="AN40" s="581">
        <f t="shared" si="93"/>
        <v>-90</v>
      </c>
      <c r="AO40" s="582">
        <f t="shared" si="94"/>
        <v>39.999994224715394</v>
      </c>
      <c r="AP40" s="585">
        <f t="shared" si="95"/>
        <v>-39.999994224715387</v>
      </c>
      <c r="AQ40" s="586">
        <f t="shared" si="9"/>
        <v>0.38346269443547892</v>
      </c>
      <c r="AS40" s="52">
        <f t="shared" si="116"/>
        <v>-90.472038915022836</v>
      </c>
      <c r="AT40" s="72">
        <f t="shared" si="10"/>
        <v>-4.7332797158356836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2.1549999999999998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1313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2.9642057009431997</v>
      </c>
      <c r="C41" s="708">
        <v>-0.88947556942285599</v>
      </c>
      <c r="D41" s="709">
        <v>-8.5141580229413288E-2</v>
      </c>
      <c r="E41" s="710">
        <v>6.2643648411313341E-2</v>
      </c>
      <c r="F41" s="708">
        <v>-1.8797377301663878E-2</v>
      </c>
      <c r="G41" s="711">
        <v>0.99785892385662356</v>
      </c>
      <c r="H41" s="710">
        <v>0.26250000000000001</v>
      </c>
      <c r="I41" s="708">
        <v>0.40699999999999997</v>
      </c>
      <c r="J41" s="570">
        <v>2.2149999999999999</v>
      </c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Inactive</v>
      </c>
      <c r="L41" s="320"/>
      <c r="M41" s="168">
        <f t="shared" ref="M41:M72" si="239">IF(J41="","",VALUE(J41))</f>
        <v>2.2149999999999999</v>
      </c>
      <c r="N41" s="632">
        <f t="shared" ref="N41:N72" si="240">IF(M41="","",B41)</f>
        <v>2.9642057009431997</v>
      </c>
      <c r="O41" s="629">
        <f t="shared" ref="O41:O72" si="241">IF(M41="","",C41)</f>
        <v>-0.88947556942285599</v>
      </c>
      <c r="P41" s="633">
        <f t="shared" ref="P41:P72" si="242">IF(M41="","",D41)</f>
        <v>-8.5141580229413288E-2</v>
      </c>
      <c r="Q41" s="585">
        <f t="shared" si="113"/>
        <v>343.29696342844329</v>
      </c>
      <c r="R41" s="629">
        <f t="shared" si="79"/>
        <v>3.0947830660814142</v>
      </c>
      <c r="S41" s="634">
        <f t="shared" si="80"/>
        <v>-8.5141580229413288E-2</v>
      </c>
      <c r="T41" s="635">
        <f t="shared" si="81"/>
        <v>-0.88895820446081575</v>
      </c>
      <c r="U41" s="629">
        <f t="shared" si="82"/>
        <v>-2.9643608985456007</v>
      </c>
      <c r="V41" s="636">
        <f t="shared" si="114"/>
        <v>-8.5141580229413288E-2</v>
      </c>
      <c r="W41" s="585">
        <f t="shared" si="224"/>
        <v>253.30696342699946</v>
      </c>
      <c r="X41" s="629">
        <f t="shared" si="83"/>
        <v>3.0947830660814142</v>
      </c>
      <c r="Y41" s="630">
        <f t="shared" si="223"/>
        <v>-8.5141580229413288E-2</v>
      </c>
      <c r="Z41" s="632">
        <f t="shared" ref="Z41:Z72" si="243">IF(M41="","",-E41)</f>
        <v>-6.2643648411313341E-2</v>
      </c>
      <c r="AA41" s="629">
        <f t="shared" ref="AA41:AA72" si="244">IF(M41="","",-F41)</f>
        <v>1.8797377301663878E-2</v>
      </c>
      <c r="AB41" s="629">
        <f t="shared" ref="AB41:AB72" si="245">IF(M41="","",-G41)</f>
        <v>-0.99785892385662356</v>
      </c>
      <c r="AC41" s="636">
        <f t="shared" si="84"/>
        <v>1</v>
      </c>
      <c r="AD41" s="637">
        <f t="shared" si="115"/>
        <v>-6.2643648411313341E-2</v>
      </c>
      <c r="AE41" s="629">
        <f t="shared" si="85"/>
        <v>1.8797377301663878E-2</v>
      </c>
      <c r="AF41" s="633">
        <f t="shared" si="86"/>
        <v>-0.99785892385662356</v>
      </c>
      <c r="AG41" s="602">
        <f t="shared" si="87"/>
        <v>1.079193652474091</v>
      </c>
      <c r="AH41" s="603">
        <f t="shared" si="88"/>
        <v>93.591568305708918</v>
      </c>
      <c r="AI41" s="585">
        <f t="shared" si="89"/>
        <v>-3.7499994585894645</v>
      </c>
      <c r="AJ41" s="586">
        <f t="shared" si="90"/>
        <v>-106.70283789004986</v>
      </c>
      <c r="AK41" s="635">
        <f t="shared" si="211"/>
        <v>2.2679489667179475E-7</v>
      </c>
      <c r="AL41" s="629">
        <f t="shared" si="91"/>
        <v>-6.5403119800586829E-2</v>
      </c>
      <c r="AM41" s="634">
        <f t="shared" si="92"/>
        <v>-0.99785892385662356</v>
      </c>
      <c r="AN41" s="581">
        <f t="shared" si="93"/>
        <v>-3.7499994585670717</v>
      </c>
      <c r="AO41" s="582">
        <f t="shared" si="94"/>
        <v>0</v>
      </c>
      <c r="AP41" s="585">
        <f t="shared" si="95"/>
        <v>-89.999801318493155</v>
      </c>
      <c r="AQ41" s="586">
        <f t="shared" ref="AQ41:AQ72" si="246">IF(M41="","",DEGREES(ATAN(($AS$5*SIN(RADIANS(90)))/(($X41*2*PI())-($AS$5*COS(RADIANS(90)))))))</f>
        <v>0.73659477467565349</v>
      </c>
      <c r="AS41" s="52">
        <f t="shared" si="116"/>
        <v>-106.69303657300054</v>
      </c>
      <c r="AT41" s="72">
        <f t="shared" ref="AT41:AT72" si="247">IF(M41="","",Y41+(((AS41-$AS$9)*$AS$6)*-1))</f>
        <v>-1.1042249276943333E-2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Nose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2.2149999999999999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2.1150000000000002</v>
      </c>
      <c r="II41" s="734" cm="1">
        <f t="array" ref="II41">IFERROR(ROUND(VALUE(IF($IH41&lt;1,$IH41+LARGE((IF($M$9:$M$150="",0,$M$9:$M$150)-MOD(IF($M$9:$M$150="",0,$M$9:$M$150),1)),1),$IH41)),4),"")</f>
        <v>2.1150000000000002</v>
      </c>
      <c r="IJ41" s="533">
        <f t="shared" si="112"/>
        <v>1613</v>
      </c>
      <c r="IK41" s="533" t="str">
        <f t="shared" ref="IK41:IK72" si="382">IF(ISNUMBER($II41),INDEX($K$9:$K$150,MATCH($IG41,$M$9:$M$150,0)),"")</f>
        <v>Inactive</v>
      </c>
      <c r="IL41" s="727">
        <f t="shared" si="225"/>
        <v>20.347997062112711</v>
      </c>
      <c r="IM41" s="759">
        <v>3.8158167749913402E-2</v>
      </c>
      <c r="IN41" s="5">
        <f t="shared" si="226"/>
        <v>0.68</v>
      </c>
      <c r="IO41" s="771">
        <v>340</v>
      </c>
      <c r="IP41" s="9">
        <f t="shared" si="227"/>
        <v>-3.0922093261033274</v>
      </c>
      <c r="IQ41" s="5">
        <f t="shared" si="228"/>
        <v>-8.6800261789589564E-2</v>
      </c>
      <c r="IR41" s="5">
        <f t="shared" ref="IR41:IR72" si="383">IF(ISNUMBER($II41),INDEX($H$9:$H$150,MATCH($II41,$M$9:$M$150,0)),"")</f>
        <v>0.314</v>
      </c>
      <c r="IS41" s="5">
        <f t="shared" si="229"/>
        <v>0.3029756290104908</v>
      </c>
      <c r="IT41" s="727">
        <f t="shared" si="230"/>
        <v>13.900202496745591</v>
      </c>
      <c r="IU41" s="9">
        <f t="shared" si="231"/>
        <v>-3.0947830660814142</v>
      </c>
      <c r="IV41" s="5">
        <f t="shared" si="232"/>
        <v>-8.5141580229413288E-2</v>
      </c>
      <c r="IW41" s="5">
        <f t="shared" ref="IW41:IW72" si="384">IF(ISNUMBER($II41),$H41,"")</f>
        <v>0.26250000000000001</v>
      </c>
      <c r="IX41" s="5">
        <f t="shared" si="233"/>
        <v>0.26250000000000001</v>
      </c>
      <c r="IY41" s="762">
        <f t="shared" si="234"/>
        <v>3.7499994585670717</v>
      </c>
    </row>
    <row r="42" spans="1:267" ht="15" customHeight="1" x14ac:dyDescent="0.25">
      <c r="A42" s="79"/>
      <c r="B42" s="707">
        <v>3.7407289098655201</v>
      </c>
      <c r="C42" s="708">
        <v>-1.0014882076907148</v>
      </c>
      <c r="D42" s="709">
        <v>-0.24291327978939015</v>
      </c>
      <c r="E42" s="710">
        <v>0.36966449105629062</v>
      </c>
      <c r="F42" s="708">
        <v>-9.8968345276728598E-2</v>
      </c>
      <c r="G42" s="711">
        <v>0.92387955420892387</v>
      </c>
      <c r="H42" s="710">
        <v>0.26250000000000001</v>
      </c>
      <c r="I42" s="708">
        <v>0.40699999999999997</v>
      </c>
      <c r="J42" s="570">
        <v>2.2200000000000002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Inactive</v>
      </c>
      <c r="L42" s="320"/>
      <c r="M42" s="168">
        <f t="shared" si="239"/>
        <v>2.2200000000000002</v>
      </c>
      <c r="N42" s="632">
        <f t="shared" si="240"/>
        <v>3.7407289098655201</v>
      </c>
      <c r="O42" s="629">
        <f t="shared" si="241"/>
        <v>-1.0014882076907148</v>
      </c>
      <c r="P42" s="633">
        <f t="shared" si="242"/>
        <v>-0.24291327978939015</v>
      </c>
      <c r="Q42" s="585">
        <f t="shared" si="113"/>
        <v>345.01196318082793</v>
      </c>
      <c r="R42" s="629">
        <f t="shared" ref="R42:R47" si="385">IF(M42="","",SQRT(N42^2+O42^2))</f>
        <v>3.872470969193603</v>
      </c>
      <c r="S42" s="634">
        <f t="shared" ref="S42:S47" si="386">IF(M42="","",P42)</f>
        <v>-0.24291327978939015</v>
      </c>
      <c r="T42" s="635">
        <f t="shared" ref="T42:T47" si="387">IF(M42="","",X42*COS(RADIANS(W42)))</f>
        <v>-1.0008353121757447</v>
      </c>
      <c r="U42" s="629">
        <f t="shared" ref="U42:U47" si="388">IF(M42="","",X42*SIN(RADIANS(W42)))</f>
        <v>-3.7409036455312936</v>
      </c>
      <c r="V42" s="636">
        <f t="shared" ref="V42:V47" si="389">IF(M42="","",Y42)</f>
        <v>-0.24291327978939015</v>
      </c>
      <c r="W42" s="585">
        <f t="shared" si="224"/>
        <v>255.0219631793841</v>
      </c>
      <c r="X42" s="629">
        <f t="shared" ref="X42:X47" si="390">IF(M42="","",R42)</f>
        <v>3.872470969193603</v>
      </c>
      <c r="Y42" s="630">
        <f t="shared" si="223"/>
        <v>-0.24291327978939015</v>
      </c>
      <c r="Z42" s="632">
        <f t="shared" si="243"/>
        <v>-0.36966449105629062</v>
      </c>
      <c r="AA42" s="629">
        <f t="shared" si="244"/>
        <v>9.8968345276728598E-2</v>
      </c>
      <c r="AB42" s="629">
        <f t="shared" si="245"/>
        <v>-0.92387955420892387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-0.36966449105629062</v>
      </c>
      <c r="AE42" s="629">
        <f t="shared" ref="AE42:AE47" si="393">IF(M42="","",AA42*(1/SQRT(Z42^2+AA42^2+AB42^2)))</f>
        <v>9.8968345276728598E-2</v>
      </c>
      <c r="AF42" s="633">
        <f t="shared" ref="AF42:AF47" si="394">IF(M42="","",AB42*(1/SQRT(Z42^2+AA42^2+AB42^2)))</f>
        <v>-0.92387955420892387</v>
      </c>
      <c r="AG42" s="602">
        <f t="shared" ref="AG42:AG47" si="395">IF(M42="","",DEGREES(ATAN2(-AF42,AE42)))</f>
        <v>6.1143539626711529</v>
      </c>
      <c r="AH42" s="603">
        <f t="shared" ref="AH42:AH47" si="396">IF(M42="","",DEGREES(ACOS(AD42)))</f>
        <v>111.69492707050053</v>
      </c>
      <c r="AI42" s="585">
        <f t="shared" ref="AI42:AI47" si="397">IF(M42="","",DEGREES(-ACOS(-AF42)))</f>
        <v>-22.499996751405963</v>
      </c>
      <c r="AJ42" s="586">
        <f t="shared" ref="AJ42:AJ47" si="398">IF(M42="","",DEGREES(ATAN2(-AE42,AD42)))</f>
        <v>-104.98800286318892</v>
      </c>
      <c r="AK42" s="635">
        <f t="shared" ref="AK42:AK47" si="399">IF(M42="","",(COS(RADIANS((90-$Q$8)-W42))*AD42)+(-SIN(RADIANS((90-$Q$8)-W42))*AE42))</f>
        <v>2.2679489682098097E-7</v>
      </c>
      <c r="AL42" s="629">
        <f t="shared" ref="AL42:AL47" si="400">IF(M42="","",(SIN(RADIANS((90-$Q$8)-W42))*AD42)+(COS(RADIANS((90-$Q$8)-W42))*AE42))</f>
        <v>-0.38268337998228863</v>
      </c>
      <c r="AM42" s="634">
        <f t="shared" ref="AM42:AM47" si="401">IF(M42="","",AF42)</f>
        <v>-0.92387955420892387</v>
      </c>
      <c r="AN42" s="581">
        <f t="shared" ref="AN42:AN47" si="402">IF(M42="","",DEGREES(ATAN2(-AM42,AL42)))</f>
        <v>-22.499996751402406</v>
      </c>
      <c r="AO42" s="582">
        <f t="shared" si="94"/>
        <v>0</v>
      </c>
      <c r="AP42" s="585">
        <f t="shared" ref="AP42:AP47" si="403">IF(M42="","",DEGREES(ATAN2(AK42,AL42)))</f>
        <v>-89.999966044016844</v>
      </c>
      <c r="AQ42" s="586">
        <f t="shared" si="246"/>
        <v>0.5886800523380078</v>
      </c>
      <c r="AS42" s="52">
        <f t="shared" si="116"/>
        <v>-104.9780368206159</v>
      </c>
      <c r="AT42" s="72">
        <f t="shared" si="247"/>
        <v>-0.17000492088718733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Nose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2.2200000000000002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2.12</v>
      </c>
      <c r="II42" s="734" cm="1">
        <f t="array" ref="II42">IFERROR(ROUND(VALUE(IF($IH42&lt;1,$IH42+LARGE((IF($M$9:$M$150="",0,$M$9:$M$150)-MOD(IF($M$9:$M$150="",0,$M$9:$M$150),1)),1),$IH42)),4),"")</f>
        <v>2.12</v>
      </c>
      <c r="IJ42" s="533">
        <f t="shared" si="112"/>
        <v>1613</v>
      </c>
      <c r="IK42" s="533" t="str">
        <f t="shared" si="382"/>
        <v>Inactive</v>
      </c>
      <c r="IL42" s="727">
        <f t="shared" si="225"/>
        <v>17.791997431153447</v>
      </c>
      <c r="IM42" s="759">
        <v>2.7068624079353398E-2</v>
      </c>
      <c r="IN42" s="5">
        <f t="shared" si="226"/>
        <v>0.7</v>
      </c>
      <c r="IO42" s="771">
        <v>350</v>
      </c>
      <c r="IP42" s="9">
        <f t="shared" si="227"/>
        <v>-3.8574116339534874</v>
      </c>
      <c r="IQ42" s="5">
        <f t="shared" si="228"/>
        <v>-0.2445007374142241</v>
      </c>
      <c r="IR42" s="5">
        <f t="shared" si="383"/>
        <v>0.314</v>
      </c>
      <c r="IS42" s="5">
        <f t="shared" si="229"/>
        <v>0.30215944428032093</v>
      </c>
      <c r="IT42" s="727">
        <f t="shared" si="230"/>
        <v>41.078919664100852</v>
      </c>
      <c r="IU42" s="9">
        <f t="shared" si="231"/>
        <v>-3.872470969193603</v>
      </c>
      <c r="IV42" s="5">
        <f t="shared" si="232"/>
        <v>-0.24291327978939015</v>
      </c>
      <c r="IW42" s="5">
        <f t="shared" si="384"/>
        <v>0.26250000000000001</v>
      </c>
      <c r="IX42" s="5">
        <f t="shared" si="233"/>
        <v>0.26250000000000001</v>
      </c>
      <c r="IY42" s="762">
        <f t="shared" si="234"/>
        <v>22.499996751402406</v>
      </c>
    </row>
    <row r="43" spans="1:267" ht="15" customHeight="1" x14ac:dyDescent="0.25">
      <c r="A43" s="79"/>
      <c r="B43" s="707">
        <v>4.4509142656600904</v>
      </c>
      <c r="C43" s="708">
        <v>-0.91421121624098733</v>
      </c>
      <c r="D43" s="709">
        <v>-0.61503314508139317</v>
      </c>
      <c r="E43" s="710">
        <v>0.50527865099626701</v>
      </c>
      <c r="F43" s="708">
        <v>0.81502198698061457</v>
      </c>
      <c r="G43" s="711">
        <v>0.28360649778445435</v>
      </c>
      <c r="H43" s="710">
        <v>0.26600000000000001</v>
      </c>
      <c r="I43" s="708">
        <v>0.52</v>
      </c>
      <c r="J43" s="570">
        <v>2.2250000000000001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2.2250000000000001</v>
      </c>
      <c r="N43" s="632">
        <f t="shared" si="240"/>
        <v>4.4509142656600904</v>
      </c>
      <c r="O43" s="629">
        <f t="shared" si="241"/>
        <v>-0.91421121624098733</v>
      </c>
      <c r="P43" s="633">
        <f t="shared" si="242"/>
        <v>-0.61503314508139317</v>
      </c>
      <c r="Q43" s="585">
        <f t="shared" si="113"/>
        <v>348.39296269267203</v>
      </c>
      <c r="R43" s="629">
        <f t="shared" si="385"/>
        <v>4.5438331778529601</v>
      </c>
      <c r="S43" s="634">
        <f t="shared" si="386"/>
        <v>-0.61503314508139317</v>
      </c>
      <c r="T43" s="635">
        <f t="shared" si="387"/>
        <v>-0.91343437134626715</v>
      </c>
      <c r="U43" s="629">
        <f t="shared" si="388"/>
        <v>-4.4510737578027824</v>
      </c>
      <c r="V43" s="636">
        <f t="shared" si="389"/>
        <v>-0.61503314508139317</v>
      </c>
      <c r="W43" s="585">
        <f t="shared" si="224"/>
        <v>258.4029626912282</v>
      </c>
      <c r="X43" s="629">
        <f t="shared" si="390"/>
        <v>4.5438331778529601</v>
      </c>
      <c r="Y43" s="630">
        <f t="shared" si="223"/>
        <v>-0.61503314508139317</v>
      </c>
      <c r="Z43" s="632">
        <f t="shared" si="243"/>
        <v>-0.50527865099626701</v>
      </c>
      <c r="AA43" s="629">
        <f t="shared" si="244"/>
        <v>-0.81502198698061457</v>
      </c>
      <c r="AB43" s="629">
        <f t="shared" si="245"/>
        <v>-0.28360649778445435</v>
      </c>
      <c r="AC43" s="636">
        <f t="shared" si="391"/>
        <v>1</v>
      </c>
      <c r="AD43" s="637">
        <f t="shared" si="392"/>
        <v>-0.50527865099626701</v>
      </c>
      <c r="AE43" s="629">
        <f t="shared" si="393"/>
        <v>-0.81502198698061457</v>
      </c>
      <c r="AF43" s="633">
        <f t="shared" si="394"/>
        <v>-0.28360649778445435</v>
      </c>
      <c r="AG43" s="602">
        <f t="shared" si="395"/>
        <v>-70.813429863847901</v>
      </c>
      <c r="AH43" s="603">
        <f t="shared" si="396"/>
        <v>120.34985158311454</v>
      </c>
      <c r="AI43" s="585">
        <f t="shared" si="397"/>
        <v>-73.524429747959431</v>
      </c>
      <c r="AJ43" s="586">
        <f t="shared" si="398"/>
        <v>-31.797136462444875</v>
      </c>
      <c r="AK43" s="635">
        <f t="shared" si="399"/>
        <v>0.90001640436080521</v>
      </c>
      <c r="AL43" s="629">
        <f t="shared" si="400"/>
        <v>-0.3309649925534181</v>
      </c>
      <c r="AM43" s="634">
        <f t="shared" si="401"/>
        <v>-0.28360649778445435</v>
      </c>
      <c r="AN43" s="581">
        <f t="shared" si="402"/>
        <v>-49.406468625821006</v>
      </c>
      <c r="AO43" s="582">
        <f t="shared" si="94"/>
        <v>25.839776399433052</v>
      </c>
      <c r="AP43" s="585">
        <f t="shared" si="403"/>
        <v>-20.190099155116918</v>
      </c>
      <c r="AQ43" s="586">
        <f t="shared" si="246"/>
        <v>0.50170599942240601</v>
      </c>
      <c r="AS43" s="52">
        <f t="shared" ref="AS43:AS74" si="406">IF(G43="","",IF(AND(W43&lt;(AS42+180),W43&gt;(AS42-180)),W43,IF(W43&gt;(AS42+180),W43-360,IF(W43&lt;(AS42-180),W43+360,"Error"))))</f>
        <v>-101.5970373087718</v>
      </c>
      <c r="AT43" s="72">
        <f t="shared" si="247"/>
        <v>-0.54447270250685986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Nose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2.2250000000000001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2.125</v>
      </c>
      <c r="II43" s="734" cm="1">
        <f t="array" ref="II43">IFERROR(ROUND(VALUE(IF($IH43&lt;1,$IH43+LARGE((IF($M$9:$M$150="",0,$M$9:$M$150)-MOD(IF($M$9:$M$150="",0,$M$9:$M$150),1)),1),$IH43)),4),"")</f>
        <v>2.125</v>
      </c>
      <c r="IJ43" s="533">
        <f t="shared" si="112"/>
        <v>1613</v>
      </c>
      <c r="IK43" s="533">
        <f t="shared" si="382"/>
        <v>1313</v>
      </c>
      <c r="IL43" s="727">
        <f t="shared" si="225"/>
        <v>13.493998051707706</v>
      </c>
      <c r="IM43" s="759">
        <v>1.19838820338943E-2</v>
      </c>
      <c r="IN43" s="5">
        <f t="shared" si="226"/>
        <v>0.34</v>
      </c>
      <c r="IO43" s="771">
        <v>170</v>
      </c>
      <c r="IP43" s="9">
        <f t="shared" si="227"/>
        <v>-4.5093136000898184</v>
      </c>
      <c r="IQ43" s="5">
        <f t="shared" si="228"/>
        <v>-0.65170196553312809</v>
      </c>
      <c r="IR43" s="5">
        <f t="shared" si="383"/>
        <v>0.314</v>
      </c>
      <c r="IS43" s="5">
        <f t="shared" si="229"/>
        <v>0.30119525906507516</v>
      </c>
      <c r="IT43" s="727">
        <f t="shared" si="230"/>
        <v>58.340784980534913</v>
      </c>
      <c r="IU43" s="9">
        <f t="shared" si="231"/>
        <v>-4.5438331778529601</v>
      </c>
      <c r="IV43" s="5">
        <f t="shared" si="232"/>
        <v>-0.61503314508139317</v>
      </c>
      <c r="IW43" s="5">
        <f t="shared" si="384"/>
        <v>0.26600000000000001</v>
      </c>
      <c r="IX43" s="5">
        <f t="shared" si="233"/>
        <v>0.23940436355997419</v>
      </c>
      <c r="IY43" s="762">
        <f t="shared" si="234"/>
        <v>49.406468625821006</v>
      </c>
    </row>
    <row r="44" spans="1:267" ht="15" customHeight="1" x14ac:dyDescent="0.25">
      <c r="A44" s="79"/>
      <c r="B44" s="707">
        <v>4.9544689569311657</v>
      </c>
      <c r="C44" s="708">
        <v>-0.98919465253749594</v>
      </c>
      <c r="D44" s="709">
        <v>-1.1897744118750135</v>
      </c>
      <c r="E44" s="710">
        <v>0.54476452700337752</v>
      </c>
      <c r="F44" s="708">
        <v>0.80630438527581449</v>
      </c>
      <c r="G44" s="711">
        <v>0.23044489233605811</v>
      </c>
      <c r="H44" s="710">
        <v>0.26600000000000001</v>
      </c>
      <c r="I44" s="708">
        <v>0.52</v>
      </c>
      <c r="J44" s="570">
        <v>2.23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2.23</v>
      </c>
      <c r="N44" s="632">
        <f t="shared" si="240"/>
        <v>4.9544689569311657</v>
      </c>
      <c r="O44" s="629">
        <f t="shared" si="241"/>
        <v>-0.98919465253749594</v>
      </c>
      <c r="P44" s="633">
        <f t="shared" si="242"/>
        <v>-1.1897744118750135</v>
      </c>
      <c r="Q44" s="585">
        <f t="shared" si="113"/>
        <v>348.70896264704726</v>
      </c>
      <c r="R44" s="629">
        <f t="shared" si="385"/>
        <v>5.0522538243642678</v>
      </c>
      <c r="S44" s="634">
        <f t="shared" si="386"/>
        <v>-1.1897744118750135</v>
      </c>
      <c r="T44" s="635">
        <f t="shared" si="387"/>
        <v>-0.98832991964058181</v>
      </c>
      <c r="U44" s="629">
        <f t="shared" si="388"/>
        <v>-4.9546415284808054</v>
      </c>
      <c r="V44" s="636">
        <f t="shared" si="389"/>
        <v>-1.1897744118750135</v>
      </c>
      <c r="W44" s="585">
        <f t="shared" si="224"/>
        <v>258.71896264560343</v>
      </c>
      <c r="X44" s="629">
        <f t="shared" si="390"/>
        <v>5.0522538243642678</v>
      </c>
      <c r="Y44" s="630">
        <f t="shared" si="223"/>
        <v>-1.1897744118750135</v>
      </c>
      <c r="Z44" s="632">
        <f t="shared" si="243"/>
        <v>-0.54476452700337752</v>
      </c>
      <c r="AA44" s="629">
        <f t="shared" si="244"/>
        <v>-0.80630438527581449</v>
      </c>
      <c r="AB44" s="629">
        <f t="shared" si="245"/>
        <v>-0.23044489233605811</v>
      </c>
      <c r="AC44" s="636">
        <f t="shared" si="391"/>
        <v>1</v>
      </c>
      <c r="AD44" s="637">
        <f t="shared" si="392"/>
        <v>-0.54476452700337752</v>
      </c>
      <c r="AE44" s="629">
        <f t="shared" si="393"/>
        <v>-0.80630438527581449</v>
      </c>
      <c r="AF44" s="633">
        <f t="shared" si="394"/>
        <v>-0.23044489233605811</v>
      </c>
      <c r="AG44" s="602">
        <f t="shared" si="395"/>
        <v>-74.049860195260337</v>
      </c>
      <c r="AH44" s="603">
        <f t="shared" si="396"/>
        <v>123.00857370101282</v>
      </c>
      <c r="AI44" s="585">
        <f t="shared" si="397"/>
        <v>-76.676734174798582</v>
      </c>
      <c r="AJ44" s="586">
        <f t="shared" si="398"/>
        <v>-34.044194008236339</v>
      </c>
      <c r="AK44" s="635">
        <f t="shared" si="399"/>
        <v>0.89735954710486654</v>
      </c>
      <c r="AL44" s="629">
        <f t="shared" si="400"/>
        <v>-0.37635222174974814</v>
      </c>
      <c r="AM44" s="634">
        <f t="shared" si="401"/>
        <v>-0.23044489233605811</v>
      </c>
      <c r="AN44" s="581">
        <f t="shared" si="402"/>
        <v>-58.520374181522428</v>
      </c>
      <c r="AO44" s="582">
        <f t="shared" si="94"/>
        <v>26.186866787146609</v>
      </c>
      <c r="AP44" s="585">
        <f t="shared" si="403"/>
        <v>-22.75315665528359</v>
      </c>
      <c r="AQ44" s="586">
        <f t="shared" si="246"/>
        <v>0.45122030314263939</v>
      </c>
      <c r="AS44" s="52">
        <f t="shared" si="406"/>
        <v>-101.28103735439657</v>
      </c>
      <c r="AT44" s="72">
        <f t="shared" si="247"/>
        <v>-1.1194334137132409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2.23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2.13</v>
      </c>
      <c r="II44" s="734" cm="1">
        <f t="array" ref="II44">IFERROR(ROUND(VALUE(IF($IH44&lt;1,$IH44+LARGE((IF($M$9:$M$150="",0,$M$9:$M$150)-MOD(IF($M$9:$M$150="",0,$M$9:$M$150),1)),1),$IH44)),4),"")</f>
        <v>2.13</v>
      </c>
      <c r="IJ44" s="533">
        <f t="shared" si="112"/>
        <v>1613</v>
      </c>
      <c r="IK44" s="533">
        <f t="shared" si="382"/>
        <v>1313</v>
      </c>
      <c r="IL44" s="727">
        <f t="shared" si="225"/>
        <v>12.390998210961243</v>
      </c>
      <c r="IM44" s="759">
        <v>1.0069422064008E-2</v>
      </c>
      <c r="IN44" s="5">
        <f t="shared" si="226"/>
        <v>0.34</v>
      </c>
      <c r="IO44" s="771">
        <v>170</v>
      </c>
      <c r="IP44" s="9">
        <f t="shared" si="227"/>
        <v>-5.0123151171423936</v>
      </c>
      <c r="IQ44" s="5">
        <f t="shared" si="228"/>
        <v>-1.2236036903887304</v>
      </c>
      <c r="IR44" s="5">
        <f t="shared" si="383"/>
        <v>0.314</v>
      </c>
      <c r="IS44" s="5">
        <f t="shared" si="229"/>
        <v>0.30030612770521975</v>
      </c>
      <c r="IT44" s="727">
        <f t="shared" si="230"/>
        <v>68.678525601502443</v>
      </c>
      <c r="IU44" s="9">
        <f t="shared" si="231"/>
        <v>-5.0522538243642678</v>
      </c>
      <c r="IV44" s="5">
        <f t="shared" si="232"/>
        <v>-1.1897744118750135</v>
      </c>
      <c r="IW44" s="5">
        <f t="shared" si="384"/>
        <v>0.26600000000000001</v>
      </c>
      <c r="IX44" s="5">
        <f t="shared" si="233"/>
        <v>0.23869763952989451</v>
      </c>
      <c r="IY44" s="762">
        <f t="shared" si="234"/>
        <v>58.520374181522428</v>
      </c>
    </row>
    <row r="45" spans="1:267" ht="15" customHeight="1" x14ac:dyDescent="0.25">
      <c r="A45" s="79"/>
      <c r="B45" s="707">
        <v>5.326229863160604</v>
      </c>
      <c r="C45" s="708">
        <v>-1.0574273443819264</v>
      </c>
      <c r="D45" s="709">
        <v>-1.8584887019906984</v>
      </c>
      <c r="E45" s="710">
        <v>0.58569984105560624</v>
      </c>
      <c r="F45" s="708">
        <v>0.78878656921785462</v>
      </c>
      <c r="G45" s="711">
        <v>0.18647102833674839</v>
      </c>
      <c r="H45" s="710">
        <v>0.26600000000000001</v>
      </c>
      <c r="I45" s="708">
        <v>0.52</v>
      </c>
      <c r="J45" s="570">
        <v>2.2349999999999999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1313</v>
      </c>
      <c r="L45" s="320"/>
      <c r="M45" s="168">
        <f t="shared" si="239"/>
        <v>2.2349999999999999</v>
      </c>
      <c r="N45" s="632">
        <f t="shared" si="240"/>
        <v>5.326229863160604</v>
      </c>
      <c r="O45" s="629">
        <f t="shared" si="241"/>
        <v>-1.0574273443819264</v>
      </c>
      <c r="P45" s="633">
        <f t="shared" si="242"/>
        <v>-1.8584887019906984</v>
      </c>
      <c r="Q45" s="585">
        <f t="shared" si="113"/>
        <v>348.77096263809557</v>
      </c>
      <c r="R45" s="629">
        <f t="shared" si="385"/>
        <v>5.4301820543947175</v>
      </c>
      <c r="S45" s="634">
        <f t="shared" si="386"/>
        <v>-1.8584887019906984</v>
      </c>
      <c r="T45" s="635">
        <f t="shared" si="387"/>
        <v>-1.0564977259370283</v>
      </c>
      <c r="U45" s="629">
        <f t="shared" si="388"/>
        <v>-5.3264143378975248</v>
      </c>
      <c r="V45" s="636">
        <f t="shared" si="389"/>
        <v>-1.8584887019906984</v>
      </c>
      <c r="W45" s="585">
        <f t="shared" si="224"/>
        <v>258.78096263665174</v>
      </c>
      <c r="X45" s="629">
        <f t="shared" si="390"/>
        <v>5.4301820543947175</v>
      </c>
      <c r="Y45" s="630">
        <f t="shared" si="223"/>
        <v>-1.8584887019906984</v>
      </c>
      <c r="Z45" s="632">
        <f t="shared" si="243"/>
        <v>-0.58569984105560624</v>
      </c>
      <c r="AA45" s="629">
        <f t="shared" si="244"/>
        <v>-0.78878656921785462</v>
      </c>
      <c r="AB45" s="629">
        <f t="shared" si="245"/>
        <v>-0.18647102833674839</v>
      </c>
      <c r="AC45" s="636">
        <f t="shared" si="391"/>
        <v>1</v>
      </c>
      <c r="AD45" s="637">
        <f t="shared" si="392"/>
        <v>-0.58569984105560624</v>
      </c>
      <c r="AE45" s="629">
        <f t="shared" si="393"/>
        <v>-0.78878656921785462</v>
      </c>
      <c r="AF45" s="633">
        <f t="shared" si="394"/>
        <v>-0.18647102833674839</v>
      </c>
      <c r="AG45" s="602">
        <f t="shared" si="395"/>
        <v>-76.699326879787137</v>
      </c>
      <c r="AH45" s="603">
        <f t="shared" si="396"/>
        <v>125.85244597194065</v>
      </c>
      <c r="AI45" s="585">
        <f t="shared" si="397"/>
        <v>-79.253091352336767</v>
      </c>
      <c r="AJ45" s="586">
        <f t="shared" si="398"/>
        <v>-36.59509505116803</v>
      </c>
      <c r="AK45" s="635">
        <f t="shared" si="399"/>
        <v>0.88774069817035195</v>
      </c>
      <c r="AL45" s="629">
        <f t="shared" si="400"/>
        <v>-0.42088598028807278</v>
      </c>
      <c r="AM45" s="634">
        <f t="shared" si="401"/>
        <v>-0.18647102833674839</v>
      </c>
      <c r="AN45" s="581">
        <f t="shared" si="402"/>
        <v>-66.104547718255475</v>
      </c>
      <c r="AO45" s="582">
        <f t="shared" si="94"/>
        <v>27.40929721917712</v>
      </c>
      <c r="AP45" s="585">
        <f t="shared" si="403"/>
        <v>-25.366057689263592</v>
      </c>
      <c r="AQ45" s="586">
        <f t="shared" si="246"/>
        <v>0.41981756985349833</v>
      </c>
      <c r="AS45" s="52">
        <f t="shared" si="406"/>
        <v>-101.21903736334826</v>
      </c>
      <c r="AT45" s="72">
        <f t="shared" si="247"/>
        <v>-1.7881907593782647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>Taper</v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2.2349999999999999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2.1349999999999998</v>
      </c>
      <c r="II45" s="734" cm="1">
        <f t="array" ref="II45">IFERROR(ROUND(VALUE(IF($IH45&lt;1,$IH45+LARGE((IF($M$9:$M$150="",0,$M$9:$M$150)-MOD(IF($M$9:$M$150="",0,$M$9:$M$150),1)),1),$IH45)),4),"")</f>
        <v>2.1349999999999998</v>
      </c>
      <c r="IJ45" s="533">
        <f t="shared" si="112"/>
        <v>1613</v>
      </c>
      <c r="IK45" s="533">
        <f t="shared" si="382"/>
        <v>1313</v>
      </c>
      <c r="IL45" s="727">
        <f t="shared" si="225"/>
        <v>11.713998308707914</v>
      </c>
      <c r="IM45" s="759">
        <v>8.4544033379382703E-3</v>
      </c>
      <c r="IN45" s="5">
        <f t="shared" si="226"/>
        <v>0.32</v>
      </c>
      <c r="IO45" s="771">
        <v>160</v>
      </c>
      <c r="IP45" s="9">
        <f t="shared" si="227"/>
        <v>-5.3849162409073825</v>
      </c>
      <c r="IQ45" s="5">
        <f t="shared" si="228"/>
        <v>-1.8888056966379811</v>
      </c>
      <c r="IR45" s="5">
        <f t="shared" si="383"/>
        <v>0.314</v>
      </c>
      <c r="IS45" s="5">
        <f t="shared" si="229"/>
        <v>0.29812419226486697</v>
      </c>
      <c r="IT45" s="727">
        <f t="shared" si="230"/>
        <v>76.118189865492226</v>
      </c>
      <c r="IU45" s="9">
        <f t="shared" si="231"/>
        <v>-5.4301820543947175</v>
      </c>
      <c r="IV45" s="5">
        <f t="shared" si="232"/>
        <v>-1.8584887019906984</v>
      </c>
      <c r="IW45" s="5">
        <f t="shared" si="384"/>
        <v>0.26600000000000001</v>
      </c>
      <c r="IX45" s="5">
        <f t="shared" si="233"/>
        <v>0.23613902571331363</v>
      </c>
      <c r="IY45" s="762">
        <f t="shared" si="234"/>
        <v>66.104547718255475</v>
      </c>
    </row>
    <row r="46" spans="1:267" ht="15" customHeight="1" x14ac:dyDescent="0.25">
      <c r="A46" s="79"/>
      <c r="B46" s="707">
        <v>5.5856083333261566</v>
      </c>
      <c r="C46" s="708">
        <v>-1.1115570940558446</v>
      </c>
      <c r="D46" s="709">
        <v>-2.5801021028468032</v>
      </c>
      <c r="E46" s="710">
        <v>0.61967124681928398</v>
      </c>
      <c r="F46" s="708">
        <v>0.7723384125392031</v>
      </c>
      <c r="G46" s="711">
        <v>0.13964570305547544</v>
      </c>
      <c r="H46" s="710">
        <v>0.26600000000000001</v>
      </c>
      <c r="I46" s="708">
        <v>0.52</v>
      </c>
      <c r="J46" s="570">
        <v>2.2400000000000002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1313</v>
      </c>
      <c r="L46" s="320"/>
      <c r="M46" s="168">
        <f t="shared" si="239"/>
        <v>2.2400000000000002</v>
      </c>
      <c r="N46" s="632">
        <f t="shared" si="240"/>
        <v>5.5856083333261566</v>
      </c>
      <c r="O46" s="629">
        <f t="shared" si="241"/>
        <v>-1.1115570940558446</v>
      </c>
      <c r="P46" s="633">
        <f t="shared" si="242"/>
        <v>-2.5801021028468032</v>
      </c>
      <c r="Q46" s="585">
        <f t="shared" si="113"/>
        <v>348.7449626418495</v>
      </c>
      <c r="R46" s="629">
        <f t="shared" si="385"/>
        <v>5.6951364888533167</v>
      </c>
      <c r="S46" s="634">
        <f t="shared" si="386"/>
        <v>-2.5801021028468032</v>
      </c>
      <c r="T46" s="635">
        <f t="shared" si="387"/>
        <v>-1.1105822047101401</v>
      </c>
      <c r="U46" s="629">
        <f t="shared" si="388"/>
        <v>-5.5858022515346573</v>
      </c>
      <c r="V46" s="636">
        <f t="shared" si="389"/>
        <v>-2.5801021028468032</v>
      </c>
      <c r="W46" s="585">
        <f t="shared" si="224"/>
        <v>258.75496264040567</v>
      </c>
      <c r="X46" s="629">
        <f t="shared" si="390"/>
        <v>5.6951364888533167</v>
      </c>
      <c r="Y46" s="630">
        <f t="shared" si="223"/>
        <v>-2.5801021028468032</v>
      </c>
      <c r="Z46" s="632">
        <f t="shared" si="243"/>
        <v>-0.61967124681928398</v>
      </c>
      <c r="AA46" s="629">
        <f t="shared" si="244"/>
        <v>-0.7723384125392031</v>
      </c>
      <c r="AB46" s="629">
        <f t="shared" si="245"/>
        <v>-0.13964570305547544</v>
      </c>
      <c r="AC46" s="636">
        <f t="shared" si="391"/>
        <v>1</v>
      </c>
      <c r="AD46" s="637">
        <f t="shared" si="392"/>
        <v>-0.61967124681928398</v>
      </c>
      <c r="AE46" s="629">
        <f t="shared" si="393"/>
        <v>-0.7723384125392031</v>
      </c>
      <c r="AF46" s="633">
        <f t="shared" si="394"/>
        <v>-0.13964570305547544</v>
      </c>
      <c r="AG46" s="602">
        <f t="shared" si="395"/>
        <v>-79.751137385057859</v>
      </c>
      <c r="AH46" s="603">
        <f t="shared" si="396"/>
        <v>128.29213114771414</v>
      </c>
      <c r="AI46" s="585">
        <f t="shared" si="397"/>
        <v>-81.972654864374846</v>
      </c>
      <c r="AJ46" s="586">
        <f t="shared" si="398"/>
        <v>-38.741161415542706</v>
      </c>
      <c r="AK46" s="635">
        <f t="shared" si="399"/>
        <v>0.87843019274478473</v>
      </c>
      <c r="AL46" s="629">
        <f t="shared" si="400"/>
        <v>-0.45701145947613031</v>
      </c>
      <c r="AM46" s="634">
        <f t="shared" si="401"/>
        <v>-0.13964570305547544</v>
      </c>
      <c r="AN46" s="581">
        <f t="shared" si="402"/>
        <v>-73.008796862784365</v>
      </c>
      <c r="AO46" s="582">
        <f t="shared" si="94"/>
        <v>28.546425535971292</v>
      </c>
      <c r="AP46" s="585">
        <f t="shared" si="403"/>
        <v>-27.486124057392178</v>
      </c>
      <c r="AQ46" s="586">
        <f t="shared" si="246"/>
        <v>0.40028707759246029</v>
      </c>
      <c r="AS46" s="52">
        <f t="shared" si="406"/>
        <v>-101.24503735959433</v>
      </c>
      <c r="AT46" s="72">
        <f t="shared" si="247"/>
        <v>-2.5097861046814209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Taper</v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2.2400000000000002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2.14</v>
      </c>
      <c r="II46" s="734" cm="1">
        <f t="array" ref="II46">IFERROR(ROUND(VALUE(IF($IH46&lt;1,$IH46+LARGE((IF($M$9:$M$150="",0,$M$9:$M$150)-MOD(IF($M$9:$M$150="",0,$M$9:$M$150),1)),1),$IH46)),4),"")</f>
        <v>2.14</v>
      </c>
      <c r="IJ46" s="533">
        <f t="shared" si="112"/>
        <v>1613</v>
      </c>
      <c r="IK46" s="533">
        <f t="shared" si="382"/>
        <v>1313</v>
      </c>
      <c r="IL46" s="727">
        <f t="shared" si="225"/>
        <v>11.29699836891524</v>
      </c>
      <c r="IM46" s="759">
        <v>7.0071623100048898E-3</v>
      </c>
      <c r="IN46" s="5">
        <f t="shared" si="226"/>
        <v>0.3</v>
      </c>
      <c r="IO46" s="771">
        <v>150</v>
      </c>
      <c r="IP46" s="9">
        <f t="shared" si="227"/>
        <v>-5.645017025371347</v>
      </c>
      <c r="IQ46" s="5">
        <f t="shared" si="228"/>
        <v>-2.6060078597197043</v>
      </c>
      <c r="IR46" s="5">
        <f t="shared" si="383"/>
        <v>0.314</v>
      </c>
      <c r="IS46" s="5">
        <f t="shared" si="229"/>
        <v>0.29604131515993032</v>
      </c>
      <c r="IT46" s="727">
        <f t="shared" si="230"/>
        <v>82.649496263270976</v>
      </c>
      <c r="IU46" s="9">
        <f t="shared" si="231"/>
        <v>-5.6951364888533167</v>
      </c>
      <c r="IV46" s="5">
        <f t="shared" si="232"/>
        <v>-2.5801021028468032</v>
      </c>
      <c r="IW46" s="5">
        <f t="shared" si="384"/>
        <v>0.26600000000000001</v>
      </c>
      <c r="IX46" s="5">
        <f t="shared" si="233"/>
        <v>0.23366243127011274</v>
      </c>
      <c r="IY46" s="762">
        <f t="shared" si="234"/>
        <v>73.008796862784365</v>
      </c>
    </row>
    <row r="47" spans="1:267" ht="15" customHeight="1" x14ac:dyDescent="0.25">
      <c r="A47" s="79"/>
      <c r="B47" s="707">
        <v>5.7468242315204181</v>
      </c>
      <c r="C47" s="708">
        <v>-1.1479154741165278</v>
      </c>
      <c r="D47" s="709">
        <v>-3.3309249301617707</v>
      </c>
      <c r="E47" s="710">
        <v>0.65753062943000062</v>
      </c>
      <c r="F47" s="708">
        <v>0.74692596423768898</v>
      </c>
      <c r="G47" s="711">
        <v>9.8767784773101719E-2</v>
      </c>
      <c r="H47" s="710">
        <v>0.26600000000000001</v>
      </c>
      <c r="I47" s="708">
        <v>0.52</v>
      </c>
      <c r="J47" s="570">
        <v>2.2450000000000001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2.2450000000000001</v>
      </c>
      <c r="N47" s="632">
        <f t="shared" si="240"/>
        <v>5.7468242315204181</v>
      </c>
      <c r="O47" s="629">
        <f t="shared" si="241"/>
        <v>-1.1479154741165278</v>
      </c>
      <c r="P47" s="633">
        <f t="shared" si="242"/>
        <v>-3.3309249301617707</v>
      </c>
      <c r="Q47" s="585">
        <f t="shared" si="113"/>
        <v>348.70396264776917</v>
      </c>
      <c r="R47" s="629">
        <f t="shared" si="385"/>
        <v>5.8603497066050947</v>
      </c>
      <c r="S47" s="634">
        <f t="shared" si="386"/>
        <v>-3.3309249301617707</v>
      </c>
      <c r="T47" s="635">
        <f t="shared" si="387"/>
        <v>-1.1469124467389586</v>
      </c>
      <c r="U47" s="629">
        <f t="shared" si="388"/>
        <v>-5.7470244930069398</v>
      </c>
      <c r="V47" s="636">
        <f t="shared" si="389"/>
        <v>-3.3309249301617707</v>
      </c>
      <c r="W47" s="585">
        <f t="shared" si="224"/>
        <v>258.71396264632534</v>
      </c>
      <c r="X47" s="629">
        <f t="shared" si="390"/>
        <v>5.8603497066050947</v>
      </c>
      <c r="Y47" s="630">
        <f t="shared" si="223"/>
        <v>-3.3309249301617707</v>
      </c>
      <c r="Z47" s="632">
        <f t="shared" si="243"/>
        <v>-0.65753062943000062</v>
      </c>
      <c r="AA47" s="629">
        <f t="shared" si="244"/>
        <v>-0.74692596423768898</v>
      </c>
      <c r="AB47" s="629">
        <f t="shared" si="245"/>
        <v>-9.8767784773101719E-2</v>
      </c>
      <c r="AC47" s="636">
        <f t="shared" si="391"/>
        <v>1</v>
      </c>
      <c r="AD47" s="637">
        <f t="shared" si="392"/>
        <v>-0.65753062943000062</v>
      </c>
      <c r="AE47" s="629">
        <f t="shared" si="393"/>
        <v>-0.74692596423768898</v>
      </c>
      <c r="AF47" s="633">
        <f t="shared" si="394"/>
        <v>-9.8767784773101719E-2</v>
      </c>
      <c r="AG47" s="602">
        <f t="shared" si="395"/>
        <v>-82.467344685619906</v>
      </c>
      <c r="AH47" s="603">
        <f t="shared" si="396"/>
        <v>131.11181536623729</v>
      </c>
      <c r="AI47" s="585">
        <f t="shared" si="397"/>
        <v>-84.331781530976471</v>
      </c>
      <c r="AJ47" s="586">
        <f t="shared" si="398"/>
        <v>-41.357968627505677</v>
      </c>
      <c r="AK47" s="635">
        <f t="shared" si="399"/>
        <v>0.86125266705031722</v>
      </c>
      <c r="AL47" s="629">
        <f t="shared" si="400"/>
        <v>-0.49848647743918761</v>
      </c>
      <c r="AM47" s="634">
        <f t="shared" si="401"/>
        <v>-9.8767784773101719E-2</v>
      </c>
      <c r="AN47" s="581">
        <f t="shared" si="402"/>
        <v>-78.792832616137687</v>
      </c>
      <c r="AO47" s="582">
        <f t="shared" si="94"/>
        <v>30.542475446456521</v>
      </c>
      <c r="AP47" s="585">
        <f t="shared" si="403"/>
        <v>-30.061931275274873</v>
      </c>
      <c r="AQ47" s="586">
        <f t="shared" si="246"/>
        <v>0.38900265640937698</v>
      </c>
      <c r="AS47" s="52">
        <f t="shared" si="406"/>
        <v>-101.28603735367466</v>
      </c>
      <c r="AT47" s="72">
        <f t="shared" si="247"/>
        <v>-3.2605804597782773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Taper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2.2450000000000001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2.145</v>
      </c>
      <c r="II47" s="734" cm="1">
        <f t="array" ref="II47">IFERROR(ROUND(VALUE(IF($IH47&lt;1,$IH47+LARGE((IF($M$9:$M$150="",0,$M$9:$M$150)-MOD(IF($M$9:$M$150="",0,$M$9:$M$150),1)),1),$IH47)),4),"")</f>
        <v>2.145</v>
      </c>
      <c r="IJ47" s="533">
        <f t="shared" si="112"/>
        <v>1613</v>
      </c>
      <c r="IK47" s="533">
        <f t="shared" si="382"/>
        <v>1313</v>
      </c>
      <c r="IL47" s="727">
        <f t="shared" si="225"/>
        <v>11.058998403278167</v>
      </c>
      <c r="IM47" s="759">
        <v>5.6012566727901203E-3</v>
      </c>
      <c r="IN47" s="5">
        <f t="shared" si="226"/>
        <v>0.26</v>
      </c>
      <c r="IO47" s="771">
        <v>130</v>
      </c>
      <c r="IP47" s="9">
        <f t="shared" si="227"/>
        <v>-5.8055175094408096</v>
      </c>
      <c r="IQ47" s="5">
        <f t="shared" si="228"/>
        <v>-3.3519101093608903</v>
      </c>
      <c r="IR47" s="5">
        <f t="shared" si="383"/>
        <v>0.314</v>
      </c>
      <c r="IS47" s="5">
        <f t="shared" si="229"/>
        <v>0.29235533546092951</v>
      </c>
      <c r="IT47" s="727">
        <f t="shared" si="230"/>
        <v>87.263285655272057</v>
      </c>
      <c r="IU47" s="9">
        <f t="shared" si="231"/>
        <v>-5.8603497066050947</v>
      </c>
      <c r="IV47" s="5">
        <f t="shared" si="232"/>
        <v>-3.3309249301617707</v>
      </c>
      <c r="IW47" s="5">
        <f t="shared" si="384"/>
        <v>0.26600000000000001</v>
      </c>
      <c r="IX47" s="5">
        <f t="shared" si="233"/>
        <v>0.22909320943538439</v>
      </c>
      <c r="IY47" s="762">
        <f t="shared" si="234"/>
        <v>78.792832616137687</v>
      </c>
    </row>
    <row r="48" spans="1:267" ht="15" customHeight="1" x14ac:dyDescent="0.25">
      <c r="A48" s="79"/>
      <c r="B48" s="707">
        <v>0.87481080028749458</v>
      </c>
      <c r="C48" s="708">
        <v>-1.9648599460268228</v>
      </c>
      <c r="D48" s="709">
        <v>-0.24980075339907226</v>
      </c>
      <c r="E48" s="710">
        <v>0.85517121231413473</v>
      </c>
      <c r="F48" s="708">
        <v>0.45407291704822506</v>
      </c>
      <c r="G48" s="711">
        <v>0.24999996726497575</v>
      </c>
      <c r="H48" s="710">
        <v>0.314</v>
      </c>
      <c r="I48" s="708">
        <v>0.52</v>
      </c>
      <c r="J48" s="570">
        <v>3.109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3.109</v>
      </c>
      <c r="N48" s="632">
        <f t="shared" si="240"/>
        <v>0.87481080028749458</v>
      </c>
      <c r="O48" s="629">
        <f t="shared" si="241"/>
        <v>-1.9648599460268228</v>
      </c>
      <c r="P48" s="633">
        <f t="shared" si="242"/>
        <v>-0.24980075339907226</v>
      </c>
      <c r="Q48" s="585">
        <f t="shared" si="113"/>
        <v>293.99997054604842</v>
      </c>
      <c r="R48" s="629">
        <f t="shared" si="79"/>
        <v>2.150806486832364</v>
      </c>
      <c r="S48" s="634">
        <f t="shared" si="80"/>
        <v>-0.24980075339907226</v>
      </c>
      <c r="T48" s="635">
        <f t="shared" si="81"/>
        <v>-1.9647072328351536</v>
      </c>
      <c r="U48" s="629">
        <f t="shared" si="82"/>
        <v>-0.87515371966609912</v>
      </c>
      <c r="V48" s="636">
        <f t="shared" si="114"/>
        <v>-0.24980075339907226</v>
      </c>
      <c r="W48" s="585">
        <f t="shared" si="224"/>
        <v>204.00997054460458</v>
      </c>
      <c r="X48" s="629">
        <f t="shared" si="83"/>
        <v>2.150806486832364</v>
      </c>
      <c r="Y48" s="630">
        <f t="shared" si="223"/>
        <v>-0.24980075339907226</v>
      </c>
      <c r="Z48" s="632">
        <f t="shared" si="243"/>
        <v>-0.85517121231413473</v>
      </c>
      <c r="AA48" s="629">
        <f t="shared" si="244"/>
        <v>-0.45407291704822506</v>
      </c>
      <c r="AB48" s="629">
        <f t="shared" si="245"/>
        <v>-0.24999996726497575</v>
      </c>
      <c r="AC48" s="636">
        <f t="shared" si="84"/>
        <v>1</v>
      </c>
      <c r="AD48" s="637">
        <f t="shared" si="115"/>
        <v>-0.85517121231413473</v>
      </c>
      <c r="AE48" s="629">
        <f t="shared" si="85"/>
        <v>-0.45407291704822506</v>
      </c>
      <c r="AF48" s="633">
        <f t="shared" si="86"/>
        <v>-0.24999996726497575</v>
      </c>
      <c r="AG48" s="602">
        <f t="shared" si="87"/>
        <v>-61.16403768384388</v>
      </c>
      <c r="AH48" s="603">
        <f t="shared" si="88"/>
        <v>148.77865473047714</v>
      </c>
      <c r="AI48" s="585">
        <f t="shared" si="89"/>
        <v>-75.522489751159455</v>
      </c>
      <c r="AJ48" s="586">
        <f t="shared" si="90"/>
        <v>-62.03289980886499</v>
      </c>
      <c r="AK48" s="635">
        <f t="shared" si="211"/>
        <v>0.96592583607220739</v>
      </c>
      <c r="AL48" s="629">
        <f t="shared" si="91"/>
        <v>6.6987279208207406E-2</v>
      </c>
      <c r="AM48" s="634">
        <f t="shared" si="92"/>
        <v>-0.24999996726497575</v>
      </c>
      <c r="AN48" s="581">
        <f t="shared" si="93"/>
        <v>14.999997834268306</v>
      </c>
      <c r="AO48" s="582">
        <f t="shared" si="94"/>
        <v>14.999997834268255</v>
      </c>
      <c r="AP48" s="585">
        <f t="shared" si="95"/>
        <v>3.9671296450865841</v>
      </c>
      <c r="AQ48" s="586">
        <f t="shared" si="246"/>
        <v>1.0598194844413984</v>
      </c>
      <c r="AS48" s="52">
        <f t="shared" si="406"/>
        <v>-155.99002945539542</v>
      </c>
      <c r="AT48" s="72">
        <f t="shared" si="247"/>
        <v>-0.14146739961160587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3.109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1.1830417022608251</v>
      </c>
      <c r="C49" s="708">
        <v>-2.6861266361608758</v>
      </c>
      <c r="D49" s="709">
        <v>-8.9100268726410484E-2</v>
      </c>
      <c r="E49" s="710">
        <v>0.89835730480671561</v>
      </c>
      <c r="F49" s="708">
        <v>0.35504845965398379</v>
      </c>
      <c r="G49" s="711">
        <v>0.25864018287525914</v>
      </c>
      <c r="H49" s="710">
        <v>0.314</v>
      </c>
      <c r="I49" s="708">
        <v>0.52</v>
      </c>
      <c r="J49" s="570">
        <v>3.1139999999999999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3.1139999999999999</v>
      </c>
      <c r="N49" s="632">
        <f t="shared" si="240"/>
        <v>1.1830417022608251</v>
      </c>
      <c r="O49" s="629">
        <f t="shared" si="241"/>
        <v>-2.6861266361608758</v>
      </c>
      <c r="P49" s="633">
        <f t="shared" si="242"/>
        <v>-8.9100268726410484E-2</v>
      </c>
      <c r="Q49" s="585">
        <f t="shared" si="113"/>
        <v>293.76997057925632</v>
      </c>
      <c r="R49" s="629">
        <f t="shared" si="79"/>
        <v>2.9351088522882987</v>
      </c>
      <c r="S49" s="634">
        <f t="shared" si="80"/>
        <v>-8.9100268726410484E-2</v>
      </c>
      <c r="T49" s="635">
        <f t="shared" si="81"/>
        <v>-2.6859201155507719</v>
      </c>
      <c r="U49" s="629">
        <f t="shared" si="82"/>
        <v>-1.1835105017112699</v>
      </c>
      <c r="V49" s="636">
        <f t="shared" si="114"/>
        <v>-8.9100268726410484E-2</v>
      </c>
      <c r="W49" s="585">
        <f t="shared" si="224"/>
        <v>203.77997057781249</v>
      </c>
      <c r="X49" s="629">
        <f t="shared" si="83"/>
        <v>2.9351088522882987</v>
      </c>
      <c r="Y49" s="630">
        <f t="shared" si="223"/>
        <v>-8.9100268726410484E-2</v>
      </c>
      <c r="Z49" s="632">
        <f t="shared" si="243"/>
        <v>-0.89835730480671561</v>
      </c>
      <c r="AA49" s="629">
        <f t="shared" si="244"/>
        <v>-0.35504845965398379</v>
      </c>
      <c r="AB49" s="629">
        <f t="shared" si="245"/>
        <v>-0.25864018287525914</v>
      </c>
      <c r="AC49" s="636">
        <f t="shared" si="84"/>
        <v>1</v>
      </c>
      <c r="AD49" s="637">
        <f t="shared" si="115"/>
        <v>-0.89835730480671561</v>
      </c>
      <c r="AE49" s="629">
        <f t="shared" si="85"/>
        <v>-0.35504845965398379</v>
      </c>
      <c r="AF49" s="633">
        <f t="shared" si="86"/>
        <v>-0.25864018287525914</v>
      </c>
      <c r="AG49" s="602">
        <f t="shared" si="87"/>
        <v>-53.927992458640027</v>
      </c>
      <c r="AH49" s="603">
        <f t="shared" si="88"/>
        <v>153.94297539159373</v>
      </c>
      <c r="AI49" s="585">
        <f t="shared" si="89"/>
        <v>-75.010609299691311</v>
      </c>
      <c r="AJ49" s="586">
        <f t="shared" si="90"/>
        <v>-68.43509443428205</v>
      </c>
      <c r="AK49" s="635">
        <f t="shared" si="211"/>
        <v>0.96525844931316507</v>
      </c>
      <c r="AL49" s="629">
        <f t="shared" si="91"/>
        <v>-3.7166945419240094E-2</v>
      </c>
      <c r="AM49" s="634">
        <f t="shared" si="92"/>
        <v>-0.25864018287525914</v>
      </c>
      <c r="AN49" s="581">
        <f t="shared" si="93"/>
        <v>-8.1774992866337648</v>
      </c>
      <c r="AO49" s="582">
        <f t="shared" si="94"/>
        <v>15.147035889012823</v>
      </c>
      <c r="AP49" s="585">
        <f t="shared" si="95"/>
        <v>-2.2050650135383849</v>
      </c>
      <c r="AQ49" s="586">
        <f t="shared" si="246"/>
        <v>0.776661825677746</v>
      </c>
      <c r="AS49" s="52">
        <f t="shared" si="406"/>
        <v>-156.22002942218751</v>
      </c>
      <c r="AT49" s="72">
        <f t="shared" si="247"/>
        <v>1.9392807260217068E-2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3.1139999999999999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1.4489614776352544</v>
      </c>
      <c r="C50" s="708">
        <v>-3.415035539833974</v>
      </c>
      <c r="D50" s="709">
        <v>-0.19090057575613648</v>
      </c>
      <c r="E50" s="710">
        <v>0.94811895596910611</v>
      </c>
      <c r="F50" s="708">
        <v>0.23062244210607702</v>
      </c>
      <c r="G50" s="711">
        <v>0.21882352371050351</v>
      </c>
      <c r="H50" s="710">
        <v>0.314</v>
      </c>
      <c r="I50" s="708">
        <v>0.52</v>
      </c>
      <c r="J50" s="570">
        <v>3.1190000000000002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3.1190000000000002</v>
      </c>
      <c r="N50" s="632">
        <f t="shared" si="240"/>
        <v>1.4489614776352544</v>
      </c>
      <c r="O50" s="629">
        <f t="shared" si="241"/>
        <v>-3.415035539833974</v>
      </c>
      <c r="P50" s="633">
        <f t="shared" si="242"/>
        <v>-0.19090057575613648</v>
      </c>
      <c r="Q50" s="585">
        <f t="shared" si="113"/>
        <v>292.99097069173001</v>
      </c>
      <c r="R50" s="629">
        <f t="shared" si="79"/>
        <v>3.7097111884889449</v>
      </c>
      <c r="S50" s="634">
        <f t="shared" si="80"/>
        <v>-0.19090057575613648</v>
      </c>
      <c r="T50" s="635">
        <f t="shared" si="81"/>
        <v>-3.4147825963726275</v>
      </c>
      <c r="U50" s="629">
        <f t="shared" si="82"/>
        <v>-1.4495574916196587</v>
      </c>
      <c r="V50" s="636">
        <f t="shared" si="114"/>
        <v>-0.19090057575613648</v>
      </c>
      <c r="W50" s="585">
        <f t="shared" si="224"/>
        <v>203.00097069028618</v>
      </c>
      <c r="X50" s="629">
        <f t="shared" si="83"/>
        <v>3.7097111884889449</v>
      </c>
      <c r="Y50" s="630">
        <f t="shared" si="223"/>
        <v>-0.19090057575613648</v>
      </c>
      <c r="Z50" s="632">
        <f t="shared" si="243"/>
        <v>-0.94811895596910611</v>
      </c>
      <c r="AA50" s="629">
        <f t="shared" si="244"/>
        <v>-0.23062244210607702</v>
      </c>
      <c r="AB50" s="629">
        <f t="shared" si="245"/>
        <v>-0.21882352371050351</v>
      </c>
      <c r="AC50" s="636">
        <f t="shared" si="84"/>
        <v>1</v>
      </c>
      <c r="AD50" s="637">
        <f t="shared" si="115"/>
        <v>-0.94811895596910611</v>
      </c>
      <c r="AE50" s="629">
        <f t="shared" si="85"/>
        <v>-0.23062244210607702</v>
      </c>
      <c r="AF50" s="633">
        <f t="shared" si="86"/>
        <v>-0.21882352371050351</v>
      </c>
      <c r="AG50" s="602">
        <f t="shared" si="87"/>
        <v>-46.503791427502357</v>
      </c>
      <c r="AH50" s="603">
        <f t="shared" si="88"/>
        <v>161.46307297053386</v>
      </c>
      <c r="AI50" s="585">
        <f t="shared" si="89"/>
        <v>-77.360057714739781</v>
      </c>
      <c r="AJ50" s="586">
        <f t="shared" si="90"/>
        <v>-76.328754928147305</v>
      </c>
      <c r="AK50" s="635">
        <f t="shared" si="211"/>
        <v>0.9628843819967623</v>
      </c>
      <c r="AL50" s="629">
        <f t="shared" si="91"/>
        <v>-0.15801877223175698</v>
      </c>
      <c r="AM50" s="634">
        <f t="shared" si="92"/>
        <v>-0.21882352371050351</v>
      </c>
      <c r="AN50" s="581">
        <f t="shared" si="93"/>
        <v>-35.834135627056035</v>
      </c>
      <c r="AO50" s="582">
        <f t="shared" si="94"/>
        <v>15.659160385029214</v>
      </c>
      <c r="AP50" s="585">
        <f t="shared" si="95"/>
        <v>-9.3197256198773122</v>
      </c>
      <c r="AQ50" s="586">
        <f t="shared" si="246"/>
        <v>0.61450584803260955</v>
      </c>
      <c r="AS50" s="52">
        <f t="shared" si="406"/>
        <v>-156.99902930971382</v>
      </c>
      <c r="AT50" s="72">
        <f t="shared" si="247"/>
        <v>-8.1866527625393426E-2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3.1190000000000002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1.6496014236521988</v>
      </c>
      <c r="C51" s="708">
        <v>-4.0700223632888202</v>
      </c>
      <c r="D51" s="709">
        <v>-0.55440167207544333</v>
      </c>
      <c r="E51" s="710">
        <v>0.97699025794595529</v>
      </c>
      <c r="F51" s="708">
        <v>0.14477220745363903</v>
      </c>
      <c r="G51" s="711">
        <v>0.15662389290174181</v>
      </c>
      <c r="H51" s="710">
        <v>0.314</v>
      </c>
      <c r="I51" s="708">
        <v>0.52</v>
      </c>
      <c r="J51" s="570">
        <v>3.1240000000000001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3.1240000000000001</v>
      </c>
      <c r="N51" s="632">
        <f t="shared" si="240"/>
        <v>1.6496014236521988</v>
      </c>
      <c r="O51" s="629">
        <f t="shared" si="241"/>
        <v>-4.0700223632888202</v>
      </c>
      <c r="P51" s="633">
        <f t="shared" si="242"/>
        <v>-0.55440167207544333</v>
      </c>
      <c r="Q51" s="585">
        <f t="shared" si="113"/>
        <v>292.0629708257166</v>
      </c>
      <c r="R51" s="629">
        <f t="shared" si="79"/>
        <v>4.391613245105547</v>
      </c>
      <c r="S51" s="634">
        <f t="shared" si="80"/>
        <v>-0.55440167207544333</v>
      </c>
      <c r="T51" s="635">
        <f t="shared" si="81"/>
        <v>-4.0697343915800008</v>
      </c>
      <c r="U51" s="629">
        <f t="shared" si="82"/>
        <v>-1.6503117513298611</v>
      </c>
      <c r="V51" s="636">
        <f t="shared" si="114"/>
        <v>-0.55440167207544333</v>
      </c>
      <c r="W51" s="585">
        <f t="shared" si="224"/>
        <v>202.07297082427277</v>
      </c>
      <c r="X51" s="629">
        <f t="shared" si="83"/>
        <v>4.391613245105547</v>
      </c>
      <c r="Y51" s="630">
        <f t="shared" si="223"/>
        <v>-0.55440167207544333</v>
      </c>
      <c r="Z51" s="632">
        <f t="shared" si="243"/>
        <v>-0.97699025794595529</v>
      </c>
      <c r="AA51" s="629">
        <f t="shared" si="244"/>
        <v>-0.14477220745363903</v>
      </c>
      <c r="AB51" s="629">
        <f t="shared" si="245"/>
        <v>-0.15662389290174181</v>
      </c>
      <c r="AC51" s="636">
        <f t="shared" si="84"/>
        <v>1</v>
      </c>
      <c r="AD51" s="637">
        <f t="shared" si="115"/>
        <v>-0.97699025794595529</v>
      </c>
      <c r="AE51" s="629">
        <f t="shared" si="85"/>
        <v>-0.14477220745363903</v>
      </c>
      <c r="AF51" s="633">
        <f t="shared" si="86"/>
        <v>-0.15662389290174181</v>
      </c>
      <c r="AG51" s="602">
        <f t="shared" si="87"/>
        <v>-42.748139803007064</v>
      </c>
      <c r="AH51" s="603">
        <f t="shared" si="88"/>
        <v>167.68513115221702</v>
      </c>
      <c r="AI51" s="585">
        <f t="shared" si="89"/>
        <v>-80.9890111268341</v>
      </c>
      <c r="AJ51" s="586">
        <f t="shared" si="90"/>
        <v>-81.571142425618731</v>
      </c>
      <c r="AK51" s="635">
        <f t="shared" si="211"/>
        <v>0.95982692528172253</v>
      </c>
      <c r="AL51" s="629">
        <f t="shared" si="91"/>
        <v>-0.23281157547797787</v>
      </c>
      <c r="AM51" s="634">
        <f t="shared" si="92"/>
        <v>-0.15662389290174181</v>
      </c>
      <c r="AN51" s="581">
        <f t="shared" si="93"/>
        <v>-56.069322129089365</v>
      </c>
      <c r="AO51" s="582">
        <f t="shared" si="94"/>
        <v>16.295583157802223</v>
      </c>
      <c r="AP51" s="585">
        <f t="shared" si="95"/>
        <v>-13.634113251335338</v>
      </c>
      <c r="AQ51" s="586">
        <f t="shared" si="246"/>
        <v>0.5190949497322489</v>
      </c>
      <c r="AS51" s="52">
        <f t="shared" si="406"/>
        <v>-157.92702917572723</v>
      </c>
      <c r="AT51" s="72">
        <f t="shared" si="247"/>
        <v>-0.4447231795933021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3.1240000000000001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1.7837763992587996</v>
      </c>
      <c r="C52" s="708">
        <v>-4.5881655616831827</v>
      </c>
      <c r="D52" s="709">
        <v>-1.1000033176100061</v>
      </c>
      <c r="E52" s="710">
        <v>0.98854156011721517</v>
      </c>
      <c r="F52" s="708">
        <v>9.8136054411308946E-2</v>
      </c>
      <c r="G52" s="711">
        <v>0.11469480696876813</v>
      </c>
      <c r="H52" s="710">
        <v>0.314</v>
      </c>
      <c r="I52" s="708">
        <v>0.52</v>
      </c>
      <c r="J52" s="570">
        <v>3.129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3.129</v>
      </c>
      <c r="N52" s="632">
        <f t="shared" si="240"/>
        <v>1.7837763992587996</v>
      </c>
      <c r="O52" s="629">
        <f t="shared" si="241"/>
        <v>-4.5881655616831827</v>
      </c>
      <c r="P52" s="633">
        <f t="shared" si="242"/>
        <v>-1.1000033176100061</v>
      </c>
      <c r="Q52" s="585">
        <f t="shared" si="113"/>
        <v>291.24497094382116</v>
      </c>
      <c r="R52" s="629">
        <f t="shared" si="79"/>
        <v>4.9227148469079784</v>
      </c>
      <c r="S52" s="634">
        <f t="shared" si="80"/>
        <v>-1.1000033176100061</v>
      </c>
      <c r="T52" s="635">
        <f t="shared" si="81"/>
        <v>-4.5878541641351127</v>
      </c>
      <c r="U52" s="629">
        <f t="shared" si="82"/>
        <v>-1.7845771579274305</v>
      </c>
      <c r="V52" s="636">
        <f t="shared" si="114"/>
        <v>-1.1000033176100061</v>
      </c>
      <c r="W52" s="585">
        <f t="shared" si="224"/>
        <v>201.25497094237733</v>
      </c>
      <c r="X52" s="629">
        <f t="shared" si="83"/>
        <v>4.9227148469079784</v>
      </c>
      <c r="Y52" s="630">
        <f t="shared" si="223"/>
        <v>-1.1000033176100061</v>
      </c>
      <c r="Z52" s="632">
        <f t="shared" si="243"/>
        <v>-0.98854156011721517</v>
      </c>
      <c r="AA52" s="629">
        <f t="shared" si="244"/>
        <v>-9.8136054411308946E-2</v>
      </c>
      <c r="AB52" s="629">
        <f t="shared" si="245"/>
        <v>-0.11469480696876813</v>
      </c>
      <c r="AC52" s="636">
        <f t="shared" si="84"/>
        <v>1</v>
      </c>
      <c r="AD52" s="637">
        <f t="shared" si="115"/>
        <v>-0.98854156011721517</v>
      </c>
      <c r="AE52" s="629">
        <f t="shared" si="85"/>
        <v>-9.8136054411308946E-2</v>
      </c>
      <c r="AF52" s="633">
        <f t="shared" si="86"/>
        <v>-0.11469480696876813</v>
      </c>
      <c r="AG52" s="602">
        <f t="shared" si="87"/>
        <v>-40.55121268584876</v>
      </c>
      <c r="AH52" s="603">
        <f t="shared" si="88"/>
        <v>171.31807671139723</v>
      </c>
      <c r="AI52" s="585">
        <f t="shared" si="89"/>
        <v>-83.413977698781807</v>
      </c>
      <c r="AJ52" s="586">
        <f t="shared" si="90"/>
        <v>-84.330618833238873</v>
      </c>
      <c r="AK52" s="635">
        <f t="shared" si="211"/>
        <v>0.95692016838157112</v>
      </c>
      <c r="AL52" s="629">
        <f t="shared" si="91"/>
        <v>-0.26673749754952469</v>
      </c>
      <c r="AM52" s="634">
        <f t="shared" si="92"/>
        <v>-0.11469480696876813</v>
      </c>
      <c r="AN52" s="581">
        <f t="shared" si="93"/>
        <v>-66.732715219692309</v>
      </c>
      <c r="AO52" s="582">
        <f t="shared" si="94"/>
        <v>16.878980133561317</v>
      </c>
      <c r="AP52" s="585">
        <f t="shared" si="95"/>
        <v>-15.575589777060031</v>
      </c>
      <c r="AQ52" s="586">
        <f t="shared" si="246"/>
        <v>0.4630934474463691</v>
      </c>
      <c r="AS52" s="52">
        <f t="shared" si="406"/>
        <v>-158.74502905762267</v>
      </c>
      <c r="AT52" s="72">
        <f t="shared" si="247"/>
        <v>-0.98975676965432635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3.129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1.8712440239902188</v>
      </c>
      <c r="C53" s="708">
        <v>-4.9799550728005597</v>
      </c>
      <c r="D53" s="709">
        <v>-1.7507052801271248</v>
      </c>
      <c r="E53" s="710">
        <v>0.99509745321510756</v>
      </c>
      <c r="F53" s="708">
        <v>5.2179979871123994E-2</v>
      </c>
      <c r="G53" s="711">
        <v>8.4013738789891643E-2</v>
      </c>
      <c r="H53" s="710">
        <v>0.314</v>
      </c>
      <c r="I53" s="708">
        <v>0.52</v>
      </c>
      <c r="J53" s="570">
        <v>3.1339999999999999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3.1339999999999999</v>
      </c>
      <c r="N53" s="632">
        <f t="shared" si="240"/>
        <v>1.8712440239902188</v>
      </c>
      <c r="O53" s="629">
        <f t="shared" si="241"/>
        <v>-4.9799550728005597</v>
      </c>
      <c r="P53" s="633">
        <f t="shared" si="242"/>
        <v>-1.7507052801271248</v>
      </c>
      <c r="Q53" s="585">
        <f t="shared" si="113"/>
        <v>290.59397103781396</v>
      </c>
      <c r="R53" s="629">
        <f t="shared" ref="R53:R58" si="410">IF(M53="","",SQRT(N53^2+O53^2))</f>
        <v>5.3199160448667921</v>
      </c>
      <c r="S53" s="634">
        <f t="shared" ref="S53:S58" si="411">IF(M53="","",P53)</f>
        <v>-1.7507052801271248</v>
      </c>
      <c r="T53" s="635">
        <f t="shared" ref="T53:T58" si="412">IF(M53="","",X53*COS(RADIANS(W53)))</f>
        <v>-4.9796284033070721</v>
      </c>
      <c r="U53" s="629">
        <f t="shared" ref="U53:U58" si="413">IF(M53="","",X53*SIN(RADIANS(W53)))</f>
        <v>-1.8721131614858635</v>
      </c>
      <c r="V53" s="636">
        <f t="shared" ref="V53:V58" si="414">IF(M53="","",Y53)</f>
        <v>-1.7507052801271248</v>
      </c>
      <c r="W53" s="585">
        <f t="shared" si="224"/>
        <v>200.60397103637013</v>
      </c>
      <c r="X53" s="629">
        <f t="shared" ref="X53:X58" si="415">IF(M53="","",R53)</f>
        <v>5.3199160448667921</v>
      </c>
      <c r="Y53" s="630">
        <f t="shared" si="223"/>
        <v>-1.7507052801271248</v>
      </c>
      <c r="Z53" s="632">
        <f t="shared" si="243"/>
        <v>-0.99509745321510756</v>
      </c>
      <c r="AA53" s="629">
        <f t="shared" si="244"/>
        <v>-5.2179979871123994E-2</v>
      </c>
      <c r="AB53" s="629">
        <f t="shared" si="245"/>
        <v>-8.4013738789891643E-2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-0.99509745321510756</v>
      </c>
      <c r="AE53" s="629">
        <f t="shared" ref="AE53:AE58" si="418">IF(M53="","",AA53*(1/SQRT(Z53^2+AA53^2+AB53^2)))</f>
        <v>-5.2179979871123994E-2</v>
      </c>
      <c r="AF53" s="633">
        <f t="shared" ref="AF53:AF58" si="419">IF(M53="","",AB53*(1/SQRT(Z53^2+AA53^2+AB53^2)))</f>
        <v>-8.4013738789891643E-2</v>
      </c>
      <c r="AG53" s="602">
        <f t="shared" ref="AG53:AG58" si="420">IF(M53="","",DEGREES(ATAN2(-AF53,AE53)))</f>
        <v>-31.843946645273054</v>
      </c>
      <c r="AH53" s="603">
        <f t="shared" ref="AH53:AH58" si="421">IF(M53="","",DEGREES(ACOS(AD53)))</f>
        <v>174.32421295469638</v>
      </c>
      <c r="AI53" s="585">
        <f t="shared" ref="AI53:AI58" si="422">IF(M53="","",DEGREES(-ACOS(-AF53)))</f>
        <v>-85.180686600367878</v>
      </c>
      <c r="AJ53" s="586">
        <f t="shared" ref="AJ53:AJ58" si="423">IF(M53="","",DEGREES(ATAN2(-AE53,AD53)))</f>
        <v>-86.998327222727767</v>
      </c>
      <c r="AK53" s="635">
        <f t="shared" ref="AK53:AK58" si="424">IF(M53="","",(COS(RADIANS((90-$Q$8)-W53))*AD53)+(-SIN(RADIANS((90-$Q$8)-W53))*AE53))</f>
        <v>0.94986124648547743</v>
      </c>
      <c r="AL53" s="629">
        <f t="shared" ref="AL53:AL58" si="425">IF(M53="","",(SIN(RADIANS((90-$Q$8)-W53))*AD53)+(COS(RADIANS((90-$Q$8)-W53))*AE53))</f>
        <v>-0.30117321281880149</v>
      </c>
      <c r="AM53" s="634">
        <f t="shared" ref="AM53:AM58" si="426">IF(M53="","",AF53)</f>
        <v>-8.4013738789891643E-2</v>
      </c>
      <c r="AN53" s="581">
        <f t="shared" ref="AN53:AN58" si="427">IF(M53="","",DEGREES(ATAN2(-AM53,AL53)))</f>
        <v>-74.413295960479957</v>
      </c>
      <c r="AO53" s="582">
        <f t="shared" si="94"/>
        <v>18.220315499090322</v>
      </c>
      <c r="AP53" s="585">
        <f t="shared" ref="AP53:AP58" si="428">IF(M53="","",DEGREES(ATAN2(AK53,AL53)))</f>
        <v>-17.592298260541714</v>
      </c>
      <c r="AQ53" s="586">
        <f t="shared" si="246"/>
        <v>0.42851881608645043</v>
      </c>
      <c r="AS53" s="52">
        <f t="shared" si="406"/>
        <v>-159.39602896362987</v>
      </c>
      <c r="AT53" s="72">
        <f t="shared" si="247"/>
        <v>-1.6400066489033844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3.1339999999999999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1.9265048380671266</v>
      </c>
      <c r="C54" s="708">
        <v>-5.2595940956613996</v>
      </c>
      <c r="D54" s="709">
        <v>-2.4597074184775742</v>
      </c>
      <c r="E54" s="710">
        <v>0.99855365029993326</v>
      </c>
      <c r="F54" s="708">
        <v>1.5911447225768687E-2</v>
      </c>
      <c r="G54" s="711">
        <v>5.1355947268647006E-2</v>
      </c>
      <c r="H54" s="710">
        <v>0.314</v>
      </c>
      <c r="I54" s="708">
        <v>0.52</v>
      </c>
      <c r="J54" s="570">
        <v>3.1389999999999998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3.1389999999999998</v>
      </c>
      <c r="N54" s="632">
        <f t="shared" si="240"/>
        <v>1.9265048380671266</v>
      </c>
      <c r="O54" s="629">
        <f t="shared" si="241"/>
        <v>-5.2595940956613996</v>
      </c>
      <c r="P54" s="633">
        <f t="shared" si="242"/>
        <v>-2.4597074184775742</v>
      </c>
      <c r="Q54" s="585">
        <f t="shared" si="113"/>
        <v>290.11697110668422</v>
      </c>
      <c r="R54" s="629">
        <f t="shared" si="410"/>
        <v>5.6013168935717523</v>
      </c>
      <c r="S54" s="634">
        <f t="shared" si="411"/>
        <v>-2.4597074184775742</v>
      </c>
      <c r="T54" s="635">
        <f t="shared" si="412"/>
        <v>-5.2592577770786795</v>
      </c>
      <c r="U54" s="629">
        <f t="shared" si="413"/>
        <v>-1.927422780930466</v>
      </c>
      <c r="V54" s="636">
        <f t="shared" si="414"/>
        <v>-2.4597074184775742</v>
      </c>
      <c r="W54" s="585">
        <f t="shared" si="224"/>
        <v>200.12697110524039</v>
      </c>
      <c r="X54" s="629">
        <f t="shared" si="415"/>
        <v>5.6013168935717523</v>
      </c>
      <c r="Y54" s="630">
        <f t="shared" si="223"/>
        <v>-2.4597074184775742</v>
      </c>
      <c r="Z54" s="632">
        <f t="shared" si="243"/>
        <v>-0.99855365029993326</v>
      </c>
      <c r="AA54" s="629">
        <f t="shared" si="244"/>
        <v>-1.5911447225768687E-2</v>
      </c>
      <c r="AB54" s="629">
        <f t="shared" si="245"/>
        <v>-5.1355947268647006E-2</v>
      </c>
      <c r="AC54" s="636">
        <f t="shared" si="416"/>
        <v>1</v>
      </c>
      <c r="AD54" s="637">
        <f t="shared" si="417"/>
        <v>-0.99855365029993326</v>
      </c>
      <c r="AE54" s="629">
        <f t="shared" si="418"/>
        <v>-1.5911447225768687E-2</v>
      </c>
      <c r="AF54" s="633">
        <f t="shared" si="419"/>
        <v>-5.1355947268647006E-2</v>
      </c>
      <c r="AG54" s="602">
        <f t="shared" si="420"/>
        <v>-17.214380561971321</v>
      </c>
      <c r="AH54" s="603">
        <f t="shared" si="421"/>
        <v>176.91804250943377</v>
      </c>
      <c r="AI54" s="585">
        <f t="shared" si="422"/>
        <v>-87.056225999052415</v>
      </c>
      <c r="AJ54" s="586">
        <f t="shared" si="423"/>
        <v>-89.087097999914278</v>
      </c>
      <c r="AK54" s="635">
        <f t="shared" si="424"/>
        <v>0.94310685571856934</v>
      </c>
      <c r="AL54" s="629">
        <f t="shared" si="425"/>
        <v>-0.32849965810754417</v>
      </c>
      <c r="AM54" s="634">
        <f t="shared" si="426"/>
        <v>-5.1355947268647006E-2</v>
      </c>
      <c r="AN54" s="581">
        <f t="shared" si="427"/>
        <v>-81.114594800969982</v>
      </c>
      <c r="AO54" s="582">
        <f t="shared" si="94"/>
        <v>19.419965304259751</v>
      </c>
      <c r="AP54" s="585">
        <f t="shared" si="428"/>
        <v>-19.20406910659851</v>
      </c>
      <c r="AQ54" s="586">
        <f t="shared" si="246"/>
        <v>0.40699148647848998</v>
      </c>
      <c r="AS54" s="52">
        <f t="shared" si="406"/>
        <v>-159.87302889475961</v>
      </c>
      <c r="AT54" s="72">
        <f t="shared" si="247"/>
        <v>-2.3486775373016604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3.1389999999999998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1.9587827867565528</v>
      </c>
      <c r="C55" s="708">
        <v>-5.4389499342656951</v>
      </c>
      <c r="D55" s="709">
        <v>-3.2012096548483187</v>
      </c>
      <c r="E55" s="710">
        <v>0.99930573268864542</v>
      </c>
      <c r="F55" s="708">
        <v>-2.6420983001345318E-2</v>
      </c>
      <c r="G55" s="711">
        <v>2.6267551710284016E-2</v>
      </c>
      <c r="H55" s="710">
        <v>0.314</v>
      </c>
      <c r="I55" s="708">
        <v>0.52</v>
      </c>
      <c r="J55" s="570">
        <v>3.1440000000000001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3.1440000000000001</v>
      </c>
      <c r="N55" s="632">
        <f t="shared" si="240"/>
        <v>1.9587827867565528</v>
      </c>
      <c r="O55" s="629">
        <f t="shared" si="241"/>
        <v>-5.4389499342656951</v>
      </c>
      <c r="P55" s="633">
        <f t="shared" si="242"/>
        <v>-3.2012096548483187</v>
      </c>
      <c r="Q55" s="585">
        <f t="shared" si="113"/>
        <v>289.80597115158707</v>
      </c>
      <c r="R55" s="629">
        <f t="shared" si="410"/>
        <v>5.7809174352469848</v>
      </c>
      <c r="S55" s="634">
        <f t="shared" si="411"/>
        <v>-3.2012096548483187</v>
      </c>
      <c r="T55" s="635">
        <f t="shared" si="412"/>
        <v>-5.4386079793872675</v>
      </c>
      <c r="U55" s="629">
        <f t="shared" si="413"/>
        <v>-1.959732032622757</v>
      </c>
      <c r="V55" s="636">
        <f t="shared" si="414"/>
        <v>-3.2012096548483187</v>
      </c>
      <c r="W55" s="585">
        <f t="shared" si="224"/>
        <v>199.81597115014324</v>
      </c>
      <c r="X55" s="629">
        <f t="shared" si="415"/>
        <v>5.7809174352469848</v>
      </c>
      <c r="Y55" s="630">
        <f t="shared" si="223"/>
        <v>-3.2012096548483187</v>
      </c>
      <c r="Z55" s="632">
        <f t="shared" si="243"/>
        <v>-0.99930573268864542</v>
      </c>
      <c r="AA55" s="629">
        <f t="shared" si="244"/>
        <v>2.6420983001345318E-2</v>
      </c>
      <c r="AB55" s="629">
        <f t="shared" si="245"/>
        <v>-2.6267551710284016E-2</v>
      </c>
      <c r="AC55" s="636">
        <f t="shared" si="416"/>
        <v>1</v>
      </c>
      <c r="AD55" s="637">
        <f t="shared" si="417"/>
        <v>-0.99930573268864542</v>
      </c>
      <c r="AE55" s="629">
        <f t="shared" si="418"/>
        <v>2.6420983001345318E-2</v>
      </c>
      <c r="AF55" s="633">
        <f t="shared" si="419"/>
        <v>-2.6267551710284016E-2</v>
      </c>
      <c r="AG55" s="602">
        <f t="shared" si="420"/>
        <v>45.166847315496241</v>
      </c>
      <c r="AH55" s="603">
        <f t="shared" si="421"/>
        <v>177.86486117087549</v>
      </c>
      <c r="AI55" s="585">
        <f t="shared" si="422"/>
        <v>-88.494807021761019</v>
      </c>
      <c r="AJ55" s="586">
        <f t="shared" si="423"/>
        <v>-91.514509701594179</v>
      </c>
      <c r="AK55" s="635">
        <f t="shared" si="424"/>
        <v>0.93123988410258518</v>
      </c>
      <c r="AL55" s="629">
        <f t="shared" si="425"/>
        <v>-0.36345879269010872</v>
      </c>
      <c r="AM55" s="634">
        <f t="shared" si="426"/>
        <v>-2.6267551710284016E-2</v>
      </c>
      <c r="AN55" s="581">
        <f t="shared" si="427"/>
        <v>-85.866360176750405</v>
      </c>
      <c r="AO55" s="582">
        <f>IF(ROUND(IF(M55="",0,DEGREES(ACOS(AK55))),4)=90,0,IF(M55="","",DEGREES(ACOS(AK55))))</f>
        <v>21.371077550497876</v>
      </c>
      <c r="AP55" s="585">
        <f t="shared" si="428"/>
        <v>-21.320480853181266</v>
      </c>
      <c r="AQ55" s="586">
        <f t="shared" si="246"/>
        <v>0.39434755117868042</v>
      </c>
      <c r="AS55" s="52">
        <f t="shared" si="406"/>
        <v>-160.18402884985676</v>
      </c>
      <c r="AT55" s="72">
        <f t="shared" si="247"/>
        <v>-3.0899638014813653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3.1440000000000001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1.9736084852949347</v>
      </c>
      <c r="C56" s="708">
        <v>-5.5260589621398291</v>
      </c>
      <c r="D56" s="709">
        <v>-3.9594119415864162</v>
      </c>
      <c r="E56" s="710">
        <v>0.97747554836108252</v>
      </c>
      <c r="F56" s="708">
        <v>-0.20260007754622167</v>
      </c>
      <c r="G56" s="711">
        <v>5.9116503063578282E-2</v>
      </c>
      <c r="H56" s="710">
        <v>0.314</v>
      </c>
      <c r="I56" s="708">
        <v>0.52</v>
      </c>
      <c r="J56" s="570">
        <v>3.149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3.149</v>
      </c>
      <c r="N56" s="632">
        <f t="shared" si="240"/>
        <v>1.9736084852949347</v>
      </c>
      <c r="O56" s="629">
        <f t="shared" si="241"/>
        <v>-5.5260589621398291</v>
      </c>
      <c r="P56" s="633">
        <f t="shared" si="242"/>
        <v>-3.9594119415864162</v>
      </c>
      <c r="Q56" s="585">
        <f t="shared" si="113"/>
        <v>289.65397117353314</v>
      </c>
      <c r="R56" s="629">
        <f t="shared" si="410"/>
        <v>5.8679176976397764</v>
      </c>
      <c r="S56" s="634">
        <f t="shared" si="411"/>
        <v>-3.9594119415864162</v>
      </c>
      <c r="T56" s="635">
        <f t="shared" si="412"/>
        <v>-5.5257144183625089</v>
      </c>
      <c r="U56" s="629">
        <f t="shared" si="413"/>
        <v>-1.9745729343265033</v>
      </c>
      <c r="V56" s="636">
        <f t="shared" si="414"/>
        <v>-3.9594119415864162</v>
      </c>
      <c r="W56" s="585">
        <f t="shared" si="224"/>
        <v>199.6639711720893</v>
      </c>
      <c r="X56" s="629">
        <f t="shared" si="415"/>
        <v>5.8679176976397764</v>
      </c>
      <c r="Y56" s="630">
        <f t="shared" si="223"/>
        <v>-3.9594119415864162</v>
      </c>
      <c r="Z56" s="632">
        <f t="shared" si="243"/>
        <v>-0.97747554836108252</v>
      </c>
      <c r="AA56" s="629">
        <f t="shared" si="244"/>
        <v>0.20260007754622167</v>
      </c>
      <c r="AB56" s="629">
        <f t="shared" si="245"/>
        <v>-5.9116503063578282E-2</v>
      </c>
      <c r="AC56" s="636">
        <f t="shared" si="416"/>
        <v>1</v>
      </c>
      <c r="AD56" s="637">
        <f t="shared" si="417"/>
        <v>-0.97747554836108252</v>
      </c>
      <c r="AE56" s="629">
        <f t="shared" si="418"/>
        <v>0.20260007754622167</v>
      </c>
      <c r="AF56" s="633">
        <f t="shared" si="419"/>
        <v>-5.9116503063578282E-2</v>
      </c>
      <c r="AG56" s="602">
        <f t="shared" si="420"/>
        <v>73.733328273141439</v>
      </c>
      <c r="AH56" s="603">
        <f t="shared" si="421"/>
        <v>167.81618438069899</v>
      </c>
      <c r="AI56" s="585">
        <f t="shared" si="422"/>
        <v>-86.610897899792135</v>
      </c>
      <c r="AJ56" s="586">
        <f t="shared" si="423"/>
        <v>-101.70981443567209</v>
      </c>
      <c r="AK56" s="635">
        <f t="shared" si="424"/>
        <v>0.8523865772927407</v>
      </c>
      <c r="AL56" s="629">
        <f t="shared" si="425"/>
        <v>-0.51955977703888956</v>
      </c>
      <c r="AM56" s="634">
        <f t="shared" si="426"/>
        <v>-5.9116503063578282E-2</v>
      </c>
      <c r="AN56" s="581">
        <f t="shared" si="427"/>
        <v>-83.508693641392057</v>
      </c>
      <c r="AO56" s="582">
        <f t="shared" ref="AO56:AO119" si="461">IF(ROUND(IF(M56="",0,DEGREES(ACOS(AK56))),4)=90,0,IF(M56="","",DEGREES(ACOS(AK56))))</f>
        <v>31.52779666935152</v>
      </c>
      <c r="AP56" s="585">
        <f t="shared" si="428"/>
        <v>-31.363785609205244</v>
      </c>
      <c r="AQ56" s="586">
        <f t="shared" si="246"/>
        <v>0.38850096595047479</v>
      </c>
      <c r="AS56" s="52">
        <f t="shared" si="406"/>
        <v>-160.3360288279107</v>
      </c>
      <c r="AT56" s="72">
        <f t="shared" si="247"/>
        <v>-3.8480605326791477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3.149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1.9862454031417573</v>
      </c>
      <c r="C57" s="708">
        <v>-5.6033978431474516</v>
      </c>
      <c r="D57" s="709">
        <v>-4.6666140745080487</v>
      </c>
      <c r="E57" s="710">
        <v>0.93678202326043425</v>
      </c>
      <c r="F57" s="708">
        <v>-0.34991347629962355</v>
      </c>
      <c r="G57" s="711">
        <v>2.1664728810537718E-16</v>
      </c>
      <c r="H57" s="710">
        <v>0.26600000000000001</v>
      </c>
      <c r="I57" s="708">
        <v>0.52</v>
      </c>
      <c r="J57" s="570">
        <v>3.1539999999999999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3.1539999999999999</v>
      </c>
      <c r="N57" s="632">
        <f t="shared" si="240"/>
        <v>1.9862454031417573</v>
      </c>
      <c r="O57" s="629">
        <f t="shared" si="241"/>
        <v>-5.6033978431474516</v>
      </c>
      <c r="P57" s="633">
        <f t="shared" si="242"/>
        <v>-4.6666140745080487</v>
      </c>
      <c r="Q57" s="585">
        <f t="shared" si="113"/>
        <v>289.5179711931691</v>
      </c>
      <c r="R57" s="629">
        <f t="shared" si="410"/>
        <v>5.9450179301740782</v>
      </c>
      <c r="S57" s="634">
        <f t="shared" si="411"/>
        <v>-4.6666140745080487</v>
      </c>
      <c r="T57" s="635">
        <f t="shared" si="412"/>
        <v>-5.6030510926342858</v>
      </c>
      <c r="U57" s="629">
        <f t="shared" si="413"/>
        <v>-1.9872233501599723</v>
      </c>
      <c r="V57" s="636">
        <f t="shared" si="414"/>
        <v>-4.6666140745080487</v>
      </c>
      <c r="W57" s="585">
        <f t="shared" si="224"/>
        <v>199.52797119172527</v>
      </c>
      <c r="X57" s="629">
        <f t="shared" si="415"/>
        <v>5.9450179301740782</v>
      </c>
      <c r="Y57" s="630">
        <f t="shared" si="223"/>
        <v>-4.6666140745080487</v>
      </c>
      <c r="Z57" s="632">
        <f t="shared" si="243"/>
        <v>-0.93678202326043425</v>
      </c>
      <c r="AA57" s="629">
        <f t="shared" si="244"/>
        <v>0.34991347629962355</v>
      </c>
      <c r="AB57" s="629">
        <f t="shared" si="245"/>
        <v>-2.1664728810537718E-16</v>
      </c>
      <c r="AC57" s="636">
        <f t="shared" si="416"/>
        <v>1</v>
      </c>
      <c r="AD57" s="637">
        <f t="shared" si="417"/>
        <v>-0.93678202326043425</v>
      </c>
      <c r="AE57" s="629">
        <f t="shared" si="418"/>
        <v>0.34991347629962355</v>
      </c>
      <c r="AF57" s="633">
        <f t="shared" si="419"/>
        <v>-2.1664728810537718E-16</v>
      </c>
      <c r="AG57" s="602">
        <f t="shared" si="420"/>
        <v>89.999999999999957</v>
      </c>
      <c r="AH57" s="603">
        <f t="shared" si="421"/>
        <v>159.5179769684537</v>
      </c>
      <c r="AI57" s="585">
        <f t="shared" si="422"/>
        <v>-89.999999999999986</v>
      </c>
      <c r="AJ57" s="586">
        <f t="shared" si="423"/>
        <v>-110.48202303154629</v>
      </c>
      <c r="AK57" s="635">
        <f t="shared" si="424"/>
        <v>0.76604450791050716</v>
      </c>
      <c r="AL57" s="629">
        <f t="shared" si="425"/>
        <v>-0.64278753247099374</v>
      </c>
      <c r="AM57" s="634">
        <f t="shared" si="426"/>
        <v>-2.1664728810537718E-16</v>
      </c>
      <c r="AN57" s="581">
        <f t="shared" si="427"/>
        <v>-89.999999999999986</v>
      </c>
      <c r="AO57" s="582">
        <f t="shared" si="461"/>
        <v>39.999994224715394</v>
      </c>
      <c r="AP57" s="585">
        <f t="shared" si="428"/>
        <v>-39.999994224715387</v>
      </c>
      <c r="AQ57" s="586">
        <f t="shared" si="246"/>
        <v>0.38346269443547887</v>
      </c>
      <c r="AS57" s="52">
        <f t="shared" si="406"/>
        <v>-160.47202880827473</v>
      </c>
      <c r="AT57" s="72">
        <f t="shared" si="247"/>
        <v>-4.5551682211699713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3.1539999999999999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1313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0.13897759267510978</v>
      </c>
      <c r="C58" s="708">
        <v>-2.9318167070121151</v>
      </c>
      <c r="D58" s="709">
        <v>-8.8144000682527798E-2</v>
      </c>
      <c r="E58" s="710">
        <v>2.265405137180996E-7</v>
      </c>
      <c r="F58" s="708">
        <v>1.0738752925659637E-8</v>
      </c>
      <c r="G58" s="711">
        <v>0.99999999999997435</v>
      </c>
      <c r="H58" s="710">
        <v>0.26250000000000001</v>
      </c>
      <c r="I58" s="708">
        <v>0.40699999999999997</v>
      </c>
      <c r="J58" s="570">
        <v>3.214</v>
      </c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Inactive</v>
      </c>
      <c r="L58" s="320"/>
      <c r="M58" s="168">
        <f t="shared" si="239"/>
        <v>3.214</v>
      </c>
      <c r="N58" s="632">
        <f t="shared" si="240"/>
        <v>0.13897759267510978</v>
      </c>
      <c r="O58" s="629">
        <f t="shared" si="241"/>
        <v>-2.9318167070121151</v>
      </c>
      <c r="P58" s="633">
        <f t="shared" si="242"/>
        <v>-8.8144000682527798E-2</v>
      </c>
      <c r="Q58" s="585">
        <f t="shared" si="113"/>
        <v>272.71397361936613</v>
      </c>
      <c r="R58" s="629">
        <f t="shared" si="410"/>
        <v>2.9351088522882982</v>
      </c>
      <c r="S58" s="634">
        <f t="shared" si="411"/>
        <v>-8.8144000682527798E-2</v>
      </c>
      <c r="T58" s="635">
        <f t="shared" si="412"/>
        <v>-2.9317924061958447</v>
      </c>
      <c r="U58" s="629">
        <f t="shared" si="413"/>
        <v>-0.13948928902790392</v>
      </c>
      <c r="V58" s="636">
        <f t="shared" si="414"/>
        <v>-8.8144000682527798E-2</v>
      </c>
      <c r="W58" s="585">
        <f t="shared" si="224"/>
        <v>182.7239736179223</v>
      </c>
      <c r="X58" s="629">
        <f t="shared" si="415"/>
        <v>2.9351088522882982</v>
      </c>
      <c r="Y58" s="630">
        <f t="shared" si="223"/>
        <v>-8.8144000682527798E-2</v>
      </c>
      <c r="Z58" s="632">
        <f t="shared" si="243"/>
        <v>-2.265405137180996E-7</v>
      </c>
      <c r="AA58" s="629">
        <f t="shared" si="244"/>
        <v>-1.0738752925659637E-8</v>
      </c>
      <c r="AB58" s="629">
        <f t="shared" si="245"/>
        <v>-0.99999999999997435</v>
      </c>
      <c r="AC58" s="636">
        <f t="shared" si="416"/>
        <v>1</v>
      </c>
      <c r="AD58" s="637">
        <f t="shared" si="417"/>
        <v>-2.265405137180996E-7</v>
      </c>
      <c r="AE58" s="629">
        <f t="shared" si="418"/>
        <v>-1.0738752925659637E-8</v>
      </c>
      <c r="AF58" s="633">
        <f t="shared" si="419"/>
        <v>-0.99999999999997435</v>
      </c>
      <c r="AG58" s="602">
        <f t="shared" si="420"/>
        <v>-6.1528521987407799E-7</v>
      </c>
      <c r="AH58" s="603">
        <f t="shared" si="421"/>
        <v>90.000012979815324</v>
      </c>
      <c r="AI58" s="585">
        <f t="shared" si="422"/>
        <v>-1.2976235990044085E-5</v>
      </c>
      <c r="AJ58" s="586">
        <f t="shared" si="423"/>
        <v>-87.286026380633857</v>
      </c>
      <c r="AK58" s="635">
        <f t="shared" si="424"/>
        <v>2.2679489670197353E-7</v>
      </c>
      <c r="AL58" s="629">
        <f t="shared" si="425"/>
        <v>1.6378176128549948E-22</v>
      </c>
      <c r="AM58" s="634">
        <f t="shared" si="426"/>
        <v>-0.99999999999997435</v>
      </c>
      <c r="AN58" s="581">
        <f t="shared" si="427"/>
        <v>9.3840036828785016E-21</v>
      </c>
      <c r="AO58" s="582">
        <f t="shared" si="461"/>
        <v>0</v>
      </c>
      <c r="AP58" s="585">
        <f t="shared" si="428"/>
        <v>4.1376608642167046E-14</v>
      </c>
      <c r="AQ58" s="586">
        <f t="shared" si="246"/>
        <v>0.77666182567774622</v>
      </c>
      <c r="AS58" s="52">
        <f t="shared" si="406"/>
        <v>-177.2760263820777</v>
      </c>
      <c r="AT58" s="72">
        <f t="shared" si="247"/>
        <v>3.4971295415134621E-2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Nose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3.214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3.1139999999999999</v>
      </c>
      <c r="II58" s="734" cm="1">
        <f t="array" ref="II58">IFERROR(ROUND(VALUE(IF($IH58&lt;1,$IH58+LARGE((IF($M$9:$M$150="",0,$M$9:$M$150)-MOD(IF($M$9:$M$150="",0,$M$9:$M$150),1)),1),$IH58)),4),"")</f>
        <v>3.1139999999999999</v>
      </c>
      <c r="IJ58" s="533">
        <f t="shared" si="112"/>
        <v>1613</v>
      </c>
      <c r="IK58" s="533" t="str">
        <f t="shared" si="382"/>
        <v>Inactive</v>
      </c>
      <c r="IL58" s="727">
        <f t="shared" si="225"/>
        <v>21.055996959890194</v>
      </c>
      <c r="IM58" s="759">
        <v>3.9653909785380401E-2</v>
      </c>
      <c r="IN58" s="5">
        <f t="shared" si="226"/>
        <v>0.66</v>
      </c>
      <c r="IO58" s="771">
        <v>330</v>
      </c>
      <c r="IP58" s="9">
        <f t="shared" si="227"/>
        <v>-2.9351088522882987</v>
      </c>
      <c r="IQ58" s="5">
        <f t="shared" si="228"/>
        <v>-8.9100268726410484E-2</v>
      </c>
      <c r="IR58" s="5">
        <f t="shared" si="383"/>
        <v>0.314</v>
      </c>
      <c r="IS58" s="5">
        <f t="shared" si="229"/>
        <v>0.30309115308433382</v>
      </c>
      <c r="IT58" s="727">
        <f t="shared" si="230"/>
        <v>8.1774992866337648</v>
      </c>
      <c r="IU58" s="9">
        <f t="shared" si="231"/>
        <v>-2.9351088522882982</v>
      </c>
      <c r="IV58" s="5">
        <f t="shared" si="232"/>
        <v>-8.8144000682527798E-2</v>
      </c>
      <c r="IW58" s="5">
        <f t="shared" si="384"/>
        <v>0.26250000000000001</v>
      </c>
      <c r="IX58" s="5">
        <f t="shared" si="233"/>
        <v>0.26250000000000001</v>
      </c>
      <c r="IY58" s="762">
        <f t="shared" si="234"/>
        <v>-9.3840036828785016E-21</v>
      </c>
    </row>
    <row r="59" spans="1:259" ht="15" customHeight="1" x14ac:dyDescent="0.25">
      <c r="A59" s="79"/>
      <c r="B59" s="707">
        <v>0.31115366846621528</v>
      </c>
      <c r="C59" s="708">
        <v>-3.70933292526035</v>
      </c>
      <c r="D59" s="709">
        <v>-0.18885492267838536</v>
      </c>
      <c r="E59" s="710">
        <v>2.6869481708825364E-2</v>
      </c>
      <c r="F59" s="708">
        <v>-0.32031442684306177</v>
      </c>
      <c r="G59" s="711">
        <v>0.94693014468275327</v>
      </c>
      <c r="H59" s="710">
        <v>0.26250000000000001</v>
      </c>
      <c r="I59" s="708">
        <v>0.40699999999999997</v>
      </c>
      <c r="J59" s="570">
        <v>3.2189999999999999</v>
      </c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Inactive</v>
      </c>
      <c r="L59" s="320"/>
      <c r="M59" s="168">
        <f t="shared" si="239"/>
        <v>3.2189999999999999</v>
      </c>
      <c r="N59" s="632">
        <f t="shared" si="240"/>
        <v>0.31115366846621528</v>
      </c>
      <c r="O59" s="629">
        <f t="shared" si="241"/>
        <v>-3.70933292526035</v>
      </c>
      <c r="P59" s="633">
        <f t="shared" si="242"/>
        <v>-0.18885492267838536</v>
      </c>
      <c r="Q59" s="585">
        <f t="shared" si="113"/>
        <v>274.79497331890695</v>
      </c>
      <c r="R59" s="629">
        <f t="shared" si="79"/>
        <v>3.7223604548485745</v>
      </c>
      <c r="S59" s="634">
        <f t="shared" si="80"/>
        <v>-0.18885492267838536</v>
      </c>
      <c r="T59" s="635">
        <f t="shared" si="81"/>
        <v>-3.7092785622121678</v>
      </c>
      <c r="U59" s="629">
        <f t="shared" si="82"/>
        <v>-0.31180106435629706</v>
      </c>
      <c r="V59" s="636">
        <f t="shared" si="114"/>
        <v>-0.18885492267838536</v>
      </c>
      <c r="W59" s="585">
        <f t="shared" si="224"/>
        <v>184.80497331746312</v>
      </c>
      <c r="X59" s="629">
        <f t="shared" si="83"/>
        <v>3.7223604548485745</v>
      </c>
      <c r="Y59" s="630">
        <f t="shared" si="223"/>
        <v>-0.18885492267838536</v>
      </c>
      <c r="Z59" s="632">
        <f t="shared" si="243"/>
        <v>-2.6869481708825364E-2</v>
      </c>
      <c r="AA59" s="629">
        <f t="shared" si="244"/>
        <v>0.32031442684306177</v>
      </c>
      <c r="AB59" s="629">
        <f t="shared" si="245"/>
        <v>-0.94693014468275327</v>
      </c>
      <c r="AC59" s="636">
        <f t="shared" si="84"/>
        <v>1</v>
      </c>
      <c r="AD59" s="637">
        <f t="shared" si="115"/>
        <v>-2.6869481708825364E-2</v>
      </c>
      <c r="AE59" s="629">
        <f t="shared" si="85"/>
        <v>0.32031442684306177</v>
      </c>
      <c r="AF59" s="633">
        <f t="shared" si="86"/>
        <v>-0.94693014468275327</v>
      </c>
      <c r="AG59" s="602">
        <f t="shared" si="87"/>
        <v>18.68893858846873</v>
      </c>
      <c r="AH59" s="603">
        <f t="shared" si="88"/>
        <v>91.539693206004699</v>
      </c>
      <c r="AI59" s="585">
        <f t="shared" si="89"/>
        <v>-18.749997292839666</v>
      </c>
      <c r="AJ59" s="586">
        <f t="shared" si="90"/>
        <v>-175.20498625546517</v>
      </c>
      <c r="AK59" s="635">
        <f t="shared" si="211"/>
        <v>2.267948967862865E-7</v>
      </c>
      <c r="AL59" s="629">
        <f t="shared" si="91"/>
        <v>-0.32143942056171115</v>
      </c>
      <c r="AM59" s="634">
        <f t="shared" si="92"/>
        <v>-0.94693014468275327</v>
      </c>
      <c r="AN59" s="581">
        <f t="shared" si="93"/>
        <v>-18.749997292835339</v>
      </c>
      <c r="AO59" s="582">
        <f t="shared" si="461"/>
        <v>0</v>
      </c>
      <c r="AP59" s="585">
        <f t="shared" si="95"/>
        <v>-89.999959574372127</v>
      </c>
      <c r="AQ59" s="586">
        <f t="shared" si="246"/>
        <v>0.61241780330649365</v>
      </c>
      <c r="AS59" s="52">
        <f t="shared" si="406"/>
        <v>-175.19502668253688</v>
      </c>
      <c r="AT59" s="72">
        <f t="shared" si="247"/>
        <v>-6.7184765260959622E-2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Nose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3.2189999999999999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3.1190000000000002</v>
      </c>
      <c r="II59" s="734" cm="1">
        <f t="array" ref="II59">IFERROR(ROUND(VALUE(IF($IH59&lt;1,$IH59+LARGE((IF($M$9:$M$150="",0,$M$9:$M$150)-MOD(IF($M$9:$M$150="",0,$M$9:$M$150),1)),1),$IH59)),4),"")</f>
        <v>3.1190000000000002</v>
      </c>
      <c r="IJ59" s="533">
        <f t="shared" si="112"/>
        <v>1613</v>
      </c>
      <c r="IK59" s="533" t="str">
        <f>IF(ISNUMBER($II59),INDEX($K$9:$K$150,MATCH($IG59,$M$9:$M$150,0)),"")</f>
        <v>Inactive</v>
      </c>
      <c r="IL59" s="727">
        <f t="shared" si="225"/>
        <v>18.195997372823058</v>
      </c>
      <c r="IM59" s="759">
        <v>2.9537563789912201E-2</v>
      </c>
      <c r="IN59" s="5">
        <f t="shared" si="226"/>
        <v>0.7</v>
      </c>
      <c r="IO59" s="771">
        <v>350</v>
      </c>
      <c r="IP59" s="9">
        <f t="shared" si="227"/>
        <v>-3.7097111884889449</v>
      </c>
      <c r="IQ59" s="5">
        <f t="shared" si="228"/>
        <v>-0.19090057575613648</v>
      </c>
      <c r="IR59" s="5">
        <f t="shared" si="383"/>
        <v>0.314</v>
      </c>
      <c r="IS59" s="5">
        <f t="shared" si="229"/>
        <v>0.30234569594698335</v>
      </c>
      <c r="IT59" s="727">
        <f t="shared" si="230"/>
        <v>35.834135627056035</v>
      </c>
      <c r="IU59" s="9">
        <f t="shared" si="231"/>
        <v>-3.7223604548485745</v>
      </c>
      <c r="IV59" s="5">
        <f t="shared" si="232"/>
        <v>-0.18885492267838536</v>
      </c>
      <c r="IW59" s="5">
        <f t="shared" si="384"/>
        <v>0.26250000000000001</v>
      </c>
      <c r="IX59" s="5">
        <f t="shared" si="233"/>
        <v>0.26250000000000001</v>
      </c>
      <c r="IY59" s="762">
        <f t="shared" si="234"/>
        <v>18.749997292835339</v>
      </c>
    </row>
    <row r="60" spans="1:259" ht="15" customHeight="1" x14ac:dyDescent="0.25">
      <c r="A60" s="79"/>
      <c r="B60" s="707">
        <v>0.63663387802448679</v>
      </c>
      <c r="C60" s="708">
        <v>-4.3789611888875895</v>
      </c>
      <c r="D60" s="709">
        <v>-0.51732210620300223</v>
      </c>
      <c r="E60" s="710">
        <v>0.93729312861125191</v>
      </c>
      <c r="F60" s="708">
        <v>-0.18736402574970815</v>
      </c>
      <c r="G60" s="711">
        <v>0.29389847381875578</v>
      </c>
      <c r="H60" s="710">
        <v>0.26600000000000001</v>
      </c>
      <c r="I60" s="708">
        <v>0.52</v>
      </c>
      <c r="J60" s="570">
        <v>3.2240000000000002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3.2240000000000002</v>
      </c>
      <c r="N60" s="632">
        <f t="shared" si="240"/>
        <v>0.63663387802448679</v>
      </c>
      <c r="O60" s="629">
        <f t="shared" si="241"/>
        <v>-4.3789611888875895</v>
      </c>
      <c r="P60" s="633">
        <f t="shared" si="242"/>
        <v>-0.51732210620300223</v>
      </c>
      <c r="Q60" s="585">
        <f t="shared" si="113"/>
        <v>278.27197281689035</v>
      </c>
      <c r="R60" s="629">
        <f t="shared" si="79"/>
        <v>4.4249976032120415</v>
      </c>
      <c r="S60" s="634">
        <f t="shared" si="80"/>
        <v>-0.51732210620300223</v>
      </c>
      <c r="T60" s="635">
        <f t="shared" si="81"/>
        <v>-4.3788500086358111</v>
      </c>
      <c r="U60" s="629">
        <f t="shared" si="82"/>
        <v>-0.63739814111940252</v>
      </c>
      <c r="V60" s="636">
        <f t="shared" si="114"/>
        <v>-0.51732210620300223</v>
      </c>
      <c r="W60" s="585">
        <f t="shared" si="224"/>
        <v>188.28197281544652</v>
      </c>
      <c r="X60" s="629">
        <f t="shared" si="83"/>
        <v>4.4249976032120415</v>
      </c>
      <c r="Y60" s="630">
        <f t="shared" si="223"/>
        <v>-0.51732210620300223</v>
      </c>
      <c r="Z60" s="632">
        <f t="shared" si="243"/>
        <v>-0.93729312861125191</v>
      </c>
      <c r="AA60" s="629">
        <f t="shared" si="244"/>
        <v>0.18736402574970815</v>
      </c>
      <c r="AB60" s="629">
        <f t="shared" si="245"/>
        <v>-0.29389847381875578</v>
      </c>
      <c r="AC60" s="636">
        <f t="shared" si="84"/>
        <v>1</v>
      </c>
      <c r="AD60" s="637">
        <f t="shared" si="115"/>
        <v>-0.93729312861125191</v>
      </c>
      <c r="AE60" s="629">
        <f t="shared" si="85"/>
        <v>0.18736402574970815</v>
      </c>
      <c r="AF60" s="633">
        <f t="shared" si="86"/>
        <v>-0.29389847381875578</v>
      </c>
      <c r="AG60" s="602">
        <f t="shared" si="87"/>
        <v>32.518030241866803</v>
      </c>
      <c r="AH60" s="603">
        <f t="shared" si="88"/>
        <v>159.60183104742612</v>
      </c>
      <c r="AI60" s="585">
        <f t="shared" si="89"/>
        <v>-72.908503202770945</v>
      </c>
      <c r="AJ60" s="586">
        <f t="shared" si="90"/>
        <v>-101.3043719810198</v>
      </c>
      <c r="AK60" s="635">
        <f t="shared" si="211"/>
        <v>0.90058533446247813</v>
      </c>
      <c r="AL60" s="629">
        <f t="shared" si="91"/>
        <v>-0.32026511273960623</v>
      </c>
      <c r="AM60" s="634">
        <f t="shared" si="92"/>
        <v>-0.29389847381875578</v>
      </c>
      <c r="AN60" s="581">
        <f t="shared" si="93"/>
        <v>-47.458253928062781</v>
      </c>
      <c r="AO60" s="582">
        <f t="shared" si="461"/>
        <v>25.764886179912651</v>
      </c>
      <c r="AP60" s="585">
        <f t="shared" si="95"/>
        <v>-19.576344797910167</v>
      </c>
      <c r="AQ60" s="586">
        <f t="shared" si="246"/>
        <v>0.51517885402692953</v>
      </c>
      <c r="AS60" s="52">
        <f t="shared" si="406"/>
        <v>-171.71802718455348</v>
      </c>
      <c r="AT60" s="72">
        <f t="shared" si="247"/>
        <v>-0.39806653177028717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Nose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3.2240000000000002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3.1240000000000001</v>
      </c>
      <c r="II60" s="734" cm="1">
        <f t="array" ref="II60">IFERROR(ROUND(VALUE(IF($IH60&lt;1,$IH60+LARGE((IF($M$9:$M$150="",0,$M$9:$M$150)-MOD(IF($M$9:$M$150="",0,$M$9:$M$150),1)),1),$IH60)),4),"")</f>
        <v>3.1240000000000001</v>
      </c>
      <c r="IJ60" s="533">
        <f t="shared" si="112"/>
        <v>1613</v>
      </c>
      <c r="IK60" s="533">
        <f t="shared" si="382"/>
        <v>1313</v>
      </c>
      <c r="IL60" s="727">
        <f t="shared" si="225"/>
        <v>13.79099800882625</v>
      </c>
      <c r="IM60" s="759">
        <v>1.2434783433241401E-2</v>
      </c>
      <c r="IN60" s="5">
        <f t="shared" si="226"/>
        <v>0.36</v>
      </c>
      <c r="IO60" s="771">
        <v>180</v>
      </c>
      <c r="IP60" s="9">
        <f t="shared" si="227"/>
        <v>-4.391613245105547</v>
      </c>
      <c r="IQ60" s="5">
        <f t="shared" si="228"/>
        <v>-0.55440167207544333</v>
      </c>
      <c r="IR60" s="5">
        <f t="shared" si="383"/>
        <v>0.314</v>
      </c>
      <c r="IS60" s="5">
        <f t="shared" si="229"/>
        <v>0.30138565453846089</v>
      </c>
      <c r="IT60" s="727">
        <f t="shared" si="230"/>
        <v>56.069322129089365</v>
      </c>
      <c r="IU60" s="9">
        <f t="shared" si="231"/>
        <v>-4.4249976032120415</v>
      </c>
      <c r="IV60" s="5">
        <f t="shared" si="232"/>
        <v>-0.51732210620300223</v>
      </c>
      <c r="IW60" s="5">
        <f t="shared" si="384"/>
        <v>0.26600000000000001</v>
      </c>
      <c r="IX60" s="5">
        <f t="shared" si="233"/>
        <v>0.2395556989670192</v>
      </c>
      <c r="IY60" s="762">
        <f t="shared" si="234"/>
        <v>47.458253928062781</v>
      </c>
    </row>
    <row r="61" spans="1:259" ht="15" customHeight="1" x14ac:dyDescent="0.25">
      <c r="A61" s="79"/>
      <c r="B61" s="707">
        <v>0.74826854326117265</v>
      </c>
      <c r="C61" s="708">
        <v>-4.9048573428157098</v>
      </c>
      <c r="D61" s="709">
        <v>-1.0655141082133721</v>
      </c>
      <c r="E61" s="710">
        <v>0.94313381762161019</v>
      </c>
      <c r="F61" s="708">
        <v>-0.22868729377516717</v>
      </c>
      <c r="G61" s="711">
        <v>0.24124826159845764</v>
      </c>
      <c r="H61" s="710">
        <v>0.26600000000000001</v>
      </c>
      <c r="I61" s="708">
        <v>0.52</v>
      </c>
      <c r="J61" s="570">
        <v>3.2290000000000001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1313</v>
      </c>
      <c r="L61" s="320"/>
      <c r="M61" s="168">
        <f t="shared" si="239"/>
        <v>3.2290000000000001</v>
      </c>
      <c r="N61" s="632">
        <f t="shared" si="240"/>
        <v>0.74826854326117265</v>
      </c>
      <c r="O61" s="629">
        <f t="shared" si="241"/>
        <v>-4.9048573428157098</v>
      </c>
      <c r="P61" s="633">
        <f t="shared" si="242"/>
        <v>-1.0655141082133721</v>
      </c>
      <c r="Q61" s="585">
        <f t="shared" si="113"/>
        <v>278.67397275884878</v>
      </c>
      <c r="R61" s="629">
        <f t="shared" si="79"/>
        <v>4.9616057245822534</v>
      </c>
      <c r="S61" s="634">
        <f t="shared" si="80"/>
        <v>-1.0655141082133721</v>
      </c>
      <c r="T61" s="635">
        <f t="shared" si="81"/>
        <v>-4.9047266706323116</v>
      </c>
      <c r="U61" s="629">
        <f t="shared" si="82"/>
        <v>-0.74912459083617766</v>
      </c>
      <c r="V61" s="636">
        <f t="shared" si="114"/>
        <v>-1.0655141082133721</v>
      </c>
      <c r="W61" s="585">
        <f t="shared" si="224"/>
        <v>188.68397275740494</v>
      </c>
      <c r="X61" s="629">
        <f t="shared" si="83"/>
        <v>4.9616057245822534</v>
      </c>
      <c r="Y61" s="630">
        <f t="shared" si="223"/>
        <v>-1.0655141082133721</v>
      </c>
      <c r="Z61" s="632">
        <f t="shared" si="243"/>
        <v>-0.94313381762161019</v>
      </c>
      <c r="AA61" s="629">
        <f t="shared" si="244"/>
        <v>0.22868729377516717</v>
      </c>
      <c r="AB61" s="629">
        <f t="shared" si="245"/>
        <v>-0.24124826159845764</v>
      </c>
      <c r="AC61" s="636">
        <f t="shared" si="84"/>
        <v>1</v>
      </c>
      <c r="AD61" s="637">
        <f t="shared" si="115"/>
        <v>-0.94313381762161019</v>
      </c>
      <c r="AE61" s="629">
        <f t="shared" si="85"/>
        <v>0.22868729377516717</v>
      </c>
      <c r="AF61" s="633">
        <f t="shared" si="86"/>
        <v>-0.24124826159845764</v>
      </c>
      <c r="AG61" s="602">
        <f t="shared" si="87"/>
        <v>43.468898310232653</v>
      </c>
      <c r="AH61" s="603">
        <f t="shared" si="88"/>
        <v>160.58468139773416</v>
      </c>
      <c r="AI61" s="585">
        <f t="shared" si="89"/>
        <v>-76.039774521692877</v>
      </c>
      <c r="AJ61" s="586">
        <f t="shared" si="90"/>
        <v>-103.62979446071238</v>
      </c>
      <c r="AK61" s="635">
        <f t="shared" si="211"/>
        <v>0.89785798584766841</v>
      </c>
      <c r="AL61" s="629">
        <f t="shared" si="91"/>
        <v>-0.36830736284425614</v>
      </c>
      <c r="AM61" s="634">
        <f t="shared" si="92"/>
        <v>-0.24124826159845764</v>
      </c>
      <c r="AN61" s="581">
        <f t="shared" si="93"/>
        <v>-56.774445825708291</v>
      </c>
      <c r="AO61" s="582">
        <f t="shared" si="461"/>
        <v>26.122077976307502</v>
      </c>
      <c r="AP61" s="585">
        <f t="shared" si="95"/>
        <v>-22.303767219561134</v>
      </c>
      <c r="AQ61" s="586">
        <f t="shared" si="246"/>
        <v>0.45946370811181092</v>
      </c>
      <c r="AS61" s="52">
        <f t="shared" si="406"/>
        <v>-171.31602724259506</v>
      </c>
      <c r="AT61" s="72">
        <f t="shared" si="247"/>
        <v>-0.94653770040701712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3.2290000000000001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3.129</v>
      </c>
      <c r="II61" s="734" cm="1">
        <f t="array" ref="II61">IFERROR(ROUND(VALUE(IF($IH61&lt;1,$IH61+LARGE((IF($M$9:$M$150="",0,$M$9:$M$150)-MOD(IF($M$9:$M$150="",0,$M$9:$M$150),1)),1),$IH61)),4),"")</f>
        <v>3.129</v>
      </c>
      <c r="IJ61" s="533">
        <f t="shared" si="112"/>
        <v>1613</v>
      </c>
      <c r="IK61" s="533">
        <f t="shared" si="382"/>
        <v>1313</v>
      </c>
      <c r="IL61" s="727">
        <f t="shared" si="225"/>
        <v>12.570998184972382</v>
      </c>
      <c r="IM61" s="759">
        <v>1.0426249787107499E-2</v>
      </c>
      <c r="IN61" s="5">
        <f t="shared" si="226"/>
        <v>0.34</v>
      </c>
      <c r="IO61" s="771">
        <v>170</v>
      </c>
      <c r="IP61" s="9">
        <f t="shared" si="227"/>
        <v>-4.9227148469079784</v>
      </c>
      <c r="IQ61" s="5">
        <f t="shared" si="228"/>
        <v>-1.1000033176100061</v>
      </c>
      <c r="IR61" s="5">
        <f t="shared" si="383"/>
        <v>0.314</v>
      </c>
      <c r="IS61" s="5">
        <f t="shared" si="229"/>
        <v>0.30047293287181331</v>
      </c>
      <c r="IT61" s="727">
        <f t="shared" si="230"/>
        <v>66.732715219692309</v>
      </c>
      <c r="IU61" s="9">
        <f t="shared" si="231"/>
        <v>-4.9616057245822534</v>
      </c>
      <c r="IV61" s="5">
        <f t="shared" si="232"/>
        <v>-1.0655141082133721</v>
      </c>
      <c r="IW61" s="5">
        <f t="shared" si="384"/>
        <v>0.26600000000000001</v>
      </c>
      <c r="IX61" s="5">
        <f t="shared" si="233"/>
        <v>0.23883022423547981</v>
      </c>
      <c r="IY61" s="762">
        <f t="shared" si="234"/>
        <v>56.774445825708291</v>
      </c>
    </row>
    <row r="62" spans="1:259" ht="15" customHeight="1" x14ac:dyDescent="0.25">
      <c r="A62" s="79"/>
      <c r="B62" s="707">
        <v>0.81777976639680261</v>
      </c>
      <c r="C62" s="708">
        <v>-5.3015237987760884</v>
      </c>
      <c r="D62" s="709">
        <v>-1.7195344626507763</v>
      </c>
      <c r="E62" s="710">
        <v>0.94100166514041905</v>
      </c>
      <c r="F62" s="708">
        <v>-0.27463246369639727</v>
      </c>
      <c r="G62" s="711">
        <v>0.19771918492398732</v>
      </c>
      <c r="H62" s="710">
        <v>0.26600000000000001</v>
      </c>
      <c r="I62" s="708">
        <v>0.52</v>
      </c>
      <c r="J62" s="570">
        <v>3.234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1313</v>
      </c>
      <c r="L62" s="320"/>
      <c r="M62" s="168">
        <f t="shared" si="239"/>
        <v>3.234</v>
      </c>
      <c r="N62" s="632">
        <f t="shared" si="240"/>
        <v>0.81777976639680261</v>
      </c>
      <c r="O62" s="629">
        <f t="shared" si="241"/>
        <v>-5.3015237987760884</v>
      </c>
      <c r="P62" s="633">
        <f t="shared" si="242"/>
        <v>-1.7195344626507763</v>
      </c>
      <c r="Q62" s="585">
        <f t="shared" si="113"/>
        <v>278.76897274513243</v>
      </c>
      <c r="R62" s="629">
        <f t="shared" si="79"/>
        <v>5.3642257908590363</v>
      </c>
      <c r="S62" s="634">
        <f t="shared" si="80"/>
        <v>-1.7195344626507763</v>
      </c>
      <c r="T62" s="635">
        <f t="shared" si="81"/>
        <v>-5.3013809885558212</v>
      </c>
      <c r="U62" s="629">
        <f t="shared" si="82"/>
        <v>-0.81870504425962753</v>
      </c>
      <c r="V62" s="636">
        <f t="shared" si="114"/>
        <v>-1.7195344626507763</v>
      </c>
      <c r="W62" s="585">
        <f t="shared" si="224"/>
        <v>188.7789727436886</v>
      </c>
      <c r="X62" s="629">
        <f t="shared" si="83"/>
        <v>5.3642257908590363</v>
      </c>
      <c r="Y62" s="630">
        <f t="shared" si="223"/>
        <v>-1.7195344626507763</v>
      </c>
      <c r="Z62" s="632">
        <f t="shared" si="243"/>
        <v>-0.94100166514041905</v>
      </c>
      <c r="AA62" s="629">
        <f t="shared" si="244"/>
        <v>0.27463246369639727</v>
      </c>
      <c r="AB62" s="629">
        <f t="shared" si="245"/>
        <v>-0.19771918492398732</v>
      </c>
      <c r="AC62" s="636">
        <f t="shared" si="84"/>
        <v>1</v>
      </c>
      <c r="AD62" s="637">
        <f t="shared" si="115"/>
        <v>-0.94100166514041905</v>
      </c>
      <c r="AE62" s="629">
        <f t="shared" si="85"/>
        <v>0.27463246369639727</v>
      </c>
      <c r="AF62" s="633">
        <f t="shared" si="86"/>
        <v>-0.19771918492398732</v>
      </c>
      <c r="AG62" s="602">
        <f t="shared" si="87"/>
        <v>54.248337156634541</v>
      </c>
      <c r="AH62" s="603">
        <f t="shared" si="88"/>
        <v>160.22045911535821</v>
      </c>
      <c r="AI62" s="585">
        <f t="shared" si="89"/>
        <v>-78.596385230904616</v>
      </c>
      <c r="AJ62" s="586">
        <f t="shared" si="90"/>
        <v>-106.26994820150331</v>
      </c>
      <c r="AK62" s="635">
        <f t="shared" si="211"/>
        <v>0.88813447385858491</v>
      </c>
      <c r="AL62" s="629">
        <f t="shared" si="91"/>
        <v>-0.41487863316508466</v>
      </c>
      <c r="AM62" s="634">
        <f t="shared" si="92"/>
        <v>-0.19771918492398732</v>
      </c>
      <c r="AN62" s="581">
        <f t="shared" si="93"/>
        <v>-64.518878440888045</v>
      </c>
      <c r="AO62" s="582">
        <f t="shared" si="461"/>
        <v>27.360246216433218</v>
      </c>
      <c r="AP62" s="585">
        <f t="shared" si="95"/>
        <v>-25.038920946635749</v>
      </c>
      <c r="AQ62" s="586">
        <f t="shared" si="246"/>
        <v>0.42497928189707596</v>
      </c>
      <c r="AS62" s="52">
        <f t="shared" si="406"/>
        <v>-171.2210272563114</v>
      </c>
      <c r="AT62" s="72">
        <f t="shared" si="247"/>
        <v>-1.6006240270571181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Taper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3.234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3.1339999999999999</v>
      </c>
      <c r="II62" s="734" cm="1">
        <f t="array" ref="II62">IFERROR(ROUND(VALUE(IF($IH62&lt;1,$IH62+LARGE((IF($M$9:$M$150="",0,$M$9:$M$150)-MOD(IF($M$9:$M$150="",0,$M$9:$M$150),1)),1),$IH62)),4),"")</f>
        <v>3.1339999999999999</v>
      </c>
      <c r="IJ62" s="533">
        <f t="shared" si="112"/>
        <v>1613</v>
      </c>
      <c r="IK62" s="533">
        <f t="shared" si="382"/>
        <v>1313</v>
      </c>
      <c r="IL62" s="727">
        <f t="shared" si="225"/>
        <v>11.824998292681528</v>
      </c>
      <c r="IM62" s="759">
        <v>8.7524384115940899E-3</v>
      </c>
      <c r="IN62" s="5">
        <f t="shared" si="226"/>
        <v>0.32</v>
      </c>
      <c r="IO62" s="771">
        <v>160</v>
      </c>
      <c r="IP62" s="9">
        <f t="shared" si="227"/>
        <v>-5.3199160448667921</v>
      </c>
      <c r="IQ62" s="5">
        <f t="shared" si="228"/>
        <v>-1.7507052801271248</v>
      </c>
      <c r="IR62" s="5">
        <f t="shared" si="383"/>
        <v>0.314</v>
      </c>
      <c r="IS62" s="5">
        <f t="shared" si="229"/>
        <v>0.29825643139643992</v>
      </c>
      <c r="IT62" s="727">
        <f t="shared" si="230"/>
        <v>74.413295960479957</v>
      </c>
      <c r="IU62" s="9">
        <f t="shared" si="231"/>
        <v>-5.3642257908590363</v>
      </c>
      <c r="IV62" s="5">
        <f t="shared" si="232"/>
        <v>-1.7195344626507763</v>
      </c>
      <c r="IW62" s="5">
        <f t="shared" si="384"/>
        <v>0.26600000000000001</v>
      </c>
      <c r="IX62" s="5">
        <f t="shared" si="233"/>
        <v>0.23624377004638361</v>
      </c>
      <c r="IY62" s="762">
        <f t="shared" si="234"/>
        <v>64.518878440888045</v>
      </c>
    </row>
    <row r="63" spans="1:259" ht="15" customHeight="1" x14ac:dyDescent="0.25">
      <c r="A63" s="79"/>
      <c r="B63" s="707">
        <v>0.85987595906591208</v>
      </c>
      <c r="C63" s="708">
        <v>-5.5847765863988368</v>
      </c>
      <c r="D63" s="709">
        <v>-2.4327919079063847</v>
      </c>
      <c r="E63" s="710">
        <v>0.93738133980838667</v>
      </c>
      <c r="F63" s="708">
        <v>-0.31381319007954828</v>
      </c>
      <c r="G63" s="711">
        <v>0.15112083083126424</v>
      </c>
      <c r="H63" s="710">
        <v>0.26600000000000001</v>
      </c>
      <c r="I63" s="708">
        <v>0.52</v>
      </c>
      <c r="J63" s="570">
        <v>3.2389999999999999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1313</v>
      </c>
      <c r="L63" s="320"/>
      <c r="M63" s="168">
        <f t="shared" si="239"/>
        <v>3.2389999999999999</v>
      </c>
      <c r="N63" s="632">
        <f t="shared" si="240"/>
        <v>0.85987595906591208</v>
      </c>
      <c r="O63" s="629">
        <f t="shared" si="241"/>
        <v>-5.5847765863988368</v>
      </c>
      <c r="P63" s="633">
        <f t="shared" si="242"/>
        <v>-2.4327919079063847</v>
      </c>
      <c r="Q63" s="585">
        <f t="shared" si="113"/>
        <v>278.75297274744253</v>
      </c>
      <c r="R63" s="629">
        <f t="shared" si="79"/>
        <v>5.6505854727601603</v>
      </c>
      <c r="S63" s="634">
        <f t="shared" si="80"/>
        <v>-2.4327919079063847</v>
      </c>
      <c r="T63" s="635">
        <f t="shared" si="81"/>
        <v>-5.5846264246938366</v>
      </c>
      <c r="U63" s="629">
        <f t="shared" si="82"/>
        <v>-0.86085067321777897</v>
      </c>
      <c r="V63" s="636">
        <f t="shared" si="114"/>
        <v>-2.4327919079063847</v>
      </c>
      <c r="W63" s="585">
        <f t="shared" si="224"/>
        <v>188.7629727459987</v>
      </c>
      <c r="X63" s="629">
        <f t="shared" si="83"/>
        <v>5.6505854727601603</v>
      </c>
      <c r="Y63" s="630">
        <f t="shared" si="223"/>
        <v>-2.4327919079063847</v>
      </c>
      <c r="Z63" s="632">
        <f t="shared" si="243"/>
        <v>-0.93738133980838667</v>
      </c>
      <c r="AA63" s="629">
        <f t="shared" si="244"/>
        <v>0.31381319007954828</v>
      </c>
      <c r="AB63" s="629">
        <f t="shared" si="245"/>
        <v>-0.15112083083126424</v>
      </c>
      <c r="AC63" s="636">
        <f t="shared" si="84"/>
        <v>1</v>
      </c>
      <c r="AD63" s="637">
        <f t="shared" si="115"/>
        <v>-0.93738133980838667</v>
      </c>
      <c r="AE63" s="629">
        <f t="shared" si="85"/>
        <v>0.31381319007954828</v>
      </c>
      <c r="AF63" s="633">
        <f t="shared" si="86"/>
        <v>-0.15112083083126424</v>
      </c>
      <c r="AG63" s="602">
        <f t="shared" si="87"/>
        <v>64.286253254361313</v>
      </c>
      <c r="AH63" s="603">
        <f t="shared" si="88"/>
        <v>159.61633675714191</v>
      </c>
      <c r="AI63" s="585">
        <f t="shared" si="89"/>
        <v>-81.308114077323182</v>
      </c>
      <c r="AJ63" s="586">
        <f t="shared" si="90"/>
        <v>-108.50933222926159</v>
      </c>
      <c r="AK63" s="635">
        <f t="shared" si="211"/>
        <v>0.87870981958202055</v>
      </c>
      <c r="AL63" s="629">
        <f t="shared" si="91"/>
        <v>-0.45280409390706888</v>
      </c>
      <c r="AM63" s="634">
        <f t="shared" si="92"/>
        <v>-0.15112083083126424</v>
      </c>
      <c r="AN63" s="581">
        <f t="shared" si="93"/>
        <v>-71.543856623225551</v>
      </c>
      <c r="AO63" s="582">
        <f t="shared" si="461"/>
        <v>28.51288076170848</v>
      </c>
      <c r="AP63" s="585">
        <f t="shared" si="95"/>
        <v>-27.262304976704112</v>
      </c>
      <c r="AQ63" s="586">
        <f t="shared" si="246"/>
        <v>0.40344296453008938</v>
      </c>
      <c r="AS63" s="52">
        <f t="shared" si="406"/>
        <v>-171.2370272540013</v>
      </c>
      <c r="AT63" s="72">
        <f t="shared" si="247"/>
        <v>-2.3138703612032199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Taper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3.2389999999999999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3.1389999999999998</v>
      </c>
      <c r="II63" s="734" cm="1">
        <f t="array" ref="II63">IFERROR(ROUND(VALUE(IF($IH63&lt;1,$IH63+LARGE((IF($M$9:$M$150="",0,$M$9:$M$150)-MOD(IF($M$9:$M$150="",0,$M$9:$M$150),1)),1),$IH63)),4),"")</f>
        <v>3.1389999999999998</v>
      </c>
      <c r="IJ63" s="533">
        <f t="shared" si="112"/>
        <v>1613</v>
      </c>
      <c r="IK63" s="533">
        <f t="shared" si="382"/>
        <v>1313</v>
      </c>
      <c r="IL63" s="727">
        <f t="shared" si="225"/>
        <v>11.363998359241691</v>
      </c>
      <c r="IM63" s="759">
        <v>7.2805989324210797E-3</v>
      </c>
      <c r="IN63" s="5">
        <f t="shared" si="226"/>
        <v>0.3</v>
      </c>
      <c r="IO63" s="771">
        <v>150</v>
      </c>
      <c r="IP63" s="9">
        <f t="shared" si="227"/>
        <v>-5.6013168935717523</v>
      </c>
      <c r="IQ63" s="5">
        <f t="shared" si="228"/>
        <v>-2.4597074184775742</v>
      </c>
      <c r="IR63" s="5">
        <f t="shared" si="383"/>
        <v>0.314</v>
      </c>
      <c r="IS63" s="5">
        <f t="shared" si="229"/>
        <v>0.2961355526956308</v>
      </c>
      <c r="IT63" s="727">
        <f t="shared" si="230"/>
        <v>81.114594800969982</v>
      </c>
      <c r="IU63" s="9">
        <f t="shared" si="231"/>
        <v>-5.6505854727601603</v>
      </c>
      <c r="IV63" s="5">
        <f t="shared" si="232"/>
        <v>-2.4327919079063847</v>
      </c>
      <c r="IW63" s="5">
        <f t="shared" si="384"/>
        <v>0.26600000000000001</v>
      </c>
      <c r="IX63" s="5">
        <f t="shared" si="233"/>
        <v>0.23373681200881752</v>
      </c>
      <c r="IY63" s="762">
        <f t="shared" si="234"/>
        <v>71.543856623225551</v>
      </c>
    </row>
    <row r="64" spans="1:259" ht="15" customHeight="1" x14ac:dyDescent="0.25">
      <c r="A64" s="79"/>
      <c r="B64" s="707">
        <v>0.88371310323690533</v>
      </c>
      <c r="C64" s="708">
        <v>-5.7677033085534246</v>
      </c>
      <c r="D64" s="709">
        <v>-3.1790762357640601</v>
      </c>
      <c r="E64" s="710">
        <v>0.92655413981894807</v>
      </c>
      <c r="F64" s="708">
        <v>-0.35955423987783336</v>
      </c>
      <c r="G64" s="711">
        <v>0.11053585196777839</v>
      </c>
      <c r="H64" s="710">
        <v>0.26600000000000001</v>
      </c>
      <c r="I64" s="708">
        <v>0.52</v>
      </c>
      <c r="J64" s="570">
        <v>3.2440000000000002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1313</v>
      </c>
      <c r="L64" s="320"/>
      <c r="M64" s="168">
        <f t="shared" si="239"/>
        <v>3.2440000000000002</v>
      </c>
      <c r="N64" s="632">
        <f t="shared" si="240"/>
        <v>0.88371310323690533</v>
      </c>
      <c r="O64" s="629">
        <f t="shared" si="241"/>
        <v>-5.7677033085534246</v>
      </c>
      <c r="P64" s="633">
        <f t="shared" si="242"/>
        <v>-3.1790762357640601</v>
      </c>
      <c r="Q64" s="585">
        <f t="shared" si="113"/>
        <v>278.71097275350661</v>
      </c>
      <c r="R64" s="629">
        <f t="shared" si="79"/>
        <v>5.8350107372935245</v>
      </c>
      <c r="S64" s="634">
        <f t="shared" si="80"/>
        <v>-3.1790762357640601</v>
      </c>
      <c r="T64" s="635">
        <f t="shared" si="81"/>
        <v>-5.7675489836964129</v>
      </c>
      <c r="U64" s="629">
        <f t="shared" si="82"/>
        <v>-0.88471974375685802</v>
      </c>
      <c r="V64" s="636">
        <f t="shared" si="114"/>
        <v>-3.1790762357640601</v>
      </c>
      <c r="W64" s="585">
        <f t="shared" si="224"/>
        <v>188.72097275206278</v>
      </c>
      <c r="X64" s="629">
        <f t="shared" si="83"/>
        <v>5.8350107372935245</v>
      </c>
      <c r="Y64" s="630">
        <f t="shared" si="223"/>
        <v>-3.1790762357640601</v>
      </c>
      <c r="Z64" s="632">
        <f t="shared" si="243"/>
        <v>-0.92655413981894807</v>
      </c>
      <c r="AA64" s="629">
        <f t="shared" si="244"/>
        <v>0.35955423987783336</v>
      </c>
      <c r="AB64" s="629">
        <f t="shared" si="245"/>
        <v>-0.11053585196777839</v>
      </c>
      <c r="AC64" s="636">
        <f t="shared" si="84"/>
        <v>1</v>
      </c>
      <c r="AD64" s="637">
        <f t="shared" si="115"/>
        <v>-0.92655413981894807</v>
      </c>
      <c r="AE64" s="629">
        <f t="shared" si="85"/>
        <v>0.35955423987783336</v>
      </c>
      <c r="AF64" s="633">
        <f t="shared" si="86"/>
        <v>-0.11053585196777839</v>
      </c>
      <c r="AG64" s="602">
        <f t="shared" si="87"/>
        <v>72.911279140064082</v>
      </c>
      <c r="AH64" s="603">
        <f t="shared" si="88"/>
        <v>157.90388512171418</v>
      </c>
      <c r="AI64" s="585">
        <f t="shared" si="89"/>
        <v>-83.653794001095022</v>
      </c>
      <c r="AJ64" s="586">
        <f t="shared" si="90"/>
        <v>-111.20900669458882</v>
      </c>
      <c r="AK64" s="635">
        <f t="shared" si="211"/>
        <v>0.86141171130296534</v>
      </c>
      <c r="AL64" s="629">
        <f t="shared" si="91"/>
        <v>-0.4957334859174371</v>
      </c>
      <c r="AM64" s="634">
        <f t="shared" si="92"/>
        <v>-0.11053585196777839</v>
      </c>
      <c r="AN64" s="581">
        <f t="shared" si="93"/>
        <v>-77.43013301233546</v>
      </c>
      <c r="AO64" s="582">
        <f t="shared" si="461"/>
        <v>30.524538816207368</v>
      </c>
      <c r="AP64" s="585">
        <f t="shared" si="95"/>
        <v>-29.919979448095425</v>
      </c>
      <c r="AQ64" s="586">
        <f t="shared" si="246"/>
        <v>0.39069187720707704</v>
      </c>
      <c r="AS64" s="52">
        <f t="shared" si="406"/>
        <v>-171.27902724793722</v>
      </c>
      <c r="AT64" s="72">
        <f t="shared" si="247"/>
        <v>-3.0601255223984398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>Taper</v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3.2440000000000002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3.1440000000000001</v>
      </c>
      <c r="II64" s="734" cm="1">
        <f t="array" ref="II64">IFERROR(ROUND(VALUE(IF($IH64&lt;1,$IH64+LARGE((IF($M$9:$M$150="",0,$M$9:$M$150)-MOD(IF($M$9:$M$150="",0,$M$9:$M$150),1)),1),$IH64)),4),"")</f>
        <v>3.1440000000000001</v>
      </c>
      <c r="IJ64" s="533">
        <f t="shared" si="112"/>
        <v>1613</v>
      </c>
      <c r="IK64" s="533">
        <f t="shared" si="382"/>
        <v>1313</v>
      </c>
      <c r="IL64" s="727">
        <f t="shared" si="225"/>
        <v>11.094998398080463</v>
      </c>
      <c r="IM64" s="759">
        <v>5.8650748042306904E-3</v>
      </c>
      <c r="IN64" s="5">
        <f t="shared" si="226"/>
        <v>0.28000000000000003</v>
      </c>
      <c r="IO64" s="771">
        <v>140</v>
      </c>
      <c r="IP64" s="9">
        <f t="shared" si="227"/>
        <v>-5.7809174352469848</v>
      </c>
      <c r="IQ64" s="5">
        <f t="shared" si="228"/>
        <v>-3.2012096548483187</v>
      </c>
      <c r="IR64" s="5">
        <f t="shared" si="383"/>
        <v>0.314</v>
      </c>
      <c r="IS64" s="5">
        <f t="shared" si="229"/>
        <v>0.29240932360821176</v>
      </c>
      <c r="IT64" s="727">
        <f t="shared" si="230"/>
        <v>85.866360176750405</v>
      </c>
      <c r="IU64" s="9">
        <f t="shared" si="231"/>
        <v>-5.8350107372935245</v>
      </c>
      <c r="IV64" s="5">
        <f t="shared" si="232"/>
        <v>-3.1790762357640601</v>
      </c>
      <c r="IW64" s="5">
        <f t="shared" si="384"/>
        <v>0.26600000000000001</v>
      </c>
      <c r="IX64" s="5">
        <f t="shared" si="233"/>
        <v>0.22913551520658881</v>
      </c>
      <c r="IY64" s="762">
        <f t="shared" si="234"/>
        <v>77.43013301233546</v>
      </c>
    </row>
    <row r="65" spans="1:259" ht="15" customHeight="1" x14ac:dyDescent="0.25">
      <c r="A65" s="79"/>
      <c r="B65" s="707">
        <v>-0.33876433685574264</v>
      </c>
      <c r="C65" s="708">
        <v>-0.41833881239549947</v>
      </c>
      <c r="D65" s="709">
        <v>-0.67960204967978177</v>
      </c>
      <c r="E65" s="710">
        <v>0.77316937162619226</v>
      </c>
      <c r="F65" s="708">
        <v>-0.48535277449771802</v>
      </c>
      <c r="G65" s="711">
        <v>0.40821784266066363</v>
      </c>
      <c r="H65" s="710">
        <v>0.314</v>
      </c>
      <c r="I65" s="708">
        <v>0.52</v>
      </c>
      <c r="J65" s="570">
        <v>4.1020000000000003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4.1020000000000003</v>
      </c>
      <c r="N65" s="632">
        <f t="shared" si="240"/>
        <v>-0.33876433685574264</v>
      </c>
      <c r="O65" s="629">
        <f t="shared" si="241"/>
        <v>-0.41833881239549947</v>
      </c>
      <c r="P65" s="633">
        <f t="shared" si="242"/>
        <v>-0.67960204967978177</v>
      </c>
      <c r="Q65" s="585">
        <f t="shared" si="113"/>
        <v>230.99997964212173</v>
      </c>
      <c r="R65" s="629">
        <f t="shared" si="79"/>
        <v>0.53830162351769661</v>
      </c>
      <c r="S65" s="634">
        <f t="shared" si="80"/>
        <v>-0.67960204967978177</v>
      </c>
      <c r="T65" s="635">
        <f t="shared" si="81"/>
        <v>-0.41839793154566468</v>
      </c>
      <c r="U65" s="629">
        <f t="shared" si="82"/>
        <v>0.33869131781032902</v>
      </c>
      <c r="V65" s="636">
        <f t="shared" si="114"/>
        <v>-0.67960204967978177</v>
      </c>
      <c r="W65" s="585">
        <f t="shared" si="224"/>
        <v>141.0099796406779</v>
      </c>
      <c r="X65" s="629">
        <f t="shared" si="83"/>
        <v>0.53830162351769661</v>
      </c>
      <c r="Y65" s="630">
        <f t="shared" si="223"/>
        <v>-0.67960204967978177</v>
      </c>
      <c r="Z65" s="632">
        <f t="shared" si="243"/>
        <v>-0.77316937162619226</v>
      </c>
      <c r="AA65" s="629">
        <f t="shared" si="244"/>
        <v>0.48535277449771802</v>
      </c>
      <c r="AB65" s="629">
        <f t="shared" si="245"/>
        <v>-0.40821784266066363</v>
      </c>
      <c r="AC65" s="636">
        <f t="shared" si="84"/>
        <v>1</v>
      </c>
      <c r="AD65" s="637">
        <f t="shared" si="115"/>
        <v>-0.77316937162619226</v>
      </c>
      <c r="AE65" s="629">
        <f t="shared" si="85"/>
        <v>0.48535277449771802</v>
      </c>
      <c r="AF65" s="633">
        <f t="shared" si="86"/>
        <v>-0.40821784266066363</v>
      </c>
      <c r="AG65" s="602">
        <f t="shared" si="87"/>
        <v>49.933664387072866</v>
      </c>
      <c r="AH65" s="603">
        <f t="shared" si="88"/>
        <v>140.63935503210743</v>
      </c>
      <c r="AI65" s="585">
        <f t="shared" si="89"/>
        <v>-65.907068471181361</v>
      </c>
      <c r="AJ65" s="586">
        <f t="shared" si="90"/>
        <v>-122.11831870891653</v>
      </c>
      <c r="AK65" s="635">
        <f t="shared" si="211"/>
        <v>0.90630781366099955</v>
      </c>
      <c r="AL65" s="629">
        <f t="shared" si="91"/>
        <v>0.10938162473876795</v>
      </c>
      <c r="AM65" s="634">
        <f t="shared" si="92"/>
        <v>-0.40821784266066363</v>
      </c>
      <c r="AN65" s="581">
        <f t="shared" si="93"/>
        <v>14.999997834268251</v>
      </c>
      <c r="AO65" s="582">
        <f t="shared" si="461"/>
        <v>24.999996390447112</v>
      </c>
      <c r="AP65" s="585">
        <f t="shared" si="95"/>
        <v>6.8817016489617462</v>
      </c>
      <c r="AQ65" s="586">
        <f t="shared" si="246"/>
        <v>4.2273482873171284</v>
      </c>
      <c r="AS65" s="52">
        <f t="shared" si="406"/>
        <v>-218.9900203593221</v>
      </c>
      <c r="AT65" s="72">
        <f t="shared" si="247"/>
        <v>-0.52751870220903296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4.1020000000000003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-0.78237381307646137</v>
      </c>
      <c r="C66" s="708">
        <v>-0.96615049520729124</v>
      </c>
      <c r="D66" s="709">
        <v>-0.49300148689248452</v>
      </c>
      <c r="E66" s="710">
        <v>0.79282162582830429</v>
      </c>
      <c r="F66" s="708">
        <v>-0.55581821307553025</v>
      </c>
      <c r="G66" s="711">
        <v>0.24999996726497559</v>
      </c>
      <c r="H66" s="710">
        <v>0.314</v>
      </c>
      <c r="I66" s="708">
        <v>0.52</v>
      </c>
      <c r="J66" s="570">
        <v>4.1050000000000004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4.1050000000000004</v>
      </c>
      <c r="N66" s="632">
        <f t="shared" si="240"/>
        <v>-0.78237381307646137</v>
      </c>
      <c r="O66" s="629">
        <f t="shared" si="241"/>
        <v>-0.96615049520729124</v>
      </c>
      <c r="P66" s="633">
        <f t="shared" si="242"/>
        <v>-0.49300148689248452</v>
      </c>
      <c r="Q66" s="585">
        <f t="shared" si="113"/>
        <v>230.99997964212173</v>
      </c>
      <c r="R66" s="629">
        <f t="shared" si="79"/>
        <v>1.2432037495025086</v>
      </c>
      <c r="S66" s="634">
        <f t="shared" si="80"/>
        <v>-0.49300148689248452</v>
      </c>
      <c r="T66" s="635">
        <f t="shared" si="81"/>
        <v>-0.96628703046176911</v>
      </c>
      <c r="U66" s="629">
        <f t="shared" si="82"/>
        <v>0.78220517611332152</v>
      </c>
      <c r="V66" s="636">
        <f t="shared" si="114"/>
        <v>-0.49300148689248452</v>
      </c>
      <c r="W66" s="585">
        <f t="shared" si="224"/>
        <v>141.0099796406779</v>
      </c>
      <c r="X66" s="629">
        <f t="shared" si="83"/>
        <v>1.2432037495025086</v>
      </c>
      <c r="Y66" s="630">
        <f t="shared" si="223"/>
        <v>-0.49300148689248452</v>
      </c>
      <c r="Z66" s="632">
        <f t="shared" si="243"/>
        <v>-0.79282162582830429</v>
      </c>
      <c r="AA66" s="629">
        <f t="shared" si="244"/>
        <v>0.55581821307553025</v>
      </c>
      <c r="AB66" s="629">
        <f t="shared" si="245"/>
        <v>-0.24999996726497559</v>
      </c>
      <c r="AC66" s="636">
        <f t="shared" si="84"/>
        <v>1</v>
      </c>
      <c r="AD66" s="637">
        <f t="shared" si="115"/>
        <v>-0.79282162582830429</v>
      </c>
      <c r="AE66" s="629">
        <f t="shared" si="85"/>
        <v>0.55581821307553025</v>
      </c>
      <c r="AF66" s="633">
        <f t="shared" si="86"/>
        <v>-0.24999996726497559</v>
      </c>
      <c r="AG66" s="602">
        <f t="shared" si="87"/>
        <v>65.782390573651384</v>
      </c>
      <c r="AH66" s="603">
        <f t="shared" si="88"/>
        <v>142.44998421740311</v>
      </c>
      <c r="AI66" s="585">
        <f t="shared" si="89"/>
        <v>-75.522489751159469</v>
      </c>
      <c r="AJ66" s="586">
        <f t="shared" si="90"/>
        <v>-125.0328907127917</v>
      </c>
      <c r="AK66" s="635">
        <f t="shared" si="211"/>
        <v>0.9659258360722075</v>
      </c>
      <c r="AL66" s="629">
        <f t="shared" si="91"/>
        <v>6.6987279208207295E-2</v>
      </c>
      <c r="AM66" s="634">
        <f t="shared" si="92"/>
        <v>-0.24999996726497559</v>
      </c>
      <c r="AN66" s="581">
        <f t="shared" si="93"/>
        <v>14.999997834268294</v>
      </c>
      <c r="AO66" s="582">
        <f t="shared" si="461"/>
        <v>14.99999783426823</v>
      </c>
      <c r="AP66" s="585">
        <f t="shared" si="95"/>
        <v>3.9671296450865765</v>
      </c>
      <c r="AQ66" s="586">
        <f t="shared" si="246"/>
        <v>1.8331256811570906</v>
      </c>
      <c r="AS66" s="52">
        <f t="shared" si="406"/>
        <v>-218.9900203593221</v>
      </c>
      <c r="AT66" s="72">
        <f t="shared" si="247"/>
        <v>-0.34091813942173571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4.1050000000000004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-1.2315842601276026</v>
      </c>
      <c r="C67" s="708">
        <v>-1.5208787959464842</v>
      </c>
      <c r="D67" s="709">
        <v>-0.30170090992994442</v>
      </c>
      <c r="E67" s="710">
        <v>0.79282162582830429</v>
      </c>
      <c r="F67" s="708">
        <v>-0.55581821307553025</v>
      </c>
      <c r="G67" s="711">
        <v>0.24999996726497567</v>
      </c>
      <c r="H67" s="710">
        <v>0.314</v>
      </c>
      <c r="I67" s="708">
        <v>0.52</v>
      </c>
      <c r="J67" s="570">
        <v>4.1079999999999997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4.1079999999999997</v>
      </c>
      <c r="N67" s="632">
        <f t="shared" si="240"/>
        <v>-1.2315842601276026</v>
      </c>
      <c r="O67" s="629">
        <f t="shared" si="241"/>
        <v>-1.5208787959464842</v>
      </c>
      <c r="P67" s="633">
        <f t="shared" si="242"/>
        <v>-0.30170090992994442</v>
      </c>
      <c r="Q67" s="585">
        <f t="shared" si="113"/>
        <v>230.99997964212173</v>
      </c>
      <c r="R67" s="629">
        <f>IF(M67="","",SQRT(N67^2+O67^2))</f>
        <v>1.9570059023298019</v>
      </c>
      <c r="S67" s="634">
        <f>IF(M67="","",P67)</f>
        <v>-0.30170090992994442</v>
      </c>
      <c r="T67" s="635">
        <f>IF(M67="","",X67*COS(RADIANS(W67)))</f>
        <v>-1.5210937247536056</v>
      </c>
      <c r="U67" s="629">
        <f>IF(M67="","",X67*SIN(RADIANS(W67)))</f>
        <v>1.2313187979840496</v>
      </c>
      <c r="V67" s="636">
        <f>IF(M67="","",Y67)</f>
        <v>-0.30170090992994442</v>
      </c>
      <c r="W67" s="585">
        <f t="shared" si="224"/>
        <v>141.0099796406779</v>
      </c>
      <c r="X67" s="629">
        <f>IF(M67="","",R67)</f>
        <v>1.9570059023298019</v>
      </c>
      <c r="Y67" s="630">
        <f t="shared" si="223"/>
        <v>-0.30170090992994442</v>
      </c>
      <c r="Z67" s="632">
        <f t="shared" si="243"/>
        <v>-0.79282162582830429</v>
      </c>
      <c r="AA67" s="629">
        <f t="shared" si="244"/>
        <v>0.55581821307553025</v>
      </c>
      <c r="AB67" s="629">
        <f t="shared" si="245"/>
        <v>-0.24999996726497567</v>
      </c>
      <c r="AC67" s="636">
        <f>IF(M67="","",SQRT(Z67^2+AA67^2+AB67^2))</f>
        <v>1</v>
      </c>
      <c r="AD67" s="637">
        <f>IF(M67="","",Z67*(1/SQRT(Z67^2+AA67^2+AB67^2)))</f>
        <v>-0.79282162582830429</v>
      </c>
      <c r="AE67" s="629">
        <f>IF(M67="","",AA67*(1/SQRT(Z67^2+AA67^2+AB67^2)))</f>
        <v>0.55581821307553025</v>
      </c>
      <c r="AF67" s="633">
        <f>IF(M67="","",AB67*(1/SQRT(Z67^2+AA67^2+AB67^2)))</f>
        <v>-0.24999996726497567</v>
      </c>
      <c r="AG67" s="602">
        <f>IF(M67="","",DEGREES(ATAN2(-AF67,AE67)))</f>
        <v>65.782390573651384</v>
      </c>
      <c r="AH67" s="603">
        <f>IF(M67="","",DEGREES(ACOS(AD67)))</f>
        <v>142.44998421740311</v>
      </c>
      <c r="AI67" s="585">
        <f>IF(M67="","",DEGREES(-ACOS(-AF67)))</f>
        <v>-75.522489751159455</v>
      </c>
      <c r="AJ67" s="586">
        <f>IF(M67="","",DEGREES(ATAN2(-AE67,AD67)))</f>
        <v>-125.0328907127917</v>
      </c>
      <c r="AK67" s="635">
        <f>IF(M67="","",(COS(RADIANS((90-$Q$8)-W67))*AD67)+(-SIN(RADIANS((90-$Q$8)-W67))*AE67))</f>
        <v>0.9659258360722075</v>
      </c>
      <c r="AL67" s="629">
        <f>IF(M67="","",(SIN(RADIANS((90-$Q$8)-W67))*AD67)+(COS(RADIANS((90-$Q$8)-W67))*AE67))</f>
        <v>6.6987279208207295E-2</v>
      </c>
      <c r="AM67" s="634">
        <f>IF(M67="","",AF67)</f>
        <v>-0.24999996726497567</v>
      </c>
      <c r="AN67" s="581">
        <f>IF(M67="","",DEGREES(ATAN2(-AM67,AL67)))</f>
        <v>14.999997834268287</v>
      </c>
      <c r="AO67" s="582">
        <f t="shared" si="461"/>
        <v>14.99999783426823</v>
      </c>
      <c r="AP67" s="585">
        <f>IF(M67="","",DEGREES(ATAN2(AK67,AL67)))</f>
        <v>3.9671296450865765</v>
      </c>
      <c r="AQ67" s="586">
        <f t="shared" si="246"/>
        <v>1.1647448716031501</v>
      </c>
      <c r="AS67" s="52">
        <f t="shared" si="406"/>
        <v>-218.9900203593221</v>
      </c>
      <c r="AT67" s="72">
        <f t="shared" si="247"/>
        <v>-0.14961756245919561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4.1079999999999997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-1.753518526526842</v>
      </c>
      <c r="C68" s="708">
        <v>-2.1555493595502595</v>
      </c>
      <c r="D68" s="709">
        <v>-0.1028003100457351</v>
      </c>
      <c r="E68" s="710">
        <v>0.740120898205198</v>
      </c>
      <c r="F68" s="708">
        <v>-0.62025626862965233</v>
      </c>
      <c r="G68" s="711">
        <v>0.25981381269199638</v>
      </c>
      <c r="H68" s="710">
        <v>0.314</v>
      </c>
      <c r="I68" s="708">
        <v>0.52</v>
      </c>
      <c r="J68" s="570">
        <v>4.1130000000000004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1613</v>
      </c>
      <c r="L68" s="320"/>
      <c r="M68" s="168">
        <f t="shared" si="239"/>
        <v>4.1130000000000004</v>
      </c>
      <c r="N68" s="632">
        <f t="shared" si="240"/>
        <v>-1.753518526526842</v>
      </c>
      <c r="O68" s="629">
        <f t="shared" si="241"/>
        <v>-2.1555493595502595</v>
      </c>
      <c r="P68" s="633">
        <f t="shared" si="242"/>
        <v>-0.1028003100457351</v>
      </c>
      <c r="Q68" s="585">
        <f t="shared" si="113"/>
        <v>230.87197966060265</v>
      </c>
      <c r="R68" s="629">
        <f>IF(M68="","",SQRT(N68^2+O68^2))</f>
        <v>2.7787083805844763</v>
      </c>
      <c r="S68" s="634">
        <f>IF(M68="","",P68)</f>
        <v>-0.1028003100457351</v>
      </c>
      <c r="T68" s="635">
        <f>IF(M68="","",X68*COS(RADIANS(W68)))</f>
        <v>-2.1558553733914607</v>
      </c>
      <c r="U68" s="629">
        <f>IF(M68="","",X68*SIN(RADIANS(W68)))</f>
        <v>1.7531422855403294</v>
      </c>
      <c r="V68" s="636">
        <f>IF(M68="","",Y68)</f>
        <v>-0.1028003100457351</v>
      </c>
      <c r="W68" s="585">
        <f t="shared" si="224"/>
        <v>140.88197965915884</v>
      </c>
      <c r="X68" s="629">
        <f>IF(M68="","",R68)</f>
        <v>2.7787083805844763</v>
      </c>
      <c r="Y68" s="630">
        <f t="shared" si="223"/>
        <v>-0.1028003100457351</v>
      </c>
      <c r="Z68" s="632">
        <f t="shared" si="243"/>
        <v>-0.740120898205198</v>
      </c>
      <c r="AA68" s="629">
        <f t="shared" si="244"/>
        <v>0.62025626862965233</v>
      </c>
      <c r="AB68" s="629">
        <f t="shared" si="245"/>
        <v>-0.25981381269199638</v>
      </c>
      <c r="AC68" s="636">
        <f>IF(M68="","",SQRT(Z68^2+AA68^2+AB68^2))</f>
        <v>1.0000000000000002</v>
      </c>
      <c r="AD68" s="637">
        <f>IF(M68="","",Z68*(1/SQRT(Z68^2+AA68^2+AB68^2)))</f>
        <v>-0.74012089820519789</v>
      </c>
      <c r="AE68" s="629">
        <f>IF(M68="","",AA68*(1/SQRT(Z68^2+AA68^2+AB68^2)))</f>
        <v>0.62025626862965222</v>
      </c>
      <c r="AF68" s="633">
        <f>IF(M68="","",AB68*(1/SQRT(Z68^2+AA68^2+AB68^2)))</f>
        <v>-0.25981381269199633</v>
      </c>
      <c r="AG68" s="602">
        <f>IF(M68="","",DEGREES(ATAN2(-AF68,AE68)))</f>
        <v>67.27209680390726</v>
      </c>
      <c r="AH68" s="603">
        <f>IF(M68="","",DEGREES(ACOS(AD68)))</f>
        <v>137.74171526007524</v>
      </c>
      <c r="AI68" s="585">
        <f>IF(M68="","",DEGREES(-ACOS(-AF68)))</f>
        <v>-74.94098526077957</v>
      </c>
      <c r="AJ68" s="586">
        <f>IF(M68="","",DEGREES(ATAN2(-AE68,AD68)))</f>
        <v>-129.96459725517468</v>
      </c>
      <c r="AK68" s="635">
        <f>IF(M68="","",(COS(RADIANS((90-$Q$8)-W68))*AD68)+(-SIN(RADIANS((90-$Q$8)-W68))*AE68))</f>
        <v>0.96555579747023978</v>
      </c>
      <c r="AL68" s="629">
        <f>IF(M68="","",(SIN(RADIANS((90-$Q$8)-W68))*AD68)+(COS(RADIANS((90-$Q$8)-W68))*AE68))</f>
        <v>-1.409910302316103E-2</v>
      </c>
      <c r="AM68" s="634">
        <f>IF(M68="","",AF68)</f>
        <v>-0.25981381269199633</v>
      </c>
      <c r="AN68" s="581">
        <f>IF(M68="","",DEGREES(ATAN2(-AM68,AL68)))</f>
        <v>-3.1061764106324703</v>
      </c>
      <c r="AO68" s="582">
        <f t="shared" si="461"/>
        <v>15.081697371997608</v>
      </c>
      <c r="AP68" s="585">
        <f>IF(M68="","",DEGREES(ATAN2(AK68,AL68)))</f>
        <v>-0.83657691577736071</v>
      </c>
      <c r="AQ68" s="586">
        <f t="shared" si="246"/>
        <v>0.82037066460663766</v>
      </c>
      <c r="AS68" s="52">
        <f t="shared" si="406"/>
        <v>-219.11802034084116</v>
      </c>
      <c r="AT68" s="72">
        <f t="shared" si="247"/>
        <v>4.9371926301068611E-2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4.1130000000000004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>
        <f t="shared" si="112"/>
        <v>1613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-2.2792857330923582</v>
      </c>
      <c r="C69" s="708">
        <v>-2.7328678881913135</v>
      </c>
      <c r="D69" s="709">
        <v>-0.14810044667094699</v>
      </c>
      <c r="E69" s="710">
        <v>0.65282921969219598</v>
      </c>
      <c r="F69" s="708">
        <v>-0.72147524423300624</v>
      </c>
      <c r="G69" s="711">
        <v>0.23084081501112952</v>
      </c>
      <c r="H69" s="710">
        <v>0.314</v>
      </c>
      <c r="I69" s="708">
        <v>0.52</v>
      </c>
      <c r="J69" s="570">
        <v>4.1180000000000003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4.1180000000000003</v>
      </c>
      <c r="N69" s="632">
        <f t="shared" si="240"/>
        <v>-2.2792857330923582</v>
      </c>
      <c r="O69" s="629">
        <f t="shared" si="241"/>
        <v>-2.7328678881913135</v>
      </c>
      <c r="P69" s="633">
        <f t="shared" si="242"/>
        <v>-0.14810044667094699</v>
      </c>
      <c r="Q69" s="585">
        <f t="shared" si="113"/>
        <v>230.17097976181452</v>
      </c>
      <c r="R69" s="629">
        <f t="shared" si="79"/>
        <v>3.5586107327699694</v>
      </c>
      <c r="S69" s="634">
        <f t="shared" si="80"/>
        <v>-0.14810044667094699</v>
      </c>
      <c r="T69" s="635">
        <f t="shared" si="81"/>
        <v>-2.7332656569142735</v>
      </c>
      <c r="U69" s="629">
        <f t="shared" si="82"/>
        <v>2.2788087230214393</v>
      </c>
      <c r="V69" s="636">
        <f t="shared" si="114"/>
        <v>-0.14810044667094699</v>
      </c>
      <c r="W69" s="585">
        <f t="shared" si="224"/>
        <v>140.18097976037069</v>
      </c>
      <c r="X69" s="629">
        <f t="shared" si="83"/>
        <v>3.5586107327699694</v>
      </c>
      <c r="Y69" s="630">
        <f t="shared" si="223"/>
        <v>-0.14810044667094699</v>
      </c>
      <c r="Z69" s="632">
        <f t="shared" si="243"/>
        <v>-0.65282921969219598</v>
      </c>
      <c r="AA69" s="629">
        <f t="shared" si="244"/>
        <v>0.72147524423300624</v>
      </c>
      <c r="AB69" s="629">
        <f t="shared" si="245"/>
        <v>-0.23084081501112952</v>
      </c>
      <c r="AC69" s="636">
        <f t="shared" si="84"/>
        <v>1</v>
      </c>
      <c r="AD69" s="637">
        <f t="shared" si="115"/>
        <v>-0.65282921969219598</v>
      </c>
      <c r="AE69" s="629">
        <f t="shared" si="85"/>
        <v>0.72147524423300624</v>
      </c>
      <c r="AF69" s="633">
        <f t="shared" si="86"/>
        <v>-0.23084081501112952</v>
      </c>
      <c r="AG69" s="602">
        <f t="shared" si="87"/>
        <v>72.257580539396528</v>
      </c>
      <c r="AH69" s="603">
        <f t="shared" si="88"/>
        <v>130.75525411866241</v>
      </c>
      <c r="AI69" s="585">
        <f t="shared" si="89"/>
        <v>-76.653420915294262</v>
      </c>
      <c r="AJ69" s="586">
        <f t="shared" si="90"/>
        <v>-137.85952746963301</v>
      </c>
      <c r="AK69" s="635">
        <f t="shared" si="211"/>
        <v>0.96345020554149863</v>
      </c>
      <c r="AL69" s="629">
        <f t="shared" si="91"/>
        <v>-0.13592725836653013</v>
      </c>
      <c r="AM69" s="634">
        <f t="shared" si="92"/>
        <v>-0.23084081501112952</v>
      </c>
      <c r="AN69" s="581">
        <f t="shared" si="93"/>
        <v>-30.49108551326421</v>
      </c>
      <c r="AO69" s="582">
        <f t="shared" si="461"/>
        <v>15.538598135759626</v>
      </c>
      <c r="AP69" s="585">
        <f t="shared" si="95"/>
        <v>-8.0305072314475314</v>
      </c>
      <c r="AQ69" s="586">
        <f t="shared" si="246"/>
        <v>0.64059595467761321</v>
      </c>
      <c r="AS69" s="52">
        <f t="shared" si="406"/>
        <v>-219.81902023962931</v>
      </c>
      <c r="AT69" s="72">
        <f t="shared" si="247"/>
        <v>4.5585951611262776E-3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4.1180000000000003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-2.7865701602508852</v>
      </c>
      <c r="C70" s="708">
        <v>-3.2330585937537433</v>
      </c>
      <c r="D70" s="709">
        <v>-0.46460140123782617</v>
      </c>
      <c r="E70" s="710">
        <v>0.58093839203665465</v>
      </c>
      <c r="F70" s="708">
        <v>-0.7970907552935893</v>
      </c>
      <c r="G70" s="711">
        <v>0.1647935450294146</v>
      </c>
      <c r="H70" s="710">
        <v>0.314</v>
      </c>
      <c r="I70" s="708">
        <v>0.52</v>
      </c>
      <c r="J70" s="570">
        <v>4.1230000000000002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4.1230000000000002</v>
      </c>
      <c r="N70" s="632">
        <f t="shared" si="240"/>
        <v>-2.7865701602508852</v>
      </c>
      <c r="O70" s="629">
        <f t="shared" si="241"/>
        <v>-3.2330585937537433</v>
      </c>
      <c r="P70" s="633">
        <f t="shared" si="242"/>
        <v>-0.46460140123782617</v>
      </c>
      <c r="Q70" s="585">
        <f t="shared" si="113"/>
        <v>229.24197989594549</v>
      </c>
      <c r="R70" s="629">
        <f t="shared" si="79"/>
        <v>4.2682128729300244</v>
      </c>
      <c r="S70" s="634">
        <f t="shared" si="80"/>
        <v>-0.46460140123782617</v>
      </c>
      <c r="T70" s="635">
        <f t="shared" si="81"/>
        <v>-3.2335448926801131</v>
      </c>
      <c r="U70" s="629">
        <f t="shared" si="82"/>
        <v>2.7860058427196321</v>
      </c>
      <c r="V70" s="636">
        <f t="shared" si="114"/>
        <v>-0.46460140123782617</v>
      </c>
      <c r="W70" s="585">
        <f t="shared" si="224"/>
        <v>139.25197989450169</v>
      </c>
      <c r="X70" s="629">
        <f t="shared" si="83"/>
        <v>4.2682128729300244</v>
      </c>
      <c r="Y70" s="630">
        <f t="shared" si="223"/>
        <v>-0.46460140123782617</v>
      </c>
      <c r="Z70" s="632">
        <f t="shared" si="243"/>
        <v>-0.58093839203665465</v>
      </c>
      <c r="AA70" s="629">
        <f t="shared" si="244"/>
        <v>0.7970907552935893</v>
      </c>
      <c r="AB70" s="629">
        <f t="shared" si="245"/>
        <v>-0.1647935450294146</v>
      </c>
      <c r="AC70" s="636">
        <f t="shared" si="84"/>
        <v>1</v>
      </c>
      <c r="AD70" s="637">
        <f t="shared" si="115"/>
        <v>-0.58093839203665465</v>
      </c>
      <c r="AE70" s="629">
        <f t="shared" si="85"/>
        <v>0.7970907552935893</v>
      </c>
      <c r="AF70" s="633">
        <f t="shared" si="86"/>
        <v>-0.1647935450294146</v>
      </c>
      <c r="AG70" s="602">
        <f t="shared" si="87"/>
        <v>78.319025683790358</v>
      </c>
      <c r="AH70" s="603">
        <f t="shared" si="88"/>
        <v>125.51657123501639</v>
      </c>
      <c r="AI70" s="585">
        <f t="shared" si="89"/>
        <v>-80.514758706586917</v>
      </c>
      <c r="AJ70" s="586">
        <f t="shared" si="90"/>
        <v>-143.91455883446505</v>
      </c>
      <c r="AK70" s="635">
        <f t="shared" si="211"/>
        <v>0.96043878235961411</v>
      </c>
      <c r="AL70" s="629">
        <f t="shared" si="91"/>
        <v>-0.22450040725179166</v>
      </c>
      <c r="AM70" s="634">
        <f t="shared" si="92"/>
        <v>-0.1647935450294146</v>
      </c>
      <c r="AN70" s="581">
        <f t="shared" si="93"/>
        <v>-53.719631588612934</v>
      </c>
      <c r="AO70" s="582">
        <f t="shared" si="461"/>
        <v>16.170175098493232</v>
      </c>
      <c r="AP70" s="585">
        <f t="shared" si="95"/>
        <v>-13.156538730410572</v>
      </c>
      <c r="AQ70" s="586">
        <f t="shared" si="246"/>
        <v>0.53410189836146804</v>
      </c>
      <c r="AS70" s="52">
        <f t="shared" si="406"/>
        <v>-220.74802010549831</v>
      </c>
      <c r="AT70" s="72">
        <f t="shared" si="247"/>
        <v>-0.31129722061001053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4.1230000000000002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-3.205565929480565</v>
      </c>
      <c r="C71" s="708">
        <v>-3.6100056099889066</v>
      </c>
      <c r="D71" s="709">
        <v>-0.98040295689531809</v>
      </c>
      <c r="E71" s="710">
        <v>0.54270977031288958</v>
      </c>
      <c r="F71" s="708">
        <v>-0.83083969190591311</v>
      </c>
      <c r="G71" s="711">
        <v>0.12317268999505615</v>
      </c>
      <c r="H71" s="710">
        <v>0.314</v>
      </c>
      <c r="I71" s="708">
        <v>0.52</v>
      </c>
      <c r="J71" s="570">
        <v>4.1280000000000001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4.1280000000000001</v>
      </c>
      <c r="N71" s="632">
        <f t="shared" si="240"/>
        <v>-3.205565929480565</v>
      </c>
      <c r="O71" s="629">
        <f t="shared" si="241"/>
        <v>-3.6100056099889066</v>
      </c>
      <c r="P71" s="633">
        <f t="shared" si="242"/>
        <v>-0.98040295689531809</v>
      </c>
      <c r="Q71" s="585">
        <f t="shared" si="113"/>
        <v>228.39598001809276</v>
      </c>
      <c r="R71" s="629">
        <f t="shared" si="79"/>
        <v>4.827814560688716</v>
      </c>
      <c r="S71" s="634">
        <f t="shared" si="80"/>
        <v>-0.98040295689531809</v>
      </c>
      <c r="T71" s="635">
        <f t="shared" si="81"/>
        <v>-3.6105650317203657</v>
      </c>
      <c r="U71" s="629">
        <f t="shared" si="82"/>
        <v>3.2049358159120898</v>
      </c>
      <c r="V71" s="636">
        <f t="shared" si="114"/>
        <v>-0.98040295689531809</v>
      </c>
      <c r="W71" s="585">
        <f t="shared" si="224"/>
        <v>138.40598001664893</v>
      </c>
      <c r="X71" s="629">
        <f t="shared" si="83"/>
        <v>4.827814560688716</v>
      </c>
      <c r="Y71" s="630">
        <f t="shared" si="223"/>
        <v>-0.98040295689531809</v>
      </c>
      <c r="Z71" s="632">
        <f t="shared" si="243"/>
        <v>-0.54270977031288958</v>
      </c>
      <c r="AA71" s="629">
        <f t="shared" si="244"/>
        <v>0.83083969190591311</v>
      </c>
      <c r="AB71" s="629">
        <f t="shared" si="245"/>
        <v>-0.12317268999505615</v>
      </c>
      <c r="AC71" s="636">
        <f t="shared" si="84"/>
        <v>1</v>
      </c>
      <c r="AD71" s="637">
        <f t="shared" si="115"/>
        <v>-0.54270977031288958</v>
      </c>
      <c r="AE71" s="629">
        <f t="shared" si="85"/>
        <v>0.83083969190591311</v>
      </c>
      <c r="AF71" s="633">
        <f t="shared" si="86"/>
        <v>-0.12317268999505615</v>
      </c>
      <c r="AG71" s="602">
        <f t="shared" si="87"/>
        <v>81.567273094298812</v>
      </c>
      <c r="AH71" s="603">
        <f t="shared" si="88"/>
        <v>122.86829586811682</v>
      </c>
      <c r="AI71" s="585">
        <f t="shared" si="89"/>
        <v>-82.924756847542113</v>
      </c>
      <c r="AJ71" s="586">
        <f t="shared" si="90"/>
        <v>-146.84717512885169</v>
      </c>
      <c r="AK71" s="635">
        <f t="shared" si="211"/>
        <v>0.95747188848107312</v>
      </c>
      <c r="AL71" s="629">
        <f t="shared" si="91"/>
        <v>-0.26091391532049296</v>
      </c>
      <c r="AM71" s="634">
        <f t="shared" si="92"/>
        <v>-0.12317268999505615</v>
      </c>
      <c r="AN71" s="581">
        <f t="shared" si="93"/>
        <v>-64.728860466351065</v>
      </c>
      <c r="AO71" s="582">
        <f t="shared" si="461"/>
        <v>16.769764586644694</v>
      </c>
      <c r="AP71" s="585">
        <f t="shared" si="95"/>
        <v>-15.243155146944407</v>
      </c>
      <c r="AQ71" s="586">
        <f t="shared" si="246"/>
        <v>0.47219606093807176</v>
      </c>
      <c r="AS71" s="52">
        <f t="shared" si="406"/>
        <v>-221.59401998335107</v>
      </c>
      <c r="AT71" s="72">
        <f t="shared" si="247"/>
        <v>-0.82651127635232691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4.1280000000000001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-3.5328517876285241</v>
      </c>
      <c r="C72" s="708">
        <v>-3.8839122818883962</v>
      </c>
      <c r="D72" s="709">
        <v>-1.6148048702514888</v>
      </c>
      <c r="E72" s="710">
        <v>0.50301326600048568</v>
      </c>
      <c r="F72" s="708">
        <v>-0.85928956025359626</v>
      </c>
      <c r="G72" s="711">
        <v>9.2731363986011561E-2</v>
      </c>
      <c r="H72" s="710">
        <v>0.314</v>
      </c>
      <c r="I72" s="708">
        <v>0.52</v>
      </c>
      <c r="J72" s="570">
        <v>4.133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4.133</v>
      </c>
      <c r="N72" s="632">
        <f t="shared" si="240"/>
        <v>-3.5328517876285241</v>
      </c>
      <c r="O72" s="629">
        <f t="shared" si="241"/>
        <v>-3.8839122818883962</v>
      </c>
      <c r="P72" s="633">
        <f t="shared" si="242"/>
        <v>-1.6148048702514888</v>
      </c>
      <c r="Q72" s="585">
        <f t="shared" si="113"/>
        <v>227.70998011713888</v>
      </c>
      <c r="R72" s="629">
        <f t="shared" si="79"/>
        <v>5.2503158349525592</v>
      </c>
      <c r="S72" s="634">
        <f t="shared" si="80"/>
        <v>-1.6148048702514888</v>
      </c>
      <c r="T72" s="635">
        <f t="shared" si="81"/>
        <v>-3.8845288215976819</v>
      </c>
      <c r="U72" s="629">
        <f t="shared" si="82"/>
        <v>3.5321738633496675</v>
      </c>
      <c r="V72" s="636">
        <f t="shared" si="114"/>
        <v>-1.6148048702514888</v>
      </c>
      <c r="W72" s="585">
        <f t="shared" si="224"/>
        <v>137.71998011569508</v>
      </c>
      <c r="X72" s="629">
        <f t="shared" si="83"/>
        <v>5.2503158349525592</v>
      </c>
      <c r="Y72" s="630">
        <f t="shared" si="223"/>
        <v>-1.6148048702514888</v>
      </c>
      <c r="Z72" s="632">
        <f t="shared" si="243"/>
        <v>-0.50301326600048568</v>
      </c>
      <c r="AA72" s="629">
        <f t="shared" si="244"/>
        <v>0.85928956025359626</v>
      </c>
      <c r="AB72" s="629">
        <f t="shared" si="245"/>
        <v>-9.2731363986011561E-2</v>
      </c>
      <c r="AC72" s="636">
        <f t="shared" si="84"/>
        <v>1</v>
      </c>
      <c r="AD72" s="637">
        <f t="shared" si="115"/>
        <v>-0.50301326600048568</v>
      </c>
      <c r="AE72" s="629">
        <f t="shared" si="85"/>
        <v>0.85928956025359626</v>
      </c>
      <c r="AF72" s="633">
        <f t="shared" si="86"/>
        <v>-9.2731363986011561E-2</v>
      </c>
      <c r="AG72" s="602">
        <f t="shared" si="87"/>
        <v>83.840687040920656</v>
      </c>
      <c r="AH72" s="603">
        <f t="shared" si="88"/>
        <v>120.19955711883853</v>
      </c>
      <c r="AI72" s="585">
        <f t="shared" si="89"/>
        <v>-84.67923992348976</v>
      </c>
      <c r="AJ72" s="586">
        <f t="shared" si="90"/>
        <v>-149.6560310788025</v>
      </c>
      <c r="AK72" s="635">
        <f t="shared" si="211"/>
        <v>0.95030512785324839</v>
      </c>
      <c r="AL72" s="629">
        <f t="shared" si="91"/>
        <v>-0.29718859013951981</v>
      </c>
      <c r="AM72" s="634">
        <f t="shared" si="92"/>
        <v>-9.2731363986011561E-2</v>
      </c>
      <c r="AN72" s="581">
        <f t="shared" si="93"/>
        <v>-72.670580675280632</v>
      </c>
      <c r="AO72" s="582">
        <f t="shared" si="461"/>
        <v>18.138799921421359</v>
      </c>
      <c r="AP72" s="585">
        <f t="shared" si="95"/>
        <v>-17.366011195941411</v>
      </c>
      <c r="AQ72" s="586">
        <f t="shared" si="246"/>
        <v>0.43419921057843019</v>
      </c>
      <c r="AS72" s="52">
        <f t="shared" si="406"/>
        <v>-222.28001988430492</v>
      </c>
      <c r="AT72" s="72">
        <f t="shared" si="247"/>
        <v>-1.4604368008883908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4.133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-3.7733611899927371</v>
      </c>
      <c r="C73" s="708">
        <v>-4.0747139305471878</v>
      </c>
      <c r="D73" s="709">
        <v>-2.3147069811562555</v>
      </c>
      <c r="E73" s="710">
        <v>0.47066147951778259</v>
      </c>
      <c r="F73" s="708">
        <v>-0.88026256593901797</v>
      </c>
      <c r="G73" s="711">
        <v>6.0129748915058678E-2</v>
      </c>
      <c r="H73" s="710">
        <v>0.314</v>
      </c>
      <c r="I73" s="708">
        <v>0.52</v>
      </c>
      <c r="J73" s="570">
        <v>4.1379999999999999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4.1379999999999999</v>
      </c>
      <c r="N73" s="632">
        <f t="shared" ref="N73:N104" si="465">IF(M73="","",B73)</f>
        <v>-3.7733611899927371</v>
      </c>
      <c r="O73" s="629">
        <f t="shared" ref="O73:O104" si="466">IF(M73="","",C73)</f>
        <v>-4.0747139305471878</v>
      </c>
      <c r="P73" s="633">
        <f t="shared" ref="P73:P104" si="467">IF(M73="","",D73)</f>
        <v>-2.3147069811562555</v>
      </c>
      <c r="Q73" s="585">
        <f t="shared" si="113"/>
        <v>227.19898019091815</v>
      </c>
      <c r="R73" s="629">
        <f>IF(M73="","",SQRT(N73^2+O73^2))</f>
        <v>5.5535167494065165</v>
      </c>
      <c r="S73" s="634">
        <f>IF(M73="","",P73)</f>
        <v>-2.3147069811562555</v>
      </c>
      <c r="T73" s="635">
        <f>IF(M73="","",X73*COS(RADIANS(W73)))</f>
        <v>-4.0753724441536585</v>
      </c>
      <c r="U73" s="629">
        <f>IF(M73="","",X73*SIN(RADIANS(W73)))</f>
        <v>3.7726499608858166</v>
      </c>
      <c r="V73" s="636">
        <f>IF(M73="","",Y73)</f>
        <v>-2.3147069811562555</v>
      </c>
      <c r="W73" s="585">
        <f t="shared" si="224"/>
        <v>137.20898018947435</v>
      </c>
      <c r="X73" s="629">
        <f>IF(M73="","",R73)</f>
        <v>5.5535167494065165</v>
      </c>
      <c r="Y73" s="630">
        <f t="shared" si="223"/>
        <v>-2.3147069811562555</v>
      </c>
      <c r="Z73" s="632">
        <f t="shared" ref="Z73:Z104" si="468">IF(M73="","",-E73)</f>
        <v>-0.47066147951778259</v>
      </c>
      <c r="AA73" s="629">
        <f t="shared" ref="AA73:AA104" si="469">IF(M73="","",-F73)</f>
        <v>0.88026256593901797</v>
      </c>
      <c r="AB73" s="629">
        <f t="shared" ref="AB73:AB104" si="470">IF(M73="","",-G73)</f>
        <v>-6.0129748915058678E-2</v>
      </c>
      <c r="AC73" s="636">
        <f>IF(M73="","",SQRT(Z73^2+AA73^2+AB73^2))</f>
        <v>1</v>
      </c>
      <c r="AD73" s="637">
        <f>IF(M73="","",Z73*(1/SQRT(Z73^2+AA73^2+AB73^2)))</f>
        <v>-0.47066147951778259</v>
      </c>
      <c r="AE73" s="629">
        <f>IF(M73="","",AA73*(1/SQRT(Z73^2+AA73^2+AB73^2)))</f>
        <v>0.88026256593901797</v>
      </c>
      <c r="AF73" s="633">
        <f>IF(M73="","",AB73*(1/SQRT(Z73^2+AA73^2+AB73^2)))</f>
        <v>-6.0129748915058678E-2</v>
      </c>
      <c r="AG73" s="602">
        <f>IF(M73="","",DEGREES(ATAN2(-AF73,AE73)))</f>
        <v>86.092259970422717</v>
      </c>
      <c r="AH73" s="603">
        <f>IF(M73="","",DEGREES(ACOS(AD73)))</f>
        <v>118.0772431706866</v>
      </c>
      <c r="AI73" s="585">
        <f>IF(M73="","",DEGREES(-ACOS(-AF73)))</f>
        <v>-86.55273972058481</v>
      </c>
      <c r="AJ73" s="586">
        <f>IF(M73="","",DEGREES(ATAN2(-AE73,AD73)))</f>
        <v>-151.8673391017463</v>
      </c>
      <c r="AK73" s="635">
        <f>IF(M73="","",(COS(RADIANS((90-$Q$8)-W73))*AD73)+(-SIN(RADIANS((90-$Q$8)-W73))*AE73))</f>
        <v>0.94343093338841211</v>
      </c>
      <c r="AL73" s="629">
        <f>IF(M73="","",(SIN(RADIANS((90-$Q$8)-W73))*AD73)+(COS(RADIANS((90-$Q$8)-W73))*AE73))</f>
        <v>-0.32607129162390452</v>
      </c>
      <c r="AM73" s="634">
        <f>IF(M73="","",AF73)</f>
        <v>-6.0129748915058678E-2</v>
      </c>
      <c r="AN73" s="581">
        <f>IF(M73="","",DEGREES(ATAN2(-AM73,AL73)))</f>
        <v>-79.551650927763049</v>
      </c>
      <c r="AO73" s="582">
        <f t="shared" si="461"/>
        <v>19.364041706671927</v>
      </c>
      <c r="AP73" s="585">
        <f>IF(M73="","",DEGREES(ATAN2(AK73,AL73)))</f>
        <v>-19.066319292664499</v>
      </c>
      <c r="AQ73" s="586">
        <f t="shared" ref="AQ73:AQ104" si="471">IF(M73="","",DEGREES(ATAN(($AS$5*SIN(RADIANS(90)))/(($X73*2*PI())-($AS$5*COS(RADIANS(90)))))))</f>
        <v>0.41049441799581504</v>
      </c>
      <c r="AS73" s="52">
        <f t="shared" si="406"/>
        <v>-222.79101981052565</v>
      </c>
      <c r="AT73" s="72">
        <f t="shared" ref="AT73:AT104" si="472">IF(M73="","",Y73+(((AS73-$AS$9)*$AS$6)*-1))</f>
        <v>-2.1599840507332821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4.1379999999999999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-3.9339117426641304</v>
      </c>
      <c r="C74" s="708">
        <v>-4.1972544329871049</v>
      </c>
      <c r="D74" s="709">
        <v>-3.0512092024469553</v>
      </c>
      <c r="E74" s="710">
        <v>0.44516355239750582</v>
      </c>
      <c r="F74" s="708">
        <v>-0.8950672015710448</v>
      </c>
      <c r="G74" s="711">
        <v>2.6155616769861029E-2</v>
      </c>
      <c r="H74" s="710">
        <v>0.314</v>
      </c>
      <c r="I74" s="708">
        <v>0.52</v>
      </c>
      <c r="J74" s="570">
        <v>4.1429999999999998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4.1429999999999998</v>
      </c>
      <c r="N74" s="632">
        <f t="shared" si="465"/>
        <v>-3.9339117426641304</v>
      </c>
      <c r="O74" s="629">
        <f t="shared" si="466"/>
        <v>-4.1972544329871049</v>
      </c>
      <c r="P74" s="633">
        <f t="shared" si="467"/>
        <v>-3.0512092024469553</v>
      </c>
      <c r="Q74" s="585">
        <f t="shared" ref="Q74:Q129" si="520">IF(M74="","",IF(DEGREES(ATAN2(N74,O74))&lt;0,DEGREES(ATAN2(N74,O74))+360,IF(DEGREES(ATAN2(N74,O74))&gt;360,DEGREES(ATAN2(N74,O74))-360,DEGREES(ATAN2(N74,O74)))))</f>
        <v>226.85498024058558</v>
      </c>
      <c r="R74" s="629">
        <f>IF(M74="","",SQRT(N74^2+O74^2))</f>
        <v>5.7526173498939279</v>
      </c>
      <c r="S74" s="634">
        <f>IF(M74="","",P74)</f>
        <v>-3.0512092024469553</v>
      </c>
      <c r="T74" s="635">
        <f>IF(M74="","",X74*COS(RADIANS(W74)))</f>
        <v>-4.1979409660805862</v>
      </c>
      <c r="U74" s="629">
        <f>IF(M74="","",X74*SIN(RADIANS(W74)))</f>
        <v>3.93317912376274</v>
      </c>
      <c r="V74" s="636">
        <f>IF(M74="","",Y74)</f>
        <v>-3.0512092024469553</v>
      </c>
      <c r="W74" s="585">
        <f t="shared" si="224"/>
        <v>136.86498023914174</v>
      </c>
      <c r="X74" s="629">
        <f>IF(M74="","",R74)</f>
        <v>5.7526173498939279</v>
      </c>
      <c r="Y74" s="630">
        <f t="shared" si="223"/>
        <v>-3.0512092024469553</v>
      </c>
      <c r="Z74" s="632">
        <f t="shared" si="468"/>
        <v>-0.44516355239750582</v>
      </c>
      <c r="AA74" s="629">
        <f t="shared" si="469"/>
        <v>0.8950672015710448</v>
      </c>
      <c r="AB74" s="629">
        <f t="shared" si="470"/>
        <v>-2.6155616769861029E-2</v>
      </c>
      <c r="AC74" s="636">
        <f>IF(M74="","",SQRT(Z74^2+AA74^2+AB74^2))</f>
        <v>1</v>
      </c>
      <c r="AD74" s="637">
        <f>IF(M74="","",Z74*(1/SQRT(Z74^2+AA74^2+AB74^2)))</f>
        <v>-0.44516355239750582</v>
      </c>
      <c r="AE74" s="629">
        <f>IF(M74="","",AA74*(1/SQRT(Z74^2+AA74^2+AB74^2)))</f>
        <v>0.8950672015710448</v>
      </c>
      <c r="AF74" s="633">
        <f>IF(M74="","",AB74*(1/SQRT(Z74^2+AA74^2+AB74^2)))</f>
        <v>-2.6155616769861029E-2</v>
      </c>
      <c r="AG74" s="602">
        <f>IF(M74="","",DEGREES(ATAN2(-AF74,AE74)))</f>
        <v>88.326181428064174</v>
      </c>
      <c r="AH74" s="603">
        <f>IF(M74="","",DEGREES(ACOS(AD74)))</f>
        <v>116.43380327457312</v>
      </c>
      <c r="AI74" s="585">
        <f>IF(M74="","",DEGREES(-ACOS(-AF74)))</f>
        <v>-88.50122262572053</v>
      </c>
      <c r="AJ74" s="586">
        <f>IF(M74="","",DEGREES(ATAN2(-AE74,AD74)))</f>
        <v>-153.55644812102977</v>
      </c>
      <c r="AK74" s="635">
        <f>IF(M74="","",(COS(RADIANS((90-$Q$8)-W74))*AD74)+(-SIN(RADIANS((90-$Q$8)-W74))*AE74))</f>
        <v>0.93689180778519054</v>
      </c>
      <c r="AL74" s="629">
        <f>IF(M74="","",(SIN(RADIANS((90-$Q$8)-W74))*AD74)+(COS(RADIANS((90-$Q$8)-W74))*AE74))</f>
        <v>-0.34863967676726898</v>
      </c>
      <c r="AM74" s="634">
        <f>IF(M74="","",AF74)</f>
        <v>-2.6155616769861029E-2</v>
      </c>
      <c r="AN74" s="581">
        <f>IF(M74="","",DEGREES(ATAN2(-AM74,AL74)))</f>
        <v>-85.70959796589419</v>
      </c>
      <c r="AO74" s="582">
        <f t="shared" si="461"/>
        <v>20.464039060000072</v>
      </c>
      <c r="AP74" s="585">
        <f>IF(M74="","",DEGREES(ATAN2(AK74,AL74)))</f>
        <v>-20.411428361615339</v>
      </c>
      <c r="AQ74" s="586">
        <f t="shared" si="471"/>
        <v>0.39628748801681196</v>
      </c>
      <c r="AS74" s="52">
        <f t="shared" si="406"/>
        <v>-223.13501976085826</v>
      </c>
      <c r="AT74" s="72">
        <f t="shared" si="472"/>
        <v>-2.8962473831695843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4.1429999999999998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-4.0193459898392927</v>
      </c>
      <c r="C75" s="708">
        <v>-4.2610494648305801</v>
      </c>
      <c r="D75" s="709">
        <v>-3.8070114819466299</v>
      </c>
      <c r="E75" s="710">
        <v>0.2646801774307655</v>
      </c>
      <c r="F75" s="708">
        <v>-0.9617311281669767</v>
      </c>
      <c r="G75" s="711">
        <v>7.0835307508988574E-2</v>
      </c>
      <c r="H75" s="710">
        <v>0.314</v>
      </c>
      <c r="I75" s="708">
        <v>0.52</v>
      </c>
      <c r="J75" s="570">
        <v>4.1479999999999997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4.1479999999999997</v>
      </c>
      <c r="N75" s="632">
        <f t="shared" si="465"/>
        <v>-4.0193459898392927</v>
      </c>
      <c r="O75" s="629">
        <f t="shared" si="466"/>
        <v>-4.2610494648305801</v>
      </c>
      <c r="P75" s="633">
        <f t="shared" si="467"/>
        <v>-3.8070114819466299</v>
      </c>
      <c r="Q75" s="585">
        <f t="shared" si="520"/>
        <v>226.67198026700751</v>
      </c>
      <c r="R75" s="629">
        <f>IF(M75="","",SQRT(N75^2+O75^2))</f>
        <v>5.8576176665748827</v>
      </c>
      <c r="S75" s="634">
        <f>IF(M75="","",P75)</f>
        <v>-3.8070114819466299</v>
      </c>
      <c r="T75" s="635">
        <f>IF(M75="","",X75*COS(RADIANS(W75)))</f>
        <v>-4.2617509080392528</v>
      </c>
      <c r="U75" s="629">
        <f>IF(M75="","",X75*SIN(RADIANS(W75)))</f>
        <v>4.0186022353048045</v>
      </c>
      <c r="V75" s="636">
        <f>IF(M75="","",Y75)</f>
        <v>-3.8070114819466299</v>
      </c>
      <c r="W75" s="585">
        <f t="shared" si="224"/>
        <v>136.68198026556371</v>
      </c>
      <c r="X75" s="629">
        <f>IF(M75="","",R75)</f>
        <v>5.8576176665748827</v>
      </c>
      <c r="Y75" s="630">
        <f t="shared" si="223"/>
        <v>-3.8070114819466299</v>
      </c>
      <c r="Z75" s="632">
        <f t="shared" si="468"/>
        <v>-0.2646801774307655</v>
      </c>
      <c r="AA75" s="629">
        <f t="shared" si="469"/>
        <v>0.9617311281669767</v>
      </c>
      <c r="AB75" s="629">
        <f t="shared" si="470"/>
        <v>-7.0835307508988574E-2</v>
      </c>
      <c r="AC75" s="636">
        <f>IF(M75="","",SQRT(Z75^2+AA75^2+AB75^2))</f>
        <v>1</v>
      </c>
      <c r="AD75" s="637">
        <f>IF(M75="","",Z75*(1/SQRT(Z75^2+AA75^2+AB75^2)))</f>
        <v>-0.2646801774307655</v>
      </c>
      <c r="AE75" s="629">
        <f>IF(M75="","",AA75*(1/SQRT(Z75^2+AA75^2+AB75^2)))</f>
        <v>0.9617311281669767</v>
      </c>
      <c r="AF75" s="633">
        <f>IF(M75="","",AB75*(1/SQRT(Z75^2+AA75^2+AB75^2)))</f>
        <v>-7.0835307508988574E-2</v>
      </c>
      <c r="AG75" s="602">
        <f>IF(M75="","",DEGREES(ATAN2(-AF75,AE75)))</f>
        <v>85.787545262306878</v>
      </c>
      <c r="AH75" s="603">
        <f>IF(M75="","",DEGREES(ACOS(AD75)))</f>
        <v>105.34794976036851</v>
      </c>
      <c r="AI75" s="585">
        <f>IF(M75="","",DEGREES(-ACOS(-AF75)))</f>
        <v>-85.938034083143023</v>
      </c>
      <c r="AJ75" s="586">
        <f>IF(M75="","",DEGREES(ATAN2(-AE75,AD75)))</f>
        <v>-164.61244392026171</v>
      </c>
      <c r="AK75" s="635">
        <f>IF(M75="","",(COS(RADIANS((90-$Q$8)-W75))*AD75)+(-SIN(RADIANS((90-$Q$8)-W75))*AE75))</f>
        <v>0.85245329516597379</v>
      </c>
      <c r="AL75" s="629">
        <f>IF(M75="","",(SIN(RADIANS((90-$Q$8)-W75))*AD75)+(COS(RADIANS((90-$Q$8)-W75))*AE75))</f>
        <v>-0.51798237303095607</v>
      </c>
      <c r="AM75" s="634">
        <f>IF(M75="","",AF75)</f>
        <v>-7.0835307508988574E-2</v>
      </c>
      <c r="AN75" s="581">
        <f>IF(M75="","",DEGREES(ATAN2(-AM75,AL75)))</f>
        <v>-82.212969971284465</v>
      </c>
      <c r="AO75" s="582">
        <f t="shared" si="461"/>
        <v>31.520485594018414</v>
      </c>
      <c r="AP75" s="585">
        <f>IF(M75="","",DEGREES(ATAN2(AK75,AL75)))</f>
        <v>-31.284424187269241</v>
      </c>
      <c r="AQ75" s="586">
        <f t="shared" si="471"/>
        <v>0.38918408480018518</v>
      </c>
      <c r="AS75" s="52">
        <f t="shared" ref="AS75:AS106" si="543">IF(G75="","",IF(AND(W75&lt;(AS74+180),W75&gt;(AS74-180)),W75,IF(W75&gt;(AS74+180),W75-360,IF(W75&lt;(AS74-180),W75+360,"Error"))))</f>
        <v>-223.31801973443629</v>
      </c>
      <c r="AT75" s="72">
        <f t="shared" si="472"/>
        <v>-3.6519225793542738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4.1479999999999997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-4.0909268078704653</v>
      </c>
      <c r="C76" s="708">
        <v>-4.3136476493494502</v>
      </c>
      <c r="D76" s="709">
        <v>-4.5242136450283521</v>
      </c>
      <c r="E76" s="710">
        <v>0.11351510633290235</v>
      </c>
      <c r="F76" s="708">
        <v>-0.99353627041705428</v>
      </c>
      <c r="G76" s="711">
        <v>0</v>
      </c>
      <c r="H76" s="710">
        <v>0.26600000000000001</v>
      </c>
      <c r="I76" s="708">
        <v>0.52</v>
      </c>
      <c r="J76" s="570">
        <v>4.1529999999999996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1313</v>
      </c>
      <c r="L76" s="320"/>
      <c r="M76" s="168">
        <f t="shared" si="464"/>
        <v>4.1529999999999996</v>
      </c>
      <c r="N76" s="632">
        <f t="shared" si="465"/>
        <v>-4.0909268078704653</v>
      </c>
      <c r="O76" s="629">
        <f t="shared" si="466"/>
        <v>-4.3136476493494502</v>
      </c>
      <c r="P76" s="633">
        <f t="shared" si="467"/>
        <v>-4.5242136450283521</v>
      </c>
      <c r="Q76" s="585">
        <f t="shared" si="520"/>
        <v>226.51798028924236</v>
      </c>
      <c r="R76" s="629">
        <f t="shared" si="79"/>
        <v>5.9450179301740773</v>
      </c>
      <c r="S76" s="634">
        <f t="shared" si="80"/>
        <v>-4.5242136450283521</v>
      </c>
      <c r="T76" s="635">
        <f t="shared" si="81"/>
        <v>-4.3143615849646979</v>
      </c>
      <c r="U76" s="629">
        <f t="shared" si="82"/>
        <v>4.0901738721321088</v>
      </c>
      <c r="V76" s="636">
        <f t="shared" si="114"/>
        <v>-4.5242136450283521</v>
      </c>
      <c r="W76" s="585">
        <f t="shared" si="224"/>
        <v>136.52798028779853</v>
      </c>
      <c r="X76" s="629">
        <f t="shared" si="83"/>
        <v>5.9450179301740773</v>
      </c>
      <c r="Y76" s="630">
        <f t="shared" ref="Y76:Y129" si="644">IF(M76="","",S76)</f>
        <v>-4.5242136450283521</v>
      </c>
      <c r="Z76" s="632">
        <f t="shared" si="468"/>
        <v>-0.11351510633290235</v>
      </c>
      <c r="AA76" s="629">
        <f t="shared" si="469"/>
        <v>0.99353627041705428</v>
      </c>
      <c r="AB76" s="629">
        <f t="shared" si="470"/>
        <v>0</v>
      </c>
      <c r="AC76" s="636">
        <f t="shared" si="84"/>
        <v>1</v>
      </c>
      <c r="AD76" s="637">
        <f t="shared" si="115"/>
        <v>-0.11351510633290235</v>
      </c>
      <c r="AE76" s="629">
        <f t="shared" si="85"/>
        <v>0.99353627041705428</v>
      </c>
      <c r="AF76" s="633">
        <f t="shared" si="86"/>
        <v>0</v>
      </c>
      <c r="AG76" s="602">
        <f t="shared" si="87"/>
        <v>90</v>
      </c>
      <c r="AH76" s="603">
        <f t="shared" si="88"/>
        <v>96.517986064526994</v>
      </c>
      <c r="AI76" s="585">
        <f t="shared" si="89"/>
        <v>-90</v>
      </c>
      <c r="AJ76" s="586">
        <f t="shared" si="90"/>
        <v>-173.48201393547299</v>
      </c>
      <c r="AK76" s="635">
        <f t="shared" si="211"/>
        <v>0.76604450791050727</v>
      </c>
      <c r="AL76" s="629">
        <f t="shared" si="91"/>
        <v>-0.64278753247099374</v>
      </c>
      <c r="AM76" s="634">
        <f t="shared" si="92"/>
        <v>0</v>
      </c>
      <c r="AN76" s="581">
        <f t="shared" si="93"/>
        <v>-90</v>
      </c>
      <c r="AO76" s="582">
        <f t="shared" si="461"/>
        <v>39.99999422471538</v>
      </c>
      <c r="AP76" s="585">
        <f t="shared" si="95"/>
        <v>-39.99999422471538</v>
      </c>
      <c r="AQ76" s="586">
        <f t="shared" si="471"/>
        <v>0.38346269443547892</v>
      </c>
      <c r="AS76" s="52">
        <f t="shared" si="543"/>
        <v>-223.47201971220147</v>
      </c>
      <c r="AT76" s="72">
        <f t="shared" si="472"/>
        <v>-4.3690177980069924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4.1529999999999996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1313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-2.4279716427875422</v>
      </c>
      <c r="C77" s="708">
        <v>-1.3471201093997189</v>
      </c>
      <c r="D77" s="709">
        <v>-0.10277908623569153</v>
      </c>
      <c r="E77" s="710">
        <v>4.5763980715387446E-2</v>
      </c>
      <c r="F77" s="708">
        <v>2.5391132207503633E-2</v>
      </c>
      <c r="G77" s="711">
        <v>0.99862953515019914</v>
      </c>
      <c r="H77" s="710">
        <v>0.26250000000000001</v>
      </c>
      <c r="I77" s="708">
        <v>0.40699999999999997</v>
      </c>
      <c r="J77" s="570">
        <v>4.2130000000000001</v>
      </c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Inactive</v>
      </c>
      <c r="L77" s="320"/>
      <c r="M77" s="168">
        <f t="shared" si="464"/>
        <v>4.2130000000000001</v>
      </c>
      <c r="N77" s="632">
        <f t="shared" si="465"/>
        <v>-2.4279716427875422</v>
      </c>
      <c r="O77" s="629">
        <f t="shared" si="466"/>
        <v>-1.3471201093997189</v>
      </c>
      <c r="P77" s="633">
        <f t="shared" si="467"/>
        <v>-0.10277908623569153</v>
      </c>
      <c r="Q77" s="585">
        <f t="shared" si="520"/>
        <v>209.02298281520748</v>
      </c>
      <c r="R77" s="629">
        <f t="shared" si="79"/>
        <v>2.7766488592059217</v>
      </c>
      <c r="S77" s="634">
        <f t="shared" si="80"/>
        <v>-0.10277908623569153</v>
      </c>
      <c r="T77" s="635">
        <f t="shared" si="81"/>
        <v>-1.3475438498116952</v>
      </c>
      <c r="U77" s="629">
        <f t="shared" si="82"/>
        <v>2.4277364890292814</v>
      </c>
      <c r="V77" s="636">
        <f t="shared" si="114"/>
        <v>-0.10277908623569153</v>
      </c>
      <c r="W77" s="585">
        <f t="shared" si="224"/>
        <v>119.03298281376367</v>
      </c>
      <c r="X77" s="629">
        <f t="shared" si="83"/>
        <v>2.7766488592059217</v>
      </c>
      <c r="Y77" s="630">
        <f t="shared" si="644"/>
        <v>-0.10277908623569153</v>
      </c>
      <c r="Z77" s="632">
        <f t="shared" si="468"/>
        <v>-4.5763980715387446E-2</v>
      </c>
      <c r="AA77" s="629">
        <f t="shared" si="469"/>
        <v>-2.5391132207503633E-2</v>
      </c>
      <c r="AB77" s="629">
        <f t="shared" si="470"/>
        <v>-0.99862953515019914</v>
      </c>
      <c r="AC77" s="636">
        <f t="shared" si="84"/>
        <v>1</v>
      </c>
      <c r="AD77" s="637">
        <f t="shared" si="115"/>
        <v>-4.5763980715387446E-2</v>
      </c>
      <c r="AE77" s="629">
        <f t="shared" si="85"/>
        <v>-2.5391132207503633E-2</v>
      </c>
      <c r="AF77" s="633">
        <f t="shared" si="86"/>
        <v>-0.99862953515019914</v>
      </c>
      <c r="AG77" s="602">
        <f t="shared" si="87"/>
        <v>-1.4564873979983191</v>
      </c>
      <c r="AH77" s="603">
        <f t="shared" si="88"/>
        <v>92.622999068751199</v>
      </c>
      <c r="AI77" s="585">
        <f t="shared" si="89"/>
        <v>-2.9999995668817112</v>
      </c>
      <c r="AJ77" s="586">
        <f t="shared" si="90"/>
        <v>-60.977265472837708</v>
      </c>
      <c r="AK77" s="635">
        <f t="shared" si="211"/>
        <v>2.267948966822031E-7</v>
      </c>
      <c r="AL77" s="629">
        <f t="shared" si="91"/>
        <v>5.2335948693473078E-2</v>
      </c>
      <c r="AM77" s="634">
        <f t="shared" si="92"/>
        <v>-0.99862953515019914</v>
      </c>
      <c r="AN77" s="581">
        <f t="shared" si="93"/>
        <v>2.9999995668536532</v>
      </c>
      <c r="AO77" s="582">
        <f t="shared" si="461"/>
        <v>0</v>
      </c>
      <c r="AP77" s="585">
        <f t="shared" si="95"/>
        <v>89.999751711954801</v>
      </c>
      <c r="AQ77" s="586">
        <f t="shared" si="471"/>
        <v>0.82097907418272742</v>
      </c>
      <c r="AS77" s="52">
        <f t="shared" si="543"/>
        <v>-240.96701718623632</v>
      </c>
      <c r="AT77" s="72">
        <f t="shared" si="472"/>
        <v>6.4566064587081043E-2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>Nose</v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4.2130000000000001</v>
      </c>
      <c r="IH77" s="731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4.1130000000000004</v>
      </c>
      <c r="II77" s="734" cm="1">
        <f t="array" ref="II77">IFERROR(ROUND(VALUE(IF($IH77&lt;1,$IH77+LARGE((IF($M$9:$M$150="",0,$M$9:$M$150)-MOD(IF($M$9:$M$150="",0,$M$9:$M$150),1)),1),$IH77)),4),"")</f>
        <v>4.1130000000000004</v>
      </c>
      <c r="IJ77" s="533">
        <f t="shared" si="542"/>
        <v>1613</v>
      </c>
      <c r="IK77" s="533" t="str">
        <f t="shared" si="517"/>
        <v>Inactive</v>
      </c>
      <c r="IL77" s="727">
        <f t="shared" si="225"/>
        <v>21.848996845395178</v>
      </c>
      <c r="IM77" s="759">
        <v>4.0689379981419103E-2</v>
      </c>
      <c r="IN77" s="5">
        <f t="shared" si="226"/>
        <v>0.66</v>
      </c>
      <c r="IO77" s="771">
        <v>330</v>
      </c>
      <c r="IP77" s="9">
        <f t="shared" si="227"/>
        <v>-2.7787083805844763</v>
      </c>
      <c r="IQ77" s="5">
        <f t="shared" si="228"/>
        <v>-0.1028003100457351</v>
      </c>
      <c r="IR77" s="5">
        <f t="shared" si="518"/>
        <v>0.314</v>
      </c>
      <c r="IS77" s="5">
        <f t="shared" si="229"/>
        <v>0.3031845204056553</v>
      </c>
      <c r="IT77" s="727">
        <f t="shared" si="230"/>
        <v>3.1061764106324703</v>
      </c>
      <c r="IU77" s="9">
        <f t="shared" si="231"/>
        <v>-2.7766488592059217</v>
      </c>
      <c r="IV77" s="5">
        <f t="shared" si="232"/>
        <v>-0.10277908623569153</v>
      </c>
      <c r="IW77" s="5">
        <f t="shared" si="519"/>
        <v>0.26250000000000001</v>
      </c>
      <c r="IX77" s="5">
        <f t="shared" si="233"/>
        <v>0.26250000000000001</v>
      </c>
      <c r="IY77" s="762">
        <f t="shared" si="234"/>
        <v>-2.9999995668536532</v>
      </c>
    </row>
    <row r="78" spans="1:259" ht="15" customHeight="1" x14ac:dyDescent="0.25">
      <c r="A78" s="79"/>
      <c r="B78" s="707">
        <v>-3.0421178315817632</v>
      </c>
      <c r="C78" s="708">
        <v>-1.865964175695062</v>
      </c>
      <c r="D78" s="709">
        <v>-0.145808388706551</v>
      </c>
      <c r="E78" s="710">
        <v>-0.22062273944239272</v>
      </c>
      <c r="F78" s="708">
        <v>-0.13532511241151549</v>
      </c>
      <c r="G78" s="711">
        <v>0.96592583607218263</v>
      </c>
      <c r="H78" s="710">
        <v>0.26250000000000001</v>
      </c>
      <c r="I78" s="708">
        <v>0.40699999999999997</v>
      </c>
      <c r="J78" s="570">
        <v>4.218</v>
      </c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Inactive</v>
      </c>
      <c r="L78" s="320"/>
      <c r="M78" s="168">
        <f t="shared" si="464"/>
        <v>4.218</v>
      </c>
      <c r="N78" s="632">
        <f t="shared" si="465"/>
        <v>-3.0421178315817632</v>
      </c>
      <c r="O78" s="629">
        <f t="shared" si="466"/>
        <v>-1.865964175695062</v>
      </c>
      <c r="P78" s="633">
        <f t="shared" si="467"/>
        <v>-0.145808388706551</v>
      </c>
      <c r="Q78" s="585">
        <f t="shared" si="520"/>
        <v>211.52398245410782</v>
      </c>
      <c r="R78" s="629">
        <f>IF(M78="","",SQRT(N78^2+O78^2))</f>
        <v>3.5687957641486125</v>
      </c>
      <c r="S78" s="634">
        <f>IF(M78="","",P78)</f>
        <v>-0.145808388706551</v>
      </c>
      <c r="T78" s="635">
        <f>IF(M78="","",X78*COS(RADIANS(W78)))</f>
        <v>-1.8664950969194039</v>
      </c>
      <c r="U78" s="629">
        <f>IF(M78="","",X78*SIN(RADIANS(W78)))</f>
        <v>3.0417921131104446</v>
      </c>
      <c r="V78" s="636">
        <f>IF(M78="","",Y78)</f>
        <v>-0.145808388706551</v>
      </c>
      <c r="W78" s="585">
        <f t="shared" si="224"/>
        <v>121.53398245266401</v>
      </c>
      <c r="X78" s="629">
        <f>IF(M78="","",R78)</f>
        <v>3.5687957641486125</v>
      </c>
      <c r="Y78" s="630">
        <f t="shared" si="644"/>
        <v>-0.145808388706551</v>
      </c>
      <c r="Z78" s="632">
        <f t="shared" si="468"/>
        <v>0.22062273944239272</v>
      </c>
      <c r="AA78" s="629">
        <f t="shared" si="469"/>
        <v>0.13532511241151549</v>
      </c>
      <c r="AB78" s="629">
        <f t="shared" si="470"/>
        <v>-0.96592583607218263</v>
      </c>
      <c r="AC78" s="636">
        <f>IF(M78="","",SQRT(Z78^2+AA78^2+AB78^2))</f>
        <v>1</v>
      </c>
      <c r="AD78" s="637">
        <f>IF(M78="","",Z78*(1/SQRT(Z78^2+AA78^2+AB78^2)))</f>
        <v>0.22062273944239272</v>
      </c>
      <c r="AE78" s="629">
        <f>IF(M78="","",AA78*(1/SQRT(Z78^2+AA78^2+AB78^2)))</f>
        <v>0.13532511241151549</v>
      </c>
      <c r="AF78" s="633">
        <f>IF(M78="","",AB78*(1/SQRT(Z78^2+AA78^2+AB78^2)))</f>
        <v>-0.96592583607218263</v>
      </c>
      <c r="AG78" s="602">
        <f>IF(M78="","",DEGREES(ATAN2(-AF78,AE78)))</f>
        <v>7.9751659231167347</v>
      </c>
      <c r="AH78" s="603">
        <f>IF(M78="","",DEGREES(ACOS(AD78)))</f>
        <v>77.254387899780241</v>
      </c>
      <c r="AI78" s="585">
        <f>IF(M78="","",DEGREES(-ACOS(-AF78)))</f>
        <v>-14.999997834273739</v>
      </c>
      <c r="AJ78" s="586">
        <f>IF(M78="","",DEGREES(ATAN2(-AE78,AD78)))</f>
        <v>121.52403266058404</v>
      </c>
      <c r="AK78" s="635">
        <f>IF(M78="","",(COS(RADIANS((90-$Q$8)-W78))*AD78)+(-SIN(RADIANS((90-$Q$8)-W78))*AE78))</f>
        <v>2.2679489669608088E-7</v>
      </c>
      <c r="AL78" s="629">
        <f>IF(M78="","",(SIN(RADIANS((90-$Q$8)-W78))*AD78)+(COS(RADIANS((90-$Q$8)-W78))*AE78))</f>
        <v>-0.25881900859133933</v>
      </c>
      <c r="AM78" s="634">
        <f>IF(M78="","",AF78)</f>
        <v>-0.96592583607218263</v>
      </c>
      <c r="AN78" s="581">
        <f>IF(M78="","",DEGREES(ATAN2(-AM78,AL78)))</f>
        <v>-14.999997834268267</v>
      </c>
      <c r="AO78" s="582">
        <f t="shared" si="461"/>
        <v>0</v>
      </c>
      <c r="AP78" s="585">
        <f>IF(M78="","",DEGREES(ATAN2(AK78,AL78)))</f>
        <v>-89.999949793523797</v>
      </c>
      <c r="AQ78" s="586">
        <f t="shared" si="471"/>
        <v>0.6387679014783344</v>
      </c>
      <c r="AS78" s="52">
        <f t="shared" si="543"/>
        <v>-238.46601754733598</v>
      </c>
      <c r="AT78" s="72">
        <f t="shared" si="472"/>
        <v>1.9799956811429681E-2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>Nose</v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4.218</v>
      </c>
      <c r="IH78" s="731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4.1180000000000003</v>
      </c>
      <c r="II78" s="734" cm="1">
        <f t="array" ref="II78">IFERROR(ROUND(VALUE(IF($IH78&lt;1,$IH78+LARGE((IF($M$9:$M$150="",0,$M$9:$M$150)-MOD(IF($M$9:$M$150="",0,$M$9:$M$150),1)),1),$IH78)),4),"")</f>
        <v>4.1180000000000003</v>
      </c>
      <c r="IJ78" s="533">
        <f t="shared" si="542"/>
        <v>1613</v>
      </c>
      <c r="IK78" s="533" t="str">
        <f t="shared" si="517"/>
        <v>Inactive</v>
      </c>
      <c r="IL78" s="727">
        <f t="shared" si="225"/>
        <v>18.646997307706684</v>
      </c>
      <c r="IM78" s="759">
        <v>3.1933985657675697E-2</v>
      </c>
      <c r="IN78" s="5">
        <f t="shared" si="226"/>
        <v>0.7</v>
      </c>
      <c r="IO78" s="771">
        <v>350</v>
      </c>
      <c r="IP78" s="9">
        <f t="shared" si="227"/>
        <v>-3.5586107327699694</v>
      </c>
      <c r="IQ78" s="5">
        <f t="shared" si="228"/>
        <v>-0.14810044667094699</v>
      </c>
      <c r="IR78" s="5">
        <f t="shared" si="518"/>
        <v>0.314</v>
      </c>
      <c r="IS78" s="5">
        <f t="shared" si="229"/>
        <v>0.30252336454003059</v>
      </c>
      <c r="IT78" s="727">
        <f t="shared" si="230"/>
        <v>30.49108551326421</v>
      </c>
      <c r="IU78" s="9">
        <f t="shared" si="231"/>
        <v>-3.5687957641486125</v>
      </c>
      <c r="IV78" s="5">
        <f t="shared" si="232"/>
        <v>-0.145808388706551</v>
      </c>
      <c r="IW78" s="5">
        <f t="shared" si="519"/>
        <v>0.26250000000000001</v>
      </c>
      <c r="IX78" s="5">
        <f t="shared" si="233"/>
        <v>0.26250000000000001</v>
      </c>
      <c r="IY78" s="762">
        <f t="shared" si="234"/>
        <v>14.999997834268267</v>
      </c>
    </row>
    <row r="79" spans="1:259" ht="15" customHeight="1" x14ac:dyDescent="0.25">
      <c r="A79" s="79"/>
      <c r="B79" s="707">
        <v>-3.5174598214402524</v>
      </c>
      <c r="C79" s="708">
        <v>-2.4741287870251747</v>
      </c>
      <c r="D79" s="709">
        <v>-0.42717158657135729</v>
      </c>
      <c r="E79" s="710">
        <v>0.26572042519395705</v>
      </c>
      <c r="F79" s="708">
        <v>-0.91485366531553935</v>
      </c>
      <c r="G79" s="711">
        <v>0.30403195011949974</v>
      </c>
      <c r="H79" s="710">
        <v>0.26600000000000001</v>
      </c>
      <c r="I79" s="708">
        <v>0.52</v>
      </c>
      <c r="J79" s="570">
        <v>4.2229999999999999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1313</v>
      </c>
      <c r="L79" s="320"/>
      <c r="M79" s="168">
        <f>IF(J79="","",VALUE(J79))</f>
        <v>4.2229999999999999</v>
      </c>
      <c r="N79" s="632">
        <f t="shared" si="465"/>
        <v>-3.5174598214402524</v>
      </c>
      <c r="O79" s="629">
        <f t="shared" si="466"/>
        <v>-2.4741287870251747</v>
      </c>
      <c r="P79" s="633">
        <f t="shared" si="467"/>
        <v>-0.42717158657135729</v>
      </c>
      <c r="Q79" s="585">
        <f t="shared" si="520"/>
        <v>215.12198193462092</v>
      </c>
      <c r="R79" s="629">
        <f>IF(M79="","",SQRT(N79^2+O79^2))</f>
        <v>4.3004461222335006</v>
      </c>
      <c r="S79" s="634">
        <f>IF(M79="","",P79)</f>
        <v>-0.42717158657135729</v>
      </c>
      <c r="T79" s="635">
        <f>IF(M79="","",X79*COS(RADIANS(W79)))</f>
        <v>-2.4747426618022006</v>
      </c>
      <c r="U79" s="629">
        <f>IF(M79="","",X79*SIN(RADIANS(W79)))</f>
        <v>3.5170279509963112</v>
      </c>
      <c r="V79" s="636">
        <f>IF(M79="","",Y79)</f>
        <v>-0.42717158657135729</v>
      </c>
      <c r="W79" s="585">
        <f t="shared" ref="W79:W129" si="645">IF(M79="","",IF(Q79-$Q$8&lt;0,360+Q79-$Q$8,Q79-$Q$8))</f>
        <v>125.1319819331771</v>
      </c>
      <c r="X79" s="629">
        <f>IF(M79="","",R79)</f>
        <v>4.3004461222335006</v>
      </c>
      <c r="Y79" s="630">
        <f t="shared" si="644"/>
        <v>-0.42717158657135729</v>
      </c>
      <c r="Z79" s="632">
        <f t="shared" si="468"/>
        <v>-0.26572042519395705</v>
      </c>
      <c r="AA79" s="629">
        <f t="shared" si="469"/>
        <v>0.91485366531553935</v>
      </c>
      <c r="AB79" s="629">
        <f t="shared" si="470"/>
        <v>-0.30403195011949974</v>
      </c>
      <c r="AC79" s="636">
        <f>IF(M79="","",SQRT(Z79^2+AA79^2+AB79^2))</f>
        <v>1</v>
      </c>
      <c r="AD79" s="637">
        <f>IF(M79="","",Z79*(1/SQRT(Z79^2+AA79^2+AB79^2)))</f>
        <v>-0.26572042519395705</v>
      </c>
      <c r="AE79" s="629">
        <f>IF(M79="","",AA79*(1/SQRT(Z79^2+AA79^2+AB79^2)))</f>
        <v>0.91485366531553935</v>
      </c>
      <c r="AF79" s="633">
        <f>IF(M79="","",AB79*(1/SQRT(Z79^2+AA79^2+AB79^2)))</f>
        <v>-0.30403195011949974</v>
      </c>
      <c r="AG79" s="602">
        <f>IF(M79="","",DEGREES(ATAN2(-AF79,AE79)))</f>
        <v>71.616882010977392</v>
      </c>
      <c r="AH79" s="603">
        <f>IF(M79="","",DEGREES(ACOS(AD79)))</f>
        <v>105.40976496635221</v>
      </c>
      <c r="AI79" s="585">
        <f>IF(M79="","",DEGREES(-ACOS(-AF79)))</f>
        <v>-72.300066807029069</v>
      </c>
      <c r="AJ79" s="586">
        <f>IF(M79="","",DEGREES(ATAN2(-AE79,AD79)))</f>
        <v>-163.80399285133663</v>
      </c>
      <c r="AK79" s="635">
        <f>IF(M79="","",(COS(RADIANS((90-$Q$8)-W79))*AD79)+(-SIN(RADIANS((90-$Q$8)-W79))*AE79))</f>
        <v>0.90115942703752705</v>
      </c>
      <c r="AL79" s="629">
        <f>IF(M79="","",(SIN(RADIANS((90-$Q$8)-W79))*AD79)+(COS(RADIANS((90-$Q$8)-W79))*AE79))</f>
        <v>-0.30899233059726616</v>
      </c>
      <c r="AM79" s="634">
        <f>IF(M79="","",AF79)</f>
        <v>-0.30403195011949974</v>
      </c>
      <c r="AN79" s="581">
        <f>IF(M79="","",DEGREES(ATAN2(-AM79,AL79)))</f>
        <v>-45.463607515220353</v>
      </c>
      <c r="AO79" s="582">
        <f t="shared" si="461"/>
        <v>25.68911026567234</v>
      </c>
      <c r="AP79" s="585">
        <f>IF(M79="","",DEGREES(ATAN2(AK79,AL79)))</f>
        <v>-18.925974785957536</v>
      </c>
      <c r="AQ79" s="586">
        <f t="shared" si="471"/>
        <v>0.53009885936900214</v>
      </c>
      <c r="AS79" s="52">
        <f t="shared" si="543"/>
        <v>-234.86801806682291</v>
      </c>
      <c r="AT79" s="72">
        <f t="shared" si="472"/>
        <v>-0.26406185180373293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>Nose</v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4.2229999999999999</v>
      </c>
      <c r="IH79" s="731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4.1230000000000002</v>
      </c>
      <c r="II79" s="734" cm="1">
        <f t="array" ref="II79">IFERROR(ROUND(VALUE(IF($IH79&lt;1,$IH79+LARGE((IF($M$9:$M$150="",0,$M$9:$M$150)-MOD(IF($M$9:$M$150="",0,$M$9:$M$150),1)),1),$IH79)),4),"")</f>
        <v>4.1230000000000002</v>
      </c>
      <c r="IJ79" s="533">
        <f t="shared" si="542"/>
        <v>1613</v>
      </c>
      <c r="IK79" s="533">
        <f t="shared" si="517"/>
        <v>1313</v>
      </c>
      <c r="IL79" s="727">
        <f t="shared" si="225"/>
        <v>14.119997961324586</v>
      </c>
      <c r="IM79" s="759">
        <v>1.2896661045850201E-2</v>
      </c>
      <c r="IN79" s="5">
        <f t="shared" si="226"/>
        <v>0.36</v>
      </c>
      <c r="IO79" s="771">
        <v>180</v>
      </c>
      <c r="IP79" s="9">
        <f t="shared" si="227"/>
        <v>-4.2682128729300244</v>
      </c>
      <c r="IQ79" s="5">
        <f t="shared" si="228"/>
        <v>-0.46460140123782617</v>
      </c>
      <c r="IR79" s="5">
        <f t="shared" si="518"/>
        <v>0.314</v>
      </c>
      <c r="IS79" s="5">
        <f t="shared" si="229"/>
        <v>0.30157777766091881</v>
      </c>
      <c r="IT79" s="727">
        <f t="shared" si="230"/>
        <v>53.719631588612934</v>
      </c>
      <c r="IU79" s="9">
        <f t="shared" si="231"/>
        <v>-4.3004461222335006</v>
      </c>
      <c r="IV79" s="5">
        <f t="shared" si="232"/>
        <v>-0.42717158657135729</v>
      </c>
      <c r="IW79" s="5">
        <f t="shared" si="519"/>
        <v>0.26600000000000001</v>
      </c>
      <c r="IX79" s="5">
        <f t="shared" si="233"/>
        <v>0.2397084075919822</v>
      </c>
      <c r="IY79" s="762">
        <f t="shared" si="234"/>
        <v>45.463607515220353</v>
      </c>
    </row>
    <row r="80" spans="1:259" ht="15" customHeight="1" x14ac:dyDescent="0.25">
      <c r="A80" s="79"/>
      <c r="B80" s="707">
        <v>-3.9548711072858578</v>
      </c>
      <c r="C80" s="708">
        <v>-2.8343320844863999</v>
      </c>
      <c r="D80" s="709">
        <v>-0.94529576848314778</v>
      </c>
      <c r="E80" s="710">
        <v>0.23090636833677997</v>
      </c>
      <c r="F80" s="708">
        <v>-0.93977939467482874</v>
      </c>
      <c r="G80" s="711">
        <v>0.25198598851152776</v>
      </c>
      <c r="H80" s="710">
        <v>0.26600000000000001</v>
      </c>
      <c r="I80" s="708">
        <v>0.52</v>
      </c>
      <c r="J80" s="570">
        <v>4.2279999999999998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1313</v>
      </c>
      <c r="L80" s="320"/>
      <c r="M80" s="168">
        <f t="shared" si="464"/>
        <v>4.2279999999999998</v>
      </c>
      <c r="N80" s="632">
        <f t="shared" si="465"/>
        <v>-3.9548711072858578</v>
      </c>
      <c r="O80" s="629">
        <f t="shared" si="466"/>
        <v>-2.8343320844863999</v>
      </c>
      <c r="P80" s="633">
        <f t="shared" si="467"/>
        <v>-0.94529576848314778</v>
      </c>
      <c r="Q80" s="585">
        <f t="shared" si="520"/>
        <v>215.6279818615636</v>
      </c>
      <c r="R80" s="629">
        <f t="shared" si="79"/>
        <v>4.8656390988639391</v>
      </c>
      <c r="S80" s="634">
        <f t="shared" si="80"/>
        <v>-0.94529576848314778</v>
      </c>
      <c r="T80" s="635">
        <f t="shared" si="81"/>
        <v>-2.8350222964370424</v>
      </c>
      <c r="U80" s="629">
        <f t="shared" si="82"/>
        <v>3.9543763628539872</v>
      </c>
      <c r="V80" s="636">
        <f t="shared" si="114"/>
        <v>-0.94529576848314778</v>
      </c>
      <c r="W80" s="585">
        <f t="shared" si="645"/>
        <v>125.63798186011978</v>
      </c>
      <c r="X80" s="629">
        <f t="shared" si="83"/>
        <v>4.8656390988639391</v>
      </c>
      <c r="Y80" s="630">
        <f t="shared" si="644"/>
        <v>-0.94529576848314778</v>
      </c>
      <c r="Z80" s="632">
        <f t="shared" si="468"/>
        <v>-0.23090636833677997</v>
      </c>
      <c r="AA80" s="629">
        <f t="shared" si="469"/>
        <v>0.93977939467482874</v>
      </c>
      <c r="AB80" s="629">
        <f t="shared" si="470"/>
        <v>-0.25198598851152776</v>
      </c>
      <c r="AC80" s="636">
        <f t="shared" si="84"/>
        <v>1</v>
      </c>
      <c r="AD80" s="637">
        <f t="shared" si="115"/>
        <v>-0.23090636833677997</v>
      </c>
      <c r="AE80" s="629">
        <f t="shared" si="85"/>
        <v>0.93977939467482874</v>
      </c>
      <c r="AF80" s="633">
        <f t="shared" si="86"/>
        <v>-0.25198598851152776</v>
      </c>
      <c r="AG80" s="602">
        <f t="shared" si="87"/>
        <v>74.990167693685649</v>
      </c>
      <c r="AH80" s="603">
        <f t="shared" si="88"/>
        <v>103.35043930218619</v>
      </c>
      <c r="AI80" s="585">
        <f t="shared" si="89"/>
        <v>-75.404936069962858</v>
      </c>
      <c r="AJ80" s="586">
        <f t="shared" si="90"/>
        <v>-166.19572167065434</v>
      </c>
      <c r="AK80" s="635">
        <f t="shared" si="211"/>
        <v>0.8983756531658611</v>
      </c>
      <c r="AL80" s="629">
        <f t="shared" si="91"/>
        <v>-0.35975581634308673</v>
      </c>
      <c r="AM80" s="634">
        <f t="shared" si="92"/>
        <v>-0.25198598851152776</v>
      </c>
      <c r="AN80" s="581">
        <f t="shared" si="93"/>
        <v>-54.991210702115836</v>
      </c>
      <c r="AO80" s="582">
        <f t="shared" si="461"/>
        <v>26.054631230095662</v>
      </c>
      <c r="AP80" s="585">
        <f t="shared" si="95"/>
        <v>-21.823703532217934</v>
      </c>
      <c r="AQ80" s="586">
        <f t="shared" si="471"/>
        <v>0.46852546427946945</v>
      </c>
      <c r="AS80" s="52">
        <f t="shared" si="543"/>
        <v>-234.36201813988021</v>
      </c>
      <c r="AT80" s="72">
        <f t="shared" si="472"/>
        <v>-0.78253742255367809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>Taper</v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4.2279999999999998</v>
      </c>
      <c r="IH80" s="731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4.1280000000000001</v>
      </c>
      <c r="II80" s="734" cm="1">
        <f t="array" ref="II80">IFERROR(ROUND(VALUE(IF($IH80&lt;1,$IH80+LARGE((IF($M$9:$M$150="",0,$M$9:$M$150)-MOD(IF($M$9:$M$150="",0,$M$9:$M$150),1)),1),$IH80)),4),"")</f>
        <v>4.1280000000000001</v>
      </c>
      <c r="IJ80" s="533">
        <f t="shared" si="542"/>
        <v>1613</v>
      </c>
      <c r="IK80" s="533">
        <f t="shared" si="517"/>
        <v>1313</v>
      </c>
      <c r="IL80" s="727">
        <f t="shared" si="225"/>
        <v>12.767998156529146</v>
      </c>
      <c r="IM80" s="759">
        <v>1.0786015050269E-2</v>
      </c>
      <c r="IN80" s="5">
        <f t="shared" si="226"/>
        <v>0.34</v>
      </c>
      <c r="IO80" s="771">
        <v>170</v>
      </c>
      <c r="IP80" s="9">
        <f t="shared" si="227"/>
        <v>-4.827814560688716</v>
      </c>
      <c r="IQ80" s="5">
        <f t="shared" si="228"/>
        <v>-0.98040295689531809</v>
      </c>
      <c r="IR80" s="5">
        <f t="shared" si="518"/>
        <v>0.314</v>
      </c>
      <c r="IS80" s="5">
        <f t="shared" si="229"/>
        <v>0.30064617298305696</v>
      </c>
      <c r="IT80" s="727">
        <f t="shared" si="230"/>
        <v>64.728860466351065</v>
      </c>
      <c r="IU80" s="9">
        <f t="shared" si="231"/>
        <v>-4.8656390988639391</v>
      </c>
      <c r="IV80" s="5">
        <f t="shared" si="232"/>
        <v>-0.94529576848314778</v>
      </c>
      <c r="IW80" s="5">
        <f t="shared" si="519"/>
        <v>0.26600000000000001</v>
      </c>
      <c r="IX80" s="5">
        <f t="shared" si="233"/>
        <v>0.23896792374211906</v>
      </c>
      <c r="IY80" s="762">
        <f t="shared" si="234"/>
        <v>54.991210702115836</v>
      </c>
    </row>
    <row r="81" spans="1:259" ht="15" customHeight="1" x14ac:dyDescent="0.25">
      <c r="A81" s="79"/>
      <c r="B81" s="707">
        <v>-4.2954864639561103</v>
      </c>
      <c r="C81" s="708">
        <v>-3.0937856550240941</v>
      </c>
      <c r="D81" s="709">
        <v>-1.5828135412444428</v>
      </c>
      <c r="E81" s="710">
        <v>0.18787419098899288</v>
      </c>
      <c r="F81" s="708">
        <v>-0.95971114539522595</v>
      </c>
      <c r="G81" s="711">
        <v>0.20894450403017314</v>
      </c>
      <c r="H81" s="710">
        <v>0.26600000000000001</v>
      </c>
      <c r="I81" s="708">
        <v>0.52</v>
      </c>
      <c r="J81" s="570">
        <v>4.2329999999999997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1313</v>
      </c>
      <c r="L81" s="320"/>
      <c r="M81" s="168">
        <f t="shared" si="464"/>
        <v>4.2329999999999997</v>
      </c>
      <c r="N81" s="632">
        <f t="shared" si="465"/>
        <v>-4.2954864639561103</v>
      </c>
      <c r="O81" s="629">
        <f t="shared" si="466"/>
        <v>-3.0937856550240941</v>
      </c>
      <c r="P81" s="633">
        <f t="shared" si="467"/>
        <v>-1.5828135412444428</v>
      </c>
      <c r="Q81" s="585">
        <f t="shared" si="520"/>
        <v>215.76298184207201</v>
      </c>
      <c r="R81" s="629">
        <f t="shared" si="79"/>
        <v>5.2936484244104305</v>
      </c>
      <c r="S81" s="634">
        <f t="shared" si="80"/>
        <v>-1.5828135412444428</v>
      </c>
      <c r="T81" s="635">
        <f t="shared" si="81"/>
        <v>-3.094535311608718</v>
      </c>
      <c r="U81" s="629">
        <f t="shared" si="82"/>
        <v>4.2949464311525203</v>
      </c>
      <c r="V81" s="636">
        <f t="shared" si="114"/>
        <v>-1.5828135412444428</v>
      </c>
      <c r="W81" s="585">
        <f t="shared" si="645"/>
        <v>125.77298184062819</v>
      </c>
      <c r="X81" s="629">
        <f t="shared" si="83"/>
        <v>5.2936484244104305</v>
      </c>
      <c r="Y81" s="630">
        <f t="shared" si="644"/>
        <v>-1.5828135412444428</v>
      </c>
      <c r="Z81" s="632">
        <f t="shared" si="468"/>
        <v>-0.18787419098899288</v>
      </c>
      <c r="AA81" s="629">
        <f t="shared" si="469"/>
        <v>0.95971114539522595</v>
      </c>
      <c r="AB81" s="629">
        <f t="shared" si="470"/>
        <v>-0.20894450403017314</v>
      </c>
      <c r="AC81" s="636">
        <f t="shared" si="84"/>
        <v>1</v>
      </c>
      <c r="AD81" s="637">
        <f t="shared" si="115"/>
        <v>-0.18787419098899288</v>
      </c>
      <c r="AE81" s="629">
        <f t="shared" si="85"/>
        <v>0.95971114539522595</v>
      </c>
      <c r="AF81" s="633">
        <f t="shared" si="86"/>
        <v>-0.20894450403017314</v>
      </c>
      <c r="AG81" s="602">
        <f t="shared" si="87"/>
        <v>77.717461455100064</v>
      </c>
      <c r="AH81" s="603">
        <f t="shared" si="88"/>
        <v>100.82875033807926</v>
      </c>
      <c r="AI81" s="585">
        <f t="shared" si="89"/>
        <v>-77.939495336767905</v>
      </c>
      <c r="AJ81" s="586">
        <f t="shared" si="90"/>
        <v>-168.92378195147927</v>
      </c>
      <c r="AK81" s="635">
        <f t="shared" si="211"/>
        <v>0.88854950957720114</v>
      </c>
      <c r="AL81" s="629">
        <f t="shared" si="91"/>
        <v>-0.40843844489188397</v>
      </c>
      <c r="AM81" s="634">
        <f t="shared" si="92"/>
        <v>-0.20894450403017314</v>
      </c>
      <c r="AN81" s="581">
        <f t="shared" si="93"/>
        <v>-62.907116133331591</v>
      </c>
      <c r="AO81" s="582">
        <f t="shared" si="461"/>
        <v>27.308458945686272</v>
      </c>
      <c r="AP81" s="585">
        <f t="shared" si="95"/>
        <v>-24.686763793551254</v>
      </c>
      <c r="AQ81" s="586">
        <f t="shared" si="471"/>
        <v>0.43064509003577384</v>
      </c>
      <c r="AS81" s="52">
        <f t="shared" si="543"/>
        <v>-234.22701815937182</v>
      </c>
      <c r="AT81" s="72">
        <f t="shared" si="472"/>
        <v>-1.4201489453014373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>Taper</v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4.2329999999999997</v>
      </c>
      <c r="IH81" s="731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4.133</v>
      </c>
      <c r="II81" s="734" cm="1">
        <f t="array" ref="II81">IFERROR(ROUND(VALUE(IF($IH81&lt;1,$IH81+LARGE((IF($M$9:$M$150="",0,$M$9:$M$150)-MOD(IF($M$9:$M$150="",0,$M$9:$M$150),1)),1),$IH81)),4),"")</f>
        <v>4.133</v>
      </c>
      <c r="IJ81" s="533">
        <f t="shared" si="542"/>
        <v>1613</v>
      </c>
      <c r="IK81" s="533">
        <f t="shared" si="517"/>
        <v>1313</v>
      </c>
      <c r="IL81" s="727">
        <f t="shared" ref="IL81:IL144" si="647">IF(ISNUMBER($II81),IFERROR(IF(INDEX($W$9:$W$150,MATCH($II81,$M$9:$M$150,0))&lt;$W81,((INDEX($W$9:$W$150,MATCH($II81,$M$9:$M$150,0))+360)-$W81),INDEX($W$9:$W$150,MATCH($II81,$M$9:$M$150,0))-$W81),""),"")</f>
        <v>11.946998275066889</v>
      </c>
      <c r="IM81" s="759">
        <v>9.0602168013895808E-3</v>
      </c>
      <c r="IN81" s="5">
        <f t="shared" ref="IN81:IN144" si="648">IF(ISNUMBER($II81),(($IO81*12)/60)/$AS$3,"")</f>
        <v>0.32</v>
      </c>
      <c r="IO81" s="771">
        <v>160</v>
      </c>
      <c r="IP81" s="9">
        <f t="shared" ref="IP81:IP144" si="649">IF(ISNUMBER($II81),(INDEX($X$9:$X$150,MATCH($II81,$M$9:$M$150,0))*-1),"")</f>
        <v>-5.2503158349525592</v>
      </c>
      <c r="IQ81" s="5">
        <f t="shared" ref="IQ81:IQ144" si="650">IF(ISNUMBER($II81),INDEX($Y$9:$Y$150,MATCH($II81,$M$9:$M$150,0)),"")</f>
        <v>-1.6148048702514888</v>
      </c>
      <c r="IR81" s="5">
        <f t="shared" si="518"/>
        <v>0.314</v>
      </c>
      <c r="IS81" s="5">
        <f t="shared" ref="IS81:IS144" si="651">IF(ISNUMBER($II81),$IR81*COS(RADIANS(INDEX($AO$9:$AO$150,MATCH($II81,$M$9:$M$150,0)))),"")</f>
        <v>0.29839581014591998</v>
      </c>
      <c r="IT81" s="727">
        <f t="shared" ref="IT81:IT144" si="652">IF(ISNUMBER($II81),(-1*INDEX($AN$9:$AN$150,MATCH($II81,$M$9:$M$150,0))),"")</f>
        <v>72.670580675280632</v>
      </c>
      <c r="IU81" s="9">
        <f t="shared" ref="IU81:IU144" si="653">IF(ISNUMBER($II81),-$X81,"")</f>
        <v>-5.2936484244104305</v>
      </c>
      <c r="IV81" s="5">
        <f t="shared" ref="IV81:IV144" si="654">IF(ISNUMBER($II81),$Y81,"")</f>
        <v>-1.5828135412444428</v>
      </c>
      <c r="IW81" s="5">
        <f t="shared" si="519"/>
        <v>0.26600000000000001</v>
      </c>
      <c r="IX81" s="5">
        <f t="shared" ref="IX81:IX144" si="655">IF(ISNUMBER($II81),$IW81*COS(RADIANS($AO81)),"")</f>
        <v>0.23635416954753552</v>
      </c>
      <c r="IY81" s="762">
        <f t="shared" ref="IY81:IY144" si="656">IF(ISNUMBER($II81),(-1*$AN81),"")</f>
        <v>62.907116133331591</v>
      </c>
    </row>
    <row r="82" spans="1:259" ht="15" customHeight="1" x14ac:dyDescent="0.25">
      <c r="A82" s="79"/>
      <c r="B82" s="707">
        <v>-4.5457949497865284</v>
      </c>
      <c r="C82" s="708">
        <v>-3.2737066258003953</v>
      </c>
      <c r="D82" s="709">
        <v>-2.2868094257553686</v>
      </c>
      <c r="E82" s="710">
        <v>0.14997524439687107</v>
      </c>
      <c r="F82" s="708">
        <v>-0.97522452932777137</v>
      </c>
      <c r="G82" s="711">
        <v>0.16261778336186244</v>
      </c>
      <c r="H82" s="710">
        <v>0.26600000000000001</v>
      </c>
      <c r="I82" s="708">
        <v>0.52</v>
      </c>
      <c r="J82" s="570">
        <v>4.2380000000000004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1313</v>
      </c>
      <c r="L82" s="320"/>
      <c r="M82" s="168">
        <f t="shared" si="464"/>
        <v>4.2380000000000004</v>
      </c>
      <c r="N82" s="632">
        <f t="shared" si="465"/>
        <v>-4.5457949497865284</v>
      </c>
      <c r="O82" s="629">
        <f t="shared" si="466"/>
        <v>-3.2737066258003953</v>
      </c>
      <c r="P82" s="633">
        <f t="shared" si="467"/>
        <v>-2.2868094257553686</v>
      </c>
      <c r="Q82" s="585">
        <f t="shared" si="520"/>
        <v>215.75998184250517</v>
      </c>
      <c r="R82" s="629">
        <f t="shared" si="79"/>
        <v>5.6019109951260484</v>
      </c>
      <c r="S82" s="634">
        <f t="shared" si="80"/>
        <v>-2.2868094257553686</v>
      </c>
      <c r="T82" s="635">
        <f t="shared" si="81"/>
        <v>-3.2744999667103718</v>
      </c>
      <c r="U82" s="629">
        <f t="shared" si="82"/>
        <v>4.5452235110418808</v>
      </c>
      <c r="V82" s="636">
        <f t="shared" si="114"/>
        <v>-2.2868094257553686</v>
      </c>
      <c r="W82" s="585">
        <f t="shared" si="645"/>
        <v>125.76998184106135</v>
      </c>
      <c r="X82" s="629">
        <f t="shared" si="83"/>
        <v>5.6019109951260484</v>
      </c>
      <c r="Y82" s="630">
        <f t="shared" si="644"/>
        <v>-2.2868094257553686</v>
      </c>
      <c r="Z82" s="632">
        <f t="shared" si="468"/>
        <v>-0.14997524439687107</v>
      </c>
      <c r="AA82" s="629">
        <f t="shared" si="469"/>
        <v>0.97522452932777137</v>
      </c>
      <c r="AB82" s="629">
        <f t="shared" si="470"/>
        <v>-0.16261778336186244</v>
      </c>
      <c r="AC82" s="636">
        <f t="shared" si="84"/>
        <v>1</v>
      </c>
      <c r="AD82" s="637">
        <f t="shared" si="115"/>
        <v>-0.14997524439687107</v>
      </c>
      <c r="AE82" s="629">
        <f t="shared" si="85"/>
        <v>0.97522452932777137</v>
      </c>
      <c r="AF82" s="633">
        <f t="shared" si="86"/>
        <v>-0.16261778336186244</v>
      </c>
      <c r="AG82" s="602">
        <f t="shared" si="87"/>
        <v>80.533084091402657</v>
      </c>
      <c r="AH82" s="603">
        <f t="shared" si="88"/>
        <v>98.625491938496467</v>
      </c>
      <c r="AI82" s="585">
        <f t="shared" si="89"/>
        <v>-80.641125480138967</v>
      </c>
      <c r="AJ82" s="586">
        <f t="shared" si="90"/>
        <v>-171.25724108932997</v>
      </c>
      <c r="AK82" s="635">
        <f t="shared" si="211"/>
        <v>0.87901176864438901</v>
      </c>
      <c r="AL82" s="629">
        <f t="shared" si="91"/>
        <v>-0.44821174362028643</v>
      </c>
      <c r="AM82" s="634">
        <f t="shared" si="92"/>
        <v>-0.16261778336186244</v>
      </c>
      <c r="AN82" s="581">
        <f t="shared" si="93"/>
        <v>-70.058487090535493</v>
      </c>
      <c r="AO82" s="582">
        <f t="shared" si="461"/>
        <v>28.476617510747214</v>
      </c>
      <c r="AP82" s="585">
        <f t="shared" si="95"/>
        <v>-27.017222931835128</v>
      </c>
      <c r="AQ82" s="586">
        <f t="shared" si="471"/>
        <v>0.40694832511038925</v>
      </c>
      <c r="AS82" s="52">
        <f t="shared" si="543"/>
        <v>-234.23001815893866</v>
      </c>
      <c r="AT82" s="72">
        <f t="shared" si="472"/>
        <v>-2.1241427464793303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>Taper</v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4.2380000000000004</v>
      </c>
      <c r="IH82" s="731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4.1379999999999999</v>
      </c>
      <c r="II82" s="734" cm="1">
        <f t="array" ref="II82">IFERROR(ROUND(VALUE(IF($IH82&lt;1,$IH82+LARGE((IF($M$9:$M$150="",0,$M$9:$M$150)-MOD(IF($M$9:$M$150="",0,$M$9:$M$150),1)),1),$IH82)),4),"")</f>
        <v>4.1379999999999999</v>
      </c>
      <c r="IJ82" s="533">
        <f t="shared" si="542"/>
        <v>1613</v>
      </c>
      <c r="IK82" s="533">
        <f t="shared" si="517"/>
        <v>1313</v>
      </c>
      <c r="IL82" s="727">
        <f t="shared" si="647"/>
        <v>11.438998348412994</v>
      </c>
      <c r="IM82" s="759">
        <v>7.5569798327159501E-3</v>
      </c>
      <c r="IN82" s="5">
        <f t="shared" si="648"/>
        <v>0.3</v>
      </c>
      <c r="IO82" s="771">
        <v>150</v>
      </c>
      <c r="IP82" s="9">
        <f t="shared" si="649"/>
        <v>-5.5535167494065165</v>
      </c>
      <c r="IQ82" s="5">
        <f t="shared" si="650"/>
        <v>-2.3147069811562555</v>
      </c>
      <c r="IR82" s="5">
        <f t="shared" si="518"/>
        <v>0.314</v>
      </c>
      <c r="IS82" s="5">
        <f t="shared" si="651"/>
        <v>0.29623731308396145</v>
      </c>
      <c r="IT82" s="727">
        <f t="shared" si="652"/>
        <v>79.551650927763049</v>
      </c>
      <c r="IU82" s="9">
        <f t="shared" si="653"/>
        <v>-5.6019109951260484</v>
      </c>
      <c r="IV82" s="5">
        <f t="shared" si="654"/>
        <v>-2.2868094257553686</v>
      </c>
      <c r="IW82" s="5">
        <f t="shared" si="519"/>
        <v>0.26600000000000001</v>
      </c>
      <c r="IX82" s="5">
        <f t="shared" si="655"/>
        <v>0.23381713045940752</v>
      </c>
      <c r="IY82" s="762">
        <f t="shared" si="656"/>
        <v>70.058487090535493</v>
      </c>
    </row>
    <row r="83" spans="1:259" ht="15" customHeight="1" x14ac:dyDescent="0.25">
      <c r="A83" s="79"/>
      <c r="B83" s="707">
        <v>-4.7134717114286193</v>
      </c>
      <c r="C83" s="708">
        <v>-3.3893414361997407</v>
      </c>
      <c r="D83" s="709">
        <v>-3.0282117969544382</v>
      </c>
      <c r="E83" s="710">
        <v>0.11803590360820387</v>
      </c>
      <c r="F83" s="708">
        <v>-0.98644714531592448</v>
      </c>
      <c r="G83" s="711">
        <v>0.11397172876401553</v>
      </c>
      <c r="H83" s="710">
        <v>0.26600000000000001</v>
      </c>
      <c r="I83" s="708">
        <v>0.52</v>
      </c>
      <c r="J83" s="570">
        <v>4.2430000000000003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1313</v>
      </c>
      <c r="L83" s="320"/>
      <c r="M83" s="168">
        <f t="shared" si="464"/>
        <v>4.2430000000000003</v>
      </c>
      <c r="N83" s="632">
        <f t="shared" si="465"/>
        <v>-4.7134717114286193</v>
      </c>
      <c r="O83" s="629">
        <f t="shared" si="466"/>
        <v>-3.3893414361997407</v>
      </c>
      <c r="P83" s="633">
        <f t="shared" si="467"/>
        <v>-3.0282117969544382</v>
      </c>
      <c r="Q83" s="585">
        <f t="shared" si="520"/>
        <v>215.71898184842482</v>
      </c>
      <c r="R83" s="629">
        <f t="shared" si="79"/>
        <v>5.8055534573008938</v>
      </c>
      <c r="S83" s="634">
        <f t="shared" si="80"/>
        <v>-3.0282117969544382</v>
      </c>
      <c r="T83" s="635">
        <f t="shared" si="81"/>
        <v>-3.3901640404598203</v>
      </c>
      <c r="U83" s="629">
        <f t="shared" si="82"/>
        <v>4.7128800880514143</v>
      </c>
      <c r="V83" s="636">
        <f t="shared" si="114"/>
        <v>-3.0282117969544382</v>
      </c>
      <c r="W83" s="585">
        <f t="shared" si="645"/>
        <v>125.728981846981</v>
      </c>
      <c r="X83" s="629">
        <f t="shared" si="83"/>
        <v>5.8055534573008938</v>
      </c>
      <c r="Y83" s="630">
        <f t="shared" si="644"/>
        <v>-3.0282117969544382</v>
      </c>
      <c r="Z83" s="632">
        <f t="shared" si="468"/>
        <v>-0.11803590360820387</v>
      </c>
      <c r="AA83" s="629">
        <f t="shared" si="469"/>
        <v>0.98644714531592448</v>
      </c>
      <c r="AB83" s="629">
        <f t="shared" si="470"/>
        <v>-0.11397172876401553</v>
      </c>
      <c r="AC83" s="636">
        <f t="shared" si="84"/>
        <v>1</v>
      </c>
      <c r="AD83" s="637">
        <f t="shared" si="115"/>
        <v>-0.11803590360820387</v>
      </c>
      <c r="AE83" s="629">
        <f t="shared" si="85"/>
        <v>0.98644714531592448</v>
      </c>
      <c r="AF83" s="633">
        <f t="shared" si="86"/>
        <v>-0.11397172876401553</v>
      </c>
      <c r="AG83" s="602">
        <f t="shared" si="87"/>
        <v>83.409405685626723</v>
      </c>
      <c r="AH83" s="603">
        <f t="shared" si="88"/>
        <v>96.778762516850151</v>
      </c>
      <c r="AI83" s="585">
        <f t="shared" si="89"/>
        <v>-83.455680497258697</v>
      </c>
      <c r="AJ83" s="586">
        <f t="shared" si="90"/>
        <v>-173.17656663004908</v>
      </c>
      <c r="AK83" s="635">
        <f t="shared" si="211"/>
        <v>0.86979729503212022</v>
      </c>
      <c r="AL83" s="629">
        <f t="shared" si="91"/>
        <v>-0.48006573570433952</v>
      </c>
      <c r="AM83" s="634">
        <f t="shared" si="92"/>
        <v>-0.11397172876401553</v>
      </c>
      <c r="AN83" s="581">
        <f t="shared" si="93"/>
        <v>-76.644739489956791</v>
      </c>
      <c r="AO83" s="582">
        <f t="shared" si="461"/>
        <v>29.564907583274156</v>
      </c>
      <c r="AP83" s="585">
        <f t="shared" si="95"/>
        <v>-28.895548478473906</v>
      </c>
      <c r="AQ83" s="586">
        <f t="shared" si="471"/>
        <v>0.39267417926318926</v>
      </c>
      <c r="AS83" s="52">
        <f t="shared" si="543"/>
        <v>-234.27101815301899</v>
      </c>
      <c r="AT83" s="72">
        <f t="shared" si="472"/>
        <v>-2.8655166454602887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>Taper</v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4.2430000000000003</v>
      </c>
      <c r="IH83" s="731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4.1429999999999998</v>
      </c>
      <c r="II83" s="734" cm="1">
        <f t="array" ref="II83">IFERROR(ROUND(VALUE(IF($IH83&lt;1,$IH83+LARGE((IF($M$9:$M$150="",0,$M$9:$M$150)-MOD(IF($M$9:$M$150="",0,$M$9:$M$150),1)),1),$IH83)),4),"")</f>
        <v>4.1429999999999998</v>
      </c>
      <c r="IJ83" s="533">
        <f t="shared" si="542"/>
        <v>1613</v>
      </c>
      <c r="IK83" s="533">
        <f>IF(ISNUMBER($II83),INDEX($K$9:$K$150,MATCH($IG83,$M$9:$M$150,0)),"")</f>
        <v>1313</v>
      </c>
      <c r="IL83" s="727">
        <f>IF(ISNUMBER($II83),IFERROR(IF(INDEX($W$9:$W$150,MATCH($II83,$M$9:$M$150,0))&lt;$W83,((INDEX($W$9:$W$150,MATCH($II83,$M$9:$M$150,0))+360)-$W83),INDEX($W$9:$W$150,MATCH($II83,$M$9:$M$150,0))-$W83),""),"")</f>
        <v>11.135998392160744</v>
      </c>
      <c r="IM83" s="759">
        <v>6.1655437181581197E-3</v>
      </c>
      <c r="IN83" s="5">
        <f t="shared" si="648"/>
        <v>0.28000000000000003</v>
      </c>
      <c r="IO83" s="771">
        <v>140</v>
      </c>
      <c r="IP83" s="9">
        <f t="shared" si="649"/>
        <v>-5.7526173498939279</v>
      </c>
      <c r="IQ83" s="5">
        <f t="shared" si="650"/>
        <v>-3.0512092024469553</v>
      </c>
      <c r="IR83" s="5">
        <f t="shared" si="518"/>
        <v>0.314</v>
      </c>
      <c r="IS83" s="5">
        <f t="shared" si="651"/>
        <v>0.29418402764454982</v>
      </c>
      <c r="IT83" s="727">
        <f t="shared" si="652"/>
        <v>85.70959796589419</v>
      </c>
      <c r="IU83" s="9">
        <f t="shared" si="653"/>
        <v>-5.8055534573008938</v>
      </c>
      <c r="IV83" s="5">
        <f t="shared" si="654"/>
        <v>-3.0282117969544382</v>
      </c>
      <c r="IW83" s="5">
        <f t="shared" si="519"/>
        <v>0.26600000000000001</v>
      </c>
      <c r="IX83" s="5">
        <f t="shared" si="655"/>
        <v>0.23136608047854398</v>
      </c>
      <c r="IY83" s="762">
        <f t="shared" si="656"/>
        <v>76.644739489956791</v>
      </c>
    </row>
    <row r="84" spans="1:259" ht="15" customHeight="1" x14ac:dyDescent="0.25">
      <c r="A84" s="79"/>
      <c r="B84" s="707">
        <v>-2.4316393617450682</v>
      </c>
      <c r="C84" s="708">
        <v>0.98511344246563648</v>
      </c>
      <c r="D84" s="709">
        <v>-0.12780038544596248</v>
      </c>
      <c r="E84" s="710">
        <v>-0.35399880526559008</v>
      </c>
      <c r="F84" s="708">
        <v>-0.89860304854394202</v>
      </c>
      <c r="G84" s="711">
        <v>0.25922462656558853</v>
      </c>
      <c r="H84" s="710">
        <v>0.314</v>
      </c>
      <c r="I84" s="708">
        <v>0.52</v>
      </c>
      <c r="J84" s="570">
        <v>5.1120000000000001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5.1120000000000001</v>
      </c>
      <c r="N84" s="632">
        <f t="shared" si="465"/>
        <v>-2.4316393617450682</v>
      </c>
      <c r="O84" s="629">
        <f t="shared" si="466"/>
        <v>0.98511344246563648</v>
      </c>
      <c r="P84" s="633">
        <f t="shared" si="467"/>
        <v>-0.12780038544596248</v>
      </c>
      <c r="Q84" s="585">
        <f t="shared" si="520"/>
        <v>157.94599018981276</v>
      </c>
      <c r="R84" s="629">
        <f t="shared" si="79"/>
        <v>2.6236079128014649</v>
      </c>
      <c r="S84" s="634">
        <f t="shared" si="80"/>
        <v>-0.12780038544596248</v>
      </c>
      <c r="T84" s="635">
        <f t="shared" si="81"/>
        <v>0.98468902639410105</v>
      </c>
      <c r="U84" s="629">
        <f t="shared" si="82"/>
        <v>2.4318112594141628</v>
      </c>
      <c r="V84" s="636">
        <f t="shared" si="114"/>
        <v>-0.12780038544596248</v>
      </c>
      <c r="W84" s="585">
        <f t="shared" si="645"/>
        <v>67.955990188368943</v>
      </c>
      <c r="X84" s="629">
        <f t="shared" si="83"/>
        <v>2.6236079128014649</v>
      </c>
      <c r="Y84" s="630">
        <f t="shared" si="644"/>
        <v>-0.12780038544596248</v>
      </c>
      <c r="Z84" s="632">
        <f t="shared" si="468"/>
        <v>0.35399880526559008</v>
      </c>
      <c r="AA84" s="629">
        <f t="shared" si="469"/>
        <v>0.89860304854394202</v>
      </c>
      <c r="AB84" s="629">
        <f t="shared" si="470"/>
        <v>-0.25922462656558853</v>
      </c>
      <c r="AC84" s="636">
        <f t="shared" si="84"/>
        <v>1</v>
      </c>
      <c r="AD84" s="637">
        <f t="shared" si="115"/>
        <v>0.35399880526559008</v>
      </c>
      <c r="AE84" s="629">
        <f t="shared" si="85"/>
        <v>0.89860304854394202</v>
      </c>
      <c r="AF84" s="633">
        <f t="shared" si="86"/>
        <v>-0.25922462656558853</v>
      </c>
      <c r="AG84" s="602">
        <f t="shared" si="87"/>
        <v>73.90846501262557</v>
      </c>
      <c r="AH84" s="603">
        <f t="shared" si="88"/>
        <v>69.267904054089527</v>
      </c>
      <c r="AI84" s="585">
        <f t="shared" si="89"/>
        <v>-74.975940788074311</v>
      </c>
      <c r="AJ84" s="586">
        <f t="shared" si="90"/>
        <v>158.49836338937067</v>
      </c>
      <c r="AK84" s="635">
        <f t="shared" si="211"/>
        <v>0.96577217683487415</v>
      </c>
      <c r="AL84" s="629">
        <f t="shared" si="91"/>
        <v>9.3110382643336598E-3</v>
      </c>
      <c r="AM84" s="634">
        <f t="shared" si="92"/>
        <v>-0.25922462656558853</v>
      </c>
      <c r="AN84" s="581">
        <f t="shared" si="93"/>
        <v>2.0571114466743361</v>
      </c>
      <c r="AO84" s="582">
        <f t="shared" si="461"/>
        <v>15.033976383119697</v>
      </c>
      <c r="AP84" s="585">
        <f t="shared" si="95"/>
        <v>0.55237319955790642</v>
      </c>
      <c r="AQ84" s="586">
        <f t="shared" si="471"/>
        <v>0.8688614895861908</v>
      </c>
      <c r="AS84" s="52">
        <f t="shared" si="543"/>
        <v>-292.04400981163104</v>
      </c>
      <c r="AT84" s="72">
        <f t="shared" si="472"/>
        <v>7.5014899144445313E-2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5.1120000000000001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-3.1420292598730875</v>
      </c>
      <c r="C85" s="708">
        <v>1.311634513636015</v>
      </c>
      <c r="D85" s="709">
        <v>-0.11640035106345881</v>
      </c>
      <c r="E85" s="710">
        <v>-0.47530115052954069</v>
      </c>
      <c r="F85" s="708">
        <v>-0.84618620204489103</v>
      </c>
      <c r="G85" s="711">
        <v>0.24095171253622152</v>
      </c>
      <c r="H85" s="710">
        <v>0.314</v>
      </c>
      <c r="I85" s="708">
        <v>0.52</v>
      </c>
      <c r="J85" s="570">
        <v>5.117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5.117</v>
      </c>
      <c r="N85" s="632">
        <f t="shared" si="465"/>
        <v>-3.1420292598730875</v>
      </c>
      <c r="O85" s="629">
        <f t="shared" si="466"/>
        <v>1.311634513636015</v>
      </c>
      <c r="P85" s="633">
        <f t="shared" si="467"/>
        <v>-0.11640035106345881</v>
      </c>
      <c r="Q85" s="585">
        <f t="shared" si="520"/>
        <v>157.34199027701959</v>
      </c>
      <c r="R85" s="629">
        <f t="shared" si="79"/>
        <v>3.4048102689077711</v>
      </c>
      <c r="S85" s="634">
        <f t="shared" si="80"/>
        <v>-0.11640035106345881</v>
      </c>
      <c r="T85" s="635">
        <f t="shared" si="81"/>
        <v>1.3110861061828574</v>
      </c>
      <c r="U85" s="629">
        <f t="shared" si="82"/>
        <v>3.142258135391502</v>
      </c>
      <c r="V85" s="636">
        <f t="shared" si="114"/>
        <v>-0.11640035106345881</v>
      </c>
      <c r="W85" s="585">
        <f t="shared" si="645"/>
        <v>67.351990275575773</v>
      </c>
      <c r="X85" s="629">
        <f t="shared" si="83"/>
        <v>3.4048102689077711</v>
      </c>
      <c r="Y85" s="630">
        <f t="shared" si="644"/>
        <v>-0.11640035106345881</v>
      </c>
      <c r="Z85" s="632">
        <f t="shared" si="468"/>
        <v>0.47530115052954069</v>
      </c>
      <c r="AA85" s="629">
        <f t="shared" si="469"/>
        <v>0.84618620204489103</v>
      </c>
      <c r="AB85" s="629">
        <f t="shared" si="470"/>
        <v>-0.24095171253622152</v>
      </c>
      <c r="AC85" s="636">
        <f t="shared" si="84"/>
        <v>1</v>
      </c>
      <c r="AD85" s="637">
        <f t="shared" si="115"/>
        <v>0.47530115052954069</v>
      </c>
      <c r="AE85" s="629">
        <f t="shared" si="85"/>
        <v>0.84618620204489103</v>
      </c>
      <c r="AF85" s="633">
        <f t="shared" si="86"/>
        <v>-0.24095171253622152</v>
      </c>
      <c r="AG85" s="602">
        <f t="shared" si="87"/>
        <v>74.105684833368642</v>
      </c>
      <c r="AH85" s="603">
        <f t="shared" si="88"/>
        <v>61.621040281836734</v>
      </c>
      <c r="AI85" s="585">
        <f t="shared" si="89"/>
        <v>-76.057281997052044</v>
      </c>
      <c r="AJ85" s="586">
        <f t="shared" si="90"/>
        <v>150.67716224139241</v>
      </c>
      <c r="AK85" s="635">
        <f t="shared" si="211"/>
        <v>0.96397829550257597</v>
      </c>
      <c r="AL85" s="629">
        <f t="shared" si="91"/>
        <v>-0.11264154662383957</v>
      </c>
      <c r="AM85" s="634">
        <f t="shared" si="92"/>
        <v>-0.24095171253622152</v>
      </c>
      <c r="AN85" s="581">
        <f t="shared" si="93"/>
        <v>-25.055429453382406</v>
      </c>
      <c r="AO85" s="582">
        <f t="shared" si="461"/>
        <v>15.425246918179816</v>
      </c>
      <c r="AP85" s="585">
        <f t="shared" si="95"/>
        <v>-6.6648280356271545</v>
      </c>
      <c r="AQ85" s="586">
        <f t="shared" si="471"/>
        <v>0.66953007205766324</v>
      </c>
      <c r="AS85" s="52">
        <f t="shared" si="543"/>
        <v>-292.64800972442424</v>
      </c>
      <c r="AT85" s="72">
        <f t="shared" si="472"/>
        <v>8.6834377910833149E-2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5.117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-3.7936508169937806</v>
      </c>
      <c r="C86" s="708">
        <v>1.6554351785290662</v>
      </c>
      <c r="D86" s="709">
        <v>-0.38310115543308482</v>
      </c>
      <c r="E86" s="710">
        <v>-0.58202926289948886</v>
      </c>
      <c r="F86" s="708">
        <v>-0.79458677330292382</v>
      </c>
      <c r="G86" s="711">
        <v>0.1728403796013126</v>
      </c>
      <c r="H86" s="710">
        <v>0.314</v>
      </c>
      <c r="I86" s="708">
        <v>0.52</v>
      </c>
      <c r="J86" s="570">
        <v>5.1219999999999999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1613</v>
      </c>
      <c r="L86" s="320"/>
      <c r="M86" s="168">
        <f t="shared" si="464"/>
        <v>5.1219999999999999</v>
      </c>
      <c r="N86" s="632">
        <f t="shared" si="465"/>
        <v>-3.7936508169937806</v>
      </c>
      <c r="O86" s="629">
        <f t="shared" si="466"/>
        <v>1.6554351785290662</v>
      </c>
      <c r="P86" s="633">
        <f t="shared" si="467"/>
        <v>-0.38310115543308482</v>
      </c>
      <c r="Q86" s="585">
        <f t="shared" si="520"/>
        <v>156.42499040941797</v>
      </c>
      <c r="R86" s="629">
        <f t="shared" si="79"/>
        <v>4.1391124835632507</v>
      </c>
      <c r="S86" s="634">
        <f t="shared" si="80"/>
        <v>-0.38310115543308482</v>
      </c>
      <c r="T86" s="635">
        <f t="shared" si="81"/>
        <v>1.6547730364400386</v>
      </c>
      <c r="U86" s="629">
        <f t="shared" si="82"/>
        <v>3.7939396871141953</v>
      </c>
      <c r="V86" s="636">
        <f t="shared" si="114"/>
        <v>-0.38310115543308482</v>
      </c>
      <c r="W86" s="585">
        <f t="shared" si="645"/>
        <v>66.434990407974155</v>
      </c>
      <c r="X86" s="629">
        <f t="shared" si="83"/>
        <v>4.1391124835632507</v>
      </c>
      <c r="Y86" s="630">
        <f t="shared" si="644"/>
        <v>-0.38310115543308482</v>
      </c>
      <c r="Z86" s="632">
        <f t="shared" si="468"/>
        <v>0.58202926289948886</v>
      </c>
      <c r="AA86" s="629">
        <f t="shared" si="469"/>
        <v>0.79458677330292382</v>
      </c>
      <c r="AB86" s="629">
        <f t="shared" si="470"/>
        <v>-0.1728403796013126</v>
      </c>
      <c r="AC86" s="636">
        <f t="shared" si="84"/>
        <v>1</v>
      </c>
      <c r="AD86" s="637">
        <f t="shared" si="115"/>
        <v>0.58202926289948886</v>
      </c>
      <c r="AE86" s="629">
        <f t="shared" si="85"/>
        <v>0.79458677330292382</v>
      </c>
      <c r="AF86" s="633">
        <f t="shared" si="86"/>
        <v>-0.1728403796013126</v>
      </c>
      <c r="AG86" s="602">
        <f t="shared" si="87"/>
        <v>77.728057108866977</v>
      </c>
      <c r="AH86" s="603">
        <f t="shared" si="88"/>
        <v>54.406602882660394</v>
      </c>
      <c r="AI86" s="585">
        <f t="shared" si="89"/>
        <v>-80.046994023263593</v>
      </c>
      <c r="AJ86" s="586">
        <f t="shared" si="90"/>
        <v>143.77748400018086</v>
      </c>
      <c r="AK86" s="635">
        <f t="shared" si="211"/>
        <v>0.96105058614540995</v>
      </c>
      <c r="AL86" s="629">
        <f t="shared" si="91"/>
        <v>-0.21565707511889909</v>
      </c>
      <c r="AM86" s="634">
        <f t="shared" si="92"/>
        <v>-0.1728403796013126</v>
      </c>
      <c r="AN86" s="581">
        <f t="shared" si="93"/>
        <v>-51.28924346141379</v>
      </c>
      <c r="AO86" s="582">
        <f t="shared" si="461"/>
        <v>16.043824214188195</v>
      </c>
      <c r="AP86" s="585">
        <f t="shared" si="95"/>
        <v>-12.647506409237097</v>
      </c>
      <c r="AQ86" s="586">
        <f t="shared" si="471"/>
        <v>0.55075971572284366</v>
      </c>
      <c r="AS86" s="52">
        <f t="shared" si="543"/>
        <v>-293.56500959202583</v>
      </c>
      <c r="AT86" s="72">
        <f t="shared" si="472"/>
        <v>-0.17922962099518064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5.1219999999999999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>
        <f t="shared" si="542"/>
        <v>1613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-4.3034841302354145</v>
      </c>
      <c r="C87" s="708">
        <v>1.956405998439283</v>
      </c>
      <c r="D87" s="709">
        <v>-0.86540261005427155</v>
      </c>
      <c r="E87" s="710">
        <v>-0.62828423824109525</v>
      </c>
      <c r="F87" s="708">
        <v>-0.76676948247119525</v>
      </c>
      <c r="G87" s="711">
        <v>0.1316186792543601</v>
      </c>
      <c r="H87" s="710">
        <v>0.314</v>
      </c>
      <c r="I87" s="708">
        <v>0.52</v>
      </c>
      <c r="J87" s="570">
        <v>5.1269999999999998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1613</v>
      </c>
      <c r="L87" s="320"/>
      <c r="M87" s="168">
        <f t="shared" si="464"/>
        <v>5.1269999999999998</v>
      </c>
      <c r="N87" s="632">
        <f t="shared" si="465"/>
        <v>-4.3034841302354145</v>
      </c>
      <c r="O87" s="629">
        <f t="shared" si="466"/>
        <v>1.956405998439283</v>
      </c>
      <c r="P87" s="633">
        <f t="shared" si="467"/>
        <v>-0.86540261005427155</v>
      </c>
      <c r="Q87" s="585">
        <f t="shared" si="520"/>
        <v>155.5529905353192</v>
      </c>
      <c r="R87" s="629">
        <f t="shared" si="79"/>
        <v>4.7273142575798017</v>
      </c>
      <c r="S87" s="634">
        <f t="shared" si="80"/>
        <v>-0.86540261005427155</v>
      </c>
      <c r="T87" s="635">
        <f t="shared" si="81"/>
        <v>1.9556548690799833</v>
      </c>
      <c r="U87" s="629">
        <f t="shared" si="82"/>
        <v>4.3038255219003743</v>
      </c>
      <c r="V87" s="636">
        <f t="shared" si="114"/>
        <v>-0.86540261005427155</v>
      </c>
      <c r="W87" s="585">
        <f t="shared" si="645"/>
        <v>65.562990533875379</v>
      </c>
      <c r="X87" s="629">
        <f t="shared" si="83"/>
        <v>4.7273142575798017</v>
      </c>
      <c r="Y87" s="630">
        <f t="shared" si="644"/>
        <v>-0.86540261005427155</v>
      </c>
      <c r="Z87" s="632">
        <f t="shared" si="468"/>
        <v>0.62828423824109525</v>
      </c>
      <c r="AA87" s="629">
        <f t="shared" si="469"/>
        <v>0.76676948247119525</v>
      </c>
      <c r="AB87" s="629">
        <f t="shared" si="470"/>
        <v>-0.1316186792543601</v>
      </c>
      <c r="AC87" s="636">
        <f t="shared" si="84"/>
        <v>1</v>
      </c>
      <c r="AD87" s="637">
        <f t="shared" si="115"/>
        <v>0.62828423824109525</v>
      </c>
      <c r="AE87" s="629">
        <f t="shared" si="85"/>
        <v>0.76676948247119525</v>
      </c>
      <c r="AF87" s="633">
        <f t="shared" si="86"/>
        <v>-0.1316186792543601</v>
      </c>
      <c r="AG87" s="602">
        <f t="shared" si="87"/>
        <v>80.259901372420373</v>
      </c>
      <c r="AH87" s="603">
        <f t="shared" si="88"/>
        <v>51.076350118867637</v>
      </c>
      <c r="AI87" s="585">
        <f t="shared" si="89"/>
        <v>-82.436860381933187</v>
      </c>
      <c r="AJ87" s="586">
        <f t="shared" si="90"/>
        <v>140.66910764065406</v>
      </c>
      <c r="AK87" s="635">
        <f t="shared" si="211"/>
        <v>0.95804067701265816</v>
      </c>
      <c r="AL87" s="629">
        <f t="shared" si="91"/>
        <v>-0.25462636246167719</v>
      </c>
      <c r="AM87" s="634">
        <f t="shared" si="92"/>
        <v>-0.1316186792543601</v>
      </c>
      <c r="AN87" s="581">
        <f t="shared" si="93"/>
        <v>-62.665146893478138</v>
      </c>
      <c r="AO87" s="582">
        <f t="shared" si="461"/>
        <v>16.656442252030253</v>
      </c>
      <c r="AP87" s="585">
        <f t="shared" si="95"/>
        <v>-14.883882894665142</v>
      </c>
      <c r="AQ87" s="586">
        <f t="shared" si="471"/>
        <v>0.48223424052174935</v>
      </c>
      <c r="AS87" s="52">
        <f t="shared" si="543"/>
        <v>-294.43700946612461</v>
      </c>
      <c r="AT87" s="72">
        <f t="shared" si="472"/>
        <v>-0.66092552014824324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5.1269999999999998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>
        <f t="shared" si="542"/>
        <v>1613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-4.6845766255927588</v>
      </c>
      <c r="C88" s="708">
        <v>2.201100689792268</v>
      </c>
      <c r="D88" s="709">
        <v>-1.4814044679158753</v>
      </c>
      <c r="E88" s="710">
        <v>-0.66933432003080551</v>
      </c>
      <c r="F88" s="708">
        <v>-0.73599937800463788</v>
      </c>
      <c r="G88" s="711">
        <v>0.10147159014071713</v>
      </c>
      <c r="H88" s="710">
        <v>0.314</v>
      </c>
      <c r="I88" s="708">
        <v>0.52</v>
      </c>
      <c r="J88" s="570">
        <v>5.1319999999999997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5.1319999999999997</v>
      </c>
      <c r="N88" s="632">
        <f t="shared" si="465"/>
        <v>-4.6845766255927588</v>
      </c>
      <c r="O88" s="629">
        <f t="shared" si="466"/>
        <v>2.201100689792268</v>
      </c>
      <c r="P88" s="633">
        <f t="shared" si="467"/>
        <v>-1.4814044679158753</v>
      </c>
      <c r="Q88" s="585">
        <f t="shared" si="520"/>
        <v>154.83299063927433</v>
      </c>
      <c r="R88" s="629">
        <f t="shared" si="79"/>
        <v>5.1759156105614821</v>
      </c>
      <c r="S88" s="634">
        <f t="shared" si="80"/>
        <v>-1.4814044679158753</v>
      </c>
      <c r="T88" s="635">
        <f t="shared" si="81"/>
        <v>2.2002830435280094</v>
      </c>
      <c r="U88" s="629">
        <f t="shared" si="82"/>
        <v>4.68496071872723</v>
      </c>
      <c r="V88" s="636">
        <f t="shared" si="114"/>
        <v>-1.4814044679158753</v>
      </c>
      <c r="W88" s="585">
        <f t="shared" si="645"/>
        <v>64.842990637830511</v>
      </c>
      <c r="X88" s="629">
        <f t="shared" si="83"/>
        <v>5.1759156105614821</v>
      </c>
      <c r="Y88" s="630">
        <f t="shared" si="644"/>
        <v>-1.4814044679158753</v>
      </c>
      <c r="Z88" s="632">
        <f t="shared" si="468"/>
        <v>0.66933432003080551</v>
      </c>
      <c r="AA88" s="629">
        <f t="shared" si="469"/>
        <v>0.73599937800463788</v>
      </c>
      <c r="AB88" s="629">
        <f t="shared" si="470"/>
        <v>-0.10147159014071713</v>
      </c>
      <c r="AC88" s="636">
        <f t="shared" si="84"/>
        <v>1</v>
      </c>
      <c r="AD88" s="637">
        <f t="shared" si="115"/>
        <v>0.66933432003080551</v>
      </c>
      <c r="AE88" s="629">
        <f t="shared" si="85"/>
        <v>0.73599937800463788</v>
      </c>
      <c r="AF88" s="633">
        <f t="shared" si="86"/>
        <v>-0.10147159014071713</v>
      </c>
      <c r="AG88" s="602">
        <f t="shared" si="87"/>
        <v>82.150167662764844</v>
      </c>
      <c r="AH88" s="603">
        <f t="shared" si="88"/>
        <v>47.984291925100798</v>
      </c>
      <c r="AI88" s="585">
        <f t="shared" si="89"/>
        <v>-84.176082520548547</v>
      </c>
      <c r="AJ88" s="586">
        <f t="shared" si="90"/>
        <v>137.71591384107569</v>
      </c>
      <c r="AK88" s="635">
        <f t="shared" si="211"/>
        <v>0.95077240172370936</v>
      </c>
      <c r="AL88" s="629">
        <f t="shared" si="91"/>
        <v>-0.29280600491595771</v>
      </c>
      <c r="AM88" s="634">
        <f t="shared" si="92"/>
        <v>-0.10147159014071713</v>
      </c>
      <c r="AN88" s="581">
        <f t="shared" si="93"/>
        <v>-70.886299049666334</v>
      </c>
      <c r="AO88" s="582">
        <f t="shared" si="461"/>
        <v>18.052604231838558</v>
      </c>
      <c r="AP88" s="585">
        <f t="shared" si="95"/>
        <v>-17.117076798198639</v>
      </c>
      <c r="AQ88" s="586">
        <f t="shared" si="471"/>
        <v>0.44044028124751283</v>
      </c>
      <c r="AS88" s="52">
        <f t="shared" si="543"/>
        <v>-295.1570093621695</v>
      </c>
      <c r="AT88" s="72">
        <f t="shared" si="472"/>
        <v>-1.2764273780820381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5.1319999999999997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-4.9568384509287515</v>
      </c>
      <c r="C89" s="708">
        <v>2.3869515509115118</v>
      </c>
      <c r="D89" s="709">
        <v>-2.1711065480573484</v>
      </c>
      <c r="E89" s="710">
        <v>-0.70076480681696063</v>
      </c>
      <c r="F89" s="708">
        <v>-0.71005194653040227</v>
      </c>
      <c r="G89" s="711">
        <v>6.8955918927780635E-2</v>
      </c>
      <c r="H89" s="710">
        <v>0.314</v>
      </c>
      <c r="I89" s="708">
        <v>0.52</v>
      </c>
      <c r="J89" s="570">
        <v>5.1369999999999996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1613</v>
      </c>
      <c r="L89" s="320"/>
      <c r="M89" s="168">
        <f t="shared" si="464"/>
        <v>5.1369999999999996</v>
      </c>
      <c r="N89" s="632">
        <f t="shared" si="465"/>
        <v>-4.9568384509287515</v>
      </c>
      <c r="O89" s="629">
        <f t="shared" si="466"/>
        <v>2.3869515509115118</v>
      </c>
      <c r="P89" s="633">
        <f t="shared" si="467"/>
        <v>-2.1711065480573484</v>
      </c>
      <c r="Q89" s="585">
        <f t="shared" si="520"/>
        <v>154.28699071810695</v>
      </c>
      <c r="R89" s="629">
        <f t="shared" si="79"/>
        <v>5.5016165928756449</v>
      </c>
      <c r="S89" s="634">
        <f t="shared" si="80"/>
        <v>-2.1711065480573484</v>
      </c>
      <c r="T89" s="635">
        <f t="shared" si="81"/>
        <v>2.3860863831708921</v>
      </c>
      <c r="U89" s="629">
        <f t="shared" si="82"/>
        <v>4.9572549770060315</v>
      </c>
      <c r="V89" s="636">
        <f t="shared" si="114"/>
        <v>-2.1711065480573484</v>
      </c>
      <c r="W89" s="585">
        <f t="shared" si="645"/>
        <v>64.296990716663132</v>
      </c>
      <c r="X89" s="629">
        <f t="shared" si="83"/>
        <v>5.5016165928756449</v>
      </c>
      <c r="Y89" s="630">
        <f t="shared" si="644"/>
        <v>-2.1711065480573484</v>
      </c>
      <c r="Z89" s="632">
        <f t="shared" si="468"/>
        <v>0.70076480681696063</v>
      </c>
      <c r="AA89" s="629">
        <f t="shared" si="469"/>
        <v>0.71005194653040227</v>
      </c>
      <c r="AB89" s="629">
        <f t="shared" si="470"/>
        <v>-6.8955918927780635E-2</v>
      </c>
      <c r="AC89" s="636">
        <f t="shared" si="84"/>
        <v>1</v>
      </c>
      <c r="AD89" s="637">
        <f t="shared" si="115"/>
        <v>0.70076480681696063</v>
      </c>
      <c r="AE89" s="629">
        <f t="shared" si="85"/>
        <v>0.71005194653040227</v>
      </c>
      <c r="AF89" s="633">
        <f t="shared" si="86"/>
        <v>-6.8955918927780635E-2</v>
      </c>
      <c r="AG89" s="602">
        <f t="shared" si="87"/>
        <v>84.453176907116301</v>
      </c>
      <c r="AH89" s="603">
        <f t="shared" si="88"/>
        <v>45.511603190231895</v>
      </c>
      <c r="AI89" s="585">
        <f t="shared" si="89"/>
        <v>-86.045979133100147</v>
      </c>
      <c r="AJ89" s="586">
        <f t="shared" si="90"/>
        <v>135.37716182641344</v>
      </c>
      <c r="AK89" s="635">
        <f t="shared" si="211"/>
        <v>0.94377795062972281</v>
      </c>
      <c r="AL89" s="629">
        <f t="shared" si="91"/>
        <v>-0.32330830665169397</v>
      </c>
      <c r="AM89" s="634">
        <f t="shared" si="92"/>
        <v>-6.8955918927780635E-2</v>
      </c>
      <c r="AN89" s="581">
        <f t="shared" si="93"/>
        <v>-77.960225044378191</v>
      </c>
      <c r="AO89" s="582">
        <f t="shared" si="461"/>
        <v>19.303986896405501</v>
      </c>
      <c r="AP89" s="585">
        <f t="shared" si="95"/>
        <v>-18.9098288916935</v>
      </c>
      <c r="AQ89" s="586">
        <f t="shared" si="471"/>
        <v>0.41436673167024035</v>
      </c>
      <c r="AS89" s="52">
        <f t="shared" si="543"/>
        <v>-295.70300928333688</v>
      </c>
      <c r="AT89" s="72">
        <f t="shared" si="472"/>
        <v>-1.9657502916115892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5.1369999999999996</v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>
        <f t="shared" si="542"/>
        <v>1613</v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>
        <v>-5.1377547203103306</v>
      </c>
      <c r="C90" s="708">
        <v>2.5157381011577051</v>
      </c>
      <c r="D90" s="709">
        <v>-2.9019087521567966</v>
      </c>
      <c r="E90" s="710">
        <v>-0.72400411218588401</v>
      </c>
      <c r="F90" s="708">
        <v>-0.68891246845970289</v>
      </c>
      <c r="G90" s="711">
        <v>3.4894932851189546E-2</v>
      </c>
      <c r="H90" s="710">
        <v>0.314</v>
      </c>
      <c r="I90" s="708">
        <v>0.52</v>
      </c>
      <c r="J90" s="570">
        <v>5.1420000000000003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1613</v>
      </c>
      <c r="L90" s="320"/>
      <c r="M90" s="168">
        <f t="shared" si="464"/>
        <v>5.1420000000000003</v>
      </c>
      <c r="N90" s="632">
        <f t="shared" si="465"/>
        <v>-5.1377547203103306</v>
      </c>
      <c r="O90" s="629">
        <f t="shared" si="466"/>
        <v>2.5157381011577051</v>
      </c>
      <c r="P90" s="633">
        <f t="shared" si="467"/>
        <v>-2.9019087521567966</v>
      </c>
      <c r="Q90" s="585">
        <f t="shared" si="520"/>
        <v>153.91099077239463</v>
      </c>
      <c r="R90" s="629">
        <f t="shared" si="79"/>
        <v>5.7206172533816364</v>
      </c>
      <c r="S90" s="634">
        <f t="shared" si="80"/>
        <v>-2.9019087521567966</v>
      </c>
      <c r="T90" s="635">
        <f t="shared" si="81"/>
        <v>2.514841355614561</v>
      </c>
      <c r="U90" s="629">
        <f t="shared" si="82"/>
        <v>5.1381937211220805</v>
      </c>
      <c r="V90" s="636">
        <f t="shared" si="114"/>
        <v>-2.9019087521567966</v>
      </c>
      <c r="W90" s="585">
        <f t="shared" si="645"/>
        <v>63.920990770950809</v>
      </c>
      <c r="X90" s="629">
        <f t="shared" si="83"/>
        <v>5.7206172533816364</v>
      </c>
      <c r="Y90" s="630">
        <f t="shared" si="644"/>
        <v>-2.9019087521567966</v>
      </c>
      <c r="Z90" s="632">
        <f t="shared" si="468"/>
        <v>0.72400411218588401</v>
      </c>
      <c r="AA90" s="629">
        <f t="shared" si="469"/>
        <v>0.68891246845970289</v>
      </c>
      <c r="AB90" s="629">
        <f t="shared" si="470"/>
        <v>-3.4894932851189546E-2</v>
      </c>
      <c r="AC90" s="636">
        <f t="shared" si="84"/>
        <v>1</v>
      </c>
      <c r="AD90" s="637">
        <f t="shared" si="115"/>
        <v>0.72400411218588401</v>
      </c>
      <c r="AE90" s="629">
        <f t="shared" si="85"/>
        <v>0.68891246845970289</v>
      </c>
      <c r="AF90" s="633">
        <f t="shared" si="86"/>
        <v>-3.4894932851189546E-2</v>
      </c>
      <c r="AG90" s="602">
        <f t="shared" si="87"/>
        <v>87.100320812599051</v>
      </c>
      <c r="AH90" s="603">
        <f t="shared" si="88"/>
        <v>43.613935360570537</v>
      </c>
      <c r="AI90" s="585">
        <f t="shared" si="89"/>
        <v>-88.000261648787003</v>
      </c>
      <c r="AJ90" s="586">
        <f t="shared" si="90"/>
        <v>133.57727635615822</v>
      </c>
      <c r="AK90" s="635">
        <f t="shared" si="211"/>
        <v>0.93711356304451043</v>
      </c>
      <c r="AL90" s="629">
        <f t="shared" si="91"/>
        <v>-0.34727584658212807</v>
      </c>
      <c r="AM90" s="634">
        <f t="shared" si="92"/>
        <v>-3.4894932851189546E-2</v>
      </c>
      <c r="AN90" s="581">
        <f t="shared" si="93"/>
        <v>-84.262071366801607</v>
      </c>
      <c r="AO90" s="582">
        <f t="shared" si="461"/>
        <v>20.427666774120926</v>
      </c>
      <c r="AP90" s="585">
        <f t="shared" si="95"/>
        <v>-20.333714416236408</v>
      </c>
      <c r="AQ90" s="586">
        <f t="shared" si="471"/>
        <v>0.39850417713852659</v>
      </c>
      <c r="AS90" s="52">
        <f t="shared" si="543"/>
        <v>-296.07900922904918</v>
      </c>
      <c r="AT90" s="72">
        <f t="shared" si="472"/>
        <v>-2.6962913846376262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5.1420000000000003</v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>
        <f t="shared" si="542"/>
        <v>1613</v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>
        <v>-5.2388116576352246</v>
      </c>
      <c r="C91" s="708">
        <v>2.5896381265724804</v>
      </c>
      <c r="D91" s="709">
        <v>-3.6549110232116462</v>
      </c>
      <c r="E91" s="710">
        <v>-0.79813922810230453</v>
      </c>
      <c r="F91" s="708">
        <v>-0.60071443082534537</v>
      </c>
      <c r="G91" s="711">
        <v>4.5999403935692296E-2</v>
      </c>
      <c r="H91" s="710">
        <v>0.314</v>
      </c>
      <c r="I91" s="708">
        <v>0.52</v>
      </c>
      <c r="J91" s="570">
        <v>5.1470000000000002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1613</v>
      </c>
      <c r="L91" s="320"/>
      <c r="M91" s="168">
        <f t="shared" si="464"/>
        <v>5.1470000000000002</v>
      </c>
      <c r="N91" s="632">
        <f t="shared" si="465"/>
        <v>-5.2388116576352246</v>
      </c>
      <c r="O91" s="629">
        <f t="shared" si="466"/>
        <v>2.5896381265724804</v>
      </c>
      <c r="P91" s="633">
        <f t="shared" si="467"/>
        <v>-3.6549110232116462</v>
      </c>
      <c r="Q91" s="585">
        <f t="shared" si="520"/>
        <v>153.69599080343676</v>
      </c>
      <c r="R91" s="629">
        <f t="shared" si="79"/>
        <v>5.8439176252555578</v>
      </c>
      <c r="S91" s="634">
        <f t="shared" si="80"/>
        <v>-3.6549110232116462</v>
      </c>
      <c r="T91" s="635">
        <f t="shared" si="81"/>
        <v>2.5887237421435296</v>
      </c>
      <c r="U91" s="629">
        <f t="shared" si="82"/>
        <v>5.2392635548934701</v>
      </c>
      <c r="V91" s="636">
        <f t="shared" si="114"/>
        <v>-3.6549110232116462</v>
      </c>
      <c r="W91" s="585">
        <f t="shared" si="645"/>
        <v>63.70599080199294</v>
      </c>
      <c r="X91" s="629">
        <f t="shared" si="83"/>
        <v>5.8439176252555578</v>
      </c>
      <c r="Y91" s="630">
        <f t="shared" si="644"/>
        <v>-3.6549110232116462</v>
      </c>
      <c r="Z91" s="632">
        <f t="shared" si="468"/>
        <v>0.79813922810230453</v>
      </c>
      <c r="AA91" s="629">
        <f t="shared" si="469"/>
        <v>0.60071443082534537</v>
      </c>
      <c r="AB91" s="629">
        <f t="shared" si="470"/>
        <v>-4.5999403935692296E-2</v>
      </c>
      <c r="AC91" s="636">
        <f t="shared" si="84"/>
        <v>1</v>
      </c>
      <c r="AD91" s="637">
        <f t="shared" si="115"/>
        <v>0.79813922810230453</v>
      </c>
      <c r="AE91" s="629">
        <f t="shared" si="85"/>
        <v>0.60071443082534537</v>
      </c>
      <c r="AF91" s="633">
        <f t="shared" si="86"/>
        <v>-4.5999403935692296E-2</v>
      </c>
      <c r="AG91" s="602">
        <f t="shared" si="87"/>
        <v>85.621149985660423</v>
      </c>
      <c r="AH91" s="603">
        <f t="shared" si="88"/>
        <v>37.04722268697585</v>
      </c>
      <c r="AI91" s="585">
        <f t="shared" si="89"/>
        <v>-87.363497954047617</v>
      </c>
      <c r="AJ91" s="586">
        <f t="shared" si="90"/>
        <v>126.96671589983318</v>
      </c>
      <c r="AK91" s="635">
        <f t="shared" si="211"/>
        <v>0.89219627531905521</v>
      </c>
      <c r="AL91" s="629">
        <f t="shared" si="91"/>
        <v>-0.44929930018236824</v>
      </c>
      <c r="AM91" s="634">
        <f t="shared" si="92"/>
        <v>-4.5999403935692296E-2</v>
      </c>
      <c r="AN91" s="581">
        <f t="shared" si="93"/>
        <v>-84.1544072350558</v>
      </c>
      <c r="AO91" s="582">
        <f t="shared" si="461"/>
        <v>26.849459384962525</v>
      </c>
      <c r="AP91" s="585">
        <f t="shared" si="95"/>
        <v>-26.729274903603581</v>
      </c>
      <c r="AQ91" s="586">
        <f t="shared" si="471"/>
        <v>0.39009643055971183</v>
      </c>
      <c r="AS91" s="52">
        <f t="shared" si="543"/>
        <v>-296.29400919800707</v>
      </c>
      <c r="AT91" s="72">
        <f t="shared" si="472"/>
        <v>-3.4491443501584773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5.1470000000000002</v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>
        <f t="shared" si="542"/>
        <v>1613</v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>
        <v>-5.3212334949986779</v>
      </c>
      <c r="C92" s="708">
        <v>2.6509832669776379</v>
      </c>
      <c r="D92" s="709">
        <v>-4.3945132538519731</v>
      </c>
      <c r="E92" s="710">
        <v>-0.91693478206607493</v>
      </c>
      <c r="F92" s="708">
        <v>-0.39903709782104191</v>
      </c>
      <c r="G92" s="711">
        <v>0</v>
      </c>
      <c r="H92" s="710">
        <v>0.26600000000000001</v>
      </c>
      <c r="I92" s="708">
        <v>0.52</v>
      </c>
      <c r="J92" s="570">
        <v>5.1520000000000001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1313</v>
      </c>
      <c r="L92" s="320"/>
      <c r="M92" s="168">
        <f t="shared" si="464"/>
        <v>5.1520000000000001</v>
      </c>
      <c r="N92" s="632">
        <f t="shared" si="465"/>
        <v>-5.3212334949986779</v>
      </c>
      <c r="O92" s="629">
        <f t="shared" si="466"/>
        <v>2.6509832669776379</v>
      </c>
      <c r="P92" s="633">
        <f t="shared" si="467"/>
        <v>-4.3945132538519731</v>
      </c>
      <c r="Q92" s="585">
        <f t="shared" si="520"/>
        <v>153.51799082913681</v>
      </c>
      <c r="R92" s="629">
        <f t="shared" si="79"/>
        <v>5.9450179301740782</v>
      </c>
      <c r="S92" s="634">
        <f t="shared" si="80"/>
        <v>-4.3945132538519731</v>
      </c>
      <c r="T92" s="635">
        <f t="shared" si="81"/>
        <v>2.6500544962921198</v>
      </c>
      <c r="U92" s="629">
        <f t="shared" si="82"/>
        <v>5.32169609774677</v>
      </c>
      <c r="V92" s="636">
        <f t="shared" si="114"/>
        <v>-4.3945132538519731</v>
      </c>
      <c r="W92" s="585">
        <f t="shared" si="645"/>
        <v>63.527990827692989</v>
      </c>
      <c r="X92" s="629">
        <f t="shared" si="83"/>
        <v>5.9450179301740782</v>
      </c>
      <c r="Y92" s="630">
        <f t="shared" si="644"/>
        <v>-4.3945132538519731</v>
      </c>
      <c r="Z92" s="632">
        <f t="shared" si="468"/>
        <v>0.91693478206607493</v>
      </c>
      <c r="AA92" s="629">
        <f t="shared" si="469"/>
        <v>0.39903709782104191</v>
      </c>
      <c r="AB92" s="629">
        <f t="shared" si="470"/>
        <v>0</v>
      </c>
      <c r="AC92" s="636">
        <f t="shared" si="84"/>
        <v>1</v>
      </c>
      <c r="AD92" s="637">
        <f t="shared" si="115"/>
        <v>0.91693478206607493</v>
      </c>
      <c r="AE92" s="629">
        <f t="shared" si="85"/>
        <v>0.39903709782104191</v>
      </c>
      <c r="AF92" s="633">
        <f t="shared" si="86"/>
        <v>0</v>
      </c>
      <c r="AG92" s="602">
        <f t="shared" si="87"/>
        <v>90</v>
      </c>
      <c r="AH92" s="603">
        <f t="shared" si="88"/>
        <v>23.517996604421405</v>
      </c>
      <c r="AI92" s="585">
        <f t="shared" si="89"/>
        <v>-90</v>
      </c>
      <c r="AJ92" s="586">
        <f t="shared" si="90"/>
        <v>113.5179966044214</v>
      </c>
      <c r="AK92" s="635">
        <f t="shared" si="211"/>
        <v>0.76604450791050704</v>
      </c>
      <c r="AL92" s="629">
        <f t="shared" si="91"/>
        <v>-0.64278753247099396</v>
      </c>
      <c r="AM92" s="634">
        <f t="shared" si="92"/>
        <v>0</v>
      </c>
      <c r="AN92" s="581">
        <f t="shared" si="93"/>
        <v>-90</v>
      </c>
      <c r="AO92" s="582">
        <f t="shared" si="461"/>
        <v>39.999994224715394</v>
      </c>
      <c r="AP92" s="585">
        <f t="shared" si="95"/>
        <v>-39.999994224715401</v>
      </c>
      <c r="AQ92" s="586">
        <f t="shared" si="471"/>
        <v>0.38346269443547887</v>
      </c>
      <c r="AS92" s="52">
        <f t="shared" si="543"/>
        <v>-296.47200917230703</v>
      </c>
      <c r="AT92" s="73">
        <f t="shared" si="472"/>
        <v>-4.1886229697055404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5.1520000000000001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2"/>
        <v>1313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-2.5435301982384639</v>
      </c>
      <c r="C93" s="708">
        <v>2.2749779640398562</v>
      </c>
      <c r="D93" s="709">
        <v>-0.11408465756466131</v>
      </c>
      <c r="E93" s="710">
        <v>-0.14541257007538988</v>
      </c>
      <c r="F93" s="708">
        <v>0.13005924557541262</v>
      </c>
      <c r="G93" s="711">
        <v>0.98078528593389103</v>
      </c>
      <c r="H93" s="710">
        <v>0.26250000000000001</v>
      </c>
      <c r="I93" s="708">
        <v>0.40699999999999997</v>
      </c>
      <c r="J93" s="570">
        <v>5.2169999999999996</v>
      </c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Inactive</v>
      </c>
      <c r="L93" s="320"/>
      <c r="M93" s="168">
        <f t="shared" si="464"/>
        <v>5.2169999999999996</v>
      </c>
      <c r="N93" s="632">
        <f t="shared" si="465"/>
        <v>-2.5435301982384639</v>
      </c>
      <c r="O93" s="629">
        <f t="shared" si="466"/>
        <v>2.2749779640398562</v>
      </c>
      <c r="P93" s="633">
        <f t="shared" si="467"/>
        <v>-0.11408465756466131</v>
      </c>
      <c r="Q93" s="585">
        <f t="shared" si="520"/>
        <v>138.18999304222586</v>
      </c>
      <c r="R93" s="629">
        <f t="shared" si="79"/>
        <v>3.4124874514374302</v>
      </c>
      <c r="S93" s="634">
        <f t="shared" si="80"/>
        <v>-0.11408465756466131</v>
      </c>
      <c r="T93" s="635">
        <f t="shared" si="81"/>
        <v>2.2745339996904876</v>
      </c>
      <c r="U93" s="629">
        <f t="shared" si="82"/>
        <v>2.543927217997779</v>
      </c>
      <c r="V93" s="636">
        <f t="shared" si="114"/>
        <v>-0.11408465756466131</v>
      </c>
      <c r="W93" s="585">
        <f t="shared" si="645"/>
        <v>48.199993040782047</v>
      </c>
      <c r="X93" s="629">
        <f t="shared" si="83"/>
        <v>3.4124874514374302</v>
      </c>
      <c r="Y93" s="630">
        <f t="shared" si="644"/>
        <v>-0.11408465756466131</v>
      </c>
      <c r="Z93" s="632">
        <f t="shared" si="468"/>
        <v>0.14541257007538988</v>
      </c>
      <c r="AA93" s="629">
        <f t="shared" si="469"/>
        <v>-0.13005924557541262</v>
      </c>
      <c r="AB93" s="629">
        <f t="shared" si="470"/>
        <v>-0.98078528593389103</v>
      </c>
      <c r="AC93" s="636">
        <f t="shared" si="84"/>
        <v>1</v>
      </c>
      <c r="AD93" s="637">
        <f t="shared" si="115"/>
        <v>0.14541257007538988</v>
      </c>
      <c r="AE93" s="629">
        <f t="shared" si="85"/>
        <v>-0.13005924557541262</v>
      </c>
      <c r="AF93" s="633">
        <f t="shared" si="86"/>
        <v>-0.98078528593389103</v>
      </c>
      <c r="AG93" s="602">
        <f t="shared" si="87"/>
        <v>-7.5537649830769631</v>
      </c>
      <c r="AH93" s="603">
        <f t="shared" si="88"/>
        <v>81.638829067862815</v>
      </c>
      <c r="AI93" s="585">
        <f t="shared" si="89"/>
        <v>-11.249998375708598</v>
      </c>
      <c r="AJ93" s="586">
        <f t="shared" si="90"/>
        <v>48.190059649283114</v>
      </c>
      <c r="AK93" s="635">
        <f t="shared" si="211"/>
        <v>2.2679489669608088E-7</v>
      </c>
      <c r="AL93" s="629">
        <f t="shared" si="91"/>
        <v>-0.19509029421148613</v>
      </c>
      <c r="AM93" s="634">
        <f t="shared" si="92"/>
        <v>-0.98078528593389103</v>
      </c>
      <c r="AN93" s="581">
        <f t="shared" si="93"/>
        <v>-11.249998375701201</v>
      </c>
      <c r="AO93" s="582">
        <f t="shared" si="461"/>
        <v>0</v>
      </c>
      <c r="AP93" s="585">
        <f t="shared" si="95"/>
        <v>-89.999933392942751</v>
      </c>
      <c r="AQ93" s="586">
        <f t="shared" si="471"/>
        <v>0.66802394542377741</v>
      </c>
      <c r="AS93" s="52">
        <f t="shared" si="543"/>
        <v>-311.80000695921797</v>
      </c>
      <c r="AT93" s="73">
        <f t="shared" si="472"/>
        <v>0.10245006948934852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>Nose</v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5.2169999999999996</v>
      </c>
      <c r="IH93" s="731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0.11700000000000001</v>
      </c>
      <c r="II93" s="734" cm="1">
        <f t="array" ref="II93">IFERROR(ROUND(VALUE(IF($IH93&lt;1,$IH93+LARGE((IF($M$9:$M$150="",0,$M$9:$M$150)-MOD(IF($M$9:$M$150="",0,$M$9:$M$150),1)),1),$IH93)),4),"")</f>
        <v>5.117</v>
      </c>
      <c r="IJ93" s="533">
        <f t="shared" si="542"/>
        <v>1613</v>
      </c>
      <c r="IK93" s="533" t="str">
        <f t="shared" si="517"/>
        <v>Inactive</v>
      </c>
      <c r="IL93" s="727">
        <f t="shared" si="647"/>
        <v>19.151997234793726</v>
      </c>
      <c r="IM93" s="759">
        <v>3.4217453387165198E-2</v>
      </c>
      <c r="IN93" s="5">
        <f t="shared" si="648"/>
        <v>0.68</v>
      </c>
      <c r="IO93" s="771">
        <v>340</v>
      </c>
      <c r="IP93" s="9">
        <f t="shared" si="649"/>
        <v>-3.4048102689077711</v>
      </c>
      <c r="IQ93" s="5">
        <f t="shared" si="650"/>
        <v>-0.11640035106345881</v>
      </c>
      <c r="IR93" s="5">
        <f t="shared" si="518"/>
        <v>0.314</v>
      </c>
      <c r="IS93" s="5">
        <f t="shared" si="651"/>
        <v>0.30268918478780887</v>
      </c>
      <c r="IT93" s="727">
        <f t="shared" si="652"/>
        <v>25.055429453382406</v>
      </c>
      <c r="IU93" s="9">
        <f t="shared" si="653"/>
        <v>-3.4124874514374302</v>
      </c>
      <c r="IV93" s="5">
        <f t="shared" si="654"/>
        <v>-0.11408465756466131</v>
      </c>
      <c r="IW93" s="5">
        <f t="shared" si="519"/>
        <v>0.26250000000000001</v>
      </c>
      <c r="IX93" s="5">
        <f t="shared" si="655"/>
        <v>0.26250000000000001</v>
      </c>
      <c r="IY93" s="762">
        <f t="shared" si="656"/>
        <v>11.249998375701201</v>
      </c>
    </row>
    <row r="94" spans="1:259" ht="15" customHeight="1" x14ac:dyDescent="0.25">
      <c r="A94" s="79"/>
      <c r="B94" s="707">
        <v>-3.153677179864999</v>
      </c>
      <c r="C94" s="708">
        <v>2.711059136979078</v>
      </c>
      <c r="D94" s="709">
        <v>-0.3830314787982903</v>
      </c>
      <c r="E94" s="710">
        <v>-0.37915826112241896</v>
      </c>
      <c r="F94" s="708">
        <v>0.32594316613884944</v>
      </c>
      <c r="G94" s="711">
        <v>0.86602544158356343</v>
      </c>
      <c r="H94" s="710">
        <v>0.26250000000000001</v>
      </c>
      <c r="I94" s="708">
        <v>0.40699999999999997</v>
      </c>
      <c r="J94" s="570">
        <v>5.2220000000000004</v>
      </c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Inactive</v>
      </c>
      <c r="L94" s="320"/>
      <c r="M94" s="168">
        <f t="shared" si="464"/>
        <v>5.2220000000000004</v>
      </c>
      <c r="N94" s="632">
        <f t="shared" si="465"/>
        <v>-3.153677179864999</v>
      </c>
      <c r="O94" s="629">
        <f t="shared" si="466"/>
        <v>2.711059136979078</v>
      </c>
      <c r="P94" s="633">
        <f t="shared" si="467"/>
        <v>-0.3830314787982903</v>
      </c>
      <c r="Q94" s="585">
        <f t="shared" si="520"/>
        <v>139.31599287965159</v>
      </c>
      <c r="R94" s="629">
        <f t="shared" si="79"/>
        <v>4.1587884532636421</v>
      </c>
      <c r="S94" s="634">
        <f t="shared" si="80"/>
        <v>-0.3830314787982903</v>
      </c>
      <c r="T94" s="635">
        <f t="shared" si="81"/>
        <v>2.7105086752662273</v>
      </c>
      <c r="U94" s="629">
        <f t="shared" si="82"/>
        <v>3.1541503008426086</v>
      </c>
      <c r="V94" s="636">
        <f t="shared" si="114"/>
        <v>-0.3830314787982903</v>
      </c>
      <c r="W94" s="585">
        <f t="shared" si="645"/>
        <v>49.325992878207771</v>
      </c>
      <c r="X94" s="629">
        <f t="shared" si="83"/>
        <v>4.1587884532636421</v>
      </c>
      <c r="Y94" s="630">
        <f t="shared" si="644"/>
        <v>-0.3830314787982903</v>
      </c>
      <c r="Z94" s="632">
        <f t="shared" si="468"/>
        <v>0.37915826112241896</v>
      </c>
      <c r="AA94" s="629">
        <f t="shared" si="469"/>
        <v>-0.32594316613884944</v>
      </c>
      <c r="AB94" s="629">
        <f t="shared" si="470"/>
        <v>-0.86602544158356343</v>
      </c>
      <c r="AC94" s="636">
        <f t="shared" si="84"/>
        <v>1</v>
      </c>
      <c r="AD94" s="637">
        <f t="shared" si="115"/>
        <v>0.37915826112241896</v>
      </c>
      <c r="AE94" s="629">
        <f t="shared" si="85"/>
        <v>-0.32594316613884944</v>
      </c>
      <c r="AF94" s="633">
        <f t="shared" si="86"/>
        <v>-0.86602544158356343</v>
      </c>
      <c r="AG94" s="602">
        <f t="shared" si="87"/>
        <v>-20.624667969384266</v>
      </c>
      <c r="AH94" s="603">
        <f t="shared" si="88"/>
        <v>67.718446839198748</v>
      </c>
      <c r="AI94" s="585">
        <f t="shared" si="89"/>
        <v>-29.999995668539079</v>
      </c>
      <c r="AJ94" s="586">
        <f t="shared" si="90"/>
        <v>49.316018868435791</v>
      </c>
      <c r="AK94" s="635">
        <f t="shared" si="211"/>
        <v>2.2679489675159203E-7</v>
      </c>
      <c r="AL94" s="629">
        <f t="shared" si="91"/>
        <v>-0.49999993452993829</v>
      </c>
      <c r="AM94" s="634">
        <f t="shared" si="92"/>
        <v>-0.86602544158356343</v>
      </c>
      <c r="AN94" s="581">
        <f t="shared" si="93"/>
        <v>-29.999995668536528</v>
      </c>
      <c r="AO94" s="582">
        <f t="shared" si="461"/>
        <v>0</v>
      </c>
      <c r="AP94" s="585">
        <f t="shared" si="95"/>
        <v>-89.999974011215798</v>
      </c>
      <c r="AQ94" s="586">
        <f t="shared" si="471"/>
        <v>0.54815413268132362</v>
      </c>
      <c r="AS94" s="52">
        <f t="shared" si="543"/>
        <v>-310.67400712179222</v>
      </c>
      <c r="AT94" s="73">
        <f t="shared" si="472"/>
        <v>-0.16727869607582613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>Nose</v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5.2220000000000004</v>
      </c>
      <c r="IH94" s="731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0.122</v>
      </c>
      <c r="II94" s="734" cm="1">
        <f t="array" ref="II94">IFERROR(ROUND(VALUE(IF($IH94&lt;1,$IH94+LARGE((IF($M$9:$M$150="",0,$M$9:$M$150)-MOD(IF($M$9:$M$150="",0,$M$9:$M$150),1)),1),$IH94)),4),"")</f>
        <v>5.1219999999999999</v>
      </c>
      <c r="IJ94" s="533">
        <f t="shared" si="542"/>
        <v>1613</v>
      </c>
      <c r="IK94" s="533" t="str">
        <f t="shared" si="517"/>
        <v>Inactive</v>
      </c>
      <c r="IL94" s="727">
        <f t="shared" si="647"/>
        <v>17.108997529766384</v>
      </c>
      <c r="IM94" s="759">
        <v>2.20325458639525E-2</v>
      </c>
      <c r="IN94" s="5">
        <f t="shared" si="648"/>
        <v>0.7</v>
      </c>
      <c r="IO94" s="771">
        <v>350</v>
      </c>
      <c r="IP94" s="9">
        <f t="shared" si="649"/>
        <v>-4.1391124835632507</v>
      </c>
      <c r="IQ94" s="5">
        <f t="shared" si="650"/>
        <v>-0.38310115543308482</v>
      </c>
      <c r="IR94" s="5">
        <f t="shared" si="518"/>
        <v>0.314</v>
      </c>
      <c r="IS94" s="5">
        <f t="shared" si="651"/>
        <v>0.30176988404965871</v>
      </c>
      <c r="IT94" s="727">
        <f t="shared" si="652"/>
        <v>51.28924346141379</v>
      </c>
      <c r="IU94" s="9">
        <f t="shared" si="653"/>
        <v>-4.1587884532636421</v>
      </c>
      <c r="IV94" s="5">
        <f t="shared" si="654"/>
        <v>-0.3830314787982903</v>
      </c>
      <c r="IW94" s="5">
        <f t="shared" si="519"/>
        <v>0.26250000000000001</v>
      </c>
      <c r="IX94" s="5">
        <f t="shared" si="655"/>
        <v>0.26250000000000001</v>
      </c>
      <c r="IY94" s="762">
        <f t="shared" si="656"/>
        <v>29.999995668536528</v>
      </c>
    </row>
    <row r="95" spans="1:259" ht="15" customHeight="1" x14ac:dyDescent="0.25">
      <c r="A95" s="79"/>
      <c r="B95" s="707">
        <v>-3.7830174621394077</v>
      </c>
      <c r="C95" s="708">
        <v>2.8956853627685715</v>
      </c>
      <c r="D95" s="709">
        <v>-0.82972312614144605</v>
      </c>
      <c r="E95" s="710">
        <v>-0.82485025672429235</v>
      </c>
      <c r="F95" s="708">
        <v>-0.50064432087300359</v>
      </c>
      <c r="G95" s="711">
        <v>0.26263533265628658</v>
      </c>
      <c r="H95" s="710">
        <v>0.26600000000000001</v>
      </c>
      <c r="I95" s="708">
        <v>0.52</v>
      </c>
      <c r="J95" s="570">
        <v>5.2270000000000003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1313</v>
      </c>
      <c r="L95" s="320"/>
      <c r="M95" s="168">
        <f t="shared" si="464"/>
        <v>5.2270000000000003</v>
      </c>
      <c r="N95" s="632">
        <f t="shared" si="465"/>
        <v>-3.7830174621394077</v>
      </c>
      <c r="O95" s="629">
        <f t="shared" si="466"/>
        <v>2.8956853627685715</v>
      </c>
      <c r="P95" s="633">
        <f t="shared" si="467"/>
        <v>-0.82972312614144605</v>
      </c>
      <c r="Q95" s="585">
        <f t="shared" si="520"/>
        <v>142.56799241012095</v>
      </c>
      <c r="R95" s="629">
        <f t="shared" si="79"/>
        <v>4.7640544538243725</v>
      </c>
      <c r="S95" s="634">
        <f t="shared" si="80"/>
        <v>-0.82972312614144605</v>
      </c>
      <c r="T95" s="635">
        <f t="shared" si="81"/>
        <v>2.8950250576597081</v>
      </c>
      <c r="U95" s="629">
        <f t="shared" si="82"/>
        <v>3.7835227968820595</v>
      </c>
      <c r="V95" s="636">
        <f t="shared" si="114"/>
        <v>-0.82972312614144605</v>
      </c>
      <c r="W95" s="585">
        <f t="shared" si="645"/>
        <v>52.577992408677133</v>
      </c>
      <c r="X95" s="629">
        <f t="shared" si="83"/>
        <v>4.7640544538243725</v>
      </c>
      <c r="Y95" s="630">
        <f t="shared" si="644"/>
        <v>-0.82972312614144605</v>
      </c>
      <c r="Z95" s="632">
        <f t="shared" si="468"/>
        <v>0.82485025672429235</v>
      </c>
      <c r="AA95" s="629">
        <f t="shared" si="469"/>
        <v>0.50064432087300359</v>
      </c>
      <c r="AB95" s="629">
        <f t="shared" si="470"/>
        <v>-0.26263533265628658</v>
      </c>
      <c r="AC95" s="636">
        <f t="shared" si="84"/>
        <v>1</v>
      </c>
      <c r="AD95" s="637">
        <f t="shared" si="115"/>
        <v>0.82485025672429235</v>
      </c>
      <c r="AE95" s="629">
        <f t="shared" si="85"/>
        <v>0.50064432087300359</v>
      </c>
      <c r="AF95" s="633">
        <f t="shared" si="86"/>
        <v>-0.26263533265628658</v>
      </c>
      <c r="AG95" s="602">
        <f t="shared" si="87"/>
        <v>62.318736834960433</v>
      </c>
      <c r="AH95" s="603">
        <f t="shared" si="88"/>
        <v>34.426687403312776</v>
      </c>
      <c r="AI95" s="585">
        <f t="shared" si="89"/>
        <v>-74.773508899749089</v>
      </c>
      <c r="AJ95" s="586">
        <f t="shared" si="90"/>
        <v>121.25573125291852</v>
      </c>
      <c r="AK95" s="635">
        <f t="shared" si="211"/>
        <v>0.89890933543342788</v>
      </c>
      <c r="AL95" s="629">
        <f t="shared" si="91"/>
        <v>-0.35069172888899852</v>
      </c>
      <c r="AM95" s="634">
        <f t="shared" si="92"/>
        <v>-0.26263533265628658</v>
      </c>
      <c r="AN95" s="581">
        <f t="shared" si="93"/>
        <v>-53.170219462773389</v>
      </c>
      <c r="AO95" s="582">
        <f t="shared" si="461"/>
        <v>25.984927468818217</v>
      </c>
      <c r="AP95" s="585">
        <f t="shared" si="95"/>
        <v>-21.312261157202425</v>
      </c>
      <c r="AQ95" s="586">
        <f t="shared" si="471"/>
        <v>0.47851544306638866</v>
      </c>
      <c r="AS95" s="52">
        <f t="shared" si="543"/>
        <v>-307.42200759132288</v>
      </c>
      <c r="AT95" s="73">
        <f t="shared" si="472"/>
        <v>-0.61622867642625223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>Taper</v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5.2270000000000003</v>
      </c>
      <c r="IH95" s="731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0.127</v>
      </c>
      <c r="II95" s="734" cm="1">
        <f t="array" ref="II95">IFERROR(ROUND(VALUE(IF($IH95&lt;1,$IH95+LARGE((IF($M$9:$M$150="",0,$M$9:$M$150)-MOD(IF($M$9:$M$150="",0,$M$9:$M$150),1)),1),$IH95)),4),"")</f>
        <v>5.1269999999999998</v>
      </c>
      <c r="IJ95" s="533">
        <f t="shared" si="542"/>
        <v>1613</v>
      </c>
      <c r="IK95" s="533">
        <f t="shared" si="517"/>
        <v>1313</v>
      </c>
      <c r="IL95" s="727">
        <f t="shared" si="647"/>
        <v>12.984998125198246</v>
      </c>
      <c r="IM95" s="759">
        <v>1.11650815318769E-2</v>
      </c>
      <c r="IN95" s="5">
        <f t="shared" si="648"/>
        <v>0.34</v>
      </c>
      <c r="IO95" s="771">
        <v>170</v>
      </c>
      <c r="IP95" s="9">
        <f t="shared" si="649"/>
        <v>-4.7273142575798017</v>
      </c>
      <c r="IQ95" s="5">
        <f t="shared" si="650"/>
        <v>-0.86540261005427155</v>
      </c>
      <c r="IR95" s="5">
        <f t="shared" si="518"/>
        <v>0.314</v>
      </c>
      <c r="IS95" s="5">
        <f t="shared" si="651"/>
        <v>0.30082477258197465</v>
      </c>
      <c r="IT95" s="727">
        <f t="shared" si="652"/>
        <v>62.665146893478138</v>
      </c>
      <c r="IU95" s="9">
        <f t="shared" si="653"/>
        <v>-4.7640544538243725</v>
      </c>
      <c r="IV95" s="5">
        <f t="shared" si="654"/>
        <v>-0.82972312614144605</v>
      </c>
      <c r="IW95" s="5">
        <f t="shared" si="519"/>
        <v>0.26600000000000001</v>
      </c>
      <c r="IX95" s="5">
        <f t="shared" si="655"/>
        <v>0.23910988322529186</v>
      </c>
      <c r="IY95" s="762">
        <f t="shared" si="656"/>
        <v>53.170219462773389</v>
      </c>
    </row>
    <row r="96" spans="1:259" ht="15" customHeight="1" x14ac:dyDescent="0.25">
      <c r="A96" s="79"/>
      <c r="B96" s="707">
        <v>-4.1538476163652014</v>
      </c>
      <c r="C96" s="708">
        <v>3.1584311644913718</v>
      </c>
      <c r="D96" s="709">
        <v>-1.4486275048273114</v>
      </c>
      <c r="E96" s="710">
        <v>-0.85771471370831009</v>
      </c>
      <c r="F96" s="708">
        <v>-0.46461041496855016</v>
      </c>
      <c r="G96" s="711">
        <v>0.22014229986766135</v>
      </c>
      <c r="H96" s="710">
        <v>0.26600000000000001</v>
      </c>
      <c r="I96" s="708">
        <v>0.52</v>
      </c>
      <c r="J96" s="570">
        <v>5.2320000000000002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1313</v>
      </c>
      <c r="L96" s="320"/>
      <c r="M96" s="168">
        <f t="shared" si="464"/>
        <v>5.2320000000000002</v>
      </c>
      <c r="N96" s="632">
        <f t="shared" si="465"/>
        <v>-4.1538476163652014</v>
      </c>
      <c r="O96" s="629">
        <f t="shared" si="466"/>
        <v>3.1584311644913718</v>
      </c>
      <c r="P96" s="633">
        <f t="shared" si="467"/>
        <v>-1.4486275048273114</v>
      </c>
      <c r="Q96" s="585">
        <f t="shared" si="520"/>
        <v>142.75199238355466</v>
      </c>
      <c r="R96" s="629">
        <f t="shared" si="79"/>
        <v>5.2182504195192845</v>
      </c>
      <c r="S96" s="634">
        <f t="shared" si="80"/>
        <v>-1.4486275048273114</v>
      </c>
      <c r="T96" s="635">
        <f t="shared" si="81"/>
        <v>3.157706133318765</v>
      </c>
      <c r="U96" s="629">
        <f t="shared" si="82"/>
        <v>4.154398803246294</v>
      </c>
      <c r="V96" s="636">
        <f t="shared" si="114"/>
        <v>-1.4486275048273114</v>
      </c>
      <c r="W96" s="585">
        <f t="shared" si="645"/>
        <v>52.761992382110847</v>
      </c>
      <c r="X96" s="629">
        <f t="shared" si="83"/>
        <v>5.2182504195192845</v>
      </c>
      <c r="Y96" s="630">
        <f t="shared" si="644"/>
        <v>-1.4486275048273114</v>
      </c>
      <c r="Z96" s="632">
        <f t="shared" si="468"/>
        <v>0.85771471370831009</v>
      </c>
      <c r="AA96" s="629">
        <f t="shared" si="469"/>
        <v>0.46461041496855016</v>
      </c>
      <c r="AB96" s="629">
        <f t="shared" si="470"/>
        <v>-0.22014229986766135</v>
      </c>
      <c r="AC96" s="636">
        <f t="shared" si="84"/>
        <v>1</v>
      </c>
      <c r="AD96" s="637">
        <f t="shared" si="115"/>
        <v>0.85771471370831009</v>
      </c>
      <c r="AE96" s="629">
        <f t="shared" si="85"/>
        <v>0.46461041496855016</v>
      </c>
      <c r="AF96" s="633">
        <f t="shared" si="86"/>
        <v>-0.22014229986766135</v>
      </c>
      <c r="AG96" s="602">
        <f t="shared" si="87"/>
        <v>64.647410278937727</v>
      </c>
      <c r="AH96" s="603">
        <f t="shared" si="88"/>
        <v>30.939048680564454</v>
      </c>
      <c r="AI96" s="585">
        <f t="shared" si="89"/>
        <v>-77.28260891533364</v>
      </c>
      <c r="AJ96" s="586">
        <f t="shared" si="90"/>
        <v>118.44370048694708</v>
      </c>
      <c r="AK96" s="635">
        <f t="shared" si="211"/>
        <v>0.88898641763574648</v>
      </c>
      <c r="AL96" s="629">
        <f t="shared" si="91"/>
        <v>-0.40154765230061901</v>
      </c>
      <c r="AM96" s="634">
        <f t="shared" si="92"/>
        <v>-0.22014229986766135</v>
      </c>
      <c r="AN96" s="581">
        <f t="shared" si="93"/>
        <v>-61.266924299026812</v>
      </c>
      <c r="AO96" s="582">
        <f t="shared" si="461"/>
        <v>27.253844360247822</v>
      </c>
      <c r="AP96" s="585">
        <f t="shared" si="95"/>
        <v>-24.308291896607578</v>
      </c>
      <c r="AQ96" s="586">
        <f t="shared" si="471"/>
        <v>0.43686720061003576</v>
      </c>
      <c r="AS96" s="52">
        <f t="shared" si="543"/>
        <v>-307.23800761788914</v>
      </c>
      <c r="AT96" s="73">
        <f t="shared" si="472"/>
        <v>-1.2352608328714465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>Taper</v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5.2320000000000002</v>
      </c>
      <c r="IH96" s="731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0.13200000000000001</v>
      </c>
      <c r="II96" s="734" cm="1">
        <f t="array" ref="II96">IFERROR(ROUND(VALUE(IF($IH96&lt;1,$IH96+LARGE((IF($M$9:$M$150="",0,$M$9:$M$150)-MOD(IF($M$9:$M$150="",0,$M$9:$M$150),1)),1),$IH96)),4),"")</f>
        <v>5.1319999999999997</v>
      </c>
      <c r="IJ96" s="533">
        <f t="shared" si="542"/>
        <v>1613</v>
      </c>
      <c r="IK96" s="533">
        <f t="shared" si="517"/>
        <v>1313</v>
      </c>
      <c r="IL96" s="727">
        <f t="shared" si="647"/>
        <v>12.080998255719663</v>
      </c>
      <c r="IM96" s="759">
        <v>9.3796157398793895E-3</v>
      </c>
      <c r="IN96" s="5">
        <f t="shared" si="648"/>
        <v>0.32</v>
      </c>
      <c r="IO96" s="771">
        <v>160</v>
      </c>
      <c r="IP96" s="9">
        <f t="shared" si="649"/>
        <v>-5.1759156105614821</v>
      </c>
      <c r="IQ96" s="5">
        <f t="shared" si="650"/>
        <v>-1.4814044679158753</v>
      </c>
      <c r="IR96" s="5">
        <f t="shared" si="518"/>
        <v>0.314</v>
      </c>
      <c r="IS96" s="5">
        <f t="shared" si="651"/>
        <v>0.29854253414124476</v>
      </c>
      <c r="IT96" s="727">
        <f t="shared" si="652"/>
        <v>70.886299049666334</v>
      </c>
      <c r="IU96" s="9">
        <f t="shared" si="653"/>
        <v>-5.2182504195192845</v>
      </c>
      <c r="IV96" s="5">
        <f t="shared" si="654"/>
        <v>-1.4486275048273114</v>
      </c>
      <c r="IW96" s="5">
        <f t="shared" si="519"/>
        <v>0.26600000000000001</v>
      </c>
      <c r="IX96" s="5">
        <f t="shared" si="655"/>
        <v>0.2364703870911086</v>
      </c>
      <c r="IY96" s="762">
        <f t="shared" si="656"/>
        <v>61.266924299026812</v>
      </c>
    </row>
    <row r="97" spans="1:259" ht="15" customHeight="1" x14ac:dyDescent="0.25">
      <c r="A97" s="79"/>
      <c r="B97" s="707">
        <v>-4.4180427838558831</v>
      </c>
      <c r="C97" s="708">
        <v>3.3576119915960114</v>
      </c>
      <c r="D97" s="709">
        <v>-2.1422540526433185</v>
      </c>
      <c r="E97" s="710">
        <v>-0.8849461147481108</v>
      </c>
      <c r="F97" s="708">
        <v>-0.43191625932123157</v>
      </c>
      <c r="G97" s="711">
        <v>0.17412271226401888</v>
      </c>
      <c r="H97" s="710">
        <v>0.26600000000000001</v>
      </c>
      <c r="I97" s="708">
        <v>0.52</v>
      </c>
      <c r="J97" s="570">
        <v>5.2370000000000001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1313</v>
      </c>
      <c r="L97" s="320"/>
      <c r="M97" s="168">
        <f t="shared" si="464"/>
        <v>5.2370000000000001</v>
      </c>
      <c r="N97" s="632">
        <f t="shared" si="465"/>
        <v>-4.4180427838558831</v>
      </c>
      <c r="O97" s="629">
        <f t="shared" si="466"/>
        <v>3.3576119915960114</v>
      </c>
      <c r="P97" s="633">
        <f t="shared" si="467"/>
        <v>-2.1422540526433185</v>
      </c>
      <c r="Q97" s="585">
        <f t="shared" si="520"/>
        <v>142.76599238153329</v>
      </c>
      <c r="R97" s="629">
        <f t="shared" si="79"/>
        <v>5.549113472086364</v>
      </c>
      <c r="S97" s="634">
        <f t="shared" si="80"/>
        <v>-2.1422540526433185</v>
      </c>
      <c r="T97" s="635">
        <f t="shared" si="81"/>
        <v>3.3568408466411963</v>
      </c>
      <c r="U97" s="629">
        <f t="shared" si="82"/>
        <v>4.4186287303202558</v>
      </c>
      <c r="V97" s="636">
        <f t="shared" si="114"/>
        <v>-2.1422540526433185</v>
      </c>
      <c r="W97" s="585">
        <f t="shared" si="645"/>
        <v>52.775992380089477</v>
      </c>
      <c r="X97" s="629">
        <f t="shared" si="83"/>
        <v>5.549113472086364</v>
      </c>
      <c r="Y97" s="630">
        <f t="shared" si="644"/>
        <v>-2.1422540526433185</v>
      </c>
      <c r="Z97" s="632">
        <f t="shared" si="468"/>
        <v>0.8849461147481108</v>
      </c>
      <c r="AA97" s="629">
        <f t="shared" si="469"/>
        <v>0.43191625932123157</v>
      </c>
      <c r="AB97" s="629">
        <f t="shared" si="470"/>
        <v>-0.17412271226401888</v>
      </c>
      <c r="AC97" s="636">
        <f t="shared" si="84"/>
        <v>1</v>
      </c>
      <c r="AD97" s="637">
        <f t="shared" si="115"/>
        <v>0.8849461147481108</v>
      </c>
      <c r="AE97" s="629">
        <f t="shared" si="85"/>
        <v>0.43191625932123157</v>
      </c>
      <c r="AF97" s="633">
        <f t="shared" si="86"/>
        <v>-0.17412271226401888</v>
      </c>
      <c r="AG97" s="602">
        <f t="shared" si="87"/>
        <v>68.043665862764399</v>
      </c>
      <c r="AH97" s="603">
        <f t="shared" si="88"/>
        <v>27.755109107697756</v>
      </c>
      <c r="AI97" s="585">
        <f t="shared" si="89"/>
        <v>-79.972390564808265</v>
      </c>
      <c r="AJ97" s="586">
        <f t="shared" si="90"/>
        <v>116.01564695945001</v>
      </c>
      <c r="AK97" s="635">
        <f t="shared" si="211"/>
        <v>0.87933509092293582</v>
      </c>
      <c r="AL97" s="629">
        <f t="shared" si="91"/>
        <v>-0.44322802139008999</v>
      </c>
      <c r="AM97" s="634">
        <f t="shared" si="92"/>
        <v>-0.17412271226401888</v>
      </c>
      <c r="AN97" s="581">
        <f t="shared" si="93"/>
        <v>-68.552552804365988</v>
      </c>
      <c r="AO97" s="582">
        <f t="shared" si="461"/>
        <v>28.437740425123721</v>
      </c>
      <c r="AP97" s="585">
        <f t="shared" si="95"/>
        <v>-26.750345422083285</v>
      </c>
      <c r="AQ97" s="586">
        <f t="shared" si="471"/>
        <v>0.41082013828317759</v>
      </c>
      <c r="AS97" s="52">
        <f t="shared" si="543"/>
        <v>-307.22400761991054</v>
      </c>
      <c r="AT97" s="73">
        <f t="shared" si="472"/>
        <v>-1.9288971029082722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>Taper</v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5.2370000000000001</v>
      </c>
      <c r="IH97" s="731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0.13700000000000001</v>
      </c>
      <c r="II97" s="734" cm="1">
        <f t="array" ref="II97">IFERROR(ROUND(VALUE(IF($IH97&lt;1,$IH97+LARGE((IF($M$9:$M$150="",0,$M$9:$M$150)-MOD(IF($M$9:$M$150="",0,$M$9:$M$150),1)),1),$IH97)),4),"")</f>
        <v>5.1369999999999996</v>
      </c>
      <c r="IJ97" s="533">
        <f t="shared" si="542"/>
        <v>1613</v>
      </c>
      <c r="IK97" s="533">
        <f t="shared" si="517"/>
        <v>1313</v>
      </c>
      <c r="IL97" s="727">
        <f t="shared" si="647"/>
        <v>11.520998336573655</v>
      </c>
      <c r="IM97" s="759">
        <v>7.8385960038058096E-3</v>
      </c>
      <c r="IN97" s="5">
        <f t="shared" si="648"/>
        <v>0.3</v>
      </c>
      <c r="IO97" s="771">
        <v>150</v>
      </c>
      <c r="IP97" s="9">
        <f t="shared" si="649"/>
        <v>-5.5016165928756449</v>
      </c>
      <c r="IQ97" s="5">
        <f t="shared" si="650"/>
        <v>-2.1711065480573484</v>
      </c>
      <c r="IR97" s="5">
        <f t="shared" si="518"/>
        <v>0.314</v>
      </c>
      <c r="IS97" s="5">
        <f t="shared" si="651"/>
        <v>0.29634627649773299</v>
      </c>
      <c r="IT97" s="727">
        <f t="shared" si="652"/>
        <v>77.960225044378191</v>
      </c>
      <c r="IU97" s="9">
        <f t="shared" si="653"/>
        <v>-5.549113472086364</v>
      </c>
      <c r="IV97" s="5">
        <f t="shared" si="654"/>
        <v>-2.1422540526433185</v>
      </c>
      <c r="IW97" s="5">
        <f t="shared" si="519"/>
        <v>0.26600000000000001</v>
      </c>
      <c r="IX97" s="5">
        <f t="shared" si="655"/>
        <v>0.23390313418550096</v>
      </c>
      <c r="IY97" s="762">
        <f t="shared" si="656"/>
        <v>68.552552804365988</v>
      </c>
    </row>
    <row r="98" spans="1:259" ht="15" customHeight="1" x14ac:dyDescent="0.25">
      <c r="A98" s="79"/>
      <c r="B98" s="707">
        <v>-4.5937933184297206</v>
      </c>
      <c r="C98" s="708">
        <v>3.4959872215268195</v>
      </c>
      <c r="D98" s="709">
        <v>-2.8778171912336297</v>
      </c>
      <c r="E98" s="710">
        <v>-0.90628504755531003</v>
      </c>
      <c r="F98" s="708">
        <v>-0.40358074190429366</v>
      </c>
      <c r="G98" s="711">
        <v>0.12557865002320046</v>
      </c>
      <c r="H98" s="710">
        <v>0.26600000000000001</v>
      </c>
      <c r="I98" s="708">
        <v>0.52</v>
      </c>
      <c r="J98" s="570">
        <v>5.242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1313</v>
      </c>
      <c r="L98" s="320"/>
      <c r="M98" s="168">
        <f t="shared" si="464"/>
        <v>5.242</v>
      </c>
      <c r="N98" s="632">
        <f t="shared" si="465"/>
        <v>-4.5937933184297206</v>
      </c>
      <c r="O98" s="629">
        <f t="shared" si="466"/>
        <v>3.4959872215268195</v>
      </c>
      <c r="P98" s="633">
        <f t="shared" si="467"/>
        <v>-2.8778171912336297</v>
      </c>
      <c r="Q98" s="585">
        <f t="shared" si="520"/>
        <v>142.72799238701981</v>
      </c>
      <c r="R98" s="629">
        <f t="shared" si="79"/>
        <v>5.7727691540133801</v>
      </c>
      <c r="S98" s="634">
        <f t="shared" si="80"/>
        <v>-2.8778171912336297</v>
      </c>
      <c r="T98" s="635">
        <f t="shared" si="81"/>
        <v>3.4951854002141092</v>
      </c>
      <c r="U98" s="629">
        <f t="shared" si="82"/>
        <v>4.5944034132473055</v>
      </c>
      <c r="V98" s="636">
        <f t="shared" si="114"/>
        <v>-2.8778171912336297</v>
      </c>
      <c r="W98" s="585">
        <f t="shared" si="645"/>
        <v>52.737992385575993</v>
      </c>
      <c r="X98" s="629">
        <f t="shared" si="83"/>
        <v>5.7727691540133801</v>
      </c>
      <c r="Y98" s="630">
        <f t="shared" si="644"/>
        <v>-2.8778171912336297</v>
      </c>
      <c r="Z98" s="632">
        <f t="shared" si="468"/>
        <v>0.90628504755531003</v>
      </c>
      <c r="AA98" s="629">
        <f t="shared" si="469"/>
        <v>0.40358074190429366</v>
      </c>
      <c r="AB98" s="629">
        <f t="shared" si="470"/>
        <v>-0.12557865002320046</v>
      </c>
      <c r="AC98" s="636">
        <f t="shared" si="84"/>
        <v>1</v>
      </c>
      <c r="AD98" s="637">
        <f t="shared" si="115"/>
        <v>0.90628504755531003</v>
      </c>
      <c r="AE98" s="629">
        <f t="shared" si="85"/>
        <v>0.40358074190429366</v>
      </c>
      <c r="AF98" s="633">
        <f t="shared" si="86"/>
        <v>-0.12557865002320046</v>
      </c>
      <c r="AG98" s="602">
        <f t="shared" si="87"/>
        <v>72.715887366407983</v>
      </c>
      <c r="AH98" s="603">
        <f t="shared" si="88"/>
        <v>25.003082690144613</v>
      </c>
      <c r="AI98" s="585">
        <f t="shared" si="89"/>
        <v>-82.78582669205916</v>
      </c>
      <c r="AJ98" s="586">
        <f t="shared" si="90"/>
        <v>114.00404361160923</v>
      </c>
      <c r="AK98" s="635">
        <f t="shared" si="211"/>
        <v>0.87000316952383083</v>
      </c>
      <c r="AL98" s="629">
        <f t="shared" si="91"/>
        <v>-0.47678557830206991</v>
      </c>
      <c r="AM98" s="634">
        <f t="shared" si="92"/>
        <v>-0.12557865002320046</v>
      </c>
      <c r="AN98" s="581">
        <f t="shared" si="93"/>
        <v>-75.244214433802497</v>
      </c>
      <c r="AO98" s="582">
        <f t="shared" si="461"/>
        <v>29.54099217901005</v>
      </c>
      <c r="AP98" s="585">
        <f t="shared" si="95"/>
        <v>-28.723948775410577</v>
      </c>
      <c r="AQ98" s="586">
        <f t="shared" si="471"/>
        <v>0.39490415633198578</v>
      </c>
      <c r="AS98" s="52">
        <f t="shared" si="543"/>
        <v>-307.26200761442402</v>
      </c>
      <c r="AT98" s="73">
        <f t="shared" si="472"/>
        <v>-2.6644338526135045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>Taper</v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5.242</v>
      </c>
      <c r="IH98" s="731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0.14199999999999999</v>
      </c>
      <c r="II98" s="734" cm="1">
        <f t="array" ref="II98">IFERROR(ROUND(VALUE(IF($IH98&lt;1,$IH98+LARGE((IF($M$9:$M$150="",0,$M$9:$M$150)-MOD(IF($M$9:$M$150="",0,$M$9:$M$150),1)),1),$IH98)),4),"")</f>
        <v>5.1420000000000003</v>
      </c>
      <c r="IJ98" s="533">
        <f t="shared" si="542"/>
        <v>1613</v>
      </c>
      <c r="IK98" s="533">
        <f t="shared" si="517"/>
        <v>1313</v>
      </c>
      <c r="IL98" s="727">
        <f t="shared" si="647"/>
        <v>11.182998385374816</v>
      </c>
      <c r="IM98" s="759">
        <v>6.4297862576042902E-3</v>
      </c>
      <c r="IN98" s="5">
        <f t="shared" si="648"/>
        <v>0.28000000000000003</v>
      </c>
      <c r="IO98" s="771">
        <v>140</v>
      </c>
      <c r="IP98" s="9">
        <f t="shared" si="649"/>
        <v>-5.7206172533816364</v>
      </c>
      <c r="IQ98" s="5">
        <f t="shared" si="650"/>
        <v>-2.9019087521567966</v>
      </c>
      <c r="IR98" s="5">
        <f t="shared" si="518"/>
        <v>0.314</v>
      </c>
      <c r="IS98" s="5">
        <f t="shared" si="651"/>
        <v>0.29425365879597626</v>
      </c>
      <c r="IT98" s="727">
        <f t="shared" si="652"/>
        <v>84.262071366801607</v>
      </c>
      <c r="IU98" s="9">
        <f t="shared" si="653"/>
        <v>-5.7727691540133801</v>
      </c>
      <c r="IV98" s="5">
        <f t="shared" si="654"/>
        <v>-2.8778171912336297</v>
      </c>
      <c r="IW98" s="5">
        <f t="shared" si="519"/>
        <v>0.26600000000000001</v>
      </c>
      <c r="IX98" s="5">
        <f t="shared" si="655"/>
        <v>0.23142084309333902</v>
      </c>
      <c r="IY98" s="762">
        <f t="shared" si="656"/>
        <v>75.244214433802497</v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0.86602544158358563</v>
      </c>
      <c r="F154" s="170">
        <f t="shared" si="929"/>
        <v>0.12940948735077984</v>
      </c>
      <c r="G154" s="170">
        <f t="shared" si="929"/>
        <v>-0.48296285479689216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6.6987279208207212E-2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6.6987279208207198E-2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0.96590360933816044</v>
      </c>
      <c r="F157" s="170">
        <f t="shared" si="929"/>
        <v>3.2802578933048124E-2</v>
      </c>
      <c r="G157" s="170">
        <f t="shared" si="929"/>
        <v>-0.25681551410079467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0.96365513229557709</v>
      </c>
      <c r="F158" s="170">
        <f t="shared" si="929"/>
        <v>-9.6711369362793759E-2</v>
      </c>
      <c r="G158" s="170">
        <f t="shared" si="929"/>
        <v>-0.24902951037250057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0.95661035549279361</v>
      </c>
      <c r="F159" s="170">
        <f t="shared" si="929"/>
        <v>-0.22118464794412498</v>
      </c>
      <c r="G159" s="170">
        <f t="shared" si="929"/>
        <v>-0.18966807659114562</v>
      </c>
      <c r="H159" s="139"/>
      <c r="I159" s="86"/>
      <c r="J159" s="79">
        <f t="shared" si="930"/>
        <v>1.121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0.94798803929412845</v>
      </c>
      <c r="F160" s="170">
        <f t="shared" si="929"/>
        <v>-0.28585937546797002</v>
      </c>
      <c r="G160" s="170">
        <f t="shared" si="929"/>
        <v>-0.14001105246492634</v>
      </c>
      <c r="H160" s="139"/>
      <c r="I160" s="86"/>
      <c r="J160" s="79">
        <f t="shared" si="930"/>
        <v>1.1259999999999999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0.93985598630509226</v>
      </c>
      <c r="F161" s="170">
        <f t="shared" si="929"/>
        <v>-0.32729896885868681</v>
      </c>
      <c r="G161" s="170">
        <f t="shared" si="929"/>
        <v>-9.7704196381336234E-2</v>
      </c>
      <c r="H161" s="139"/>
      <c r="I161" s="86"/>
      <c r="J161" s="79">
        <f t="shared" si="930"/>
        <v>1.131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0.92772150767768935</v>
      </c>
      <c r="F162" s="170">
        <f t="shared" si="929"/>
        <v>-0.36727038013309532</v>
      </c>
      <c r="G162" s="170">
        <f t="shared" si="929"/>
        <v>-6.667287356284067E-2</v>
      </c>
      <c r="H162" s="139"/>
      <c r="I162" s="86"/>
      <c r="J162" s="79">
        <f t="shared" si="930"/>
        <v>1.1359999999999999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0.91077694680279009</v>
      </c>
      <c r="F163" s="170">
        <f t="shared" si="929"/>
        <v>-0.41057639958786424</v>
      </c>
      <c r="G163" s="170">
        <f t="shared" si="929"/>
        <v>-4.3730690299310815E-2</v>
      </c>
      <c r="H163" s="139"/>
      <c r="I163" s="86"/>
      <c r="J163" s="79">
        <f t="shared" si="930"/>
        <v>1.141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0.89435240980002184</v>
      </c>
      <c r="F164" s="170">
        <f t="shared" si="929"/>
        <v>-0.44704887145056121</v>
      </c>
      <c r="G164" s="170">
        <f t="shared" si="929"/>
        <v>-1.6765250361194223E-2</v>
      </c>
      <c r="H164" s="139"/>
      <c r="I164" s="86"/>
      <c r="J164" s="79">
        <f t="shared" si="930"/>
        <v>1.1459999999999999</v>
      </c>
    </row>
    <row r="165" spans="5:16" x14ac:dyDescent="0.25">
      <c r="E165" s="170">
        <f t="shared" si="929"/>
        <v>0.71347068963389515</v>
      </c>
      <c r="F165" s="170">
        <f t="shared" si="929"/>
        <v>-0.70068507550349191</v>
      </c>
      <c r="G165" s="170">
        <f t="shared" si="929"/>
        <v>0</v>
      </c>
      <c r="H165" s="139"/>
      <c r="I165" s="86"/>
      <c r="J165" s="79">
        <f t="shared" si="930"/>
        <v>1.151</v>
      </c>
    </row>
    <row r="166" spans="5:16" x14ac:dyDescent="0.25">
      <c r="E166" s="170">
        <f t="shared" si="929"/>
        <v>6.2998654794308787E-2</v>
      </c>
      <c r="F166" s="170">
        <f t="shared" si="929"/>
        <v>0.1431883526626159</v>
      </c>
      <c r="G166" s="170">
        <f t="shared" si="929"/>
        <v>-0.98768834414296591</v>
      </c>
      <c r="H166" s="139"/>
      <c r="I166" s="86"/>
      <c r="J166" s="79">
        <f t="shared" si="930"/>
        <v>1.2110000000000001</v>
      </c>
    </row>
    <row r="167" spans="5:16" x14ac:dyDescent="0.25">
      <c r="E167" s="170">
        <f t="shared" si="929"/>
        <v>-4.5102301892247898E-2</v>
      </c>
      <c r="F167" s="170">
        <f t="shared" si="929"/>
        <v>-0.12248618015093532</v>
      </c>
      <c r="G167" s="170">
        <f t="shared" si="929"/>
        <v>-0.99144486384067432</v>
      </c>
      <c r="H167" s="139"/>
      <c r="I167" s="86"/>
      <c r="J167" s="79">
        <f t="shared" si="930"/>
        <v>1.216</v>
      </c>
    </row>
    <row r="168" spans="5:16" x14ac:dyDescent="0.25">
      <c r="E168" s="170">
        <f t="shared" si="929"/>
        <v>-0.1426511339631519</v>
      </c>
      <c r="F168" s="170">
        <f t="shared" si="929"/>
        <v>-0.41865246565088821</v>
      </c>
      <c r="G168" s="170">
        <f t="shared" si="929"/>
        <v>-0.89687277078940186</v>
      </c>
      <c r="H168" s="139"/>
      <c r="I168" s="86"/>
      <c r="J168" s="79">
        <f t="shared" si="930"/>
        <v>1.2210000000000001</v>
      </c>
    </row>
    <row r="169" spans="5:16" x14ac:dyDescent="0.25">
      <c r="E169" s="170">
        <f t="shared" si="929"/>
        <v>0.77549572812813583</v>
      </c>
      <c r="F169" s="170">
        <f t="shared" si="929"/>
        <v>-0.56919492021238227</v>
      </c>
      <c r="G169" s="170">
        <f t="shared" si="929"/>
        <v>-0.27317305588112506</v>
      </c>
      <c r="H169" s="139"/>
      <c r="I169" s="86"/>
      <c r="J169" s="79">
        <f t="shared" si="930"/>
        <v>1.226</v>
      </c>
    </row>
    <row r="170" spans="5:16" x14ac:dyDescent="0.25">
      <c r="E170" s="170">
        <f t="shared" si="929"/>
        <v>0.76414459063069418</v>
      </c>
      <c r="F170" s="170">
        <f t="shared" si="929"/>
        <v>-0.60652322433612649</v>
      </c>
      <c r="G170" s="170">
        <f t="shared" si="929"/>
        <v>-0.21957373010166215</v>
      </c>
      <c r="H170" s="139"/>
      <c r="I170" s="86"/>
      <c r="J170" s="79">
        <f t="shared" si="930"/>
        <v>1.2310000000000001</v>
      </c>
    </row>
    <row r="171" spans="5:16" x14ac:dyDescent="0.25">
      <c r="E171" s="170">
        <f t="shared" si="929"/>
        <v>0.74416283060539801</v>
      </c>
      <c r="F171" s="170">
        <f t="shared" si="929"/>
        <v>-0.64460899431378993</v>
      </c>
      <c r="G171" s="170">
        <f t="shared" si="929"/>
        <v>-0.17521679712609245</v>
      </c>
      <c r="H171" s="139"/>
      <c r="I171" s="86"/>
      <c r="J171" s="79">
        <f t="shared" si="930"/>
        <v>1.236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0.71497314446676929</v>
      </c>
      <c r="F172" s="170">
        <f t="shared" si="929"/>
        <v>-0.68554927740444382</v>
      </c>
      <c r="G172" s="170">
        <f t="shared" si="929"/>
        <v>-0.13724281744974934</v>
      </c>
      <c r="H172" s="139"/>
      <c r="I172" s="86"/>
      <c r="J172" s="79">
        <f t="shared" si="930"/>
        <v>1.2410000000000001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0.60401183141679837</v>
      </c>
      <c r="F173" s="170">
        <f t="shared" si="929"/>
        <v>-0.78912037607310881</v>
      </c>
      <c r="G173" s="170">
        <f t="shared" si="929"/>
        <v>0.11161872412261613</v>
      </c>
      <c r="H173" s="139"/>
      <c r="I173" s="86"/>
      <c r="J173" s="79">
        <f t="shared" si="930"/>
        <v>1.5009999999999999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0.15385467056479674</v>
      </c>
      <c r="F174" s="170">
        <f t="shared" si="933"/>
        <v>-0.93122876632763962</v>
      </c>
      <c r="G174" s="170">
        <f t="shared" si="933"/>
        <v>-0.33036604714967338</v>
      </c>
      <c r="H174" s="139"/>
      <c r="I174" s="86"/>
      <c r="J174" s="79">
        <f t="shared" si="930"/>
        <v>2.1030000000000002</v>
      </c>
    </row>
    <row r="175" spans="5:16" x14ac:dyDescent="0.25">
      <c r="E175" s="170">
        <f t="shared" si="933"/>
        <v>0.13420301969909801</v>
      </c>
      <c r="F175" s="170">
        <f t="shared" si="933"/>
        <v>-0.95890018556216505</v>
      </c>
      <c r="G175" s="170">
        <f t="shared" si="933"/>
        <v>-0.24999996726497564</v>
      </c>
      <c r="H175" s="139"/>
      <c r="I175" s="86"/>
      <c r="J175" s="79">
        <f t="shared" si="930"/>
        <v>2.1059999999999999</v>
      </c>
    </row>
    <row r="176" spans="5:16" x14ac:dyDescent="0.25">
      <c r="E176" s="170">
        <f t="shared" si="933"/>
        <v>0.12105932545302002</v>
      </c>
      <c r="F176" s="170">
        <f t="shared" si="933"/>
        <v>-0.95981927307832449</v>
      </c>
      <c r="G176" s="170">
        <f t="shared" si="933"/>
        <v>-0.25316319390515024</v>
      </c>
      <c r="H176" s="139"/>
      <c r="I176" s="86"/>
      <c r="J176" s="79">
        <f t="shared" si="930"/>
        <v>2.11</v>
      </c>
    </row>
    <row r="177" spans="5:10" x14ac:dyDescent="0.25">
      <c r="E177" s="170">
        <f t="shared" si="933"/>
        <v>-1.6280976003597777E-3</v>
      </c>
      <c r="F177" s="170">
        <f t="shared" si="933"/>
        <v>-0.96695003832543625</v>
      </c>
      <c r="G177" s="170">
        <f t="shared" si="933"/>
        <v>-0.2549607277222144</v>
      </c>
      <c r="H177" s="139"/>
      <c r="I177" s="86"/>
      <c r="J177" s="79">
        <f t="shared" si="930"/>
        <v>2.1150000000000002</v>
      </c>
    </row>
    <row r="178" spans="5:10" x14ac:dyDescent="0.25">
      <c r="E178" s="170">
        <f t="shared" si="933"/>
        <v>-0.13145650909774415</v>
      </c>
      <c r="F178" s="170">
        <f t="shared" si="933"/>
        <v>-0.96988310480594808</v>
      </c>
      <c r="G178" s="170">
        <f t="shared" si="933"/>
        <v>-0.2050510893114427</v>
      </c>
      <c r="H178" s="139"/>
      <c r="I178" s="86"/>
      <c r="J178" s="79">
        <f t="shared" si="930"/>
        <v>2.12</v>
      </c>
    </row>
    <row r="179" spans="5:10" x14ac:dyDescent="0.25">
      <c r="E179" s="170">
        <f t="shared" si="933"/>
        <v>-0.20887934721337256</v>
      </c>
      <c r="F179" s="170">
        <f t="shared" si="933"/>
        <v>-0.96662265711591855</v>
      </c>
      <c r="G179" s="170">
        <f t="shared" si="933"/>
        <v>-0.14835786820346566</v>
      </c>
      <c r="H179" s="139"/>
      <c r="I179" s="86"/>
      <c r="J179" s="79">
        <f t="shared" si="930"/>
        <v>2.125</v>
      </c>
    </row>
    <row r="180" spans="5:10" x14ac:dyDescent="0.25">
      <c r="E180" s="170">
        <f t="shared" si="933"/>
        <v>-0.25369397333586247</v>
      </c>
      <c r="F180" s="170">
        <f t="shared" si="933"/>
        <v>-0.96143621232671828</v>
      </c>
      <c r="G180" s="170">
        <f t="shared" si="933"/>
        <v>-0.10620629698806078</v>
      </c>
      <c r="H180" s="139"/>
      <c r="I180" s="86"/>
      <c r="J180" s="79">
        <f t="shared" si="930"/>
        <v>2.13</v>
      </c>
    </row>
    <row r="181" spans="5:10" x14ac:dyDescent="0.25">
      <c r="E181" s="170">
        <f t="shared" si="933"/>
        <v>-0.29673161025847489</v>
      </c>
      <c r="F181" s="170">
        <f t="shared" si="933"/>
        <v>-0.95198575907678207</v>
      </c>
      <c r="G181" s="170">
        <f t="shared" si="933"/>
        <v>-7.5322413585967765E-2</v>
      </c>
      <c r="H181" s="139"/>
      <c r="I181" s="86"/>
      <c r="J181" s="79">
        <f t="shared" si="930"/>
        <v>2.1349999999999998</v>
      </c>
    </row>
    <row r="182" spans="5:10" x14ac:dyDescent="0.25">
      <c r="E182" s="170">
        <f t="shared" si="933"/>
        <v>-0.32990992499887023</v>
      </c>
      <c r="F182" s="170">
        <f t="shared" si="933"/>
        <v>-0.94304860116292277</v>
      </c>
      <c r="G182" s="170">
        <f t="shared" si="933"/>
        <v>-4.264712454427199E-2</v>
      </c>
      <c r="H182" s="139"/>
      <c r="I182" s="86"/>
      <c r="J182" s="79">
        <f t="shared" si="930"/>
        <v>2.14</v>
      </c>
    </row>
    <row r="183" spans="5:10" x14ac:dyDescent="0.25">
      <c r="E183" s="170">
        <f t="shared" si="933"/>
        <v>-0.36827851564074005</v>
      </c>
      <c r="F183" s="170">
        <f t="shared" si="933"/>
        <v>-0.92955229785052085</v>
      </c>
      <c r="G183" s="170">
        <f t="shared" si="933"/>
        <v>-1.7420117056719673E-2</v>
      </c>
      <c r="H183" s="139"/>
      <c r="I183" s="86"/>
      <c r="J183" s="79">
        <f t="shared" si="930"/>
        <v>2.145</v>
      </c>
    </row>
    <row r="184" spans="5:10" x14ac:dyDescent="0.25">
      <c r="E184" s="170">
        <f t="shared" si="933"/>
        <v>-0.52613558110908498</v>
      </c>
      <c r="F184" s="170">
        <f t="shared" si="933"/>
        <v>-0.84907259269581248</v>
      </c>
      <c r="G184" s="170">
        <f t="shared" si="933"/>
        <v>-4.7508763652788485E-2</v>
      </c>
      <c r="H184" s="139"/>
      <c r="I184" s="86"/>
      <c r="J184" s="79">
        <f t="shared" si="930"/>
        <v>2.15</v>
      </c>
    </row>
    <row r="185" spans="5:10" x14ac:dyDescent="0.25">
      <c r="E185" s="170">
        <f t="shared" si="933"/>
        <v>-0.64920956762126658</v>
      </c>
      <c r="F185" s="170">
        <f t="shared" si="933"/>
        <v>-0.76060958270916368</v>
      </c>
      <c r="G185" s="170">
        <f t="shared" si="933"/>
        <v>-2.1988039814664991E-17</v>
      </c>
      <c r="H185" s="139"/>
      <c r="I185" s="86"/>
      <c r="J185" s="79">
        <f t="shared" si="930"/>
        <v>2.1549999999999998</v>
      </c>
    </row>
    <row r="186" spans="5:10" x14ac:dyDescent="0.25">
      <c r="E186" s="170">
        <f t="shared" si="933"/>
        <v>-6.2643648411313341E-2</v>
      </c>
      <c r="F186" s="170">
        <f t="shared" si="933"/>
        <v>1.8797377301663878E-2</v>
      </c>
      <c r="G186" s="170">
        <f t="shared" si="933"/>
        <v>-0.99785892385662356</v>
      </c>
      <c r="H186" s="139"/>
      <c r="I186" s="86"/>
      <c r="J186" s="79">
        <f t="shared" si="930"/>
        <v>2.2149999999999999</v>
      </c>
    </row>
    <row r="187" spans="5:10" x14ac:dyDescent="0.25">
      <c r="E187" s="170">
        <f t="shared" si="933"/>
        <v>-0.36966449105629062</v>
      </c>
      <c r="F187" s="170">
        <f t="shared" si="933"/>
        <v>9.8968345276728598E-2</v>
      </c>
      <c r="G187" s="170">
        <f t="shared" si="933"/>
        <v>-0.92387955420892387</v>
      </c>
      <c r="H187" s="139"/>
      <c r="I187" s="86"/>
      <c r="J187" s="79">
        <f t="shared" si="930"/>
        <v>2.2200000000000002</v>
      </c>
    </row>
    <row r="188" spans="5:10" x14ac:dyDescent="0.25">
      <c r="E188" s="170">
        <f t="shared" si="933"/>
        <v>-0.50527865099626701</v>
      </c>
      <c r="F188" s="170">
        <f t="shared" si="933"/>
        <v>-0.81502198698061457</v>
      </c>
      <c r="G188" s="170">
        <f t="shared" si="933"/>
        <v>-0.28360649778445435</v>
      </c>
      <c r="H188" s="139"/>
      <c r="I188" s="86"/>
      <c r="J188" s="79">
        <f t="shared" si="930"/>
        <v>2.2250000000000001</v>
      </c>
    </row>
    <row r="189" spans="5:10" x14ac:dyDescent="0.25">
      <c r="E189" s="170">
        <f t="shared" si="933"/>
        <v>-0.54476452700337752</v>
      </c>
      <c r="F189" s="170">
        <f t="shared" si="933"/>
        <v>-0.80630438527581449</v>
      </c>
      <c r="G189" s="170">
        <f t="shared" si="933"/>
        <v>-0.23044489233605811</v>
      </c>
      <c r="H189" s="139"/>
      <c r="I189" s="86"/>
      <c r="J189" s="79">
        <f t="shared" si="930"/>
        <v>2.23</v>
      </c>
    </row>
    <row r="190" spans="5:10" x14ac:dyDescent="0.25">
      <c r="E190" s="170">
        <f t="shared" si="933"/>
        <v>-0.58569984105560624</v>
      </c>
      <c r="F190" s="170">
        <f t="shared" si="933"/>
        <v>-0.78878656921785462</v>
      </c>
      <c r="G190" s="170">
        <f t="shared" si="933"/>
        <v>-0.18647102833674839</v>
      </c>
      <c r="H190" s="139"/>
      <c r="I190" s="86"/>
      <c r="J190" s="79">
        <f t="shared" si="930"/>
        <v>2.2349999999999999</v>
      </c>
    </row>
    <row r="191" spans="5:10" x14ac:dyDescent="0.25">
      <c r="E191" s="170">
        <f t="shared" si="933"/>
        <v>-0.61967124681928398</v>
      </c>
      <c r="F191" s="170">
        <f t="shared" si="933"/>
        <v>-0.7723384125392031</v>
      </c>
      <c r="G191" s="170">
        <f t="shared" si="933"/>
        <v>-0.13964570305547544</v>
      </c>
      <c r="H191" s="139"/>
      <c r="I191" s="86"/>
      <c r="J191" s="79">
        <f t="shared" si="930"/>
        <v>2.2400000000000002</v>
      </c>
    </row>
    <row r="192" spans="5:10" x14ac:dyDescent="0.25">
      <c r="E192" s="170">
        <f t="shared" si="933"/>
        <v>-0.65753062943000062</v>
      </c>
      <c r="F192" s="170">
        <f t="shared" si="933"/>
        <v>-0.74692596423768898</v>
      </c>
      <c r="G192" s="170">
        <f t="shared" si="933"/>
        <v>-9.8767784773101719E-2</v>
      </c>
      <c r="H192" s="139"/>
      <c r="I192" s="86"/>
      <c r="J192" s="79">
        <f t="shared" si="930"/>
        <v>2.2450000000000001</v>
      </c>
    </row>
    <row r="193" spans="5:10" x14ac:dyDescent="0.25">
      <c r="E193" s="170">
        <f t="shared" si="933"/>
        <v>-0.85517121231413473</v>
      </c>
      <c r="F193" s="170">
        <f t="shared" si="933"/>
        <v>-0.45407291704822506</v>
      </c>
      <c r="G193" s="170">
        <f t="shared" si="933"/>
        <v>-0.24999996726497575</v>
      </c>
      <c r="H193" s="139"/>
      <c r="I193" s="86"/>
      <c r="J193" s="79">
        <f t="shared" si="930"/>
        <v>3.109</v>
      </c>
    </row>
    <row r="194" spans="5:10" x14ac:dyDescent="0.25">
      <c r="E194" s="170">
        <f t="shared" ref="E194:G213" si="934">E49*-1</f>
        <v>-0.89835730480671561</v>
      </c>
      <c r="F194" s="170">
        <f t="shared" si="934"/>
        <v>-0.35504845965398379</v>
      </c>
      <c r="G194" s="170">
        <f t="shared" si="934"/>
        <v>-0.25864018287525914</v>
      </c>
      <c r="H194" s="139"/>
      <c r="I194" s="86"/>
      <c r="J194" s="79">
        <f t="shared" si="930"/>
        <v>3.1139999999999999</v>
      </c>
    </row>
    <row r="195" spans="5:10" x14ac:dyDescent="0.25">
      <c r="E195" s="170">
        <f t="shared" si="934"/>
        <v>-0.94811895596910611</v>
      </c>
      <c r="F195" s="170">
        <f t="shared" si="934"/>
        <v>-0.23062244210607702</v>
      </c>
      <c r="G195" s="170">
        <f t="shared" si="934"/>
        <v>-0.21882352371050351</v>
      </c>
      <c r="H195" s="139"/>
      <c r="I195" s="86"/>
      <c r="J195" s="79">
        <f t="shared" si="930"/>
        <v>3.1190000000000002</v>
      </c>
    </row>
    <row r="196" spans="5:10" x14ac:dyDescent="0.25">
      <c r="E196" s="170">
        <f t="shared" si="934"/>
        <v>-0.97699025794595529</v>
      </c>
      <c r="F196" s="170">
        <f t="shared" si="934"/>
        <v>-0.14477220745363903</v>
      </c>
      <c r="G196" s="170">
        <f t="shared" si="934"/>
        <v>-0.15662389290174181</v>
      </c>
      <c r="H196" s="139"/>
      <c r="I196" s="86"/>
      <c r="J196" s="79">
        <f t="shared" si="930"/>
        <v>3.1240000000000001</v>
      </c>
    </row>
    <row r="197" spans="5:10" x14ac:dyDescent="0.25">
      <c r="E197" s="170">
        <f t="shared" si="934"/>
        <v>-0.98854156011721517</v>
      </c>
      <c r="F197" s="170">
        <f t="shared" si="934"/>
        <v>-9.8136054411308946E-2</v>
      </c>
      <c r="G197" s="170">
        <f t="shared" si="934"/>
        <v>-0.11469480696876813</v>
      </c>
      <c r="H197" s="139"/>
      <c r="I197" s="86"/>
      <c r="J197" s="79">
        <f t="shared" si="930"/>
        <v>3.129</v>
      </c>
    </row>
    <row r="198" spans="5:10" x14ac:dyDescent="0.25">
      <c r="E198" s="170">
        <f t="shared" si="934"/>
        <v>-0.99509745321510756</v>
      </c>
      <c r="F198" s="170">
        <f t="shared" si="934"/>
        <v>-5.2179979871123994E-2</v>
      </c>
      <c r="G198" s="170">
        <f t="shared" si="934"/>
        <v>-8.4013738789891643E-2</v>
      </c>
      <c r="H198" s="139"/>
      <c r="I198" s="86"/>
      <c r="J198" s="79">
        <f t="shared" si="930"/>
        <v>3.1339999999999999</v>
      </c>
    </row>
    <row r="199" spans="5:10" x14ac:dyDescent="0.25">
      <c r="E199" s="170">
        <f t="shared" si="934"/>
        <v>-0.99855365029993326</v>
      </c>
      <c r="F199" s="170">
        <f t="shared" si="934"/>
        <v>-1.5911447225768687E-2</v>
      </c>
      <c r="G199" s="170">
        <f t="shared" si="934"/>
        <v>-5.1355947268647006E-2</v>
      </c>
      <c r="H199" s="139"/>
      <c r="I199" s="86"/>
      <c r="J199" s="79">
        <f t="shared" si="930"/>
        <v>3.1389999999999998</v>
      </c>
    </row>
    <row r="200" spans="5:10" x14ac:dyDescent="0.25">
      <c r="E200" s="170">
        <f t="shared" si="934"/>
        <v>-0.99930573268864542</v>
      </c>
      <c r="F200" s="170">
        <f t="shared" si="934"/>
        <v>2.6420983001345318E-2</v>
      </c>
      <c r="G200" s="170">
        <f t="shared" si="934"/>
        <v>-2.6267551710284016E-2</v>
      </c>
      <c r="H200" s="139"/>
      <c r="I200" s="86"/>
      <c r="J200" s="79">
        <f t="shared" si="930"/>
        <v>3.1440000000000001</v>
      </c>
    </row>
    <row r="201" spans="5:10" x14ac:dyDescent="0.25">
      <c r="E201" s="170">
        <f t="shared" si="934"/>
        <v>-0.97747554836108252</v>
      </c>
      <c r="F201" s="170">
        <f t="shared" si="934"/>
        <v>0.20260007754622167</v>
      </c>
      <c r="G201" s="170">
        <f t="shared" si="934"/>
        <v>-5.9116503063578282E-2</v>
      </c>
      <c r="H201" s="139"/>
      <c r="I201" s="86"/>
      <c r="J201" s="79">
        <f t="shared" si="930"/>
        <v>3.149</v>
      </c>
    </row>
    <row r="202" spans="5:10" x14ac:dyDescent="0.25">
      <c r="E202" s="170">
        <f t="shared" si="934"/>
        <v>-0.93678202326043425</v>
      </c>
      <c r="F202" s="170">
        <f t="shared" si="934"/>
        <v>0.34991347629962355</v>
      </c>
      <c r="G202" s="170">
        <f t="shared" si="934"/>
        <v>-2.1664728810537718E-16</v>
      </c>
      <c r="H202" s="139"/>
      <c r="I202" s="86"/>
      <c r="J202" s="79">
        <f t="shared" si="930"/>
        <v>3.1539999999999999</v>
      </c>
    </row>
    <row r="203" spans="5:10" x14ac:dyDescent="0.25">
      <c r="E203" s="170">
        <f t="shared" si="934"/>
        <v>-2.265405137180996E-7</v>
      </c>
      <c r="F203" s="170">
        <f t="shared" si="934"/>
        <v>-1.0738752925659637E-8</v>
      </c>
      <c r="G203" s="170">
        <f t="shared" si="934"/>
        <v>-0.99999999999997435</v>
      </c>
      <c r="H203" s="139"/>
      <c r="I203" s="86"/>
      <c r="J203" s="79">
        <f t="shared" si="930"/>
        <v>3.214</v>
      </c>
    </row>
    <row r="204" spans="5:10" x14ac:dyDescent="0.25">
      <c r="E204" s="170">
        <f t="shared" si="934"/>
        <v>-2.6869481708825364E-2</v>
      </c>
      <c r="F204" s="170">
        <f t="shared" si="934"/>
        <v>0.32031442684306177</v>
      </c>
      <c r="G204" s="170">
        <f t="shared" si="934"/>
        <v>-0.94693014468275327</v>
      </c>
      <c r="H204" s="139"/>
      <c r="I204" s="86"/>
      <c r="J204" s="79">
        <f t="shared" si="930"/>
        <v>3.2189999999999999</v>
      </c>
    </row>
    <row r="205" spans="5:10" x14ac:dyDescent="0.25">
      <c r="E205" s="170">
        <f t="shared" si="934"/>
        <v>-0.93729312861125191</v>
      </c>
      <c r="F205" s="170">
        <f t="shared" si="934"/>
        <v>0.18736402574970815</v>
      </c>
      <c r="G205" s="170">
        <f t="shared" si="934"/>
        <v>-0.29389847381875578</v>
      </c>
      <c r="H205" s="139"/>
      <c r="I205" s="86"/>
      <c r="J205" s="79">
        <f t="shared" si="930"/>
        <v>3.2240000000000002</v>
      </c>
    </row>
    <row r="206" spans="5:10" x14ac:dyDescent="0.25">
      <c r="E206" s="170">
        <f t="shared" si="934"/>
        <v>-0.94313381762161019</v>
      </c>
      <c r="F206" s="170">
        <f t="shared" si="934"/>
        <v>0.22868729377516717</v>
      </c>
      <c r="G206" s="170">
        <f t="shared" si="934"/>
        <v>-0.24124826159845764</v>
      </c>
      <c r="H206" s="139"/>
      <c r="I206" s="86"/>
      <c r="J206" s="79">
        <f t="shared" si="930"/>
        <v>3.2290000000000001</v>
      </c>
    </row>
    <row r="207" spans="5:10" x14ac:dyDescent="0.25">
      <c r="E207" s="170">
        <f t="shared" si="934"/>
        <v>-0.94100166514041905</v>
      </c>
      <c r="F207" s="170">
        <f t="shared" si="934"/>
        <v>0.27463246369639727</v>
      </c>
      <c r="G207" s="170">
        <f t="shared" si="934"/>
        <v>-0.19771918492398732</v>
      </c>
      <c r="H207" s="139"/>
      <c r="I207" s="86"/>
      <c r="J207" s="79">
        <f t="shared" si="930"/>
        <v>3.234</v>
      </c>
    </row>
    <row r="208" spans="5:10" x14ac:dyDescent="0.25">
      <c r="E208" s="170">
        <f t="shared" si="934"/>
        <v>-0.93738133980838667</v>
      </c>
      <c r="F208" s="170">
        <f t="shared" si="934"/>
        <v>0.31381319007954828</v>
      </c>
      <c r="G208" s="170">
        <f t="shared" si="934"/>
        <v>-0.15112083083126424</v>
      </c>
      <c r="H208" s="139"/>
      <c r="I208" s="86"/>
      <c r="J208" s="79">
        <f t="shared" si="930"/>
        <v>3.2389999999999999</v>
      </c>
    </row>
    <row r="209" spans="5:10" x14ac:dyDescent="0.25">
      <c r="E209" s="170">
        <f t="shared" si="934"/>
        <v>-0.92655413981894807</v>
      </c>
      <c r="F209" s="170">
        <f t="shared" si="934"/>
        <v>0.35955423987783336</v>
      </c>
      <c r="G209" s="170">
        <f t="shared" si="934"/>
        <v>-0.11053585196777839</v>
      </c>
      <c r="H209" s="139"/>
      <c r="I209" s="86"/>
      <c r="J209" s="79">
        <f t="shared" si="930"/>
        <v>3.2440000000000002</v>
      </c>
    </row>
    <row r="210" spans="5:10" x14ac:dyDescent="0.25">
      <c r="E210" s="170">
        <f t="shared" si="934"/>
        <v>-0.77316937162619226</v>
      </c>
      <c r="F210" s="170">
        <f t="shared" si="934"/>
        <v>0.48535277449771802</v>
      </c>
      <c r="G210" s="170">
        <f t="shared" si="934"/>
        <v>-0.40821784266066363</v>
      </c>
      <c r="H210" s="139"/>
      <c r="I210" s="86"/>
      <c r="J210" s="79">
        <f t="shared" si="930"/>
        <v>4.1020000000000003</v>
      </c>
    </row>
    <row r="211" spans="5:10" x14ac:dyDescent="0.25">
      <c r="E211" s="170">
        <f t="shared" si="934"/>
        <v>-0.79282162582830429</v>
      </c>
      <c r="F211" s="170">
        <f t="shared" si="934"/>
        <v>0.55581821307553025</v>
      </c>
      <c r="G211" s="170">
        <f t="shared" si="934"/>
        <v>-0.24999996726497559</v>
      </c>
      <c r="H211" s="139"/>
      <c r="I211" s="86"/>
      <c r="J211" s="79">
        <f t="shared" si="930"/>
        <v>4.1050000000000004</v>
      </c>
    </row>
    <row r="212" spans="5:10" x14ac:dyDescent="0.25">
      <c r="E212" s="170">
        <f t="shared" si="934"/>
        <v>-0.79282162582830429</v>
      </c>
      <c r="F212" s="170">
        <f t="shared" si="934"/>
        <v>0.55581821307553025</v>
      </c>
      <c r="G212" s="170">
        <f t="shared" si="934"/>
        <v>-0.24999996726497567</v>
      </c>
      <c r="H212" s="139"/>
      <c r="I212" s="86"/>
      <c r="J212" s="79">
        <f t="shared" si="930"/>
        <v>4.1079999999999997</v>
      </c>
    </row>
    <row r="213" spans="5:10" x14ac:dyDescent="0.25">
      <c r="E213" s="170">
        <f t="shared" si="934"/>
        <v>-0.740120898205198</v>
      </c>
      <c r="F213" s="170">
        <f t="shared" si="934"/>
        <v>0.62025626862965233</v>
      </c>
      <c r="G213" s="170">
        <f t="shared" si="934"/>
        <v>-0.25981381269199638</v>
      </c>
      <c r="H213" s="139"/>
      <c r="I213" s="86"/>
      <c r="J213" s="79">
        <f t="shared" si="930"/>
        <v>4.1130000000000004</v>
      </c>
    </row>
    <row r="214" spans="5:10" x14ac:dyDescent="0.25">
      <c r="E214" s="170">
        <f t="shared" ref="E214:G233" si="935">E69*-1</f>
        <v>-0.65282921969219598</v>
      </c>
      <c r="F214" s="170">
        <f t="shared" si="935"/>
        <v>0.72147524423300624</v>
      </c>
      <c r="G214" s="170">
        <f t="shared" si="935"/>
        <v>-0.23084081501112952</v>
      </c>
      <c r="H214" s="139"/>
      <c r="I214" s="86"/>
      <c r="J214" s="79">
        <f t="shared" si="930"/>
        <v>4.1180000000000003</v>
      </c>
    </row>
    <row r="215" spans="5:10" x14ac:dyDescent="0.25">
      <c r="E215" s="170">
        <f t="shared" si="935"/>
        <v>-0.58093839203665465</v>
      </c>
      <c r="F215" s="170">
        <f t="shared" si="935"/>
        <v>0.7970907552935893</v>
      </c>
      <c r="G215" s="170">
        <f t="shared" si="935"/>
        <v>-0.1647935450294146</v>
      </c>
      <c r="H215" s="139"/>
      <c r="I215" s="86"/>
      <c r="J215" s="79">
        <f t="shared" si="930"/>
        <v>4.1230000000000002</v>
      </c>
    </row>
    <row r="216" spans="5:10" x14ac:dyDescent="0.25">
      <c r="E216" s="170">
        <f t="shared" si="935"/>
        <v>-0.54270977031288958</v>
      </c>
      <c r="F216" s="170">
        <f t="shared" si="935"/>
        <v>0.83083969190591311</v>
      </c>
      <c r="G216" s="170">
        <f t="shared" si="935"/>
        <v>-0.12317268999505615</v>
      </c>
      <c r="H216" s="139"/>
      <c r="I216" s="86"/>
      <c r="J216" s="79">
        <f t="shared" si="930"/>
        <v>4.1280000000000001</v>
      </c>
    </row>
    <row r="217" spans="5:10" x14ac:dyDescent="0.25">
      <c r="E217" s="170">
        <f t="shared" si="935"/>
        <v>-0.50301326600048568</v>
      </c>
      <c r="F217" s="170">
        <f t="shared" si="935"/>
        <v>0.85928956025359626</v>
      </c>
      <c r="G217" s="170">
        <f t="shared" si="935"/>
        <v>-9.2731363986011561E-2</v>
      </c>
      <c r="H217" s="139"/>
      <c r="I217" s="86"/>
      <c r="J217" s="79">
        <f t="shared" si="930"/>
        <v>4.133</v>
      </c>
    </row>
    <row r="218" spans="5:10" x14ac:dyDescent="0.25">
      <c r="E218" s="170">
        <f t="shared" si="935"/>
        <v>-0.47066147951778259</v>
      </c>
      <c r="F218" s="170">
        <f t="shared" si="935"/>
        <v>0.88026256593901797</v>
      </c>
      <c r="G218" s="170">
        <f t="shared" si="935"/>
        <v>-6.0129748915058678E-2</v>
      </c>
      <c r="H218" s="139"/>
      <c r="I218" s="86"/>
      <c r="J218" s="79">
        <f t="shared" si="930"/>
        <v>4.1379999999999999</v>
      </c>
    </row>
    <row r="219" spans="5:10" x14ac:dyDescent="0.25">
      <c r="E219" s="170">
        <f t="shared" si="935"/>
        <v>-0.44516355239750582</v>
      </c>
      <c r="F219" s="170">
        <f t="shared" si="935"/>
        <v>0.8950672015710448</v>
      </c>
      <c r="G219" s="170">
        <f t="shared" si="935"/>
        <v>-2.6155616769861029E-2</v>
      </c>
      <c r="H219" s="139"/>
      <c r="I219" s="86"/>
      <c r="J219" s="79">
        <f t="shared" ref="J219:J282" si="936">J74</f>
        <v>4.1429999999999998</v>
      </c>
    </row>
    <row r="220" spans="5:10" x14ac:dyDescent="0.25">
      <c r="E220" s="170">
        <f t="shared" si="935"/>
        <v>-0.2646801774307655</v>
      </c>
      <c r="F220" s="170">
        <f t="shared" si="935"/>
        <v>0.9617311281669767</v>
      </c>
      <c r="G220" s="170">
        <f t="shared" si="935"/>
        <v>-7.0835307508988574E-2</v>
      </c>
      <c r="H220" s="139"/>
      <c r="I220" s="86"/>
      <c r="J220" s="79">
        <f t="shared" si="936"/>
        <v>4.1479999999999997</v>
      </c>
    </row>
    <row r="221" spans="5:10" x14ac:dyDescent="0.25">
      <c r="E221" s="170">
        <f t="shared" si="935"/>
        <v>-0.11351510633290235</v>
      </c>
      <c r="F221" s="170">
        <f t="shared" si="935"/>
        <v>0.99353627041705428</v>
      </c>
      <c r="G221" s="170">
        <f t="shared" si="935"/>
        <v>0</v>
      </c>
      <c r="H221" s="139"/>
      <c r="I221" s="86"/>
      <c r="J221" s="79">
        <f t="shared" si="936"/>
        <v>4.1529999999999996</v>
      </c>
    </row>
    <row r="222" spans="5:10" x14ac:dyDescent="0.25">
      <c r="E222" s="170">
        <f t="shared" si="935"/>
        <v>-4.5763980715387446E-2</v>
      </c>
      <c r="F222" s="170">
        <f t="shared" si="935"/>
        <v>-2.5391132207503633E-2</v>
      </c>
      <c r="G222" s="170">
        <f t="shared" si="935"/>
        <v>-0.99862953515019914</v>
      </c>
      <c r="H222" s="139"/>
      <c r="I222" s="86"/>
      <c r="J222" s="79">
        <f t="shared" si="936"/>
        <v>4.2130000000000001</v>
      </c>
    </row>
    <row r="223" spans="5:10" x14ac:dyDescent="0.25">
      <c r="E223" s="170">
        <f t="shared" si="935"/>
        <v>0.22062273944239272</v>
      </c>
      <c r="F223" s="170">
        <f t="shared" si="935"/>
        <v>0.13532511241151549</v>
      </c>
      <c r="G223" s="170">
        <f t="shared" si="935"/>
        <v>-0.96592583607218263</v>
      </c>
      <c r="H223" s="139"/>
      <c r="I223" s="86"/>
      <c r="J223" s="79">
        <f t="shared" si="936"/>
        <v>4.218</v>
      </c>
    </row>
    <row r="224" spans="5:10" x14ac:dyDescent="0.25">
      <c r="E224" s="170">
        <f t="shared" si="935"/>
        <v>-0.26572042519395705</v>
      </c>
      <c r="F224" s="170">
        <f t="shared" si="935"/>
        <v>0.91485366531553935</v>
      </c>
      <c r="G224" s="170">
        <f t="shared" si="935"/>
        <v>-0.30403195011949974</v>
      </c>
      <c r="H224" s="139"/>
      <c r="I224" s="86"/>
      <c r="J224" s="79">
        <f t="shared" si="936"/>
        <v>4.2229999999999999</v>
      </c>
    </row>
    <row r="225" spans="5:10" x14ac:dyDescent="0.25">
      <c r="E225" s="170">
        <f t="shared" si="935"/>
        <v>-0.23090636833677997</v>
      </c>
      <c r="F225" s="170">
        <f t="shared" si="935"/>
        <v>0.93977939467482874</v>
      </c>
      <c r="G225" s="170">
        <f t="shared" si="935"/>
        <v>-0.25198598851152776</v>
      </c>
      <c r="H225" s="139"/>
      <c r="I225" s="86"/>
      <c r="J225" s="79">
        <f t="shared" si="936"/>
        <v>4.2279999999999998</v>
      </c>
    </row>
    <row r="226" spans="5:10" x14ac:dyDescent="0.25">
      <c r="E226" s="170">
        <f t="shared" si="935"/>
        <v>-0.18787419098899288</v>
      </c>
      <c r="F226" s="170">
        <f t="shared" si="935"/>
        <v>0.95971114539522595</v>
      </c>
      <c r="G226" s="170">
        <f t="shared" si="935"/>
        <v>-0.20894450403017314</v>
      </c>
      <c r="H226" s="139"/>
      <c r="I226" s="86"/>
      <c r="J226" s="79">
        <f t="shared" si="936"/>
        <v>4.2329999999999997</v>
      </c>
    </row>
    <row r="227" spans="5:10" x14ac:dyDescent="0.25">
      <c r="E227" s="170">
        <f t="shared" si="935"/>
        <v>-0.14997524439687107</v>
      </c>
      <c r="F227" s="170">
        <f t="shared" si="935"/>
        <v>0.97522452932777137</v>
      </c>
      <c r="G227" s="170">
        <f t="shared" si="935"/>
        <v>-0.16261778336186244</v>
      </c>
      <c r="H227" s="139"/>
      <c r="I227" s="86"/>
      <c r="J227" s="79">
        <f t="shared" si="936"/>
        <v>4.2380000000000004</v>
      </c>
    </row>
    <row r="228" spans="5:10" x14ac:dyDescent="0.25">
      <c r="E228" s="170">
        <f t="shared" si="935"/>
        <v>-0.11803590360820387</v>
      </c>
      <c r="F228" s="170">
        <f t="shared" si="935"/>
        <v>0.98644714531592448</v>
      </c>
      <c r="G228" s="170">
        <f t="shared" si="935"/>
        <v>-0.11397172876401553</v>
      </c>
      <c r="H228" s="139"/>
      <c r="I228" s="86"/>
      <c r="J228" s="79">
        <f t="shared" si="936"/>
        <v>4.2430000000000003</v>
      </c>
    </row>
    <row r="229" spans="5:10" x14ac:dyDescent="0.25">
      <c r="E229" s="170">
        <f t="shared" si="935"/>
        <v>0.35399880526559008</v>
      </c>
      <c r="F229" s="170">
        <f t="shared" si="935"/>
        <v>0.89860304854394202</v>
      </c>
      <c r="G229" s="170">
        <f t="shared" si="935"/>
        <v>-0.25922462656558853</v>
      </c>
      <c r="H229" s="139"/>
      <c r="I229" s="86"/>
      <c r="J229" s="79">
        <f t="shared" si="936"/>
        <v>5.1120000000000001</v>
      </c>
    </row>
    <row r="230" spans="5:10" x14ac:dyDescent="0.25">
      <c r="E230" s="170">
        <f t="shared" si="935"/>
        <v>0.47530115052954069</v>
      </c>
      <c r="F230" s="170">
        <f t="shared" si="935"/>
        <v>0.84618620204489103</v>
      </c>
      <c r="G230" s="170">
        <f t="shared" si="935"/>
        <v>-0.24095171253622152</v>
      </c>
      <c r="H230" s="139"/>
      <c r="I230" s="86"/>
      <c r="J230" s="79">
        <f t="shared" si="936"/>
        <v>5.117</v>
      </c>
    </row>
    <row r="231" spans="5:10" x14ac:dyDescent="0.25">
      <c r="E231" s="170">
        <f t="shared" si="935"/>
        <v>0.58202926289948886</v>
      </c>
      <c r="F231" s="170">
        <f t="shared" si="935"/>
        <v>0.79458677330292382</v>
      </c>
      <c r="G231" s="170">
        <f t="shared" si="935"/>
        <v>-0.1728403796013126</v>
      </c>
      <c r="H231" s="139"/>
      <c r="I231" s="86"/>
      <c r="J231" s="79">
        <f t="shared" si="936"/>
        <v>5.1219999999999999</v>
      </c>
    </row>
    <row r="232" spans="5:10" x14ac:dyDescent="0.25">
      <c r="E232" s="170">
        <f t="shared" si="935"/>
        <v>0.62828423824109525</v>
      </c>
      <c r="F232" s="170">
        <f t="shared" si="935"/>
        <v>0.76676948247119525</v>
      </c>
      <c r="G232" s="170">
        <f t="shared" si="935"/>
        <v>-0.1316186792543601</v>
      </c>
      <c r="H232" s="139"/>
      <c r="I232" s="86"/>
      <c r="J232" s="79">
        <f t="shared" si="936"/>
        <v>5.1269999999999998</v>
      </c>
    </row>
    <row r="233" spans="5:10" x14ac:dyDescent="0.25">
      <c r="E233" s="170">
        <f t="shared" si="935"/>
        <v>0.66933432003080551</v>
      </c>
      <c r="F233" s="170">
        <f t="shared" si="935"/>
        <v>0.73599937800463788</v>
      </c>
      <c r="G233" s="170">
        <f t="shared" si="935"/>
        <v>-0.10147159014071713</v>
      </c>
      <c r="H233" s="139"/>
      <c r="I233" s="86"/>
      <c r="J233" s="79">
        <f t="shared" si="936"/>
        <v>5.1319999999999997</v>
      </c>
    </row>
    <row r="234" spans="5:10" x14ac:dyDescent="0.25">
      <c r="E234" s="170">
        <f t="shared" ref="E234:G253" si="937">E89*-1</f>
        <v>0.70076480681696063</v>
      </c>
      <c r="F234" s="170">
        <f t="shared" si="937"/>
        <v>0.71005194653040227</v>
      </c>
      <c r="G234" s="170">
        <f t="shared" si="937"/>
        <v>-6.8955918927780635E-2</v>
      </c>
      <c r="H234" s="139"/>
      <c r="I234" s="86"/>
      <c r="J234" s="79">
        <f t="shared" si="936"/>
        <v>5.1369999999999996</v>
      </c>
    </row>
    <row r="235" spans="5:10" x14ac:dyDescent="0.25">
      <c r="E235" s="170">
        <f t="shared" si="937"/>
        <v>0.72400411218588401</v>
      </c>
      <c r="F235" s="170">
        <f t="shared" si="937"/>
        <v>0.68891246845970289</v>
      </c>
      <c r="G235" s="170">
        <f t="shared" si="937"/>
        <v>-3.4894932851189546E-2</v>
      </c>
      <c r="H235" s="139"/>
      <c r="I235" s="86"/>
      <c r="J235" s="79">
        <f t="shared" si="936"/>
        <v>5.1420000000000003</v>
      </c>
    </row>
    <row r="236" spans="5:10" x14ac:dyDescent="0.25">
      <c r="E236" s="170">
        <f t="shared" si="937"/>
        <v>0.79813922810230453</v>
      </c>
      <c r="F236" s="170">
        <f t="shared" si="937"/>
        <v>0.60071443082534537</v>
      </c>
      <c r="G236" s="170">
        <f t="shared" si="937"/>
        <v>-4.5999403935692296E-2</v>
      </c>
      <c r="H236" s="139"/>
      <c r="I236" s="86"/>
      <c r="J236" s="79">
        <f t="shared" si="936"/>
        <v>5.1470000000000002</v>
      </c>
    </row>
    <row r="237" spans="5:10" x14ac:dyDescent="0.25">
      <c r="E237" s="170">
        <f t="shared" si="937"/>
        <v>0.91693478206607493</v>
      </c>
      <c r="F237" s="170">
        <f t="shared" si="937"/>
        <v>0.39903709782104191</v>
      </c>
      <c r="G237" s="170">
        <f t="shared" si="937"/>
        <v>0</v>
      </c>
      <c r="H237" s="139"/>
      <c r="I237" s="86"/>
      <c r="J237" s="79">
        <f t="shared" si="936"/>
        <v>5.1520000000000001</v>
      </c>
    </row>
    <row r="238" spans="5:10" x14ac:dyDescent="0.25">
      <c r="E238" s="170">
        <f t="shared" si="937"/>
        <v>0.14541257007538988</v>
      </c>
      <c r="F238" s="170">
        <f t="shared" si="937"/>
        <v>-0.13005924557541262</v>
      </c>
      <c r="G238" s="170">
        <f t="shared" si="937"/>
        <v>-0.98078528593389103</v>
      </c>
      <c r="H238" s="139"/>
      <c r="I238" s="86"/>
      <c r="J238" s="79">
        <f t="shared" si="936"/>
        <v>5.2169999999999996</v>
      </c>
    </row>
    <row r="239" spans="5:10" x14ac:dyDescent="0.25">
      <c r="E239" s="170">
        <f t="shared" si="937"/>
        <v>0.37915826112241896</v>
      </c>
      <c r="F239" s="170">
        <f t="shared" si="937"/>
        <v>-0.32594316613884944</v>
      </c>
      <c r="G239" s="170">
        <f t="shared" si="937"/>
        <v>-0.86602544158356343</v>
      </c>
      <c r="H239" s="139"/>
      <c r="I239" s="86"/>
      <c r="J239" s="79">
        <f t="shared" si="936"/>
        <v>5.2220000000000004</v>
      </c>
    </row>
    <row r="240" spans="5:10" x14ac:dyDescent="0.25">
      <c r="E240" s="170">
        <f t="shared" si="937"/>
        <v>0.82485025672429235</v>
      </c>
      <c r="F240" s="170">
        <f t="shared" si="937"/>
        <v>0.50064432087300359</v>
      </c>
      <c r="G240" s="170">
        <f t="shared" si="937"/>
        <v>-0.26263533265628658</v>
      </c>
      <c r="H240" s="139"/>
      <c r="I240" s="86"/>
      <c r="J240" s="79">
        <f t="shared" si="936"/>
        <v>5.2270000000000003</v>
      </c>
    </row>
    <row r="241" spans="5:10" x14ac:dyDescent="0.25">
      <c r="E241" s="170">
        <f t="shared" si="937"/>
        <v>0.85771471370831009</v>
      </c>
      <c r="F241" s="170">
        <f t="shared" si="937"/>
        <v>0.46461041496855016</v>
      </c>
      <c r="G241" s="170">
        <f t="shared" si="937"/>
        <v>-0.22014229986766135</v>
      </c>
      <c r="H241" s="139"/>
      <c r="I241" s="86"/>
      <c r="J241" s="79">
        <f t="shared" si="936"/>
        <v>5.2320000000000002</v>
      </c>
    </row>
    <row r="242" spans="5:10" x14ac:dyDescent="0.25">
      <c r="E242" s="170">
        <f t="shared" si="937"/>
        <v>0.8849461147481108</v>
      </c>
      <c r="F242" s="170">
        <f t="shared" si="937"/>
        <v>0.43191625932123157</v>
      </c>
      <c r="G242" s="170">
        <f t="shared" si="937"/>
        <v>-0.17412271226401888</v>
      </c>
      <c r="H242" s="139"/>
      <c r="I242" s="86"/>
      <c r="J242" s="79">
        <f t="shared" si="936"/>
        <v>5.2370000000000001</v>
      </c>
    </row>
    <row r="243" spans="5:10" x14ac:dyDescent="0.25">
      <c r="E243" s="170">
        <f t="shared" si="937"/>
        <v>0.90628504755531003</v>
      </c>
      <c r="F243" s="170">
        <f t="shared" si="937"/>
        <v>0.40358074190429366</v>
      </c>
      <c r="G243" s="170">
        <f t="shared" si="937"/>
        <v>-0.12557865002320046</v>
      </c>
      <c r="H243" s="139"/>
      <c r="I243" s="86"/>
      <c r="J243" s="79">
        <f t="shared" si="936"/>
        <v>5.242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86A0CAB-B915-4CE3-AAAE-7B18C35A653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CF4E7B1B-E12C-4197-B8F4-84B75A46F427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12.25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1308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1.1259999999999999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1.1359999999999999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1.141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1.1459999999999999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1.151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1.2110000000000001</v>
      </c>
      <c r="N176" s="869" t="str">
        <f>Assy.Model!K21</f>
        <v>Inactive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1.216</v>
      </c>
      <c r="N177" s="869" t="str">
        <f>Assy.Model!K22</f>
        <v>Inactive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1.2210000000000001</v>
      </c>
      <c r="N178" s="869" t="str">
        <f>Assy.Model!K23</f>
        <v>Inactive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1.226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1.2310000000000001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1.236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1.2410000000000001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1.5009999999999999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2.1030000000000002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2.1059999999999999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2.11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2.1150000000000002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2.12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2.125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2.13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2.1349999999999998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2.14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2.145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2.15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2.1549999999999998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2.2149999999999999</v>
      </c>
      <c r="N196" s="869" t="str">
        <f>Assy.Model!K41</f>
        <v>Inactive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2.2200000000000002</v>
      </c>
      <c r="N197" s="869" t="str">
        <f>Assy.Model!K42</f>
        <v>Inactive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2.2250000000000001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2.23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2.2349999999999999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2.2400000000000002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2.2450000000000001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3.109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3.1139999999999999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3.1190000000000002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3.1240000000000001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3.129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3.1339999999999999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3.1389999999999998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3.1440000000000001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3.149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3.1539999999999999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3.214</v>
      </c>
      <c r="N213" s="869" t="str">
        <f>Assy.Model!K58</f>
        <v>Inactive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3.2189999999999999</v>
      </c>
      <c r="N214" s="869" t="str">
        <f>Assy.Model!K59</f>
        <v>Inactive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3.2240000000000002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3.2290000000000001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3.234</v>
      </c>
      <c r="N217" s="869">
        <f>Assy.Model!K62</f>
        <v>1313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3.2389999999999999</v>
      </c>
      <c r="N218" s="869">
        <f>Assy.Model!K63</f>
        <v>1313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3.2440000000000002</v>
      </c>
      <c r="N219" s="869">
        <f>Assy.Model!K64</f>
        <v>1313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4.1020000000000003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4.1050000000000004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4.1079999999999997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4.1130000000000004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4.1180000000000003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4.1230000000000002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4.1280000000000001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4.133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4.1379999999999999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4.1429999999999998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4.1479999999999997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4.1529999999999996</v>
      </c>
      <c r="N231" s="869">
        <f>Assy.Model!K76</f>
        <v>1313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4.2130000000000001</v>
      </c>
      <c r="N232" s="869" t="str">
        <f>Assy.Model!K77</f>
        <v>Inactive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4.218</v>
      </c>
      <c r="N233" s="869" t="str">
        <f>Assy.Model!K78</f>
        <v>Inactive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4.2229999999999999</v>
      </c>
      <c r="N234" s="869">
        <f>Assy.Model!K79</f>
        <v>1313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4.2279999999999998</v>
      </c>
      <c r="N235" s="869">
        <f>Assy.Model!K80</f>
        <v>1313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4.2329999999999997</v>
      </c>
      <c r="N236" s="869">
        <f>Assy.Model!K81</f>
        <v>1313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4.2380000000000004</v>
      </c>
      <c r="N237" s="869">
        <f>Assy.Model!K82</f>
        <v>1313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4.2430000000000003</v>
      </c>
      <c r="N238" s="869">
        <f>Assy.Model!K83</f>
        <v>1313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5.1120000000000001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5.117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5.1219999999999999</v>
      </c>
      <c r="N241" s="869">
        <f>Assy.Model!K86</f>
        <v>1613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5.1269999999999998</v>
      </c>
      <c r="N242" s="869">
        <f>Assy.Model!K87</f>
        <v>1613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5.1319999999999997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5.1369999999999996</v>
      </c>
      <c r="N244" s="869">
        <f>Assy.Model!K89</f>
        <v>1613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5.1420000000000003</v>
      </c>
      <c r="N245" s="869">
        <f>Assy.Model!K90</f>
        <v>1613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5.1470000000000002</v>
      </c>
      <c r="N246" s="869">
        <f>Assy.Model!K91</f>
        <v>1613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5.1520000000000001</v>
      </c>
      <c r="N247" s="869">
        <f>Assy.Model!K92</f>
        <v>1313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5.2169999999999996</v>
      </c>
      <c r="N248" s="869" t="str">
        <f>Assy.Model!K93</f>
        <v>Inactive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5.2220000000000004</v>
      </c>
      <c r="N249" s="869" t="str">
        <f>Assy.Model!K94</f>
        <v>Inactive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5.2270000000000003</v>
      </c>
      <c r="N250" s="869">
        <f>Assy.Model!K95</f>
        <v>1313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5.2320000000000002</v>
      </c>
      <c r="N251" s="869">
        <f>Assy.Model!K96</f>
        <v>1313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5.2370000000000001</v>
      </c>
      <c r="N252" s="869">
        <f>Assy.Model!K97</f>
        <v>1313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5.242</v>
      </c>
      <c r="N253" s="869">
        <f>Assy.Model!K98</f>
        <v>1313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2023-03-30T13:05:00Z</dcterms:modified>
</cp:coreProperties>
</file>