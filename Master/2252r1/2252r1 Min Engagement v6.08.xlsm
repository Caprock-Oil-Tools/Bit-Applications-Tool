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52\"/>
    </mc:Choice>
  </mc:AlternateContent>
  <xr:revisionPtr revIDLastSave="0" documentId="13_ncr:1_{39899F42-3BD0-4C95-ACE1-DC057C2B23F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S83" i="1"/>
  <c r="IX83" i="1"/>
  <c r="IR83" i="1"/>
  <c r="IL83" i="1"/>
  <c r="IK83" i="1"/>
  <c r="IT83" i="1"/>
  <c r="IW83" i="1"/>
  <c r="IU83" i="1"/>
  <c r="IE83" i="1" s="1"/>
  <c r="IY83" i="1"/>
  <c r="IV83" i="1"/>
  <c r="IP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35" i="1"/>
  <c r="IF109" i="1"/>
  <c r="IF145" i="1"/>
  <c r="IF106" i="1"/>
  <c r="IF13" i="1"/>
  <c r="IF108" i="1"/>
  <c r="IF92" i="1"/>
  <c r="IF131" i="1"/>
  <c r="IF123" i="1"/>
  <c r="IF141" i="1"/>
  <c r="IF124" i="1"/>
  <c r="IF107" i="1"/>
  <c r="IF146" i="1"/>
  <c r="IF11" i="1"/>
  <c r="IF134" i="1"/>
  <c r="IF82" i="1"/>
  <c r="IF84" i="1"/>
  <c r="IF12" i="1"/>
  <c r="IF83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90" i="1" l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IP104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Q62" i="1" s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89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1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Q37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Q91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F86" i="1" l="1"/>
  <c r="AM86" i="1" s="1"/>
  <c r="IQ61" i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V19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IP31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90" i="1" l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P19" i="1"/>
  <c r="IU35" i="1"/>
  <c r="IE35" i="1" s="1"/>
  <c r="IP49" i="1"/>
  <c r="IP59" i="1"/>
  <c r="IP71" i="1"/>
  <c r="AQ11" i="1"/>
  <c r="IP20" i="1"/>
  <c r="AQ20" i="1"/>
  <c r="IU20" i="1"/>
  <c r="IE20" i="1" s="1"/>
  <c r="IQ19" i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IL105" i="1" s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1" i="1" s="1"/>
  <c r="W84" i="1"/>
  <c r="W81" i="1"/>
  <c r="IL89" i="1" s="1"/>
  <c r="W82" i="1"/>
  <c r="IL90" i="1" s="1"/>
  <c r="W79" i="1"/>
  <c r="IL87" i="1" s="1"/>
  <c r="W80" i="1"/>
  <c r="W77" i="1"/>
  <c r="IL85" i="1" s="1"/>
  <c r="W78" i="1"/>
  <c r="IL86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6" i="1" l="1"/>
  <c r="IL88" i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8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IY50" i="1" s="1"/>
  <c r="U50" i="1"/>
  <c r="T50" i="1"/>
  <c r="T49" i="1"/>
  <c r="AK49" i="1"/>
  <c r="AO49" i="1" s="1"/>
  <c r="IS57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8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56" i="1" l="1"/>
  <c r="IT91" i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S94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S55" i="1"/>
  <c r="IX55" i="1"/>
  <c r="IT54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IS93" i="1" s="1"/>
  <c r="AP83" i="1"/>
  <c r="AO83" i="1"/>
  <c r="IS91" i="1" s="1"/>
  <c r="AO81" i="1"/>
  <c r="AP81" i="1"/>
  <c r="AO82" i="1"/>
  <c r="IS90" i="1" s="1"/>
  <c r="AP82" i="1"/>
  <c r="AO79" i="1"/>
  <c r="IS87" i="1" s="1"/>
  <c r="AP79" i="1"/>
  <c r="AP80" i="1"/>
  <c r="AO80" i="1"/>
  <c r="IS88" i="1" s="1"/>
  <c r="AO77" i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IS34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F89" i="1" l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T19" i="1"/>
  <c r="IS32" i="1"/>
  <c r="IS46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<sst xmlns="http://schemas.openxmlformats.org/spreadsheetml/2006/main" count="742" uniqueCount="394">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</sst>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/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5" t="s">
        <v>77</v>
      </c>
      <c r="D1" s="875"/>
      <c r="E1" s="875"/>
      <c r="F1" s="875"/>
      <c r="G1" s="875"/>
      <c r="H1" s="875"/>
      <c r="I1" s="875"/>
      <c r="J1" s="875"/>
      <c r="K1" s="875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7" t="s">
        <v>379</v>
      </c>
      <c r="AQ7" s="897"/>
      <c r="AR7" s="897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90">
        <v>9</v>
      </c>
      <c r="D9" s="894"/>
      <c r="E9" s="894"/>
      <c r="F9" s="894"/>
      <c r="G9" s="894"/>
      <c r="H9" s="894"/>
      <c r="I9" s="894"/>
      <c r="J9" s="894"/>
      <c r="K9" s="891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2"/>
      <c r="C10" s="913"/>
      <c r="D10" s="913"/>
      <c r="E10" s="913"/>
      <c r="F10" s="913"/>
      <c r="G10" s="913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8"/>
      <c r="B11" s="901" t="s">
        <v>33</v>
      </c>
      <c r="C11" s="906" t="s">
        <v>34</v>
      </c>
      <c r="D11" s="906"/>
      <c r="E11" s="905" t="s">
        <v>39</v>
      </c>
      <c r="F11" s="901" t="s">
        <v>35</v>
      </c>
      <c r="G11" s="901" t="s">
        <v>36</v>
      </c>
      <c r="H11" s="901" t="s">
        <v>43</v>
      </c>
      <c r="I11" s="892" t="s">
        <v>67</v>
      </c>
      <c r="J11" s="906" t="s">
        <v>56</v>
      </c>
      <c r="K11" s="906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5" t="s">
        <v>347</v>
      </c>
      <c r="AN11" s="894"/>
      <c r="AO11" s="894"/>
      <c r="AP11" s="894"/>
      <c r="AQ11" s="894"/>
      <c r="AR11" s="916"/>
      <c r="AS11" s="923" t="s">
        <v>354</v>
      </c>
      <c r="AT11" s="924"/>
      <c r="AU11" s="924"/>
      <c r="AV11" s="925"/>
      <c r="BC11" s="470"/>
    </row>
    <row r="12" spans="1:55" ht="15.75" thickBot="1" x14ac:dyDescent="0.3">
      <c r="A12" s="907"/>
      <c r="B12" s="902"/>
      <c r="C12" s="48" t="s">
        <v>8</v>
      </c>
      <c r="D12" s="49" t="s">
        <v>10</v>
      </c>
      <c r="E12" s="902"/>
      <c r="F12" s="902"/>
      <c r="G12" s="902"/>
      <c r="H12" s="902"/>
      <c r="I12" s="893"/>
      <c r="J12" s="53" t="s">
        <v>8</v>
      </c>
      <c r="K12" s="54" t="s">
        <v>10</v>
      </c>
      <c r="M12" s="31"/>
      <c r="N12" s="31"/>
      <c r="O12" s="884" t="s">
        <v>46</v>
      </c>
      <c r="P12" s="885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890"/>
      <c r="AF12" s="878" t="s">
        <v>56</v>
      </c>
      <c r="AG12" s="879"/>
      <c r="AH12" s="31"/>
      <c r="AK12" s="898" t="s">
        <v>355</v>
      </c>
      <c r="AL12" s="914"/>
      <c r="AM12" s="917" t="s">
        <v>352</v>
      </c>
      <c r="AN12" s="918"/>
      <c r="AO12" s="899"/>
      <c r="AP12" s="898" t="s">
        <v>380</v>
      </c>
      <c r="AQ12" s="899"/>
      <c r="AR12" s="802" t="s">
        <v>378</v>
      </c>
      <c r="AS12" s="920" t="s">
        <v>352</v>
      </c>
      <c r="AT12" s="899"/>
      <c r="AU12" s="921" t="s">
        <v>353</v>
      </c>
      <c r="AV12" s="922"/>
      <c r="AW12" s="926" t="s">
        <v>351</v>
      </c>
      <c r="AX12" s="927"/>
      <c r="AZ12" s="898" t="s">
        <v>60</v>
      </c>
      <c r="BA12" s="899"/>
      <c r="BC12" s="919" t="s">
        <v>383</v>
      </c>
    </row>
    <row r="13" spans="1:55" ht="15.75" thickBot="1" x14ac:dyDescent="0.3">
      <c r="A13" s="64" t="s">
        <v>57</v>
      </c>
      <c r="B13" s="908" t="s">
        <v>97</v>
      </c>
      <c r="C13" s="910" t="str">
        <f>SUBSTITUTE(ADDRESS(1,COLUMN(Assy.Model!X9),4),"1","")</f>
        <v>X</v>
      </c>
      <c r="D13" s="101" t="str">
        <f>SUBSTITUTE(ADDRESS(1,COLUMN(Assy.Model!Y9),4),"1","")</f>
        <v>Y</v>
      </c>
      <c r="E13" s="895" t="str">
        <f>SUBSTITUTE(ADDRESS(1,COLUMN(Assy.Model!H9),4),"1","")</f>
        <v>H</v>
      </c>
      <c r="F13" s="895" t="str">
        <f>SUBSTITUTE(ADDRESS(1,COLUMN(Assy.Model!AN9),4),"1","")</f>
        <v>AN</v>
      </c>
      <c r="G13" s="895" t="str">
        <f>SUBSTITUTE(ADDRESS(1,COLUMN(Assy.Model!AO9),4),"1","")</f>
        <v>AO</v>
      </c>
      <c r="H13" s="895" t="str">
        <f>SUBSTITUTE(ADDRESS(1,COLUMN(Assy.Model!AO9),4),"1","")</f>
        <v>AO</v>
      </c>
      <c r="I13" s="895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6"/>
      <c r="P13" s="887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9"/>
    </row>
    <row r="14" spans="1:55" x14ac:dyDescent="0.25">
      <c r="A14" s="62" t="s">
        <v>58</v>
      </c>
      <c r="B14" s="909"/>
      <c r="C14" s="911"/>
      <c r="D14" s="102" t="str">
        <f>SUBSTITUTE(ADDRESS(1,COLUMN(Assy.Model!AT9),4),"1","")</f>
        <v>AT</v>
      </c>
      <c r="E14" s="896"/>
      <c r="F14" s="896"/>
      <c r="G14" s="896"/>
      <c r="H14" s="896"/>
      <c r="I14" s="896"/>
      <c r="J14" s="91">
        <v>0</v>
      </c>
      <c r="K14" s="92">
        <v>0</v>
      </c>
      <c r="L14" s="31"/>
      <c r="M14" s="190">
        <v>6.25E-2</v>
      </c>
      <c r="N14" s="31">
        <v>32</v>
      </c>
      <c r="O14" s="882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2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2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2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2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10.625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2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3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90" t="s">
        <v>64</v>
      </c>
      <c r="C21" s="894"/>
      <c r="D21" s="894"/>
      <c r="E21" s="894"/>
      <c r="F21" s="891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8"/>
      <c r="C22" s="890" t="s">
        <v>63</v>
      </c>
      <c r="D22" s="891"/>
      <c r="E22" s="892" t="s">
        <v>60</v>
      </c>
      <c r="F22" s="892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9"/>
      <c r="C23" s="57" t="s">
        <v>8</v>
      </c>
      <c r="D23" s="57" t="s">
        <v>9</v>
      </c>
      <c r="E23" s="893"/>
      <c r="F23" s="893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80">
        <v>0</v>
      </c>
      <c r="E24" s="880">
        <v>2</v>
      </c>
      <c r="F24" s="880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5.3125</v>
      </c>
      <c r="D25" s="881"/>
      <c r="E25" s="881"/>
      <c r="F25" s="881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6" t="s">
        <v>311</v>
      </c>
      <c r="C27" s="876"/>
      <c r="D27" s="876"/>
      <c r="E27" s="876"/>
      <c r="F27" s="876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7" t="s">
        <v>390</v>
      </c>
      <c r="C28" s="877"/>
      <c r="D28" s="877"/>
      <c r="E28" s="877"/>
      <c r="F28" s="877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4" t="s">
        <v>95</v>
      </c>
      <c r="D3" s="894"/>
      <c r="E3" s="894"/>
      <c r="F3" s="894"/>
      <c r="G3" s="894"/>
      <c r="H3" s="894"/>
      <c r="I3" s="894"/>
      <c r="J3" s="894"/>
      <c r="K3" s="916"/>
      <c r="L3" s="974"/>
      <c r="M3" s="894"/>
      <c r="N3" s="894"/>
      <c r="O3" s="894"/>
      <c r="P3" s="894"/>
      <c r="Q3" s="894"/>
      <c r="R3" s="891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6" t="s">
        <v>86</v>
      </c>
      <c r="C4" s="957" t="s">
        <v>82</v>
      </c>
      <c r="D4" s="894" t="s">
        <v>83</v>
      </c>
      <c r="E4" s="894"/>
      <c r="F4" s="894"/>
      <c r="G4" s="894"/>
      <c r="H4" s="894"/>
      <c r="I4" s="894"/>
      <c r="J4" s="894"/>
      <c r="K4" s="894"/>
      <c r="L4" s="150" t="s">
        <v>91</v>
      </c>
      <c r="M4" s="890" t="s">
        <v>94</v>
      </c>
      <c r="N4" s="894"/>
      <c r="O4" s="894"/>
      <c r="P4" s="916"/>
      <c r="Q4" s="894" t="s">
        <v>52</v>
      </c>
      <c r="R4" s="891"/>
      <c r="S4" s="107"/>
      <c r="T4" s="890">
        <v>350</v>
      </c>
      <c r="U4" s="894"/>
      <c r="V4" s="894" t="s">
        <v>76</v>
      </c>
      <c r="W4" s="89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7"/>
      <c r="C5" s="958"/>
      <c r="D5" s="942" t="s">
        <v>85</v>
      </c>
      <c r="E5" s="960" t="s">
        <v>89</v>
      </c>
      <c r="F5" s="906" t="s">
        <v>34</v>
      </c>
      <c r="G5" s="906"/>
      <c r="H5" s="905" t="s">
        <v>39</v>
      </c>
      <c r="I5" s="901" t="s">
        <v>35</v>
      </c>
      <c r="J5" s="901" t="s">
        <v>36</v>
      </c>
      <c r="K5" s="968" t="s">
        <v>67</v>
      </c>
      <c r="L5" s="151" t="s">
        <v>92</v>
      </c>
      <c r="M5" s="892" t="s">
        <v>90</v>
      </c>
      <c r="N5" s="892" t="s">
        <v>47</v>
      </c>
      <c r="O5" s="970" t="s">
        <v>84</v>
      </c>
      <c r="P5" s="971"/>
      <c r="Q5" s="972" t="s">
        <v>84</v>
      </c>
      <c r="R5" s="973"/>
      <c r="S5" s="107"/>
      <c r="T5" s="884" t="s">
        <v>46</v>
      </c>
      <c r="U5" s="975"/>
      <c r="V5" s="927" t="s">
        <v>45</v>
      </c>
      <c r="W5" s="879"/>
      <c r="X5" s="879"/>
      <c r="Y5" s="879"/>
      <c r="Z5" s="879"/>
      <c r="AA5" s="879"/>
      <c r="AB5" s="879"/>
      <c r="AC5" s="879"/>
      <c r="AD5" s="879"/>
      <c r="AE5" s="879"/>
      <c r="AF5" s="879"/>
      <c r="AG5" s="879"/>
      <c r="AH5" s="879"/>
      <c r="AI5" s="879"/>
      <c r="AJ5" s="879"/>
      <c r="AK5" s="31"/>
      <c r="AL5" s="31"/>
    </row>
    <row r="6" spans="2:38" ht="15" customHeight="1" thickBot="1" x14ac:dyDescent="0.3">
      <c r="B6" s="938"/>
      <c r="C6" s="959"/>
      <c r="D6" s="943"/>
      <c r="E6" s="961"/>
      <c r="F6" s="108" t="s">
        <v>8</v>
      </c>
      <c r="G6" s="109" t="s">
        <v>10</v>
      </c>
      <c r="H6" s="956"/>
      <c r="I6" s="956"/>
      <c r="J6" s="956"/>
      <c r="K6" s="969"/>
      <c r="L6" s="152" t="s">
        <v>93</v>
      </c>
      <c r="M6" s="967"/>
      <c r="N6" s="967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9"/>
      <c r="U6" s="976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4">
        <f>ROW(Assy.Model!B9)</f>
        <v>9</v>
      </c>
      <c r="D7" s="933" t="str">
        <f>SUBSTITUTE(ADDRESS(1,COLUMN(Assy.Model!B9),4),"1","")</f>
        <v>B</v>
      </c>
      <c r="E7" s="947" t="str">
        <f>SUBSTITUTE(ADDRESS(1,COLUMN(Assy.Model!M9),4),"1","")</f>
        <v>M</v>
      </c>
      <c r="F7" s="950" t="str">
        <f>SUBSTITUTE(ADDRESS(1,COLUMN(Assy.Model!X9),4),"1","")</f>
        <v>X</v>
      </c>
      <c r="G7" s="939" t="str">
        <f>SUBSTITUTE(ADDRESS(1,COLUMN(Assy.Model!AT9),4),"1","")</f>
        <v>AT</v>
      </c>
      <c r="H7" s="953" t="str">
        <f>SUBSTITUTE(ADDRESS(1,COLUMN(Assy.Model!H9),4),"1","")</f>
        <v>H</v>
      </c>
      <c r="I7" s="953" t="str">
        <f>SUBSTITUTE(ADDRESS(1,COLUMN(Assy.Model!AN9),4),"1","")</f>
        <v>AN</v>
      </c>
      <c r="J7" s="953" t="str">
        <f>SUBSTITUTE(ADDRESS(1,COLUMN(Assy.Model!AO9),4),"1","")</f>
        <v>AO</v>
      </c>
      <c r="K7" s="962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30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8" t="s">
        <v>81</v>
      </c>
      <c r="C8" s="945"/>
      <c r="D8" s="934"/>
      <c r="E8" s="948"/>
      <c r="F8" s="951"/>
      <c r="G8" s="940"/>
      <c r="H8" s="954"/>
      <c r="I8" s="954"/>
      <c r="J8" s="954"/>
      <c r="K8" s="963"/>
      <c r="L8" s="153" t="s">
        <v>93</v>
      </c>
      <c r="M8" s="965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31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8"/>
      <c r="C9" s="945"/>
      <c r="D9" s="934"/>
      <c r="E9" s="948"/>
      <c r="F9" s="951"/>
      <c r="G9" s="940"/>
      <c r="H9" s="954"/>
      <c r="I9" s="954"/>
      <c r="J9" s="954"/>
      <c r="K9" s="963"/>
      <c r="L9" s="153" t="s">
        <v>92</v>
      </c>
      <c r="M9" s="965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31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8"/>
      <c r="C10" s="945"/>
      <c r="D10" s="934"/>
      <c r="E10" s="948"/>
      <c r="F10" s="951"/>
      <c r="G10" s="940"/>
      <c r="H10" s="954"/>
      <c r="I10" s="954"/>
      <c r="J10" s="954"/>
      <c r="K10" s="963"/>
      <c r="L10" s="153" t="s">
        <v>92</v>
      </c>
      <c r="M10" s="965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31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8"/>
      <c r="C11" s="945"/>
      <c r="D11" s="934"/>
      <c r="E11" s="948"/>
      <c r="F11" s="951"/>
      <c r="G11" s="940"/>
      <c r="H11" s="954"/>
      <c r="I11" s="954"/>
      <c r="J11" s="954"/>
      <c r="K11" s="963"/>
      <c r="L11" s="153" t="s">
        <v>92</v>
      </c>
      <c r="M11" s="965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31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8"/>
      <c r="C12" s="945"/>
      <c r="D12" s="934"/>
      <c r="E12" s="948"/>
      <c r="F12" s="951"/>
      <c r="G12" s="940"/>
      <c r="H12" s="954"/>
      <c r="I12" s="954"/>
      <c r="J12" s="954"/>
      <c r="K12" s="963"/>
      <c r="L12" s="153" t="s">
        <v>92</v>
      </c>
      <c r="M12" s="965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31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8"/>
      <c r="C13" s="945"/>
      <c r="D13" s="934"/>
      <c r="E13" s="948"/>
      <c r="F13" s="951"/>
      <c r="G13" s="940"/>
      <c r="H13" s="954"/>
      <c r="I13" s="954"/>
      <c r="J13" s="954"/>
      <c r="K13" s="963"/>
      <c r="L13" s="153" t="s">
        <v>92</v>
      </c>
      <c r="M13" s="965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31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9"/>
      <c r="C14" s="946"/>
      <c r="D14" s="935"/>
      <c r="E14" s="949"/>
      <c r="F14" s="952"/>
      <c r="G14" s="941"/>
      <c r="H14" s="955"/>
      <c r="I14" s="955"/>
      <c r="J14" s="955"/>
      <c r="K14" s="964"/>
      <c r="L14" s="154" t="s">
        <v>93</v>
      </c>
      <c r="M14" s="966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2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4" t="str">
        <f>CONCATENATE(Settings!$C$19," ",Settings!$B$28)</f>
        <v>10.625  Job# --- Assy# --- Post Braze --- yy.mm.dd</v>
      </c>
      <c r="D1" s="994"/>
      <c r="E1" s="994"/>
      <c r="F1" s="994"/>
      <c r="G1" s="994"/>
      <c r="H1" s="994"/>
      <c r="I1" s="994"/>
      <c r="J1" s="994"/>
      <c r="K1" s="994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6" t="s">
        <v>315</v>
      </c>
      <c r="C2" s="1007"/>
      <c r="D2" s="1007"/>
      <c r="E2" s="1007"/>
      <c r="F2" s="1007"/>
      <c r="G2" s="1007"/>
      <c r="H2" s="1007"/>
      <c r="I2" s="1007"/>
      <c r="J2" s="1007"/>
      <c r="K2" s="1008"/>
      <c r="L2" s="993" t="str" cm="1">
        <f t="array" ref="L2">IF(OR($K$9:$K$150="Undefined"),"Undefined Element","")</f>
        <v/>
      </c>
      <c r="M2" s="1017" t="s">
        <v>0</v>
      </c>
      <c r="N2" s="1054" t="s">
        <v>1</v>
      </c>
      <c r="O2" s="1055"/>
      <c r="P2" s="1055"/>
      <c r="Q2" s="1055"/>
      <c r="R2" s="1055"/>
      <c r="S2" s="1055"/>
      <c r="T2" s="1055"/>
      <c r="U2" s="1055"/>
      <c r="V2" s="1055"/>
      <c r="W2" s="1055"/>
      <c r="X2" s="1055"/>
      <c r="Y2" s="1056"/>
      <c r="Z2" s="1054" t="s">
        <v>2</v>
      </c>
      <c r="AA2" s="1055"/>
      <c r="AB2" s="1055"/>
      <c r="AC2" s="1055"/>
      <c r="AD2" s="1055"/>
      <c r="AE2" s="1055"/>
      <c r="AF2" s="1055"/>
      <c r="AG2" s="1055"/>
      <c r="AH2" s="1055"/>
      <c r="AI2" s="1055"/>
      <c r="AJ2" s="1055"/>
      <c r="AK2" s="1055"/>
      <c r="AL2" s="1055"/>
      <c r="AM2" s="1055"/>
      <c r="AN2" s="1055"/>
      <c r="AO2" s="1055"/>
      <c r="AP2" s="1055"/>
      <c r="AQ2" s="1080"/>
      <c r="AS2" s="1062" t="s">
        <v>44</v>
      </c>
      <c r="AT2" s="1063"/>
      <c r="AV2" s="1052" t="s">
        <v>0</v>
      </c>
      <c r="AW2" s="1054" t="s">
        <v>109</v>
      </c>
      <c r="AX2" s="1055"/>
      <c r="AY2" s="1055"/>
      <c r="AZ2" s="1055"/>
      <c r="BA2" s="1055"/>
      <c r="BB2" s="1055"/>
      <c r="BC2" s="1055"/>
      <c r="BD2" s="1055"/>
      <c r="BE2" s="1080"/>
      <c r="BF2" s="1086" t="s">
        <v>115</v>
      </c>
      <c r="BG2" s="1055"/>
      <c r="BH2" s="1055"/>
      <c r="BI2" s="1055"/>
      <c r="BJ2" s="1055"/>
      <c r="BK2" s="1055"/>
      <c r="BL2" s="1055"/>
      <c r="BM2" s="1055"/>
      <c r="BN2" s="1055"/>
      <c r="BO2" s="1055"/>
      <c r="BP2" s="1055"/>
      <c r="BQ2" s="1055"/>
      <c r="BR2" s="1055"/>
      <c r="BS2" s="1055"/>
      <c r="BT2" s="1055"/>
      <c r="BU2" s="1055"/>
      <c r="BV2" s="1055"/>
      <c r="BW2" s="1055"/>
      <c r="BX2" s="1055"/>
      <c r="BY2" s="1055"/>
      <c r="BZ2" s="1055"/>
      <c r="CA2" s="1055"/>
      <c r="CB2" s="1055"/>
      <c r="CC2" s="1055"/>
      <c r="CD2" s="1055"/>
      <c r="CE2" s="1055"/>
      <c r="CF2" s="1055"/>
      <c r="CG2" s="1055"/>
      <c r="CH2" s="1055"/>
      <c r="CI2" s="1055"/>
      <c r="CJ2" s="1055"/>
      <c r="CK2" s="1055"/>
      <c r="CL2" s="1055"/>
      <c r="CM2" s="1055"/>
      <c r="CN2" s="1055"/>
      <c r="CO2" s="1055"/>
      <c r="CP2" s="1055"/>
      <c r="CQ2" s="1055"/>
      <c r="CR2" s="1055"/>
      <c r="CS2" s="1055"/>
      <c r="CT2" s="1055"/>
      <c r="CU2" s="1055"/>
      <c r="CV2" s="1055"/>
      <c r="CW2" s="1055"/>
      <c r="CX2" s="1055"/>
      <c r="CY2" s="1055"/>
      <c r="CZ2" s="1055"/>
      <c r="DA2" s="1055"/>
      <c r="DB2" s="1055"/>
      <c r="DC2" s="1055"/>
      <c r="DD2" s="1055"/>
      <c r="DE2" s="1055"/>
      <c r="DF2" s="1055"/>
      <c r="DG2" s="1055"/>
      <c r="DH2" s="1055"/>
      <c r="DI2" s="1055"/>
      <c r="DJ2" s="1055"/>
      <c r="DK2" s="1055"/>
      <c r="DL2" s="1055"/>
      <c r="DM2" s="1055"/>
      <c r="DN2" s="1055"/>
      <c r="DO2" s="1055"/>
      <c r="DP2" s="1055"/>
      <c r="DQ2" s="1055"/>
      <c r="DR2" s="1055"/>
      <c r="DS2" s="1055"/>
      <c r="DT2" s="1055"/>
      <c r="DU2" s="1055"/>
      <c r="DV2" s="1055"/>
      <c r="DW2" s="1055"/>
      <c r="DX2" s="1055"/>
      <c r="DY2" s="1055"/>
      <c r="DZ2" s="1055"/>
      <c r="EA2" s="1055"/>
      <c r="EB2" s="1055"/>
      <c r="EC2" s="1055"/>
      <c r="ED2" s="1055"/>
      <c r="EE2" s="1055"/>
      <c r="EF2" s="1055"/>
      <c r="EG2" s="1055"/>
      <c r="EH2" s="1055"/>
      <c r="EI2" s="1055"/>
      <c r="EJ2" s="1055"/>
      <c r="EK2" s="1055"/>
      <c r="EL2" s="1055"/>
      <c r="EM2" s="1055"/>
      <c r="EN2" s="1055"/>
      <c r="EO2" s="1055"/>
      <c r="EP2" s="1055"/>
      <c r="EQ2" s="1055"/>
      <c r="ER2" s="1056"/>
      <c r="ES2" s="1212" t="s">
        <v>197</v>
      </c>
      <c r="ET2" s="1213"/>
      <c r="EU2" s="1213"/>
      <c r="EV2" s="1213"/>
      <c r="EW2" s="1213"/>
      <c r="EX2" s="1213"/>
      <c r="EY2" s="1213"/>
      <c r="EZ2" s="1213"/>
      <c r="FA2" s="1213"/>
      <c r="FB2" s="1213"/>
      <c r="FC2" s="1213"/>
      <c r="FD2" s="1213"/>
      <c r="FE2" s="1213"/>
      <c r="FF2" s="1214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3" t="s">
        <v>266</v>
      </c>
      <c r="HQ2" s="1163" t="str">
        <f>IFERROR(CONCATENATE("Sum of Lateral Forces = ",ROUND(HE3,0)," lbs @ ",ROUND(HF3,1),"° Relative to Blade 1"),"")</f>
        <v/>
      </c>
      <c r="HR2" s="1164"/>
      <c r="HS2" s="1164"/>
      <c r="HT2" s="1164"/>
      <c r="HU2" s="1164"/>
      <c r="HV2" s="116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9"/>
      <c r="C3" s="1010"/>
      <c r="D3" s="1010"/>
      <c r="E3" s="1010"/>
      <c r="F3" s="1010"/>
      <c r="G3" s="1010"/>
      <c r="H3" s="1010"/>
      <c r="I3" s="1010"/>
      <c r="J3" s="1010"/>
      <c r="K3" s="1011"/>
      <c r="L3" s="993"/>
      <c r="M3" s="1009"/>
      <c r="N3" s="1057"/>
      <c r="O3" s="1058"/>
      <c r="P3" s="1058"/>
      <c r="Q3" s="1058"/>
      <c r="R3" s="1058"/>
      <c r="S3" s="1058"/>
      <c r="T3" s="1058"/>
      <c r="U3" s="1058"/>
      <c r="V3" s="1058"/>
      <c r="W3" s="1058"/>
      <c r="X3" s="1058"/>
      <c r="Y3" s="1059"/>
      <c r="Z3" s="1057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081"/>
      <c r="AS3" s="466">
        <v>100</v>
      </c>
      <c r="AT3" s="463" t="s">
        <v>45</v>
      </c>
      <c r="AV3" s="1053"/>
      <c r="AW3" s="1102"/>
      <c r="AX3" s="1088"/>
      <c r="AY3" s="1088"/>
      <c r="AZ3" s="1088"/>
      <c r="BA3" s="1088"/>
      <c r="BB3" s="1088"/>
      <c r="BC3" s="1088"/>
      <c r="BD3" s="1088"/>
      <c r="BE3" s="1103"/>
      <c r="BF3" s="1087"/>
      <c r="BG3" s="1088"/>
      <c r="BH3" s="1088"/>
      <c r="BI3" s="1088"/>
      <c r="BJ3" s="1088"/>
      <c r="BK3" s="1088"/>
      <c r="BL3" s="1088"/>
      <c r="BM3" s="1088"/>
      <c r="BN3" s="1088"/>
      <c r="BO3" s="1088"/>
      <c r="BP3" s="1088"/>
      <c r="BQ3" s="1088"/>
      <c r="BR3" s="1088"/>
      <c r="BS3" s="1088"/>
      <c r="BT3" s="1088"/>
      <c r="BU3" s="1088"/>
      <c r="BV3" s="1088"/>
      <c r="BW3" s="1088"/>
      <c r="BX3" s="1088"/>
      <c r="BY3" s="1088"/>
      <c r="BZ3" s="1088"/>
      <c r="CA3" s="1088"/>
      <c r="CB3" s="1088"/>
      <c r="CC3" s="1088"/>
      <c r="CD3" s="1088"/>
      <c r="CE3" s="1088"/>
      <c r="CF3" s="1088"/>
      <c r="CG3" s="1088"/>
      <c r="CH3" s="1088"/>
      <c r="CI3" s="1088"/>
      <c r="CJ3" s="1088"/>
      <c r="CK3" s="1088"/>
      <c r="CL3" s="1088"/>
      <c r="CM3" s="1088"/>
      <c r="CN3" s="1088"/>
      <c r="CO3" s="1088"/>
      <c r="CP3" s="1088"/>
      <c r="CQ3" s="1088"/>
      <c r="CR3" s="1088"/>
      <c r="CS3" s="1088"/>
      <c r="CT3" s="1088"/>
      <c r="CU3" s="1088"/>
      <c r="CV3" s="1088"/>
      <c r="CW3" s="1088"/>
      <c r="CX3" s="1088"/>
      <c r="CY3" s="1088"/>
      <c r="CZ3" s="1088"/>
      <c r="DA3" s="1088"/>
      <c r="DB3" s="1088"/>
      <c r="DC3" s="1088"/>
      <c r="DD3" s="1088"/>
      <c r="DE3" s="1088"/>
      <c r="DF3" s="1088"/>
      <c r="DG3" s="1088"/>
      <c r="DH3" s="1088"/>
      <c r="DI3" s="1088"/>
      <c r="DJ3" s="1088"/>
      <c r="DK3" s="1088"/>
      <c r="DL3" s="1088"/>
      <c r="DM3" s="1088"/>
      <c r="DN3" s="1088"/>
      <c r="DO3" s="1088"/>
      <c r="DP3" s="1088"/>
      <c r="DQ3" s="1088"/>
      <c r="DR3" s="1088"/>
      <c r="DS3" s="1088"/>
      <c r="DT3" s="1088"/>
      <c r="DU3" s="1088"/>
      <c r="DV3" s="1088"/>
      <c r="DW3" s="1088"/>
      <c r="DX3" s="1088"/>
      <c r="DY3" s="1088"/>
      <c r="DZ3" s="1088"/>
      <c r="EA3" s="1088"/>
      <c r="EB3" s="1088"/>
      <c r="EC3" s="1088"/>
      <c r="ED3" s="1088"/>
      <c r="EE3" s="1088"/>
      <c r="EF3" s="1088"/>
      <c r="EG3" s="1088"/>
      <c r="EH3" s="1088"/>
      <c r="EI3" s="1088"/>
      <c r="EJ3" s="1088"/>
      <c r="EK3" s="1088"/>
      <c r="EL3" s="1088"/>
      <c r="EM3" s="1088"/>
      <c r="EN3" s="1088"/>
      <c r="EO3" s="1088"/>
      <c r="EP3" s="1088"/>
      <c r="EQ3" s="1088"/>
      <c r="ER3" s="1089"/>
      <c r="ES3" s="1102"/>
      <c r="ET3" s="1088"/>
      <c r="EU3" s="1088"/>
      <c r="EV3" s="1088"/>
      <c r="EW3" s="1088"/>
      <c r="EX3" s="1088"/>
      <c r="EY3" s="1088"/>
      <c r="EZ3" s="1088"/>
      <c r="FA3" s="1088"/>
      <c r="FB3" s="1088"/>
      <c r="FC3" s="1088"/>
      <c r="FD3" s="1088"/>
      <c r="FE3" s="1088"/>
      <c r="FF3" s="108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9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2"/>
      <c r="C4" s="1013"/>
      <c r="D4" s="1013"/>
      <c r="E4" s="1013"/>
      <c r="F4" s="1013"/>
      <c r="G4" s="1013"/>
      <c r="H4" s="1013"/>
      <c r="I4" s="1013"/>
      <c r="J4" s="1013"/>
      <c r="K4" s="1014"/>
      <c r="L4" s="993"/>
      <c r="M4" s="1009"/>
      <c r="N4" s="1021" t="s">
        <v>3</v>
      </c>
      <c r="O4" s="1016"/>
      <c r="P4" s="1016"/>
      <c r="Q4" s="1015" t="s">
        <v>4</v>
      </c>
      <c r="R4" s="1016"/>
      <c r="S4" s="1037"/>
      <c r="T4" s="1031" t="str">
        <f>N4</f>
        <v>Cartesian Coordinates</v>
      </c>
      <c r="U4" s="998"/>
      <c r="V4" s="1032"/>
      <c r="W4" s="998" t="str">
        <f>$Q$4</f>
        <v>Polar XY; Cartesian Z</v>
      </c>
      <c r="X4" s="998"/>
      <c r="Y4" s="999"/>
      <c r="Z4" s="1021" t="s">
        <v>3</v>
      </c>
      <c r="AA4" s="1016"/>
      <c r="AB4" s="1016"/>
      <c r="AC4" s="1016"/>
      <c r="AD4" s="1016"/>
      <c r="AE4" s="1016"/>
      <c r="AF4" s="1016"/>
      <c r="AG4" s="1049" t="s">
        <v>31</v>
      </c>
      <c r="AH4" s="1016"/>
      <c r="AI4" s="1016"/>
      <c r="AJ4" s="1037"/>
      <c r="AK4" s="1082" t="s">
        <v>32</v>
      </c>
      <c r="AL4" s="1083"/>
      <c r="AM4" s="1083"/>
      <c r="AN4" s="1083"/>
      <c r="AO4" s="1083"/>
      <c r="AP4" s="1083"/>
      <c r="AQ4" s="1084"/>
      <c r="AS4" s="467">
        <v>125</v>
      </c>
      <c r="AT4" s="464" t="s">
        <v>46</v>
      </c>
      <c r="AV4" s="1053"/>
      <c r="AW4" s="1113" t="s">
        <v>112</v>
      </c>
      <c r="AX4" s="1095"/>
      <c r="AY4" s="885"/>
      <c r="AZ4" s="1099"/>
      <c r="BA4" s="1100"/>
      <c r="BB4" s="1104" t="s">
        <v>113</v>
      </c>
      <c r="BC4" s="998" t="str">
        <f>$Q$4</f>
        <v>Polar XY; Cartesian Z</v>
      </c>
      <c r="BD4" s="998"/>
      <c r="BE4" s="1107"/>
      <c r="BF4" s="1122" t="s">
        <v>129</v>
      </c>
      <c r="BG4" s="1123"/>
      <c r="BH4" s="1123"/>
      <c r="BI4" s="1123"/>
      <c r="BJ4" s="1123"/>
      <c r="BK4" s="1123"/>
      <c r="BL4" s="1123"/>
      <c r="BM4" s="1123"/>
      <c r="BN4" s="1123"/>
      <c r="BO4" s="1123"/>
      <c r="BP4" s="1123"/>
      <c r="BQ4" s="1123"/>
      <c r="BR4" s="1123"/>
      <c r="BS4" s="1123"/>
      <c r="BT4" s="1123"/>
      <c r="BU4" s="1123"/>
      <c r="BV4" s="1123"/>
      <c r="BW4" s="1123"/>
      <c r="BX4" s="1123"/>
      <c r="BY4" s="1123"/>
      <c r="BZ4" s="1123"/>
      <c r="CA4" s="1123"/>
      <c r="CB4" s="1123"/>
      <c r="CC4" s="1123"/>
      <c r="CD4" s="1123"/>
      <c r="CE4" s="1123"/>
      <c r="CF4" s="1123"/>
      <c r="CG4" s="1123"/>
      <c r="CH4" s="1123"/>
      <c r="CI4" s="1123"/>
      <c r="CJ4" s="1123"/>
      <c r="CK4" s="1123"/>
      <c r="CL4" s="1123"/>
      <c r="CM4" s="1123"/>
      <c r="CN4" s="1124"/>
      <c r="CO4" s="1090" t="s">
        <v>193</v>
      </c>
      <c r="CP4" s="1091"/>
      <c r="CQ4" s="1091"/>
      <c r="CR4" s="1091"/>
      <c r="CS4" s="1091"/>
      <c r="CT4" s="1091"/>
      <c r="CU4" s="1091"/>
      <c r="CV4" s="1091"/>
      <c r="CW4" s="1091"/>
      <c r="CX4" s="1091"/>
      <c r="CY4" s="1091"/>
      <c r="CZ4" s="1091"/>
      <c r="DA4" s="1092"/>
      <c r="DB4" s="1209" t="s">
        <v>162</v>
      </c>
      <c r="DC4" s="1210"/>
      <c r="DD4" s="1210"/>
      <c r="DE4" s="1210"/>
      <c r="DF4" s="1210"/>
      <c r="DG4" s="1210"/>
      <c r="DH4" s="1210"/>
      <c r="DI4" s="1210"/>
      <c r="DJ4" s="1210"/>
      <c r="DK4" s="1210"/>
      <c r="DL4" s="1210"/>
      <c r="DM4" s="1210"/>
      <c r="DN4" s="1210"/>
      <c r="DO4" s="1210"/>
      <c r="DP4" s="1210"/>
      <c r="DQ4" s="1210"/>
      <c r="DR4" s="1210"/>
      <c r="DS4" s="1210"/>
      <c r="DT4" s="1210"/>
      <c r="DU4" s="1210"/>
      <c r="DV4" s="1210"/>
      <c r="DW4" s="1210"/>
      <c r="DX4" s="1210"/>
      <c r="DY4" s="1210"/>
      <c r="DZ4" s="1210"/>
      <c r="EA4" s="1210"/>
      <c r="EB4" s="1210"/>
      <c r="EC4" s="1210"/>
      <c r="ED4" s="1210"/>
      <c r="EE4" s="1210"/>
      <c r="EF4" s="1210"/>
      <c r="EG4" s="1210"/>
      <c r="EH4" s="1210"/>
      <c r="EI4" s="1210"/>
      <c r="EJ4" s="1210"/>
      <c r="EK4" s="1210"/>
      <c r="EL4" s="1210"/>
      <c r="EM4" s="1210"/>
      <c r="EN4" s="1210"/>
      <c r="EO4" s="1210"/>
      <c r="EP4" s="1210"/>
      <c r="EQ4" s="1210"/>
      <c r="ER4" s="1211"/>
      <c r="ES4" s="1225" t="s">
        <v>196</v>
      </c>
      <c r="ET4" s="1226"/>
      <c r="EU4" s="1226"/>
      <c r="EV4" s="1226"/>
      <c r="EW4" s="1226"/>
      <c r="EX4" s="1226"/>
      <c r="EY4" s="1227"/>
      <c r="EZ4" s="1146" t="s">
        <v>201</v>
      </c>
      <c r="FA4" s="1147"/>
      <c r="FB4" s="1147"/>
      <c r="FC4" s="1147"/>
      <c r="FD4" s="1147"/>
      <c r="FE4" s="1147"/>
      <c r="FF4" s="1148"/>
      <c r="FG4" s="343"/>
      <c r="FP4" s="1183" t="s">
        <v>229</v>
      </c>
      <c r="FZ4" s="1183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1175"/>
      <c r="GO4" s="1244" t="s">
        <v>229</v>
      </c>
      <c r="GP4" s="1248" t="s">
        <v>228</v>
      </c>
      <c r="GR4" s="1253" t="s">
        <v>261</v>
      </c>
      <c r="GS4" s="974" t="s">
        <v>259</v>
      </c>
      <c r="GT4" s="894"/>
      <c r="GU4" s="894"/>
      <c r="GV4" s="894"/>
      <c r="GW4" s="894"/>
      <c r="GX4" s="894"/>
      <c r="GY4" s="894"/>
      <c r="GZ4" s="894"/>
      <c r="HA4" s="1169" t="str">
        <f>IFERROR(CONCATENATE("Lateral Forces = ",ROUND(HE3,0)," lbs @ ",ROUND(HF3,1),"° Relative to Blade 1"),"")</f>
        <v/>
      </c>
      <c r="HB4" s="1170"/>
      <c r="HC4" s="1170"/>
      <c r="HD4" s="1170"/>
      <c r="HE4" s="1170"/>
      <c r="HF4" s="1170"/>
      <c r="HG4" s="1170"/>
      <c r="HH4" s="1171"/>
      <c r="HI4" s="1178" t="s">
        <v>0</v>
      </c>
      <c r="HO4" s="1200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49</v>
      </c>
      <c r="IL4" s="31"/>
      <c r="IM4" s="767"/>
    </row>
    <row r="5" spans="1:283" ht="15" customHeight="1" x14ac:dyDescent="0.25">
      <c r="B5" s="1000" t="str">
        <f>CONCATENATE(B7," ; ",E7," ; ",H7)</f>
        <v>Absolute-Point ; Incremental-Vector Point ; Pocket Info.</v>
      </c>
      <c r="C5" s="1001"/>
      <c r="D5" s="1001"/>
      <c r="E5" s="1001"/>
      <c r="F5" s="1001"/>
      <c r="G5" s="1001"/>
      <c r="H5" s="1001"/>
      <c r="I5" s="1001"/>
      <c r="J5" s="1001"/>
      <c r="K5" s="1002"/>
      <c r="L5" s="872" t="str" cm="1">
        <f t="array" ref="L5">IF(OR(IF(LEFT($K$9:$K$150,4)="&lt;&gt;CS",TRUE,FALSE)),"Wrong CS","")</f>
        <v/>
      </c>
      <c r="M5" s="1009"/>
      <c r="N5" s="1042" t="s">
        <v>5</v>
      </c>
      <c r="O5" s="980"/>
      <c r="P5" s="980"/>
      <c r="Q5" s="979" t="s">
        <v>6</v>
      </c>
      <c r="R5" s="980"/>
      <c r="S5" s="981"/>
      <c r="T5" s="1047" t="str">
        <f>CONCATENATE("Relative to ",M8,"'s θ about Z Axis")</f>
        <v>Relative to 1.111's θ about Z Axis</v>
      </c>
      <c r="U5" s="1023"/>
      <c r="V5" s="1074"/>
      <c r="W5" s="1023" t="str">
        <f>CONCATENATE("Relative to ",M8,"'s θ about Z Axis")</f>
        <v>Relative to 1.111's θ about Z Axis</v>
      </c>
      <c r="X5" s="1023"/>
      <c r="Y5" s="1033"/>
      <c r="Z5" s="1022" t="str">
        <f>N5</f>
        <v>Relative to World_CS</v>
      </c>
      <c r="AA5" s="1023"/>
      <c r="AB5" s="1023"/>
      <c r="AC5" s="1023"/>
      <c r="AD5" s="1023"/>
      <c r="AE5" s="1023"/>
      <c r="AF5" s="1023"/>
      <c r="AG5" s="1047" t="str">
        <f>N5</f>
        <v>Relative to World_CS</v>
      </c>
      <c r="AH5" s="1023"/>
      <c r="AI5" s="1023"/>
      <c r="AJ5" s="1048"/>
      <c r="AK5" s="1085" t="s">
        <v>7</v>
      </c>
      <c r="AL5" s="980"/>
      <c r="AM5" s="980"/>
      <c r="AN5" s="980"/>
      <c r="AO5" s="980"/>
      <c r="AP5" s="980"/>
      <c r="AQ5" s="981"/>
      <c r="AS5" s="171">
        <f>(((AS4*12)/60)/AS3)</f>
        <v>0.25</v>
      </c>
      <c r="AT5" s="464" t="s">
        <v>47</v>
      </c>
      <c r="AV5" s="1053"/>
      <c r="AW5" s="1114"/>
      <c r="AX5" s="1115"/>
      <c r="AY5" s="1116"/>
      <c r="AZ5" s="1101"/>
      <c r="BA5" s="875"/>
      <c r="BB5" s="1105"/>
      <c r="BC5" s="1110" t="str">
        <f>$W$5</f>
        <v>Relative to 1.111's θ about Z Axis</v>
      </c>
      <c r="BD5" s="1023"/>
      <c r="BE5" s="1048"/>
      <c r="BF5" s="974" t="s">
        <v>128</v>
      </c>
      <c r="BG5" s="894"/>
      <c r="BH5" s="894"/>
      <c r="BI5" s="894"/>
      <c r="BJ5" s="894"/>
      <c r="BK5" s="894"/>
      <c r="BL5" s="894"/>
      <c r="BM5" s="894"/>
      <c r="BN5" s="894"/>
      <c r="BO5" s="894"/>
      <c r="BP5" s="894"/>
      <c r="BQ5" s="894"/>
      <c r="BR5" s="916"/>
      <c r="BS5" s="974" t="s">
        <v>130</v>
      </c>
      <c r="BT5" s="894"/>
      <c r="BU5" s="894"/>
      <c r="BV5" s="894"/>
      <c r="BW5" s="894"/>
      <c r="BX5" s="894"/>
      <c r="BY5" s="894"/>
      <c r="BZ5" s="894"/>
      <c r="CA5" s="894"/>
      <c r="CB5" s="894"/>
      <c r="CC5" s="894"/>
      <c r="CD5" s="894"/>
      <c r="CE5" s="916"/>
      <c r="CF5" s="974" t="s">
        <v>138</v>
      </c>
      <c r="CG5" s="894"/>
      <c r="CH5" s="916"/>
      <c r="CI5" s="974" t="s">
        <v>139</v>
      </c>
      <c r="CJ5" s="894"/>
      <c r="CK5" s="894"/>
      <c r="CL5" s="894"/>
      <c r="CM5" s="894"/>
      <c r="CN5" s="916"/>
      <c r="CO5" s="1093" t="s">
        <v>275</v>
      </c>
      <c r="CP5" s="1093" t="s">
        <v>149</v>
      </c>
      <c r="CQ5" s="1095"/>
      <c r="CR5" s="1095"/>
      <c r="CS5" s="975"/>
      <c r="CT5" s="1095" t="s">
        <v>150</v>
      </c>
      <c r="CU5" s="885"/>
      <c r="CV5" s="974" t="s">
        <v>161</v>
      </c>
      <c r="CW5" s="894"/>
      <c r="CX5" s="894"/>
      <c r="CY5" s="894"/>
      <c r="CZ5" s="894"/>
      <c r="DA5" s="916"/>
      <c r="DB5" s="974" t="s">
        <v>163</v>
      </c>
      <c r="DC5" s="894"/>
      <c r="DD5" s="894"/>
      <c r="DE5" s="894"/>
      <c r="DF5" s="894"/>
      <c r="DG5" s="894"/>
      <c r="DH5" s="916"/>
      <c r="DI5" s="1134" t="s">
        <v>173</v>
      </c>
      <c r="DJ5" s="1134"/>
      <c r="DK5" s="1135"/>
      <c r="DL5" s="1189" t="s">
        <v>174</v>
      </c>
      <c r="DM5" s="1134"/>
      <c r="DN5" s="1190"/>
      <c r="DO5" s="1138" t="s">
        <v>175</v>
      </c>
      <c r="DP5" s="1139"/>
      <c r="DQ5" s="1139"/>
      <c r="DR5" s="1075" t="s">
        <v>187</v>
      </c>
      <c r="DS5" s="1075"/>
      <c r="DT5" s="1075"/>
      <c r="DU5" s="1075"/>
      <c r="DV5" s="1075"/>
      <c r="DW5" s="1075"/>
      <c r="DX5" s="1093" t="s">
        <v>190</v>
      </c>
      <c r="DY5" s="936" t="s">
        <v>149</v>
      </c>
      <c r="DZ5" s="1075"/>
      <c r="EA5" s="1075"/>
      <c r="EB5" s="1075"/>
      <c r="EC5" s="1075" t="s">
        <v>150</v>
      </c>
      <c r="ED5" s="1075"/>
      <c r="EE5" s="1253" t="s">
        <v>194</v>
      </c>
      <c r="EF5" s="1253"/>
      <c r="EG5" s="1201"/>
      <c r="EH5" s="1193" t="s">
        <v>195</v>
      </c>
      <c r="EI5" s="1194"/>
      <c r="EJ5" s="1195"/>
      <c r="EK5" s="1075" t="s">
        <v>188</v>
      </c>
      <c r="EL5" s="1093"/>
      <c r="EM5" s="974" t="s">
        <v>189</v>
      </c>
      <c r="EN5" s="894"/>
      <c r="EO5" s="894"/>
      <c r="EP5" s="894"/>
      <c r="EQ5" s="894"/>
      <c r="ER5" s="1126"/>
      <c r="ES5" s="1113" t="s">
        <v>202</v>
      </c>
      <c r="ET5" s="1095"/>
      <c r="EU5" s="975"/>
      <c r="EV5" s="1228" t="s">
        <v>222</v>
      </c>
      <c r="EW5" s="1229"/>
      <c r="EX5" s="1229"/>
      <c r="EY5" s="1230"/>
      <c r="EZ5" s="1219" t="s">
        <v>200</v>
      </c>
      <c r="FA5" s="970" t="s">
        <v>202</v>
      </c>
      <c r="FB5" s="1155"/>
      <c r="FC5" s="971"/>
      <c r="FD5" s="1159" t="s">
        <v>222</v>
      </c>
      <c r="FE5" s="1160"/>
      <c r="FF5" s="1161"/>
      <c r="FP5" s="1200"/>
      <c r="FQ5" s="31"/>
      <c r="FR5" s="31"/>
      <c r="FS5" s="31"/>
      <c r="FT5" s="31"/>
      <c r="FZ5" s="1200"/>
      <c r="GJ5" s="1241" t="s">
        <v>269</v>
      </c>
      <c r="GK5" s="1203" t="s">
        <v>267</v>
      </c>
      <c r="GL5" s="1205" t="s">
        <v>110</v>
      </c>
      <c r="GM5" s="1205" t="s">
        <v>111</v>
      </c>
      <c r="GN5" s="1206"/>
      <c r="GO5" s="1245"/>
      <c r="GP5" s="1249"/>
      <c r="GQ5" s="31"/>
      <c r="GR5" s="993"/>
      <c r="GS5" s="1101" t="s">
        <v>248</v>
      </c>
      <c r="GT5" s="1259"/>
      <c r="GU5" s="1255" t="s">
        <v>249</v>
      </c>
      <c r="GV5" s="1256"/>
      <c r="GW5" s="1257"/>
      <c r="GX5" s="1258"/>
      <c r="GY5" s="1243" t="s">
        <v>107</v>
      </c>
      <c r="GZ5" s="877"/>
      <c r="HA5" s="1166" t="s">
        <v>248</v>
      </c>
      <c r="HB5" s="1167"/>
      <c r="HC5" s="1167"/>
      <c r="HD5" s="1168"/>
      <c r="HE5" s="1185" t="s">
        <v>249</v>
      </c>
      <c r="HF5" s="1167"/>
      <c r="HG5" s="1167"/>
      <c r="HH5" s="1186"/>
      <c r="HI5" s="1179"/>
      <c r="HN5" s="386" t="s">
        <v>263</v>
      </c>
      <c r="HO5" s="58" t="s">
        <v>264</v>
      </c>
      <c r="HS5" s="1172" t="s">
        <v>274</v>
      </c>
      <c r="HZ5" s="383"/>
    </row>
    <row r="6" spans="1:283" ht="15" customHeight="1" thickBot="1" x14ac:dyDescent="0.4">
      <c r="B6" s="1003"/>
      <c r="C6" s="1004"/>
      <c r="D6" s="1004"/>
      <c r="E6" s="1004"/>
      <c r="F6" s="1004"/>
      <c r="G6" s="1004"/>
      <c r="H6" s="1004"/>
      <c r="I6" s="1004"/>
      <c r="J6" s="1004"/>
      <c r="K6" s="1005"/>
      <c r="L6" s="993" t="str" cm="1">
        <f t="array" ref="L6">IF(OR($K$9:$K$150="Inactive"),"Inactive Element","")</f>
        <v/>
      </c>
      <c r="M6" s="1009"/>
      <c r="N6" s="1038" t="s">
        <v>8</v>
      </c>
      <c r="O6" s="1040" t="s">
        <v>9</v>
      </c>
      <c r="P6" s="977" t="s">
        <v>10</v>
      </c>
      <c r="Q6" s="1043" t="s">
        <v>11</v>
      </c>
      <c r="R6" s="1044"/>
      <c r="S6" s="1034" t="s">
        <v>10</v>
      </c>
      <c r="T6" s="1070" t="str">
        <f>N6</f>
        <v>X</v>
      </c>
      <c r="U6" s="1072" t="str">
        <f>O6</f>
        <v>Y</v>
      </c>
      <c r="V6" s="1029" t="str">
        <f>P6</f>
        <v>Z</v>
      </c>
      <c r="W6" s="1019" t="str">
        <f>$Q$6</f>
        <v>Projected XY</v>
      </c>
      <c r="X6" s="1020"/>
      <c r="Y6" s="1068" t="str">
        <f>$S$6</f>
        <v>Z</v>
      </c>
      <c r="Z6" s="1050" t="s">
        <v>12</v>
      </c>
      <c r="AA6" s="1010"/>
      <c r="AB6" s="1010"/>
      <c r="AC6" s="1051"/>
      <c r="AD6" s="1015" t="s">
        <v>13</v>
      </c>
      <c r="AE6" s="1016"/>
      <c r="AF6" s="1016"/>
      <c r="AG6" s="1049" t="s">
        <v>7</v>
      </c>
      <c r="AH6" s="1016"/>
      <c r="AI6" s="1015" t="s">
        <v>14</v>
      </c>
      <c r="AJ6" s="1037"/>
      <c r="AK6" s="1077" t="str">
        <f>AD6</f>
        <v>Unit Vector</v>
      </c>
      <c r="AL6" s="1078"/>
      <c r="AM6" s="1079"/>
      <c r="AN6" s="34" t="s">
        <v>15</v>
      </c>
      <c r="AO6" s="35" t="s">
        <v>16</v>
      </c>
      <c r="AP6" s="737" t="s">
        <v>17</v>
      </c>
      <c r="AQ6" s="1060" t="s">
        <v>108</v>
      </c>
      <c r="AS6" s="172">
        <f>(AS5/360)</f>
        <v>6.9444444444444447E-4</v>
      </c>
      <c r="AT6" s="465" t="s">
        <v>48</v>
      </c>
      <c r="AV6" s="1053"/>
      <c r="AW6" s="1045" t="s">
        <v>105</v>
      </c>
      <c r="AX6" s="1046"/>
      <c r="AY6" s="195" t="s">
        <v>110</v>
      </c>
      <c r="AZ6" s="1111" t="s">
        <v>111</v>
      </c>
      <c r="BA6" s="1112"/>
      <c r="BB6" s="1106"/>
      <c r="BC6" s="1019" t="str">
        <f>$Q$6</f>
        <v>Projected XY</v>
      </c>
      <c r="BD6" s="1020"/>
      <c r="BE6" s="1108" t="str">
        <f>$S$6</f>
        <v>Z</v>
      </c>
      <c r="BF6" s="920" t="s">
        <v>125</v>
      </c>
      <c r="BG6" s="918"/>
      <c r="BH6" s="1125"/>
      <c r="BI6" s="898" t="s">
        <v>126</v>
      </c>
      <c r="BJ6" s="918"/>
      <c r="BK6" s="899"/>
      <c r="BL6" s="921" t="s">
        <v>127</v>
      </c>
      <c r="BM6" s="918"/>
      <c r="BN6" s="922"/>
      <c r="BO6" s="920" t="s">
        <v>135</v>
      </c>
      <c r="BP6" s="918"/>
      <c r="BQ6" s="918"/>
      <c r="BR6" s="922"/>
      <c r="BS6" s="920" t="s">
        <v>125</v>
      </c>
      <c r="BT6" s="918"/>
      <c r="BU6" s="1125"/>
      <c r="BV6" s="898" t="s">
        <v>126</v>
      </c>
      <c r="BW6" s="918"/>
      <c r="BX6" s="899"/>
      <c r="BY6" s="921" t="s">
        <v>127</v>
      </c>
      <c r="BZ6" s="918"/>
      <c r="CA6" s="922"/>
      <c r="CB6" s="920" t="s">
        <v>135</v>
      </c>
      <c r="CC6" s="918"/>
      <c r="CD6" s="918"/>
      <c r="CE6" s="922"/>
      <c r="CF6" s="926" t="s">
        <v>136</v>
      </c>
      <c r="CG6" s="1098"/>
      <c r="CH6" s="1098"/>
      <c r="CI6" s="1129" t="s">
        <v>137</v>
      </c>
      <c r="CJ6" s="1098"/>
      <c r="CK6" s="927"/>
      <c r="CL6" s="1127" t="s">
        <v>140</v>
      </c>
      <c r="CM6" s="1098"/>
      <c r="CN6" s="1128"/>
      <c r="CO6" s="1094"/>
      <c r="CP6" s="1094"/>
      <c r="CQ6" s="990"/>
      <c r="CR6" s="990"/>
      <c r="CS6" s="1096"/>
      <c r="CT6" s="990"/>
      <c r="CU6" s="1097"/>
      <c r="CV6" s="1036" t="s">
        <v>147</v>
      </c>
      <c r="CW6" s="918"/>
      <c r="CX6" s="899"/>
      <c r="CY6" s="1117" t="s">
        <v>148</v>
      </c>
      <c r="CZ6" s="1118"/>
      <c r="DA6" s="1119"/>
      <c r="DB6" s="1130" t="s">
        <v>176</v>
      </c>
      <c r="DC6" s="1131"/>
      <c r="DD6" s="1132"/>
      <c r="DE6" s="1133" t="s">
        <v>177</v>
      </c>
      <c r="DF6" s="1131"/>
      <c r="DG6" s="1132"/>
      <c r="DH6" s="253" t="s">
        <v>29</v>
      </c>
      <c r="DI6" s="1136"/>
      <c r="DJ6" s="1136"/>
      <c r="DK6" s="1137"/>
      <c r="DL6" s="1191"/>
      <c r="DM6" s="1136"/>
      <c r="DN6" s="1192"/>
      <c r="DO6" s="1140"/>
      <c r="DP6" s="1141"/>
      <c r="DQ6" s="1141"/>
      <c r="DR6" s="1076"/>
      <c r="DS6" s="1076"/>
      <c r="DT6" s="1076"/>
      <c r="DU6" s="1076"/>
      <c r="DV6" s="1076"/>
      <c r="DW6" s="1076"/>
      <c r="DX6" s="1094"/>
      <c r="DY6" s="1142"/>
      <c r="DZ6" s="1076"/>
      <c r="EA6" s="1076"/>
      <c r="EB6" s="1076"/>
      <c r="EC6" s="1076"/>
      <c r="ED6" s="1076"/>
      <c r="EE6" s="1260"/>
      <c r="EF6" s="1260"/>
      <c r="EG6" s="1261"/>
      <c r="EH6" s="1196"/>
      <c r="EI6" s="1197"/>
      <c r="EJ6" s="1198"/>
      <c r="EK6" s="1076"/>
      <c r="EL6" s="1094"/>
      <c r="EM6" s="1150" t="s">
        <v>199</v>
      </c>
      <c r="EN6" s="1144"/>
      <c r="EO6" s="1188"/>
      <c r="EP6" s="1143" t="s">
        <v>198</v>
      </c>
      <c r="EQ6" s="1144"/>
      <c r="ER6" s="1145"/>
      <c r="ES6" s="989"/>
      <c r="ET6" s="990"/>
      <c r="EU6" s="1096"/>
      <c r="EV6" s="274" t="s">
        <v>221</v>
      </c>
      <c r="EW6" s="1143" t="s">
        <v>202</v>
      </c>
      <c r="EX6" s="1144"/>
      <c r="EY6" s="1149"/>
      <c r="EZ6" s="1220"/>
      <c r="FA6" s="1156"/>
      <c r="FB6" s="1157"/>
      <c r="FC6" s="1158"/>
      <c r="FD6" s="1150" t="s">
        <v>202</v>
      </c>
      <c r="FE6" s="1144"/>
      <c r="FF6" s="1145"/>
      <c r="FG6" s="1152" t="s">
        <v>224</v>
      </c>
      <c r="FH6" s="1153"/>
      <c r="FI6" s="1154"/>
      <c r="FJ6" s="1075" t="s">
        <v>203</v>
      </c>
      <c r="FK6" s="1093" t="s">
        <v>214</v>
      </c>
      <c r="FL6" s="1095"/>
      <c r="FM6" s="975"/>
      <c r="FN6" s="1120" t="s">
        <v>204</v>
      </c>
      <c r="FO6" s="1222" t="s">
        <v>227</v>
      </c>
      <c r="FP6" s="1215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3" t="s">
        <v>218</v>
      </c>
      <c r="FV6" s="1095"/>
      <c r="FW6" s="975"/>
      <c r="FX6" s="1120" t="s">
        <v>219</v>
      </c>
      <c r="FY6" s="1222" t="s">
        <v>227</v>
      </c>
      <c r="FZ6" s="1215" t="s">
        <v>225</v>
      </c>
      <c r="GA6" s="1217" t="s">
        <v>239</v>
      </c>
      <c r="GB6" s="336" t="s">
        <v>207</v>
      </c>
      <c r="GC6" s="337" t="s">
        <v>240</v>
      </c>
      <c r="GD6" s="338" t="s">
        <v>226</v>
      </c>
      <c r="GE6" s="1239"/>
      <c r="GF6" s="1201" t="s">
        <v>260</v>
      </c>
      <c r="GG6" s="336" t="s">
        <v>207</v>
      </c>
      <c r="GH6" s="337" t="s">
        <v>240</v>
      </c>
      <c r="GI6" s="338" t="s">
        <v>226</v>
      </c>
      <c r="GJ6" s="1242"/>
      <c r="GK6" s="1204"/>
      <c r="GL6" s="1207"/>
      <c r="GM6" s="1207"/>
      <c r="GN6" s="1208"/>
      <c r="GO6" s="1246" t="s">
        <v>238</v>
      </c>
      <c r="GP6" s="1250" t="s">
        <v>225</v>
      </c>
      <c r="GQ6" s="1095" t="s">
        <v>203</v>
      </c>
      <c r="GR6" s="993"/>
      <c r="GS6" s="1176" t="s">
        <v>252</v>
      </c>
      <c r="GT6" s="1177"/>
      <c r="GU6" s="1162" t="s">
        <v>251</v>
      </c>
      <c r="GV6" s="1118"/>
      <c r="GW6" s="1118"/>
      <c r="GX6" s="361" t="s">
        <v>106</v>
      </c>
      <c r="GY6" s="898" t="s">
        <v>250</v>
      </c>
      <c r="GZ6" s="1125"/>
      <c r="HA6" s="1224" t="s">
        <v>252</v>
      </c>
      <c r="HB6" s="1131"/>
      <c r="HC6" s="1131"/>
      <c r="HD6" s="1132"/>
      <c r="HE6" s="898" t="s">
        <v>251</v>
      </c>
      <c r="HF6" s="918"/>
      <c r="HG6" s="918"/>
      <c r="HH6" s="922"/>
      <c r="HI6" s="1179"/>
      <c r="HN6" s="957" t="s">
        <v>238</v>
      </c>
      <c r="HO6" s="960" t="s">
        <v>265</v>
      </c>
      <c r="HP6" s="936" t="s">
        <v>203</v>
      </c>
      <c r="HQ6" s="391"/>
      <c r="HS6" s="1173"/>
      <c r="HT6" s="891" t="s">
        <v>270</v>
      </c>
      <c r="HU6" s="904"/>
      <c r="HV6" s="1175"/>
      <c r="HW6" s="974" t="s">
        <v>258</v>
      </c>
      <c r="HX6" s="894"/>
      <c r="HY6" s="916"/>
      <c r="HZ6" s="974" t="s">
        <v>249</v>
      </c>
      <c r="IA6" s="891"/>
      <c r="IE6" s="853"/>
      <c r="IF6" s="853"/>
    </row>
    <row r="7" spans="1:283" ht="15" customHeight="1" thickBot="1" x14ac:dyDescent="0.4">
      <c r="A7" s="143"/>
      <c r="B7" s="1024" t="s">
        <v>40</v>
      </c>
      <c r="C7" s="1025"/>
      <c r="D7" s="1026"/>
      <c r="E7" s="1027" t="s">
        <v>41</v>
      </c>
      <c r="F7" s="1025"/>
      <c r="G7" s="1028"/>
      <c r="H7" s="995" t="s">
        <v>98</v>
      </c>
      <c r="I7" s="996"/>
      <c r="J7" s="997"/>
      <c r="K7" s="173"/>
      <c r="L7" s="993"/>
      <c r="M7" s="1018"/>
      <c r="N7" s="1039"/>
      <c r="O7" s="1041"/>
      <c r="P7" s="978"/>
      <c r="Q7" s="36" t="s">
        <v>18</v>
      </c>
      <c r="R7" s="2" t="s">
        <v>19</v>
      </c>
      <c r="S7" s="1035"/>
      <c r="T7" s="1071"/>
      <c r="U7" s="1073"/>
      <c r="V7" s="1030"/>
      <c r="W7" s="37" t="str">
        <f>$Q$7</f>
        <v>&lt; θ°</v>
      </c>
      <c r="X7" s="27" t="str">
        <f>$R$7</f>
        <v>r</v>
      </c>
      <c r="Y7" s="1069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61"/>
      <c r="AS7" s="1066" t="s">
        <v>54</v>
      </c>
      <c r="AT7" s="1064" t="s">
        <v>53</v>
      </c>
      <c r="AV7" s="1053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6"/>
      <c r="BC7" s="37" t="str">
        <f>$Q$7</f>
        <v>&lt; θ°</v>
      </c>
      <c r="BD7" s="27" t="str">
        <f>$R$7</f>
        <v>r</v>
      </c>
      <c r="BE7" s="1109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21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51"/>
      <c r="FK7" s="350" t="s">
        <v>211</v>
      </c>
      <c r="FL7" s="351" t="s">
        <v>212</v>
      </c>
      <c r="FM7" s="352" t="s">
        <v>213</v>
      </c>
      <c r="FN7" s="1121"/>
      <c r="FO7" s="1223"/>
      <c r="FP7" s="1216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21"/>
      <c r="FY7" s="1223"/>
      <c r="FZ7" s="1216"/>
      <c r="GA7" s="1218"/>
      <c r="GB7" s="223" t="s">
        <v>232</v>
      </c>
      <c r="GC7" s="131" t="s">
        <v>233</v>
      </c>
      <c r="GD7" s="224" t="s">
        <v>234</v>
      </c>
      <c r="GE7" s="1240"/>
      <c r="GF7" s="1202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7"/>
      <c r="GP7" s="1251"/>
      <c r="GQ7" s="1252"/>
      <c r="GR7" s="125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80"/>
      <c r="HJ7" s="31"/>
      <c r="HK7" s="1183" t="s">
        <v>246</v>
      </c>
      <c r="HL7" s="1183" t="s">
        <v>237</v>
      </c>
      <c r="HM7" s="884" t="s">
        <v>245</v>
      </c>
      <c r="HN7" s="958"/>
      <c r="HO7" s="1187"/>
      <c r="HP7" s="1181"/>
      <c r="HQ7" s="392"/>
      <c r="HR7" s="412"/>
      <c r="HS7" s="117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4" t="s">
        <v>33</v>
      </c>
      <c r="IH7" s="1231" t="s">
        <v>385</v>
      </c>
      <c r="II7" s="920" t="s">
        <v>333</v>
      </c>
      <c r="IJ7" s="921"/>
      <c r="IK7" s="921"/>
      <c r="IL7" s="918"/>
      <c r="IM7" s="918"/>
      <c r="IN7" s="918"/>
      <c r="IO7" s="899"/>
      <c r="IP7" s="898" t="s">
        <v>329</v>
      </c>
      <c r="IQ7" s="918"/>
      <c r="IR7" s="918"/>
      <c r="IS7" s="918"/>
      <c r="IT7" s="918"/>
      <c r="IU7" s="898" t="s">
        <v>328</v>
      </c>
      <c r="IV7" s="918"/>
      <c r="IW7" s="918"/>
      <c r="IX7" s="918"/>
      <c r="IY7" s="899"/>
      <c r="JA7" s="784"/>
      <c r="JB7" s="982" t="s">
        <v>364</v>
      </c>
      <c r="JC7" s="982"/>
      <c r="JD7" s="982"/>
      <c r="JE7" s="983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3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-8.9900271139217752E-2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7"/>
      <c r="AT8" s="1065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4"/>
      <c r="HL8" s="1184"/>
      <c r="HM8" s="969"/>
      <c r="HN8" s="959"/>
      <c r="HO8" s="961"/>
      <c r="HP8" s="1182"/>
      <c r="HQ8" s="393" t="s">
        <v>49</v>
      </c>
      <c r="HR8" s="413" t="s">
        <v>51</v>
      </c>
      <c r="HS8" s="117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3"/>
      <c r="IH8" s="1232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0.34420103811033093</v>
      </c>
      <c r="D9" s="704">
        <v>-0.67270202886931896</v>
      </c>
      <c r="E9" s="705">
        <v>-0.9659258360722075</v>
      </c>
      <c r="F9" s="703">
        <v>-6.6987279208207198E-2</v>
      </c>
      <c r="G9" s="706">
        <v>0.24999996726497564</v>
      </c>
      <c r="H9" s="705">
        <v>0.314</v>
      </c>
      <c r="I9" s="703">
        <v>0.52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0.34420103811033093</v>
      </c>
      <c r="P9" s="625">
        <f t="shared" ref="P9:P40" si="4">IF(M9="","",D9)</f>
        <v>-0.67270202886931896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0.34420103811033093</v>
      </c>
      <c r="S9" s="626">
        <f>IF(M9="","",P9)</f>
        <v>-0.67270202886931896</v>
      </c>
      <c r="T9" s="627">
        <f>IF(M9="","",X9*COS(RADIANS(W9)))</f>
        <v>0.34420103811033093</v>
      </c>
      <c r="U9" s="624">
        <f>IF(M9="","",X9*SIN(RADIANS(W9)))</f>
        <v>0</v>
      </c>
      <c r="V9" s="628">
        <f>IF(M9="","",Y9)</f>
        <v>-0.67270202886931896</v>
      </c>
      <c r="W9" s="583">
        <f t="shared" ref="W9:W14" si="5">IF(M9="","",IF(Q9-$Q$8&lt;0,360+Q9-$Q$8,Q9-$Q$8))</f>
        <v>0</v>
      </c>
      <c r="X9" s="629">
        <f>IF(M9="","",R9)</f>
        <v>0.34420103811033093</v>
      </c>
      <c r="Y9" s="630">
        <f>IF(M9="","",S9)</f>
        <v>-0.67270202886931896</v>
      </c>
      <c r="Z9" s="623">
        <f t="shared" ref="Z9:Z40" si="6">IF(M9="","",-E9)</f>
        <v>0.9659258360722075</v>
      </c>
      <c r="AA9" s="624">
        <f t="shared" ref="AA9:AA40" si="7">IF(M9="","",-F9)</f>
        <v>6.6987279208207198E-2</v>
      </c>
      <c r="AB9" s="624">
        <f t="shared" ref="AB9:AB40" si="8">IF(M9="","",-G9)</f>
        <v>-0.24999996726497564</v>
      </c>
      <c r="AC9" s="628">
        <f>IF(M9="","",SQRT(Z9^2+AA9^2+AB9^2))</f>
        <v>1</v>
      </c>
      <c r="AD9" s="631">
        <f>IF(M9="","",Z9*(1/SQRT(Z9^2+AA9^2+AB9^2)))</f>
        <v>0.9659258360722075</v>
      </c>
      <c r="AE9" s="624">
        <f>IF(M9="","",AA9*(1/SQRT(Z9^2+AA9^2+AB9^2)))</f>
        <v>6.6987279208207198E-2</v>
      </c>
      <c r="AF9" s="625">
        <f>IF(M9="","",AB9*(1/SQRT(Z9^2+AA9^2+AB9^2)))</f>
        <v>-0.24999996726497564</v>
      </c>
      <c r="AG9" s="599">
        <f>IF(M9="","",DEGREES(ATAN2(-AF9,AE9)))</f>
        <v>14.999997834268267</v>
      </c>
      <c r="AH9" s="600">
        <f>IF(M9="","",DEGREES(ACOS(AD9)))</f>
        <v>14.99999783426823</v>
      </c>
      <c r="AI9" s="583">
        <f>IF(M9="","",DEGREES(-ACOS(-AF9)))</f>
        <v>-75.522489751159469</v>
      </c>
      <c r="AJ9" s="601">
        <f>IF(M9="","",DEGREES(ATAN2(-AE9,AD9)))</f>
        <v>93.967129645086573</v>
      </c>
      <c r="AK9" s="627">
        <f>IF(M9="","",(COS(RADIANS((90-$Q$8)-W9))*AD9)+(-SIN(RADIANS((90-$Q$8)-W9))*AE9))</f>
        <v>0.9659258360722075</v>
      </c>
      <c r="AL9" s="624">
        <f>IF(M9="","",(SIN(RADIANS((90-$Q$8)-W9))*AD9)+(COS(RADIANS((90-$Q$8)-W9))*AE9))</f>
        <v>6.6987279208207198E-2</v>
      </c>
      <c r="AM9" s="626">
        <f>IF(M9="","",AF9)</f>
        <v>-0.24999996726497564</v>
      </c>
      <c r="AN9" s="581">
        <f>IF(M9="","",DEGREES(ATAN2(-AM9,AL9)))</f>
        <v>14.999997834268267</v>
      </c>
      <c r="AO9" s="582">
        <f>IF(ROUND(IF(M9="",0,DEGREES(ACOS(AK9))),4)=90,0,IF(M9="","",DEGREES(ACOS(AK9))))</f>
        <v>14.99999783426823</v>
      </c>
      <c r="AP9" s="781">
        <f>IF(M9="","",DEGREES(ATAN2(AK9,AL9)))</f>
        <v>3.9671296450865712</v>
      </c>
      <c r="AQ9" s="584">
        <f t="shared" ref="AQ9:AQ40" si="9">IF(M9="","",DEGREES(ATAN(($AS$5*SIN(RADIANS(90)))/(($X9*2*PI())-($AS$5*COS(RADIANS(90)))))))</f>
        <v>6.5939743122096779</v>
      </c>
      <c r="AS9" s="51">
        <f>IF(M9="","",W9)</f>
        <v>0</v>
      </c>
      <c r="AT9" s="71">
        <f t="shared" ref="AT9:AT40" si="10">IF(M9="","",Y9+(((AS9-$AS$9)*$AS$6)*-1))</f>
        <v>-0.67270202886931896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49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1.1168033682789589</v>
      </c>
      <c r="D10" s="709">
        <v>-0.46570140455543613</v>
      </c>
      <c r="E10" s="710">
        <v>-0.9659258360722075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1.1168033682789589</v>
      </c>
      <c r="P10" s="633">
        <f t="shared" si="4"/>
        <v>-0.46570140455543613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1.1168033682789589</v>
      </c>
      <c r="S10" s="634">
        <f t="shared" ref="S10:S105" si="80">IF(M10="","",P10)</f>
        <v>-0.46570140455543613</v>
      </c>
      <c r="T10" s="635">
        <f t="shared" ref="T10:T105" si="81">IF(M10="","",X10*COS(RADIANS(W10)))</f>
        <v>1.1168033682789589</v>
      </c>
      <c r="U10" s="629">
        <f t="shared" ref="U10:U105" si="82">IF(M10="","",X10*SIN(RADIANS(W10)))</f>
        <v>0</v>
      </c>
      <c r="V10" s="636">
        <f>IF(M10="","",Y10)</f>
        <v>-0.46570140455543613</v>
      </c>
      <c r="W10" s="585">
        <f t="shared" si="5"/>
        <v>0</v>
      </c>
      <c r="X10" s="629">
        <f t="shared" ref="X10:X105" si="83">IF(M10="","",R10)</f>
        <v>1.1168033682789589</v>
      </c>
      <c r="Y10" s="630">
        <f>IF(M10="","",S10)</f>
        <v>-0.46570140455543613</v>
      </c>
      <c r="Z10" s="632">
        <f t="shared" si="6"/>
        <v>0.9659258360722075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0.9659258360722075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14.99999783426823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0.9659258360722075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14.99999783426823</v>
      </c>
      <c r="AP10" s="585">
        <f t="shared" ref="AP10:AP105" si="95">IF(M10="","",DEGREES(ATAN2(AK10,AL10)))</f>
        <v>3.9671296450865712</v>
      </c>
      <c r="AQ10" s="586">
        <f t="shared" si="9"/>
        <v>2.0404333229624143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-0.46570140455543613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8.3235993556958025E-17</v>
      </c>
      <c r="C11" s="708">
        <v>1.8441055618223747</v>
      </c>
      <c r="D11" s="709">
        <v>-0.27080081673526341</v>
      </c>
      <c r="E11" s="710">
        <v>-0.96592583607220739</v>
      </c>
      <c r="F11" s="708">
        <v>-6.6987279208207198E-2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8.3235993556958025E-17</v>
      </c>
      <c r="O11" s="629">
        <f t="shared" si="3"/>
        <v>1.8441055618223747</v>
      </c>
      <c r="P11" s="633">
        <f t="shared" si="4"/>
        <v>-0.27080081673526341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1.8441055618223747</v>
      </c>
      <c r="S11" s="634">
        <f t="shared" si="80"/>
        <v>-0.27080081673526341</v>
      </c>
      <c r="T11" s="635">
        <f t="shared" si="81"/>
        <v>1.8441055618223747</v>
      </c>
      <c r="U11" s="629">
        <f t="shared" si="82"/>
        <v>0</v>
      </c>
      <c r="V11" s="636">
        <f t="shared" ref="V11:V105" si="114">IF(M11="","",Y11)</f>
        <v>-0.27080081673526341</v>
      </c>
      <c r="W11" s="585">
        <f t="shared" si="5"/>
        <v>0</v>
      </c>
      <c r="X11" s="629">
        <f>IF(M11="","",R11)</f>
        <v>1.8441055618223747</v>
      </c>
      <c r="Y11" s="630">
        <f>IF(M11="","",S11)</f>
        <v>-0.27080081673526341</v>
      </c>
      <c r="Z11" s="632">
        <f t="shared" si="6"/>
        <v>0.96592583607220739</v>
      </c>
      <c r="AA11" s="629">
        <f t="shared" si="7"/>
        <v>6.6987279208207198E-2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6.6987279208207198E-2</v>
      </c>
      <c r="AF11" s="633">
        <f t="shared" si="86"/>
        <v>-0.24999996726497564</v>
      </c>
      <c r="AG11" s="602">
        <f>IF(M11="","",DEGREES(ATAN2(-AF11,AE11)))</f>
        <v>14.999997834268267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6.6987279208207198E-2</v>
      </c>
      <c r="AM11" s="634">
        <f t="shared" si="92"/>
        <v>-0.24999996726497564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14.999997834268255</v>
      </c>
      <c r="AP11" s="585">
        <f t="shared" si="95"/>
        <v>3.9671296450865712</v>
      </c>
      <c r="AQ11" s="586">
        <f t="shared" si="9"/>
        <v>1.2360317200295279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-0.27080081673526341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1.7500901209411685E-16</v>
      </c>
      <c r="C12" s="708">
        <v>2.5541077031888335</v>
      </c>
      <c r="D12" s="709">
        <v>-8.9900271139217752E-2</v>
      </c>
      <c r="E12" s="710">
        <v>-0.96592583607220739</v>
      </c>
      <c r="F12" s="708">
        <v>-4.048820735361508E-2</v>
      </c>
      <c r="G12" s="711">
        <v>0.2556325180283171</v>
      </c>
      <c r="H12" s="710">
        <v>0.314</v>
      </c>
      <c r="I12" s="708">
        <v>0.52</v>
      </c>
      <c r="J12" s="570">
        <v>1.111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1613</v>
      </c>
      <c r="L12" s="773" t="s">
        <v>366</v>
      </c>
      <c r="M12" s="168">
        <f t="shared" si="1"/>
        <v>1.111</v>
      </c>
      <c r="N12" s="632">
        <f t="shared" si="2"/>
        <v>1.7500901209411685E-16</v>
      </c>
      <c r="O12" s="629">
        <f t="shared" si="3"/>
        <v>2.5541077031888335</v>
      </c>
      <c r="P12" s="633">
        <f t="shared" si="4"/>
        <v>-8.9900271139217752E-2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2.5541077031888335</v>
      </c>
      <c r="S12" s="634">
        <f t="shared" si="80"/>
        <v>-8.9900271139217752E-2</v>
      </c>
      <c r="T12" s="635">
        <f>IF(M12="","",X12*COS(RADIANS(W12)))</f>
        <v>2.5541077031888335</v>
      </c>
      <c r="U12" s="629">
        <f t="shared" si="82"/>
        <v>0</v>
      </c>
      <c r="V12" s="636">
        <f t="shared" si="114"/>
        <v>-8.9900271139217752E-2</v>
      </c>
      <c r="W12" s="585">
        <f>IF(M12="","",IF(Q12-$Q$8&lt;0,360+Q12-$Q$8,Q12-$Q$8))</f>
        <v>0</v>
      </c>
      <c r="X12" s="629">
        <f t="shared" si="83"/>
        <v>2.5541077031888335</v>
      </c>
      <c r="Y12" s="630">
        <f>IF(M12="","",S12)</f>
        <v>-8.9900271139217752E-2</v>
      </c>
      <c r="Z12" s="632">
        <f t="shared" si="6"/>
        <v>0.96592583607220739</v>
      </c>
      <c r="AA12" s="629">
        <f t="shared" si="7"/>
        <v>4.048820735361508E-2</v>
      </c>
      <c r="AB12" s="629">
        <f t="shared" si="8"/>
        <v>-0.2556325180283171</v>
      </c>
      <c r="AC12" s="636">
        <f t="shared" si="84"/>
        <v>1</v>
      </c>
      <c r="AD12" s="637">
        <f t="shared" si="115"/>
        <v>0.96592583607220739</v>
      </c>
      <c r="AE12" s="629">
        <f t="shared" si="85"/>
        <v>4.048820735361508E-2</v>
      </c>
      <c r="AF12" s="633">
        <f t="shared" si="86"/>
        <v>-0.2556325180283171</v>
      </c>
      <c r="AG12" s="602">
        <f t="shared" si="87"/>
        <v>8.9999987005609619</v>
      </c>
      <c r="AH12" s="603">
        <f t="shared" si="88"/>
        <v>14.999997834268255</v>
      </c>
      <c r="AI12" s="585">
        <f t="shared" si="89"/>
        <v>-75.188931961768461</v>
      </c>
      <c r="AJ12" s="586">
        <f t="shared" si="90"/>
        <v>92.400232109692112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4.048820735361508E-2</v>
      </c>
      <c r="AM12" s="634">
        <f t="shared" si="92"/>
        <v>-0.2556325180283171</v>
      </c>
      <c r="AN12" s="581">
        <f>IF(M12="","",DEGREES(ATAN2(-AM12,AL12)))</f>
        <v>8.9999987005609619</v>
      </c>
      <c r="AO12" s="582">
        <f t="shared" si="94"/>
        <v>14.999997834268255</v>
      </c>
      <c r="AP12" s="585">
        <f t="shared" si="95"/>
        <v>2.4002321096921237</v>
      </c>
      <c r="AQ12" s="586">
        <f t="shared" si="9"/>
        <v>0.89250043681495728</v>
      </c>
      <c r="AS12" s="52">
        <f t="shared" si="116"/>
        <v>0</v>
      </c>
      <c r="AT12" s="72">
        <f>IF(M12="","",Y12+(((AS12-$AS$9)*$AS$6)*-1))</f>
        <v>-8.9900271139217752E-2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6.6109099309858916E-3</v>
      </c>
      <c r="C13" s="708">
        <v>3.3226034442083474</v>
      </c>
      <c r="D13" s="709">
        <v>-9.9500300092905225E-2</v>
      </c>
      <c r="E13" s="710">
        <v>-0.96531347640500376</v>
      </c>
      <c r="F13" s="708">
        <v>7.3154950627835003E-2</v>
      </c>
      <c r="G13" s="711">
        <v>0.25063568275392339</v>
      </c>
      <c r="H13" s="710">
        <v>0.314</v>
      </c>
      <c r="I13" s="708">
        <v>0.52</v>
      </c>
      <c r="J13" s="570">
        <v>1.117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1.117</v>
      </c>
      <c r="N13" s="632">
        <f t="shared" si="2"/>
        <v>6.6109099309858916E-3</v>
      </c>
      <c r="O13" s="629">
        <f t="shared" si="3"/>
        <v>3.3226034442083474</v>
      </c>
      <c r="P13" s="633">
        <f t="shared" si="4"/>
        <v>-9.9500300092905225E-2</v>
      </c>
      <c r="Q13" s="585">
        <f t="shared" si="113"/>
        <v>89.886000016459548</v>
      </c>
      <c r="R13" s="629">
        <f t="shared" si="79"/>
        <v>3.3226100209918239</v>
      </c>
      <c r="S13" s="634">
        <f t="shared" si="80"/>
        <v>-9.9500300092905225E-2</v>
      </c>
      <c r="T13" s="635">
        <f>IF(M13="","",X13*COS(RADIANS(W13)))</f>
        <v>3.3226034442083474</v>
      </c>
      <c r="U13" s="629">
        <f t="shared" si="82"/>
        <v>-6.6109099309861214E-3</v>
      </c>
      <c r="V13" s="636">
        <f t="shared" si="114"/>
        <v>-9.9500300092905225E-2</v>
      </c>
      <c r="W13" s="585">
        <f t="shared" si="5"/>
        <v>359.88600001645955</v>
      </c>
      <c r="X13" s="629">
        <f t="shared" si="83"/>
        <v>3.3226100209918239</v>
      </c>
      <c r="Y13" s="630">
        <f>IF(M13="","",S13)</f>
        <v>-9.9500300092905225E-2</v>
      </c>
      <c r="Z13" s="632">
        <f t="shared" si="6"/>
        <v>0.96531347640500376</v>
      </c>
      <c r="AA13" s="629">
        <f t="shared" si="7"/>
        <v>-7.3154950627835003E-2</v>
      </c>
      <c r="AB13" s="629">
        <f t="shared" si="8"/>
        <v>-0.25063568275392339</v>
      </c>
      <c r="AC13" s="636">
        <f t="shared" si="84"/>
        <v>1</v>
      </c>
      <c r="AD13" s="637">
        <f>IF(M13="","",Z13*(1/SQRT(Z13^2+AA13^2+AB13^2)))</f>
        <v>0.96531347640500376</v>
      </c>
      <c r="AE13" s="629">
        <f t="shared" si="85"/>
        <v>-7.3154950627835003E-2</v>
      </c>
      <c r="AF13" s="633">
        <f t="shared" si="86"/>
        <v>-0.25063568275392339</v>
      </c>
      <c r="AG13" s="602">
        <f>IF(M13="","",DEGREES(ATAN2(-AF13,AE13)))</f>
        <v>-16.271344067123447</v>
      </c>
      <c r="AH13" s="603">
        <f t="shared" si="88"/>
        <v>15.134965151964792</v>
      </c>
      <c r="AI13" s="585">
        <f t="shared" si="89"/>
        <v>-75.484868205790136</v>
      </c>
      <c r="AJ13" s="586">
        <f t="shared" si="90"/>
        <v>85.666202253745283</v>
      </c>
      <c r="AK13" s="635">
        <f t="shared" si="211"/>
        <v>0.96545712014557816</v>
      </c>
      <c r="AL13" s="629">
        <f t="shared" si="91"/>
        <v>-7.1234146942891569E-2</v>
      </c>
      <c r="AM13" s="634">
        <f t="shared" si="92"/>
        <v>-0.25063568275392339</v>
      </c>
      <c r="AN13" s="581">
        <f t="shared" si="93"/>
        <v>-15.865887091141177</v>
      </c>
      <c r="AO13" s="582">
        <f t="shared" si="94"/>
        <v>15.103411079322846</v>
      </c>
      <c r="AP13" s="585">
        <f t="shared" si="95"/>
        <v>-4.219797762714272</v>
      </c>
      <c r="AQ13" s="586">
        <f t="shared" si="9"/>
        <v>0.68609245529396379</v>
      </c>
      <c r="AS13" s="52">
        <f t="shared" si="116"/>
        <v>-0.11399998354045238</v>
      </c>
      <c r="AT13" s="72">
        <f t="shared" si="10"/>
        <v>-9.9421133437668799E-2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1.117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5.1651540400494231E-2</v>
      </c>
      <c r="C14" s="708">
        <v>4.0371817767969773</v>
      </c>
      <c r="D14" s="709">
        <v>-0.38190115181387363</v>
      </c>
      <c r="E14" s="710">
        <v>-0.96034637631177211</v>
      </c>
      <c r="F14" s="708">
        <v>0.20065262054888738</v>
      </c>
      <c r="G14" s="711">
        <v>0.19358037961454844</v>
      </c>
      <c r="H14" s="710">
        <v>0.314</v>
      </c>
      <c r="I14" s="708">
        <v>0.52</v>
      </c>
      <c r="J14" s="570">
        <v>1.123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1613</v>
      </c>
      <c r="L14" s="776" t="s">
        <v>367</v>
      </c>
      <c r="M14" s="168">
        <f t="shared" si="1"/>
        <v>1.123</v>
      </c>
      <c r="N14" s="632">
        <f t="shared" si="2"/>
        <v>5.1651540400494231E-2</v>
      </c>
      <c r="O14" s="629">
        <f t="shared" si="3"/>
        <v>4.0371817767969773</v>
      </c>
      <c r="P14" s="633">
        <f t="shared" si="4"/>
        <v>-0.38190115181387363</v>
      </c>
      <c r="Q14" s="585">
        <f t="shared" si="113"/>
        <v>89.267000105832082</v>
      </c>
      <c r="R14" s="629">
        <f t="shared" si="79"/>
        <v>4.0375121771367262</v>
      </c>
      <c r="S14" s="634">
        <f t="shared" si="80"/>
        <v>-0.38190115181387363</v>
      </c>
      <c r="T14" s="635">
        <f t="shared" si="81"/>
        <v>4.0371817767969773</v>
      </c>
      <c r="U14" s="629">
        <f t="shared" si="82"/>
        <v>-5.1651540400493627E-2</v>
      </c>
      <c r="V14" s="636">
        <f t="shared" si="114"/>
        <v>-0.38190115181387363</v>
      </c>
      <c r="W14" s="585">
        <f t="shared" si="5"/>
        <v>359.2670001058321</v>
      </c>
      <c r="X14" s="629">
        <f t="shared" si="83"/>
        <v>4.0375121771367262</v>
      </c>
      <c r="Y14" s="630">
        <f t="shared" ref="Y14:Y75" si="223">IF(M14="","",S14)</f>
        <v>-0.38190115181387363</v>
      </c>
      <c r="Z14" s="632">
        <f t="shared" si="6"/>
        <v>0.96034637631177211</v>
      </c>
      <c r="AA14" s="629">
        <f t="shared" si="7"/>
        <v>-0.20065262054888738</v>
      </c>
      <c r="AB14" s="629">
        <f t="shared" si="8"/>
        <v>-0.19358037961454844</v>
      </c>
      <c r="AC14" s="636">
        <f t="shared" si="84"/>
        <v>1</v>
      </c>
      <c r="AD14" s="637">
        <f>IF(M14="","",Z14*(1/SQRT(Z14^2+AA14^2+AB14^2)))</f>
        <v>0.96034637631177211</v>
      </c>
      <c r="AE14" s="629">
        <f t="shared" si="85"/>
        <v>-0.20065262054888738</v>
      </c>
      <c r="AF14" s="633">
        <f t="shared" si="86"/>
        <v>-0.19358037961454844</v>
      </c>
      <c r="AG14" s="602">
        <f t="shared" si="87"/>
        <v>-46.027732578880048</v>
      </c>
      <c r="AH14" s="603">
        <f t="shared" si="88"/>
        <v>16.189175522646536</v>
      </c>
      <c r="AI14" s="585">
        <f t="shared" si="89"/>
        <v>-78.838194756130335</v>
      </c>
      <c r="AJ14" s="586">
        <f t="shared" si="90"/>
        <v>78.198524549302192</v>
      </c>
      <c r="AK14" s="635">
        <f>IF(M14="","",(COS(RADIANS((90-$Q$8)-W14))*AD14)+(-SIN(RADIANS((90-$Q$8)-W14))*AE14))</f>
        <v>0.96283472005587967</v>
      </c>
      <c r="AL14" s="629">
        <f t="shared" si="91"/>
        <v>-0.18835057335512262</v>
      </c>
      <c r="AM14" s="634">
        <f t="shared" si="92"/>
        <v>-0.19358037961454844</v>
      </c>
      <c r="AN14" s="581">
        <f t="shared" si="93"/>
        <v>-44.215494061846471</v>
      </c>
      <c r="AO14" s="582">
        <f t="shared" si="94"/>
        <v>15.669698869441817</v>
      </c>
      <c r="AP14" s="585">
        <f>IF(M14="","",DEGREES(ATAN2(AK14,AL14)))</f>
        <v>-11.068475556529906</v>
      </c>
      <c r="AQ14" s="586">
        <f t="shared" si="9"/>
        <v>0.564618194725098</v>
      </c>
      <c r="AS14" s="52">
        <f t="shared" si="116"/>
        <v>-0.73299989416790368</v>
      </c>
      <c r="AT14" s="72">
        <f t="shared" si="10"/>
        <v>-0.38139212410959034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1.123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0.11797669308758051</v>
      </c>
      <c r="C15" s="708">
        <v>4.6036024405638205</v>
      </c>
      <c r="D15" s="709">
        <v>-0.90010271470978709</v>
      </c>
      <c r="E15" s="710">
        <v>-0.92498085745723868</v>
      </c>
      <c r="F15" s="708">
        <v>0.34500680629654196</v>
      </c>
      <c r="G15" s="711">
        <v>0.15931326670033447</v>
      </c>
      <c r="H15" s="710">
        <v>0.314</v>
      </c>
      <c r="I15" s="708">
        <v>0.52</v>
      </c>
      <c r="J15" s="570">
        <v>1.129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1613</v>
      </c>
      <c r="L15" s="873" t="str">
        <f>IF($L14=$JH$22,$JH$29,IF($L14=$JI$22,$JI$29,""))</f>
        <v/>
      </c>
      <c r="M15" s="168">
        <f t="shared" si="1"/>
        <v>1.129</v>
      </c>
      <c r="N15" s="632">
        <f t="shared" si="2"/>
        <v>0.11797669308758051</v>
      </c>
      <c r="O15" s="629">
        <f t="shared" si="3"/>
        <v>4.6036024405638205</v>
      </c>
      <c r="P15" s="633">
        <f t="shared" si="4"/>
        <v>-0.90010271470978709</v>
      </c>
      <c r="Q15" s="585">
        <f t="shared" si="113"/>
        <v>88.532000211952948</v>
      </c>
      <c r="R15" s="629">
        <f t="shared" si="79"/>
        <v>4.6051138890234888</v>
      </c>
      <c r="S15" s="634">
        <f t="shared" si="80"/>
        <v>-0.90010271470978709</v>
      </c>
      <c r="T15" s="635">
        <f t="shared" si="81"/>
        <v>4.6036024405638205</v>
      </c>
      <c r="U15" s="629">
        <f t="shared" si="82"/>
        <v>-0.11797669308758219</v>
      </c>
      <c r="V15" s="636">
        <f t="shared" si="114"/>
        <v>-0.90010271470978709</v>
      </c>
      <c r="W15" s="585">
        <f t="shared" ref="W15:W78" si="224">IF(M15="","",IF(Q15-$Q$8&lt;0,360+Q15-$Q$8,Q15-$Q$8))</f>
        <v>358.53200021195295</v>
      </c>
      <c r="X15" s="629">
        <f>IF(M15="","",R15)</f>
        <v>4.6051138890234888</v>
      </c>
      <c r="Y15" s="630">
        <f>IF(M15="","",S15)</f>
        <v>-0.90010271470978709</v>
      </c>
      <c r="Z15" s="632">
        <f t="shared" si="6"/>
        <v>0.92498085745723868</v>
      </c>
      <c r="AA15" s="629">
        <f t="shared" si="7"/>
        <v>-0.34500680629654196</v>
      </c>
      <c r="AB15" s="629">
        <f t="shared" si="8"/>
        <v>-0.15931326670033447</v>
      </c>
      <c r="AC15" s="636">
        <f t="shared" si="84"/>
        <v>1</v>
      </c>
      <c r="AD15" s="637">
        <f t="shared" si="115"/>
        <v>0.92498085745723868</v>
      </c>
      <c r="AE15" s="629">
        <f t="shared" si="85"/>
        <v>-0.34500680629654196</v>
      </c>
      <c r="AF15" s="633">
        <f t="shared" si="86"/>
        <v>-0.15931326670033447</v>
      </c>
      <c r="AG15" s="602">
        <f t="shared" si="87"/>
        <v>-65.213995922183983</v>
      </c>
      <c r="AH15" s="603">
        <f t="shared" si="88"/>
        <v>22.334531363459451</v>
      </c>
      <c r="AI15" s="585">
        <f t="shared" si="89"/>
        <v>-80.832961975923354</v>
      </c>
      <c r="AJ15" s="586">
        <f t="shared" si="90"/>
        <v>69.545085674527044</v>
      </c>
      <c r="AK15" s="635">
        <f t="shared" si="211"/>
        <v>0.93351586921906116</v>
      </c>
      <c r="AL15" s="629">
        <f t="shared" si="91"/>
        <v>-0.32119683212860139</v>
      </c>
      <c r="AM15" s="634">
        <f t="shared" si="92"/>
        <v>-0.15931326670033447</v>
      </c>
      <c r="AN15" s="581">
        <f>IF(M15="","",DEGREES(ATAN2(-AM15,AL15)))</f>
        <v>-63.618640342784758</v>
      </c>
      <c r="AO15" s="582">
        <f t="shared" si="94"/>
        <v>21.010318981070945</v>
      </c>
      <c r="AP15" s="585">
        <f t="shared" si="95"/>
        <v>-18.986914537425879</v>
      </c>
      <c r="AQ15" s="586">
        <f t="shared" si="9"/>
        <v>0.4950300819834243</v>
      </c>
      <c r="AS15" s="52">
        <f t="shared" si="116"/>
        <v>-1.4679997880470523</v>
      </c>
      <c r="AT15" s="72">
        <f t="shared" si="10"/>
        <v>-0.89908327041253222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49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0.17176200134966876</v>
      </c>
      <c r="C16" s="708">
        <v>4.9483348090325681</v>
      </c>
      <c r="D16" s="709">
        <v>-1.5863047842952289</v>
      </c>
      <c r="E16" s="710">
        <v>-0.87457388793250557</v>
      </c>
      <c r="F16" s="708">
        <v>0.47865014230790259</v>
      </c>
      <c r="G16" s="711">
        <v>7.7553567392131859E-2</v>
      </c>
      <c r="H16" s="710">
        <v>0.314</v>
      </c>
      <c r="I16" s="708">
        <v>0.52</v>
      </c>
      <c r="J16" s="570">
        <v>1.135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1613</v>
      </c>
      <c r="L16" s="320"/>
      <c r="M16" s="168">
        <f t="shared" si="1"/>
        <v>1.135</v>
      </c>
      <c r="N16" s="632">
        <f t="shared" si="2"/>
        <v>0.17176200134966876</v>
      </c>
      <c r="O16" s="629">
        <f t="shared" si="3"/>
        <v>4.9483348090325681</v>
      </c>
      <c r="P16" s="633">
        <f t="shared" si="4"/>
        <v>-1.5863047842952289</v>
      </c>
      <c r="Q16" s="585">
        <f>IF(M16="","",IF(DEGREES(ATAN2(N16,O16))&lt;0,DEGREES(ATAN2(N16,O16))+360,IF(DEGREES(ATAN2(N16,O16))&gt;360,DEGREES(ATAN2(N16,O16))-360,DEGREES(ATAN2(N16,O16)))))</f>
        <v>88.012000287031654</v>
      </c>
      <c r="R16" s="629">
        <f t="shared" si="79"/>
        <v>4.9513149331658379</v>
      </c>
      <c r="S16" s="634">
        <f t="shared" si="80"/>
        <v>-1.5863047842952289</v>
      </c>
      <c r="T16" s="635">
        <f t="shared" si="81"/>
        <v>4.9483348090325681</v>
      </c>
      <c r="U16" s="629">
        <f t="shared" si="82"/>
        <v>-0.17176200134966807</v>
      </c>
      <c r="V16" s="636">
        <f t="shared" si="114"/>
        <v>-1.5863047842952289</v>
      </c>
      <c r="W16" s="585">
        <f>IF(M16="","",IF(Q16-$Q$8&lt;0,360+Q16-$Q$8,Q16-$Q$8))</f>
        <v>358.01200028703164</v>
      </c>
      <c r="X16" s="629">
        <f t="shared" si="83"/>
        <v>4.9513149331658379</v>
      </c>
      <c r="Y16" s="630">
        <f t="shared" si="223"/>
        <v>-1.5863047842952289</v>
      </c>
      <c r="Z16" s="632">
        <f t="shared" si="6"/>
        <v>0.87457388793250557</v>
      </c>
      <c r="AA16" s="629">
        <f t="shared" si="7"/>
        <v>-0.47865014230790259</v>
      </c>
      <c r="AB16" s="629">
        <f t="shared" si="8"/>
        <v>-7.7553567392131859E-2</v>
      </c>
      <c r="AC16" s="636">
        <f t="shared" si="84"/>
        <v>1</v>
      </c>
      <c r="AD16" s="637">
        <f t="shared" si="115"/>
        <v>0.87457388793250557</v>
      </c>
      <c r="AE16" s="629">
        <f t="shared" si="85"/>
        <v>-0.47865014230790259</v>
      </c>
      <c r="AF16" s="633">
        <f t="shared" si="86"/>
        <v>-7.7553567392131859E-2</v>
      </c>
      <c r="AG16" s="602">
        <f t="shared" si="87"/>
        <v>-80.79659863748526</v>
      </c>
      <c r="AH16" s="603">
        <f t="shared" si="88"/>
        <v>29.005414544814219</v>
      </c>
      <c r="AI16" s="585">
        <f t="shared" si="89"/>
        <v>-85.552041531326623</v>
      </c>
      <c r="AJ16" s="586">
        <f t="shared" si="90"/>
        <v>61.308321213127037</v>
      </c>
      <c r="AK16" s="635">
        <f t="shared" si="211"/>
        <v>0.89065195380266682</v>
      </c>
      <c r="AL16" s="629">
        <f t="shared" si="91"/>
        <v>-0.44802292505210756</v>
      </c>
      <c r="AM16" s="634">
        <f t="shared" si="92"/>
        <v>-7.7553567392131859E-2</v>
      </c>
      <c r="AN16" s="581">
        <f t="shared" si="93"/>
        <v>-80.179316395337736</v>
      </c>
      <c r="AO16" s="582">
        <f t="shared" si="94"/>
        <v>27.044714245482371</v>
      </c>
      <c r="AP16" s="585">
        <f t="shared" si="95"/>
        <v>-26.70367907390462</v>
      </c>
      <c r="AQ16" s="586">
        <f t="shared" si="9"/>
        <v>0.46041861441690368</v>
      </c>
      <c r="AS16" s="52">
        <f t="shared" si="116"/>
        <v>-1.9879997129683602</v>
      </c>
      <c r="AT16" s="72">
        <f t="shared" si="10"/>
        <v>-1.5849242289390009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1.135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0.18667965096378825</v>
      </c>
      <c r="C17" s="708">
        <v>5.0334546141422196</v>
      </c>
      <c r="D17" s="709">
        <v>-2.3477070806845552</v>
      </c>
      <c r="E17" s="710">
        <v>-0.8379565114058819</v>
      </c>
      <c r="F17" s="708">
        <v>0.54570164752207928</v>
      </c>
      <c r="G17" s="711">
        <v>-6.2126390666612111E-3</v>
      </c>
      <c r="H17" s="710">
        <v>0.314</v>
      </c>
      <c r="I17" s="708">
        <v>0.52</v>
      </c>
      <c r="J17" s="570">
        <v>1.141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1613</v>
      </c>
      <c r="M17" s="168">
        <f t="shared" si="1"/>
        <v>1.141</v>
      </c>
      <c r="N17" s="632">
        <f t="shared" si="2"/>
        <v>0.18667965096378825</v>
      </c>
      <c r="O17" s="629">
        <f t="shared" si="3"/>
        <v>5.0334546141422196</v>
      </c>
      <c r="P17" s="633">
        <f t="shared" si="4"/>
        <v>-2.3477070806845552</v>
      </c>
      <c r="Q17" s="585">
        <f>IF(M17="","",IF(DEGREES(ATAN2(N17,O17))&lt;0,DEGREES(ATAN2(N17,O17))+360,IF(DEGREES(ATAN2(N17,O17))&gt;360,DEGREES(ATAN2(N17,O17))-360,DEGREES(ATAN2(N17,O17)))))</f>
        <v>87.876000306667606</v>
      </c>
      <c r="R17" s="629">
        <f>IF(M17="","",SQRT(N17^2+O17^2))</f>
        <v>5.0369151913362176</v>
      </c>
      <c r="S17" s="634">
        <f>IF(M17="","",P17)</f>
        <v>-2.3477070806845552</v>
      </c>
      <c r="T17" s="635">
        <f>IF(M17="","",X17*COS(RADIANS(W17)))</f>
        <v>5.0334546141422196</v>
      </c>
      <c r="U17" s="629">
        <f>IF(M17="","",X17*SIN(RADIANS(W17)))</f>
        <v>-0.18667965096379033</v>
      </c>
      <c r="V17" s="636">
        <f>IF(M17="","",Y17)</f>
        <v>-2.3477070806845552</v>
      </c>
      <c r="W17" s="585">
        <f t="shared" si="224"/>
        <v>357.87600030666761</v>
      </c>
      <c r="X17" s="629">
        <f>IF(M17="","",R17)</f>
        <v>5.0369151913362176</v>
      </c>
      <c r="Y17" s="630">
        <f t="shared" si="223"/>
        <v>-2.3477070806845552</v>
      </c>
      <c r="Z17" s="632">
        <f t="shared" si="6"/>
        <v>0.8379565114058819</v>
      </c>
      <c r="AA17" s="629">
        <f t="shared" si="7"/>
        <v>-0.54570164752207928</v>
      </c>
      <c r="AB17" s="629">
        <f t="shared" si="8"/>
        <v>6.2126390666612111E-3</v>
      </c>
      <c r="AC17" s="636">
        <f>IF(M17="","",SQRT(Z17^2+AA17^2+AB17^2))</f>
        <v>1</v>
      </c>
      <c r="AD17" s="637">
        <f>IF(M17="","",Z17*(1/SQRT(Z17^2+AA17^2+AB17^2)))</f>
        <v>0.8379565114058819</v>
      </c>
      <c r="AE17" s="629">
        <f>IF(M17="","",AA17*(1/SQRT(Z17^2+AA17^2+AB17^2)))</f>
        <v>-0.54570164752207928</v>
      </c>
      <c r="AF17" s="633">
        <f>IF(M17="","",AB17*(1/SQRT(Z17^2+AA17^2+AB17^2)))</f>
        <v>6.2126390666612111E-3</v>
      </c>
      <c r="AG17" s="602">
        <f>IF(M17="","",DEGREES(ATAN2(-AF17,AE17)))</f>
        <v>-90.652265981391665</v>
      </c>
      <c r="AH17" s="603">
        <f>IF(M17="","",DEGREES(ACOS(AD17)))</f>
        <v>33.075042771448906</v>
      </c>
      <c r="AI17" s="585">
        <f>IF(M17="","",DEGREES(-ACOS(-AF17)))</f>
        <v>-90.355960288009157</v>
      </c>
      <c r="AJ17" s="586">
        <f>IF(M17="","",DEGREES(ATAN2(-AE17,AD17)))</f>
        <v>56.926655102356769</v>
      </c>
      <c r="AK17" s="635">
        <f>IF(M17="","",(COS(RADIANS((90-$Q$8)-W17))*AD17)+(-SIN(RADIANS((90-$Q$8)-W17))*AE17))</f>
        <v>0.85760575625858271</v>
      </c>
      <c r="AL17" s="629">
        <f>IF(M17="","",(SIN(RADIANS((90-$Q$8)-W17))*AD17)+(COS(RADIANS((90-$Q$8)-W17))*AE17))</f>
        <v>-0.51427013324513782</v>
      </c>
      <c r="AM17" s="634">
        <f>IF(M17="","",AF17)</f>
        <v>6.2126390666612111E-3</v>
      </c>
      <c r="AN17" s="581">
        <f>IF(M17="","",DEGREES(ATAN2(-AM17,AL17)))</f>
        <v>-90.692127853984402</v>
      </c>
      <c r="AO17" s="582">
        <f t="shared" si="94"/>
        <v>30.951189089198873</v>
      </c>
      <c r="AP17" s="585">
        <f>IF(M17="","",DEGREES(ATAN2(AK17,AL17)))</f>
        <v>-30.949345204310813</v>
      </c>
      <c r="AQ17" s="586">
        <f t="shared" si="9"/>
        <v>0.45259432174574699</v>
      </c>
      <c r="AS17" s="52">
        <f t="shared" si="116"/>
        <v>-2.1239996933323937</v>
      </c>
      <c r="AT17" s="72">
        <f t="shared" si="10"/>
        <v>-2.346232080897519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1.141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0.19495616452127368</v>
      </c>
      <c r="C18" s="708">
        <v>5.0794753858050354</v>
      </c>
      <c r="D18" s="709">
        <v>-3.0992093472153921</v>
      </c>
      <c r="E18" s="710">
        <v>-0.79655107869994379</v>
      </c>
      <c r="F18" s="708">
        <v>0.6045712356885159</v>
      </c>
      <c r="G18" s="711">
        <v>1.3008419229928E-7</v>
      </c>
      <c r="H18" s="710">
        <v>0.314</v>
      </c>
      <c r="I18" s="708">
        <v>0.52</v>
      </c>
      <c r="J18" s="570">
        <v>1.147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1613</v>
      </c>
      <c r="L18" s="779" t="s">
        <v>331</v>
      </c>
      <c r="M18" s="168">
        <f t="shared" si="1"/>
        <v>1.147</v>
      </c>
      <c r="N18" s="632">
        <f t="shared" si="2"/>
        <v>0.19495616452127368</v>
      </c>
      <c r="O18" s="629">
        <f t="shared" si="3"/>
        <v>5.0794753858050354</v>
      </c>
      <c r="P18" s="633">
        <f t="shared" si="4"/>
        <v>-3.0992093472153921</v>
      </c>
      <c r="Q18" s="585">
        <f t="shared" si="113"/>
        <v>87.802000317351897</v>
      </c>
      <c r="R18" s="629">
        <f>IF(M18="","",SQRT(N18^2+O18^2))</f>
        <v>5.0832153309774375</v>
      </c>
      <c r="S18" s="634">
        <f>IF(M18="","",P18)</f>
        <v>-3.0992093472153921</v>
      </c>
      <c r="T18" s="635">
        <f>IF(M18="","",X18*COS(RADIANS(W18)))</f>
        <v>5.0794753858050354</v>
      </c>
      <c r="U18" s="629">
        <f>IF(M18="","",X18*SIN(RADIANS(W18)))</f>
        <v>-0.19495616452127548</v>
      </c>
      <c r="V18" s="636">
        <f>IF(M18="","",Y18)</f>
        <v>-3.0992093472153921</v>
      </c>
      <c r="W18" s="585">
        <f t="shared" si="224"/>
        <v>357.80200031735188</v>
      </c>
      <c r="X18" s="629">
        <f>IF(M18="","",R18)</f>
        <v>5.0832153309774375</v>
      </c>
      <c r="Y18" s="630">
        <f t="shared" si="223"/>
        <v>-3.0992093472153921</v>
      </c>
      <c r="Z18" s="632">
        <f t="shared" si="6"/>
        <v>0.79655107869994379</v>
      </c>
      <c r="AA18" s="629">
        <f t="shared" si="7"/>
        <v>-0.6045712356885159</v>
      </c>
      <c r="AB18" s="629">
        <f t="shared" si="8"/>
        <v>-1.3008419229928E-7</v>
      </c>
      <c r="AC18" s="636">
        <f>IF(M18="","",SQRT(Z18^2+AA18^2+AB18^2))</f>
        <v>1</v>
      </c>
      <c r="AD18" s="637">
        <f>IF(M18="","",Z18*(1/SQRT(Z18^2+AA18^2+AB18^2)))</f>
        <v>0.79655107869994379</v>
      </c>
      <c r="AE18" s="629">
        <f>IF(M18="","",AA18*(1/SQRT(Z18^2+AA18^2+AB18^2)))</f>
        <v>-0.6045712356885159</v>
      </c>
      <c r="AF18" s="633">
        <f>IF(M18="","",AB18*(1/SQRT(Z18^2+AA18^2+AB18^2)))</f>
        <v>-1.3008419229928E-7</v>
      </c>
      <c r="AG18" s="602">
        <f>IF(M18="","",DEGREES(ATAN2(-AF18,AE18)))</f>
        <v>-89.999987671799857</v>
      </c>
      <c r="AH18" s="603">
        <f>IF(M18="","",DEGREES(ACOS(AD18)))</f>
        <v>37.197994629274021</v>
      </c>
      <c r="AI18" s="585">
        <f>IF(M18="","",DEGREES(-ACOS(-AF18)))</f>
        <v>-89.999992546724798</v>
      </c>
      <c r="AJ18" s="586">
        <f>IF(M18="","",DEGREES(ATAN2(-AE18,AD18)))</f>
        <v>52.802005370726611</v>
      </c>
      <c r="AK18" s="635">
        <f>IF(M18="","",(COS(RADIANS((90-$Q$8)-W18))*AD18)+(-SIN(RADIANS((90-$Q$8)-W18))*AE18))</f>
        <v>0.81915209487729201</v>
      </c>
      <c r="AL18" s="629">
        <f>IF(M18="","",(SIN(RADIANS((90-$Q$8)-W18))*AD18)+(COS(RADIANS((90-$Q$8)-W18))*AE18))</f>
        <v>-0.57357636410344448</v>
      </c>
      <c r="AM18" s="634">
        <f>IF(M18="","",AF18)</f>
        <v>-1.3008419229928E-7</v>
      </c>
      <c r="AN18" s="581">
        <f>IF(M18="","",DEGREES(ATAN2(-AM18,AL18)))</f>
        <v>-89.999987005609611</v>
      </c>
      <c r="AO18" s="582">
        <f t="shared" si="94"/>
        <v>34.999994946625954</v>
      </c>
      <c r="AP18" s="585">
        <f>IF(M18="","",DEGREES(ATAN2(AK18,AL18)))</f>
        <v>-34.999994946625264</v>
      </c>
      <c r="AQ18" s="586">
        <f t="shared" si="9"/>
        <v>0.44847206464958778</v>
      </c>
      <c r="AS18" s="52">
        <f t="shared" si="116"/>
        <v>-2.197999682648117</v>
      </c>
      <c r="AT18" s="72">
        <f t="shared" si="10"/>
        <v>-3.0976829585468866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1.147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1.4182461478683044</v>
      </c>
      <c r="C19" s="708">
        <v>4.8823993513917747</v>
      </c>
      <c r="D19" s="709">
        <v>-3.0992093472153921</v>
      </c>
      <c r="E19" s="710">
        <v>0.27895062411744875</v>
      </c>
      <c r="F19" s="708">
        <v>0.96030544583712241</v>
      </c>
      <c r="G19" s="711">
        <v>2.2679489643025759E-7</v>
      </c>
      <c r="H19" s="710">
        <v>0.25700000000000001</v>
      </c>
      <c r="I19" s="708">
        <v>0.41499999999999992</v>
      </c>
      <c r="J19" s="570">
        <v>1.2470000000000001</v>
      </c>
      <c r="K19" s="865" t="str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CPS-32193r1</v>
      </c>
      <c r="L19" s="775" t="s">
        <v>366</v>
      </c>
      <c r="M19" s="168">
        <f t="shared" si="1"/>
        <v>1.2470000000000001</v>
      </c>
      <c r="N19" s="632">
        <f t="shared" si="2"/>
        <v>1.4182461478683044</v>
      </c>
      <c r="O19" s="629">
        <f t="shared" si="3"/>
        <v>4.8823993513917747</v>
      </c>
      <c r="P19" s="633">
        <f t="shared" si="4"/>
        <v>-3.0992093472153921</v>
      </c>
      <c r="Q19" s="585">
        <f t="shared" si="113"/>
        <v>73.802402338643759</v>
      </c>
      <c r="R19" s="629">
        <f>IF(M19="","",SQRT(N19^2+O19^2))</f>
        <v>5.0842153339934484</v>
      </c>
      <c r="S19" s="634">
        <f>IF(M19="","",P19)</f>
        <v>-3.0992093472153921</v>
      </c>
      <c r="T19" s="635">
        <f>IF(M19="","",X19*COS(RADIANS(W19)))</f>
        <v>4.8823993513917765</v>
      </c>
      <c r="U19" s="629">
        <f>IF(M19="","",X19*SIN(RADIANS(W19)))</f>
        <v>-1.4182461478683013</v>
      </c>
      <c r="V19" s="636">
        <f>IF(M19="","",Y19)</f>
        <v>-3.0992093472153921</v>
      </c>
      <c r="W19" s="585">
        <f t="shared" si="224"/>
        <v>343.80240233864379</v>
      </c>
      <c r="X19" s="629">
        <f>IF(M19="","",R19)</f>
        <v>5.0842153339934484</v>
      </c>
      <c r="Y19" s="630">
        <f t="shared" si="223"/>
        <v>-3.0992093472153921</v>
      </c>
      <c r="Z19" s="632">
        <f t="shared" si="6"/>
        <v>-0.27895062411744875</v>
      </c>
      <c r="AA19" s="629">
        <f t="shared" si="7"/>
        <v>-0.96030544583712241</v>
      </c>
      <c r="AB19" s="629">
        <f t="shared" si="8"/>
        <v>-2.2679489643025759E-7</v>
      </c>
      <c r="AC19" s="636">
        <f>IF(M19="","",SQRT(Z19^2+AA19^2+AB19^2))</f>
        <v>1</v>
      </c>
      <c r="AD19" s="637">
        <f>IF(M19="","",Z19*(1/SQRT(Z19^2+AA19^2+AB19^2)))</f>
        <v>-0.27895062411744875</v>
      </c>
      <c r="AE19" s="629">
        <f>IF(M19="","",AA19*(1/SQRT(Z19^2+AA19^2+AB19^2)))</f>
        <v>-0.96030544583712241</v>
      </c>
      <c r="AF19" s="633">
        <f>IF(M19="","",AB19*(1/SQRT(Z19^2+AA19^2+AB19^2)))</f>
        <v>-2.2679489643025759E-7</v>
      </c>
      <c r="AG19" s="602">
        <f>IF(M19="","",DEGREES(ATAN2(-AF19,AE19)))</f>
        <v>-89.999986468482049</v>
      </c>
      <c r="AH19" s="603">
        <f>IF(M19="","",DEGREES(ACOS(AD19)))</f>
        <v>106.19758466696543</v>
      </c>
      <c r="AI19" s="585">
        <f>IF(M19="","",DEGREES(-ACOS(-AF19)))</f>
        <v>-89.999987005609626</v>
      </c>
      <c r="AJ19" s="586">
        <f>IF(M19="","",DEGREES(ATAN2(-AE19,AD19)))</f>
        <v>-16.197584666965856</v>
      </c>
      <c r="AK19" s="635">
        <f>IF(M19="","",(COS(RADIANS((90-$Q$8)-W19))*AD19)+(-SIN(RADIANS((90-$Q$8)-W19))*AE19))</f>
        <v>2.2679489591892477E-7</v>
      </c>
      <c r="AL19" s="629">
        <f>IF(M19="","",(SIN(RADIANS((90-$Q$8)-W19))*AD19)+(COS(RADIANS((90-$Q$8)-W19))*AE19))</f>
        <v>-0.9999999999999486</v>
      </c>
      <c r="AM19" s="634">
        <f>IF(M19="","",AF19)</f>
        <v>-2.2679489643025759E-7</v>
      </c>
      <c r="AN19" s="581">
        <f>IF(M19="","",DEGREES(ATAN2(-AM19,AL19)))</f>
        <v>-89.999987005609626</v>
      </c>
      <c r="AO19" s="582">
        <f t="shared" si="94"/>
        <v>0</v>
      </c>
      <c r="AP19" s="585">
        <f>IF(M19="","",DEGREES(ATAN2(AK19,AL19)))</f>
        <v>-89.999987005609654</v>
      </c>
      <c r="AQ19" s="586">
        <f t="shared" si="9"/>
        <v>0.44838385927752689</v>
      </c>
      <c r="AS19" s="52">
        <f t="shared" si="116"/>
        <v>-16.197597661356212</v>
      </c>
      <c r="AT19" s="72">
        <f t="shared" si="10"/>
        <v>-3.0879610155061168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>Gage</v>
      </c>
      <c r="IG19" s="847">
        <f t="shared" si="210"/>
        <v>1.2470000000000001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1.147</v>
      </c>
      <c r="II19" s="734" cm="1">
        <f t="array" ref="II19">IFERROR(IF($IH19&lt;1,$IH19+LARGE((IF($M$9:$M$150="",0,$M$9:$M$150)-MOD(IF($M$9:$M$150="",0,$M$9:$M$150),1)),1),$IH19),"")</f>
        <v>1.147</v>
      </c>
      <c r="IJ19" s="533">
        <f t="shared" si="112"/>
        <v>1613</v>
      </c>
      <c r="IK19" s="533" t="str">
        <f t="shared" si="66"/>
        <v>CPS-32193r1</v>
      </c>
      <c r="IL19" s="727">
        <f t="shared" si="225"/>
        <v>13.999597978708096</v>
      </c>
      <c r="IM19" s="759">
        <v>2.3003813841645699E-4</v>
      </c>
      <c r="IN19" s="5">
        <f t="shared" si="226"/>
        <v>0</v>
      </c>
      <c r="IO19" s="771">
        <v>0</v>
      </c>
      <c r="IP19" s="9">
        <f t="shared" si="227"/>
        <v>-5.0832153309774375</v>
      </c>
      <c r="IQ19" s="5">
        <f t="shared" si="228"/>
        <v>-3.0992093472153921</v>
      </c>
      <c r="IR19" s="5">
        <f t="shared" si="71"/>
        <v>0.314</v>
      </c>
      <c r="IS19" s="5">
        <f t="shared" si="229"/>
        <v>0.25721375779146971</v>
      </c>
      <c r="IT19" s="727">
        <f t="shared" si="230"/>
        <v>89.999987005609611</v>
      </c>
      <c r="IU19" s="9">
        <f t="shared" si="231"/>
        <v>-5.0842153339934484</v>
      </c>
      <c r="IV19" s="5">
        <f t="shared" si="232"/>
        <v>-3.0992093472153921</v>
      </c>
      <c r="IW19" s="5">
        <f t="shared" si="76"/>
        <v>0.25700000000000001</v>
      </c>
      <c r="IX19" s="5">
        <f t="shared" si="233"/>
        <v>0.25700000000000001</v>
      </c>
      <c r="IY19" s="762">
        <f t="shared" si="234"/>
        <v>89.999987005609626</v>
      </c>
      <c r="JB19" s="984" t="s">
        <v>365</v>
      </c>
      <c r="JC19" s="985"/>
      <c r="JD19" s="985"/>
      <c r="JE19" s="985"/>
      <c r="JF19" s="985"/>
      <c r="JG19" s="985"/>
      <c r="JH19" s="985"/>
      <c r="JI19" s="986"/>
    </row>
    <row r="20" spans="1:269" ht="15" customHeight="1" x14ac:dyDescent="0.25">
      <c r="A20" s="79"/>
      <c r="B20" s="707">
        <v>2.3677203514429217</v>
      </c>
      <c r="C20" s="708">
        <v>1.2589369617029735</v>
      </c>
      <c r="D20" s="709">
        <v>-0.10210030793452875</v>
      </c>
      <c r="E20" s="710">
        <v>-0.47736130033066382</v>
      </c>
      <c r="F20" s="708">
        <v>0.84016119043510906</v>
      </c>
      <c r="G20" s="711">
        <v>0.25740117139064939</v>
      </c>
      <c r="H20" s="710">
        <v>0.314</v>
      </c>
      <c r="I20" s="708">
        <v>0.52</v>
      </c>
      <c r="J20" s="570">
        <v>2.1120000000000001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2.1120000000000001</v>
      </c>
      <c r="N20" s="632">
        <f t="shared" si="2"/>
        <v>2.3677203514429217</v>
      </c>
      <c r="O20" s="629">
        <f t="shared" si="3"/>
        <v>1.2589369617029735</v>
      </c>
      <c r="P20" s="633">
        <f t="shared" si="4"/>
        <v>-0.10210030793452875</v>
      </c>
      <c r="Q20" s="585">
        <f t="shared" si="113"/>
        <v>27.99995697412961</v>
      </c>
      <c r="R20" s="629">
        <f>IF(M20="","",SQRT(N20^2+O20^2))</f>
        <v>2.6816080877299924</v>
      </c>
      <c r="S20" s="634">
        <f>IF(M20="","",P20)</f>
        <v>-0.10210030793452875</v>
      </c>
      <c r="T20" s="635">
        <f>IF(M20="","",X20*COS(RADIANS(W20)))</f>
        <v>1.2589369617029735</v>
      </c>
      <c r="U20" s="629">
        <f>IF(M20="","",X20*SIN(RADIANS(W20)))</f>
        <v>-2.3677203514429217</v>
      </c>
      <c r="V20" s="636">
        <f>IF(M20="","",Y20)</f>
        <v>-0.10210030793452875</v>
      </c>
      <c r="W20" s="585">
        <f t="shared" si="224"/>
        <v>297.99995697412959</v>
      </c>
      <c r="X20" s="629">
        <f>IF(M20="","",R20)</f>
        <v>2.6816080877299924</v>
      </c>
      <c r="Y20" s="630">
        <f t="shared" si="223"/>
        <v>-0.10210030793452875</v>
      </c>
      <c r="Z20" s="632">
        <f t="shared" si="6"/>
        <v>0.47736130033066382</v>
      </c>
      <c r="AA20" s="629">
        <f t="shared" si="7"/>
        <v>-0.84016119043510906</v>
      </c>
      <c r="AB20" s="629">
        <f t="shared" si="8"/>
        <v>-0.25740117139064939</v>
      </c>
      <c r="AC20" s="636">
        <f>IF(M20="","",SQRT(Z20^2+AA20^2+AB20^2))</f>
        <v>1</v>
      </c>
      <c r="AD20" s="637">
        <f>IF(M20="","",Z20*(1/SQRT(Z20^2+AA20^2+AB20^2)))</f>
        <v>0.47736130033066382</v>
      </c>
      <c r="AE20" s="629">
        <f>IF(M20="","",AA20*(1/SQRT(Z20^2+AA20^2+AB20^2)))</f>
        <v>-0.84016119043510906</v>
      </c>
      <c r="AF20" s="633">
        <f>IF(M20="","",AB20*(1/SQRT(Z20^2+AA20^2+AB20^2)))</f>
        <v>-0.25740117139064939</v>
      </c>
      <c r="AG20" s="602">
        <f>IF(M20="","",DEGREES(ATAN2(-AF20,AE20)))</f>
        <v>-72.966445371528891</v>
      </c>
      <c r="AH20" s="603">
        <f>IF(M20="","",DEGREES(ACOS(AD20)))</f>
        <v>61.486794274538532</v>
      </c>
      <c r="AI20" s="585">
        <f>IF(M20="","",DEGREES(-ACOS(-AF20)))</f>
        <v>-75.0840874490397</v>
      </c>
      <c r="AJ20" s="586">
        <f>IF(M20="","",DEGREES(ATAN2(-AE20,AD20)))</f>
        <v>29.6042954459943</v>
      </c>
      <c r="AK20" s="635">
        <f>IF(M20="","",(COS(RADIANS((90-$Q$8)-W20))*AD20)+(-SIN(RADIANS((90-$Q$8)-W20))*AE20))</f>
        <v>0.9659258360722075</v>
      </c>
      <c r="AL20" s="629">
        <f>IF(M20="","",(SIN(RADIANS((90-$Q$8)-W20))*AD20)+(COS(RADIANS((90-$Q$8)-W20))*AE20))</f>
        <v>2.7053949340692995E-2</v>
      </c>
      <c r="AM20" s="634">
        <f>IF(M20="","",AF20)</f>
        <v>-0.25740117139064939</v>
      </c>
      <c r="AN20" s="581">
        <f>IF(M20="","",DEGREES(ATAN2(-AM20,AL20)))</f>
        <v>5.9999991337073366</v>
      </c>
      <c r="AO20" s="582">
        <f t="shared" si="94"/>
        <v>14.99999783426823</v>
      </c>
      <c r="AP20" s="585">
        <f>IF(M20="","",DEGREES(ATAN2(AK20,AL20)))</f>
        <v>1.6043384718646871</v>
      </c>
      <c r="AQ20" s="586">
        <f t="shared" si="9"/>
        <v>0.85007177831486858</v>
      </c>
      <c r="AS20" s="52">
        <f t="shared" si="116"/>
        <v>-62.000043025870411</v>
      </c>
      <c r="AT20" s="72">
        <f t="shared" si="10"/>
        <v>-5.9044722499896514E-2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2.1120000000000001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7" t="s">
        <v>369</v>
      </c>
      <c r="JC20" s="988"/>
      <c r="JD20" s="988"/>
      <c r="JE20" s="988"/>
      <c r="JF20" s="1234" t="s">
        <v>370</v>
      </c>
      <c r="JG20" s="1235"/>
      <c r="JH20" s="1235"/>
      <c r="JI20" s="1236"/>
    </row>
    <row r="21" spans="1:269" ht="15" customHeight="1" x14ac:dyDescent="0.25">
      <c r="A21" s="79"/>
      <c r="B21" s="707">
        <v>3.0499417953210735</v>
      </c>
      <c r="C21" s="708">
        <v>1.6087293142291654</v>
      </c>
      <c r="D21" s="709">
        <v>-0.15820047713263913</v>
      </c>
      <c r="E21" s="710">
        <v>-0.36786321683294287</v>
      </c>
      <c r="F21" s="708">
        <v>0.89713806985168942</v>
      </c>
      <c r="G21" s="711">
        <v>0.24458114670616896</v>
      </c>
      <c r="H21" s="710">
        <v>0.314</v>
      </c>
      <c r="I21" s="708">
        <v>0.52</v>
      </c>
      <c r="J21" s="570">
        <v>2.1179999999999999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1613</v>
      </c>
      <c r="L21" s="776" t="s">
        <v>367</v>
      </c>
      <c r="M21" s="168">
        <f t="shared" si="1"/>
        <v>2.1179999999999999</v>
      </c>
      <c r="N21" s="632">
        <f t="shared" si="2"/>
        <v>3.0499417953210735</v>
      </c>
      <c r="O21" s="629">
        <f t="shared" si="3"/>
        <v>1.6087293142291654</v>
      </c>
      <c r="P21" s="633">
        <f t="shared" si="4"/>
        <v>-0.15820047713263913</v>
      </c>
      <c r="Q21" s="585">
        <f t="shared" si="113"/>
        <v>27.809957001562207</v>
      </c>
      <c r="R21" s="629">
        <f>IF(M21="","",SQRT(N21^2+O21^2))</f>
        <v>3.4482103998025662</v>
      </c>
      <c r="S21" s="634">
        <f>IF(M21="","",P21)</f>
        <v>-0.15820047713263913</v>
      </c>
      <c r="T21" s="635">
        <f>IF(M21="","",X21*COS(RADIANS(W21)))</f>
        <v>1.6087293142291668</v>
      </c>
      <c r="U21" s="629">
        <f>IF(M21="","",X21*SIN(RADIANS(W21)))</f>
        <v>-3.049941795321073</v>
      </c>
      <c r="V21" s="636">
        <f>IF(M21="","",Y21)</f>
        <v>-0.15820047713263913</v>
      </c>
      <c r="W21" s="585">
        <f t="shared" si="224"/>
        <v>297.80995700156222</v>
      </c>
      <c r="X21" s="629">
        <f>IF(M21="","",R21)</f>
        <v>3.4482103998025662</v>
      </c>
      <c r="Y21" s="630">
        <f t="shared" si="223"/>
        <v>-0.15820047713263913</v>
      </c>
      <c r="Z21" s="632">
        <f t="shared" si="6"/>
        <v>0.36786321683294287</v>
      </c>
      <c r="AA21" s="629">
        <f t="shared" si="7"/>
        <v>-0.89713806985168942</v>
      </c>
      <c r="AB21" s="629">
        <f t="shared" si="8"/>
        <v>-0.24458114670616896</v>
      </c>
      <c r="AC21" s="636">
        <f>IF(M21="","",SQRT(Z21^2+AA21^2+AB21^2))</f>
        <v>1</v>
      </c>
      <c r="AD21" s="637">
        <f>IF(M21="","",Z21*(1/SQRT(Z21^2+AA21^2+AB21^2)))</f>
        <v>0.36786321683294287</v>
      </c>
      <c r="AE21" s="629">
        <f>IF(M21="","",AA21*(1/SQRT(Z21^2+AA21^2+AB21^2)))</f>
        <v>-0.89713806985168942</v>
      </c>
      <c r="AF21" s="633">
        <f>IF(M21="","",AB21*(1/SQRT(Z21^2+AA21^2+AB21^2)))</f>
        <v>-0.24458114670616896</v>
      </c>
      <c r="AG21" s="602">
        <f>IF(M21="","",DEGREES(ATAN2(-AF21,AE21)))</f>
        <v>-74.750402111806395</v>
      </c>
      <c r="AH21" s="603">
        <f>IF(M21="","",DEGREES(ACOS(AD21)))</f>
        <v>68.416103449266743</v>
      </c>
      <c r="AI21" s="585">
        <f>IF(M21="","",DEGREES(-ACOS(-AF21)))</f>
        <v>-75.842917839919039</v>
      </c>
      <c r="AJ21" s="586">
        <f>IF(M21="","",DEGREES(ATAN2(-AE21,AD21)))</f>
        <v>22.295630658812506</v>
      </c>
      <c r="AK21" s="635">
        <f>IF(M21="","",(COS(RADIANS((90-$Q$8)-W21))*AD21)+(-SIN(RADIANS((90-$Q$8)-W21))*AE21))</f>
        <v>0.96514158073146894</v>
      </c>
      <c r="AL21" s="629">
        <f>IF(M21="","",(SIN(RADIANS((90-$Q$8)-W21))*AD21)+(COS(RADIANS((90-$Q$8)-W21))*AE21))</f>
        <v>-9.3176133312437071E-2</v>
      </c>
      <c r="AM21" s="634">
        <f>IF(M21="","",AF21)</f>
        <v>-0.24458114670616896</v>
      </c>
      <c r="AN21" s="581">
        <f>IF(M21="","",DEGREES(ATAN2(-AM21,AL21)))</f>
        <v>-20.854941470778407</v>
      </c>
      <c r="AO21" s="582">
        <f>IF(ROUND(IF(M21="",0,DEGREES(ACOS(AK21))),4)=90,0,IF(M21="","",DEGREES(ACOS(AK21))))</f>
        <v>15.172641058188905</v>
      </c>
      <c r="AP21" s="585">
        <f>IF(M21="","",DEGREES(ATAN2(AK21,AL21)))</f>
        <v>-5.5143263427497331</v>
      </c>
      <c r="AQ21" s="586">
        <f t="shared" si="9"/>
        <v>0.66110393387149158</v>
      </c>
      <c r="AS21" s="52">
        <f t="shared" si="116"/>
        <v>-62.190042998437775</v>
      </c>
      <c r="AT21" s="72">
        <f t="shared" si="10"/>
        <v>-0.11501294727261289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2.1179999999999999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9"/>
      <c r="JC21" s="990"/>
      <c r="JD21" s="990"/>
      <c r="JE21" s="990"/>
      <c r="JF21" s="1237" t="s">
        <v>358</v>
      </c>
      <c r="JG21" s="1238"/>
      <c r="JH21" s="991" t="s">
        <v>371</v>
      </c>
      <c r="JI21" s="992"/>
    </row>
    <row r="22" spans="1:269" ht="15" customHeight="1" thickBot="1" x14ac:dyDescent="0.3">
      <c r="A22" s="79"/>
      <c r="B22" s="707">
        <v>3.6882035242316711</v>
      </c>
      <c r="C22" s="708">
        <v>1.8907584563490631</v>
      </c>
      <c r="D22" s="709">
        <v>-0.48340145793879719</v>
      </c>
      <c r="E22" s="710">
        <v>-0.25746265158827264</v>
      </c>
      <c r="F22" s="708">
        <v>0.94938320783816932</v>
      </c>
      <c r="G22" s="711">
        <v>0.17995696072128819</v>
      </c>
      <c r="H22" s="710">
        <v>0.314</v>
      </c>
      <c r="I22" s="708">
        <v>0.52</v>
      </c>
      <c r="J22" s="570">
        <v>2.1240000000000001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1613</v>
      </c>
      <c r="L22" s="873" t="str">
        <f>IF($L21=$JH$22,$JH$30,IF($L21=$JI$22,$JI$30,""))</f>
        <v/>
      </c>
      <c r="M22" s="168">
        <f t="shared" si="1"/>
        <v>2.1240000000000001</v>
      </c>
      <c r="N22" s="632">
        <f t="shared" si="2"/>
        <v>3.6882035242316711</v>
      </c>
      <c r="O22" s="629">
        <f t="shared" si="3"/>
        <v>1.8907584563490631</v>
      </c>
      <c r="P22" s="633">
        <f t="shared" si="4"/>
        <v>-0.48340145793879719</v>
      </c>
      <c r="Q22" s="585">
        <f t="shared" si="113"/>
        <v>27.141957098009467</v>
      </c>
      <c r="R22" s="629">
        <f t="shared" si="79"/>
        <v>4.1446125001513003</v>
      </c>
      <c r="S22" s="634">
        <f t="shared" si="80"/>
        <v>-0.48340145793879719</v>
      </c>
      <c r="T22" s="635">
        <f t="shared" si="81"/>
        <v>1.8907584563490647</v>
      </c>
      <c r="U22" s="629">
        <f t="shared" si="82"/>
        <v>-3.6882035242316702</v>
      </c>
      <c r="V22" s="636">
        <f t="shared" si="114"/>
        <v>-0.48340145793879719</v>
      </c>
      <c r="W22" s="585">
        <f t="shared" si="224"/>
        <v>297.14195709800947</v>
      </c>
      <c r="X22" s="629">
        <f t="shared" si="83"/>
        <v>4.1446125001513003</v>
      </c>
      <c r="Y22" s="630">
        <f t="shared" si="223"/>
        <v>-0.48340145793879719</v>
      </c>
      <c r="Z22" s="632">
        <f t="shared" si="6"/>
        <v>0.25746265158827264</v>
      </c>
      <c r="AA22" s="629">
        <f t="shared" si="7"/>
        <v>-0.94938320783816932</v>
      </c>
      <c r="AB22" s="629">
        <f t="shared" si="8"/>
        <v>-0.17995696072128819</v>
      </c>
      <c r="AC22" s="636">
        <f t="shared" si="84"/>
        <v>1</v>
      </c>
      <c r="AD22" s="637">
        <f t="shared" si="115"/>
        <v>0.25746265158827264</v>
      </c>
      <c r="AE22" s="629">
        <f t="shared" si="85"/>
        <v>-0.94938320783816932</v>
      </c>
      <c r="AF22" s="633">
        <f t="shared" si="86"/>
        <v>-0.17995696072128819</v>
      </c>
      <c r="AG22" s="602">
        <f t="shared" si="87"/>
        <v>-79.26683969791209</v>
      </c>
      <c r="AH22" s="603">
        <f t="shared" si="88"/>
        <v>75.080442029579913</v>
      </c>
      <c r="AI22" s="585">
        <f t="shared" si="89"/>
        <v>-79.632747099938427</v>
      </c>
      <c r="AJ22" s="586">
        <f t="shared" si="90"/>
        <v>15.173072673111131</v>
      </c>
      <c r="AK22" s="635">
        <f t="shared" si="211"/>
        <v>0.96228976256141896</v>
      </c>
      <c r="AL22" s="629">
        <f t="shared" si="91"/>
        <v>-0.20399486551735729</v>
      </c>
      <c r="AM22" s="634">
        <f t="shared" si="92"/>
        <v>-0.17995696072128819</v>
      </c>
      <c r="AN22" s="581">
        <f t="shared" si="93"/>
        <v>-48.582416276383995</v>
      </c>
      <c r="AO22" s="582">
        <f t="shared" si="94"/>
        <v>15.784890642297771</v>
      </c>
      <c r="AP22" s="585">
        <f t="shared" si="95"/>
        <v>-11.968884424898359</v>
      </c>
      <c r="AQ22" s="586">
        <f t="shared" si="9"/>
        <v>0.55002888712401143</v>
      </c>
      <c r="AS22" s="52">
        <f t="shared" si="116"/>
        <v>-62.85804290199053</v>
      </c>
      <c r="AT22" s="72">
        <f t="shared" si="10"/>
        <v>-0.43975003925685929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2.1240000000000001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>Taper</v>
      </c>
      <c r="JG22" s="862"/>
      <c r="JH22" s="863" t="str" cm="1">
        <f t="array" ref="JH22">IFERROR(TRANSPOSE(_xlfn._xlws.SORT(_xlfn.UNIQUE(_xlfn._xlws.FILTER($IE$9:$IE$150,$IE$9:$IE$150&lt;&gt;"")),,1)),"")</f>
        <v>Taper</v>
      </c>
      <c r="JI22" s="862"/>
    </row>
    <row r="23" spans="1:269" ht="15" customHeight="1" thickTop="1" x14ac:dyDescent="0.25">
      <c r="A23" s="79"/>
      <c r="B23" s="707">
        <v>4.1908941181801111</v>
      </c>
      <c r="C23" s="708">
        <v>2.0825625164172452</v>
      </c>
      <c r="D23" s="709">
        <v>-1.0350031215694144</v>
      </c>
      <c r="E23" s="710">
        <v>-0.10450331266367384</v>
      </c>
      <c r="F23" s="708">
        <v>0.98317865175922359</v>
      </c>
      <c r="G23" s="711">
        <v>0.14979584896529605</v>
      </c>
      <c r="H23" s="710">
        <v>0.314</v>
      </c>
      <c r="I23" s="708">
        <v>0.52</v>
      </c>
      <c r="J23" s="570">
        <v>2.13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1613</v>
      </c>
      <c r="M23" s="168">
        <f t="shared" si="1"/>
        <v>2.13</v>
      </c>
      <c r="N23" s="632">
        <f t="shared" si="2"/>
        <v>4.1908941181801111</v>
      </c>
      <c r="O23" s="629">
        <f t="shared" si="3"/>
        <v>2.0825625164172452</v>
      </c>
      <c r="P23" s="633">
        <f t="shared" si="4"/>
        <v>-1.0350031215694144</v>
      </c>
      <c r="Q23" s="585">
        <f t="shared" si="113"/>
        <v>26.423957201675826</v>
      </c>
      <c r="R23" s="629">
        <f t="shared" si="79"/>
        <v>4.6798141143193686</v>
      </c>
      <c r="S23" s="634">
        <f t="shared" si="80"/>
        <v>-1.0350031215694144</v>
      </c>
      <c r="T23" s="635">
        <f t="shared" si="81"/>
        <v>2.0825625164172425</v>
      </c>
      <c r="U23" s="629">
        <f t="shared" si="82"/>
        <v>-4.190894118180112</v>
      </c>
      <c r="V23" s="636">
        <f t="shared" si="114"/>
        <v>-1.0350031215694144</v>
      </c>
      <c r="W23" s="585">
        <f t="shared" si="224"/>
        <v>296.42395720167582</v>
      </c>
      <c r="X23" s="629">
        <f t="shared" si="83"/>
        <v>4.6798141143193686</v>
      </c>
      <c r="Y23" s="630">
        <f t="shared" si="223"/>
        <v>-1.0350031215694144</v>
      </c>
      <c r="Z23" s="632">
        <f t="shared" si="6"/>
        <v>0.10450331266367384</v>
      </c>
      <c r="AA23" s="629">
        <f t="shared" si="7"/>
        <v>-0.98317865175922359</v>
      </c>
      <c r="AB23" s="629">
        <f t="shared" si="8"/>
        <v>-0.14979584896529605</v>
      </c>
      <c r="AC23" s="636">
        <f t="shared" si="84"/>
        <v>1</v>
      </c>
      <c r="AD23" s="637">
        <f t="shared" si="115"/>
        <v>0.10450331266367384</v>
      </c>
      <c r="AE23" s="629">
        <f t="shared" si="85"/>
        <v>-0.98317865175922359</v>
      </c>
      <c r="AF23" s="633">
        <f t="shared" si="86"/>
        <v>-0.14979584896529605</v>
      </c>
      <c r="AG23" s="602">
        <f t="shared" si="87"/>
        <v>-81.337109027157268</v>
      </c>
      <c r="AH23" s="603">
        <f t="shared" si="88"/>
        <v>84.001448959094802</v>
      </c>
      <c r="AI23" s="585">
        <f t="shared" si="89"/>
        <v>-81.384904103008864</v>
      </c>
      <c r="AJ23" s="586">
        <f t="shared" si="90"/>
        <v>6.0672609317258379</v>
      </c>
      <c r="AK23" s="635">
        <f t="shared" si="211"/>
        <v>0.92696679923657688</v>
      </c>
      <c r="AL23" s="629">
        <f t="shared" si="91"/>
        <v>-0.34393859444072555</v>
      </c>
      <c r="AM23" s="634">
        <f t="shared" si="92"/>
        <v>-0.14979584896529605</v>
      </c>
      <c r="AN23" s="581">
        <f t="shared" si="93"/>
        <v>-66.465391591518511</v>
      </c>
      <c r="AO23" s="582">
        <f t="shared" si="94"/>
        <v>22.033174670195258</v>
      </c>
      <c r="AP23" s="585">
        <f t="shared" si="95"/>
        <v>-20.356696269949953</v>
      </c>
      <c r="AQ23" s="586">
        <f t="shared" si="9"/>
        <v>0.4871286864713652</v>
      </c>
      <c r="AS23" s="52">
        <f t="shared" si="116"/>
        <v>-63.576042798324181</v>
      </c>
      <c r="AT23" s="72">
        <f t="shared" si="10"/>
        <v>-0.99085309184835602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2.13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CPS-32193r1</v>
      </c>
      <c r="JB23" s="859" cm="1">
        <f t="array" ref="JB23">IF($JA23="","",COUNT(IF(IF($II$9:$II$150&lt;&gt;"",$IK$9:$IK$150,"")=$JA23,$IG$9:$IG$150,"")))</f>
        <v>6</v>
      </c>
      <c r="JC23" s="199"/>
      <c r="JD23" s="199"/>
      <c r="JE23" s="871"/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707">
        <v>4.4809490639308649</v>
      </c>
      <c r="C24" s="708">
        <v>2.1816296091531986</v>
      </c>
      <c r="D24" s="709">
        <v>-1.740905250570236</v>
      </c>
      <c r="E24" s="710">
        <v>3.2803902994442677E-2</v>
      </c>
      <c r="F24" s="708">
        <v>0.9977439375584114</v>
      </c>
      <c r="G24" s="711">
        <v>5.8574217995361437E-2</v>
      </c>
      <c r="H24" s="710">
        <v>0.314</v>
      </c>
      <c r="I24" s="708">
        <v>0.52</v>
      </c>
      <c r="J24" s="570">
        <v>2.1360000000000001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1613</v>
      </c>
      <c r="L24" s="86"/>
      <c r="M24" s="168">
        <f t="shared" si="1"/>
        <v>2.1360000000000001</v>
      </c>
      <c r="N24" s="632">
        <f t="shared" si="2"/>
        <v>4.4809490639308649</v>
      </c>
      <c r="O24" s="629">
        <f t="shared" si="3"/>
        <v>2.1816296091531986</v>
      </c>
      <c r="P24" s="633">
        <f t="shared" si="4"/>
        <v>-1.740905250570236</v>
      </c>
      <c r="Q24" s="585">
        <f t="shared" si="113"/>
        <v>25.959957268669122</v>
      </c>
      <c r="R24" s="629">
        <f t="shared" si="79"/>
        <v>4.9838150311861327</v>
      </c>
      <c r="S24" s="634">
        <f t="shared" si="80"/>
        <v>-1.740905250570236</v>
      </c>
      <c r="T24" s="635">
        <f t="shared" si="81"/>
        <v>2.1816296091532004</v>
      </c>
      <c r="U24" s="629">
        <f t="shared" si="82"/>
        <v>-4.480949063930864</v>
      </c>
      <c r="V24" s="636">
        <f t="shared" si="114"/>
        <v>-1.740905250570236</v>
      </c>
      <c r="W24" s="585">
        <f t="shared" si="224"/>
        <v>295.95995726866914</v>
      </c>
      <c r="X24" s="629">
        <f t="shared" si="83"/>
        <v>4.9838150311861327</v>
      </c>
      <c r="Y24" s="630">
        <f t="shared" si="223"/>
        <v>-1.740905250570236</v>
      </c>
      <c r="Z24" s="632">
        <f t="shared" si="6"/>
        <v>-3.2803902994442677E-2</v>
      </c>
      <c r="AA24" s="629">
        <f t="shared" si="7"/>
        <v>-0.9977439375584114</v>
      </c>
      <c r="AB24" s="629">
        <f t="shared" si="8"/>
        <v>-5.8574217995361437E-2</v>
      </c>
      <c r="AC24" s="636">
        <f t="shared" si="84"/>
        <v>1</v>
      </c>
      <c r="AD24" s="637">
        <f t="shared" si="115"/>
        <v>-3.2803902994442677E-2</v>
      </c>
      <c r="AE24" s="629">
        <f t="shared" si="85"/>
        <v>-0.9977439375584114</v>
      </c>
      <c r="AF24" s="633">
        <f t="shared" si="86"/>
        <v>-5.8574217995361437E-2</v>
      </c>
      <c r="AG24" s="602">
        <f t="shared" si="87"/>
        <v>-86.640212193830692</v>
      </c>
      <c r="AH24" s="603">
        <f t="shared" si="88"/>
        <v>91.879862448083642</v>
      </c>
      <c r="AI24" s="585">
        <f t="shared" si="89"/>
        <v>-86.642022481346146</v>
      </c>
      <c r="AJ24" s="586">
        <f t="shared" si="90"/>
        <v>-1.883096780423998</v>
      </c>
      <c r="AK24" s="635">
        <f>IF(M24="","",(COS(RADIANS((90-$Q$8)-W24))*AD24)+(-SIN(RADIANS((90-$Q$8)-W24))*AE24))</f>
        <v>0.88271209293447206</v>
      </c>
      <c r="AL24" s="629">
        <f t="shared" si="91"/>
        <v>-0.46624931310777912</v>
      </c>
      <c r="AM24" s="634">
        <f t="shared" si="92"/>
        <v>-5.8574217995361437E-2</v>
      </c>
      <c r="AN24" s="581">
        <f t="shared" si="93"/>
        <v>-82.839528051361626</v>
      </c>
      <c r="AO24" s="582">
        <f t="shared" si="94"/>
        <v>28.02872760459611</v>
      </c>
      <c r="AP24" s="585">
        <f t="shared" si="95"/>
        <v>-27.843054049093144</v>
      </c>
      <c r="AQ24" s="586">
        <f t="shared" si="9"/>
        <v>0.45741629347975665</v>
      </c>
      <c r="AS24" s="52">
        <f t="shared" si="116"/>
        <v>-64.040042731330857</v>
      </c>
      <c r="AT24" s="72">
        <f t="shared" si="10"/>
        <v>-1.6964329986734785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2.1360000000000001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4.5319190735483001</v>
      </c>
      <c r="C25" s="708">
        <v>2.1982320522462331</v>
      </c>
      <c r="D25" s="709">
        <v>-2.5032075496739701</v>
      </c>
      <c r="E25" s="710">
        <v>8.8429951129119402E-2</v>
      </c>
      <c r="F25" s="708">
        <v>0.99606302353773224</v>
      </c>
      <c r="G25" s="711">
        <v>-6.2126390666610784E-3</v>
      </c>
      <c r="H25" s="710">
        <v>0.314</v>
      </c>
      <c r="I25" s="708">
        <v>0.52</v>
      </c>
      <c r="J25" s="570">
        <v>2.1419999999999999</v>
      </c>
      <c r="K25" s="865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1613</v>
      </c>
      <c r="L25" s="86"/>
      <c r="M25" s="168">
        <f t="shared" si="1"/>
        <v>2.1419999999999999</v>
      </c>
      <c r="N25" s="632">
        <f t="shared" si="2"/>
        <v>4.5319190735483001</v>
      </c>
      <c r="O25" s="629">
        <f t="shared" si="3"/>
        <v>2.1982320522462331</v>
      </c>
      <c r="P25" s="633">
        <f t="shared" si="4"/>
        <v>-2.5032075496739701</v>
      </c>
      <c r="Q25" s="585">
        <f t="shared" si="113"/>
        <v>25.87595728079722</v>
      </c>
      <c r="R25" s="629">
        <f>IF(M25="","",SQRT(N25^2+O25^2))</f>
        <v>5.0369151913362176</v>
      </c>
      <c r="S25" s="634">
        <f>IF(M25="","",P25)</f>
        <v>-2.5032075496739701</v>
      </c>
      <c r="T25" s="635">
        <f>IF(M25="","",X25*COS(RADIANS(W25)))</f>
        <v>2.1982320522462317</v>
      </c>
      <c r="U25" s="629">
        <f>IF(M25="","",X25*SIN(RADIANS(W25)))</f>
        <v>-4.531919073548301</v>
      </c>
      <c r="V25" s="636">
        <f>IF(M25="","",Y25)</f>
        <v>-2.5032075496739701</v>
      </c>
      <c r="W25" s="585">
        <f t="shared" si="224"/>
        <v>295.87595728079719</v>
      </c>
      <c r="X25" s="629">
        <f>IF(M25="","",R25)</f>
        <v>5.0369151913362176</v>
      </c>
      <c r="Y25" s="630">
        <f t="shared" si="223"/>
        <v>-2.5032075496739701</v>
      </c>
      <c r="Z25" s="632">
        <f t="shared" si="6"/>
        <v>-8.8429951129119402E-2</v>
      </c>
      <c r="AA25" s="629">
        <f t="shared" si="7"/>
        <v>-0.99606302353773224</v>
      </c>
      <c r="AB25" s="629">
        <f t="shared" si="8"/>
        <v>6.2126390666610784E-3</v>
      </c>
      <c r="AC25" s="636">
        <f>IF(M25="","",SQRT(Z25^2+AA25^2+AB25^2))</f>
        <v>1</v>
      </c>
      <c r="AD25" s="637">
        <f>IF(M25="","",Z25*(1/SQRT(Z25^2+AA25^2+AB25^2)))</f>
        <v>-8.8429951129119402E-2</v>
      </c>
      <c r="AE25" s="629">
        <f>IF(M25="","",AA25*(1/SQRT(Z25^2+AA25^2+AB25^2)))</f>
        <v>-0.99606302353773224</v>
      </c>
      <c r="AF25" s="633">
        <f>IF(M25="","",AB25*(1/SQRT(Z25^2+AA25^2+AB25^2)))</f>
        <v>6.2126390666610784E-3</v>
      </c>
      <c r="AG25" s="602">
        <f>IF(M25="","",DEGREES(ATAN2(-AF25,AE25)))</f>
        <v>-90.357360301463899</v>
      </c>
      <c r="AH25" s="603">
        <f>IF(M25="","",DEGREES(ACOS(AD25)))</f>
        <v>95.073289757397717</v>
      </c>
      <c r="AI25" s="585">
        <f>IF(M25="","",DEGREES(-ACOS(-AF25)))</f>
        <v>-90.355960288009143</v>
      </c>
      <c r="AJ25" s="586">
        <f>IF(M25="","",DEGREES(ATAN2(-AE25,AD25)))</f>
        <v>-5.0733879235136161</v>
      </c>
      <c r="AK25" s="635">
        <f>IF(M25="","",(COS(RADIANS((90-$Q$8)-W25))*AD25)+(-SIN(RADIANS((90-$Q$8)-W25))*AE25))</f>
        <v>0.85760575625858271</v>
      </c>
      <c r="AL25" s="629">
        <f>IF(M25="","",(SIN(RADIANS((90-$Q$8)-W25))*AD25)+(COS(RADIANS((90-$Q$8)-W25))*AE25))</f>
        <v>-0.51427013324513793</v>
      </c>
      <c r="AM25" s="634">
        <f>IF(M25="","",AF25)</f>
        <v>6.2126390666610784E-3</v>
      </c>
      <c r="AN25" s="581">
        <f>IF(M25="","",DEGREES(ATAN2(-AM25,AL25)))</f>
        <v>-90.692127853984374</v>
      </c>
      <c r="AO25" s="582">
        <f>IF(ROUND(IF(M25="",0,DEGREES(ACOS(AK25))),4)=90,0,IF(M25="","",DEGREES(ACOS(AK25))))</f>
        <v>30.951189089198873</v>
      </c>
      <c r="AP25" s="585">
        <f>IF(M25="","",DEGREES(ATAN2(AK25,AL25)))</f>
        <v>-30.94934520431082</v>
      </c>
      <c r="AQ25" s="586">
        <f t="shared" si="9"/>
        <v>0.45259432174574699</v>
      </c>
      <c r="AS25" s="52">
        <f t="shared" si="116"/>
        <v>-64.124042719202805</v>
      </c>
      <c r="AT25" s="72">
        <f t="shared" si="10"/>
        <v>-2.4586769644523017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2.1419999999999999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4.5764386016005041</v>
      </c>
      <c r="C26" s="708">
        <v>2.2125297346849129</v>
      </c>
      <c r="D26" s="709">
        <v>-3.2547098162048056</v>
      </c>
      <c r="E26" s="710">
        <v>0.15984737879419786</v>
      </c>
      <c r="F26" s="708">
        <v>0.98714174032537372</v>
      </c>
      <c r="G26" s="711">
        <v>1.3008419217158973E-7</v>
      </c>
      <c r="H26" s="710">
        <v>0.314</v>
      </c>
      <c r="I26" s="708">
        <v>0.52</v>
      </c>
      <c r="J26" s="570">
        <v>2.1480000000000001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1613</v>
      </c>
      <c r="L26" s="320"/>
      <c r="M26" s="168">
        <f t="shared" si="1"/>
        <v>2.1480000000000001</v>
      </c>
      <c r="N26" s="632">
        <f t="shared" si="2"/>
        <v>4.5764386016005041</v>
      </c>
      <c r="O26" s="629">
        <f t="shared" si="3"/>
        <v>2.2125297346849129</v>
      </c>
      <c r="P26" s="633">
        <f t="shared" si="4"/>
        <v>-3.2547098162048056</v>
      </c>
      <c r="Q26" s="585">
        <f t="shared" si="113"/>
        <v>25.801957291481497</v>
      </c>
      <c r="R26" s="629">
        <f>IF(M26="","",SQRT(N26^2+O26^2))</f>
        <v>5.0832153309774384</v>
      </c>
      <c r="S26" s="634">
        <f>IF(M26="","",P26)</f>
        <v>-3.2547098162048056</v>
      </c>
      <c r="T26" s="635">
        <f>IF(M26="","",X26*COS(RADIANS(W26)))</f>
        <v>2.2125297346849129</v>
      </c>
      <c r="U26" s="629">
        <f>IF(M26="","",X26*SIN(RADIANS(W26)))</f>
        <v>-4.5764386016005041</v>
      </c>
      <c r="V26" s="636">
        <f>IF(M26="","",Y26)</f>
        <v>-3.2547098162048056</v>
      </c>
      <c r="W26" s="585">
        <f t="shared" si="224"/>
        <v>295.80195729148147</v>
      </c>
      <c r="X26" s="629">
        <f>IF(M26="","",R26)</f>
        <v>5.0832153309774384</v>
      </c>
      <c r="Y26" s="630">
        <f t="shared" si="223"/>
        <v>-3.2547098162048056</v>
      </c>
      <c r="Z26" s="632">
        <f t="shared" si="6"/>
        <v>-0.15984737879419786</v>
      </c>
      <c r="AA26" s="629">
        <f t="shared" si="7"/>
        <v>-0.98714174032537372</v>
      </c>
      <c r="AB26" s="629">
        <f t="shared" si="8"/>
        <v>-1.3008419217158973E-7</v>
      </c>
      <c r="AC26" s="636">
        <f>IF(M26="","",SQRT(Z26^2+AA26^2+AB26^2))</f>
        <v>1</v>
      </c>
      <c r="AD26" s="637">
        <f>IF(M26="","",Z26*(1/SQRT(Z26^2+AA26^2+AB26^2)))</f>
        <v>-0.15984737879419786</v>
      </c>
      <c r="AE26" s="629">
        <f>IF(M26="","",AA26*(1/SQRT(Z26^2+AA26^2+AB26^2)))</f>
        <v>-0.98714174032537372</v>
      </c>
      <c r="AF26" s="633">
        <f>IF(M26="","",AB26*(1/SQRT(Z26^2+AA26^2+AB26^2)))</f>
        <v>-1.3008419217158973E-7</v>
      </c>
      <c r="AG26" s="602">
        <f>IF(M26="","",DEGREES(ATAN2(-AF26,AE26)))</f>
        <v>-89.999992449640331</v>
      </c>
      <c r="AH26" s="603">
        <f>IF(M26="","",DEGREES(ACOS(AD26)))</f>
        <v>99.198037655143708</v>
      </c>
      <c r="AI26" s="585">
        <f>IF(M26="","",DEGREES(-ACOS(-AF26)))</f>
        <v>-89.999992546724812</v>
      </c>
      <c r="AJ26" s="586">
        <f>IF(M26="","",DEGREES(ATAN2(-AE26,AD26)))</f>
        <v>-9.198037655143775</v>
      </c>
      <c r="AK26" s="635">
        <f>IF(M26="","",(COS(RADIANS((90-$Q$8)-W26))*AD26)+(-SIN(RADIANS((90-$Q$8)-W26))*AE26))</f>
        <v>0.81915209487729201</v>
      </c>
      <c r="AL26" s="629">
        <f>IF(M26="","",(SIN(RADIANS((90-$Q$8)-W26))*AD26)+(COS(RADIANS((90-$Q$8)-W26))*AE26))</f>
        <v>-0.57357636410344459</v>
      </c>
      <c r="AM26" s="634">
        <f>IF(M26="","",AF26)</f>
        <v>-1.3008419217158973E-7</v>
      </c>
      <c r="AN26" s="581">
        <f>IF(M26="","",DEGREES(ATAN2(-AM26,AL26)))</f>
        <v>-89.999987005609626</v>
      </c>
      <c r="AO26" s="582">
        <f t="shared" si="94"/>
        <v>34.999994946625954</v>
      </c>
      <c r="AP26" s="585">
        <f>IF(M26="","",DEGREES(ATAN2(AK26,AL26)))</f>
        <v>-34.999994946625264</v>
      </c>
      <c r="AQ26" s="586">
        <f t="shared" si="9"/>
        <v>0.44847206464958778</v>
      </c>
      <c r="AS26" s="52">
        <f t="shared" si="116"/>
        <v>-64.198042708518528</v>
      </c>
      <c r="AT26" s="72">
        <f t="shared" si="10"/>
        <v>-3.2101278421016679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2.1480000000000001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4.976729771054468</v>
      </c>
      <c r="C27" s="708">
        <v>1.0399068940603522</v>
      </c>
      <c r="D27" s="709">
        <v>-3.2547098162048056</v>
      </c>
      <c r="E27" s="710">
        <v>0.97885892085133486</v>
      </c>
      <c r="F27" s="708">
        <v>0.20453658125066213</v>
      </c>
      <c r="G27" s="711">
        <v>2.2679489767717583E-7</v>
      </c>
      <c r="H27" s="710">
        <v>0.25700000000000001</v>
      </c>
      <c r="I27" s="708">
        <v>0.41499999999999992</v>
      </c>
      <c r="J27" s="570">
        <v>2.2480000000000002</v>
      </c>
      <c r="K27" s="865" t="str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CPS-32193r1</v>
      </c>
      <c r="L27" s="320"/>
      <c r="M27" s="168">
        <f t="shared" si="1"/>
        <v>2.2480000000000002</v>
      </c>
      <c r="N27" s="632">
        <f t="shared" si="2"/>
        <v>4.976729771054468</v>
      </c>
      <c r="O27" s="629">
        <f t="shared" si="3"/>
        <v>1.0399068940603522</v>
      </c>
      <c r="P27" s="633">
        <f t="shared" si="4"/>
        <v>-3.2547098162048056</v>
      </c>
      <c r="Q27" s="585">
        <f t="shared" si="113"/>
        <v>11.802359312773358</v>
      </c>
      <c r="R27" s="629">
        <f t="shared" si="79"/>
        <v>5.0842153339934484</v>
      </c>
      <c r="S27" s="634">
        <f t="shared" si="80"/>
        <v>-3.2547098162048056</v>
      </c>
      <c r="T27" s="635">
        <f t="shared" si="81"/>
        <v>1.0399068940603526</v>
      </c>
      <c r="U27" s="629">
        <f t="shared" si="82"/>
        <v>-4.976729771054468</v>
      </c>
      <c r="V27" s="636">
        <f t="shared" si="114"/>
        <v>-3.2547098162048056</v>
      </c>
      <c r="W27" s="585">
        <f t="shared" si="224"/>
        <v>281.80235931277338</v>
      </c>
      <c r="X27" s="629">
        <f t="shared" si="83"/>
        <v>5.0842153339934484</v>
      </c>
      <c r="Y27" s="630">
        <f t="shared" si="223"/>
        <v>-3.2547098162048056</v>
      </c>
      <c r="Z27" s="632">
        <f t="shared" si="6"/>
        <v>-0.97885892085133486</v>
      </c>
      <c r="AA27" s="629">
        <f t="shared" si="7"/>
        <v>-0.20453658125066213</v>
      </c>
      <c r="AB27" s="629">
        <f t="shared" si="8"/>
        <v>-2.2679489767717583E-7</v>
      </c>
      <c r="AC27" s="636">
        <f t="shared" si="84"/>
        <v>1</v>
      </c>
      <c r="AD27" s="637">
        <f t="shared" si="115"/>
        <v>-0.97885892085133486</v>
      </c>
      <c r="AE27" s="629">
        <f t="shared" si="85"/>
        <v>-0.20453658125066213</v>
      </c>
      <c r="AF27" s="633">
        <f t="shared" si="86"/>
        <v>-2.2679489767717583E-7</v>
      </c>
      <c r="AG27" s="602">
        <f t="shared" si="87"/>
        <v>-89.999936469112896</v>
      </c>
      <c r="AH27" s="603">
        <f t="shared" si="88"/>
        <v>168.1976276928292</v>
      </c>
      <c r="AI27" s="585">
        <f t="shared" si="89"/>
        <v>-89.99998700560954</v>
      </c>
      <c r="AJ27" s="586">
        <f t="shared" si="90"/>
        <v>-78.197627692836249</v>
      </c>
      <c r="AK27" s="635">
        <f t="shared" si="211"/>
        <v>2.2679489661281416E-7</v>
      </c>
      <c r="AL27" s="629">
        <f t="shared" si="91"/>
        <v>-0.99999999999994849</v>
      </c>
      <c r="AM27" s="634">
        <f t="shared" si="92"/>
        <v>-2.2679489767717583E-7</v>
      </c>
      <c r="AN27" s="581">
        <f t="shared" si="93"/>
        <v>-89.999987005609555</v>
      </c>
      <c r="AO27" s="582">
        <f t="shared" si="94"/>
        <v>0</v>
      </c>
      <c r="AP27" s="585">
        <f t="shared" si="95"/>
        <v>-89.999987005609611</v>
      </c>
      <c r="AQ27" s="586">
        <f t="shared" si="9"/>
        <v>0.44838385927752689</v>
      </c>
      <c r="AS27" s="52">
        <f t="shared" si="116"/>
        <v>-78.197640687226624</v>
      </c>
      <c r="AT27" s="72">
        <f t="shared" si="10"/>
        <v>-3.2004058990608981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>Gage</v>
      </c>
      <c r="IG27" s="847">
        <f t="shared" si="210"/>
        <v>2.2480000000000002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2.1480000000000001</v>
      </c>
      <c r="II27" s="734" cm="1">
        <f t="array" ref="II27">IFERROR(IF($IH27&lt;1,$IH27+LARGE((IF($M$9:$M$150="",0,$M$9:$M$150)-MOD(IF($M$9:$M$150="",0,$M$9:$M$150),1)),1),$IH27),"")</f>
        <v>2.1480000000000001</v>
      </c>
      <c r="IJ27" s="533">
        <f t="shared" si="112"/>
        <v>1613</v>
      </c>
      <c r="IK27" s="533" t="str">
        <f t="shared" si="66"/>
        <v>CPS-32193r1</v>
      </c>
      <c r="IL27" s="727">
        <f t="shared" si="225"/>
        <v>13.999597978708096</v>
      </c>
      <c r="IM27" s="759">
        <v>2.3003813841645699E-4</v>
      </c>
      <c r="IN27" s="5">
        <f t="shared" si="226"/>
        <v>0</v>
      </c>
      <c r="IO27" s="771">
        <v>0</v>
      </c>
      <c r="IP27" s="9">
        <f t="shared" si="227"/>
        <v>-5.0832153309774384</v>
      </c>
      <c r="IQ27" s="5">
        <f t="shared" si="228"/>
        <v>-3.2547098162048056</v>
      </c>
      <c r="IR27" s="5">
        <f t="shared" si="71"/>
        <v>0.314</v>
      </c>
      <c r="IS27" s="5">
        <f t="shared" si="229"/>
        <v>0.25721375779146971</v>
      </c>
      <c r="IT27" s="727">
        <f t="shared" si="230"/>
        <v>89.999987005609626</v>
      </c>
      <c r="IU27" s="9">
        <f t="shared" si="231"/>
        <v>-5.0842153339934484</v>
      </c>
      <c r="IV27" s="5">
        <f t="shared" si="232"/>
        <v>-3.2547098162048056</v>
      </c>
      <c r="IW27" s="5">
        <f t="shared" si="76"/>
        <v>0.25700000000000001</v>
      </c>
      <c r="IX27" s="5">
        <f t="shared" si="233"/>
        <v>0.25700000000000001</v>
      </c>
      <c r="IY27" s="762">
        <f t="shared" si="234"/>
        <v>89.999987005609555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0.74850775263169633</v>
      </c>
      <c r="C28" s="708">
        <v>-0.43215175605571238</v>
      </c>
      <c r="D28" s="709">
        <v>-0.53330160843765106</v>
      </c>
      <c r="E28" s="710">
        <v>0.42495075868149657</v>
      </c>
      <c r="F28" s="708">
        <v>0.87000969481008184</v>
      </c>
      <c r="G28" s="711">
        <v>0.24999996726497567</v>
      </c>
      <c r="H28" s="710">
        <v>0.314</v>
      </c>
      <c r="I28" s="708">
        <v>0.52</v>
      </c>
      <c r="J28" s="570">
        <v>3.1030000000000002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1613</v>
      </c>
      <c r="L28" s="320"/>
      <c r="M28" s="168">
        <f t="shared" si="1"/>
        <v>3.1030000000000002</v>
      </c>
      <c r="N28" s="632">
        <f t="shared" si="2"/>
        <v>0.74850775263169633</v>
      </c>
      <c r="O28" s="629">
        <f t="shared" si="3"/>
        <v>-0.43215175605571238</v>
      </c>
      <c r="P28" s="633">
        <f t="shared" si="4"/>
        <v>-0.53330160843765106</v>
      </c>
      <c r="Q28" s="585">
        <f t="shared" si="113"/>
        <v>329.99996534829228</v>
      </c>
      <c r="R28" s="629">
        <f t="shared" si="79"/>
        <v>0.8643026067366617</v>
      </c>
      <c r="S28" s="634">
        <f t="shared" si="80"/>
        <v>-0.53330160843765106</v>
      </c>
      <c r="T28" s="635">
        <f t="shared" si="81"/>
        <v>-0.43215175605571243</v>
      </c>
      <c r="U28" s="629">
        <f t="shared" si="82"/>
        <v>-0.74850775263169622</v>
      </c>
      <c r="V28" s="636">
        <f t="shared" si="114"/>
        <v>-0.53330160843765106</v>
      </c>
      <c r="W28" s="585">
        <f t="shared" si="224"/>
        <v>239.99996534829228</v>
      </c>
      <c r="X28" s="629">
        <f t="shared" si="83"/>
        <v>0.8643026067366617</v>
      </c>
      <c r="Y28" s="630">
        <f t="shared" si="223"/>
        <v>-0.53330160843765106</v>
      </c>
      <c r="Z28" s="632">
        <f t="shared" si="6"/>
        <v>-0.42495075868149657</v>
      </c>
      <c r="AA28" s="629">
        <f t="shared" si="7"/>
        <v>-0.87000969481008184</v>
      </c>
      <c r="AB28" s="629">
        <f t="shared" si="8"/>
        <v>-0.24999996726497567</v>
      </c>
      <c r="AC28" s="636">
        <f t="shared" si="84"/>
        <v>1</v>
      </c>
      <c r="AD28" s="637">
        <f t="shared" si="115"/>
        <v>-0.42495075868149657</v>
      </c>
      <c r="AE28" s="629">
        <f t="shared" si="85"/>
        <v>-0.87000969481008184</v>
      </c>
      <c r="AF28" s="633">
        <f t="shared" si="86"/>
        <v>-0.24999996726497567</v>
      </c>
      <c r="AG28" s="602">
        <f t="shared" si="87"/>
        <v>-73.967832110835701</v>
      </c>
      <c r="AH28" s="603">
        <f t="shared" si="88"/>
        <v>115.14754663787646</v>
      </c>
      <c r="AI28" s="585">
        <f t="shared" si="89"/>
        <v>-75.522489751159455</v>
      </c>
      <c r="AJ28" s="586">
        <f t="shared" si="90"/>
        <v>-26.032905006621156</v>
      </c>
      <c r="AK28" s="635">
        <f t="shared" si="211"/>
        <v>0.9659258360722075</v>
      </c>
      <c r="AL28" s="629">
        <f t="shared" si="91"/>
        <v>6.6987279208207184E-2</v>
      </c>
      <c r="AM28" s="634">
        <f t="shared" si="92"/>
        <v>-0.24999996726497567</v>
      </c>
      <c r="AN28" s="581">
        <f t="shared" si="93"/>
        <v>14.999997834268262</v>
      </c>
      <c r="AO28" s="582">
        <f t="shared" si="94"/>
        <v>14.99999783426823</v>
      </c>
      <c r="AP28" s="585">
        <f t="shared" si="95"/>
        <v>3.9671296450865703</v>
      </c>
      <c r="AQ28" s="586">
        <f t="shared" si="9"/>
        <v>2.6357877416225688</v>
      </c>
      <c r="AS28" s="52">
        <f t="shared" si="116"/>
        <v>-120.00003465170772</v>
      </c>
      <c r="AT28" s="72">
        <f t="shared" si="10"/>
        <v>-0.44996825104063182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3.1030000000000002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1.3914467270083848</v>
      </c>
      <c r="C29" s="708">
        <v>-0.80335326443909871</v>
      </c>
      <c r="D29" s="709">
        <v>-0.33440100855344163</v>
      </c>
      <c r="E29" s="710">
        <v>0.42495075868149651</v>
      </c>
      <c r="F29" s="708">
        <v>0.87000969481008184</v>
      </c>
      <c r="G29" s="711">
        <v>0.24999996726497564</v>
      </c>
      <c r="H29" s="710">
        <v>0.314</v>
      </c>
      <c r="I29" s="708">
        <v>0.52</v>
      </c>
      <c r="J29" s="570">
        <v>3.1059999999999999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1613</v>
      </c>
      <c r="L29" s="86"/>
      <c r="M29" s="168">
        <f t="shared" si="1"/>
        <v>3.1059999999999999</v>
      </c>
      <c r="N29" s="632">
        <f t="shared" si="2"/>
        <v>1.3914467270083848</v>
      </c>
      <c r="O29" s="629">
        <f t="shared" si="3"/>
        <v>-0.80335326443909871</v>
      </c>
      <c r="P29" s="633">
        <f t="shared" si="4"/>
        <v>-0.33440100855344163</v>
      </c>
      <c r="Q29" s="585">
        <f t="shared" si="113"/>
        <v>329.99996534829228</v>
      </c>
      <c r="R29" s="629">
        <f>IF(M29="","",SQRT(N29^2+O29^2))</f>
        <v>1.6067048458218152</v>
      </c>
      <c r="S29" s="634">
        <f>IF(M29="","",P29)</f>
        <v>-0.33440100855344163</v>
      </c>
      <c r="T29" s="635">
        <f>IF(M29="","",X29*COS(RADIANS(W29)))</f>
        <v>-0.80335326443909916</v>
      </c>
      <c r="U29" s="629">
        <f>IF(M29="","",X29*SIN(RADIANS(W29)))</f>
        <v>-1.3914467270083846</v>
      </c>
      <c r="V29" s="636">
        <f>IF(M29="","",Y29)</f>
        <v>-0.33440100855344163</v>
      </c>
      <c r="W29" s="585">
        <f t="shared" si="224"/>
        <v>239.99996534829228</v>
      </c>
      <c r="X29" s="629">
        <f>IF(M29="","",R29)</f>
        <v>1.6067048458218152</v>
      </c>
      <c r="Y29" s="630">
        <f t="shared" si="223"/>
        <v>-0.33440100855344163</v>
      </c>
      <c r="Z29" s="632">
        <f t="shared" si="6"/>
        <v>-0.42495075868149651</v>
      </c>
      <c r="AA29" s="629">
        <f t="shared" si="7"/>
        <v>-0.87000969481008184</v>
      </c>
      <c r="AB29" s="629">
        <f t="shared" si="8"/>
        <v>-0.24999996726497564</v>
      </c>
      <c r="AC29" s="636">
        <f>IF(M29="","",SQRT(Z29^2+AA29^2+AB29^2))</f>
        <v>1</v>
      </c>
      <c r="AD29" s="637">
        <f>IF(M29="","",Z29*(1/SQRT(Z29^2+AA29^2+AB29^2)))</f>
        <v>-0.42495075868149651</v>
      </c>
      <c r="AE29" s="629">
        <f>IF(M29="","",AA29*(1/SQRT(Z29^2+AA29^2+AB29^2)))</f>
        <v>-0.87000969481008184</v>
      </c>
      <c r="AF29" s="633">
        <f>IF(M29="","",AB29*(1/SQRT(Z29^2+AA29^2+AB29^2)))</f>
        <v>-0.24999996726497564</v>
      </c>
      <c r="AG29" s="602">
        <f>IF(M29="","",DEGREES(ATAN2(-AF29,AE29)))</f>
        <v>-73.967832110835701</v>
      </c>
      <c r="AH29" s="603">
        <f>IF(M29="","",DEGREES(ACOS(AD29)))</f>
        <v>115.14754663787646</v>
      </c>
      <c r="AI29" s="585">
        <f>IF(M29="","",DEGREES(-ACOS(-AF29)))</f>
        <v>-75.522489751159469</v>
      </c>
      <c r="AJ29" s="586">
        <f>IF(M29="","",DEGREES(ATAN2(-AE29,AD29)))</f>
        <v>-26.032905006621153</v>
      </c>
      <c r="AK29" s="635">
        <f>IF(M29="","",(COS(RADIANS((90-$Q$8)-W29))*AD29)+(-SIN(RADIANS((90-$Q$8)-W29))*AE29))</f>
        <v>0.9659258360722075</v>
      </c>
      <c r="AL29" s="629">
        <f>IF(M29="","",(SIN(RADIANS((90-$Q$8)-W29))*AD29)+(COS(RADIANS((90-$Q$8)-W29))*AE29))</f>
        <v>6.698727920820724E-2</v>
      </c>
      <c r="AM29" s="634">
        <f>IF(M29="","",AF29)</f>
        <v>-0.24999996726497564</v>
      </c>
      <c r="AN29" s="581">
        <f>IF(M29="","",DEGREES(ATAN2(-AM29,AL29)))</f>
        <v>14.999997834268278</v>
      </c>
      <c r="AO29" s="582">
        <f t="shared" si="94"/>
        <v>14.99999783426823</v>
      </c>
      <c r="AP29" s="585">
        <f>IF(M29="","",DEGREES(ATAN2(AK29,AL29)))</f>
        <v>3.9671296450865734</v>
      </c>
      <c r="AQ29" s="586">
        <f t="shared" si="9"/>
        <v>1.4185933302428828</v>
      </c>
      <c r="AS29" s="52">
        <f t="shared" si="116"/>
        <v>-120.00003465170772</v>
      </c>
      <c r="AT29" s="72">
        <f t="shared" si="10"/>
        <v>-0.25106765115642238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3.1059999999999999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1.9952412487425262</v>
      </c>
      <c r="C30" s="708">
        <v>-1.1519546809866434</v>
      </c>
      <c r="D30" s="709">
        <v>-0.14760044516294243</v>
      </c>
      <c r="E30" s="710">
        <v>0.42495075868149668</v>
      </c>
      <c r="F30" s="708">
        <v>0.87000969481008184</v>
      </c>
      <c r="G30" s="711">
        <v>0.24999996726497573</v>
      </c>
      <c r="H30" s="710">
        <v>0.314</v>
      </c>
      <c r="I30" s="708">
        <v>0.52</v>
      </c>
      <c r="J30" s="570">
        <v>3.109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1613</v>
      </c>
      <c r="L30" s="86"/>
      <c r="M30" s="168">
        <f t="shared" si="1"/>
        <v>3.109</v>
      </c>
      <c r="N30" s="632">
        <f t="shared" si="2"/>
        <v>1.9952412487425262</v>
      </c>
      <c r="O30" s="629">
        <f t="shared" si="3"/>
        <v>-1.1519546809866434</v>
      </c>
      <c r="P30" s="633">
        <f t="shared" si="4"/>
        <v>-0.14760044516294243</v>
      </c>
      <c r="Q30" s="585">
        <f t="shared" si="113"/>
        <v>329.99996534829228</v>
      </c>
      <c r="R30" s="629">
        <f>IF(M30="","",SQRT(N30^2+O30^2))</f>
        <v>2.3039069485833568</v>
      </c>
      <c r="S30" s="634">
        <f>IF(M30="","",P30)</f>
        <v>-0.14760044516294243</v>
      </c>
      <c r="T30" s="635">
        <f>IF(M30="","",X30*COS(RADIANS(W30)))</f>
        <v>-1.1519546809866437</v>
      </c>
      <c r="U30" s="629">
        <f>IF(M30="","",X30*SIN(RADIANS(W30)))</f>
        <v>-1.9952412487425262</v>
      </c>
      <c r="V30" s="636">
        <f>IF(M30="","",Y30)</f>
        <v>-0.14760044516294243</v>
      </c>
      <c r="W30" s="585">
        <f t="shared" si="224"/>
        <v>239.99996534829228</v>
      </c>
      <c r="X30" s="629">
        <f>IF(M30="","",R30)</f>
        <v>2.3039069485833568</v>
      </c>
      <c r="Y30" s="630">
        <f t="shared" si="223"/>
        <v>-0.14760044516294243</v>
      </c>
      <c r="Z30" s="632">
        <f t="shared" si="6"/>
        <v>-0.42495075868149668</v>
      </c>
      <c r="AA30" s="629">
        <f t="shared" si="7"/>
        <v>-0.87000969481008184</v>
      </c>
      <c r="AB30" s="629">
        <f t="shared" si="8"/>
        <v>-0.24999996726497573</v>
      </c>
      <c r="AC30" s="636">
        <f>IF(M30="","",SQRT(Z30^2+AA30^2+AB30^2))</f>
        <v>1</v>
      </c>
      <c r="AD30" s="637">
        <f>IF(M30="","",Z30*(1/SQRT(Z30^2+AA30^2+AB30^2)))</f>
        <v>-0.42495075868149668</v>
      </c>
      <c r="AE30" s="629">
        <f>IF(M30="","",AA30*(1/SQRT(Z30^2+AA30^2+AB30^2)))</f>
        <v>-0.87000969481008184</v>
      </c>
      <c r="AF30" s="633">
        <f>IF(M30="","",AB30*(1/SQRT(Z30^2+AA30^2+AB30^2)))</f>
        <v>-0.24999996726497573</v>
      </c>
      <c r="AG30" s="602">
        <f>IF(M30="","",DEGREES(ATAN2(-AF30,AE30)))</f>
        <v>-73.967832110835701</v>
      </c>
      <c r="AH30" s="603">
        <f>IF(M30="","",DEGREES(ACOS(AD30)))</f>
        <v>115.14754663787647</v>
      </c>
      <c r="AI30" s="585">
        <f>IF(M30="","",DEGREES(-ACOS(-AF30)))</f>
        <v>-75.522489751159455</v>
      </c>
      <c r="AJ30" s="586">
        <f>IF(M30="","",DEGREES(ATAN2(-AE30,AD30)))</f>
        <v>-26.032905006621164</v>
      </c>
      <c r="AK30" s="635">
        <f>IF(M30="","",(COS(RADIANS((90-$Q$8)-W30))*AD30)+(-SIN(RADIANS((90-$Q$8)-W30))*AE30))</f>
        <v>0.96592583607220761</v>
      </c>
      <c r="AL30" s="629">
        <f>IF(M30="","",(SIN(RADIANS((90-$Q$8)-W30))*AD30)+(COS(RADIANS((90-$Q$8)-W30))*AE30))</f>
        <v>6.6987279208207073E-2</v>
      </c>
      <c r="AM30" s="634">
        <f>IF(M30="","",AF30)</f>
        <v>-0.24999996726497573</v>
      </c>
      <c r="AN30" s="581">
        <f>IF(M30="","",DEGREES(ATAN2(-AM30,AL30)))</f>
        <v>14.999997834268235</v>
      </c>
      <c r="AO30" s="582">
        <f>IF(ROUND(IF(M30="",0,DEGREES(ACOS(AK30))),4)=90,0,IF(M30="","",DEGREES(ACOS(AK30))))</f>
        <v>14.999997834268203</v>
      </c>
      <c r="AP30" s="585">
        <f>IF(M30="","",DEGREES(ATAN2(AK30,AL30)))</f>
        <v>3.9671296450865632</v>
      </c>
      <c r="AQ30" s="586">
        <f t="shared" si="9"/>
        <v>0.98940628912342465</v>
      </c>
      <c r="AS30" s="52">
        <f t="shared" si="116"/>
        <v>-120.00003465170772</v>
      </c>
      <c r="AT30" s="72">
        <f t="shared" si="10"/>
        <v>-6.4267087765923187E-2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3.109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2.6561116015891644</v>
      </c>
      <c r="C31" s="708">
        <v>-1.5344980184423562</v>
      </c>
      <c r="D31" s="709">
        <v>-6.5200196643792951E-2</v>
      </c>
      <c r="E31" s="710">
        <v>0.50491341029602221</v>
      </c>
      <c r="F31" s="708">
        <v>0.82376013137120307</v>
      </c>
      <c r="G31" s="711">
        <v>0.25784044303898318</v>
      </c>
      <c r="H31" s="710">
        <v>0.314</v>
      </c>
      <c r="I31" s="708">
        <v>0.52</v>
      </c>
      <c r="J31" s="570">
        <v>3.1150000000000002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1613</v>
      </c>
      <c r="L31" s="320"/>
      <c r="M31" s="168">
        <f t="shared" si="1"/>
        <v>3.1150000000000002</v>
      </c>
      <c r="N31" s="632">
        <f t="shared" si="2"/>
        <v>2.6561116015891644</v>
      </c>
      <c r="O31" s="629">
        <f t="shared" si="3"/>
        <v>-1.5344980184423562</v>
      </c>
      <c r="P31" s="633">
        <f t="shared" si="4"/>
        <v>-6.5200196643792951E-2</v>
      </c>
      <c r="Q31" s="585">
        <f t="shared" si="113"/>
        <v>329.98396535060238</v>
      </c>
      <c r="R31" s="629">
        <f>IF(M31="","",SQRT(N31^2+O31^2))</f>
        <v>3.0675092516079023</v>
      </c>
      <c r="S31" s="634">
        <f>IF(M31="","",P31)</f>
        <v>-6.5200196643792951E-2</v>
      </c>
      <c r="T31" s="635">
        <f>IF(M31="","",X31*COS(RADIANS(W31)))</f>
        <v>-1.5344980184423573</v>
      </c>
      <c r="U31" s="629">
        <f>IF(M31="","",X31*SIN(RADIANS(W31)))</f>
        <v>-2.6561116015891635</v>
      </c>
      <c r="V31" s="636">
        <f>IF(M31="","",Y31)</f>
        <v>-6.5200196643792951E-2</v>
      </c>
      <c r="W31" s="585">
        <f t="shared" si="224"/>
        <v>239.98396535060238</v>
      </c>
      <c r="X31" s="629">
        <f>IF(M31="","",R31)</f>
        <v>3.0675092516079023</v>
      </c>
      <c r="Y31" s="630">
        <f t="shared" si="223"/>
        <v>-6.5200196643792951E-2</v>
      </c>
      <c r="Z31" s="632">
        <f t="shared" si="6"/>
        <v>-0.50491341029602221</v>
      </c>
      <c r="AA31" s="629">
        <f t="shared" si="7"/>
        <v>-0.82376013137120307</v>
      </c>
      <c r="AB31" s="629">
        <f t="shared" si="8"/>
        <v>-0.25784044303898318</v>
      </c>
      <c r="AC31" s="636">
        <f>IF(M31="","",SQRT(Z31^2+AA31^2+AB31^2))</f>
        <v>1</v>
      </c>
      <c r="AD31" s="637">
        <f>IF(M31="","",Z31*(1/SQRT(Z31^2+AA31^2+AB31^2)))</f>
        <v>-0.50491341029602221</v>
      </c>
      <c r="AE31" s="629">
        <f>IF(M31="","",AA31*(1/SQRT(Z31^2+AA31^2+AB31^2)))</f>
        <v>-0.82376013137120307</v>
      </c>
      <c r="AF31" s="633">
        <f>IF(M31="","",AB31*(1/SQRT(Z31^2+AA31^2+AB31^2)))</f>
        <v>-0.25784044303898318</v>
      </c>
      <c r="AG31" s="602">
        <f>IF(M31="","",DEGREES(ATAN2(-AF31,AE31)))</f>
        <v>-72.619656829352394</v>
      </c>
      <c r="AH31" s="603">
        <f>IF(M31="","",DEGREES(ACOS(AD31)))</f>
        <v>120.32560451502691</v>
      </c>
      <c r="AI31" s="585">
        <f>IF(M31="","",DEGREES(-ACOS(-AF31)))</f>
        <v>-75.058039828403381</v>
      </c>
      <c r="AJ31" s="586">
        <f>IF(M31="","",DEGREES(ATAN2(-AE31,AD31)))</f>
        <v>-31.505690918324785</v>
      </c>
      <c r="AK31" s="635">
        <f>IF(M31="","",(COS(RADIANS((90-$Q$8)-W31))*AD31)+(-SIN(RADIANS((90-$Q$8)-W31))*AE31))</f>
        <v>0.9658609726744507</v>
      </c>
      <c r="AL31" s="629">
        <f>IF(M31="","",(SIN(RADIANS((90-$Q$8)-W31))*AD31)+(COS(RADIANS((90-$Q$8)-W31))*AE31))</f>
        <v>-2.5117471963255089E-2</v>
      </c>
      <c r="AM31" s="634">
        <f>IF(M31="","",AF31)</f>
        <v>-0.25784044303898318</v>
      </c>
      <c r="AN31" s="581">
        <f>IF(M31="","",DEGREES(ATAN2(-AM31,AL31)))</f>
        <v>-5.5639006960959669</v>
      </c>
      <c r="AO31" s="582">
        <f t="shared" si="94"/>
        <v>15.014350190550843</v>
      </c>
      <c r="AP31" s="585">
        <f>IF(M31="","",DEGREES(ATAN2(AK31,AL31)))</f>
        <v>-1.489656268927146</v>
      </c>
      <c r="AQ31" s="586">
        <f t="shared" si="9"/>
        <v>0.7431432491764296</v>
      </c>
      <c r="AS31" s="52">
        <f t="shared" si="116"/>
        <v>-120.01603464939762</v>
      </c>
      <c r="AT31" s="72">
        <f t="shared" si="10"/>
        <v>1.814427186273318E-2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3.1150000000000002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3.2841198454347298</v>
      </c>
      <c r="C32" s="708">
        <v>-1.9338794940478177</v>
      </c>
      <c r="D32" s="709">
        <v>-0.25910078144795679</v>
      </c>
      <c r="E32" s="710">
        <v>0.62134061981671584</v>
      </c>
      <c r="F32" s="708">
        <v>0.75268303803115622</v>
      </c>
      <c r="G32" s="711">
        <v>0.21772477678474875</v>
      </c>
      <c r="H32" s="710">
        <v>0.314</v>
      </c>
      <c r="I32" s="708">
        <v>0.52</v>
      </c>
      <c r="J32" s="570">
        <v>3.121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1613</v>
      </c>
      <c r="L32" s="320"/>
      <c r="M32" s="168">
        <f t="shared" si="1"/>
        <v>3.121</v>
      </c>
      <c r="N32" s="632">
        <f t="shared" si="2"/>
        <v>3.2841198454347298</v>
      </c>
      <c r="O32" s="629">
        <f t="shared" si="3"/>
        <v>-1.9338794940478177</v>
      </c>
      <c r="P32" s="633">
        <f t="shared" si="4"/>
        <v>-0.25910078144795679</v>
      </c>
      <c r="Q32" s="585">
        <f t="shared" si="113"/>
        <v>329.50796541932829</v>
      </c>
      <c r="R32" s="629">
        <f t="shared" si="79"/>
        <v>3.8112114946138687</v>
      </c>
      <c r="S32" s="634">
        <f t="shared" si="80"/>
        <v>-0.25910078144795679</v>
      </c>
      <c r="T32" s="635">
        <f t="shared" si="81"/>
        <v>-1.9338794940478174</v>
      </c>
      <c r="U32" s="629">
        <f t="shared" si="82"/>
        <v>-3.2841198454347298</v>
      </c>
      <c r="V32" s="636">
        <f t="shared" si="114"/>
        <v>-0.25910078144795679</v>
      </c>
      <c r="W32" s="585">
        <f t="shared" si="224"/>
        <v>239.50796541932829</v>
      </c>
      <c r="X32" s="629">
        <f t="shared" si="83"/>
        <v>3.8112114946138687</v>
      </c>
      <c r="Y32" s="630">
        <f t="shared" si="223"/>
        <v>-0.25910078144795679</v>
      </c>
      <c r="Z32" s="632">
        <f t="shared" si="6"/>
        <v>-0.62134061981671584</v>
      </c>
      <c r="AA32" s="629">
        <f t="shared" si="7"/>
        <v>-0.75268303803115622</v>
      </c>
      <c r="AB32" s="629">
        <f t="shared" si="8"/>
        <v>-0.21772477678474875</v>
      </c>
      <c r="AC32" s="636">
        <f t="shared" si="84"/>
        <v>1</v>
      </c>
      <c r="AD32" s="637">
        <f t="shared" si="115"/>
        <v>-0.62134061981671584</v>
      </c>
      <c r="AE32" s="629">
        <f t="shared" si="85"/>
        <v>-0.75268303803115622</v>
      </c>
      <c r="AF32" s="633">
        <f t="shared" si="86"/>
        <v>-0.21772477678474875</v>
      </c>
      <c r="AG32" s="602">
        <f t="shared" si="87"/>
        <v>-73.866699884305362</v>
      </c>
      <c r="AH32" s="603">
        <f t="shared" si="88"/>
        <v>128.41409986177368</v>
      </c>
      <c r="AI32" s="585">
        <f t="shared" si="89"/>
        <v>-77.424566754967685</v>
      </c>
      <c r="AJ32" s="586">
        <f t="shared" si="90"/>
        <v>-39.539708007857051</v>
      </c>
      <c r="AK32" s="635">
        <f t="shared" si="211"/>
        <v>0.96386652674464357</v>
      </c>
      <c r="AL32" s="629">
        <f t="shared" si="91"/>
        <v>-0.15348368055024203</v>
      </c>
      <c r="AM32" s="634">
        <f t="shared" si="92"/>
        <v>-0.21772477678474875</v>
      </c>
      <c r="AN32" s="581">
        <f t="shared" si="93"/>
        <v>-35.181676659500297</v>
      </c>
      <c r="AO32" s="582">
        <f t="shared" si="94"/>
        <v>15.449305070497445</v>
      </c>
      <c r="AP32" s="585">
        <f t="shared" si="95"/>
        <v>-9.0476734271853232</v>
      </c>
      <c r="AQ32" s="586">
        <f t="shared" si="9"/>
        <v>0.59814151397417747</v>
      </c>
      <c r="AS32" s="52">
        <f t="shared" si="116"/>
        <v>-120.49203458067171</v>
      </c>
      <c r="AT32" s="72">
        <f t="shared" si="10"/>
        <v>-0.17542575743360142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3.121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3.7942386869123479</v>
      </c>
      <c r="C33" s="708">
        <v>-2.3009542195541721</v>
      </c>
      <c r="D33" s="709">
        <v>-0.70480212568321099</v>
      </c>
      <c r="E33" s="710">
        <v>0.72529687339128002</v>
      </c>
      <c r="F33" s="708">
        <v>0.66633380847018064</v>
      </c>
      <c r="G33" s="711">
        <v>0.17304248362312155</v>
      </c>
      <c r="H33" s="710">
        <v>0.314</v>
      </c>
      <c r="I33" s="708">
        <v>0.52</v>
      </c>
      <c r="J33" s="570">
        <v>3.1269999999999998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1613</v>
      </c>
      <c r="L33" s="320"/>
      <c r="M33" s="168">
        <f t="shared" si="1"/>
        <v>3.1269999999999998</v>
      </c>
      <c r="N33" s="632">
        <f t="shared" si="2"/>
        <v>3.7942386869123479</v>
      </c>
      <c r="O33" s="629">
        <f t="shared" si="3"/>
        <v>-2.3009542195541721</v>
      </c>
      <c r="P33" s="633">
        <f t="shared" si="4"/>
        <v>-0.70480212568321099</v>
      </c>
      <c r="Q33" s="585">
        <f t="shared" si="113"/>
        <v>328.76596552645981</v>
      </c>
      <c r="R33" s="629">
        <f t="shared" si="79"/>
        <v>4.4374133832387637</v>
      </c>
      <c r="S33" s="634">
        <f t="shared" si="80"/>
        <v>-0.70480212568321099</v>
      </c>
      <c r="T33" s="635">
        <f t="shared" si="81"/>
        <v>-2.3009542195541717</v>
      </c>
      <c r="U33" s="629">
        <f t="shared" si="82"/>
        <v>-3.7942386869123483</v>
      </c>
      <c r="V33" s="636">
        <f t="shared" si="114"/>
        <v>-0.70480212568321099</v>
      </c>
      <c r="W33" s="585">
        <f t="shared" si="224"/>
        <v>238.76596552645981</v>
      </c>
      <c r="X33" s="629">
        <f t="shared" si="83"/>
        <v>4.4374133832387637</v>
      </c>
      <c r="Y33" s="630">
        <f t="shared" si="223"/>
        <v>-0.70480212568321099</v>
      </c>
      <c r="Z33" s="632">
        <f t="shared" si="6"/>
        <v>-0.72529687339128002</v>
      </c>
      <c r="AA33" s="629">
        <f t="shared" si="7"/>
        <v>-0.66633380847018064</v>
      </c>
      <c r="AB33" s="629">
        <f t="shared" si="8"/>
        <v>-0.17304248362312155</v>
      </c>
      <c r="AC33" s="636">
        <f t="shared" si="84"/>
        <v>1</v>
      </c>
      <c r="AD33" s="637">
        <f t="shared" si="115"/>
        <v>-0.72529687339128002</v>
      </c>
      <c r="AE33" s="629">
        <f t="shared" si="85"/>
        <v>-0.66633380847018064</v>
      </c>
      <c r="AF33" s="633">
        <f t="shared" si="86"/>
        <v>-0.17304248362312155</v>
      </c>
      <c r="AG33" s="602">
        <f t="shared" si="87"/>
        <v>-75.442240283580645</v>
      </c>
      <c r="AH33" s="603">
        <f t="shared" si="88"/>
        <v>136.49354980208071</v>
      </c>
      <c r="AI33" s="585">
        <f t="shared" si="89"/>
        <v>-80.035237164717344</v>
      </c>
      <c r="AJ33" s="586">
        <f t="shared" si="90"/>
        <v>-47.426157596062637</v>
      </c>
      <c r="AK33" s="635">
        <f t="shared" si="211"/>
        <v>0.94584480941258353</v>
      </c>
      <c r="AL33" s="629">
        <f t="shared" si="91"/>
        <v>-0.27465231724639644</v>
      </c>
      <c r="AM33" s="634">
        <f t="shared" si="92"/>
        <v>-0.17304248362312155</v>
      </c>
      <c r="AN33" s="581">
        <f t="shared" si="93"/>
        <v>-57.787351359207229</v>
      </c>
      <c r="AO33" s="582">
        <f t="shared" si="94"/>
        <v>18.942503279401073</v>
      </c>
      <c r="AP33" s="585">
        <f t="shared" si="95"/>
        <v>-16.192123122522439</v>
      </c>
      <c r="AQ33" s="586">
        <f t="shared" si="9"/>
        <v>0.5137374728733457</v>
      </c>
      <c r="AS33" s="52">
        <f t="shared" si="116"/>
        <v>-121.23403447354019</v>
      </c>
      <c r="AT33" s="72">
        <f t="shared" si="10"/>
        <v>-0.62061182396547476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3.1269999999999998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4.1315162682781219</v>
      </c>
      <c r="C34" s="708">
        <v>-2.5669460519548726</v>
      </c>
      <c r="D34" s="709">
        <v>-1.3441040538178262</v>
      </c>
      <c r="E34" s="710">
        <v>0.82522510309332653</v>
      </c>
      <c r="F34" s="708">
        <v>0.55375572472340762</v>
      </c>
      <c r="G34" s="711">
        <v>0.11116711096660888</v>
      </c>
      <c r="H34" s="710">
        <v>0.314</v>
      </c>
      <c r="I34" s="708">
        <v>0.52</v>
      </c>
      <c r="J34" s="570">
        <v>3.133</v>
      </c>
      <c r="K34" s="865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1613</v>
      </c>
      <c r="L34" s="320"/>
      <c r="M34" s="168">
        <f t="shared" si="1"/>
        <v>3.133</v>
      </c>
      <c r="N34" s="632">
        <f t="shared" si="2"/>
        <v>4.1315162682781219</v>
      </c>
      <c r="O34" s="629">
        <f t="shared" si="3"/>
        <v>-2.5669460519548726</v>
      </c>
      <c r="P34" s="633">
        <f t="shared" si="4"/>
        <v>-1.3441040538178262</v>
      </c>
      <c r="Q34" s="585">
        <f t="shared" si="113"/>
        <v>328.14696561583236</v>
      </c>
      <c r="R34" s="629">
        <f>IF(M34="","",SQRT(N34^2+O34^2))</f>
        <v>4.8640146698682445</v>
      </c>
      <c r="S34" s="634">
        <f>IF(M34="","",P34)</f>
        <v>-1.3441040538178262</v>
      </c>
      <c r="T34" s="635">
        <f>IF(M34="","",X34*COS(RADIANS(W34)))</f>
        <v>-2.5669460519548721</v>
      </c>
      <c r="U34" s="629">
        <f>IF(M34="","",X34*SIN(RADIANS(W34)))</f>
        <v>-4.1315162682781228</v>
      </c>
      <c r="V34" s="636">
        <f>IF(M34="","",Y34)</f>
        <v>-1.3441040538178262</v>
      </c>
      <c r="W34" s="585">
        <f t="shared" si="224"/>
        <v>238.14696561583236</v>
      </c>
      <c r="X34" s="629">
        <f>IF(M34="","",R34)</f>
        <v>4.8640146698682445</v>
      </c>
      <c r="Y34" s="630">
        <f t="shared" si="223"/>
        <v>-1.3441040538178262</v>
      </c>
      <c r="Z34" s="632">
        <f t="shared" si="6"/>
        <v>-0.82522510309332653</v>
      </c>
      <c r="AA34" s="629">
        <f t="shared" si="7"/>
        <v>-0.55375572472340762</v>
      </c>
      <c r="AB34" s="629">
        <f t="shared" si="8"/>
        <v>-0.11116711096660888</v>
      </c>
      <c r="AC34" s="636">
        <f>IF(M34="","",SQRT(Z34^2+AA34^2+AB34^2))</f>
        <v>1</v>
      </c>
      <c r="AD34" s="637">
        <f>IF(M34="","",Z34*(1/SQRT(Z34^2+AA34^2+AB34^2)))</f>
        <v>-0.82522510309332653</v>
      </c>
      <c r="AE34" s="629">
        <f>IF(M34="","",AA34*(1/SQRT(Z34^2+AA34^2+AB34^2)))</f>
        <v>-0.55375572472340762</v>
      </c>
      <c r="AF34" s="633">
        <f>IF(M34="","",AB34*(1/SQRT(Z34^2+AA34^2+AB34^2)))</f>
        <v>-0.11116711096660888</v>
      </c>
      <c r="AG34" s="602">
        <f>IF(M34="","",DEGREES(ATAN2(-AF34,AE34)))</f>
        <v>-78.648689848185739</v>
      </c>
      <c r="AH34" s="603">
        <f>IF(M34="","",DEGREES(ACOS(AD34)))</f>
        <v>145.61131996657855</v>
      </c>
      <c r="AI34" s="585">
        <f>IF(M34="","",DEGREES(-ACOS(-AF34)))</f>
        <v>-83.617401234819539</v>
      </c>
      <c r="AJ34" s="586">
        <f>IF(M34="","",DEGREES(ATAN2(-AE34,AD34)))</f>
        <v>-56.136967799936109</v>
      </c>
      <c r="AK34" s="635">
        <f>IF(M34="","",(COS(RADIANS((90-$Q$8)-W34))*AD34)+(-SIN(RADIANS((90-$Q$8)-W34))*AE34))</f>
        <v>0.90586879455808067</v>
      </c>
      <c r="AL34" s="629">
        <f>IF(M34="","",(SIN(RADIANS((90-$Q$8)-W34))*AD34)+(COS(RADIANS((90-$Q$8)-W34))*AE34))</f>
        <v>-0.4087096775037603</v>
      </c>
      <c r="AM34" s="634">
        <f>IF(M34="","",AF34)</f>
        <v>-0.11116711096660888</v>
      </c>
      <c r="AN34" s="581">
        <f>IF(M34="","",DEGREES(ATAN2(-AM34,AL34)))</f>
        <v>-74.783924077193063</v>
      </c>
      <c r="AO34" s="582">
        <f t="shared" si="94"/>
        <v>25.059449556648509</v>
      </c>
      <c r="AP34" s="585">
        <f>IF(M34="","",DEGREES(ATAN2(AK34,AL34)))</f>
        <v>-24.283933415768466</v>
      </c>
      <c r="AQ34" s="586">
        <f t="shared" si="9"/>
        <v>0.46868193017360721</v>
      </c>
      <c r="AS34" s="52">
        <f t="shared" si="116"/>
        <v>-121.85303438416764</v>
      </c>
      <c r="AT34" s="72">
        <f t="shared" si="10"/>
        <v>-1.2594838910510431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3.133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4.2645432671577232</v>
      </c>
      <c r="C35" s="708">
        <v>-2.6773251110098766</v>
      </c>
      <c r="D35" s="709">
        <v>-2.0934063137134418</v>
      </c>
      <c r="E35" s="710">
        <v>0.8915362370167369</v>
      </c>
      <c r="F35" s="708">
        <v>0.45290815716497557</v>
      </c>
      <c r="G35" s="711">
        <v>-6.1105858526569606E-3</v>
      </c>
      <c r="H35" s="710">
        <v>0.314</v>
      </c>
      <c r="I35" s="708">
        <v>0.52</v>
      </c>
      <c r="J35" s="570">
        <v>3.1389999999999998</v>
      </c>
      <c r="K35" s="865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1613</v>
      </c>
      <c r="L35" s="320"/>
      <c r="M35" s="168">
        <f t="shared" si="1"/>
        <v>3.1389999999999998</v>
      </c>
      <c r="N35" s="632">
        <f t="shared" si="2"/>
        <v>4.2645432671577232</v>
      </c>
      <c r="O35" s="629">
        <f t="shared" si="3"/>
        <v>-2.6773251110098766</v>
      </c>
      <c r="P35" s="633">
        <f t="shared" si="4"/>
        <v>-2.0934063137134418</v>
      </c>
      <c r="Q35" s="585">
        <f t="shared" si="113"/>
        <v>327.87896565452672</v>
      </c>
      <c r="R35" s="629">
        <f>IF(M35="","",SQRT(N35^2+O35^2))</f>
        <v>5.0353151865106032</v>
      </c>
      <c r="S35" s="634">
        <f>IF(M35="","",P35)</f>
        <v>-2.0934063137134418</v>
      </c>
      <c r="T35" s="635">
        <f>IF(M35="","",X35*COS(RADIANS(W35)))</f>
        <v>-2.6773251110098784</v>
      </c>
      <c r="U35" s="629">
        <f>IF(M35="","",X35*SIN(RADIANS(W35)))</f>
        <v>-4.2645432671577215</v>
      </c>
      <c r="V35" s="636">
        <f>IF(M35="","",Y35)</f>
        <v>-2.0934063137134418</v>
      </c>
      <c r="W35" s="585">
        <f t="shared" si="224"/>
        <v>237.87896565452672</v>
      </c>
      <c r="X35" s="629">
        <f>IF(M35="","",R35)</f>
        <v>5.0353151865106032</v>
      </c>
      <c r="Y35" s="630">
        <f t="shared" si="223"/>
        <v>-2.0934063137134418</v>
      </c>
      <c r="Z35" s="632">
        <f t="shared" si="6"/>
        <v>-0.8915362370167369</v>
      </c>
      <c r="AA35" s="629">
        <f t="shared" si="7"/>
        <v>-0.45290815716497557</v>
      </c>
      <c r="AB35" s="629">
        <f t="shared" si="8"/>
        <v>6.1105858526569606E-3</v>
      </c>
      <c r="AC35" s="636">
        <f>IF(M35="","",SQRT(Z35^2+AA35^2+AB35^2))</f>
        <v>1</v>
      </c>
      <c r="AD35" s="637">
        <f>IF(M35="","",Z35*(1/SQRT(Z35^2+AA35^2+AB35^2)))</f>
        <v>-0.8915362370167369</v>
      </c>
      <c r="AE35" s="629">
        <f>IF(M35="","",AA35*(1/SQRT(Z35^2+AA35^2+AB35^2)))</f>
        <v>-0.45290815716497557</v>
      </c>
      <c r="AF35" s="633">
        <f>IF(M35="","",AB35*(1/SQRT(Z35^2+AA35^2+AB35^2)))</f>
        <v>6.1105858526569606E-3</v>
      </c>
      <c r="AG35" s="602">
        <f>IF(M35="","",DEGREES(ATAN2(-AF35,AE35)))</f>
        <v>-90.772981304965199</v>
      </c>
      <c r="AH35" s="603">
        <f>IF(M35="","",DEGREES(ACOS(AD35)))</f>
        <v>153.06692903630801</v>
      </c>
      <c r="AI35" s="585">
        <f>IF(M35="","",DEGREES(-ACOS(-AF35)))</f>
        <v>-90.35011295855908</v>
      </c>
      <c r="AJ35" s="586">
        <f>IF(M35="","",DEGREES(ATAN2(-AE35,AD35)))</f>
        <v>-63.069034634701232</v>
      </c>
      <c r="AK35" s="635">
        <f>IF(M35="","",(COS(RADIANS((90-$Q$8)-W35))*AD35)+(-SIN(RADIANS((90-$Q$8)-W35))*AE35))</f>
        <v>0.85761836688746451</v>
      </c>
      <c r="AL35" s="629">
        <f>IF(M35="","",(SIN(RADIANS((90-$Q$8)-W35))*AD35)+(COS(RADIANS((90-$Q$8)-W35))*AE35))</f>
        <v>-0.51425032573428275</v>
      </c>
      <c r="AM35" s="634">
        <f>IF(M35="","",AF35)</f>
        <v>6.1105858526569606E-3</v>
      </c>
      <c r="AN35" s="581">
        <f>IF(M35="","",DEGREES(ATAN2(-AM35,AL35)))</f>
        <v>-90.680785768578161</v>
      </c>
      <c r="AO35" s="582">
        <f t="shared" si="94"/>
        <v>30.949784189674954</v>
      </c>
      <c r="AP35" s="585">
        <f>IF(M35="","",DEGREES(ATAN2(AK35,AL35)))</f>
        <v>-30.948000289227934</v>
      </c>
      <c r="AQ35" s="586">
        <f t="shared" si="9"/>
        <v>0.45273813061054963</v>
      </c>
      <c r="AS35" s="52">
        <f t="shared" si="116"/>
        <v>-122.12103434547328</v>
      </c>
      <c r="AT35" s="72">
        <f t="shared" si="10"/>
        <v>-2.0086000398624186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3.1389999999999998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4.3014750016343903</v>
      </c>
      <c r="C36" s="708">
        <v>-2.7085772854763586</v>
      </c>
      <c r="D36" s="709">
        <v>-2.8482085901971086</v>
      </c>
      <c r="E36" s="710">
        <v>0.92184982223707412</v>
      </c>
      <c r="F36" s="708">
        <v>0.3875472941996348</v>
      </c>
      <c r="G36" s="711">
        <v>1.3008419188249263E-7</v>
      </c>
      <c r="H36" s="710">
        <v>0.314</v>
      </c>
      <c r="I36" s="708">
        <v>0.52</v>
      </c>
      <c r="J36" s="570">
        <v>3.145</v>
      </c>
      <c r="K36" s="865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1613</v>
      </c>
      <c r="L36" s="320"/>
      <c r="M36" s="168">
        <f t="shared" si="1"/>
        <v>3.145</v>
      </c>
      <c r="N36" s="632">
        <f t="shared" si="2"/>
        <v>4.3014750016343903</v>
      </c>
      <c r="O36" s="629">
        <f t="shared" si="3"/>
        <v>-2.7085772854763586</v>
      </c>
      <c r="P36" s="633">
        <f t="shared" si="4"/>
        <v>-2.8482085901971086</v>
      </c>
      <c r="Q36" s="585">
        <f t="shared" si="113"/>
        <v>327.80196566564416</v>
      </c>
      <c r="R36" s="629">
        <f>IF(M36="","",SQRT(N36^2+O36^2))</f>
        <v>5.0832153309774375</v>
      </c>
      <c r="S36" s="634">
        <f>IF(M36="","",P36)</f>
        <v>-2.8482085901971086</v>
      </c>
      <c r="T36" s="635">
        <f>IF(M36="","",X36*COS(RADIANS(W36)))</f>
        <v>-2.7085772854763581</v>
      </c>
      <c r="U36" s="629">
        <f>IF(M36="","",X36*SIN(RADIANS(W36)))</f>
        <v>-4.3014750016343903</v>
      </c>
      <c r="V36" s="636">
        <f>IF(M36="","",Y36)</f>
        <v>-2.8482085901971086</v>
      </c>
      <c r="W36" s="585">
        <f t="shared" si="224"/>
        <v>237.80196566564416</v>
      </c>
      <c r="X36" s="629">
        <f>IF(M36="","",R36)</f>
        <v>5.0832153309774375</v>
      </c>
      <c r="Y36" s="630">
        <f t="shared" si="223"/>
        <v>-2.8482085901971086</v>
      </c>
      <c r="Z36" s="632">
        <f t="shared" si="6"/>
        <v>-0.92184982223707412</v>
      </c>
      <c r="AA36" s="629">
        <f t="shared" si="7"/>
        <v>-0.3875472941996348</v>
      </c>
      <c r="AB36" s="629">
        <f t="shared" si="8"/>
        <v>-1.3008419188249263E-7</v>
      </c>
      <c r="AC36" s="636">
        <f>IF(M36="","",SQRT(Z36^2+AA36^2+AB36^2))</f>
        <v>1</v>
      </c>
      <c r="AD36" s="637">
        <f>IF(M36="","",Z36*(1/SQRT(Z36^2+AA36^2+AB36^2)))</f>
        <v>-0.92184982223707412</v>
      </c>
      <c r="AE36" s="629">
        <f>IF(M36="","",AA36*(1/SQRT(Z36^2+AA36^2+AB36^2)))</f>
        <v>-0.3875472941996348</v>
      </c>
      <c r="AF36" s="633">
        <f>IF(M36="","",AB36*(1/SQRT(Z36^2+AA36^2+AB36^2)))</f>
        <v>-1.3008419188249263E-7</v>
      </c>
      <c r="AG36" s="602">
        <f>IF(M36="","",DEGREES(ATAN2(-AF36,AE36)))</f>
        <v>-89.999980768088719</v>
      </c>
      <c r="AH36" s="603">
        <f>IF(M36="","",DEGREES(ACOS(AD36)))</f>
        <v>157.19802928097999</v>
      </c>
      <c r="AI36" s="585">
        <f>IF(M36="","",DEGREES(-ACOS(-AF36)))</f>
        <v>-89.999992546724826</v>
      </c>
      <c r="AJ36" s="586">
        <f>IF(M36="","",DEGREES(ATAN2(-AE36,AD36)))</f>
        <v>-67.198029280981117</v>
      </c>
      <c r="AK36" s="635">
        <f>IF(M36="","",(COS(RADIANS((90-$Q$8)-W36))*AD36)+(-SIN(RADIANS((90-$Q$8)-W36))*AE36))</f>
        <v>0.81915209487729213</v>
      </c>
      <c r="AL36" s="629">
        <f>IF(M36="","",(SIN(RADIANS((90-$Q$8)-W36))*AD36)+(COS(RADIANS((90-$Q$8)-W36))*AE36))</f>
        <v>-0.57357636410344481</v>
      </c>
      <c r="AM36" s="634">
        <f>IF(M36="","",AF36)</f>
        <v>-1.3008419188249263E-7</v>
      </c>
      <c r="AN36" s="581">
        <f>IF(M36="","",DEGREES(ATAN2(-AM36,AL36)))</f>
        <v>-89.99998700560964</v>
      </c>
      <c r="AO36" s="582">
        <f t="shared" si="94"/>
        <v>34.999994946625939</v>
      </c>
      <c r="AP36" s="585">
        <f>IF(M36="","",DEGREES(ATAN2(AK36,AL36)))</f>
        <v>-34.999994946625279</v>
      </c>
      <c r="AQ36" s="586">
        <f t="shared" si="9"/>
        <v>0.44847206464958778</v>
      </c>
      <c r="AS36" s="52">
        <f t="shared" si="116"/>
        <v>-122.19803433435584</v>
      </c>
      <c r="AT36" s="72">
        <f t="shared" si="10"/>
        <v>-2.7633488441315839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3.145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3.5191565765656661</v>
      </c>
      <c r="C37" s="708">
        <v>-3.6694389969079388</v>
      </c>
      <c r="D37" s="709">
        <v>-2.8482085901971077</v>
      </c>
      <c r="E37" s="710">
        <v>0.69217316293552145</v>
      </c>
      <c r="F37" s="708">
        <v>-0.7217314684228372</v>
      </c>
      <c r="G37" s="711">
        <v>2.2679489696473774E-7</v>
      </c>
      <c r="H37" s="710">
        <v>0.25700000000000001</v>
      </c>
      <c r="I37" s="708">
        <v>0.41499999999999992</v>
      </c>
      <c r="J37" s="570">
        <v>3.2450000000000001</v>
      </c>
      <c r="K37" s="865" t="str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>CPS-32193r1</v>
      </c>
      <c r="L37" s="320"/>
      <c r="M37" s="168">
        <f t="shared" si="1"/>
        <v>3.2450000000000001</v>
      </c>
      <c r="N37" s="632">
        <f t="shared" si="2"/>
        <v>3.5191565765656661</v>
      </c>
      <c r="O37" s="629">
        <f t="shared" si="3"/>
        <v>-3.6694389969079388</v>
      </c>
      <c r="P37" s="633">
        <f t="shared" si="4"/>
        <v>-2.8482085901971077</v>
      </c>
      <c r="Q37" s="585">
        <f t="shared" si="113"/>
        <v>313.80236768693601</v>
      </c>
      <c r="R37" s="629">
        <f t="shared" si="79"/>
        <v>5.0842153339934493</v>
      </c>
      <c r="S37" s="634">
        <f t="shared" si="80"/>
        <v>-2.8482085901971077</v>
      </c>
      <c r="T37" s="635">
        <f t="shared" si="81"/>
        <v>-3.6694389969079402</v>
      </c>
      <c r="U37" s="629">
        <f t="shared" si="82"/>
        <v>-3.5191565765656652</v>
      </c>
      <c r="V37" s="636">
        <f t="shared" si="114"/>
        <v>-2.8482085901971077</v>
      </c>
      <c r="W37" s="585">
        <f t="shared" si="224"/>
        <v>223.80236768693601</v>
      </c>
      <c r="X37" s="629">
        <f t="shared" si="83"/>
        <v>5.0842153339934493</v>
      </c>
      <c r="Y37" s="630">
        <f t="shared" si="223"/>
        <v>-2.8482085901971077</v>
      </c>
      <c r="Z37" s="632">
        <f t="shared" si="6"/>
        <v>-0.69217316293552145</v>
      </c>
      <c r="AA37" s="629">
        <f t="shared" si="7"/>
        <v>0.7217314684228372</v>
      </c>
      <c r="AB37" s="629">
        <f t="shared" si="8"/>
        <v>-2.2679489696473774E-7</v>
      </c>
      <c r="AC37" s="636">
        <f t="shared" si="84"/>
        <v>1</v>
      </c>
      <c r="AD37" s="637">
        <f t="shared" si="115"/>
        <v>-0.69217316293552145</v>
      </c>
      <c r="AE37" s="629">
        <f t="shared" si="85"/>
        <v>0.7217314684228372</v>
      </c>
      <c r="AF37" s="633">
        <f t="shared" si="86"/>
        <v>-2.2679489696473774E-7</v>
      </c>
      <c r="AG37" s="602">
        <f t="shared" si="87"/>
        <v>89.999981995532991</v>
      </c>
      <c r="AH37" s="603">
        <f t="shared" si="88"/>
        <v>133.80238068132502</v>
      </c>
      <c r="AI37" s="585">
        <f t="shared" si="89"/>
        <v>-89.999987005609597</v>
      </c>
      <c r="AJ37" s="586">
        <f t="shared" si="90"/>
        <v>-136.19761931867356</v>
      </c>
      <c r="AK37" s="635">
        <f t="shared" si="211"/>
        <v>2.2679489719568124E-7</v>
      </c>
      <c r="AL37" s="629">
        <f t="shared" si="91"/>
        <v>-0.99999999999994871</v>
      </c>
      <c r="AM37" s="634">
        <f t="shared" si="92"/>
        <v>-2.2679489696473774E-7</v>
      </c>
      <c r="AN37" s="581">
        <f t="shared" si="93"/>
        <v>-89.999987005609597</v>
      </c>
      <c r="AO37" s="582">
        <f t="shared" si="94"/>
        <v>0</v>
      </c>
      <c r="AP37" s="585">
        <f t="shared" si="95"/>
        <v>-89.999987005609583</v>
      </c>
      <c r="AQ37" s="586">
        <f t="shared" si="9"/>
        <v>0.44838385927752678</v>
      </c>
      <c r="AS37" s="52">
        <f t="shared" si="116"/>
        <v>-136.19763231306399</v>
      </c>
      <c r="AT37" s="72">
        <f t="shared" si="10"/>
        <v>-2.7536269010908132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Taper</v>
      </c>
      <c r="IF37" s="533" t="str">
        <f>IFERROR(IF((((($IW37*COS(RADIANS(180-$IY37)))*COS(RADIANS($IY37)))-(($IX37*SIN(RADIANS(180-$IY37)))*SIN(RADIANS($IY37))))+$IU37)&lt;(((Settings!$C$19+$IF$8)/2)*-1),"Gage",""),"")</f>
        <v>Gage</v>
      </c>
      <c r="IG37" s="847">
        <f t="shared" si="210"/>
        <v>3.2450000000000001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3.145</v>
      </c>
      <c r="II37" s="734" cm="1">
        <f t="array" ref="II37">IFERROR(IF($IH37&lt;1,$IH37+LARGE((IF($M$9:$M$150="",0,$M$9:$M$150)-MOD(IF($M$9:$M$150="",0,$M$9:$M$150),1)),1),$IH37),"")</f>
        <v>3.145</v>
      </c>
      <c r="IJ37" s="533">
        <f t="shared" si="112"/>
        <v>1613</v>
      </c>
      <c r="IK37" s="533" t="str">
        <f t="shared" si="66"/>
        <v>CPS-32193r1</v>
      </c>
      <c r="IL37" s="727">
        <f t="shared" si="225"/>
        <v>13.999597978708152</v>
      </c>
      <c r="IM37" s="759">
        <v>2.3003813841645699E-4</v>
      </c>
      <c r="IN37" s="5">
        <f t="shared" si="226"/>
        <v>0</v>
      </c>
      <c r="IO37" s="771">
        <v>0</v>
      </c>
      <c r="IP37" s="9">
        <f t="shared" si="227"/>
        <v>-5.0832153309774375</v>
      </c>
      <c r="IQ37" s="5">
        <f t="shared" si="228"/>
        <v>-2.8482085901971086</v>
      </c>
      <c r="IR37" s="5">
        <f t="shared" si="71"/>
        <v>0.314</v>
      </c>
      <c r="IS37" s="5">
        <f t="shared" si="229"/>
        <v>0.25721375779146971</v>
      </c>
      <c r="IT37" s="727">
        <f t="shared" si="230"/>
        <v>89.99998700560964</v>
      </c>
      <c r="IU37" s="9">
        <f t="shared" si="231"/>
        <v>-5.0842153339934493</v>
      </c>
      <c r="IV37" s="5">
        <f t="shared" si="232"/>
        <v>-2.8482085901971077</v>
      </c>
      <c r="IW37" s="5">
        <f t="shared" si="76"/>
        <v>0.25700000000000001</v>
      </c>
      <c r="IX37" s="5">
        <f t="shared" si="233"/>
        <v>0.25700000000000001</v>
      </c>
      <c r="IY37" s="762">
        <f t="shared" si="234"/>
        <v>89.999987005609597</v>
      </c>
    </row>
    <row r="38" spans="1:267" ht="15" customHeight="1" x14ac:dyDescent="0.25">
      <c r="A38" s="79"/>
      <c r="B38" s="707">
        <v>-8.4733831972138726E-2</v>
      </c>
      <c r="C38" s="708">
        <v>-2.4264282690203278</v>
      </c>
      <c r="D38" s="709">
        <v>-0.14550043882932345</v>
      </c>
      <c r="E38" s="710">
        <v>0.9672154230719755</v>
      </c>
      <c r="F38" s="708">
        <v>2.0067950155479495E-2</v>
      </c>
      <c r="G38" s="711">
        <v>0.2531631939051503</v>
      </c>
      <c r="H38" s="710">
        <v>0.314</v>
      </c>
      <c r="I38" s="708">
        <v>0.52</v>
      </c>
      <c r="J38" s="570">
        <v>4.1100000000000003</v>
      </c>
      <c r="K38" s="865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>1613</v>
      </c>
      <c r="L38" s="320"/>
      <c r="M38" s="168">
        <f t="shared" si="1"/>
        <v>4.1100000000000003</v>
      </c>
      <c r="N38" s="632">
        <f t="shared" si="2"/>
        <v>-8.4733831972138726E-2</v>
      </c>
      <c r="O38" s="629">
        <f t="shared" si="3"/>
        <v>-2.4264282690203278</v>
      </c>
      <c r="P38" s="633">
        <f t="shared" si="4"/>
        <v>-0.14550043882932345</v>
      </c>
      <c r="Q38" s="585">
        <f t="shared" si="113"/>
        <v>267.99997429998348</v>
      </c>
      <c r="R38" s="629">
        <f t="shared" si="79"/>
        <v>2.4279073225684846</v>
      </c>
      <c r="S38" s="634">
        <f t="shared" si="80"/>
        <v>-0.14550043882932345</v>
      </c>
      <c r="T38" s="635">
        <f t="shared" si="81"/>
        <v>-2.4264282690203278</v>
      </c>
      <c r="U38" s="629">
        <f t="shared" si="82"/>
        <v>8.4733831972137977E-2</v>
      </c>
      <c r="V38" s="636">
        <f t="shared" si="114"/>
        <v>-0.14550043882932345</v>
      </c>
      <c r="W38" s="585">
        <f t="shared" si="224"/>
        <v>177.99997429998348</v>
      </c>
      <c r="X38" s="629">
        <f t="shared" si="83"/>
        <v>2.4279073225684846</v>
      </c>
      <c r="Y38" s="630">
        <f t="shared" si="223"/>
        <v>-0.14550043882932345</v>
      </c>
      <c r="Z38" s="632">
        <f t="shared" si="6"/>
        <v>-0.9672154230719755</v>
      </c>
      <c r="AA38" s="629">
        <f t="shared" si="7"/>
        <v>-2.0067950155479495E-2</v>
      </c>
      <c r="AB38" s="629">
        <f t="shared" si="8"/>
        <v>-0.2531631939051503</v>
      </c>
      <c r="AC38" s="636">
        <f t="shared" si="84"/>
        <v>1</v>
      </c>
      <c r="AD38" s="637">
        <f t="shared" si="115"/>
        <v>-0.9672154230719755</v>
      </c>
      <c r="AE38" s="629">
        <f t="shared" si="85"/>
        <v>-2.0067950155479495E-2</v>
      </c>
      <c r="AF38" s="633">
        <f t="shared" si="86"/>
        <v>-0.2531631939051503</v>
      </c>
      <c r="AG38" s="602">
        <f t="shared" si="87"/>
        <v>-4.5322922969681319</v>
      </c>
      <c r="AH38" s="603">
        <f t="shared" si="88"/>
        <v>165.28818916303206</v>
      </c>
      <c r="AI38" s="585">
        <f t="shared" si="89"/>
        <v>-75.33522701738265</v>
      </c>
      <c r="AJ38" s="586">
        <f t="shared" si="90"/>
        <v>-88.811387959551325</v>
      </c>
      <c r="AK38" s="635">
        <f t="shared" si="211"/>
        <v>0.96592583607220739</v>
      </c>
      <c r="AL38" s="629">
        <f t="shared" si="91"/>
        <v>5.3811490036519791E-2</v>
      </c>
      <c r="AM38" s="634">
        <f t="shared" si="92"/>
        <v>-0.2531631939051503</v>
      </c>
      <c r="AN38" s="581">
        <f t="shared" si="93"/>
        <v>11.999998267414517</v>
      </c>
      <c r="AO38" s="582">
        <f t="shared" si="94"/>
        <v>14.999997834268255</v>
      </c>
      <c r="AP38" s="585">
        <f t="shared" si="95"/>
        <v>3.1886377404652109</v>
      </c>
      <c r="AQ38" s="586">
        <f t="shared" si="9"/>
        <v>0.93888368620508789</v>
      </c>
      <c r="AS38" s="52">
        <f t="shared" si="116"/>
        <v>-182.00002570001652</v>
      </c>
      <c r="AT38" s="72">
        <f t="shared" si="10"/>
        <v>-1.911153209320085E-2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4.1100000000000003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-0.11459224455485092</v>
      </c>
      <c r="C39" s="708">
        <v>-3.1935543796375554</v>
      </c>
      <c r="D39" s="709">
        <v>-0.10850032723698697</v>
      </c>
      <c r="E39" s="710">
        <v>0.96333983735271911</v>
      </c>
      <c r="F39" s="708">
        <v>-8.3115549363921265E-2</v>
      </c>
      <c r="G39" s="711">
        <v>0.2550846197307286</v>
      </c>
      <c r="H39" s="710">
        <v>0.314</v>
      </c>
      <c r="I39" s="708">
        <v>0.52</v>
      </c>
      <c r="J39" s="570">
        <v>4.1159999999999997</v>
      </c>
      <c r="K39" s="865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>1613</v>
      </c>
      <c r="L39" s="320"/>
      <c r="M39" s="168">
        <f t="shared" si="1"/>
        <v>4.1159999999999997</v>
      </c>
      <c r="N39" s="632">
        <f t="shared" si="2"/>
        <v>-0.11459224455485092</v>
      </c>
      <c r="O39" s="629">
        <f t="shared" si="3"/>
        <v>-3.1935543796375554</v>
      </c>
      <c r="P39" s="633">
        <f t="shared" si="4"/>
        <v>-0.10850032723698697</v>
      </c>
      <c r="Q39" s="585">
        <f t="shared" si="113"/>
        <v>267.94497430792444</v>
      </c>
      <c r="R39" s="629">
        <f t="shared" si="79"/>
        <v>3.1956096379586683</v>
      </c>
      <c r="S39" s="634">
        <f t="shared" si="80"/>
        <v>-0.10850032723698697</v>
      </c>
      <c r="T39" s="635">
        <f t="shared" si="81"/>
        <v>-3.1935543796375554</v>
      </c>
      <c r="U39" s="629">
        <f t="shared" si="82"/>
        <v>0.11459224455485324</v>
      </c>
      <c r="V39" s="636">
        <f t="shared" si="114"/>
        <v>-0.10850032723698697</v>
      </c>
      <c r="W39" s="585">
        <f t="shared" si="224"/>
        <v>177.94497430792444</v>
      </c>
      <c r="X39" s="629">
        <f t="shared" si="83"/>
        <v>3.1956096379586683</v>
      </c>
      <c r="Y39" s="630">
        <f t="shared" si="223"/>
        <v>-0.10850032723698697</v>
      </c>
      <c r="Z39" s="632">
        <f t="shared" si="6"/>
        <v>-0.96333983735271911</v>
      </c>
      <c r="AA39" s="629">
        <f t="shared" si="7"/>
        <v>8.3115549363921265E-2</v>
      </c>
      <c r="AB39" s="629">
        <f t="shared" si="8"/>
        <v>-0.2550846197307286</v>
      </c>
      <c r="AC39" s="636">
        <f t="shared" si="84"/>
        <v>1</v>
      </c>
      <c r="AD39" s="637">
        <f t="shared" si="115"/>
        <v>-0.96333983735271911</v>
      </c>
      <c r="AE39" s="629">
        <f t="shared" si="85"/>
        <v>8.3115549363921265E-2</v>
      </c>
      <c r="AF39" s="633">
        <f t="shared" si="86"/>
        <v>-0.2550846197307286</v>
      </c>
      <c r="AG39" s="602">
        <f t="shared" si="87"/>
        <v>18.047433028978858</v>
      </c>
      <c r="AH39" s="603">
        <f t="shared" si="88"/>
        <v>164.43781377572893</v>
      </c>
      <c r="AI39" s="585">
        <f t="shared" si="89"/>
        <v>-75.221400676435806</v>
      </c>
      <c r="AJ39" s="586">
        <f t="shared" si="90"/>
        <v>-94.931184194592689</v>
      </c>
      <c r="AK39" s="635">
        <f t="shared" si="211"/>
        <v>0.96570072807373408</v>
      </c>
      <c r="AL39" s="629">
        <f t="shared" si="91"/>
        <v>-4.8517425474663735E-2</v>
      </c>
      <c r="AM39" s="634">
        <f t="shared" si="92"/>
        <v>-0.2550846197307286</v>
      </c>
      <c r="AN39" s="581">
        <f t="shared" si="93"/>
        <v>-10.769098285210321</v>
      </c>
      <c r="AO39" s="582">
        <f t="shared" si="94"/>
        <v>15.049750265014449</v>
      </c>
      <c r="AP39" s="585">
        <f t="shared" si="95"/>
        <v>-2.8761585025171197</v>
      </c>
      <c r="AQ39" s="586">
        <f t="shared" si="9"/>
        <v>0.713356477570951</v>
      </c>
      <c r="AS39" s="52">
        <f t="shared" si="116"/>
        <v>-182.05502569207556</v>
      </c>
      <c r="AT39" s="72">
        <f t="shared" si="10"/>
        <v>1.7926773938065521E-2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4.1159999999999997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-0.17879099950400693</v>
      </c>
      <c r="C40" s="708">
        <v>-3.9221388555834098</v>
      </c>
      <c r="D40" s="709">
        <v>-0.34710104685675697</v>
      </c>
      <c r="E40" s="710">
        <v>0.9545534592140964</v>
      </c>
      <c r="F40" s="708">
        <v>-0.21519216475976644</v>
      </c>
      <c r="G40" s="711">
        <v>0.20620384508638087</v>
      </c>
      <c r="H40" s="710">
        <v>0.314</v>
      </c>
      <c r="I40" s="708">
        <v>0.52</v>
      </c>
      <c r="J40" s="570">
        <v>4.1219999999999999</v>
      </c>
      <c r="K40" s="865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>1613</v>
      </c>
      <c r="L40" s="320"/>
      <c r="M40" s="168">
        <f t="shared" si="1"/>
        <v>4.1219999999999999</v>
      </c>
      <c r="N40" s="632">
        <f t="shared" si="2"/>
        <v>-0.17879099950400693</v>
      </c>
      <c r="O40" s="629">
        <f t="shared" si="3"/>
        <v>-3.9221388555834098</v>
      </c>
      <c r="P40" s="633">
        <f t="shared" si="4"/>
        <v>-0.34710104685675697</v>
      </c>
      <c r="Q40" s="585">
        <f t="shared" si="113"/>
        <v>267.38997438805654</v>
      </c>
      <c r="R40" s="629">
        <f t="shared" si="79"/>
        <v>3.9262118414549132</v>
      </c>
      <c r="S40" s="634">
        <f t="shared" si="80"/>
        <v>-0.34710104685675697</v>
      </c>
      <c r="T40" s="635">
        <f t="shared" si="81"/>
        <v>-3.9221388555834098</v>
      </c>
      <c r="U40" s="629">
        <f t="shared" si="82"/>
        <v>0.1787909995040059</v>
      </c>
      <c r="V40" s="636">
        <f t="shared" si="114"/>
        <v>-0.34710104685675697</v>
      </c>
      <c r="W40" s="585">
        <f t="shared" si="224"/>
        <v>177.38997438805654</v>
      </c>
      <c r="X40" s="629">
        <f t="shared" si="83"/>
        <v>3.9262118414549132</v>
      </c>
      <c r="Y40" s="630">
        <f t="shared" si="223"/>
        <v>-0.34710104685675697</v>
      </c>
      <c r="Z40" s="632">
        <f t="shared" si="6"/>
        <v>-0.9545534592140964</v>
      </c>
      <c r="AA40" s="629">
        <f t="shared" si="7"/>
        <v>0.21519216475976644</v>
      </c>
      <c r="AB40" s="629">
        <f t="shared" si="8"/>
        <v>-0.20620384508638087</v>
      </c>
      <c r="AC40" s="636">
        <f t="shared" si="84"/>
        <v>1</v>
      </c>
      <c r="AD40" s="637">
        <f t="shared" si="115"/>
        <v>-0.9545534592140964</v>
      </c>
      <c r="AE40" s="629">
        <f t="shared" si="85"/>
        <v>0.21519216475976644</v>
      </c>
      <c r="AF40" s="633">
        <f t="shared" si="86"/>
        <v>-0.20620384508638087</v>
      </c>
      <c r="AG40" s="602">
        <f t="shared" si="87"/>
        <v>46.221925909537553</v>
      </c>
      <c r="AH40" s="603">
        <f t="shared" si="88"/>
        <v>162.66009596515056</v>
      </c>
      <c r="AI40" s="585">
        <f t="shared" si="89"/>
        <v>-78.100019926582746</v>
      </c>
      <c r="AJ40" s="586">
        <f t="shared" si="90"/>
        <v>-102.70424139717588</v>
      </c>
      <c r="AK40" s="635">
        <f t="shared" si="211"/>
        <v>0.9633625965878555</v>
      </c>
      <c r="AL40" s="629">
        <f t="shared" si="91"/>
        <v>-0.17150067570449121</v>
      </c>
      <c r="AM40" s="634">
        <f t="shared" si="92"/>
        <v>-0.20620384508638087</v>
      </c>
      <c r="AN40" s="581">
        <f t="shared" si="93"/>
        <v>-39.750451355998841</v>
      </c>
      <c r="AO40" s="582">
        <f t="shared" si="94"/>
        <v>15.557324934341208</v>
      </c>
      <c r="AP40" s="585">
        <f t="shared" si="95"/>
        <v>-10.094215785232429</v>
      </c>
      <c r="AQ40" s="586">
        <f t="shared" si="9"/>
        <v>0.58062292248783953</v>
      </c>
      <c r="AS40" s="52">
        <f t="shared" si="116"/>
        <v>-182.61002561194346</v>
      </c>
      <c r="AT40" s="72">
        <f t="shared" si="10"/>
        <v>-0.22028852907068511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4.1219999999999999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-0.26469075084565563</v>
      </c>
      <c r="C41" s="708">
        <v>-4.5164640939874099</v>
      </c>
      <c r="D41" s="709">
        <v>-0.82990250298594892</v>
      </c>
      <c r="E41" s="710">
        <v>0.92076199373098799</v>
      </c>
      <c r="F41" s="708">
        <v>-0.3525413592298039</v>
      </c>
      <c r="G41" s="711">
        <v>0.16706867130895117</v>
      </c>
      <c r="H41" s="710">
        <v>0.314</v>
      </c>
      <c r="I41" s="708">
        <v>0.52</v>
      </c>
      <c r="J41" s="570">
        <v>4.1280000000000001</v>
      </c>
      <c r="K41" s="865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>1613</v>
      </c>
      <c r="L41" s="320"/>
      <c r="M41" s="168">
        <f t="shared" ref="M41:M72" si="239">IF(J41="","",VALUE(J41))</f>
        <v>4.1280000000000001</v>
      </c>
      <c r="N41" s="632">
        <f t="shared" ref="N41:N72" si="240">IF(M41="","",B41)</f>
        <v>-0.26469075084565563</v>
      </c>
      <c r="O41" s="629">
        <f t="shared" ref="O41:O72" si="241">IF(M41="","",C41)</f>
        <v>-4.5164640939874099</v>
      </c>
      <c r="P41" s="633">
        <f t="shared" ref="P41:P72" si="242">IF(M41="","",D41)</f>
        <v>-0.82990250298594892</v>
      </c>
      <c r="Q41" s="585">
        <f t="shared" si="113"/>
        <v>266.64597449547682</v>
      </c>
      <c r="R41" s="629">
        <f t="shared" si="79"/>
        <v>4.5242136450283548</v>
      </c>
      <c r="S41" s="634">
        <f t="shared" si="80"/>
        <v>-0.82990250298594892</v>
      </c>
      <c r="T41" s="635">
        <f t="shared" si="81"/>
        <v>-4.5164640939874099</v>
      </c>
      <c r="U41" s="629">
        <f t="shared" si="82"/>
        <v>0.26469075084565657</v>
      </c>
      <c r="V41" s="636">
        <f t="shared" si="114"/>
        <v>-0.82990250298594892</v>
      </c>
      <c r="W41" s="585">
        <f t="shared" si="224"/>
        <v>176.64597449547682</v>
      </c>
      <c r="X41" s="629">
        <f t="shared" si="83"/>
        <v>4.5242136450283548</v>
      </c>
      <c r="Y41" s="630">
        <f t="shared" si="223"/>
        <v>-0.82990250298594892</v>
      </c>
      <c r="Z41" s="632">
        <f t="shared" ref="Z41:Z72" si="243">IF(M41="","",-E41)</f>
        <v>-0.92076199373098799</v>
      </c>
      <c r="AA41" s="629">
        <f t="shared" ref="AA41:AA72" si="244">IF(M41="","",-F41)</f>
        <v>0.3525413592298039</v>
      </c>
      <c r="AB41" s="629">
        <f t="shared" ref="AB41:AB72" si="245">IF(M41="","",-G41)</f>
        <v>-0.16706867130895117</v>
      </c>
      <c r="AC41" s="636">
        <f t="shared" si="84"/>
        <v>1</v>
      </c>
      <c r="AD41" s="637">
        <f t="shared" si="115"/>
        <v>-0.92076199373098799</v>
      </c>
      <c r="AE41" s="629">
        <f t="shared" si="85"/>
        <v>0.3525413592298039</v>
      </c>
      <c r="AF41" s="633">
        <f t="shared" si="86"/>
        <v>-0.16706867130895117</v>
      </c>
      <c r="AG41" s="602">
        <f t="shared" si="87"/>
        <v>64.643816936072781</v>
      </c>
      <c r="AH41" s="603">
        <f t="shared" si="88"/>
        <v>157.03773564839111</v>
      </c>
      <c r="AI41" s="585">
        <f t="shared" si="89"/>
        <v>-80.382571070223406</v>
      </c>
      <c r="AJ41" s="586">
        <f t="shared" si="90"/>
        <v>-110.95084404067167</v>
      </c>
      <c r="AK41" s="635">
        <f t="shared" si="211"/>
        <v>0.93981037468143369</v>
      </c>
      <c r="AL41" s="629">
        <f t="shared" si="91"/>
        <v>-0.29806797665667617</v>
      </c>
      <c r="AM41" s="634">
        <f t="shared" si="92"/>
        <v>-0.16706867130895117</v>
      </c>
      <c r="AN41" s="581">
        <f t="shared" si="93"/>
        <v>-60.72913992344926</v>
      </c>
      <c r="AO41" s="582">
        <f t="shared" si="94"/>
        <v>19.980264333801202</v>
      </c>
      <c r="AP41" s="585">
        <f t="shared" si="95"/>
        <v>-17.596818536148497</v>
      </c>
      <c r="AQ41" s="586">
        <f t="shared" ref="AQ41:AQ72" si="246">IF(M41="","",DEGREES(ATAN(($AS$5*SIN(RADIANS(90)))/(($X41*2*PI())-($AS$5*COS(RADIANS(90)))))))</f>
        <v>0.50388156664216899</v>
      </c>
      <c r="AS41" s="52">
        <f t="shared" si="116"/>
        <v>-183.35402550452318</v>
      </c>
      <c r="AT41" s="72">
        <f t="shared" ref="AT41:AT72" si="247">IF(M41="","",Y41+(((AS41-$AS$9)*$AS$6)*-1))</f>
        <v>-0.70257331860780781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4.1280000000000001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-0.3362701670275543</v>
      </c>
      <c r="C42" s="708">
        <v>-4.8997893385837923</v>
      </c>
      <c r="D42" s="709">
        <v>-1.4939045056159885</v>
      </c>
      <c r="E42" s="710">
        <v>0.86690277636580826</v>
      </c>
      <c r="F42" s="708">
        <v>-0.48932130513155636</v>
      </c>
      <c r="G42" s="711">
        <v>9.5101191757011164E-2</v>
      </c>
      <c r="H42" s="710">
        <v>0.314</v>
      </c>
      <c r="I42" s="708">
        <v>0.52</v>
      </c>
      <c r="J42" s="570">
        <v>4.1340000000000003</v>
      </c>
      <c r="K42" s="865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>1613</v>
      </c>
      <c r="L42" s="320"/>
      <c r="M42" s="168">
        <f t="shared" si="239"/>
        <v>4.1340000000000003</v>
      </c>
      <c r="N42" s="632">
        <f t="shared" si="240"/>
        <v>-0.3362701670275543</v>
      </c>
      <c r="O42" s="629">
        <f t="shared" si="241"/>
        <v>-4.8997893385837923</v>
      </c>
      <c r="P42" s="633">
        <f t="shared" si="242"/>
        <v>-1.4939045056159885</v>
      </c>
      <c r="Q42" s="585">
        <f t="shared" si="113"/>
        <v>266.07397457806337</v>
      </c>
      <c r="R42" s="629">
        <f t="shared" ref="R42:R47" si="385">IF(M42="","",SQRT(N42^2+O42^2))</f>
        <v>4.9113148125254744</v>
      </c>
      <c r="S42" s="634">
        <f t="shared" ref="S42:S47" si="386">IF(M42="","",P42)</f>
        <v>-1.4939045056159885</v>
      </c>
      <c r="T42" s="635">
        <f t="shared" ref="T42:T47" si="387">IF(M42="","",X42*COS(RADIANS(W42)))</f>
        <v>-4.8997893385837923</v>
      </c>
      <c r="U42" s="629">
        <f t="shared" ref="U42:U47" si="388">IF(M42="","",X42*SIN(RADIANS(W42)))</f>
        <v>0.33627016702755674</v>
      </c>
      <c r="V42" s="636">
        <f t="shared" ref="V42:V47" si="389">IF(M42="","",Y42)</f>
        <v>-1.4939045056159885</v>
      </c>
      <c r="W42" s="585">
        <f t="shared" si="224"/>
        <v>176.07397457806337</v>
      </c>
      <c r="X42" s="629">
        <f t="shared" ref="X42:X47" si="390">IF(M42="","",R42)</f>
        <v>4.9113148125254744</v>
      </c>
      <c r="Y42" s="630">
        <f t="shared" si="223"/>
        <v>-1.4939045056159885</v>
      </c>
      <c r="Z42" s="632">
        <f t="shared" si="243"/>
        <v>-0.86690277636580826</v>
      </c>
      <c r="AA42" s="629">
        <f t="shared" si="244"/>
        <v>0.48932130513155636</v>
      </c>
      <c r="AB42" s="629">
        <f t="shared" si="245"/>
        <v>-9.5101191757011164E-2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-0.86690277636580826</v>
      </c>
      <c r="AE42" s="629">
        <f t="shared" ref="AE42:AE47" si="393">IF(M42="","",AA42*(1/SQRT(Z42^2+AA42^2+AB42^2)))</f>
        <v>0.48932130513155636</v>
      </c>
      <c r="AF42" s="633">
        <f t="shared" ref="AF42:AF47" si="394">IF(M42="","",AB42*(1/SQRT(Z42^2+AA42^2+AB42^2)))</f>
        <v>-9.5101191757011164E-2</v>
      </c>
      <c r="AG42" s="602">
        <f t="shared" ref="AG42:AG47" si="395">IF(M42="","",DEGREES(ATAN2(-AF42,AE42)))</f>
        <v>79.001493280220927</v>
      </c>
      <c r="AH42" s="603">
        <f t="shared" ref="AH42:AH47" si="396">IF(M42="","",DEGREES(ACOS(AD42)))</f>
        <v>150.10069279525959</v>
      </c>
      <c r="AI42" s="585">
        <f t="shared" ref="AI42:AI47" si="397">IF(M42="","",DEGREES(-ACOS(-AF42)))</f>
        <v>-84.542855957445866</v>
      </c>
      <c r="AJ42" s="586">
        <f t="shared" ref="AJ42:AJ47" si="398">IF(M42="","",DEGREES(ATAN2(-AE42,AD42)))</f>
        <v>-119.44245679059443</v>
      </c>
      <c r="AK42" s="635">
        <f t="shared" ref="AK42:AK47" si="399">IF(M42="","",(COS(RADIANS((90-$Q$8)-W42))*AD42)+(-SIN(RADIANS((90-$Q$8)-W42))*AE42))</f>
        <v>0.89837147620431057</v>
      </c>
      <c r="AL42" s="629">
        <f t="shared" ref="AL42:AL47" si="400">IF(M42="","",(SIN(RADIANS((90-$Q$8)-W42))*AD42)+(COS(RADIANS((90-$Q$8)-W42))*AE42))</f>
        <v>-0.42881750671921509</v>
      </c>
      <c r="AM42" s="634">
        <f t="shared" ref="AM42:AM47" si="401">IF(M42="","",AF42)</f>
        <v>-9.5101191757011164E-2</v>
      </c>
      <c r="AN42" s="581">
        <f t="shared" ref="AN42:AN47" si="402">IF(M42="","",DEGREES(ATAN2(-AM42,AL42)))</f>
        <v>-77.495588620077839</v>
      </c>
      <c r="AO42" s="582">
        <f t="shared" si="94"/>
        <v>26.055176095112699</v>
      </c>
      <c r="AP42" s="585">
        <f t="shared" ref="AP42:AP47" si="403">IF(M42="","",DEGREES(ATAN2(AK42,AL42)))</f>
        <v>-25.516431368657798</v>
      </c>
      <c r="AQ42" s="586">
        <f t="shared" si="246"/>
        <v>0.46416832264929592</v>
      </c>
      <c r="AS42" s="52">
        <f t="shared" si="116"/>
        <v>-183.92602542193663</v>
      </c>
      <c r="AT42" s="72">
        <f t="shared" si="247"/>
        <v>-1.366178099072977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4.1340000000000003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-0.36223321693066357</v>
      </c>
      <c r="C43" s="708">
        <v>-5.0238731812482698</v>
      </c>
      <c r="D43" s="709">
        <v>-2.2522067926556861</v>
      </c>
      <c r="E43" s="710">
        <v>0.81840108034880876</v>
      </c>
      <c r="F43" s="708">
        <v>-0.57461384842320851</v>
      </c>
      <c r="G43" s="711">
        <v>-6.2126390666611131E-3</v>
      </c>
      <c r="H43" s="710">
        <v>0.314</v>
      </c>
      <c r="I43" s="708">
        <v>0.52</v>
      </c>
      <c r="J43" s="570">
        <v>4.1399999999999997</v>
      </c>
      <c r="K43" s="865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>1613</v>
      </c>
      <c r="L43" s="320"/>
      <c r="M43" s="168">
        <f t="shared" si="239"/>
        <v>4.1399999999999997</v>
      </c>
      <c r="N43" s="632">
        <f t="shared" si="240"/>
        <v>-0.36223321693066357</v>
      </c>
      <c r="O43" s="629">
        <f t="shared" si="241"/>
        <v>-5.0238731812482698</v>
      </c>
      <c r="P43" s="633">
        <f t="shared" si="242"/>
        <v>-2.2522067926556861</v>
      </c>
      <c r="Q43" s="585">
        <f t="shared" si="113"/>
        <v>265.87597460665108</v>
      </c>
      <c r="R43" s="629">
        <f t="shared" si="385"/>
        <v>5.0369151913362158</v>
      </c>
      <c r="S43" s="634">
        <f t="shared" si="386"/>
        <v>-2.2522067926556861</v>
      </c>
      <c r="T43" s="635">
        <f t="shared" si="387"/>
        <v>-5.0238731812482698</v>
      </c>
      <c r="U43" s="629">
        <f t="shared" si="388"/>
        <v>0.36223321693066068</v>
      </c>
      <c r="V43" s="636">
        <f t="shared" si="389"/>
        <v>-2.2522067926556861</v>
      </c>
      <c r="W43" s="585">
        <f t="shared" si="224"/>
        <v>175.87597460665108</v>
      </c>
      <c r="X43" s="629">
        <f t="shared" si="390"/>
        <v>5.0369151913362158</v>
      </c>
      <c r="Y43" s="630">
        <f t="shared" si="223"/>
        <v>-2.2522067926556861</v>
      </c>
      <c r="Z43" s="632">
        <f t="shared" si="243"/>
        <v>-0.81840108034880876</v>
      </c>
      <c r="AA43" s="629">
        <f t="shared" si="244"/>
        <v>0.57461384842320851</v>
      </c>
      <c r="AB43" s="629">
        <f t="shared" si="245"/>
        <v>6.2126390666611131E-3</v>
      </c>
      <c r="AC43" s="636">
        <f t="shared" si="391"/>
        <v>1</v>
      </c>
      <c r="AD43" s="637">
        <f t="shared" si="392"/>
        <v>-0.81840108034880876</v>
      </c>
      <c r="AE43" s="629">
        <f t="shared" si="393"/>
        <v>0.57461384842320851</v>
      </c>
      <c r="AF43" s="633">
        <f t="shared" si="394"/>
        <v>6.2126390666611131E-3</v>
      </c>
      <c r="AG43" s="602">
        <f t="shared" si="395"/>
        <v>90.619449270273947</v>
      </c>
      <c r="AH43" s="603">
        <f t="shared" si="396"/>
        <v>144.92505458321986</v>
      </c>
      <c r="AI43" s="585">
        <f t="shared" si="397"/>
        <v>-90.355960288009157</v>
      </c>
      <c r="AJ43" s="586">
        <f t="shared" si="398"/>
        <v>-125.07337059765976</v>
      </c>
      <c r="AK43" s="635">
        <f t="shared" si="399"/>
        <v>0.85760575625858226</v>
      </c>
      <c r="AL43" s="629">
        <f t="shared" si="400"/>
        <v>-0.51427013324513859</v>
      </c>
      <c r="AM43" s="634">
        <f t="shared" si="401"/>
        <v>6.2126390666611131E-3</v>
      </c>
      <c r="AN43" s="581">
        <f t="shared" si="402"/>
        <v>-90.692127853984388</v>
      </c>
      <c r="AO43" s="582">
        <f t="shared" si="94"/>
        <v>30.951189089198927</v>
      </c>
      <c r="AP43" s="585">
        <f t="shared" si="403"/>
        <v>-30.949345204310863</v>
      </c>
      <c r="AQ43" s="586">
        <f t="shared" si="246"/>
        <v>0.45259432174574721</v>
      </c>
      <c r="AS43" s="52">
        <f t="shared" ref="AS43:AS74" si="406">IF(G43="","",IF(AND(W43&lt;(AS42+180),W43&gt;(AS42-180)),W43,IF(W43&gt;(AS42+180),W43-360,IF(W43&lt;(AS42-180),W43+360,"Error"))))</f>
        <v>-184.12402539334892</v>
      </c>
      <c r="AT43" s="72">
        <f t="shared" si="247"/>
        <v>-2.1243428861325273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4.1399999999999997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-0.37211081092908288</v>
      </c>
      <c r="C44" s="708">
        <v>-5.069577067712232</v>
      </c>
      <c r="D44" s="709">
        <v>-3.0037090591865225</v>
      </c>
      <c r="E44" s="710">
        <v>0.77496632597395509</v>
      </c>
      <c r="F44" s="708">
        <v>-0.63200252658230149</v>
      </c>
      <c r="G44" s="711">
        <v>1.3008419225342034E-7</v>
      </c>
      <c r="H44" s="710">
        <v>0.314</v>
      </c>
      <c r="I44" s="708">
        <v>0.52</v>
      </c>
      <c r="J44" s="570">
        <v>4.1459999999999999</v>
      </c>
      <c r="K44" s="865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>1613</v>
      </c>
      <c r="L44" s="320"/>
      <c r="M44" s="168">
        <f t="shared" si="239"/>
        <v>4.1459999999999999</v>
      </c>
      <c r="N44" s="632">
        <f t="shared" si="240"/>
        <v>-0.37211081092908288</v>
      </c>
      <c r="O44" s="629">
        <f t="shared" si="241"/>
        <v>-5.069577067712232</v>
      </c>
      <c r="P44" s="633">
        <f t="shared" si="242"/>
        <v>-3.0037090591865225</v>
      </c>
      <c r="Q44" s="585">
        <f t="shared" si="113"/>
        <v>265.8019746173353</v>
      </c>
      <c r="R44" s="629">
        <f t="shared" si="385"/>
        <v>5.0832153309774366</v>
      </c>
      <c r="S44" s="634">
        <f t="shared" si="386"/>
        <v>-3.0037090591865225</v>
      </c>
      <c r="T44" s="635">
        <f t="shared" si="387"/>
        <v>-5.069577067712232</v>
      </c>
      <c r="U44" s="629">
        <f t="shared" si="388"/>
        <v>0.37211081092908532</v>
      </c>
      <c r="V44" s="636">
        <f t="shared" si="389"/>
        <v>-3.0037090591865225</v>
      </c>
      <c r="W44" s="585">
        <f t="shared" si="224"/>
        <v>175.8019746173353</v>
      </c>
      <c r="X44" s="629">
        <f t="shared" si="390"/>
        <v>5.0832153309774366</v>
      </c>
      <c r="Y44" s="630">
        <f t="shared" si="223"/>
        <v>-3.0037090591865225</v>
      </c>
      <c r="Z44" s="632">
        <f t="shared" si="243"/>
        <v>-0.77496632597395509</v>
      </c>
      <c r="AA44" s="629">
        <f t="shared" si="244"/>
        <v>0.63200252658230149</v>
      </c>
      <c r="AB44" s="629">
        <f t="shared" si="245"/>
        <v>-1.3008419225342034E-7</v>
      </c>
      <c r="AC44" s="636">
        <f t="shared" si="391"/>
        <v>1</v>
      </c>
      <c r="AD44" s="637">
        <f t="shared" si="392"/>
        <v>-0.77496632597395509</v>
      </c>
      <c r="AE44" s="629">
        <f t="shared" si="393"/>
        <v>0.63200252658230149</v>
      </c>
      <c r="AF44" s="633">
        <f t="shared" si="394"/>
        <v>-1.3008419225342034E-7</v>
      </c>
      <c r="AG44" s="602">
        <f t="shared" si="395"/>
        <v>89.999988206890194</v>
      </c>
      <c r="AH44" s="603">
        <f t="shared" si="396"/>
        <v>140.80197967070947</v>
      </c>
      <c r="AI44" s="585">
        <f t="shared" si="397"/>
        <v>-89.999992546724798</v>
      </c>
      <c r="AJ44" s="586">
        <f t="shared" si="398"/>
        <v>-129.19802032928993</v>
      </c>
      <c r="AK44" s="635">
        <f t="shared" si="399"/>
        <v>0.81915209487729224</v>
      </c>
      <c r="AL44" s="629">
        <f t="shared" si="400"/>
        <v>-0.57357636410344426</v>
      </c>
      <c r="AM44" s="634">
        <f t="shared" si="401"/>
        <v>-1.3008419225342034E-7</v>
      </c>
      <c r="AN44" s="581">
        <f t="shared" si="402"/>
        <v>-89.999987005609611</v>
      </c>
      <c r="AO44" s="582">
        <f t="shared" si="94"/>
        <v>34.999994946625925</v>
      </c>
      <c r="AP44" s="585">
        <f t="shared" si="403"/>
        <v>-34.999994946625243</v>
      </c>
      <c r="AQ44" s="586">
        <f t="shared" si="246"/>
        <v>0.44847206464958783</v>
      </c>
      <c r="AS44" s="52">
        <f t="shared" si="406"/>
        <v>-184.1980253826647</v>
      </c>
      <c r="AT44" s="72">
        <f t="shared" si="247"/>
        <v>-2.8757937637818944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4.1459999999999999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-1.5877776371630068</v>
      </c>
      <c r="C45" s="708">
        <v>-4.8299283366670327</v>
      </c>
      <c r="D45" s="709">
        <v>-3.0037090591865225</v>
      </c>
      <c r="E45" s="710">
        <v>-0.31229529779036558</v>
      </c>
      <c r="F45" s="708">
        <v>-0.94998507723962455</v>
      </c>
      <c r="G45" s="711">
        <v>2.2679489668977356E-7</v>
      </c>
      <c r="H45" s="710">
        <v>0.25700000000000001</v>
      </c>
      <c r="I45" s="708">
        <v>0.41499999999999992</v>
      </c>
      <c r="J45" s="570">
        <v>4.2460000000000004</v>
      </c>
      <c r="K45" s="865" t="str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>CPS-32193r1</v>
      </c>
      <c r="L45" s="320"/>
      <c r="M45" s="168">
        <f t="shared" si="239"/>
        <v>4.2460000000000004</v>
      </c>
      <c r="N45" s="632">
        <f t="shared" si="240"/>
        <v>-1.5877776371630068</v>
      </c>
      <c r="O45" s="629">
        <f t="shared" si="241"/>
        <v>-4.8299283366670327</v>
      </c>
      <c r="P45" s="633">
        <f t="shared" si="242"/>
        <v>-3.0037090591865225</v>
      </c>
      <c r="Q45" s="585">
        <f t="shared" si="113"/>
        <v>251.80237663862721</v>
      </c>
      <c r="R45" s="629">
        <f t="shared" si="385"/>
        <v>5.0842153339934484</v>
      </c>
      <c r="S45" s="634">
        <f t="shared" si="386"/>
        <v>-3.0037090591865225</v>
      </c>
      <c r="T45" s="635">
        <f t="shared" si="387"/>
        <v>-4.8299283366670336</v>
      </c>
      <c r="U45" s="629">
        <f t="shared" si="388"/>
        <v>1.5877776371630064</v>
      </c>
      <c r="V45" s="636">
        <f t="shared" si="389"/>
        <v>-3.0037090591865225</v>
      </c>
      <c r="W45" s="585">
        <f t="shared" si="224"/>
        <v>161.80237663862721</v>
      </c>
      <c r="X45" s="629">
        <f t="shared" si="390"/>
        <v>5.0842153339934484</v>
      </c>
      <c r="Y45" s="630">
        <f t="shared" si="223"/>
        <v>-3.0037090591865225</v>
      </c>
      <c r="Z45" s="632">
        <f t="shared" si="243"/>
        <v>0.31229529779036558</v>
      </c>
      <c r="AA45" s="629">
        <f t="shared" si="244"/>
        <v>0.94998507723962455</v>
      </c>
      <c r="AB45" s="629">
        <f t="shared" si="245"/>
        <v>-2.2679489668977356E-7</v>
      </c>
      <c r="AC45" s="636">
        <f t="shared" si="391"/>
        <v>1</v>
      </c>
      <c r="AD45" s="637">
        <f t="shared" si="392"/>
        <v>0.31229529779036558</v>
      </c>
      <c r="AE45" s="629">
        <f t="shared" si="393"/>
        <v>0.94998507723962455</v>
      </c>
      <c r="AF45" s="633">
        <f t="shared" si="394"/>
        <v>-2.2679489668977356E-7</v>
      </c>
      <c r="AG45" s="602">
        <f t="shared" si="395"/>
        <v>89.999986321479454</v>
      </c>
      <c r="AH45" s="603">
        <f t="shared" si="396"/>
        <v>71.802389633018066</v>
      </c>
      <c r="AI45" s="585">
        <f t="shared" si="397"/>
        <v>-89.999987005609611</v>
      </c>
      <c r="AJ45" s="586">
        <f t="shared" si="398"/>
        <v>161.80238963301761</v>
      </c>
      <c r="AK45" s="635">
        <f t="shared" si="399"/>
        <v>2.2679489658505858E-7</v>
      </c>
      <c r="AL45" s="629">
        <f t="shared" si="400"/>
        <v>-0.9999999999999486</v>
      </c>
      <c r="AM45" s="634">
        <f t="shared" si="401"/>
        <v>-2.2679489668977356E-7</v>
      </c>
      <c r="AN45" s="581">
        <f t="shared" si="402"/>
        <v>-89.999987005609611</v>
      </c>
      <c r="AO45" s="582">
        <f t="shared" si="94"/>
        <v>0</v>
      </c>
      <c r="AP45" s="585">
        <f t="shared" si="403"/>
        <v>-89.999987005609626</v>
      </c>
      <c r="AQ45" s="586">
        <f t="shared" si="246"/>
        <v>0.44838385927752689</v>
      </c>
      <c r="AS45" s="52">
        <f t="shared" si="406"/>
        <v>-198.19762336137279</v>
      </c>
      <c r="AT45" s="72">
        <f t="shared" si="247"/>
        <v>-2.8660718207411247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>Taper</v>
      </c>
      <c r="IF45" s="533" t="str">
        <f>IFERROR(IF((((($IW45*COS(RADIANS(180-$IY45)))*COS(RADIANS($IY45)))-(($IX45*SIN(RADIANS(180-$IY45)))*SIN(RADIANS($IY45))))+$IU45)&lt;(((Settings!$C$19+$IF$8)/2)*-1),"Gage",""),"")</f>
        <v>Gage</v>
      </c>
      <c r="IG45" s="847">
        <f t="shared" si="210"/>
        <v>4.2460000000000004</v>
      </c>
      <c r="IH45" s="731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4.1459999999999999</v>
      </c>
      <c r="II45" s="734" cm="1">
        <f t="array" ref="II45">IFERROR(IF($IH45&lt;1,$IH45+LARGE((IF($M$9:$M$150="",0,$M$9:$M$150)-MOD(IF($M$9:$M$150="",0,$M$9:$M$150),1)),1),$IH45),"")</f>
        <v>4.1459999999999999</v>
      </c>
      <c r="IJ45" s="533">
        <f t="shared" si="112"/>
        <v>1613</v>
      </c>
      <c r="IK45" s="533" t="str">
        <f t="shared" si="382"/>
        <v>CPS-32193r1</v>
      </c>
      <c r="IL45" s="727">
        <f t="shared" si="225"/>
        <v>13.999597978708096</v>
      </c>
      <c r="IM45" s="759">
        <v>2.3003813841645699E-4</v>
      </c>
      <c r="IN45" s="5">
        <f t="shared" si="226"/>
        <v>0</v>
      </c>
      <c r="IO45" s="771">
        <v>0</v>
      </c>
      <c r="IP45" s="9">
        <f t="shared" si="227"/>
        <v>-5.0832153309774366</v>
      </c>
      <c r="IQ45" s="5">
        <f t="shared" si="228"/>
        <v>-3.0037090591865225</v>
      </c>
      <c r="IR45" s="5">
        <f t="shared" si="383"/>
        <v>0.314</v>
      </c>
      <c r="IS45" s="5">
        <f t="shared" si="229"/>
        <v>0.25721375779146977</v>
      </c>
      <c r="IT45" s="727">
        <f t="shared" si="230"/>
        <v>89.999987005609611</v>
      </c>
      <c r="IU45" s="9">
        <f t="shared" si="231"/>
        <v>-5.0842153339934484</v>
      </c>
      <c r="IV45" s="5">
        <f t="shared" si="232"/>
        <v>-3.0037090591865225</v>
      </c>
      <c r="IW45" s="5">
        <f t="shared" si="384"/>
        <v>0.25700000000000001</v>
      </c>
      <c r="IX45" s="5">
        <f t="shared" si="233"/>
        <v>0.25700000000000001</v>
      </c>
      <c r="IY45" s="762">
        <f t="shared" si="234"/>
        <v>89.999987005609611</v>
      </c>
    </row>
    <row r="46" spans="1:267" ht="15" customHeight="1" x14ac:dyDescent="0.25">
      <c r="A46" s="79"/>
      <c r="B46" s="707">
        <v>-0.52541928887154599</v>
      </c>
      <c r="C46" s="708">
        <v>-0.30335075602315553</v>
      </c>
      <c r="D46" s="709">
        <v>-0.60230181654227866</v>
      </c>
      <c r="E46" s="710">
        <v>0.54097536073219554</v>
      </c>
      <c r="F46" s="708">
        <v>-0.80302283619345616</v>
      </c>
      <c r="G46" s="711">
        <v>0.2499999672649757</v>
      </c>
      <c r="H46" s="710">
        <v>0.314</v>
      </c>
      <c r="I46" s="708">
        <v>0.52</v>
      </c>
      <c r="J46" s="570">
        <v>5.1020000000000003</v>
      </c>
      <c r="K46" s="865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>1613</v>
      </c>
      <c r="L46" s="320"/>
      <c r="M46" s="168">
        <f t="shared" si="239"/>
        <v>5.1020000000000003</v>
      </c>
      <c r="N46" s="632">
        <f t="shared" si="240"/>
        <v>-0.52541928887154599</v>
      </c>
      <c r="O46" s="629">
        <f t="shared" si="241"/>
        <v>-0.30335075602315553</v>
      </c>
      <c r="P46" s="633">
        <f t="shared" si="242"/>
        <v>-0.60230181654227866</v>
      </c>
      <c r="Q46" s="585">
        <f t="shared" si="113"/>
        <v>209.99998267414614</v>
      </c>
      <c r="R46" s="629">
        <f t="shared" si="385"/>
        <v>0.6067018298127187</v>
      </c>
      <c r="S46" s="634">
        <f t="shared" si="386"/>
        <v>-0.60230181654227866</v>
      </c>
      <c r="T46" s="635">
        <f t="shared" si="387"/>
        <v>-0.30335075602315542</v>
      </c>
      <c r="U46" s="629">
        <f t="shared" si="388"/>
        <v>0.52541928887154599</v>
      </c>
      <c r="V46" s="636">
        <f t="shared" si="389"/>
        <v>-0.60230181654227866</v>
      </c>
      <c r="W46" s="585">
        <f t="shared" si="224"/>
        <v>119.99998267414614</v>
      </c>
      <c r="X46" s="629">
        <f t="shared" si="390"/>
        <v>0.6067018298127187</v>
      </c>
      <c r="Y46" s="630">
        <f t="shared" si="223"/>
        <v>-0.60230181654227866</v>
      </c>
      <c r="Z46" s="632">
        <f t="shared" si="243"/>
        <v>-0.54097536073219554</v>
      </c>
      <c r="AA46" s="629">
        <f t="shared" si="244"/>
        <v>0.80302283619345616</v>
      </c>
      <c r="AB46" s="629">
        <f t="shared" si="245"/>
        <v>-0.2499999672649757</v>
      </c>
      <c r="AC46" s="636">
        <f t="shared" si="391"/>
        <v>1</v>
      </c>
      <c r="AD46" s="637">
        <f t="shared" si="392"/>
        <v>-0.54097536073219554</v>
      </c>
      <c r="AE46" s="629">
        <f t="shared" si="393"/>
        <v>0.80302283619345616</v>
      </c>
      <c r="AF46" s="633">
        <f t="shared" si="394"/>
        <v>-0.2499999672649757</v>
      </c>
      <c r="AG46" s="602">
        <f t="shared" si="395"/>
        <v>72.707401525173722</v>
      </c>
      <c r="AH46" s="603">
        <f t="shared" si="396"/>
        <v>122.7500605879534</v>
      </c>
      <c r="AI46" s="585">
        <f t="shared" si="397"/>
        <v>-75.522489751159455</v>
      </c>
      <c r="AJ46" s="586">
        <f t="shared" si="398"/>
        <v>-146.03288768076729</v>
      </c>
      <c r="AK46" s="635">
        <f t="shared" si="399"/>
        <v>0.96592583607220761</v>
      </c>
      <c r="AL46" s="629">
        <f t="shared" si="400"/>
        <v>6.6987279208207295E-2</v>
      </c>
      <c r="AM46" s="634">
        <f t="shared" si="401"/>
        <v>-0.2499999672649757</v>
      </c>
      <c r="AN46" s="581">
        <f t="shared" si="402"/>
        <v>14.999997834268287</v>
      </c>
      <c r="AO46" s="582">
        <f t="shared" si="94"/>
        <v>14.999997834268203</v>
      </c>
      <c r="AP46" s="585">
        <f t="shared" si="403"/>
        <v>3.9671296450865761</v>
      </c>
      <c r="AQ46" s="586">
        <f t="shared" si="246"/>
        <v>3.7522001069101325</v>
      </c>
      <c r="AS46" s="52">
        <f t="shared" si="406"/>
        <v>-240.00001732585386</v>
      </c>
      <c r="AT46" s="72">
        <f t="shared" si="247"/>
        <v>-0.43563513784376906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5.1020000000000003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-1.1814356253149223</v>
      </c>
      <c r="C47" s="708">
        <v>-0.68210169996174197</v>
      </c>
      <c r="D47" s="709">
        <v>-0.3993012042924321</v>
      </c>
      <c r="E47" s="710">
        <v>0.54097536073219543</v>
      </c>
      <c r="F47" s="708">
        <v>-0.80302283619345616</v>
      </c>
      <c r="G47" s="711">
        <v>0.24999996726497573</v>
      </c>
      <c r="H47" s="710">
        <v>0.314</v>
      </c>
      <c r="I47" s="708">
        <v>0.52</v>
      </c>
      <c r="J47" s="570">
        <v>5.1050000000000004</v>
      </c>
      <c r="K47" s="865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>1613</v>
      </c>
      <c r="L47" s="320"/>
      <c r="M47" s="168">
        <f t="shared" si="239"/>
        <v>5.1050000000000004</v>
      </c>
      <c r="N47" s="632">
        <f t="shared" si="240"/>
        <v>-1.1814356253149223</v>
      </c>
      <c r="O47" s="629">
        <f t="shared" si="241"/>
        <v>-0.68210169996174197</v>
      </c>
      <c r="P47" s="633">
        <f t="shared" si="242"/>
        <v>-0.3993012042924321</v>
      </c>
      <c r="Q47" s="585">
        <f t="shared" si="113"/>
        <v>209.99998267414614</v>
      </c>
      <c r="R47" s="629">
        <f t="shared" si="385"/>
        <v>1.3642041144396098</v>
      </c>
      <c r="S47" s="634">
        <f t="shared" si="386"/>
        <v>-0.3993012042924321</v>
      </c>
      <c r="T47" s="635">
        <f t="shared" si="387"/>
        <v>-0.68210169996174197</v>
      </c>
      <c r="U47" s="629">
        <f t="shared" si="388"/>
        <v>1.1814356253149223</v>
      </c>
      <c r="V47" s="636">
        <f t="shared" si="389"/>
        <v>-0.3993012042924321</v>
      </c>
      <c r="W47" s="585">
        <f t="shared" si="224"/>
        <v>119.99998267414614</v>
      </c>
      <c r="X47" s="629">
        <f t="shared" si="390"/>
        <v>1.3642041144396098</v>
      </c>
      <c r="Y47" s="630">
        <f t="shared" si="223"/>
        <v>-0.3993012042924321</v>
      </c>
      <c r="Z47" s="632">
        <f t="shared" si="243"/>
        <v>-0.54097536073219543</v>
      </c>
      <c r="AA47" s="629">
        <f t="shared" si="244"/>
        <v>0.80302283619345616</v>
      </c>
      <c r="AB47" s="629">
        <f t="shared" si="245"/>
        <v>-0.24999996726497573</v>
      </c>
      <c r="AC47" s="636">
        <f t="shared" si="391"/>
        <v>1</v>
      </c>
      <c r="AD47" s="637">
        <f t="shared" si="392"/>
        <v>-0.54097536073219543</v>
      </c>
      <c r="AE47" s="629">
        <f t="shared" si="393"/>
        <v>0.80302283619345616</v>
      </c>
      <c r="AF47" s="633">
        <f t="shared" si="394"/>
        <v>-0.24999996726497573</v>
      </c>
      <c r="AG47" s="602">
        <f t="shared" si="395"/>
        <v>72.707401525173708</v>
      </c>
      <c r="AH47" s="603">
        <f t="shared" si="396"/>
        <v>122.7500605879534</v>
      </c>
      <c r="AI47" s="585">
        <f t="shared" si="397"/>
        <v>-75.522489751159455</v>
      </c>
      <c r="AJ47" s="586">
        <f t="shared" si="398"/>
        <v>-146.03288768076729</v>
      </c>
      <c r="AK47" s="635">
        <f t="shared" si="399"/>
        <v>0.9659258360722075</v>
      </c>
      <c r="AL47" s="629">
        <f t="shared" si="400"/>
        <v>6.6987279208207184E-2</v>
      </c>
      <c r="AM47" s="634">
        <f t="shared" si="401"/>
        <v>-0.24999996726497573</v>
      </c>
      <c r="AN47" s="581">
        <f t="shared" si="402"/>
        <v>14.999997834268262</v>
      </c>
      <c r="AO47" s="582">
        <f t="shared" si="94"/>
        <v>14.99999783426823</v>
      </c>
      <c r="AP47" s="585">
        <f t="shared" si="403"/>
        <v>3.9671296450865703</v>
      </c>
      <c r="AQ47" s="586">
        <f t="shared" si="246"/>
        <v>1.6706301536625561</v>
      </c>
      <c r="AS47" s="52">
        <f t="shared" si="406"/>
        <v>-240.00001732585386</v>
      </c>
      <c r="AT47" s="72">
        <f t="shared" si="247"/>
        <v>-0.23263452559392248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5.1050000000000004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-1.7983074886134249</v>
      </c>
      <c r="C48" s="708">
        <v>-1.0382525875755431</v>
      </c>
      <c r="D48" s="709">
        <v>-0.20850062883789675</v>
      </c>
      <c r="E48" s="710">
        <v>0.54097536073219554</v>
      </c>
      <c r="F48" s="708">
        <v>-0.80302283619345605</v>
      </c>
      <c r="G48" s="711">
        <v>0.24999996726497567</v>
      </c>
      <c r="H48" s="710">
        <v>0.314</v>
      </c>
      <c r="I48" s="708">
        <v>0.52</v>
      </c>
      <c r="J48" s="570">
        <v>5.1079999999999997</v>
      </c>
      <c r="K48" s="865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>1613</v>
      </c>
      <c r="L48" s="320"/>
      <c r="M48" s="168">
        <f t="shared" si="239"/>
        <v>5.1079999999999997</v>
      </c>
      <c r="N48" s="632">
        <f t="shared" si="240"/>
        <v>-1.7983074886134249</v>
      </c>
      <c r="O48" s="629">
        <f t="shared" si="241"/>
        <v>-1.0382525875755431</v>
      </c>
      <c r="P48" s="633">
        <f t="shared" si="242"/>
        <v>-0.20850062883789675</v>
      </c>
      <c r="Q48" s="585">
        <f t="shared" si="113"/>
        <v>209.99998267414614</v>
      </c>
      <c r="R48" s="629">
        <f t="shared" si="79"/>
        <v>2.0765062627428876</v>
      </c>
      <c r="S48" s="634">
        <f t="shared" si="80"/>
        <v>-0.20850062883789675</v>
      </c>
      <c r="T48" s="635">
        <f t="shared" si="81"/>
        <v>-1.0382525875755431</v>
      </c>
      <c r="U48" s="629">
        <f t="shared" si="82"/>
        <v>1.7983074886134249</v>
      </c>
      <c r="V48" s="636">
        <f t="shared" si="114"/>
        <v>-0.20850062883789675</v>
      </c>
      <c r="W48" s="585">
        <f t="shared" si="224"/>
        <v>119.99998267414614</v>
      </c>
      <c r="X48" s="629">
        <f t="shared" si="83"/>
        <v>2.0765062627428876</v>
      </c>
      <c r="Y48" s="630">
        <f t="shared" si="223"/>
        <v>-0.20850062883789675</v>
      </c>
      <c r="Z48" s="632">
        <f t="shared" si="243"/>
        <v>-0.54097536073219554</v>
      </c>
      <c r="AA48" s="629">
        <f t="shared" si="244"/>
        <v>0.80302283619345605</v>
      </c>
      <c r="AB48" s="629">
        <f t="shared" si="245"/>
        <v>-0.24999996726497567</v>
      </c>
      <c r="AC48" s="636">
        <f t="shared" si="84"/>
        <v>1</v>
      </c>
      <c r="AD48" s="637">
        <f t="shared" si="115"/>
        <v>-0.54097536073219554</v>
      </c>
      <c r="AE48" s="629">
        <f t="shared" si="85"/>
        <v>0.80302283619345605</v>
      </c>
      <c r="AF48" s="633">
        <f t="shared" si="86"/>
        <v>-0.24999996726497567</v>
      </c>
      <c r="AG48" s="602">
        <f t="shared" si="87"/>
        <v>72.707401525173708</v>
      </c>
      <c r="AH48" s="603">
        <f t="shared" si="88"/>
        <v>122.7500605879534</v>
      </c>
      <c r="AI48" s="585">
        <f t="shared" si="89"/>
        <v>-75.522489751159455</v>
      </c>
      <c r="AJ48" s="586">
        <f t="shared" si="90"/>
        <v>-146.03288768076729</v>
      </c>
      <c r="AK48" s="635">
        <f t="shared" si="211"/>
        <v>0.96592583607220739</v>
      </c>
      <c r="AL48" s="629">
        <f t="shared" si="91"/>
        <v>6.6987279208207351E-2</v>
      </c>
      <c r="AM48" s="634">
        <f t="shared" si="92"/>
        <v>-0.24999996726497567</v>
      </c>
      <c r="AN48" s="581">
        <f t="shared" si="93"/>
        <v>14.999997834268299</v>
      </c>
      <c r="AO48" s="582">
        <f t="shared" si="94"/>
        <v>14.999997834268255</v>
      </c>
      <c r="AP48" s="585">
        <f t="shared" si="95"/>
        <v>3.9671296450865805</v>
      </c>
      <c r="AQ48" s="586">
        <f t="shared" si="246"/>
        <v>1.0977321509521543</v>
      </c>
      <c r="AS48" s="52">
        <f t="shared" si="406"/>
        <v>-240.00001732585386</v>
      </c>
      <c r="AT48" s="72">
        <f t="shared" si="247"/>
        <v>-4.1833950139387122E-2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5.1079999999999997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-2.4335391490506746</v>
      </c>
      <c r="C49" s="708">
        <v>-1.405003501607164</v>
      </c>
      <c r="D49" s="709">
        <v>-6.2000186992564092E-2</v>
      </c>
      <c r="E49" s="710">
        <v>0.49469344745024119</v>
      </c>
      <c r="F49" s="708">
        <v>-0.82974369262495895</v>
      </c>
      <c r="G49" s="711">
        <v>0.25846430623761785</v>
      </c>
      <c r="H49" s="710">
        <v>0.314</v>
      </c>
      <c r="I49" s="708">
        <v>0.52</v>
      </c>
      <c r="J49" s="570">
        <v>5.1130000000000004</v>
      </c>
      <c r="K49" s="865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>1613</v>
      </c>
      <c r="L49" s="320"/>
      <c r="M49" s="168">
        <f t="shared" si="239"/>
        <v>5.1130000000000004</v>
      </c>
      <c r="N49" s="632">
        <f t="shared" si="240"/>
        <v>-2.4335391490506746</v>
      </c>
      <c r="O49" s="629">
        <f t="shared" si="241"/>
        <v>-1.405003501607164</v>
      </c>
      <c r="P49" s="633">
        <f t="shared" si="242"/>
        <v>-6.2000186992564092E-2</v>
      </c>
      <c r="Q49" s="585">
        <f t="shared" si="113"/>
        <v>209.99998267414614</v>
      </c>
      <c r="R49" s="629">
        <f t="shared" si="79"/>
        <v>2.8100084749855601</v>
      </c>
      <c r="S49" s="634">
        <f t="shared" si="80"/>
        <v>-6.2000186992564092E-2</v>
      </c>
      <c r="T49" s="635">
        <f t="shared" si="81"/>
        <v>-1.4050035016071645</v>
      </c>
      <c r="U49" s="629">
        <f t="shared" si="82"/>
        <v>2.4335391490506741</v>
      </c>
      <c r="V49" s="636">
        <f t="shared" si="114"/>
        <v>-6.2000186992564092E-2</v>
      </c>
      <c r="W49" s="585">
        <f t="shared" si="224"/>
        <v>119.99998267414614</v>
      </c>
      <c r="X49" s="629">
        <f t="shared" si="83"/>
        <v>2.8100084749855601</v>
      </c>
      <c r="Y49" s="630">
        <f t="shared" si="223"/>
        <v>-6.2000186992564092E-2</v>
      </c>
      <c r="Z49" s="632">
        <f t="shared" si="243"/>
        <v>-0.49469344745024119</v>
      </c>
      <c r="AA49" s="629">
        <f t="shared" si="244"/>
        <v>0.82974369262495895</v>
      </c>
      <c r="AB49" s="629">
        <f t="shared" si="245"/>
        <v>-0.25846430623761785</v>
      </c>
      <c r="AC49" s="636">
        <f t="shared" si="84"/>
        <v>1</v>
      </c>
      <c r="AD49" s="637">
        <f t="shared" si="115"/>
        <v>-0.49469344745024119</v>
      </c>
      <c r="AE49" s="629">
        <f t="shared" si="85"/>
        <v>0.82974369262495895</v>
      </c>
      <c r="AF49" s="633">
        <f t="shared" si="86"/>
        <v>-0.25846430623761785</v>
      </c>
      <c r="AG49" s="602">
        <f t="shared" si="87"/>
        <v>72.698242260223793</v>
      </c>
      <c r="AH49" s="603">
        <f t="shared" si="88"/>
        <v>119.64953794827784</v>
      </c>
      <c r="AI49" s="585">
        <f t="shared" si="89"/>
        <v>-75.021040994812239</v>
      </c>
      <c r="AJ49" s="586">
        <f t="shared" si="90"/>
        <v>-149.19658989780646</v>
      </c>
      <c r="AK49" s="635">
        <f t="shared" si="211"/>
        <v>0.96592583607220739</v>
      </c>
      <c r="AL49" s="629">
        <f t="shared" si="91"/>
        <v>1.3545538354532538E-2</v>
      </c>
      <c r="AM49" s="634">
        <f t="shared" si="92"/>
        <v>-0.25846430623761785</v>
      </c>
      <c r="AN49" s="581">
        <f t="shared" si="93"/>
        <v>2.9999995668536399</v>
      </c>
      <c r="AO49" s="582">
        <f t="shared" si="94"/>
        <v>14.999997834268255</v>
      </c>
      <c r="AP49" s="585">
        <f t="shared" si="95"/>
        <v>0.80342742804738188</v>
      </c>
      <c r="AQ49" s="586">
        <f t="shared" si="246"/>
        <v>0.81123395609770799</v>
      </c>
      <c r="AS49" s="52">
        <f t="shared" si="406"/>
        <v>-240.00001732585386</v>
      </c>
      <c r="AT49" s="72">
        <f t="shared" si="247"/>
        <v>0.10466649170594552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5.1130000000000004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-3.1019700094214495</v>
      </c>
      <c r="C50" s="708">
        <v>-1.7707665729219213</v>
      </c>
      <c r="D50" s="709">
        <v>-0.16450049613349652</v>
      </c>
      <c r="E50" s="710">
        <v>0.37906272657846823</v>
      </c>
      <c r="F50" s="708">
        <v>-0.89450390425938864</v>
      </c>
      <c r="G50" s="711">
        <v>0.23701100097592082</v>
      </c>
      <c r="H50" s="710">
        <v>0.314</v>
      </c>
      <c r="I50" s="708">
        <v>0.52</v>
      </c>
      <c r="J50" s="570">
        <v>5.1189999999999998</v>
      </c>
      <c r="K50" s="865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>1613</v>
      </c>
      <c r="L50" s="320"/>
      <c r="M50" s="168">
        <f t="shared" si="239"/>
        <v>5.1189999999999998</v>
      </c>
      <c r="N50" s="632">
        <f t="shared" si="240"/>
        <v>-3.1019700094214495</v>
      </c>
      <c r="O50" s="629">
        <f t="shared" si="241"/>
        <v>-1.7707665729219213</v>
      </c>
      <c r="P50" s="633">
        <f t="shared" si="242"/>
        <v>-0.16450049613349652</v>
      </c>
      <c r="Q50" s="585">
        <f t="shared" si="113"/>
        <v>209.71998271457315</v>
      </c>
      <c r="R50" s="629">
        <f t="shared" si="79"/>
        <v>3.5718107725812902</v>
      </c>
      <c r="S50" s="634">
        <f t="shared" si="80"/>
        <v>-0.16450049613349652</v>
      </c>
      <c r="T50" s="635">
        <f t="shared" si="81"/>
        <v>-1.7707665729219217</v>
      </c>
      <c r="U50" s="629">
        <f t="shared" si="82"/>
        <v>3.1019700094214491</v>
      </c>
      <c r="V50" s="636">
        <f t="shared" si="114"/>
        <v>-0.16450049613349652</v>
      </c>
      <c r="W50" s="585">
        <f t="shared" si="224"/>
        <v>119.71998271457315</v>
      </c>
      <c r="X50" s="629">
        <f t="shared" si="83"/>
        <v>3.5718107725812902</v>
      </c>
      <c r="Y50" s="630">
        <f t="shared" si="223"/>
        <v>-0.16450049613349652</v>
      </c>
      <c r="Z50" s="632">
        <f t="shared" si="243"/>
        <v>-0.37906272657846823</v>
      </c>
      <c r="AA50" s="629">
        <f t="shared" si="244"/>
        <v>0.89450390425938864</v>
      </c>
      <c r="AB50" s="629">
        <f t="shared" si="245"/>
        <v>-0.23701100097592082</v>
      </c>
      <c r="AC50" s="636">
        <f t="shared" si="84"/>
        <v>1</v>
      </c>
      <c r="AD50" s="637">
        <f t="shared" si="115"/>
        <v>-0.37906272657846823</v>
      </c>
      <c r="AE50" s="629">
        <f t="shared" si="85"/>
        <v>0.89450390425938864</v>
      </c>
      <c r="AF50" s="633">
        <f t="shared" si="86"/>
        <v>-0.23701100097592082</v>
      </c>
      <c r="AG50" s="602">
        <f t="shared" si="87"/>
        <v>75.159720103880758</v>
      </c>
      <c r="AH50" s="603">
        <f t="shared" si="88"/>
        <v>112.27563786623756</v>
      </c>
      <c r="AI50" s="585">
        <f t="shared" si="89"/>
        <v>-76.289805897140553</v>
      </c>
      <c r="AJ50" s="586">
        <f t="shared" si="90"/>
        <v>-157.03429113988918</v>
      </c>
      <c r="AK50" s="635">
        <f t="shared" si="211"/>
        <v>0.96476440354606907</v>
      </c>
      <c r="AL50" s="629">
        <f t="shared" si="91"/>
        <v>-0.11426036524880234</v>
      </c>
      <c r="AM50" s="634">
        <f t="shared" si="92"/>
        <v>-0.23701100097592082</v>
      </c>
      <c r="AN50" s="581">
        <f t="shared" si="93"/>
        <v>-25.738198424462137</v>
      </c>
      <c r="AO50" s="582">
        <f t="shared" si="94"/>
        <v>15.254991900555479</v>
      </c>
      <c r="AP50" s="585">
        <f t="shared" si="95"/>
        <v>-6.7542738544623386</v>
      </c>
      <c r="AQ50" s="586">
        <f t="shared" si="246"/>
        <v>0.63822875443023874</v>
      </c>
      <c r="AS50" s="52">
        <f t="shared" si="406"/>
        <v>-240.28001728542685</v>
      </c>
      <c r="AT50" s="72">
        <f t="shared" si="247"/>
        <v>2.360626981383257E-3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5.1189999999999998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-3.7141574458220141</v>
      </c>
      <c r="C51" s="708">
        <v>-2.0600609499776552</v>
      </c>
      <c r="D51" s="709">
        <v>-0.53120160210403189</v>
      </c>
      <c r="E51" s="710">
        <v>0.26528477289272145</v>
      </c>
      <c r="F51" s="708">
        <v>-0.94731431802110189</v>
      </c>
      <c r="G51" s="711">
        <v>0.17949811181032513</v>
      </c>
      <c r="H51" s="710">
        <v>0.314</v>
      </c>
      <c r="I51" s="708">
        <v>0.52</v>
      </c>
      <c r="J51" s="570">
        <v>5.125</v>
      </c>
      <c r="K51" s="865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>1613</v>
      </c>
      <c r="L51" s="320"/>
      <c r="M51" s="168">
        <f t="shared" si="239"/>
        <v>5.125</v>
      </c>
      <c r="N51" s="632">
        <f t="shared" si="240"/>
        <v>-3.7141574458220141</v>
      </c>
      <c r="O51" s="629">
        <f t="shared" si="241"/>
        <v>-2.0600609499776552</v>
      </c>
      <c r="P51" s="633">
        <f t="shared" si="242"/>
        <v>-0.53120160210403189</v>
      </c>
      <c r="Q51" s="585">
        <f t="shared" si="113"/>
        <v>209.01498281636253</v>
      </c>
      <c r="R51" s="629">
        <f t="shared" si="79"/>
        <v>4.247212809593834</v>
      </c>
      <c r="S51" s="634">
        <f t="shared" si="80"/>
        <v>-0.53120160210403189</v>
      </c>
      <c r="T51" s="635">
        <f t="shared" si="81"/>
        <v>-2.060060949977657</v>
      </c>
      <c r="U51" s="629">
        <f t="shared" si="82"/>
        <v>3.7141574458220137</v>
      </c>
      <c r="V51" s="636">
        <f t="shared" si="114"/>
        <v>-0.53120160210403189</v>
      </c>
      <c r="W51" s="585">
        <f t="shared" si="224"/>
        <v>119.01498281636253</v>
      </c>
      <c r="X51" s="629">
        <f t="shared" si="83"/>
        <v>4.247212809593834</v>
      </c>
      <c r="Y51" s="630">
        <f t="shared" si="223"/>
        <v>-0.53120160210403189</v>
      </c>
      <c r="Z51" s="632">
        <f t="shared" si="243"/>
        <v>-0.26528477289272145</v>
      </c>
      <c r="AA51" s="629">
        <f t="shared" si="244"/>
        <v>0.94731431802110189</v>
      </c>
      <c r="AB51" s="629">
        <f t="shared" si="245"/>
        <v>-0.17949811181032513</v>
      </c>
      <c r="AC51" s="636">
        <f t="shared" si="84"/>
        <v>1</v>
      </c>
      <c r="AD51" s="637">
        <f t="shared" si="115"/>
        <v>-0.26528477289272145</v>
      </c>
      <c r="AE51" s="629">
        <f t="shared" si="85"/>
        <v>0.94731431802110189</v>
      </c>
      <c r="AF51" s="633">
        <f t="shared" si="86"/>
        <v>-0.17949811181032513</v>
      </c>
      <c r="AG51" s="602">
        <f t="shared" si="87"/>
        <v>79.270733290907344</v>
      </c>
      <c r="AH51" s="603">
        <f t="shared" si="88"/>
        <v>105.38387473108178</v>
      </c>
      <c r="AI51" s="585">
        <f t="shared" si="89"/>
        <v>-79.659472389380795</v>
      </c>
      <c r="AJ51" s="586">
        <f t="shared" si="90"/>
        <v>-164.35569165406844</v>
      </c>
      <c r="AK51" s="635">
        <f t="shared" si="211"/>
        <v>0.9570929245385762</v>
      </c>
      <c r="AL51" s="629">
        <f t="shared" si="91"/>
        <v>-0.22749409147211638</v>
      </c>
      <c r="AM51" s="634">
        <f t="shared" si="92"/>
        <v>-0.17949811181032513</v>
      </c>
      <c r="AN51" s="581">
        <f t="shared" si="93"/>
        <v>-51.725741484469836</v>
      </c>
      <c r="AO51" s="582">
        <f t="shared" si="94"/>
        <v>16.844856200790414</v>
      </c>
      <c r="AP51" s="585">
        <f t="shared" si="95"/>
        <v>-13.370674470430988</v>
      </c>
      <c r="AQ51" s="586">
        <f t="shared" si="246"/>
        <v>0.53674257581651086</v>
      </c>
      <c r="AS51" s="52">
        <f t="shared" si="406"/>
        <v>-240.98501718363747</v>
      </c>
      <c r="AT51" s="72">
        <f t="shared" si="247"/>
        <v>-0.36385089572650586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5.125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-4.1796158174454696</v>
      </c>
      <c r="C52" s="708">
        <v>-2.2526543457865329</v>
      </c>
      <c r="D52" s="709">
        <v>-1.1143033607389363</v>
      </c>
      <c r="E52" s="710">
        <v>0.11423014198575526</v>
      </c>
      <c r="F52" s="708">
        <v>-0.98374306488586216</v>
      </c>
      <c r="G52" s="711">
        <v>0.13856787849600916</v>
      </c>
      <c r="H52" s="710">
        <v>0.314</v>
      </c>
      <c r="I52" s="708">
        <v>0.52</v>
      </c>
      <c r="J52" s="570">
        <v>5.1310000000000002</v>
      </c>
      <c r="K52" s="865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>1613</v>
      </c>
      <c r="L52" s="320"/>
      <c r="M52" s="168">
        <f t="shared" si="239"/>
        <v>5.1310000000000002</v>
      </c>
      <c r="N52" s="632">
        <f t="shared" si="240"/>
        <v>-4.1796158174454696</v>
      </c>
      <c r="O52" s="629">
        <f t="shared" si="241"/>
        <v>-2.2526543457865329</v>
      </c>
      <c r="P52" s="633">
        <f t="shared" si="242"/>
        <v>-1.1143033607389363</v>
      </c>
      <c r="Q52" s="585">
        <f t="shared" si="113"/>
        <v>208.32298291627495</v>
      </c>
      <c r="R52" s="629">
        <f t="shared" si="79"/>
        <v>4.7480143200111886</v>
      </c>
      <c r="S52" s="634">
        <f t="shared" si="80"/>
        <v>-1.1143033607389363</v>
      </c>
      <c r="T52" s="635">
        <f t="shared" si="81"/>
        <v>-2.2526543457865338</v>
      </c>
      <c r="U52" s="629">
        <f t="shared" si="82"/>
        <v>4.1796158174454687</v>
      </c>
      <c r="V52" s="636">
        <f t="shared" si="114"/>
        <v>-1.1143033607389363</v>
      </c>
      <c r="W52" s="585">
        <f t="shared" si="224"/>
        <v>118.32298291627495</v>
      </c>
      <c r="X52" s="629">
        <f t="shared" si="83"/>
        <v>4.7480143200111886</v>
      </c>
      <c r="Y52" s="630">
        <f t="shared" si="223"/>
        <v>-1.1143033607389363</v>
      </c>
      <c r="Z52" s="632">
        <f t="shared" si="243"/>
        <v>-0.11423014198575526</v>
      </c>
      <c r="AA52" s="629">
        <f t="shared" si="244"/>
        <v>0.98374306488586216</v>
      </c>
      <c r="AB52" s="629">
        <f t="shared" si="245"/>
        <v>-0.13856787849600916</v>
      </c>
      <c r="AC52" s="636">
        <f t="shared" si="84"/>
        <v>1</v>
      </c>
      <c r="AD52" s="637">
        <f t="shared" si="115"/>
        <v>-0.11423014198575526</v>
      </c>
      <c r="AE52" s="629">
        <f t="shared" si="85"/>
        <v>0.98374306488586216</v>
      </c>
      <c r="AF52" s="633">
        <f t="shared" si="86"/>
        <v>-0.13856787849600916</v>
      </c>
      <c r="AG52" s="602">
        <f t="shared" si="87"/>
        <v>81.982192071254815</v>
      </c>
      <c r="AH52" s="603">
        <f t="shared" si="88"/>
        <v>96.559222820912126</v>
      </c>
      <c r="AI52" s="585">
        <f t="shared" si="89"/>
        <v>-82.035015978976901</v>
      </c>
      <c r="AJ52" s="586">
        <f t="shared" si="90"/>
        <v>-173.37659882797706</v>
      </c>
      <c r="AK52" s="635">
        <f t="shared" si="211"/>
        <v>0.92017184565967414</v>
      </c>
      <c r="AL52" s="629">
        <f t="shared" si="91"/>
        <v>-0.36617307042488023</v>
      </c>
      <c r="AM52" s="634">
        <f t="shared" si="92"/>
        <v>-0.13856787849600916</v>
      </c>
      <c r="AN52" s="581">
        <f t="shared" si="93"/>
        <v>-69.272264039255091</v>
      </c>
      <c r="AO52" s="582">
        <f t="shared" si="94"/>
        <v>23.048782463983958</v>
      </c>
      <c r="AP52" s="585">
        <f t="shared" si="95"/>
        <v>-21.699581744252029</v>
      </c>
      <c r="AQ52" s="586">
        <f t="shared" si="246"/>
        <v>0.48013192787563908</v>
      </c>
      <c r="AS52" s="52">
        <f t="shared" si="406"/>
        <v>-241.67701708372505</v>
      </c>
      <c r="AT52" s="72">
        <f t="shared" si="247"/>
        <v>-0.94647209887523842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5.1310000000000002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-4.4256716406095462</v>
      </c>
      <c r="C53" s="708">
        <v>-2.3453480648785523</v>
      </c>
      <c r="D53" s="709">
        <v>-1.8373055413135129</v>
      </c>
      <c r="E53" s="710">
        <v>-1.7619319159674882E-2</v>
      </c>
      <c r="F53" s="708">
        <v>-0.9991122726021896</v>
      </c>
      <c r="G53" s="711">
        <v>3.8265210414129079E-2</v>
      </c>
      <c r="H53" s="710">
        <v>0.314</v>
      </c>
      <c r="I53" s="708">
        <v>0.52</v>
      </c>
      <c r="J53" s="570">
        <v>5.1369999999999996</v>
      </c>
      <c r="K53" s="865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>1613</v>
      </c>
      <c r="L53" s="320"/>
      <c r="M53" s="168">
        <f t="shared" si="239"/>
        <v>5.1369999999999996</v>
      </c>
      <c r="N53" s="632">
        <f t="shared" si="240"/>
        <v>-4.4256716406095462</v>
      </c>
      <c r="O53" s="629">
        <f t="shared" si="241"/>
        <v>-2.3453480648785523</v>
      </c>
      <c r="P53" s="633">
        <f t="shared" si="242"/>
        <v>-1.8373055413135129</v>
      </c>
      <c r="Q53" s="585">
        <f t="shared" si="113"/>
        <v>207.92098297431656</v>
      </c>
      <c r="R53" s="629">
        <f t="shared" ref="R53:R58" si="410">IF(M53="","",SQRT(N53^2+O53^2))</f>
        <v>5.008715106284761</v>
      </c>
      <c r="S53" s="634">
        <f t="shared" ref="S53:S58" si="411">IF(M53="","",P53)</f>
        <v>-1.8373055413135129</v>
      </c>
      <c r="T53" s="635">
        <f t="shared" ref="T53:T58" si="412">IF(M53="","",X53*COS(RADIANS(W53)))</f>
        <v>-2.3453480648785514</v>
      </c>
      <c r="U53" s="629">
        <f t="shared" ref="U53:U58" si="413">IF(M53="","",X53*SIN(RADIANS(W53)))</f>
        <v>4.4256716406095471</v>
      </c>
      <c r="V53" s="636">
        <f t="shared" ref="V53:V58" si="414">IF(M53="","",Y53)</f>
        <v>-1.8373055413135129</v>
      </c>
      <c r="W53" s="585">
        <f t="shared" si="224"/>
        <v>117.92098297431656</v>
      </c>
      <c r="X53" s="629">
        <f t="shared" ref="X53:X58" si="415">IF(M53="","",R53)</f>
        <v>5.008715106284761</v>
      </c>
      <c r="Y53" s="630">
        <f t="shared" si="223"/>
        <v>-1.8373055413135129</v>
      </c>
      <c r="Z53" s="632">
        <f t="shared" si="243"/>
        <v>1.7619319159674882E-2</v>
      </c>
      <c r="AA53" s="629">
        <f t="shared" si="244"/>
        <v>0.9991122726021896</v>
      </c>
      <c r="AB53" s="629">
        <f t="shared" si="245"/>
        <v>-3.8265210414129079E-2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1.7619319159674882E-2</v>
      </c>
      <c r="AE53" s="629">
        <f t="shared" ref="AE53:AE58" si="418">IF(M53="","",AA53*(1/SQRT(Z53^2+AA53^2+AB53^2)))</f>
        <v>0.9991122726021896</v>
      </c>
      <c r="AF53" s="633">
        <f t="shared" ref="AF53:AF58" si="419">IF(M53="","",AB53*(1/SQRT(Z53^2+AA53^2+AB53^2)))</f>
        <v>-3.8265210414129079E-2</v>
      </c>
      <c r="AG53" s="602">
        <f t="shared" ref="AG53:AG58" si="420">IF(M53="","",DEGREES(ATAN2(-AF53,AE53)))</f>
        <v>87.806688912401924</v>
      </c>
      <c r="AH53" s="603">
        <f t="shared" ref="AH53:AH58" si="421">IF(M53="","",DEGREES(ACOS(AD53)))</f>
        <v>88.990435134706701</v>
      </c>
      <c r="AI53" s="585">
        <f t="shared" ref="AI53:AI58" si="422">IF(M53="","",DEGREES(-ACOS(-AF53)))</f>
        <v>-87.807029551390059</v>
      </c>
      <c r="AJ53" s="586">
        <f t="shared" ref="AJ53:AJ58" si="423">IF(M53="","",DEGREES(ATAN2(-AE53,AD53)))</f>
        <v>178.98969512964314</v>
      </c>
      <c r="AK53" s="635">
        <f t="shared" ref="AK53:AK58" si="424">IF(M53="","",(COS(RADIANS((90-$Q$8)-W53))*AD53)+(-SIN(RADIANS((90-$Q$8)-W53))*AE53))</f>
        <v>0.87455950709762798</v>
      </c>
      <c r="AL53" s="629">
        <f t="shared" ref="AL53:AL58" si="425">IF(M53="","",(SIN(RADIANS((90-$Q$8)-W53))*AD53)+(COS(RADIANS((90-$Q$8)-W53))*AE53))</f>
        <v>-0.48340608417469916</v>
      </c>
      <c r="AM53" s="634">
        <f t="shared" ref="AM53:AM58" si="426">IF(M53="","",AF53)</f>
        <v>-3.8265210414129079E-2</v>
      </c>
      <c r="AN53" s="581">
        <f t="shared" ref="AN53:AN58" si="427">IF(M53="","",DEGREES(ATAN2(-AM53,AL53)))</f>
        <v>-85.474047449861203</v>
      </c>
      <c r="AO53" s="582">
        <f t="shared" si="94"/>
        <v>29.007113765769237</v>
      </c>
      <c r="AP53" s="585">
        <f t="shared" ref="AP53:AP58" si="428">IF(M53="","",DEGREES(ATAN2(AK53,AL53)))</f>
        <v>-28.931287844673417</v>
      </c>
      <c r="AQ53" s="586">
        <f t="shared" si="246"/>
        <v>0.45514241295796282</v>
      </c>
      <c r="AS53" s="52">
        <f t="shared" si="406"/>
        <v>-242.07901702568344</v>
      </c>
      <c r="AT53" s="72">
        <f t="shared" si="247"/>
        <v>-1.669195112823455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5.1369999999999996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-4.4524401022783611</v>
      </c>
      <c r="C54" s="708">
        <v>-2.3550566405793734</v>
      </c>
      <c r="D54" s="709">
        <v>-2.5987078377028379</v>
      </c>
      <c r="E54" s="710">
        <v>-5.3613535890641009E-2</v>
      </c>
      <c r="F54" s="708">
        <v>-0.99854243369279538</v>
      </c>
      <c r="G54" s="711">
        <v>-6.2126390666612241E-3</v>
      </c>
      <c r="H54" s="710">
        <v>0.314</v>
      </c>
      <c r="I54" s="708">
        <v>0.52</v>
      </c>
      <c r="J54" s="570">
        <v>5.1429999999999998</v>
      </c>
      <c r="K54" s="865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>1613</v>
      </c>
      <c r="L54" s="320"/>
      <c r="M54" s="168">
        <f t="shared" si="239"/>
        <v>5.1429999999999998</v>
      </c>
      <c r="N54" s="632">
        <f t="shared" si="240"/>
        <v>-4.4524401022783611</v>
      </c>
      <c r="O54" s="629">
        <f t="shared" si="241"/>
        <v>-2.3550566405793734</v>
      </c>
      <c r="P54" s="633">
        <f t="shared" si="242"/>
        <v>-2.5987078377028379</v>
      </c>
      <c r="Q54" s="585">
        <f t="shared" si="113"/>
        <v>207.87598298081375</v>
      </c>
      <c r="R54" s="629">
        <f t="shared" si="410"/>
        <v>5.0369151913362158</v>
      </c>
      <c r="S54" s="634">
        <f t="shared" si="411"/>
        <v>-2.5987078377028379</v>
      </c>
      <c r="T54" s="635">
        <f t="shared" si="412"/>
        <v>-2.3550566405793725</v>
      </c>
      <c r="U54" s="629">
        <f t="shared" si="413"/>
        <v>4.452440102278362</v>
      </c>
      <c r="V54" s="636">
        <f t="shared" si="414"/>
        <v>-2.5987078377028379</v>
      </c>
      <c r="W54" s="585">
        <f t="shared" si="224"/>
        <v>117.87598298081375</v>
      </c>
      <c r="X54" s="629">
        <f t="shared" si="415"/>
        <v>5.0369151913362158</v>
      </c>
      <c r="Y54" s="630">
        <f t="shared" si="223"/>
        <v>-2.5987078377028379</v>
      </c>
      <c r="Z54" s="632">
        <f t="shared" si="243"/>
        <v>5.3613535890641009E-2</v>
      </c>
      <c r="AA54" s="629">
        <f t="shared" si="244"/>
        <v>0.99854243369279538</v>
      </c>
      <c r="AB54" s="629">
        <f t="shared" si="245"/>
        <v>6.2126390666612241E-3</v>
      </c>
      <c r="AC54" s="636">
        <f t="shared" si="416"/>
        <v>1</v>
      </c>
      <c r="AD54" s="637">
        <f t="shared" si="417"/>
        <v>5.3613535890641009E-2</v>
      </c>
      <c r="AE54" s="629">
        <f t="shared" si="418"/>
        <v>0.99854243369279538</v>
      </c>
      <c r="AF54" s="633">
        <f t="shared" si="419"/>
        <v>6.2126390666612241E-3</v>
      </c>
      <c r="AG54" s="602">
        <f t="shared" si="420"/>
        <v>90.356472988278938</v>
      </c>
      <c r="AH54" s="603">
        <f t="shared" si="421"/>
        <v>86.926697145127463</v>
      </c>
      <c r="AI54" s="585">
        <f t="shared" si="422"/>
        <v>-90.355960288009157</v>
      </c>
      <c r="AJ54" s="586">
        <f t="shared" si="423"/>
        <v>176.9266377765029</v>
      </c>
      <c r="AK54" s="635">
        <f t="shared" si="424"/>
        <v>0.85760575625858282</v>
      </c>
      <c r="AL54" s="629">
        <f t="shared" si="425"/>
        <v>-0.51427013324513804</v>
      </c>
      <c r="AM54" s="634">
        <f t="shared" si="426"/>
        <v>6.2126390666612241E-3</v>
      </c>
      <c r="AN54" s="581">
        <f t="shared" si="427"/>
        <v>-90.692127853984402</v>
      </c>
      <c r="AO54" s="582">
        <f t="shared" si="94"/>
        <v>30.951189089198863</v>
      </c>
      <c r="AP54" s="585">
        <f t="shared" si="428"/>
        <v>-30.94934520431082</v>
      </c>
      <c r="AQ54" s="586">
        <f t="shared" si="246"/>
        <v>0.45259432174574721</v>
      </c>
      <c r="AS54" s="52">
        <f t="shared" si="406"/>
        <v>-242.12401701918625</v>
      </c>
      <c r="AT54" s="72">
        <f t="shared" si="247"/>
        <v>-2.430566159217292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5.1429999999999998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-4.4964335212095943</v>
      </c>
      <c r="C55" s="708">
        <v>-2.3708993421119247</v>
      </c>
      <c r="D55" s="709">
        <v>-3.3502101042336756</v>
      </c>
      <c r="E55" s="710">
        <v>-0.12529880916368755</v>
      </c>
      <c r="F55" s="708">
        <v>-0.99211904952084506</v>
      </c>
      <c r="G55" s="711">
        <v>1.3008419220781387E-7</v>
      </c>
      <c r="H55" s="710">
        <v>0.314</v>
      </c>
      <c r="I55" s="708">
        <v>0.52</v>
      </c>
      <c r="J55" s="570">
        <v>5.149</v>
      </c>
      <c r="K55" s="865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>1613</v>
      </c>
      <c r="L55" s="320"/>
      <c r="M55" s="168">
        <f t="shared" si="239"/>
        <v>5.149</v>
      </c>
      <c r="N55" s="632">
        <f t="shared" si="240"/>
        <v>-4.4964335212095943</v>
      </c>
      <c r="O55" s="629">
        <f t="shared" si="241"/>
        <v>-2.3708993421119247</v>
      </c>
      <c r="P55" s="633">
        <f t="shared" si="242"/>
        <v>-3.3502101042336756</v>
      </c>
      <c r="Q55" s="585">
        <f t="shared" si="113"/>
        <v>207.80198299149805</v>
      </c>
      <c r="R55" s="629">
        <f t="shared" si="410"/>
        <v>5.0832153309774384</v>
      </c>
      <c r="S55" s="634">
        <f t="shared" si="411"/>
        <v>-3.3502101042336756</v>
      </c>
      <c r="T55" s="635">
        <f t="shared" si="412"/>
        <v>-2.3708993421119251</v>
      </c>
      <c r="U55" s="629">
        <f t="shared" si="413"/>
        <v>4.4964335212095943</v>
      </c>
      <c r="V55" s="636">
        <f t="shared" si="414"/>
        <v>-3.3502101042336756</v>
      </c>
      <c r="W55" s="585">
        <f t="shared" si="224"/>
        <v>117.80198299149805</v>
      </c>
      <c r="X55" s="629">
        <f t="shared" si="415"/>
        <v>5.0832153309774384</v>
      </c>
      <c r="Y55" s="630">
        <f t="shared" si="223"/>
        <v>-3.3502101042336756</v>
      </c>
      <c r="Z55" s="632">
        <f t="shared" si="243"/>
        <v>0.12529880916368755</v>
      </c>
      <c r="AA55" s="629">
        <f t="shared" si="244"/>
        <v>0.99211904952084506</v>
      </c>
      <c r="AB55" s="629">
        <f t="shared" si="245"/>
        <v>-1.3008419220781387E-7</v>
      </c>
      <c r="AC55" s="636">
        <f t="shared" si="416"/>
        <v>1</v>
      </c>
      <c r="AD55" s="637">
        <f t="shared" si="417"/>
        <v>0.12529880916368755</v>
      </c>
      <c r="AE55" s="629">
        <f t="shared" si="418"/>
        <v>0.99211904952084506</v>
      </c>
      <c r="AF55" s="633">
        <f t="shared" si="419"/>
        <v>-1.3008419220781387E-7</v>
      </c>
      <c r="AG55" s="602">
        <f t="shared" si="420"/>
        <v>89.999992487519322</v>
      </c>
      <c r="AH55" s="603">
        <f t="shared" si="421"/>
        <v>82.801988044872814</v>
      </c>
      <c r="AI55" s="585">
        <f t="shared" si="422"/>
        <v>-89.999992546724798</v>
      </c>
      <c r="AJ55" s="586">
        <f t="shared" si="423"/>
        <v>172.80198804487276</v>
      </c>
      <c r="AK55" s="635">
        <f t="shared" si="424"/>
        <v>0.81915209487729168</v>
      </c>
      <c r="AL55" s="629">
        <f t="shared" si="425"/>
        <v>-0.57357636410344492</v>
      </c>
      <c r="AM55" s="634">
        <f t="shared" si="426"/>
        <v>-1.3008419220781387E-7</v>
      </c>
      <c r="AN55" s="581">
        <f t="shared" si="427"/>
        <v>-89.999987005609611</v>
      </c>
      <c r="AO55" s="582">
        <f>IF(ROUND(IF(M55="",0,DEGREES(ACOS(AK55))),4)=90,0,IF(M55="","",DEGREES(ACOS(AK55))))</f>
        <v>34.999994946625982</v>
      </c>
      <c r="AP55" s="585">
        <f t="shared" si="428"/>
        <v>-34.9999949466253</v>
      </c>
      <c r="AQ55" s="586">
        <f t="shared" si="246"/>
        <v>0.44847206464958778</v>
      </c>
      <c r="AS55" s="52">
        <f t="shared" si="406"/>
        <v>-242.19801700850195</v>
      </c>
      <c r="AT55" s="72">
        <f t="shared" si="247"/>
        <v>-3.1820170368666605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5.149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-4.937405310451469</v>
      </c>
      <c r="C56" s="708">
        <v>-1.2129609897847997</v>
      </c>
      <c r="D56" s="709">
        <v>-3.3502101042336747</v>
      </c>
      <c r="E56" s="710">
        <v>-0.97112429568944325</v>
      </c>
      <c r="F56" s="708">
        <v>-0.23857410236995838</v>
      </c>
      <c r="G56" s="711">
        <v>2.2679489557229133E-7</v>
      </c>
      <c r="H56" s="710">
        <v>0.25700000000000001</v>
      </c>
      <c r="I56" s="708">
        <v>0.41499999999999992</v>
      </c>
      <c r="J56" s="570">
        <v>5.2489999999999997</v>
      </c>
      <c r="K56" s="865" t="str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>CPS-32193r1</v>
      </c>
      <c r="L56" s="320"/>
      <c r="M56" s="168">
        <f t="shared" si="239"/>
        <v>5.2489999999999997</v>
      </c>
      <c r="N56" s="632">
        <f t="shared" si="240"/>
        <v>-4.937405310451469</v>
      </c>
      <c r="O56" s="629">
        <f t="shared" si="241"/>
        <v>-1.2129609897847997</v>
      </c>
      <c r="P56" s="633">
        <f t="shared" si="242"/>
        <v>-3.3502101042336747</v>
      </c>
      <c r="Q56" s="585">
        <f t="shared" si="113"/>
        <v>193.8023850127899</v>
      </c>
      <c r="R56" s="629">
        <f t="shared" si="410"/>
        <v>5.0842153339934457</v>
      </c>
      <c r="S56" s="634">
        <f t="shared" si="411"/>
        <v>-3.3502101042336747</v>
      </c>
      <c r="T56" s="635">
        <f t="shared" si="412"/>
        <v>-1.2129609897847997</v>
      </c>
      <c r="U56" s="629">
        <f t="shared" si="413"/>
        <v>4.937405310451469</v>
      </c>
      <c r="V56" s="636">
        <f t="shared" si="414"/>
        <v>-3.3502101042336747</v>
      </c>
      <c r="W56" s="585">
        <f t="shared" si="224"/>
        <v>103.8023850127899</v>
      </c>
      <c r="X56" s="629">
        <f t="shared" si="415"/>
        <v>5.0842153339934457</v>
      </c>
      <c r="Y56" s="630">
        <f t="shared" si="223"/>
        <v>-3.3502101042336747</v>
      </c>
      <c r="Z56" s="632">
        <f t="shared" si="243"/>
        <v>0.97112429568944325</v>
      </c>
      <c r="AA56" s="629">
        <f t="shared" si="244"/>
        <v>0.23857410236995838</v>
      </c>
      <c r="AB56" s="629">
        <f t="shared" si="245"/>
        <v>-2.2679489557229133E-7</v>
      </c>
      <c r="AC56" s="636">
        <f t="shared" si="416"/>
        <v>1</v>
      </c>
      <c r="AD56" s="637">
        <f t="shared" si="417"/>
        <v>0.97112429568944325</v>
      </c>
      <c r="AE56" s="629">
        <f t="shared" si="418"/>
        <v>0.23857410236995838</v>
      </c>
      <c r="AF56" s="633">
        <f t="shared" si="419"/>
        <v>-2.2679489557229133E-7</v>
      </c>
      <c r="AG56" s="602">
        <f t="shared" si="420"/>
        <v>89.999945533106057</v>
      </c>
      <c r="AH56" s="603">
        <f t="shared" si="421"/>
        <v>13.802398007186282</v>
      </c>
      <c r="AI56" s="585">
        <f t="shared" si="422"/>
        <v>-89.999987005609668</v>
      </c>
      <c r="AJ56" s="586">
        <f t="shared" si="423"/>
        <v>103.80239800718029</v>
      </c>
      <c r="AK56" s="635">
        <f t="shared" si="424"/>
        <v>2.2679489666832531E-7</v>
      </c>
      <c r="AL56" s="629">
        <f t="shared" si="425"/>
        <v>-0.9999999999999486</v>
      </c>
      <c r="AM56" s="634">
        <f t="shared" si="426"/>
        <v>-2.2679489557229133E-7</v>
      </c>
      <c r="AN56" s="581">
        <f t="shared" si="427"/>
        <v>-89.999987005609668</v>
      </c>
      <c r="AO56" s="582">
        <f t="shared" ref="AO56:AO119" si="461">IF(ROUND(IF(M56="",0,DEGREES(ACOS(AK56))),4)=90,0,IF(M56="","",DEGREES(ACOS(AK56))))</f>
        <v>0</v>
      </c>
      <c r="AP56" s="585">
        <f t="shared" si="428"/>
        <v>-89.999987005609611</v>
      </c>
      <c r="AQ56" s="586">
        <f t="shared" si="246"/>
        <v>0.44838385927752705</v>
      </c>
      <c r="AS56" s="52">
        <f t="shared" si="406"/>
        <v>-256.1976149872101</v>
      </c>
      <c r="AT56" s="72">
        <f t="shared" si="247"/>
        <v>-3.1722950938258898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Taper</v>
      </c>
      <c r="IF56" s="533" t="str">
        <f>IFERROR(IF((((($IW56*COS(RADIANS(180-$IY56)))*COS(RADIANS($IY56)))-(($IX56*SIN(RADIANS(180-$IY56)))*SIN(RADIANS($IY56))))+$IU56)&lt;(((Settings!$C$19+$IF$8)/2)*-1),"Gage",""),"")</f>
        <v>Gage</v>
      </c>
      <c r="IG56" s="847">
        <f t="shared" si="210"/>
        <v>5.2489999999999997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5.149</v>
      </c>
      <c r="II56" s="734" cm="1">
        <f t="array" ref="II56">IFERROR(IF($IH56&lt;1,$IH56+LARGE((IF($M$9:$M$150="",0,$M$9:$M$150)-MOD(IF($M$9:$M$150="",0,$M$9:$M$150),1)),1),$IH56),"")</f>
        <v>5.149</v>
      </c>
      <c r="IJ56" s="533">
        <f t="shared" si="112"/>
        <v>1613</v>
      </c>
      <c r="IK56" s="533" t="str">
        <f t="shared" si="382"/>
        <v>CPS-32193r1</v>
      </c>
      <c r="IL56" s="727">
        <f t="shared" si="225"/>
        <v>13.999597978708152</v>
      </c>
      <c r="IM56" s="759">
        <v>2.3003813842587201E-4</v>
      </c>
      <c r="IN56" s="5">
        <f t="shared" si="226"/>
        <v>0</v>
      </c>
      <c r="IO56" s="771">
        <v>0</v>
      </c>
      <c r="IP56" s="9">
        <f t="shared" si="227"/>
        <v>-5.0832153309774384</v>
      </c>
      <c r="IQ56" s="5">
        <f t="shared" si="228"/>
        <v>-3.3502101042336756</v>
      </c>
      <c r="IR56" s="5">
        <f t="shared" si="383"/>
        <v>0.314</v>
      </c>
      <c r="IS56" s="5">
        <f t="shared" si="229"/>
        <v>0.2572137577914696</v>
      </c>
      <c r="IT56" s="727">
        <f t="shared" si="230"/>
        <v>89.999987005609611</v>
      </c>
      <c r="IU56" s="9">
        <f t="shared" si="231"/>
        <v>-5.0842153339934457</v>
      </c>
      <c r="IV56" s="5">
        <f t="shared" si="232"/>
        <v>-3.3502101042336747</v>
      </c>
      <c r="IW56" s="5">
        <f t="shared" si="384"/>
        <v>0.25700000000000001</v>
      </c>
      <c r="IX56" s="5">
        <f t="shared" si="233"/>
        <v>0.25700000000000001</v>
      </c>
      <c r="IY56" s="762">
        <f t="shared" si="234"/>
        <v>89.999987005609668</v>
      </c>
    </row>
    <row r="57" spans="1:259" ht="15" customHeight="1" x14ac:dyDescent="0.25">
      <c r="A57" s="79"/>
      <c r="B57" s="707">
        <v>-2.4922510339998434</v>
      </c>
      <c r="C57" s="708">
        <v>1.5573317948993688</v>
      </c>
      <c r="D57" s="709">
        <v>-8.9700270536015855E-2</v>
      </c>
      <c r="E57" s="710">
        <v>-0.51283936931326335</v>
      </c>
      <c r="F57" s="708">
        <v>-0.81854052493473162</v>
      </c>
      <c r="G57" s="711">
        <v>0.25881883687619889</v>
      </c>
      <c r="H57" s="710">
        <v>0.314</v>
      </c>
      <c r="I57" s="708">
        <v>0.52</v>
      </c>
      <c r="J57" s="570">
        <v>6.1139999999999999</v>
      </c>
      <c r="K57" s="865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>1613</v>
      </c>
      <c r="L57" s="320"/>
      <c r="M57" s="168">
        <f t="shared" si="239"/>
        <v>6.1139999999999999</v>
      </c>
      <c r="N57" s="632">
        <f t="shared" si="240"/>
        <v>-2.4922510339998434</v>
      </c>
      <c r="O57" s="629">
        <f t="shared" si="241"/>
        <v>1.5573317948993688</v>
      </c>
      <c r="P57" s="633">
        <f t="shared" si="242"/>
        <v>-8.9700270536015855E-2</v>
      </c>
      <c r="Q57" s="585">
        <f t="shared" si="113"/>
        <v>147.99999162583731</v>
      </c>
      <c r="R57" s="629">
        <f t="shared" si="410"/>
        <v>2.9388088634475324</v>
      </c>
      <c r="S57" s="634">
        <f t="shared" si="411"/>
        <v>-8.9700270536015855E-2</v>
      </c>
      <c r="T57" s="635">
        <f t="shared" si="412"/>
        <v>1.5573317948993688</v>
      </c>
      <c r="U57" s="629">
        <f t="shared" si="413"/>
        <v>2.4922510339998434</v>
      </c>
      <c r="V57" s="636">
        <f t="shared" si="414"/>
        <v>-8.9700270536015855E-2</v>
      </c>
      <c r="W57" s="585">
        <f t="shared" si="224"/>
        <v>57.99999162583731</v>
      </c>
      <c r="X57" s="629">
        <f t="shared" si="415"/>
        <v>2.9388088634475324</v>
      </c>
      <c r="Y57" s="630">
        <f t="shared" si="223"/>
        <v>-8.9700270536015855E-2</v>
      </c>
      <c r="Z57" s="632">
        <f t="shared" si="243"/>
        <v>0.51283936931326335</v>
      </c>
      <c r="AA57" s="629">
        <f t="shared" si="244"/>
        <v>0.81854052493473162</v>
      </c>
      <c r="AB57" s="629">
        <f t="shared" si="245"/>
        <v>-0.25881883687619889</v>
      </c>
      <c r="AC57" s="636">
        <f t="shared" si="416"/>
        <v>1</v>
      </c>
      <c r="AD57" s="637">
        <f t="shared" si="417"/>
        <v>0.51283936931326335</v>
      </c>
      <c r="AE57" s="629">
        <f t="shared" si="418"/>
        <v>0.81854052493473162</v>
      </c>
      <c r="AF57" s="633">
        <f t="shared" si="419"/>
        <v>-0.25881883687619889</v>
      </c>
      <c r="AG57" s="602">
        <f t="shared" si="420"/>
        <v>72.453279641706047</v>
      </c>
      <c r="AH57" s="603">
        <f t="shared" si="421"/>
        <v>59.146855528479001</v>
      </c>
      <c r="AI57" s="585">
        <f t="shared" si="422"/>
        <v>-75.000012351351174</v>
      </c>
      <c r="AJ57" s="586">
        <f t="shared" si="423"/>
        <v>147.93166341065748</v>
      </c>
      <c r="AK57" s="635">
        <f t="shared" si="424"/>
        <v>0.96592519522245679</v>
      </c>
      <c r="AL57" s="629">
        <f t="shared" si="425"/>
        <v>-1.1519168852511252E-3</v>
      </c>
      <c r="AM57" s="634">
        <f t="shared" si="426"/>
        <v>-0.25881883687619889</v>
      </c>
      <c r="AN57" s="581">
        <f t="shared" si="427"/>
        <v>-0.25500284635665932</v>
      </c>
      <c r="AO57" s="582">
        <f t="shared" si="461"/>
        <v>15.000139701036703</v>
      </c>
      <c r="AP57" s="585">
        <f t="shared" si="428"/>
        <v>-6.8328215179820684E-2</v>
      </c>
      <c r="AQ57" s="586">
        <f t="shared" si="246"/>
        <v>0.77568411456524877</v>
      </c>
      <c r="AS57" s="52">
        <f t="shared" si="406"/>
        <v>-302.00000837416269</v>
      </c>
      <c r="AT57" s="72">
        <f t="shared" si="247"/>
        <v>0.12002195750159712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6.1139999999999999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-3.1186492050380608</v>
      </c>
      <c r="C58" s="708">
        <v>1.977781536912107</v>
      </c>
      <c r="D58" s="709">
        <v>-0.23810071811176567</v>
      </c>
      <c r="E58" s="710">
        <v>-0.6299443873487609</v>
      </c>
      <c r="F58" s="708">
        <v>-0.74241037601548132</v>
      </c>
      <c r="G58" s="711">
        <v>0.22802829305230052</v>
      </c>
      <c r="H58" s="710">
        <v>0.314</v>
      </c>
      <c r="I58" s="708">
        <v>0.52</v>
      </c>
      <c r="J58" s="570">
        <v>6.12</v>
      </c>
      <c r="K58" s="865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>1613</v>
      </c>
      <c r="L58" s="320"/>
      <c r="M58" s="168">
        <f t="shared" si="239"/>
        <v>6.12</v>
      </c>
      <c r="N58" s="632">
        <f t="shared" si="240"/>
        <v>-3.1186492050380608</v>
      </c>
      <c r="O58" s="629">
        <f t="shared" si="241"/>
        <v>1.977781536912107</v>
      </c>
      <c r="P58" s="633">
        <f t="shared" si="242"/>
        <v>-0.23810071811176567</v>
      </c>
      <c r="Q58" s="585">
        <f t="shared" si="113"/>
        <v>147.61799168099125</v>
      </c>
      <c r="R58" s="629">
        <f t="shared" si="410"/>
        <v>3.6929111378199915</v>
      </c>
      <c r="S58" s="634">
        <f t="shared" si="411"/>
        <v>-0.23810071811176567</v>
      </c>
      <c r="T58" s="635">
        <f t="shared" si="412"/>
        <v>1.9777815369121075</v>
      </c>
      <c r="U58" s="629">
        <f t="shared" si="413"/>
        <v>3.1186492050380603</v>
      </c>
      <c r="V58" s="636">
        <f t="shared" si="414"/>
        <v>-0.23810071811176567</v>
      </c>
      <c r="W58" s="585">
        <f t="shared" si="224"/>
        <v>57.617991680991253</v>
      </c>
      <c r="X58" s="629">
        <f t="shared" si="415"/>
        <v>3.6929111378199915</v>
      </c>
      <c r="Y58" s="630">
        <f t="shared" si="223"/>
        <v>-0.23810071811176567</v>
      </c>
      <c r="Z58" s="632">
        <f t="shared" si="243"/>
        <v>0.6299443873487609</v>
      </c>
      <c r="AA58" s="629">
        <f t="shared" si="244"/>
        <v>0.74241037601548132</v>
      </c>
      <c r="AB58" s="629">
        <f t="shared" si="245"/>
        <v>-0.22802829305230052</v>
      </c>
      <c r="AC58" s="636">
        <f t="shared" si="416"/>
        <v>1</v>
      </c>
      <c r="AD58" s="637">
        <f t="shared" si="417"/>
        <v>0.6299443873487609</v>
      </c>
      <c r="AE58" s="629">
        <f t="shared" si="418"/>
        <v>0.74241037601548132</v>
      </c>
      <c r="AF58" s="633">
        <f t="shared" si="419"/>
        <v>-0.22802829305230052</v>
      </c>
      <c r="AG58" s="602">
        <f t="shared" si="420"/>
        <v>72.925875365791711</v>
      </c>
      <c r="AH58" s="603">
        <f t="shared" si="421"/>
        <v>50.953980345160979</v>
      </c>
      <c r="AI58" s="585">
        <f t="shared" si="422"/>
        <v>-76.818983141677535</v>
      </c>
      <c r="AJ58" s="586">
        <f t="shared" si="423"/>
        <v>139.68498304405989</v>
      </c>
      <c r="AK58" s="635">
        <f t="shared" si="424"/>
        <v>0.96433674536093461</v>
      </c>
      <c r="AL58" s="629">
        <f t="shared" si="425"/>
        <v>-0.13437908734000958</v>
      </c>
      <c r="AM58" s="634">
        <f t="shared" si="426"/>
        <v>-0.22802829305230052</v>
      </c>
      <c r="AN58" s="581">
        <f t="shared" si="427"/>
        <v>-30.51122059521952</v>
      </c>
      <c r="AO58" s="582">
        <f t="shared" si="461"/>
        <v>15.347842596953502</v>
      </c>
      <c r="AP58" s="585">
        <f t="shared" si="428"/>
        <v>-7.9330086369313566</v>
      </c>
      <c r="AQ58" s="586">
        <f t="shared" si="246"/>
        <v>0.61730118534830825</v>
      </c>
      <c r="AS58" s="52">
        <f t="shared" si="406"/>
        <v>-302.38200831900872</v>
      </c>
      <c r="AT58" s="72">
        <f t="shared" si="247"/>
        <v>-2.8113212334676285E-2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6.12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-3.6394005081258936</v>
      </c>
      <c r="C59" s="708">
        <v>2.3734013198372499</v>
      </c>
      <c r="D59" s="709">
        <v>-0.64510194562746781</v>
      </c>
      <c r="E59" s="710">
        <v>-0.73013471830397747</v>
      </c>
      <c r="F59" s="708">
        <v>-0.6599302907473692</v>
      </c>
      <c r="G59" s="711">
        <v>0.1771872017987316</v>
      </c>
      <c r="H59" s="710">
        <v>0.314</v>
      </c>
      <c r="I59" s="708">
        <v>0.52</v>
      </c>
      <c r="J59" s="570">
        <v>6.1260000000000003</v>
      </c>
      <c r="K59" s="865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>1613</v>
      </c>
      <c r="L59" s="320"/>
      <c r="M59" s="168">
        <f t="shared" si="239"/>
        <v>6.1260000000000003</v>
      </c>
      <c r="N59" s="632">
        <f t="shared" si="240"/>
        <v>-3.6394005081258936</v>
      </c>
      <c r="O59" s="629">
        <f t="shared" si="241"/>
        <v>2.3734013198372499</v>
      </c>
      <c r="P59" s="633">
        <f t="shared" si="242"/>
        <v>-0.64510194562746781</v>
      </c>
      <c r="Q59" s="585">
        <f t="shared" si="113"/>
        <v>146.88999178610143</v>
      </c>
      <c r="R59" s="629">
        <f t="shared" si="79"/>
        <v>4.3449131042579223</v>
      </c>
      <c r="S59" s="634">
        <f t="shared" si="80"/>
        <v>-0.64510194562746781</v>
      </c>
      <c r="T59" s="635">
        <f t="shared" si="81"/>
        <v>2.3734013198372508</v>
      </c>
      <c r="U59" s="629">
        <f t="shared" si="82"/>
        <v>3.6394005081258936</v>
      </c>
      <c r="V59" s="636">
        <f t="shared" si="114"/>
        <v>-0.64510194562746781</v>
      </c>
      <c r="W59" s="585">
        <f t="shared" si="224"/>
        <v>56.889991786101433</v>
      </c>
      <c r="X59" s="629">
        <f t="shared" si="83"/>
        <v>4.3449131042579223</v>
      </c>
      <c r="Y59" s="630">
        <f t="shared" si="223"/>
        <v>-0.64510194562746781</v>
      </c>
      <c r="Z59" s="632">
        <f t="shared" si="243"/>
        <v>0.73013471830397747</v>
      </c>
      <c r="AA59" s="629">
        <f t="shared" si="244"/>
        <v>0.6599302907473692</v>
      </c>
      <c r="AB59" s="629">
        <f t="shared" si="245"/>
        <v>-0.1771872017987316</v>
      </c>
      <c r="AC59" s="636">
        <f t="shared" si="84"/>
        <v>1</v>
      </c>
      <c r="AD59" s="637">
        <f t="shared" si="115"/>
        <v>0.73013471830397747</v>
      </c>
      <c r="AE59" s="629">
        <f t="shared" si="85"/>
        <v>0.6599302907473692</v>
      </c>
      <c r="AF59" s="633">
        <f t="shared" si="86"/>
        <v>-0.1771872017987316</v>
      </c>
      <c r="AG59" s="602">
        <f t="shared" si="87"/>
        <v>74.970889669006993</v>
      </c>
      <c r="AH59" s="603">
        <f t="shared" si="88"/>
        <v>43.102310847096824</v>
      </c>
      <c r="AI59" s="585">
        <f t="shared" si="89"/>
        <v>-79.794035062475956</v>
      </c>
      <c r="AJ59" s="586">
        <f t="shared" si="90"/>
        <v>132.10876641608931</v>
      </c>
      <c r="AK59" s="635">
        <f t="shared" si="211"/>
        <v>0.95160783204235577</v>
      </c>
      <c r="AL59" s="629">
        <f t="shared" si="91"/>
        <v>-0.25109207377849158</v>
      </c>
      <c r="AM59" s="634">
        <f t="shared" si="92"/>
        <v>-0.1771872017987316</v>
      </c>
      <c r="AN59" s="581">
        <f t="shared" si="93"/>
        <v>-54.790671976429714</v>
      </c>
      <c r="AO59" s="582">
        <f t="shared" si="461"/>
        <v>17.897496624249619</v>
      </c>
      <c r="AP59" s="585">
        <f t="shared" si="95"/>
        <v>-14.78122537001213</v>
      </c>
      <c r="AQ59" s="586">
        <f t="shared" si="246"/>
        <v>0.52467399324791031</v>
      </c>
      <c r="AS59" s="52">
        <f t="shared" si="406"/>
        <v>-303.1100082138986</v>
      </c>
      <c r="AT59" s="72">
        <f t="shared" si="247"/>
        <v>-0.43460888436781597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6.1260000000000003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-3.9980318268083992</v>
      </c>
      <c r="C60" s="708">
        <v>2.6734194003936445</v>
      </c>
      <c r="D60" s="709">
        <v>-1.2574037923298373</v>
      </c>
      <c r="E60" s="710">
        <v>-0.82994280208928162</v>
      </c>
      <c r="F60" s="708">
        <v>-0.54350788462431288</v>
      </c>
      <c r="G60" s="711">
        <v>0.12567467768566684</v>
      </c>
      <c r="H60" s="710">
        <v>0.314</v>
      </c>
      <c r="I60" s="708">
        <v>0.52</v>
      </c>
      <c r="J60" s="570">
        <v>6.1319999999999997</v>
      </c>
      <c r="K60" s="865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>1613</v>
      </c>
      <c r="L60" s="320"/>
      <c r="M60" s="168">
        <f t="shared" si="239"/>
        <v>6.1319999999999997</v>
      </c>
      <c r="N60" s="632">
        <f t="shared" si="240"/>
        <v>-3.9980318268083992</v>
      </c>
      <c r="O60" s="629">
        <f t="shared" si="241"/>
        <v>2.6734194003936445</v>
      </c>
      <c r="P60" s="633">
        <f t="shared" si="242"/>
        <v>-1.2574037923298373</v>
      </c>
      <c r="Q60" s="585">
        <f t="shared" si="113"/>
        <v>146.22999188139363</v>
      </c>
      <c r="R60" s="629">
        <f t="shared" si="79"/>
        <v>4.8095145054957484</v>
      </c>
      <c r="S60" s="634">
        <f t="shared" si="80"/>
        <v>-1.2574037923298373</v>
      </c>
      <c r="T60" s="635">
        <f t="shared" si="81"/>
        <v>2.6734194003936453</v>
      </c>
      <c r="U60" s="629">
        <f t="shared" si="82"/>
        <v>3.9980318268083979</v>
      </c>
      <c r="V60" s="636">
        <f t="shared" si="114"/>
        <v>-1.2574037923298373</v>
      </c>
      <c r="W60" s="585">
        <f t="shared" si="224"/>
        <v>56.22999188139363</v>
      </c>
      <c r="X60" s="629">
        <f t="shared" si="83"/>
        <v>4.8095145054957484</v>
      </c>
      <c r="Y60" s="630">
        <f t="shared" si="223"/>
        <v>-1.2574037923298373</v>
      </c>
      <c r="Z60" s="632">
        <f t="shared" si="243"/>
        <v>0.82994280208928162</v>
      </c>
      <c r="AA60" s="629">
        <f t="shared" si="244"/>
        <v>0.54350788462431288</v>
      </c>
      <c r="AB60" s="629">
        <f t="shared" si="245"/>
        <v>-0.12567467768566684</v>
      </c>
      <c r="AC60" s="636">
        <f t="shared" si="84"/>
        <v>1</v>
      </c>
      <c r="AD60" s="637">
        <f t="shared" si="115"/>
        <v>0.82994280208928162</v>
      </c>
      <c r="AE60" s="629">
        <f t="shared" si="85"/>
        <v>0.54350788462431288</v>
      </c>
      <c r="AF60" s="633">
        <f t="shared" si="86"/>
        <v>-0.12567467768566684</v>
      </c>
      <c r="AG60" s="602">
        <f t="shared" si="87"/>
        <v>76.98038553771535</v>
      </c>
      <c r="AH60" s="603">
        <f t="shared" si="88"/>
        <v>33.907137156346572</v>
      </c>
      <c r="AI60" s="585">
        <f t="shared" si="89"/>
        <v>-82.780280775245174</v>
      </c>
      <c r="AJ60" s="586">
        <f t="shared" si="90"/>
        <v>123.21974285943629</v>
      </c>
      <c r="AK60" s="635">
        <f t="shared" si="211"/>
        <v>0.91313728322338683</v>
      </c>
      <c r="AL60" s="629">
        <f t="shared" si="91"/>
        <v>-0.38779656699874998</v>
      </c>
      <c r="AM60" s="634">
        <f t="shared" si="92"/>
        <v>-0.12567467768566684</v>
      </c>
      <c r="AN60" s="581">
        <f t="shared" si="93"/>
        <v>-72.043852990253484</v>
      </c>
      <c r="AO60" s="582">
        <f t="shared" si="461"/>
        <v>24.057433670085462</v>
      </c>
      <c r="AP60" s="585">
        <f t="shared" si="95"/>
        <v>-23.010249021957325</v>
      </c>
      <c r="AQ60" s="586">
        <f t="shared" si="246"/>
        <v>0.4739926706501062</v>
      </c>
      <c r="AS60" s="52">
        <f t="shared" si="406"/>
        <v>-303.77000811860637</v>
      </c>
      <c r="AT60" s="72">
        <f t="shared" si="247"/>
        <v>-1.0464523978030273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6.1319999999999997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-4.1613826961211107</v>
      </c>
      <c r="C61" s="708">
        <v>2.8181043375617238</v>
      </c>
      <c r="D61" s="709">
        <v>-1.9949060166365455</v>
      </c>
      <c r="E61" s="710">
        <v>-0.89922709146499913</v>
      </c>
      <c r="F61" s="708">
        <v>-0.43716455274867955</v>
      </c>
      <c r="G61" s="711">
        <v>1.6667087191384478E-2</v>
      </c>
      <c r="H61" s="710">
        <v>0.314</v>
      </c>
      <c r="I61" s="708">
        <v>0.52</v>
      </c>
      <c r="J61" s="570">
        <v>6.1379999999999999</v>
      </c>
      <c r="K61" s="865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>1613</v>
      </c>
      <c r="L61" s="320"/>
      <c r="M61" s="168">
        <f t="shared" si="239"/>
        <v>6.1379999999999999</v>
      </c>
      <c r="N61" s="632">
        <f t="shared" si="240"/>
        <v>-4.1613826961211107</v>
      </c>
      <c r="O61" s="629">
        <f t="shared" si="241"/>
        <v>2.8181043375617238</v>
      </c>
      <c r="P61" s="633">
        <f t="shared" si="242"/>
        <v>-1.9949060166365455</v>
      </c>
      <c r="Q61" s="585">
        <f t="shared" si="113"/>
        <v>145.89399192990604</v>
      </c>
      <c r="R61" s="629">
        <f t="shared" si="79"/>
        <v>5.0258151578585144</v>
      </c>
      <c r="S61" s="634">
        <f t="shared" si="80"/>
        <v>-1.9949060166365455</v>
      </c>
      <c r="T61" s="635">
        <f t="shared" si="81"/>
        <v>2.8181043375617234</v>
      </c>
      <c r="U61" s="629">
        <f t="shared" si="82"/>
        <v>4.1613826961211098</v>
      </c>
      <c r="V61" s="636">
        <f t="shared" si="114"/>
        <v>-1.9949060166365455</v>
      </c>
      <c r="W61" s="585">
        <f t="shared" si="224"/>
        <v>55.893991929906036</v>
      </c>
      <c r="X61" s="629">
        <f t="shared" si="83"/>
        <v>5.0258151578585144</v>
      </c>
      <c r="Y61" s="630">
        <f t="shared" si="223"/>
        <v>-1.9949060166365455</v>
      </c>
      <c r="Z61" s="632">
        <f t="shared" si="243"/>
        <v>0.89922709146499913</v>
      </c>
      <c r="AA61" s="629">
        <f t="shared" si="244"/>
        <v>0.43716455274867955</v>
      </c>
      <c r="AB61" s="629">
        <f t="shared" si="245"/>
        <v>-1.6667087191384478E-2</v>
      </c>
      <c r="AC61" s="636">
        <f t="shared" si="84"/>
        <v>1</v>
      </c>
      <c r="AD61" s="637">
        <f t="shared" si="115"/>
        <v>0.89922709146499913</v>
      </c>
      <c r="AE61" s="629">
        <f t="shared" si="85"/>
        <v>0.43716455274867955</v>
      </c>
      <c r="AF61" s="633">
        <f t="shared" si="86"/>
        <v>-1.6667087191384478E-2</v>
      </c>
      <c r="AG61" s="602">
        <f t="shared" si="87"/>
        <v>87.816631153167265</v>
      </c>
      <c r="AH61" s="603">
        <f t="shared" si="88"/>
        <v>25.943342890407656</v>
      </c>
      <c r="AI61" s="585">
        <f t="shared" si="89"/>
        <v>-89.045002028576363</v>
      </c>
      <c r="AJ61" s="586">
        <f t="shared" si="90"/>
        <v>115.92697702034037</v>
      </c>
      <c r="AK61" s="635">
        <f t="shared" si="211"/>
        <v>0.86619277377708925</v>
      </c>
      <c r="AL61" s="629">
        <f t="shared" si="91"/>
        <v>-0.4994319641962327</v>
      </c>
      <c r="AM61" s="634">
        <f t="shared" si="92"/>
        <v>-1.6667087191384478E-2</v>
      </c>
      <c r="AN61" s="581">
        <f t="shared" si="93"/>
        <v>-88.088629586177433</v>
      </c>
      <c r="AO61" s="582">
        <f t="shared" si="461"/>
        <v>29.980815248104623</v>
      </c>
      <c r="AP61" s="585">
        <f t="shared" si="95"/>
        <v>-29.967014909565652</v>
      </c>
      <c r="AQ61" s="586">
        <f t="shared" si="246"/>
        <v>0.45359388147689994</v>
      </c>
      <c r="AS61" s="52">
        <f t="shared" si="406"/>
        <v>-304.10600807009394</v>
      </c>
      <c r="AT61" s="72">
        <f t="shared" si="247"/>
        <v>-1.7837212888100915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6.1379999999999999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-4.2043279855683373</v>
      </c>
      <c r="C62" s="708">
        <v>2.857044677783485</v>
      </c>
      <c r="D62" s="709">
        <v>-2.7527083021682386</v>
      </c>
      <c r="E62" s="710">
        <v>-0.93481329887146158</v>
      </c>
      <c r="F62" s="708">
        <v>-0.35513954476098364</v>
      </c>
      <c r="G62" s="711">
        <v>1.3008419243614031E-7</v>
      </c>
      <c r="H62" s="710">
        <v>0.314</v>
      </c>
      <c r="I62" s="708">
        <v>0.52</v>
      </c>
      <c r="J62" s="570">
        <v>6.1440000000000001</v>
      </c>
      <c r="K62" s="865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>1613</v>
      </c>
      <c r="L62" s="320"/>
      <c r="M62" s="168">
        <f t="shared" si="239"/>
        <v>6.1440000000000001</v>
      </c>
      <c r="N62" s="632">
        <f t="shared" si="240"/>
        <v>-4.2043279855683373</v>
      </c>
      <c r="O62" s="629">
        <f t="shared" si="241"/>
        <v>2.857044677783485</v>
      </c>
      <c r="P62" s="633">
        <f t="shared" si="242"/>
        <v>-2.7527083021682386</v>
      </c>
      <c r="Q62" s="585">
        <f t="shared" si="113"/>
        <v>145.80199194318919</v>
      </c>
      <c r="R62" s="629">
        <f t="shared" si="79"/>
        <v>5.0832153309774366</v>
      </c>
      <c r="S62" s="634">
        <f t="shared" si="80"/>
        <v>-2.7527083021682386</v>
      </c>
      <c r="T62" s="635">
        <f t="shared" si="81"/>
        <v>2.857044677783485</v>
      </c>
      <c r="U62" s="629">
        <f t="shared" si="82"/>
        <v>4.2043279855683373</v>
      </c>
      <c r="V62" s="636">
        <f t="shared" si="114"/>
        <v>-2.7527083021682386</v>
      </c>
      <c r="W62" s="585">
        <f t="shared" si="224"/>
        <v>55.801991943189194</v>
      </c>
      <c r="X62" s="629">
        <f t="shared" si="83"/>
        <v>5.0832153309774366</v>
      </c>
      <c r="Y62" s="630">
        <f t="shared" si="223"/>
        <v>-2.7527083021682386</v>
      </c>
      <c r="Z62" s="632">
        <f t="shared" si="243"/>
        <v>0.93481329887146158</v>
      </c>
      <c r="AA62" s="629">
        <f t="shared" si="244"/>
        <v>0.35513954476098364</v>
      </c>
      <c r="AB62" s="629">
        <f t="shared" si="245"/>
        <v>-1.3008419243614031E-7</v>
      </c>
      <c r="AC62" s="636">
        <f t="shared" si="84"/>
        <v>1</v>
      </c>
      <c r="AD62" s="637">
        <f t="shared" si="115"/>
        <v>0.93481329887146158</v>
      </c>
      <c r="AE62" s="629">
        <f t="shared" si="85"/>
        <v>0.35513954476098364</v>
      </c>
      <c r="AF62" s="633">
        <f t="shared" si="86"/>
        <v>-1.3008419243614031E-7</v>
      </c>
      <c r="AG62" s="602">
        <f t="shared" si="87"/>
        <v>89.999979013108174</v>
      </c>
      <c r="AH62" s="603">
        <f t="shared" si="88"/>
        <v>20.80199699656519</v>
      </c>
      <c r="AI62" s="585">
        <f t="shared" si="89"/>
        <v>-89.999992546724783</v>
      </c>
      <c r="AJ62" s="586">
        <f t="shared" si="90"/>
        <v>110.80199699656391</v>
      </c>
      <c r="AK62" s="635">
        <f t="shared" si="211"/>
        <v>0.8191520948772919</v>
      </c>
      <c r="AL62" s="629">
        <f t="shared" si="91"/>
        <v>-0.57357636410344459</v>
      </c>
      <c r="AM62" s="634">
        <f t="shared" si="92"/>
        <v>-1.3008419243614031E-7</v>
      </c>
      <c r="AN62" s="581">
        <f t="shared" si="93"/>
        <v>-89.999987005609597</v>
      </c>
      <c r="AO62" s="582">
        <f t="shared" si="461"/>
        <v>34.999994946625968</v>
      </c>
      <c r="AP62" s="585">
        <f t="shared" si="95"/>
        <v>-34.999994946625272</v>
      </c>
      <c r="AQ62" s="586">
        <f t="shared" si="246"/>
        <v>0.44847206464958783</v>
      </c>
      <c r="AS62" s="52">
        <f t="shared" si="406"/>
        <v>-304.19800805681081</v>
      </c>
      <c r="AT62" s="72">
        <f t="shared" si="247"/>
        <v>-2.5414596854621201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6.1440000000000001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-3.3889529655065509</v>
      </c>
      <c r="C63" s="708">
        <v>3.7900189128813668</v>
      </c>
      <c r="D63" s="709">
        <v>-2.7527083021682395</v>
      </c>
      <c r="E63" s="710">
        <v>-0.66656378662888716</v>
      </c>
      <c r="F63" s="708">
        <v>0.74544799842437581</v>
      </c>
      <c r="G63" s="711">
        <v>2.2679489657982053E-7</v>
      </c>
      <c r="H63" s="710">
        <v>0.25700000000000001</v>
      </c>
      <c r="I63" s="708">
        <v>0.41499999999999992</v>
      </c>
      <c r="J63" s="570">
        <v>6.2439999999999998</v>
      </c>
      <c r="K63" s="865" t="str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>CPS-32193r1</v>
      </c>
      <c r="L63" s="320"/>
      <c r="M63" s="168">
        <f t="shared" si="239"/>
        <v>6.2439999999999998</v>
      </c>
      <c r="N63" s="632">
        <f t="shared" si="240"/>
        <v>-3.3889529655065509</v>
      </c>
      <c r="O63" s="629">
        <f t="shared" si="241"/>
        <v>3.7900189128813668</v>
      </c>
      <c r="P63" s="633">
        <f t="shared" si="242"/>
        <v>-2.7527083021682395</v>
      </c>
      <c r="Q63" s="585">
        <f t="shared" si="113"/>
        <v>131.80239396448107</v>
      </c>
      <c r="R63" s="629">
        <f t="shared" si="79"/>
        <v>5.0842153339934475</v>
      </c>
      <c r="S63" s="634">
        <f t="shared" si="80"/>
        <v>-2.7527083021682395</v>
      </c>
      <c r="T63" s="635">
        <f t="shared" si="81"/>
        <v>3.7900189128813664</v>
      </c>
      <c r="U63" s="629">
        <f t="shared" si="82"/>
        <v>3.3889529655065513</v>
      </c>
      <c r="V63" s="636">
        <f t="shared" si="114"/>
        <v>-2.7527083021682395</v>
      </c>
      <c r="W63" s="585">
        <f t="shared" si="224"/>
        <v>41.80239396448107</v>
      </c>
      <c r="X63" s="629">
        <f t="shared" si="83"/>
        <v>5.0842153339934475</v>
      </c>
      <c r="Y63" s="630">
        <f t="shared" si="223"/>
        <v>-2.7527083021682395</v>
      </c>
      <c r="Z63" s="632">
        <f t="shared" si="243"/>
        <v>0.66656378662888716</v>
      </c>
      <c r="AA63" s="629">
        <f t="shared" si="244"/>
        <v>-0.74544799842437581</v>
      </c>
      <c r="AB63" s="629">
        <f t="shared" si="245"/>
        <v>-2.2679489657982053E-7</v>
      </c>
      <c r="AC63" s="636">
        <f t="shared" si="84"/>
        <v>1</v>
      </c>
      <c r="AD63" s="637">
        <f t="shared" si="115"/>
        <v>0.66656378662888716</v>
      </c>
      <c r="AE63" s="629">
        <f t="shared" si="85"/>
        <v>-0.74544799842437581</v>
      </c>
      <c r="AF63" s="633">
        <f t="shared" si="86"/>
        <v>-2.2679489657982053E-7</v>
      </c>
      <c r="AG63" s="602">
        <f t="shared" si="87"/>
        <v>-89.999982568347605</v>
      </c>
      <c r="AH63" s="603">
        <f t="shared" si="88"/>
        <v>48.197593041129863</v>
      </c>
      <c r="AI63" s="585">
        <f t="shared" si="89"/>
        <v>-89.999987005609611</v>
      </c>
      <c r="AJ63" s="586">
        <f t="shared" si="90"/>
        <v>41.802406958871451</v>
      </c>
      <c r="AK63" s="635">
        <f t="shared" si="211"/>
        <v>2.2679489652954743E-7</v>
      </c>
      <c r="AL63" s="629">
        <f t="shared" si="91"/>
        <v>-0.99999999999994871</v>
      </c>
      <c r="AM63" s="634">
        <f t="shared" si="92"/>
        <v>-2.2679489657982053E-7</v>
      </c>
      <c r="AN63" s="581">
        <f t="shared" si="93"/>
        <v>-89.999987005609626</v>
      </c>
      <c r="AO63" s="582">
        <f t="shared" si="461"/>
        <v>0</v>
      </c>
      <c r="AP63" s="585">
        <f t="shared" si="95"/>
        <v>-89.999987005609626</v>
      </c>
      <c r="AQ63" s="586">
        <f t="shared" si="246"/>
        <v>0.44838385927752689</v>
      </c>
      <c r="AS63" s="52">
        <f t="shared" si="406"/>
        <v>-318.1976060355189</v>
      </c>
      <c r="AT63" s="72">
        <f t="shared" si="247"/>
        <v>-2.5317377424213512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>Taper</v>
      </c>
      <c r="IF63" s="533" t="str">
        <f>IFERROR(IF((((($IW63*COS(RADIANS(180-$IY63)))*COS(RADIANS($IY63)))-(($IX63*SIN(RADIANS(180-$IY63)))*SIN(RADIANS($IY63))))+$IU63)&lt;(((Settings!$C$19+$IF$8)/2)*-1),"Gage",""),"")</f>
        <v>Gage</v>
      </c>
      <c r="IG63" s="847">
        <f t="shared" si="210"/>
        <v>6.2439999999999998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0.14399999999999999</v>
      </c>
      <c r="II63" s="734" cm="1">
        <f t="array" ref="II63">IFERROR(IF($IH63&lt;1,$IH63+LARGE((IF($M$9:$M$150="",0,$M$9:$M$150)-MOD(IF($M$9:$M$150="",0,$M$9:$M$150),1)),1),$IH63),"")</f>
        <v>6.1440000000000001</v>
      </c>
      <c r="IJ63" s="533">
        <f t="shared" si="112"/>
        <v>1613</v>
      </c>
      <c r="IK63" s="533" t="str">
        <f t="shared" si="382"/>
        <v>CPS-32193r1</v>
      </c>
      <c r="IL63" s="727">
        <f t="shared" si="225"/>
        <v>13.999597978708124</v>
      </c>
      <c r="IM63" s="759">
        <v>2.3003813841645699E-4</v>
      </c>
      <c r="IN63" s="5">
        <f t="shared" si="226"/>
        <v>0</v>
      </c>
      <c r="IO63" s="771">
        <v>0</v>
      </c>
      <c r="IP63" s="9">
        <f t="shared" si="227"/>
        <v>-5.0832153309774366</v>
      </c>
      <c r="IQ63" s="5">
        <f t="shared" si="228"/>
        <v>-2.7527083021682386</v>
      </c>
      <c r="IR63" s="5">
        <f t="shared" si="383"/>
        <v>0.314</v>
      </c>
      <c r="IS63" s="5">
        <f t="shared" si="229"/>
        <v>0.2572137577914696</v>
      </c>
      <c r="IT63" s="727">
        <f t="shared" si="230"/>
        <v>89.999987005609597</v>
      </c>
      <c r="IU63" s="9">
        <f t="shared" si="231"/>
        <v>-5.0842153339934475</v>
      </c>
      <c r="IV63" s="5">
        <f t="shared" si="232"/>
        <v>-2.7527083021682395</v>
      </c>
      <c r="IW63" s="5">
        <f t="shared" si="384"/>
        <v>0.25700000000000001</v>
      </c>
      <c r="IX63" s="5">
        <f t="shared" si="233"/>
        <v>0.25700000000000001</v>
      </c>
      <c r="IY63" s="762">
        <f t="shared" si="234"/>
        <v>89.999987005609626</v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0.9659258360722075</v>
      </c>
      <c r="F154" s="170">
        <f t="shared" si="929"/>
        <v>6.6987279208207198E-2</v>
      </c>
      <c r="G154" s="170">
        <f t="shared" si="929"/>
        <v>-0.24999996726497564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0.9659258360722075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6.6987279208207198E-2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0.96592583607220739</v>
      </c>
      <c r="F157" s="170">
        <f t="shared" si="929"/>
        <v>4.048820735361508E-2</v>
      </c>
      <c r="G157" s="170">
        <f t="shared" si="929"/>
        <v>-0.2556325180283171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0.96531347640500376</v>
      </c>
      <c r="F158" s="170">
        <f t="shared" si="929"/>
        <v>-7.3154950627835003E-2</v>
      </c>
      <c r="G158" s="170">
        <f t="shared" si="929"/>
        <v>-0.25063568275392339</v>
      </c>
      <c r="H158" s="139"/>
      <c r="I158" s="86"/>
      <c r="J158" s="79">
        <f t="shared" si="930"/>
        <v>1.117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0.96034637631177211</v>
      </c>
      <c r="F159" s="170">
        <f t="shared" si="929"/>
        <v>-0.20065262054888738</v>
      </c>
      <c r="G159" s="170">
        <f t="shared" si="929"/>
        <v>-0.19358037961454844</v>
      </c>
      <c r="H159" s="139"/>
      <c r="I159" s="86"/>
      <c r="J159" s="79">
        <f t="shared" si="930"/>
        <v>1.123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0.92498085745723868</v>
      </c>
      <c r="F160" s="170">
        <f t="shared" si="929"/>
        <v>-0.34500680629654196</v>
      </c>
      <c r="G160" s="170">
        <f t="shared" si="929"/>
        <v>-0.15931326670033447</v>
      </c>
      <c r="H160" s="139"/>
      <c r="I160" s="86"/>
      <c r="J160" s="79">
        <f t="shared" si="930"/>
        <v>1.129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0.87457388793250557</v>
      </c>
      <c r="F161" s="170">
        <f t="shared" si="929"/>
        <v>-0.47865014230790259</v>
      </c>
      <c r="G161" s="170">
        <f t="shared" si="929"/>
        <v>-7.7553567392131859E-2</v>
      </c>
      <c r="H161" s="139"/>
      <c r="I161" s="86"/>
      <c r="J161" s="79">
        <f t="shared" si="930"/>
        <v>1.135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0.8379565114058819</v>
      </c>
      <c r="F162" s="170">
        <f t="shared" si="929"/>
        <v>-0.54570164752207928</v>
      </c>
      <c r="G162" s="170">
        <f t="shared" si="929"/>
        <v>6.2126390666612111E-3</v>
      </c>
      <c r="H162" s="139"/>
      <c r="I162" s="86"/>
      <c r="J162" s="79">
        <f t="shared" si="930"/>
        <v>1.141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0.79655107869994379</v>
      </c>
      <c r="F163" s="170">
        <f t="shared" si="929"/>
        <v>-0.6045712356885159</v>
      </c>
      <c r="G163" s="170">
        <f t="shared" si="929"/>
        <v>-1.3008419229928E-7</v>
      </c>
      <c r="H163" s="139"/>
      <c r="I163" s="86"/>
      <c r="J163" s="79">
        <f t="shared" si="930"/>
        <v>1.147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-0.27895062411744875</v>
      </c>
      <c r="F164" s="170">
        <f t="shared" si="929"/>
        <v>-0.96030544583712241</v>
      </c>
      <c r="G164" s="170">
        <f t="shared" si="929"/>
        <v>-2.2679489643025759E-7</v>
      </c>
      <c r="H164" s="139"/>
      <c r="I164" s="86"/>
      <c r="J164" s="79">
        <f t="shared" si="930"/>
        <v>1.2470000000000001</v>
      </c>
    </row>
    <row r="165" spans="5:16" x14ac:dyDescent="0.25">
      <c r="E165" s="170">
        <f t="shared" si="929"/>
        <v>0.47736130033066382</v>
      </c>
      <c r="F165" s="170">
        <f t="shared" si="929"/>
        <v>-0.84016119043510906</v>
      </c>
      <c r="G165" s="170">
        <f t="shared" si="929"/>
        <v>-0.25740117139064939</v>
      </c>
      <c r="H165" s="139"/>
      <c r="I165" s="86"/>
      <c r="J165" s="79">
        <f t="shared" si="930"/>
        <v>2.1120000000000001</v>
      </c>
    </row>
    <row r="166" spans="5:16" x14ac:dyDescent="0.25">
      <c r="E166" s="170">
        <f t="shared" si="929"/>
        <v>0.36786321683294287</v>
      </c>
      <c r="F166" s="170">
        <f t="shared" si="929"/>
        <v>-0.89713806985168942</v>
      </c>
      <c r="G166" s="170">
        <f t="shared" si="929"/>
        <v>-0.24458114670616896</v>
      </c>
      <c r="H166" s="139"/>
      <c r="I166" s="86"/>
      <c r="J166" s="79">
        <f t="shared" si="930"/>
        <v>2.1179999999999999</v>
      </c>
    </row>
    <row r="167" spans="5:16" x14ac:dyDescent="0.25">
      <c r="E167" s="170">
        <f t="shared" si="929"/>
        <v>0.25746265158827264</v>
      </c>
      <c r="F167" s="170">
        <f t="shared" si="929"/>
        <v>-0.94938320783816932</v>
      </c>
      <c r="G167" s="170">
        <f t="shared" si="929"/>
        <v>-0.17995696072128819</v>
      </c>
      <c r="H167" s="139"/>
      <c r="I167" s="86"/>
      <c r="J167" s="79">
        <f t="shared" si="930"/>
        <v>2.1240000000000001</v>
      </c>
    </row>
    <row r="168" spans="5:16" x14ac:dyDescent="0.25">
      <c r="E168" s="170">
        <f t="shared" si="929"/>
        <v>0.10450331266367384</v>
      </c>
      <c r="F168" s="170">
        <f t="shared" si="929"/>
        <v>-0.98317865175922359</v>
      </c>
      <c r="G168" s="170">
        <f t="shared" si="929"/>
        <v>-0.14979584896529605</v>
      </c>
      <c r="H168" s="139"/>
      <c r="I168" s="86"/>
      <c r="J168" s="79">
        <f t="shared" si="930"/>
        <v>2.13</v>
      </c>
    </row>
    <row r="169" spans="5:16" x14ac:dyDescent="0.25">
      <c r="E169" s="170">
        <f t="shared" si="929"/>
        <v>-3.2803902994442677E-2</v>
      </c>
      <c r="F169" s="170">
        <f t="shared" si="929"/>
        <v>-0.9977439375584114</v>
      </c>
      <c r="G169" s="170">
        <f t="shared" si="929"/>
        <v>-5.8574217995361437E-2</v>
      </c>
      <c r="H169" s="139"/>
      <c r="I169" s="86"/>
      <c r="J169" s="79">
        <f t="shared" si="930"/>
        <v>2.1360000000000001</v>
      </c>
    </row>
    <row r="170" spans="5:16" x14ac:dyDescent="0.25">
      <c r="E170" s="170">
        <f t="shared" si="929"/>
        <v>-8.8429951129119402E-2</v>
      </c>
      <c r="F170" s="170">
        <f t="shared" si="929"/>
        <v>-0.99606302353773224</v>
      </c>
      <c r="G170" s="170">
        <f t="shared" si="929"/>
        <v>6.2126390666610784E-3</v>
      </c>
      <c r="H170" s="139"/>
      <c r="I170" s="86"/>
      <c r="J170" s="79">
        <f t="shared" si="930"/>
        <v>2.1419999999999999</v>
      </c>
    </row>
    <row r="171" spans="5:16" x14ac:dyDescent="0.25">
      <c r="E171" s="170">
        <f t="shared" si="929"/>
        <v>-0.15984737879419786</v>
      </c>
      <c r="F171" s="170">
        <f t="shared" si="929"/>
        <v>-0.98714174032537372</v>
      </c>
      <c r="G171" s="170">
        <f t="shared" si="929"/>
        <v>-1.3008419217158973E-7</v>
      </c>
      <c r="H171" s="139"/>
      <c r="I171" s="86"/>
      <c r="J171" s="79">
        <f t="shared" si="930"/>
        <v>2.1480000000000001</v>
      </c>
    </row>
    <row r="172" spans="5:16" x14ac:dyDescent="0.25">
      <c r="E172" s="170">
        <f t="shared" si="929"/>
        <v>-0.97885892085133486</v>
      </c>
      <c r="F172" s="170">
        <f t="shared" si="929"/>
        <v>-0.20453658125066213</v>
      </c>
      <c r="G172" s="170">
        <f t="shared" si="929"/>
        <v>-2.2679489767717583E-7</v>
      </c>
      <c r="H172" s="139"/>
      <c r="I172" s="86"/>
      <c r="J172" s="79">
        <f t="shared" si="930"/>
        <v>2.2480000000000002</v>
      </c>
    </row>
    <row r="173" spans="5:16" x14ac:dyDescent="0.25">
      <c r="E173" s="170">
        <f t="shared" si="929"/>
        <v>-0.42495075868149657</v>
      </c>
      <c r="F173" s="170">
        <f t="shared" si="929"/>
        <v>-0.87000969481008184</v>
      </c>
      <c r="G173" s="170">
        <f t="shared" si="929"/>
        <v>-0.24999996726497567</v>
      </c>
      <c r="H173" s="139"/>
      <c r="I173" s="86"/>
      <c r="J173" s="79">
        <f t="shared" si="930"/>
        <v>3.1030000000000002</v>
      </c>
    </row>
    <row r="174" spans="5:16" x14ac:dyDescent="0.25">
      <c r="E174" s="170">
        <f t="shared" ref="E174:G193" si="933">E29*-1</f>
        <v>-0.42495075868149651</v>
      </c>
      <c r="F174" s="170">
        <f t="shared" si="933"/>
        <v>-0.87000969481008184</v>
      </c>
      <c r="G174" s="170">
        <f t="shared" si="933"/>
        <v>-0.24999996726497564</v>
      </c>
      <c r="H174" s="139"/>
      <c r="I174" s="86"/>
      <c r="J174" s="79">
        <f t="shared" si="930"/>
        <v>3.1059999999999999</v>
      </c>
    </row>
    <row r="175" spans="5:16" x14ac:dyDescent="0.25">
      <c r="E175" s="170">
        <f t="shared" si="933"/>
        <v>-0.42495075868149668</v>
      </c>
      <c r="F175" s="170">
        <f t="shared" si="933"/>
        <v>-0.87000969481008184</v>
      </c>
      <c r="G175" s="170">
        <f t="shared" si="933"/>
        <v>-0.24999996726497573</v>
      </c>
      <c r="H175" s="139"/>
      <c r="I175" s="86"/>
      <c r="J175" s="79">
        <f t="shared" si="930"/>
        <v>3.109</v>
      </c>
    </row>
    <row r="176" spans="5:16" x14ac:dyDescent="0.25">
      <c r="E176" s="170">
        <f t="shared" si="933"/>
        <v>-0.50491341029602221</v>
      </c>
      <c r="F176" s="170">
        <f t="shared" si="933"/>
        <v>-0.82376013137120307</v>
      </c>
      <c r="G176" s="170">
        <f t="shared" si="933"/>
        <v>-0.25784044303898318</v>
      </c>
      <c r="H176" s="139"/>
      <c r="I176" s="86"/>
      <c r="J176" s="79">
        <f t="shared" si="930"/>
        <v>3.1150000000000002</v>
      </c>
    </row>
    <row r="177" spans="5:10" x14ac:dyDescent="0.25">
      <c r="E177" s="170">
        <f t="shared" si="933"/>
        <v>-0.62134061981671584</v>
      </c>
      <c r="F177" s="170">
        <f t="shared" si="933"/>
        <v>-0.75268303803115622</v>
      </c>
      <c r="G177" s="170">
        <f t="shared" si="933"/>
        <v>-0.21772477678474875</v>
      </c>
      <c r="H177" s="139"/>
      <c r="I177" s="86"/>
      <c r="J177" s="79">
        <f t="shared" si="930"/>
        <v>3.121</v>
      </c>
    </row>
    <row r="178" spans="5:10" x14ac:dyDescent="0.25">
      <c r="E178" s="170">
        <f t="shared" si="933"/>
        <v>-0.72529687339128002</v>
      </c>
      <c r="F178" s="170">
        <f t="shared" si="933"/>
        <v>-0.66633380847018064</v>
      </c>
      <c r="G178" s="170">
        <f t="shared" si="933"/>
        <v>-0.17304248362312155</v>
      </c>
      <c r="H178" s="139"/>
      <c r="I178" s="86"/>
      <c r="J178" s="79">
        <f t="shared" si="930"/>
        <v>3.1269999999999998</v>
      </c>
    </row>
    <row r="179" spans="5:10" x14ac:dyDescent="0.25">
      <c r="E179" s="170">
        <f t="shared" si="933"/>
        <v>-0.82522510309332653</v>
      </c>
      <c r="F179" s="170">
        <f t="shared" si="933"/>
        <v>-0.55375572472340762</v>
      </c>
      <c r="G179" s="170">
        <f t="shared" si="933"/>
        <v>-0.11116711096660888</v>
      </c>
      <c r="H179" s="139"/>
      <c r="I179" s="86"/>
      <c r="J179" s="79">
        <f t="shared" si="930"/>
        <v>3.133</v>
      </c>
    </row>
    <row r="180" spans="5:10" x14ac:dyDescent="0.25">
      <c r="E180" s="170">
        <f t="shared" si="933"/>
        <v>-0.8915362370167369</v>
      </c>
      <c r="F180" s="170">
        <f t="shared" si="933"/>
        <v>-0.45290815716497557</v>
      </c>
      <c r="G180" s="170">
        <f t="shared" si="933"/>
        <v>6.1105858526569606E-3</v>
      </c>
      <c r="H180" s="139"/>
      <c r="I180" s="86"/>
      <c r="J180" s="79">
        <f t="shared" si="930"/>
        <v>3.1389999999999998</v>
      </c>
    </row>
    <row r="181" spans="5:10" x14ac:dyDescent="0.25">
      <c r="E181" s="170">
        <f t="shared" si="933"/>
        <v>-0.92184982223707412</v>
      </c>
      <c r="F181" s="170">
        <f t="shared" si="933"/>
        <v>-0.3875472941996348</v>
      </c>
      <c r="G181" s="170">
        <f t="shared" si="933"/>
        <v>-1.3008419188249263E-7</v>
      </c>
      <c r="H181" s="139"/>
      <c r="I181" s="86"/>
      <c r="J181" s="79">
        <f t="shared" si="930"/>
        <v>3.145</v>
      </c>
    </row>
    <row r="182" spans="5:10" x14ac:dyDescent="0.25">
      <c r="E182" s="170">
        <f t="shared" si="933"/>
        <v>-0.69217316293552145</v>
      </c>
      <c r="F182" s="170">
        <f t="shared" si="933"/>
        <v>0.7217314684228372</v>
      </c>
      <c r="G182" s="170">
        <f t="shared" si="933"/>
        <v>-2.2679489696473774E-7</v>
      </c>
      <c r="H182" s="139"/>
      <c r="I182" s="86"/>
      <c r="J182" s="79">
        <f t="shared" si="930"/>
        <v>3.2450000000000001</v>
      </c>
    </row>
    <row r="183" spans="5:10" x14ac:dyDescent="0.25">
      <c r="E183" s="170">
        <f t="shared" si="933"/>
        <v>-0.9672154230719755</v>
      </c>
      <c r="F183" s="170">
        <f t="shared" si="933"/>
        <v>-2.0067950155479495E-2</v>
      </c>
      <c r="G183" s="170">
        <f t="shared" si="933"/>
        <v>-0.2531631939051503</v>
      </c>
      <c r="H183" s="139"/>
      <c r="I183" s="86"/>
      <c r="J183" s="79">
        <f t="shared" si="930"/>
        <v>4.1100000000000003</v>
      </c>
    </row>
    <row r="184" spans="5:10" x14ac:dyDescent="0.25">
      <c r="E184" s="170">
        <f t="shared" si="933"/>
        <v>-0.96333983735271911</v>
      </c>
      <c r="F184" s="170">
        <f t="shared" si="933"/>
        <v>8.3115549363921265E-2</v>
      </c>
      <c r="G184" s="170">
        <f t="shared" si="933"/>
        <v>-0.2550846197307286</v>
      </c>
      <c r="H184" s="139"/>
      <c r="I184" s="86"/>
      <c r="J184" s="79">
        <f t="shared" si="930"/>
        <v>4.1159999999999997</v>
      </c>
    </row>
    <row r="185" spans="5:10" x14ac:dyDescent="0.25">
      <c r="E185" s="170">
        <f t="shared" si="933"/>
        <v>-0.9545534592140964</v>
      </c>
      <c r="F185" s="170">
        <f t="shared" si="933"/>
        <v>0.21519216475976644</v>
      </c>
      <c r="G185" s="170">
        <f t="shared" si="933"/>
        <v>-0.20620384508638087</v>
      </c>
      <c r="H185" s="139"/>
      <c r="I185" s="86"/>
      <c r="J185" s="79">
        <f t="shared" si="930"/>
        <v>4.1219999999999999</v>
      </c>
    </row>
    <row r="186" spans="5:10" x14ac:dyDescent="0.25">
      <c r="E186" s="170">
        <f t="shared" si="933"/>
        <v>-0.92076199373098799</v>
      </c>
      <c r="F186" s="170">
        <f t="shared" si="933"/>
        <v>0.3525413592298039</v>
      </c>
      <c r="G186" s="170">
        <f t="shared" si="933"/>
        <v>-0.16706867130895117</v>
      </c>
      <c r="H186" s="139"/>
      <c r="I186" s="86"/>
      <c r="J186" s="79">
        <f t="shared" si="930"/>
        <v>4.1280000000000001</v>
      </c>
    </row>
    <row r="187" spans="5:10" x14ac:dyDescent="0.25">
      <c r="E187" s="170">
        <f t="shared" si="933"/>
        <v>-0.86690277636580826</v>
      </c>
      <c r="F187" s="170">
        <f t="shared" si="933"/>
        <v>0.48932130513155636</v>
      </c>
      <c r="G187" s="170">
        <f t="shared" si="933"/>
        <v>-9.5101191757011164E-2</v>
      </c>
      <c r="H187" s="139"/>
      <c r="I187" s="86"/>
      <c r="J187" s="79">
        <f t="shared" si="930"/>
        <v>4.1340000000000003</v>
      </c>
    </row>
    <row r="188" spans="5:10" x14ac:dyDescent="0.25">
      <c r="E188" s="170">
        <f t="shared" si="933"/>
        <v>-0.81840108034880876</v>
      </c>
      <c r="F188" s="170">
        <f t="shared" si="933"/>
        <v>0.57461384842320851</v>
      </c>
      <c r="G188" s="170">
        <f t="shared" si="933"/>
        <v>6.2126390666611131E-3</v>
      </c>
      <c r="H188" s="139"/>
      <c r="I188" s="86"/>
      <c r="J188" s="79">
        <f t="shared" si="930"/>
        <v>4.1399999999999997</v>
      </c>
    </row>
    <row r="189" spans="5:10" x14ac:dyDescent="0.25">
      <c r="E189" s="170">
        <f t="shared" si="933"/>
        <v>-0.77496632597395509</v>
      </c>
      <c r="F189" s="170">
        <f t="shared" si="933"/>
        <v>0.63200252658230149</v>
      </c>
      <c r="G189" s="170">
        <f t="shared" si="933"/>
        <v>-1.3008419225342034E-7</v>
      </c>
      <c r="H189" s="139"/>
      <c r="I189" s="86"/>
      <c r="J189" s="79">
        <f t="shared" si="930"/>
        <v>4.1459999999999999</v>
      </c>
    </row>
    <row r="190" spans="5:10" x14ac:dyDescent="0.25">
      <c r="E190" s="170">
        <f t="shared" si="933"/>
        <v>0.31229529779036558</v>
      </c>
      <c r="F190" s="170">
        <f t="shared" si="933"/>
        <v>0.94998507723962455</v>
      </c>
      <c r="G190" s="170">
        <f t="shared" si="933"/>
        <v>-2.2679489668977356E-7</v>
      </c>
      <c r="H190" s="139"/>
      <c r="I190" s="86"/>
      <c r="J190" s="79">
        <f t="shared" si="930"/>
        <v>4.2460000000000004</v>
      </c>
    </row>
    <row r="191" spans="5:10" x14ac:dyDescent="0.25">
      <c r="E191" s="170">
        <f t="shared" si="933"/>
        <v>-0.54097536073219554</v>
      </c>
      <c r="F191" s="170">
        <f t="shared" si="933"/>
        <v>0.80302283619345616</v>
      </c>
      <c r="G191" s="170">
        <f t="shared" si="933"/>
        <v>-0.2499999672649757</v>
      </c>
      <c r="H191" s="139"/>
      <c r="I191" s="86"/>
      <c r="J191" s="79">
        <f t="shared" si="930"/>
        <v>5.1020000000000003</v>
      </c>
    </row>
    <row r="192" spans="5:10" x14ac:dyDescent="0.25">
      <c r="E192" s="170">
        <f t="shared" si="933"/>
        <v>-0.54097536073219543</v>
      </c>
      <c r="F192" s="170">
        <f t="shared" si="933"/>
        <v>0.80302283619345616</v>
      </c>
      <c r="G192" s="170">
        <f t="shared" si="933"/>
        <v>-0.24999996726497573</v>
      </c>
      <c r="H192" s="139"/>
      <c r="I192" s="86"/>
      <c r="J192" s="79">
        <f t="shared" si="930"/>
        <v>5.1050000000000004</v>
      </c>
    </row>
    <row r="193" spans="5:10" x14ac:dyDescent="0.25">
      <c r="E193" s="170">
        <f t="shared" si="933"/>
        <v>-0.54097536073219554</v>
      </c>
      <c r="F193" s="170">
        <f t="shared" si="933"/>
        <v>0.80302283619345605</v>
      </c>
      <c r="G193" s="170">
        <f t="shared" si="933"/>
        <v>-0.24999996726497567</v>
      </c>
      <c r="H193" s="139"/>
      <c r="I193" s="86"/>
      <c r="J193" s="79">
        <f t="shared" si="930"/>
        <v>5.1079999999999997</v>
      </c>
    </row>
    <row r="194" spans="5:10" x14ac:dyDescent="0.25">
      <c r="E194" s="170">
        <f t="shared" ref="E194:G213" si="934">E49*-1</f>
        <v>-0.49469344745024119</v>
      </c>
      <c r="F194" s="170">
        <f t="shared" si="934"/>
        <v>0.82974369262495895</v>
      </c>
      <c r="G194" s="170">
        <f t="shared" si="934"/>
        <v>-0.25846430623761785</v>
      </c>
      <c r="H194" s="139"/>
      <c r="I194" s="86"/>
      <c r="J194" s="79">
        <f t="shared" si="930"/>
        <v>5.1130000000000004</v>
      </c>
    </row>
    <row r="195" spans="5:10" x14ac:dyDescent="0.25">
      <c r="E195" s="170">
        <f t="shared" si="934"/>
        <v>-0.37906272657846823</v>
      </c>
      <c r="F195" s="170">
        <f t="shared" si="934"/>
        <v>0.89450390425938864</v>
      </c>
      <c r="G195" s="170">
        <f t="shared" si="934"/>
        <v>-0.23701100097592082</v>
      </c>
      <c r="H195" s="139"/>
      <c r="I195" s="86"/>
      <c r="J195" s="79">
        <f t="shared" si="930"/>
        <v>5.1189999999999998</v>
      </c>
    </row>
    <row r="196" spans="5:10" x14ac:dyDescent="0.25">
      <c r="E196" s="170">
        <f t="shared" si="934"/>
        <v>-0.26528477289272145</v>
      </c>
      <c r="F196" s="170">
        <f t="shared" si="934"/>
        <v>0.94731431802110189</v>
      </c>
      <c r="G196" s="170">
        <f t="shared" si="934"/>
        <v>-0.17949811181032513</v>
      </c>
      <c r="H196" s="139"/>
      <c r="I196" s="86"/>
      <c r="J196" s="79">
        <f t="shared" si="930"/>
        <v>5.125</v>
      </c>
    </row>
    <row r="197" spans="5:10" x14ac:dyDescent="0.25">
      <c r="E197" s="170">
        <f t="shared" si="934"/>
        <v>-0.11423014198575526</v>
      </c>
      <c r="F197" s="170">
        <f t="shared" si="934"/>
        <v>0.98374306488586216</v>
      </c>
      <c r="G197" s="170">
        <f t="shared" si="934"/>
        <v>-0.13856787849600916</v>
      </c>
      <c r="H197" s="139"/>
      <c r="I197" s="86"/>
      <c r="J197" s="79">
        <f t="shared" si="930"/>
        <v>5.1310000000000002</v>
      </c>
    </row>
    <row r="198" spans="5:10" x14ac:dyDescent="0.25">
      <c r="E198" s="170">
        <f t="shared" si="934"/>
        <v>1.7619319159674882E-2</v>
      </c>
      <c r="F198" s="170">
        <f t="shared" si="934"/>
        <v>0.9991122726021896</v>
      </c>
      <c r="G198" s="170">
        <f t="shared" si="934"/>
        <v>-3.8265210414129079E-2</v>
      </c>
      <c r="H198" s="139"/>
      <c r="I198" s="86"/>
      <c r="J198" s="79">
        <f t="shared" si="930"/>
        <v>5.1369999999999996</v>
      </c>
    </row>
    <row r="199" spans="5:10" x14ac:dyDescent="0.25">
      <c r="E199" s="170">
        <f t="shared" si="934"/>
        <v>5.3613535890641009E-2</v>
      </c>
      <c r="F199" s="170">
        <f t="shared" si="934"/>
        <v>0.99854243369279538</v>
      </c>
      <c r="G199" s="170">
        <f t="shared" si="934"/>
        <v>6.2126390666612241E-3</v>
      </c>
      <c r="H199" s="139"/>
      <c r="I199" s="86"/>
      <c r="J199" s="79">
        <f t="shared" si="930"/>
        <v>5.1429999999999998</v>
      </c>
    </row>
    <row r="200" spans="5:10" x14ac:dyDescent="0.25">
      <c r="E200" s="170">
        <f t="shared" si="934"/>
        <v>0.12529880916368755</v>
      </c>
      <c r="F200" s="170">
        <f t="shared" si="934"/>
        <v>0.99211904952084506</v>
      </c>
      <c r="G200" s="170">
        <f t="shared" si="934"/>
        <v>-1.3008419220781387E-7</v>
      </c>
      <c r="H200" s="139"/>
      <c r="I200" s="86"/>
      <c r="J200" s="79">
        <f t="shared" si="930"/>
        <v>5.149</v>
      </c>
    </row>
    <row r="201" spans="5:10" x14ac:dyDescent="0.25">
      <c r="E201" s="170">
        <f t="shared" si="934"/>
        <v>0.97112429568944325</v>
      </c>
      <c r="F201" s="170">
        <f t="shared" si="934"/>
        <v>0.23857410236995838</v>
      </c>
      <c r="G201" s="170">
        <f t="shared" si="934"/>
        <v>-2.2679489557229133E-7</v>
      </c>
      <c r="H201" s="139"/>
      <c r="I201" s="86"/>
      <c r="J201" s="79">
        <f t="shared" si="930"/>
        <v>5.2489999999999997</v>
      </c>
    </row>
    <row r="202" spans="5:10" x14ac:dyDescent="0.25">
      <c r="E202" s="170">
        <f t="shared" si="934"/>
        <v>0.51283936931326335</v>
      </c>
      <c r="F202" s="170">
        <f t="shared" si="934"/>
        <v>0.81854052493473162</v>
      </c>
      <c r="G202" s="170">
        <f t="shared" si="934"/>
        <v>-0.25881883687619889</v>
      </c>
      <c r="H202" s="139"/>
      <c r="I202" s="86"/>
      <c r="J202" s="79">
        <f t="shared" si="930"/>
        <v>6.1139999999999999</v>
      </c>
    </row>
    <row r="203" spans="5:10" x14ac:dyDescent="0.25">
      <c r="E203" s="170">
        <f t="shared" si="934"/>
        <v>0.6299443873487609</v>
      </c>
      <c r="F203" s="170">
        <f t="shared" si="934"/>
        <v>0.74241037601548132</v>
      </c>
      <c r="G203" s="170">
        <f t="shared" si="934"/>
        <v>-0.22802829305230052</v>
      </c>
      <c r="H203" s="139"/>
      <c r="I203" s="86"/>
      <c r="J203" s="79">
        <f t="shared" si="930"/>
        <v>6.12</v>
      </c>
    </row>
    <row r="204" spans="5:10" x14ac:dyDescent="0.25">
      <c r="E204" s="170">
        <f t="shared" si="934"/>
        <v>0.73013471830397747</v>
      </c>
      <c r="F204" s="170">
        <f t="shared" si="934"/>
        <v>0.6599302907473692</v>
      </c>
      <c r="G204" s="170">
        <f t="shared" si="934"/>
        <v>-0.1771872017987316</v>
      </c>
      <c r="H204" s="139"/>
      <c r="I204" s="86"/>
      <c r="J204" s="79">
        <f t="shared" si="930"/>
        <v>6.1260000000000003</v>
      </c>
    </row>
    <row r="205" spans="5:10" x14ac:dyDescent="0.25">
      <c r="E205" s="170">
        <f t="shared" si="934"/>
        <v>0.82994280208928162</v>
      </c>
      <c r="F205" s="170">
        <f t="shared" si="934"/>
        <v>0.54350788462431288</v>
      </c>
      <c r="G205" s="170">
        <f t="shared" si="934"/>
        <v>-0.12567467768566684</v>
      </c>
      <c r="H205" s="139"/>
      <c r="I205" s="86"/>
      <c r="J205" s="79">
        <f t="shared" si="930"/>
        <v>6.1319999999999997</v>
      </c>
    </row>
    <row r="206" spans="5:10" x14ac:dyDescent="0.25">
      <c r="E206" s="170">
        <f t="shared" si="934"/>
        <v>0.89922709146499913</v>
      </c>
      <c r="F206" s="170">
        <f t="shared" si="934"/>
        <v>0.43716455274867955</v>
      </c>
      <c r="G206" s="170">
        <f t="shared" si="934"/>
        <v>-1.6667087191384478E-2</v>
      </c>
      <c r="H206" s="139"/>
      <c r="I206" s="86"/>
      <c r="J206" s="79">
        <f t="shared" si="930"/>
        <v>6.1379999999999999</v>
      </c>
    </row>
    <row r="207" spans="5:10" x14ac:dyDescent="0.25">
      <c r="E207" s="170">
        <f t="shared" si="934"/>
        <v>0.93481329887146158</v>
      </c>
      <c r="F207" s="170">
        <f t="shared" si="934"/>
        <v>0.35513954476098364</v>
      </c>
      <c r="G207" s="170">
        <f t="shared" si="934"/>
        <v>-1.3008419243614031E-7</v>
      </c>
      <c r="H207" s="139"/>
      <c r="I207" s="86"/>
      <c r="J207" s="79">
        <f t="shared" si="930"/>
        <v>6.1440000000000001</v>
      </c>
    </row>
    <row r="208" spans="5:10" x14ac:dyDescent="0.25">
      <c r="E208" s="170">
        <f t="shared" si="934"/>
        <v>0.66656378662888716</v>
      </c>
      <c r="F208" s="170">
        <f t="shared" si="934"/>
        <v>-0.74544799842437581</v>
      </c>
      <c r="G208" s="170">
        <f t="shared" si="934"/>
        <v>-2.2679489657982053E-7</v>
      </c>
      <c r="H208" s="139"/>
      <c r="I208" s="86"/>
      <c r="J208" s="79">
        <f t="shared" si="930"/>
        <v>6.2439999999999998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4" t="str">
        <f>CONCATENATE(Settings!$C$19," ",Settings!$B$28)</f>
        <v>10.625  Job# --- Assy# --- Post Braze --- yy.mm.dd</v>
      </c>
      <c r="D1" s="994"/>
      <c r="E1" s="994"/>
      <c r="F1" s="994"/>
      <c r="G1" s="994"/>
      <c r="H1" s="994"/>
      <c r="I1" s="994"/>
      <c r="J1" s="994"/>
      <c r="K1" s="994"/>
      <c r="M1" s="107" t="s">
        <v>319</v>
      </c>
      <c r="N1" s="1311" t="s">
        <v>321</v>
      </c>
      <c r="O1" s="131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7" t="str">
        <f>Settings!B28</f>
        <v xml:space="preserve"> Job# --- Assy# --- Post Braze --- yy.mm.dd</v>
      </c>
      <c r="C2" s="1308"/>
      <c r="D2" s="1308"/>
      <c r="E2" s="1308"/>
      <c r="F2" s="1308"/>
      <c r="G2" s="1308"/>
      <c r="H2" s="1308"/>
      <c r="I2" s="1308"/>
      <c r="J2" s="1308"/>
      <c r="K2" s="1309"/>
      <c r="L2" s="993" t="str" cm="1">
        <f t="array" ref="L2">IF(OR($K$9:$K$150="Undefined"),"Undefined Element","")</f>
        <v/>
      </c>
      <c r="M2" s="1304" t="s">
        <v>0</v>
      </c>
      <c r="N2" s="1054" t="s">
        <v>1</v>
      </c>
      <c r="O2" s="1055"/>
      <c r="P2" s="1055"/>
      <c r="Q2" s="1055"/>
      <c r="R2" s="1055"/>
      <c r="S2" s="1055"/>
      <c r="T2" s="1055"/>
      <c r="U2" s="1055"/>
      <c r="V2" s="1055"/>
      <c r="W2" s="1055"/>
      <c r="X2" s="1055"/>
      <c r="Y2" s="1056"/>
      <c r="Z2" s="1054" t="s">
        <v>2</v>
      </c>
      <c r="AA2" s="1055"/>
      <c r="AB2" s="1055"/>
      <c r="AC2" s="1055"/>
      <c r="AD2" s="1055"/>
      <c r="AE2" s="1055"/>
      <c r="AF2" s="1055"/>
      <c r="AG2" s="1055"/>
      <c r="AH2" s="1055"/>
      <c r="AI2" s="1055"/>
      <c r="AJ2" s="1055"/>
      <c r="AK2" s="1055"/>
      <c r="AL2" s="1055"/>
      <c r="AM2" s="1055"/>
      <c r="AN2" s="1055"/>
      <c r="AO2" s="1055"/>
      <c r="AP2" s="1055"/>
      <c r="AQ2" s="1080"/>
      <c r="AS2" s="1062" t="s">
        <v>44</v>
      </c>
      <c r="AT2" s="1063"/>
      <c r="AV2" s="1301" t="str">
        <f>M2</f>
        <v>CS-Name</v>
      </c>
      <c r="AW2" s="1280"/>
      <c r="AX2" s="1280"/>
      <c r="AY2" s="1280"/>
      <c r="AZ2" s="1280"/>
      <c r="BA2" s="1280"/>
      <c r="BB2" s="1280"/>
      <c r="BC2" s="1281"/>
      <c r="BF2" s="1273" t="s">
        <v>322</v>
      </c>
      <c r="BG2" s="1274"/>
      <c r="BH2" s="1274"/>
      <c r="BI2" s="1274"/>
      <c r="BJ2" s="1274"/>
      <c r="BK2" s="1275"/>
      <c r="BM2" s="1263" t="s">
        <v>279</v>
      </c>
      <c r="BN2" s="985"/>
      <c r="BO2" s="985"/>
      <c r="BP2" s="986"/>
      <c r="BR2" s="1263" t="s">
        <v>279</v>
      </c>
      <c r="BS2" s="985"/>
      <c r="BT2" s="985"/>
      <c r="BU2" s="986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000"/>
      <c r="C3" s="1001"/>
      <c r="D3" s="1001"/>
      <c r="E3" s="1001"/>
      <c r="F3" s="1001"/>
      <c r="G3" s="1001"/>
      <c r="H3" s="1001"/>
      <c r="I3" s="1001"/>
      <c r="J3" s="1001"/>
      <c r="K3" s="1002"/>
      <c r="L3" s="993"/>
      <c r="M3" s="1305"/>
      <c r="N3" s="1057"/>
      <c r="O3" s="1058"/>
      <c r="P3" s="1058"/>
      <c r="Q3" s="1058"/>
      <c r="R3" s="1058"/>
      <c r="S3" s="1058"/>
      <c r="T3" s="1058"/>
      <c r="U3" s="1058"/>
      <c r="V3" s="1058"/>
      <c r="W3" s="1058"/>
      <c r="X3" s="1058"/>
      <c r="Y3" s="1059"/>
      <c r="Z3" s="1102"/>
      <c r="AA3" s="1088"/>
      <c r="AB3" s="1088"/>
      <c r="AC3" s="1088"/>
      <c r="AD3" s="1088"/>
      <c r="AE3" s="1088"/>
      <c r="AF3" s="1088"/>
      <c r="AG3" s="1088"/>
      <c r="AH3" s="1088"/>
      <c r="AI3" s="1088"/>
      <c r="AJ3" s="1088"/>
      <c r="AK3" s="1088"/>
      <c r="AL3" s="1088"/>
      <c r="AM3" s="1088"/>
      <c r="AN3" s="1088"/>
      <c r="AO3" s="1088"/>
      <c r="AP3" s="1088"/>
      <c r="AQ3" s="1103"/>
      <c r="AS3" s="466">
        <v>100</v>
      </c>
      <c r="AT3" s="463" t="s">
        <v>45</v>
      </c>
      <c r="AV3" s="1302"/>
      <c r="AW3" s="1282"/>
      <c r="AX3" s="1282"/>
      <c r="AY3" s="1282"/>
      <c r="AZ3" s="1282"/>
      <c r="BA3" s="1282"/>
      <c r="BB3" s="1282"/>
      <c r="BC3" s="1283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101" t="s">
        <v>316</v>
      </c>
      <c r="C4" s="875"/>
      <c r="D4" s="875"/>
      <c r="E4" s="875"/>
      <c r="F4" s="875"/>
      <c r="G4" s="875"/>
      <c r="H4" s="875"/>
      <c r="I4" s="875"/>
      <c r="J4" s="875"/>
      <c r="K4" s="1310"/>
      <c r="L4" s="993"/>
      <c r="M4" s="1305"/>
      <c r="N4" s="1021" t="s">
        <v>3</v>
      </c>
      <c r="O4" s="1016"/>
      <c r="P4" s="1016"/>
      <c r="Q4" s="1015" t="s">
        <v>4</v>
      </c>
      <c r="R4" s="1016"/>
      <c r="S4" s="1037"/>
      <c r="T4" s="1031" t="str">
        <f>N4</f>
        <v>Cartesian Coordinates</v>
      </c>
      <c r="U4" s="998"/>
      <c r="V4" s="1032"/>
      <c r="W4" s="998" t="str">
        <f>Q4</f>
        <v>Polar XY; Cartesian Z</v>
      </c>
      <c r="X4" s="998"/>
      <c r="Y4" s="999"/>
      <c r="Z4" s="1312" t="s">
        <v>3</v>
      </c>
      <c r="AA4" s="1287"/>
      <c r="AB4" s="1287"/>
      <c r="AC4" s="1287"/>
      <c r="AD4" s="1287"/>
      <c r="AE4" s="1287"/>
      <c r="AF4" s="1287"/>
      <c r="AG4" s="1286" t="s">
        <v>31</v>
      </c>
      <c r="AH4" s="1287"/>
      <c r="AI4" s="1287"/>
      <c r="AJ4" s="1288"/>
      <c r="AK4" s="1266" t="s">
        <v>32</v>
      </c>
      <c r="AL4" s="1267"/>
      <c r="AM4" s="1267"/>
      <c r="AN4" s="1267"/>
      <c r="AO4" s="1267"/>
      <c r="AP4" s="1267"/>
      <c r="AQ4" s="1268"/>
      <c r="AS4" s="467">
        <v>125</v>
      </c>
      <c r="AT4" s="464" t="s">
        <v>46</v>
      </c>
      <c r="AV4" s="1302"/>
      <c r="AW4" s="1284"/>
      <c r="AX4" s="1284"/>
      <c r="AY4" s="1284"/>
      <c r="AZ4" s="1285"/>
      <c r="BA4" s="1284" t="str">
        <f>Z2</f>
        <v>PDC Orientation</v>
      </c>
      <c r="BB4" s="1284"/>
      <c r="BC4" s="1285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000" t="str">
        <f>CONCATENATE(B7," ; ",E7," ; ",H8)</f>
        <v>Absolute-Point ; Incremental-Vector Point ; Radius</v>
      </c>
      <c r="C5" s="1001"/>
      <c r="D5" s="1001"/>
      <c r="E5" s="1001"/>
      <c r="F5" s="1001"/>
      <c r="G5" s="1001"/>
      <c r="H5" s="1001"/>
      <c r="I5" s="1001"/>
      <c r="J5" s="1001"/>
      <c r="K5" s="1002"/>
      <c r="L5" s="843"/>
      <c r="M5" s="1305"/>
      <c r="N5" s="1042" t="s">
        <v>5</v>
      </c>
      <c r="O5" s="980"/>
      <c r="P5" s="980"/>
      <c r="Q5" s="979" t="s">
        <v>6</v>
      </c>
      <c r="R5" s="980"/>
      <c r="S5" s="981"/>
      <c r="T5" s="1047" t="str">
        <f>CONCATENATE("Relative to ",M8,"'s θ &amp; Z; Z Axis")</f>
        <v>Relative to 's θ &amp; Z; Z Axis</v>
      </c>
      <c r="U5" s="1023"/>
      <c r="V5" s="1074"/>
      <c r="W5" s="1023" t="str">
        <f>CONCATENATE("Relative to ",M8,"'s θ &amp; Z; Z Axis")</f>
        <v>Relative to 's θ &amp; Z; Z Axis</v>
      </c>
      <c r="X5" s="1023"/>
      <c r="Y5" s="1033"/>
      <c r="Z5" s="1022" t="str">
        <f>N5</f>
        <v>Relative to World_CS</v>
      </c>
      <c r="AA5" s="1023"/>
      <c r="AB5" s="1023"/>
      <c r="AC5" s="1023"/>
      <c r="AD5" s="1023"/>
      <c r="AE5" s="1023"/>
      <c r="AF5" s="1023"/>
      <c r="AG5" s="1047" t="str">
        <f>N5</f>
        <v>Relative to World_CS</v>
      </c>
      <c r="AH5" s="1023"/>
      <c r="AI5" s="1023"/>
      <c r="AJ5" s="1048"/>
      <c r="AK5" s="1085" t="s">
        <v>7</v>
      </c>
      <c r="AL5" s="980"/>
      <c r="AM5" s="980"/>
      <c r="AN5" s="980"/>
      <c r="AO5" s="980"/>
      <c r="AP5" s="980"/>
      <c r="AQ5" s="981"/>
      <c r="AS5" s="171">
        <f>(((AS4*12)/60)/AS3)</f>
        <v>0.25</v>
      </c>
      <c r="AT5" s="464" t="s">
        <v>47</v>
      </c>
      <c r="AV5" s="1302"/>
      <c r="AW5" s="1031" t="str">
        <f>W4</f>
        <v>Polar XY; Cartesian Z</v>
      </c>
      <c r="AX5" s="998"/>
      <c r="AY5" s="998"/>
      <c r="AZ5" s="1239" t="s">
        <v>104</v>
      </c>
      <c r="BA5" s="998" t="str">
        <f>AK4</f>
        <v>Polar Z Projection → XZ Plane</v>
      </c>
      <c r="BB5" s="998"/>
      <c r="BC5" s="110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3"/>
      <c r="C6" s="1004"/>
      <c r="D6" s="1004"/>
      <c r="E6" s="1004"/>
      <c r="F6" s="1004"/>
      <c r="G6" s="1004"/>
      <c r="H6" s="1004"/>
      <c r="I6" s="1004"/>
      <c r="J6" s="1004"/>
      <c r="K6" s="1005"/>
      <c r="L6" s="993" t="str" cm="1">
        <f t="array" ref="L6">IF(OR($K$9:$K$150="Inactive"),"Inactive Element","")</f>
        <v/>
      </c>
      <c r="M6" s="1305"/>
      <c r="N6" s="1038" t="s">
        <v>8</v>
      </c>
      <c r="O6" s="1040" t="s">
        <v>9</v>
      </c>
      <c r="P6" s="977" t="s">
        <v>10</v>
      </c>
      <c r="Q6" s="1043" t="s">
        <v>11</v>
      </c>
      <c r="R6" s="1044"/>
      <c r="S6" s="1034" t="s">
        <v>10</v>
      </c>
      <c r="T6" s="1070" t="str">
        <f>N6</f>
        <v>X</v>
      </c>
      <c r="U6" s="1072" t="str">
        <f>O6</f>
        <v>Y</v>
      </c>
      <c r="V6" s="1029" t="str">
        <f>P6</f>
        <v>Z</v>
      </c>
      <c r="W6" s="1019" t="str">
        <f>Q6</f>
        <v>Projected XY</v>
      </c>
      <c r="X6" s="1020"/>
      <c r="Y6" s="1068" t="str">
        <f>S6</f>
        <v>Z</v>
      </c>
      <c r="Z6" s="1050" t="s">
        <v>12</v>
      </c>
      <c r="AA6" s="1010"/>
      <c r="AB6" s="1010"/>
      <c r="AC6" s="1051"/>
      <c r="AD6" s="1015" t="s">
        <v>13</v>
      </c>
      <c r="AE6" s="1016"/>
      <c r="AF6" s="1016"/>
      <c r="AG6" s="1049" t="s">
        <v>7</v>
      </c>
      <c r="AH6" s="1016"/>
      <c r="AI6" s="1015" t="s">
        <v>14</v>
      </c>
      <c r="AJ6" s="1037"/>
      <c r="AK6" s="1031" t="str">
        <f>AD6</f>
        <v>Unit Vector</v>
      </c>
      <c r="AL6" s="998"/>
      <c r="AM6" s="1107"/>
      <c r="AN6" s="34" t="s">
        <v>15</v>
      </c>
      <c r="AO6" s="35" t="s">
        <v>16</v>
      </c>
      <c r="AP6" s="737" t="s">
        <v>17</v>
      </c>
      <c r="AQ6" s="1313" t="s">
        <v>108</v>
      </c>
      <c r="AS6" s="172">
        <f>(AS5/360)</f>
        <v>6.9444444444444447E-4</v>
      </c>
      <c r="AT6" s="465" t="s">
        <v>48</v>
      </c>
      <c r="AV6" s="1302"/>
      <c r="AW6" s="1047" t="str">
        <f>W5</f>
        <v>Relative to 's θ &amp; Z; Z Axis</v>
      </c>
      <c r="AX6" s="1023"/>
      <c r="AY6" s="1023"/>
      <c r="AZ6" s="1298"/>
      <c r="BA6" s="1023" t="str">
        <f>AK5</f>
        <v>Vector Along X Axis</v>
      </c>
      <c r="BB6" s="1023"/>
      <c r="BC6" s="1048"/>
      <c r="BD6" s="468"/>
      <c r="BF6" s="461">
        <f>SUM(AZ9:AZ150)</f>
        <v>0</v>
      </c>
      <c r="BG6" s="1291" t="s">
        <v>318</v>
      </c>
      <c r="BH6" s="1291"/>
      <c r="BI6" s="1291"/>
      <c r="BJ6" s="1291"/>
      <c r="BK6" s="129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4" t="s">
        <v>40</v>
      </c>
      <c r="C7" s="1025"/>
      <c r="D7" s="1026"/>
      <c r="E7" s="1027" t="s">
        <v>41</v>
      </c>
      <c r="F7" s="1025"/>
      <c r="G7" s="1028"/>
      <c r="H7" s="898" t="s">
        <v>314</v>
      </c>
      <c r="I7" s="918"/>
      <c r="J7" s="899"/>
      <c r="K7" s="539"/>
      <c r="L7" s="993"/>
      <c r="M7" s="1306"/>
      <c r="N7" s="1039"/>
      <c r="O7" s="1041"/>
      <c r="P7" s="978"/>
      <c r="Q7" s="36" t="s">
        <v>18</v>
      </c>
      <c r="R7" s="2" t="s">
        <v>19</v>
      </c>
      <c r="S7" s="1035"/>
      <c r="T7" s="1071"/>
      <c r="U7" s="1073"/>
      <c r="V7" s="1030"/>
      <c r="W7" s="37" t="str">
        <f>Q7</f>
        <v>&lt; θ°</v>
      </c>
      <c r="X7" s="27" t="str">
        <f>R7</f>
        <v>r</v>
      </c>
      <c r="Y7" s="1069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4"/>
      <c r="AS7" s="1289" t="s">
        <v>54</v>
      </c>
      <c r="AT7" s="1264" t="s">
        <v>53</v>
      </c>
      <c r="AV7" s="1302"/>
      <c r="AW7" s="1297" t="str">
        <f>$W$6</f>
        <v>Projected XY</v>
      </c>
      <c r="AX7" s="1020"/>
      <c r="AY7" s="1299" t="str">
        <f>$Y$6</f>
        <v>Z</v>
      </c>
      <c r="AZ7" s="1298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91"/>
      <c r="BH7" s="1291"/>
      <c r="BI7" s="1291"/>
      <c r="BJ7" s="1291"/>
      <c r="BK7" s="129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4" t="s">
        <v>33</v>
      </c>
      <c r="IH7" s="1231" t="s">
        <v>385</v>
      </c>
      <c r="II7" s="920" t="s">
        <v>333</v>
      </c>
      <c r="IJ7" s="921"/>
      <c r="IK7" s="921"/>
      <c r="IL7" s="918"/>
      <c r="IM7" s="918"/>
      <c r="IN7" s="918"/>
      <c r="IO7" s="899"/>
      <c r="IP7" s="898" t="s">
        <v>329</v>
      </c>
      <c r="IQ7" s="918"/>
      <c r="IR7" s="918"/>
      <c r="IS7" s="918"/>
      <c r="IT7" s="918"/>
      <c r="IU7" s="898" t="s">
        <v>328</v>
      </c>
      <c r="IV7" s="918"/>
      <c r="IW7" s="918"/>
      <c r="IX7" s="918"/>
      <c r="IY7" s="899"/>
      <c r="JA7" s="784"/>
      <c r="JB7" s="1262" t="s">
        <v>364</v>
      </c>
      <c r="JC7" s="982"/>
      <c r="JD7" s="982"/>
      <c r="JE7" s="983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90"/>
      <c r="AT8" s="1265"/>
      <c r="AV8" s="1303"/>
      <c r="AW8" s="46" t="str">
        <f>$W$7</f>
        <v>&lt; θ°</v>
      </c>
      <c r="AX8" s="27" t="str">
        <f>$X$7</f>
        <v>r</v>
      </c>
      <c r="AY8" s="1300"/>
      <c r="AZ8" s="1240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3"/>
      <c r="IH8" s="1232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4" t="s">
        <v>365</v>
      </c>
      <c r="JC19" s="985"/>
      <c r="JD19" s="985"/>
      <c r="JE19" s="985"/>
      <c r="JF19" s="985"/>
      <c r="JG19" s="985"/>
      <c r="JH19" s="985"/>
      <c r="JI19" s="986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7" t="s">
        <v>369</v>
      </c>
      <c r="JC20" s="988"/>
      <c r="JD20" s="988"/>
      <c r="JE20" s="988"/>
      <c r="JF20" s="1234" t="s">
        <v>370</v>
      </c>
      <c r="JG20" s="1235"/>
      <c r="JH20" s="1235"/>
      <c r="JI20" s="1236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9"/>
      <c r="JC21" s="990"/>
      <c r="JD21" s="990"/>
      <c r="JE21" s="990"/>
      <c r="JF21" s="1237" t="s">
        <v>358</v>
      </c>
      <c r="JG21" s="1238"/>
      <c r="JH21" s="991" t="s">
        <v>371</v>
      </c>
      <c r="JI21" s="992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5" t="str">
        <f>$W$6</f>
        <v>Projected XY</v>
      </c>
      <c r="AX152" s="1296"/>
      <c r="AY152" s="1278" t="str">
        <f>$Y$6</f>
        <v>Z</v>
      </c>
      <c r="AZ152" s="1276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9"/>
      <c r="AZ153" s="1277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6" t="s">
        <v>42</v>
      </c>
      <c r="C157" s="1007"/>
      <c r="D157" s="1007"/>
      <c r="E157" s="1007"/>
      <c r="F157" s="1007"/>
      <c r="G157" s="1007"/>
      <c r="H157" s="1007"/>
      <c r="I157" s="1007"/>
      <c r="J157" s="1007"/>
      <c r="K157" s="1008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9"/>
      <c r="C158" s="1010"/>
      <c r="D158" s="1010"/>
      <c r="E158" s="1010"/>
      <c r="F158" s="1010"/>
      <c r="G158" s="1010"/>
      <c r="H158" s="1010"/>
      <c r="I158" s="1010"/>
      <c r="J158" s="1010"/>
      <c r="K158" s="1011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2"/>
      <c r="C159" s="1013"/>
      <c r="D159" s="1013"/>
      <c r="E159" s="1013"/>
      <c r="F159" s="1013"/>
      <c r="G159" s="1013"/>
      <c r="H159" s="1013"/>
      <c r="I159" s="1013"/>
      <c r="J159" s="1013"/>
      <c r="K159" s="1014"/>
      <c r="AQ159" s="166"/>
      <c r="BD159" s="468"/>
    </row>
    <row r="160" spans="1:259" ht="15" customHeight="1" x14ac:dyDescent="0.25">
      <c r="B160" s="1000" t="str">
        <f>CONCATENATE(B162," ; ",E162," ; ",H163)</f>
        <v>Absolute-Point ; Incremental-Vector Point ; Radius</v>
      </c>
      <c r="C160" s="1001"/>
      <c r="D160" s="1001"/>
      <c r="E160" s="1001"/>
      <c r="F160" s="1001"/>
      <c r="G160" s="1001"/>
      <c r="H160" s="1001"/>
      <c r="I160" s="1001"/>
      <c r="J160" s="1001"/>
      <c r="K160" s="1002"/>
      <c r="AQ160" s="166"/>
      <c r="BD160" s="468"/>
    </row>
    <row r="161" spans="2:56" ht="15" customHeight="1" x14ac:dyDescent="0.25">
      <c r="B161" s="1003"/>
      <c r="C161" s="1004"/>
      <c r="D161" s="1004"/>
      <c r="E161" s="1004"/>
      <c r="F161" s="1004"/>
      <c r="G161" s="1004"/>
      <c r="H161" s="1004"/>
      <c r="I161" s="1004"/>
      <c r="J161" s="1004"/>
      <c r="K161" s="1005"/>
      <c r="AQ161" s="166"/>
      <c r="BD161" s="468"/>
    </row>
    <row r="162" spans="2:56" ht="15" customHeight="1" x14ac:dyDescent="0.25">
      <c r="B162" s="1024" t="s">
        <v>40</v>
      </c>
      <c r="C162" s="1025"/>
      <c r="D162" s="1026"/>
      <c r="E162" s="1027" t="s">
        <v>41</v>
      </c>
      <c r="F162" s="1025"/>
      <c r="G162" s="1028"/>
      <c r="H162" s="898" t="s">
        <v>314</v>
      </c>
      <c r="I162" s="918"/>
      <c r="J162" s="899"/>
      <c r="K162" s="539"/>
      <c r="M162" s="1193" t="s">
        <v>313</v>
      </c>
      <c r="N162" s="1292"/>
      <c r="O162" s="1269" t="s">
        <v>292</v>
      </c>
      <c r="P162" s="1270"/>
      <c r="Q162" s="1271"/>
      <c r="R162" s="1272" t="s">
        <v>41</v>
      </c>
      <c r="S162" s="1270"/>
      <c r="T162" s="1271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3"/>
      <c r="N163" s="1294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1.117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1.123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1.135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1.141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1.147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1.2470000000000001</v>
      </c>
      <c r="N174" s="869" t="str">
        <f>Assy.Model!K19</f>
        <v>CPS-32193r1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2.1120000000000001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2.1179999999999999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2.1240000000000001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2.13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2.1360000000000001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2.1419999999999999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2.1480000000000001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2.2480000000000002</v>
      </c>
      <c r="N182" s="869" t="str">
        <f>Assy.Model!K27</f>
        <v>CPS-32193r1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3.1030000000000002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3.1059999999999999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3.109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3.1150000000000002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3.121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3.1269999999999998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3.133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3.1389999999999998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3.145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3.2450000000000001</v>
      </c>
      <c r="N192" s="869" t="str">
        <f>Assy.Model!K37</f>
        <v>CPS-32193r1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4.1100000000000003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4.1159999999999997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4.1219999999999999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4.1280000000000001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4.1340000000000003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4.1399999999999997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4.1459999999999999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4.2460000000000004</v>
      </c>
      <c r="N200" s="869" t="str">
        <f>Assy.Model!K45</f>
        <v>CPS-32193r1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5.1020000000000003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5.1050000000000004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5.1079999999999997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5.1130000000000004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5.1189999999999998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5.125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5.1310000000000002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5.1369999999999996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5.1429999999999998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5.149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5.2489999999999997</v>
      </c>
      <c r="N211" s="869" t="str">
        <f>Assy.Model!K56</f>
        <v>CPS-32193r1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6.1139999999999999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6.12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6.1260000000000003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6.1319999999999997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6.1379999999999999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6.1440000000000001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6.2439999999999998</v>
      </c>
      <c r="N218" s="869" t="str">
        <f>Assy.Model!K63</f>
        <v>CPS-32193r1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2023-03-30T18:17:52Z</dcterms:modified>
</cp:coreProperties>
</file>