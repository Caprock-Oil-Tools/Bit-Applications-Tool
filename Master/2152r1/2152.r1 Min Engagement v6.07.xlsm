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52\"/>
    </mc:Choice>
  </mc:AlternateContent>
  <xr:revisionPtr revIDLastSave="0" documentId="13_ncr:1_{200CB5F3-8F1E-4531-9BBC-A68EEE69CE0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AJ32" i="4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JA9" i="1" s="1"/>
  <c r="IK21" i="1"/>
  <c r="IJ21" i="1"/>
  <c r="IK59" i="1"/>
  <c r="IJ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U68" i="1"/>
  <c r="IE68" i="1" s="1"/>
  <c r="IV68" i="1"/>
  <c r="IL68" i="1"/>
  <c r="IX68" i="1"/>
  <c r="IQ68" i="1"/>
  <c r="IY68" i="1"/>
  <c r="IP68" i="1"/>
  <c r="IT68" i="1"/>
  <c r="IK68" i="1"/>
  <c r="IN68" i="1"/>
  <c r="IR68" i="1"/>
  <c r="IW68" i="1"/>
  <c r="IS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R15" i="1"/>
  <c r="IQ15" i="1"/>
  <c r="IP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S83" i="1"/>
  <c r="IX83" i="1"/>
  <c r="IR83" i="1"/>
  <c r="IL83" i="1"/>
  <c r="IK83" i="1"/>
  <c r="IT83" i="1"/>
  <c r="IW83" i="1"/>
  <c r="IU83" i="1"/>
  <c r="IE83" i="1" s="1"/>
  <c r="IY83" i="1"/>
  <c r="IV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T20" i="1"/>
  <c r="IQ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S31" i="1"/>
  <c r="IX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B10" i="1" l="1" a="1"/>
  <c r="JB10" i="1" s="1"/>
  <c r="JA23" i="1" a="1"/>
  <c r="JA23" i="1" s="1"/>
  <c r="IF85" i="1"/>
  <c r="IF129" i="1"/>
  <c r="IF74" i="1"/>
  <c r="IF73" i="1"/>
  <c r="IF49" i="1"/>
  <c r="IF138" i="1"/>
  <c r="IF10" i="1"/>
  <c r="IF150" i="1"/>
  <c r="IF48" i="1"/>
  <c r="IF148" i="1"/>
  <c r="IF127" i="1"/>
  <c r="IF128" i="1"/>
  <c r="IF6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31" i="1"/>
  <c r="IF145" i="1"/>
  <c r="IF37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2" i="1"/>
  <c r="IF84" i="1"/>
  <c r="IF12" i="1"/>
  <c r="IF50" i="1"/>
  <c r="IF71" i="1"/>
  <c r="IF56" i="1"/>
  <c r="IF83" i="1"/>
  <c r="IF133" i="1"/>
  <c r="IF149" i="1"/>
  <c r="IF87" i="1"/>
  <c r="IF104" i="1"/>
  <c r="IF130" i="1"/>
  <c r="IF90" i="1"/>
  <c r="IF132" i="1"/>
  <c r="IF119" i="1"/>
  <c r="IF32" i="1"/>
  <c r="IF110" i="1"/>
  <c r="IF2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19" i="1" l="1"/>
  <c r="IV15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10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B30" i="1" l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AQ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AQ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19" i="1" l="1"/>
  <c r="IU15" i="1"/>
  <c r="IE15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H22" i="1" l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IL45" i="1" s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IL15" i="1" s="1"/>
  <c r="W13" i="1"/>
  <c r="IL16" i="1" s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21" i="1" l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T75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S64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IY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IT76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T64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T54" i="1" s="1"/>
  <c r="U50" i="1"/>
  <c r="T50" i="1"/>
  <c r="T49" i="1"/>
  <c r="AK49" i="1"/>
  <c r="AO49" i="1" s="1"/>
  <c r="AK48" i="1"/>
  <c r="U48" i="1"/>
  <c r="AL48" i="1"/>
  <c r="AN48" i="1" s="1"/>
  <c r="IT52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IT15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35" i="1" l="1"/>
  <c r="IT19" i="1"/>
  <c r="IY15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3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AO81" i="1"/>
  <c r="IX81" i="1" s="1"/>
  <c r="IF81" i="1" s="1"/>
  <c r="AP81" i="1"/>
  <c r="AO82" i="1"/>
  <c r="AP82" i="1"/>
  <c r="AO79" i="1"/>
  <c r="AP79" i="1"/>
  <c r="AP80" i="1"/>
  <c r="AO80" i="1"/>
  <c r="AO77" i="1"/>
  <c r="IX77" i="1" s="1"/>
  <c r="IF77" i="1" s="1"/>
  <c r="AP77" i="1"/>
  <c r="AP78" i="1"/>
  <c r="AO78" i="1"/>
  <c r="IX78" i="1" s="1"/>
  <c r="IF78" i="1" s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AP71" i="1"/>
  <c r="AO72" i="1"/>
  <c r="IS78" i="1" s="1"/>
  <c r="AP72" i="1"/>
  <c r="AO69" i="1"/>
  <c r="IS75" i="1" s="1"/>
  <c r="AP69" i="1"/>
  <c r="AP70" i="1"/>
  <c r="AO70" i="1"/>
  <c r="IS76" i="1" s="1"/>
  <c r="AO67" i="1"/>
  <c r="AP67" i="1"/>
  <c r="AO68" i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IS15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35" i="1" l="1"/>
  <c r="IS19" i="1"/>
  <c r="IX15" i="1"/>
  <c r="IF15" i="1" s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<sst xmlns="http://schemas.openxmlformats.org/spreadsheetml/2006/main" count="734" uniqueCount="391">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</sst>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3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2" t="s">
        <v>77</v>
      </c>
      <c r="D1" s="872"/>
      <c r="E1" s="872"/>
      <c r="F1" s="872"/>
      <c r="G1" s="872"/>
      <c r="H1" s="872"/>
      <c r="I1" s="872"/>
      <c r="J1" s="872"/>
      <c r="K1" s="87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7" t="s">
        <v>80</v>
      </c>
      <c r="B6" s="897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4" t="s">
        <v>379</v>
      </c>
      <c r="AQ7" s="894"/>
      <c r="AR7" s="894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7">
        <v>9</v>
      </c>
      <c r="D9" s="891"/>
      <c r="E9" s="891"/>
      <c r="F9" s="891"/>
      <c r="G9" s="891"/>
      <c r="H9" s="891"/>
      <c r="I9" s="891"/>
      <c r="J9" s="891"/>
      <c r="K9" s="888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09"/>
      <c r="C10" s="910"/>
      <c r="D10" s="910"/>
      <c r="E10" s="910"/>
      <c r="F10" s="910"/>
      <c r="G10" s="910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5"/>
      <c r="B11" s="898" t="s">
        <v>33</v>
      </c>
      <c r="C11" s="903" t="s">
        <v>34</v>
      </c>
      <c r="D11" s="903"/>
      <c r="E11" s="902" t="s">
        <v>39</v>
      </c>
      <c r="F11" s="898" t="s">
        <v>35</v>
      </c>
      <c r="G11" s="898" t="s">
        <v>36</v>
      </c>
      <c r="H11" s="898" t="s">
        <v>43</v>
      </c>
      <c r="I11" s="889" t="s">
        <v>67</v>
      </c>
      <c r="J11" s="903" t="s">
        <v>56</v>
      </c>
      <c r="K11" s="903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2" t="s">
        <v>347</v>
      </c>
      <c r="AN11" s="891"/>
      <c r="AO11" s="891"/>
      <c r="AP11" s="891"/>
      <c r="AQ11" s="891"/>
      <c r="AR11" s="913"/>
      <c r="AS11" s="920" t="s">
        <v>354</v>
      </c>
      <c r="AT11" s="921"/>
      <c r="AU11" s="921"/>
      <c r="AV11" s="922"/>
      <c r="BC11" s="470"/>
    </row>
    <row r="12" spans="1:55" ht="15.75" thickBot="1" x14ac:dyDescent="0.3">
      <c r="A12" s="904"/>
      <c r="B12" s="899"/>
      <c r="C12" s="48" t="s">
        <v>8</v>
      </c>
      <c r="D12" s="49" t="s">
        <v>10</v>
      </c>
      <c r="E12" s="899"/>
      <c r="F12" s="899"/>
      <c r="G12" s="899"/>
      <c r="H12" s="899"/>
      <c r="I12" s="890"/>
      <c r="J12" s="53" t="s">
        <v>8</v>
      </c>
      <c r="K12" s="54" t="s">
        <v>10</v>
      </c>
      <c r="M12" s="31"/>
      <c r="N12" s="31"/>
      <c r="O12" s="881" t="s">
        <v>46</v>
      </c>
      <c r="P12" s="882"/>
      <c r="Q12" s="900" t="s">
        <v>45</v>
      </c>
      <c r="R12" s="901"/>
      <c r="S12" s="901"/>
      <c r="T12" s="901"/>
      <c r="U12" s="901"/>
      <c r="V12" s="901"/>
      <c r="W12" s="901"/>
      <c r="X12" s="901"/>
      <c r="Y12" s="901"/>
      <c r="Z12" s="901"/>
      <c r="AA12" s="901"/>
      <c r="AB12" s="901"/>
      <c r="AC12" s="901"/>
      <c r="AD12" s="901"/>
      <c r="AE12" s="887"/>
      <c r="AF12" s="875" t="s">
        <v>56</v>
      </c>
      <c r="AG12" s="876"/>
      <c r="AH12" s="31"/>
      <c r="AK12" s="895" t="s">
        <v>355</v>
      </c>
      <c r="AL12" s="911"/>
      <c r="AM12" s="914" t="s">
        <v>352</v>
      </c>
      <c r="AN12" s="915"/>
      <c r="AO12" s="896"/>
      <c r="AP12" s="895" t="s">
        <v>380</v>
      </c>
      <c r="AQ12" s="896"/>
      <c r="AR12" s="802" t="s">
        <v>378</v>
      </c>
      <c r="AS12" s="917" t="s">
        <v>352</v>
      </c>
      <c r="AT12" s="896"/>
      <c r="AU12" s="918" t="s">
        <v>353</v>
      </c>
      <c r="AV12" s="919"/>
      <c r="AW12" s="923" t="s">
        <v>351</v>
      </c>
      <c r="AX12" s="924"/>
      <c r="AZ12" s="895" t="s">
        <v>60</v>
      </c>
      <c r="BA12" s="896"/>
      <c r="BC12" s="916" t="s">
        <v>383</v>
      </c>
    </row>
    <row r="13" spans="1:55" ht="15.75" thickBot="1" x14ac:dyDescent="0.3">
      <c r="A13" s="64" t="s">
        <v>57</v>
      </c>
      <c r="B13" s="905" t="s">
        <v>97</v>
      </c>
      <c r="C13" s="907" t="str">
        <f>SUBSTITUTE(ADDRESS(1,COLUMN(Assy.Model!X9),4),"1","")</f>
        <v>X</v>
      </c>
      <c r="D13" s="101" t="str">
        <f>SUBSTITUTE(ADDRESS(1,COLUMN(Assy.Model!Y9),4),"1","")</f>
        <v>Y</v>
      </c>
      <c r="E13" s="892" t="str">
        <f>SUBSTITUTE(ADDRESS(1,COLUMN(Assy.Model!H9),4),"1","")</f>
        <v>H</v>
      </c>
      <c r="F13" s="892" t="str">
        <f>SUBSTITUTE(ADDRESS(1,COLUMN(Assy.Model!AN9),4),"1","")</f>
        <v>AN</v>
      </c>
      <c r="G13" s="892" t="str">
        <f>SUBSTITUTE(ADDRESS(1,COLUMN(Assy.Model!AO9),4),"1","")</f>
        <v>AO</v>
      </c>
      <c r="H13" s="892" t="str">
        <f>SUBSTITUTE(ADDRESS(1,COLUMN(Assy.Model!AO9),4),"1","")</f>
        <v>AO</v>
      </c>
      <c r="I13" s="892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3"/>
      <c r="P13" s="88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6"/>
    </row>
    <row r="14" spans="1:55" x14ac:dyDescent="0.25">
      <c r="A14" s="62" t="s">
        <v>58</v>
      </c>
      <c r="B14" s="906"/>
      <c r="C14" s="908"/>
      <c r="D14" s="102" t="str">
        <f>SUBSTITUTE(ADDRESS(1,COLUMN(Assy.Model!AT9),4),"1","")</f>
        <v>AT</v>
      </c>
      <c r="E14" s="893"/>
      <c r="F14" s="893"/>
      <c r="G14" s="893"/>
      <c r="H14" s="893"/>
      <c r="I14" s="893"/>
      <c r="J14" s="91">
        <v>0</v>
      </c>
      <c r="K14" s="92">
        <v>0</v>
      </c>
      <c r="L14" s="31"/>
      <c r="M14" s="190">
        <v>6.25E-2</v>
      </c>
      <c r="N14" s="31">
        <v>32</v>
      </c>
      <c r="O14" s="87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7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7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7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7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6.75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7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7" t="s">
        <v>64</v>
      </c>
      <c r="C21" s="891"/>
      <c r="D21" s="891"/>
      <c r="E21" s="891"/>
      <c r="F21" s="888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5"/>
      <c r="C22" s="887" t="s">
        <v>63</v>
      </c>
      <c r="D22" s="888"/>
      <c r="E22" s="889" t="s">
        <v>60</v>
      </c>
      <c r="F22" s="889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6"/>
      <c r="C23" s="57" t="s">
        <v>8</v>
      </c>
      <c r="D23" s="57" t="s">
        <v>9</v>
      </c>
      <c r="E23" s="890"/>
      <c r="F23" s="890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7">
        <v>0</v>
      </c>
      <c r="E24" s="877">
        <v>2</v>
      </c>
      <c r="F24" s="87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3.375</v>
      </c>
      <c r="D25" s="878"/>
      <c r="E25" s="878"/>
      <c r="F25" s="87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3" t="s">
        <v>311</v>
      </c>
      <c r="C27" s="873"/>
      <c r="D27" s="873"/>
      <c r="E27" s="873"/>
      <c r="F27" s="87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4" t="s">
        <v>390</v>
      </c>
      <c r="C28" s="874"/>
      <c r="D28" s="874"/>
      <c r="E28" s="874"/>
      <c r="F28" s="87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1" t="s">
        <v>95</v>
      </c>
      <c r="D3" s="891"/>
      <c r="E3" s="891"/>
      <c r="F3" s="891"/>
      <c r="G3" s="891"/>
      <c r="H3" s="891"/>
      <c r="I3" s="891"/>
      <c r="J3" s="891"/>
      <c r="K3" s="913"/>
      <c r="L3" s="971"/>
      <c r="M3" s="891"/>
      <c r="N3" s="891"/>
      <c r="O3" s="891"/>
      <c r="P3" s="891"/>
      <c r="Q3" s="891"/>
      <c r="R3" s="888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3" t="s">
        <v>86</v>
      </c>
      <c r="C4" s="954" t="s">
        <v>82</v>
      </c>
      <c r="D4" s="891" t="s">
        <v>83</v>
      </c>
      <c r="E4" s="891"/>
      <c r="F4" s="891"/>
      <c r="G4" s="891"/>
      <c r="H4" s="891"/>
      <c r="I4" s="891"/>
      <c r="J4" s="891"/>
      <c r="K4" s="891"/>
      <c r="L4" s="150" t="s">
        <v>91</v>
      </c>
      <c r="M4" s="887" t="s">
        <v>94</v>
      </c>
      <c r="N4" s="891"/>
      <c r="O4" s="891"/>
      <c r="P4" s="913"/>
      <c r="Q4" s="891" t="s">
        <v>52</v>
      </c>
      <c r="R4" s="888"/>
      <c r="S4" s="107"/>
      <c r="T4" s="887">
        <v>350</v>
      </c>
      <c r="U4" s="891"/>
      <c r="V4" s="891" t="s">
        <v>76</v>
      </c>
      <c r="W4" s="891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4"/>
      <c r="C5" s="955"/>
      <c r="D5" s="939" t="s">
        <v>85</v>
      </c>
      <c r="E5" s="957" t="s">
        <v>89</v>
      </c>
      <c r="F5" s="903" t="s">
        <v>34</v>
      </c>
      <c r="G5" s="903"/>
      <c r="H5" s="902" t="s">
        <v>39</v>
      </c>
      <c r="I5" s="898" t="s">
        <v>35</v>
      </c>
      <c r="J5" s="898" t="s">
        <v>36</v>
      </c>
      <c r="K5" s="965" t="s">
        <v>67</v>
      </c>
      <c r="L5" s="151" t="s">
        <v>92</v>
      </c>
      <c r="M5" s="889" t="s">
        <v>90</v>
      </c>
      <c r="N5" s="889" t="s">
        <v>47</v>
      </c>
      <c r="O5" s="967" t="s">
        <v>84</v>
      </c>
      <c r="P5" s="968"/>
      <c r="Q5" s="969" t="s">
        <v>84</v>
      </c>
      <c r="R5" s="970"/>
      <c r="S5" s="107"/>
      <c r="T5" s="881" t="s">
        <v>46</v>
      </c>
      <c r="U5" s="972"/>
      <c r="V5" s="924" t="s">
        <v>45</v>
      </c>
      <c r="W5" s="876"/>
      <c r="X5" s="876"/>
      <c r="Y5" s="876"/>
      <c r="Z5" s="876"/>
      <c r="AA5" s="876"/>
      <c r="AB5" s="876"/>
      <c r="AC5" s="876"/>
      <c r="AD5" s="876"/>
      <c r="AE5" s="876"/>
      <c r="AF5" s="876"/>
      <c r="AG5" s="876"/>
      <c r="AH5" s="876"/>
      <c r="AI5" s="876"/>
      <c r="AJ5" s="876"/>
      <c r="AK5" s="31"/>
      <c r="AL5" s="31"/>
    </row>
    <row r="6" spans="2:38" ht="15" customHeight="1" thickBot="1" x14ac:dyDescent="0.3">
      <c r="B6" s="935"/>
      <c r="C6" s="956"/>
      <c r="D6" s="940"/>
      <c r="E6" s="958"/>
      <c r="F6" s="108" t="s">
        <v>8</v>
      </c>
      <c r="G6" s="109" t="s">
        <v>10</v>
      </c>
      <c r="H6" s="953"/>
      <c r="I6" s="953"/>
      <c r="J6" s="953"/>
      <c r="K6" s="966"/>
      <c r="L6" s="152" t="s">
        <v>93</v>
      </c>
      <c r="M6" s="964"/>
      <c r="N6" s="964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6"/>
      <c r="U6" s="973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1">
        <f>ROW(Assy.Model!B9)</f>
        <v>9</v>
      </c>
      <c r="D7" s="930" t="str">
        <f>SUBSTITUTE(ADDRESS(1,COLUMN(Assy.Model!B9),4),"1","")</f>
        <v>B</v>
      </c>
      <c r="E7" s="944" t="str">
        <f>SUBSTITUTE(ADDRESS(1,COLUMN(Assy.Model!M9),4),"1","")</f>
        <v>M</v>
      </c>
      <c r="F7" s="947" t="str">
        <f>SUBSTITUTE(ADDRESS(1,COLUMN(Assy.Model!X9),4),"1","")</f>
        <v>X</v>
      </c>
      <c r="G7" s="936" t="str">
        <f>SUBSTITUTE(ADDRESS(1,COLUMN(Assy.Model!AT9),4),"1","")</f>
        <v>AT</v>
      </c>
      <c r="H7" s="950" t="str">
        <f>SUBSTITUTE(ADDRESS(1,COLUMN(Assy.Model!H9),4),"1","")</f>
        <v>H</v>
      </c>
      <c r="I7" s="950" t="str">
        <f>SUBSTITUTE(ADDRESS(1,COLUMN(Assy.Model!AN9),4),"1","")</f>
        <v>AN</v>
      </c>
      <c r="J7" s="950" t="str">
        <f>SUBSTITUTE(ADDRESS(1,COLUMN(Assy.Model!AO9),4),"1","")</f>
        <v>AO</v>
      </c>
      <c r="K7" s="95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5" t="s">
        <v>81</v>
      </c>
      <c r="C8" s="942"/>
      <c r="D8" s="931"/>
      <c r="E8" s="945"/>
      <c r="F8" s="948"/>
      <c r="G8" s="937"/>
      <c r="H8" s="951"/>
      <c r="I8" s="951"/>
      <c r="J8" s="951"/>
      <c r="K8" s="960"/>
      <c r="L8" s="153" t="s">
        <v>93</v>
      </c>
      <c r="M8" s="96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5"/>
      <c r="C9" s="942"/>
      <c r="D9" s="931"/>
      <c r="E9" s="945"/>
      <c r="F9" s="948"/>
      <c r="G9" s="937"/>
      <c r="H9" s="951"/>
      <c r="I9" s="951"/>
      <c r="J9" s="951"/>
      <c r="K9" s="960"/>
      <c r="L9" s="153" t="s">
        <v>92</v>
      </c>
      <c r="M9" s="96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5"/>
      <c r="C10" s="942"/>
      <c r="D10" s="931"/>
      <c r="E10" s="945"/>
      <c r="F10" s="948"/>
      <c r="G10" s="937"/>
      <c r="H10" s="951"/>
      <c r="I10" s="951"/>
      <c r="J10" s="951"/>
      <c r="K10" s="960"/>
      <c r="L10" s="153" t="s">
        <v>92</v>
      </c>
      <c r="M10" s="96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5"/>
      <c r="C11" s="942"/>
      <c r="D11" s="931"/>
      <c r="E11" s="945"/>
      <c r="F11" s="948"/>
      <c r="G11" s="937"/>
      <c r="H11" s="951"/>
      <c r="I11" s="951"/>
      <c r="J11" s="951"/>
      <c r="K11" s="960"/>
      <c r="L11" s="153" t="s">
        <v>92</v>
      </c>
      <c r="M11" s="96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5"/>
      <c r="C12" s="942"/>
      <c r="D12" s="931"/>
      <c r="E12" s="945"/>
      <c r="F12" s="948"/>
      <c r="G12" s="937"/>
      <c r="H12" s="951"/>
      <c r="I12" s="951"/>
      <c r="J12" s="951"/>
      <c r="K12" s="960"/>
      <c r="L12" s="153" t="s">
        <v>92</v>
      </c>
      <c r="M12" s="96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5"/>
      <c r="C13" s="942"/>
      <c r="D13" s="931"/>
      <c r="E13" s="945"/>
      <c r="F13" s="948"/>
      <c r="G13" s="937"/>
      <c r="H13" s="951"/>
      <c r="I13" s="951"/>
      <c r="J13" s="951"/>
      <c r="K13" s="960"/>
      <c r="L13" s="153" t="s">
        <v>92</v>
      </c>
      <c r="M13" s="96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6"/>
      <c r="C14" s="943"/>
      <c r="D14" s="932"/>
      <c r="E14" s="946"/>
      <c r="F14" s="949"/>
      <c r="G14" s="938"/>
      <c r="H14" s="952"/>
      <c r="I14" s="952"/>
      <c r="J14" s="952"/>
      <c r="K14" s="961"/>
      <c r="L14" s="154" t="s">
        <v>93</v>
      </c>
      <c r="M14" s="96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2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M1" sqref="M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1" t="str">
        <f>CONCATENATE(Settings!$C$19," ",Settings!$B$28)</f>
        <v>6.75  Job# --- Assy# --- Post Braze --- yy.mm.dd</v>
      </c>
      <c r="D1" s="991"/>
      <c r="E1" s="991"/>
      <c r="F1" s="991"/>
      <c r="G1" s="991"/>
      <c r="H1" s="991"/>
      <c r="I1" s="991"/>
      <c r="J1" s="991"/>
      <c r="K1" s="991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3" t="s">
        <v>315</v>
      </c>
      <c r="C2" s="1004"/>
      <c r="D2" s="1004"/>
      <c r="E2" s="1004"/>
      <c r="F2" s="1004"/>
      <c r="G2" s="1004"/>
      <c r="H2" s="1004"/>
      <c r="I2" s="1004"/>
      <c r="J2" s="1004"/>
      <c r="K2" s="1005"/>
      <c r="L2" s="990" t="str" cm="1">
        <f t="array" ref="L2">IF(OR($K$9:$K$150="Undefined"),"Undefined Element","")</f>
        <v/>
      </c>
      <c r="M2" s="1014" t="s">
        <v>0</v>
      </c>
      <c r="N2" s="1051" t="s">
        <v>1</v>
      </c>
      <c r="O2" s="1052"/>
      <c r="P2" s="1052"/>
      <c r="Q2" s="1052"/>
      <c r="R2" s="1052"/>
      <c r="S2" s="1052"/>
      <c r="T2" s="1052"/>
      <c r="U2" s="1052"/>
      <c r="V2" s="1052"/>
      <c r="W2" s="1052"/>
      <c r="X2" s="1052"/>
      <c r="Y2" s="1053"/>
      <c r="Z2" s="1051" t="s">
        <v>2</v>
      </c>
      <c r="AA2" s="1052"/>
      <c r="AB2" s="1052"/>
      <c r="AC2" s="1052"/>
      <c r="AD2" s="1052"/>
      <c r="AE2" s="1052"/>
      <c r="AF2" s="1052"/>
      <c r="AG2" s="1052"/>
      <c r="AH2" s="1052"/>
      <c r="AI2" s="1052"/>
      <c r="AJ2" s="1052"/>
      <c r="AK2" s="1052"/>
      <c r="AL2" s="1052"/>
      <c r="AM2" s="1052"/>
      <c r="AN2" s="1052"/>
      <c r="AO2" s="1052"/>
      <c r="AP2" s="1052"/>
      <c r="AQ2" s="1077"/>
      <c r="AS2" s="1059" t="s">
        <v>44</v>
      </c>
      <c r="AT2" s="1060"/>
      <c r="AV2" s="1049" t="s">
        <v>0</v>
      </c>
      <c r="AW2" s="1051" t="s">
        <v>109</v>
      </c>
      <c r="AX2" s="1052"/>
      <c r="AY2" s="1052"/>
      <c r="AZ2" s="1052"/>
      <c r="BA2" s="1052"/>
      <c r="BB2" s="1052"/>
      <c r="BC2" s="1052"/>
      <c r="BD2" s="1052"/>
      <c r="BE2" s="1077"/>
      <c r="BF2" s="1083" t="s">
        <v>115</v>
      </c>
      <c r="BG2" s="1052"/>
      <c r="BH2" s="1052"/>
      <c r="BI2" s="1052"/>
      <c r="BJ2" s="1052"/>
      <c r="BK2" s="1052"/>
      <c r="BL2" s="1052"/>
      <c r="BM2" s="1052"/>
      <c r="BN2" s="1052"/>
      <c r="BO2" s="1052"/>
      <c r="BP2" s="1052"/>
      <c r="BQ2" s="1052"/>
      <c r="BR2" s="1052"/>
      <c r="BS2" s="1052"/>
      <c r="BT2" s="1052"/>
      <c r="BU2" s="1052"/>
      <c r="BV2" s="1052"/>
      <c r="BW2" s="1052"/>
      <c r="BX2" s="1052"/>
      <c r="BY2" s="1052"/>
      <c r="BZ2" s="1052"/>
      <c r="CA2" s="1052"/>
      <c r="CB2" s="1052"/>
      <c r="CC2" s="1052"/>
      <c r="CD2" s="1052"/>
      <c r="CE2" s="1052"/>
      <c r="CF2" s="1052"/>
      <c r="CG2" s="1052"/>
      <c r="CH2" s="1052"/>
      <c r="CI2" s="1052"/>
      <c r="CJ2" s="1052"/>
      <c r="CK2" s="1052"/>
      <c r="CL2" s="1052"/>
      <c r="CM2" s="1052"/>
      <c r="CN2" s="1052"/>
      <c r="CO2" s="1052"/>
      <c r="CP2" s="1052"/>
      <c r="CQ2" s="1052"/>
      <c r="CR2" s="1052"/>
      <c r="CS2" s="1052"/>
      <c r="CT2" s="1052"/>
      <c r="CU2" s="1052"/>
      <c r="CV2" s="1052"/>
      <c r="CW2" s="1052"/>
      <c r="CX2" s="1052"/>
      <c r="CY2" s="1052"/>
      <c r="CZ2" s="1052"/>
      <c r="DA2" s="1052"/>
      <c r="DB2" s="1052"/>
      <c r="DC2" s="1052"/>
      <c r="DD2" s="1052"/>
      <c r="DE2" s="1052"/>
      <c r="DF2" s="1052"/>
      <c r="DG2" s="1052"/>
      <c r="DH2" s="1052"/>
      <c r="DI2" s="1052"/>
      <c r="DJ2" s="1052"/>
      <c r="DK2" s="1052"/>
      <c r="DL2" s="1052"/>
      <c r="DM2" s="1052"/>
      <c r="DN2" s="1052"/>
      <c r="DO2" s="1052"/>
      <c r="DP2" s="1052"/>
      <c r="DQ2" s="1052"/>
      <c r="DR2" s="1052"/>
      <c r="DS2" s="1052"/>
      <c r="DT2" s="1052"/>
      <c r="DU2" s="1052"/>
      <c r="DV2" s="1052"/>
      <c r="DW2" s="1052"/>
      <c r="DX2" s="1052"/>
      <c r="DY2" s="1052"/>
      <c r="DZ2" s="1052"/>
      <c r="EA2" s="1052"/>
      <c r="EB2" s="1052"/>
      <c r="EC2" s="1052"/>
      <c r="ED2" s="1052"/>
      <c r="EE2" s="1052"/>
      <c r="EF2" s="1052"/>
      <c r="EG2" s="1052"/>
      <c r="EH2" s="1052"/>
      <c r="EI2" s="1052"/>
      <c r="EJ2" s="1052"/>
      <c r="EK2" s="1052"/>
      <c r="EL2" s="1052"/>
      <c r="EM2" s="1052"/>
      <c r="EN2" s="1052"/>
      <c r="EO2" s="1052"/>
      <c r="EP2" s="1052"/>
      <c r="EQ2" s="1052"/>
      <c r="ER2" s="1053"/>
      <c r="ES2" s="1218" t="s">
        <v>197</v>
      </c>
      <c r="ET2" s="1219"/>
      <c r="EU2" s="1219"/>
      <c r="EV2" s="1219"/>
      <c r="EW2" s="1219"/>
      <c r="EX2" s="1219"/>
      <c r="EY2" s="1219"/>
      <c r="EZ2" s="1219"/>
      <c r="FA2" s="1219"/>
      <c r="FB2" s="1219"/>
      <c r="FC2" s="1219"/>
      <c r="FD2" s="1219"/>
      <c r="FE2" s="1219"/>
      <c r="FF2" s="1220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3" t="s">
        <v>266</v>
      </c>
      <c r="HQ2" s="1163" t="str">
        <f>IFERROR(CONCATENATE("Sum of Lateral Forces = ",ROUND(HE3,0)," lbs @ ",ROUND(HF3,1),"° Relative to Blade 1"),"")</f>
        <v/>
      </c>
      <c r="HR2" s="1164"/>
      <c r="HS2" s="1164"/>
      <c r="HT2" s="1164"/>
      <c r="HU2" s="1164"/>
      <c r="HV2" s="116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6"/>
      <c r="C3" s="1007"/>
      <c r="D3" s="1007"/>
      <c r="E3" s="1007"/>
      <c r="F3" s="1007"/>
      <c r="G3" s="1007"/>
      <c r="H3" s="1007"/>
      <c r="I3" s="1007"/>
      <c r="J3" s="1007"/>
      <c r="K3" s="1008"/>
      <c r="L3" s="990"/>
      <c r="M3" s="1006"/>
      <c r="N3" s="1054"/>
      <c r="O3" s="1055"/>
      <c r="P3" s="1055"/>
      <c r="Q3" s="1055"/>
      <c r="R3" s="1055"/>
      <c r="S3" s="1055"/>
      <c r="T3" s="1055"/>
      <c r="U3" s="1055"/>
      <c r="V3" s="1055"/>
      <c r="W3" s="1055"/>
      <c r="X3" s="1055"/>
      <c r="Y3" s="1056"/>
      <c r="Z3" s="1054"/>
      <c r="AA3" s="1055"/>
      <c r="AB3" s="1055"/>
      <c r="AC3" s="1055"/>
      <c r="AD3" s="1055"/>
      <c r="AE3" s="1055"/>
      <c r="AF3" s="1055"/>
      <c r="AG3" s="1055"/>
      <c r="AH3" s="1055"/>
      <c r="AI3" s="1055"/>
      <c r="AJ3" s="1055"/>
      <c r="AK3" s="1055"/>
      <c r="AL3" s="1055"/>
      <c r="AM3" s="1055"/>
      <c r="AN3" s="1055"/>
      <c r="AO3" s="1055"/>
      <c r="AP3" s="1055"/>
      <c r="AQ3" s="1078"/>
      <c r="AS3" s="466">
        <v>100</v>
      </c>
      <c r="AT3" s="463" t="s">
        <v>45</v>
      </c>
      <c r="AV3" s="1050"/>
      <c r="AW3" s="1099"/>
      <c r="AX3" s="1085"/>
      <c r="AY3" s="1085"/>
      <c r="AZ3" s="1085"/>
      <c r="BA3" s="1085"/>
      <c r="BB3" s="1085"/>
      <c r="BC3" s="1085"/>
      <c r="BD3" s="1085"/>
      <c r="BE3" s="1100"/>
      <c r="BF3" s="1084"/>
      <c r="BG3" s="1085"/>
      <c r="BH3" s="1085"/>
      <c r="BI3" s="1085"/>
      <c r="BJ3" s="1085"/>
      <c r="BK3" s="1085"/>
      <c r="BL3" s="1085"/>
      <c r="BM3" s="1085"/>
      <c r="BN3" s="1085"/>
      <c r="BO3" s="1085"/>
      <c r="BP3" s="1085"/>
      <c r="BQ3" s="1085"/>
      <c r="BR3" s="1085"/>
      <c r="BS3" s="1085"/>
      <c r="BT3" s="1085"/>
      <c r="BU3" s="1085"/>
      <c r="BV3" s="1085"/>
      <c r="BW3" s="1085"/>
      <c r="BX3" s="1085"/>
      <c r="BY3" s="1085"/>
      <c r="BZ3" s="1085"/>
      <c r="CA3" s="1085"/>
      <c r="CB3" s="1085"/>
      <c r="CC3" s="1085"/>
      <c r="CD3" s="1085"/>
      <c r="CE3" s="1085"/>
      <c r="CF3" s="1085"/>
      <c r="CG3" s="1085"/>
      <c r="CH3" s="1085"/>
      <c r="CI3" s="1085"/>
      <c r="CJ3" s="1085"/>
      <c r="CK3" s="1085"/>
      <c r="CL3" s="1085"/>
      <c r="CM3" s="1085"/>
      <c r="CN3" s="1085"/>
      <c r="CO3" s="1085"/>
      <c r="CP3" s="1085"/>
      <c r="CQ3" s="1085"/>
      <c r="CR3" s="1085"/>
      <c r="CS3" s="1085"/>
      <c r="CT3" s="1085"/>
      <c r="CU3" s="1085"/>
      <c r="CV3" s="1085"/>
      <c r="CW3" s="1085"/>
      <c r="CX3" s="1085"/>
      <c r="CY3" s="1085"/>
      <c r="CZ3" s="1085"/>
      <c r="DA3" s="1085"/>
      <c r="DB3" s="1085"/>
      <c r="DC3" s="1085"/>
      <c r="DD3" s="1085"/>
      <c r="DE3" s="1085"/>
      <c r="DF3" s="1085"/>
      <c r="DG3" s="1085"/>
      <c r="DH3" s="1085"/>
      <c r="DI3" s="1085"/>
      <c r="DJ3" s="1085"/>
      <c r="DK3" s="1085"/>
      <c r="DL3" s="1085"/>
      <c r="DM3" s="1085"/>
      <c r="DN3" s="1085"/>
      <c r="DO3" s="1085"/>
      <c r="DP3" s="1085"/>
      <c r="DQ3" s="1085"/>
      <c r="DR3" s="1085"/>
      <c r="DS3" s="1085"/>
      <c r="DT3" s="1085"/>
      <c r="DU3" s="1085"/>
      <c r="DV3" s="1085"/>
      <c r="DW3" s="1085"/>
      <c r="DX3" s="1085"/>
      <c r="DY3" s="1085"/>
      <c r="DZ3" s="1085"/>
      <c r="EA3" s="1085"/>
      <c r="EB3" s="1085"/>
      <c r="EC3" s="1085"/>
      <c r="ED3" s="1085"/>
      <c r="EE3" s="1085"/>
      <c r="EF3" s="1085"/>
      <c r="EG3" s="1085"/>
      <c r="EH3" s="1085"/>
      <c r="EI3" s="1085"/>
      <c r="EJ3" s="1085"/>
      <c r="EK3" s="1085"/>
      <c r="EL3" s="1085"/>
      <c r="EM3" s="1085"/>
      <c r="EN3" s="1085"/>
      <c r="EO3" s="1085"/>
      <c r="EP3" s="1085"/>
      <c r="EQ3" s="1085"/>
      <c r="ER3" s="1086"/>
      <c r="ES3" s="1099"/>
      <c r="ET3" s="1085"/>
      <c r="EU3" s="1085"/>
      <c r="EV3" s="1085"/>
      <c r="EW3" s="1085"/>
      <c r="EX3" s="1085"/>
      <c r="EY3" s="1085"/>
      <c r="EZ3" s="1085"/>
      <c r="FA3" s="1085"/>
      <c r="FB3" s="1085"/>
      <c r="FC3" s="1085"/>
      <c r="FD3" s="1085"/>
      <c r="FE3" s="1085"/>
      <c r="FF3" s="1086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206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09"/>
      <c r="C4" s="1010"/>
      <c r="D4" s="1010"/>
      <c r="E4" s="1010"/>
      <c r="F4" s="1010"/>
      <c r="G4" s="1010"/>
      <c r="H4" s="1010"/>
      <c r="I4" s="1010"/>
      <c r="J4" s="1010"/>
      <c r="K4" s="1011"/>
      <c r="L4" s="990"/>
      <c r="M4" s="1006"/>
      <c r="N4" s="1018" t="s">
        <v>3</v>
      </c>
      <c r="O4" s="1013"/>
      <c r="P4" s="1013"/>
      <c r="Q4" s="1012" t="s">
        <v>4</v>
      </c>
      <c r="R4" s="1013"/>
      <c r="S4" s="1034"/>
      <c r="T4" s="1028" t="str">
        <f>N4</f>
        <v>Cartesian Coordinates</v>
      </c>
      <c r="U4" s="995"/>
      <c r="V4" s="1029"/>
      <c r="W4" s="995" t="str">
        <f>$Q$4</f>
        <v>Polar XY; Cartesian Z</v>
      </c>
      <c r="X4" s="995"/>
      <c r="Y4" s="996"/>
      <c r="Z4" s="1018" t="s">
        <v>3</v>
      </c>
      <c r="AA4" s="1013"/>
      <c r="AB4" s="1013"/>
      <c r="AC4" s="1013"/>
      <c r="AD4" s="1013"/>
      <c r="AE4" s="1013"/>
      <c r="AF4" s="1013"/>
      <c r="AG4" s="1046" t="s">
        <v>31</v>
      </c>
      <c r="AH4" s="1013"/>
      <c r="AI4" s="1013"/>
      <c r="AJ4" s="1034"/>
      <c r="AK4" s="1079" t="s">
        <v>32</v>
      </c>
      <c r="AL4" s="1080"/>
      <c r="AM4" s="1080"/>
      <c r="AN4" s="1080"/>
      <c r="AO4" s="1080"/>
      <c r="AP4" s="1080"/>
      <c r="AQ4" s="1081"/>
      <c r="AS4" s="467">
        <v>125</v>
      </c>
      <c r="AT4" s="464" t="s">
        <v>46</v>
      </c>
      <c r="AV4" s="1050"/>
      <c r="AW4" s="1110" t="s">
        <v>112</v>
      </c>
      <c r="AX4" s="1092"/>
      <c r="AY4" s="882"/>
      <c r="AZ4" s="1096"/>
      <c r="BA4" s="1097"/>
      <c r="BB4" s="1101" t="s">
        <v>113</v>
      </c>
      <c r="BC4" s="995" t="str">
        <f>$Q$4</f>
        <v>Polar XY; Cartesian Z</v>
      </c>
      <c r="BD4" s="995"/>
      <c r="BE4" s="1104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087" t="s">
        <v>193</v>
      </c>
      <c r="CP4" s="1088"/>
      <c r="CQ4" s="1088"/>
      <c r="CR4" s="1088"/>
      <c r="CS4" s="1088"/>
      <c r="CT4" s="1088"/>
      <c r="CU4" s="1088"/>
      <c r="CV4" s="1088"/>
      <c r="CW4" s="1088"/>
      <c r="CX4" s="1088"/>
      <c r="CY4" s="1088"/>
      <c r="CZ4" s="1088"/>
      <c r="DA4" s="1089"/>
      <c r="DB4" s="1215" t="s">
        <v>162</v>
      </c>
      <c r="DC4" s="1216"/>
      <c r="DD4" s="1216"/>
      <c r="DE4" s="1216"/>
      <c r="DF4" s="1216"/>
      <c r="DG4" s="1216"/>
      <c r="DH4" s="1216"/>
      <c r="DI4" s="1216"/>
      <c r="DJ4" s="1216"/>
      <c r="DK4" s="1216"/>
      <c r="DL4" s="1216"/>
      <c r="DM4" s="1216"/>
      <c r="DN4" s="1216"/>
      <c r="DO4" s="1216"/>
      <c r="DP4" s="1216"/>
      <c r="DQ4" s="1216"/>
      <c r="DR4" s="1216"/>
      <c r="DS4" s="1216"/>
      <c r="DT4" s="1216"/>
      <c r="DU4" s="1216"/>
      <c r="DV4" s="1216"/>
      <c r="DW4" s="1216"/>
      <c r="DX4" s="1216"/>
      <c r="DY4" s="1216"/>
      <c r="DZ4" s="1216"/>
      <c r="EA4" s="1216"/>
      <c r="EB4" s="1216"/>
      <c r="EC4" s="1216"/>
      <c r="ED4" s="1216"/>
      <c r="EE4" s="1216"/>
      <c r="EF4" s="1216"/>
      <c r="EG4" s="1216"/>
      <c r="EH4" s="1216"/>
      <c r="EI4" s="1216"/>
      <c r="EJ4" s="1216"/>
      <c r="EK4" s="1216"/>
      <c r="EL4" s="1216"/>
      <c r="EM4" s="1216"/>
      <c r="EN4" s="1216"/>
      <c r="EO4" s="1216"/>
      <c r="EP4" s="1216"/>
      <c r="EQ4" s="1216"/>
      <c r="ER4" s="1217"/>
      <c r="ES4" s="1143" t="s">
        <v>196</v>
      </c>
      <c r="ET4" s="1144"/>
      <c r="EU4" s="1144"/>
      <c r="EV4" s="1144"/>
      <c r="EW4" s="1144"/>
      <c r="EX4" s="1144"/>
      <c r="EY4" s="1145"/>
      <c r="EZ4" s="1149" t="s">
        <v>201</v>
      </c>
      <c r="FA4" s="1150"/>
      <c r="FB4" s="1150"/>
      <c r="FC4" s="1150"/>
      <c r="FD4" s="1150"/>
      <c r="FE4" s="1150"/>
      <c r="FF4" s="1151"/>
      <c r="FG4" s="343"/>
      <c r="FP4" s="1183" t="s">
        <v>229</v>
      </c>
      <c r="FZ4" s="1183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0" t="s">
        <v>236</v>
      </c>
      <c r="GK4" s="901"/>
      <c r="GL4" s="901"/>
      <c r="GM4" s="901"/>
      <c r="GN4" s="1175"/>
      <c r="GO4" s="1244" t="s">
        <v>229</v>
      </c>
      <c r="GP4" s="1248" t="s">
        <v>228</v>
      </c>
      <c r="GR4" s="1191" t="s">
        <v>261</v>
      </c>
      <c r="GS4" s="971" t="s">
        <v>259</v>
      </c>
      <c r="GT4" s="891"/>
      <c r="GU4" s="891"/>
      <c r="GV4" s="891"/>
      <c r="GW4" s="891"/>
      <c r="GX4" s="891"/>
      <c r="GY4" s="891"/>
      <c r="GZ4" s="891"/>
      <c r="HA4" s="1169" t="str">
        <f>IFERROR(CONCATENATE("Lateral Forces = ",ROUND(HE3,0)," lbs @ ",ROUND(HF3,1),"° Relative to Blade 1"),"")</f>
        <v/>
      </c>
      <c r="HB4" s="1170"/>
      <c r="HC4" s="1170"/>
      <c r="HD4" s="1170"/>
      <c r="HE4" s="1170"/>
      <c r="HF4" s="1170"/>
      <c r="HG4" s="1170"/>
      <c r="HH4" s="1171"/>
      <c r="HI4" s="1178" t="s">
        <v>0</v>
      </c>
      <c r="HO4" s="1207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7" t="s">
        <v>381</v>
      </c>
      <c r="IF4" s="897"/>
      <c r="IG4" s="767" cm="1">
        <f t="array" ref="IG4">MAX(MOD(IF($IG$9:$IG$150="",0,($IG$9:$IG$150*1000)),100))</f>
        <v>24</v>
      </c>
      <c r="IL4" s="31"/>
      <c r="IM4" s="767"/>
    </row>
    <row r="5" spans="1:283" ht="15" customHeight="1" x14ac:dyDescent="0.25">
      <c r="B5" s="997" t="str">
        <f>CONCATENATE(B7," ; ",E7," ; ",H7)</f>
        <v>Absolute-Point ; Incremental-Vector Point ; Pocket Info.</v>
      </c>
      <c r="C5" s="998"/>
      <c r="D5" s="998"/>
      <c r="E5" s="998"/>
      <c r="F5" s="998"/>
      <c r="G5" s="998"/>
      <c r="H5" s="998"/>
      <c r="I5" s="998"/>
      <c r="J5" s="998"/>
      <c r="K5" s="999"/>
      <c r="L5" s="843"/>
      <c r="M5" s="1006"/>
      <c r="N5" s="1039" t="s">
        <v>5</v>
      </c>
      <c r="O5" s="977"/>
      <c r="P5" s="977"/>
      <c r="Q5" s="976" t="s">
        <v>6</v>
      </c>
      <c r="R5" s="977"/>
      <c r="S5" s="978"/>
      <c r="T5" s="1044" t="str">
        <f>CONCATENATE("Relative to ",M8,"'s θ about Z Axis")</f>
        <v>Relative to 1.113's θ about Z Axis</v>
      </c>
      <c r="U5" s="1020"/>
      <c r="V5" s="1071"/>
      <c r="W5" s="1020" t="str">
        <f>CONCATENATE("Relative to ",M8,"'s θ about Z Axis")</f>
        <v>Relative to 1.113's θ about Z Axis</v>
      </c>
      <c r="X5" s="1020"/>
      <c r="Y5" s="1030"/>
      <c r="Z5" s="1019" t="str">
        <f>N5</f>
        <v>Relative to World_CS</v>
      </c>
      <c r="AA5" s="1020"/>
      <c r="AB5" s="1020"/>
      <c r="AC5" s="1020"/>
      <c r="AD5" s="1020"/>
      <c r="AE5" s="1020"/>
      <c r="AF5" s="1020"/>
      <c r="AG5" s="1044" t="str">
        <f>N5</f>
        <v>Relative to World_CS</v>
      </c>
      <c r="AH5" s="1020"/>
      <c r="AI5" s="1020"/>
      <c r="AJ5" s="1045"/>
      <c r="AK5" s="1082" t="s">
        <v>7</v>
      </c>
      <c r="AL5" s="977"/>
      <c r="AM5" s="977"/>
      <c r="AN5" s="977"/>
      <c r="AO5" s="977"/>
      <c r="AP5" s="977"/>
      <c r="AQ5" s="978"/>
      <c r="AS5" s="171">
        <f>(((AS4*12)/60)/AS3)</f>
        <v>0.25</v>
      </c>
      <c r="AT5" s="464" t="s">
        <v>47</v>
      </c>
      <c r="AV5" s="1050"/>
      <c r="AW5" s="1111"/>
      <c r="AX5" s="1112"/>
      <c r="AY5" s="1113"/>
      <c r="AZ5" s="1098"/>
      <c r="BA5" s="872"/>
      <c r="BB5" s="1102"/>
      <c r="BC5" s="1107" t="str">
        <f>$W$5</f>
        <v>Relative to 1.113's θ about Z Axis</v>
      </c>
      <c r="BD5" s="1020"/>
      <c r="BE5" s="1045"/>
      <c r="BF5" s="971" t="s">
        <v>128</v>
      </c>
      <c r="BG5" s="891"/>
      <c r="BH5" s="891"/>
      <c r="BI5" s="891"/>
      <c r="BJ5" s="891"/>
      <c r="BK5" s="891"/>
      <c r="BL5" s="891"/>
      <c r="BM5" s="891"/>
      <c r="BN5" s="891"/>
      <c r="BO5" s="891"/>
      <c r="BP5" s="891"/>
      <c r="BQ5" s="891"/>
      <c r="BR5" s="913"/>
      <c r="BS5" s="971" t="s">
        <v>130</v>
      </c>
      <c r="BT5" s="891"/>
      <c r="BU5" s="891"/>
      <c r="BV5" s="891"/>
      <c r="BW5" s="891"/>
      <c r="BX5" s="891"/>
      <c r="BY5" s="891"/>
      <c r="BZ5" s="891"/>
      <c r="CA5" s="891"/>
      <c r="CB5" s="891"/>
      <c r="CC5" s="891"/>
      <c r="CD5" s="891"/>
      <c r="CE5" s="913"/>
      <c r="CF5" s="971" t="s">
        <v>138</v>
      </c>
      <c r="CG5" s="891"/>
      <c r="CH5" s="913"/>
      <c r="CI5" s="971" t="s">
        <v>139</v>
      </c>
      <c r="CJ5" s="891"/>
      <c r="CK5" s="891"/>
      <c r="CL5" s="891"/>
      <c r="CM5" s="891"/>
      <c r="CN5" s="913"/>
      <c r="CO5" s="1090" t="s">
        <v>275</v>
      </c>
      <c r="CP5" s="1090" t="s">
        <v>149</v>
      </c>
      <c r="CQ5" s="1092"/>
      <c r="CR5" s="1092"/>
      <c r="CS5" s="972"/>
      <c r="CT5" s="1092" t="s">
        <v>150</v>
      </c>
      <c r="CU5" s="882"/>
      <c r="CV5" s="971" t="s">
        <v>161</v>
      </c>
      <c r="CW5" s="891"/>
      <c r="CX5" s="891"/>
      <c r="CY5" s="891"/>
      <c r="CZ5" s="891"/>
      <c r="DA5" s="913"/>
      <c r="DB5" s="971" t="s">
        <v>163</v>
      </c>
      <c r="DC5" s="891"/>
      <c r="DD5" s="891"/>
      <c r="DE5" s="891"/>
      <c r="DF5" s="891"/>
      <c r="DG5" s="891"/>
      <c r="DH5" s="913"/>
      <c r="DI5" s="1131" t="s">
        <v>173</v>
      </c>
      <c r="DJ5" s="1131"/>
      <c r="DK5" s="1132"/>
      <c r="DL5" s="1196" t="s">
        <v>174</v>
      </c>
      <c r="DM5" s="1131"/>
      <c r="DN5" s="1197"/>
      <c r="DO5" s="1135" t="s">
        <v>175</v>
      </c>
      <c r="DP5" s="1136"/>
      <c r="DQ5" s="1136"/>
      <c r="DR5" s="1072" t="s">
        <v>187</v>
      </c>
      <c r="DS5" s="1072"/>
      <c r="DT5" s="1072"/>
      <c r="DU5" s="1072"/>
      <c r="DV5" s="1072"/>
      <c r="DW5" s="1072"/>
      <c r="DX5" s="1090" t="s">
        <v>190</v>
      </c>
      <c r="DY5" s="933" t="s">
        <v>149</v>
      </c>
      <c r="DZ5" s="1072"/>
      <c r="EA5" s="1072"/>
      <c r="EB5" s="1072"/>
      <c r="EC5" s="1072" t="s">
        <v>150</v>
      </c>
      <c r="ED5" s="1072"/>
      <c r="EE5" s="1191" t="s">
        <v>194</v>
      </c>
      <c r="EF5" s="1191"/>
      <c r="EG5" s="1192"/>
      <c r="EH5" s="1200" t="s">
        <v>195</v>
      </c>
      <c r="EI5" s="1201"/>
      <c r="EJ5" s="1202"/>
      <c r="EK5" s="1072" t="s">
        <v>188</v>
      </c>
      <c r="EL5" s="1090"/>
      <c r="EM5" s="971" t="s">
        <v>189</v>
      </c>
      <c r="EN5" s="891"/>
      <c r="EO5" s="891"/>
      <c r="EP5" s="891"/>
      <c r="EQ5" s="891"/>
      <c r="ER5" s="1123"/>
      <c r="ES5" s="1110" t="s">
        <v>202</v>
      </c>
      <c r="ET5" s="1092"/>
      <c r="EU5" s="972"/>
      <c r="EV5" s="1146" t="s">
        <v>222</v>
      </c>
      <c r="EW5" s="1147"/>
      <c r="EX5" s="1147"/>
      <c r="EY5" s="1148"/>
      <c r="EZ5" s="1225" t="s">
        <v>200</v>
      </c>
      <c r="FA5" s="967" t="s">
        <v>202</v>
      </c>
      <c r="FB5" s="1158"/>
      <c r="FC5" s="968"/>
      <c r="FD5" s="1188" t="s">
        <v>222</v>
      </c>
      <c r="FE5" s="1189"/>
      <c r="FF5" s="1190"/>
      <c r="FP5" s="1207"/>
      <c r="FQ5" s="31"/>
      <c r="FR5" s="31"/>
      <c r="FS5" s="31"/>
      <c r="FT5" s="31"/>
      <c r="FZ5" s="1207"/>
      <c r="GJ5" s="1241" t="s">
        <v>269</v>
      </c>
      <c r="GK5" s="1209" t="s">
        <v>267</v>
      </c>
      <c r="GL5" s="1211" t="s">
        <v>110</v>
      </c>
      <c r="GM5" s="1211" t="s">
        <v>111</v>
      </c>
      <c r="GN5" s="1212"/>
      <c r="GO5" s="1245"/>
      <c r="GP5" s="1249"/>
      <c r="GQ5" s="31"/>
      <c r="GR5" s="990"/>
      <c r="GS5" s="1098" t="s">
        <v>248</v>
      </c>
      <c r="GT5" s="1258"/>
      <c r="GU5" s="1254" t="s">
        <v>249</v>
      </c>
      <c r="GV5" s="1255"/>
      <c r="GW5" s="1256"/>
      <c r="GX5" s="1257"/>
      <c r="GY5" s="1243" t="s">
        <v>107</v>
      </c>
      <c r="GZ5" s="874"/>
      <c r="HA5" s="1166" t="s">
        <v>248</v>
      </c>
      <c r="HB5" s="1167"/>
      <c r="HC5" s="1167"/>
      <c r="HD5" s="1168"/>
      <c r="HE5" s="1185" t="s">
        <v>249</v>
      </c>
      <c r="HF5" s="1167"/>
      <c r="HG5" s="1167"/>
      <c r="HH5" s="1186"/>
      <c r="HI5" s="1179"/>
      <c r="HN5" s="386" t="s">
        <v>263</v>
      </c>
      <c r="HO5" s="58" t="s">
        <v>264</v>
      </c>
      <c r="HS5" s="1172" t="s">
        <v>274</v>
      </c>
      <c r="HZ5" s="383"/>
    </row>
    <row r="6" spans="1:283" ht="15" customHeight="1" thickBot="1" x14ac:dyDescent="0.4">
      <c r="B6" s="1000"/>
      <c r="C6" s="1001"/>
      <c r="D6" s="1001"/>
      <c r="E6" s="1001"/>
      <c r="F6" s="1001"/>
      <c r="G6" s="1001"/>
      <c r="H6" s="1001"/>
      <c r="I6" s="1001"/>
      <c r="J6" s="1001"/>
      <c r="K6" s="1002"/>
      <c r="L6" s="990" t="str" cm="1">
        <f t="array" ref="L6">IF(OR($K$9:$K$150="Inactive"),"Inactive Element","")</f>
        <v/>
      </c>
      <c r="M6" s="1006"/>
      <c r="N6" s="1035" t="s">
        <v>8</v>
      </c>
      <c r="O6" s="1037" t="s">
        <v>9</v>
      </c>
      <c r="P6" s="974" t="s">
        <v>10</v>
      </c>
      <c r="Q6" s="1040" t="s">
        <v>11</v>
      </c>
      <c r="R6" s="1041"/>
      <c r="S6" s="1031" t="s">
        <v>10</v>
      </c>
      <c r="T6" s="1067" t="str">
        <f>N6</f>
        <v>X</v>
      </c>
      <c r="U6" s="1069" t="str">
        <f>O6</f>
        <v>Y</v>
      </c>
      <c r="V6" s="1026" t="str">
        <f>P6</f>
        <v>Z</v>
      </c>
      <c r="W6" s="1016" t="str">
        <f>$Q$6</f>
        <v>Projected XY</v>
      </c>
      <c r="X6" s="1017"/>
      <c r="Y6" s="1065" t="str">
        <f>$S$6</f>
        <v>Z</v>
      </c>
      <c r="Z6" s="1047" t="s">
        <v>12</v>
      </c>
      <c r="AA6" s="1007"/>
      <c r="AB6" s="1007"/>
      <c r="AC6" s="1048"/>
      <c r="AD6" s="1012" t="s">
        <v>13</v>
      </c>
      <c r="AE6" s="1013"/>
      <c r="AF6" s="1013"/>
      <c r="AG6" s="1046" t="s">
        <v>7</v>
      </c>
      <c r="AH6" s="1013"/>
      <c r="AI6" s="1012" t="s">
        <v>14</v>
      </c>
      <c r="AJ6" s="1034"/>
      <c r="AK6" s="1074" t="str">
        <f>AD6</f>
        <v>Unit Vector</v>
      </c>
      <c r="AL6" s="1075"/>
      <c r="AM6" s="1076"/>
      <c r="AN6" s="34" t="s">
        <v>15</v>
      </c>
      <c r="AO6" s="35" t="s">
        <v>16</v>
      </c>
      <c r="AP6" s="737" t="s">
        <v>17</v>
      </c>
      <c r="AQ6" s="1057" t="s">
        <v>108</v>
      </c>
      <c r="AS6" s="172">
        <f>(AS5/360)</f>
        <v>6.9444444444444447E-4</v>
      </c>
      <c r="AT6" s="465" t="s">
        <v>48</v>
      </c>
      <c r="AV6" s="1050"/>
      <c r="AW6" s="1042" t="s">
        <v>105</v>
      </c>
      <c r="AX6" s="1043"/>
      <c r="AY6" s="195" t="s">
        <v>110</v>
      </c>
      <c r="AZ6" s="1108" t="s">
        <v>111</v>
      </c>
      <c r="BA6" s="1109"/>
      <c r="BB6" s="1103"/>
      <c r="BC6" s="1016" t="str">
        <f>$Q$6</f>
        <v>Projected XY</v>
      </c>
      <c r="BD6" s="1017"/>
      <c r="BE6" s="1105" t="str">
        <f>$S$6</f>
        <v>Z</v>
      </c>
      <c r="BF6" s="917" t="s">
        <v>125</v>
      </c>
      <c r="BG6" s="915"/>
      <c r="BH6" s="1122"/>
      <c r="BI6" s="895" t="s">
        <v>126</v>
      </c>
      <c r="BJ6" s="915"/>
      <c r="BK6" s="896"/>
      <c r="BL6" s="918" t="s">
        <v>127</v>
      </c>
      <c r="BM6" s="915"/>
      <c r="BN6" s="919"/>
      <c r="BO6" s="917" t="s">
        <v>135</v>
      </c>
      <c r="BP6" s="915"/>
      <c r="BQ6" s="915"/>
      <c r="BR6" s="919"/>
      <c r="BS6" s="917" t="s">
        <v>125</v>
      </c>
      <c r="BT6" s="915"/>
      <c r="BU6" s="1122"/>
      <c r="BV6" s="895" t="s">
        <v>126</v>
      </c>
      <c r="BW6" s="915"/>
      <c r="BX6" s="896"/>
      <c r="BY6" s="918" t="s">
        <v>127</v>
      </c>
      <c r="BZ6" s="915"/>
      <c r="CA6" s="919"/>
      <c r="CB6" s="917" t="s">
        <v>135</v>
      </c>
      <c r="CC6" s="915"/>
      <c r="CD6" s="915"/>
      <c r="CE6" s="919"/>
      <c r="CF6" s="923" t="s">
        <v>136</v>
      </c>
      <c r="CG6" s="1095"/>
      <c r="CH6" s="1095"/>
      <c r="CI6" s="1126" t="s">
        <v>137</v>
      </c>
      <c r="CJ6" s="1095"/>
      <c r="CK6" s="924"/>
      <c r="CL6" s="1124" t="s">
        <v>140</v>
      </c>
      <c r="CM6" s="1095"/>
      <c r="CN6" s="1125"/>
      <c r="CO6" s="1091"/>
      <c r="CP6" s="1091"/>
      <c r="CQ6" s="987"/>
      <c r="CR6" s="987"/>
      <c r="CS6" s="1093"/>
      <c r="CT6" s="987"/>
      <c r="CU6" s="1094"/>
      <c r="CV6" s="1033" t="s">
        <v>147</v>
      </c>
      <c r="CW6" s="915"/>
      <c r="CX6" s="896"/>
      <c r="CY6" s="1114" t="s">
        <v>148</v>
      </c>
      <c r="CZ6" s="1115"/>
      <c r="DA6" s="1116"/>
      <c r="DB6" s="1127" t="s">
        <v>176</v>
      </c>
      <c r="DC6" s="1128"/>
      <c r="DD6" s="1129"/>
      <c r="DE6" s="1130" t="s">
        <v>177</v>
      </c>
      <c r="DF6" s="1128"/>
      <c r="DG6" s="1129"/>
      <c r="DH6" s="253" t="s">
        <v>29</v>
      </c>
      <c r="DI6" s="1133"/>
      <c r="DJ6" s="1133"/>
      <c r="DK6" s="1134"/>
      <c r="DL6" s="1198"/>
      <c r="DM6" s="1133"/>
      <c r="DN6" s="1199"/>
      <c r="DO6" s="1137"/>
      <c r="DP6" s="1138"/>
      <c r="DQ6" s="1138"/>
      <c r="DR6" s="1073"/>
      <c r="DS6" s="1073"/>
      <c r="DT6" s="1073"/>
      <c r="DU6" s="1073"/>
      <c r="DV6" s="1073"/>
      <c r="DW6" s="1073"/>
      <c r="DX6" s="1091"/>
      <c r="DY6" s="1139"/>
      <c r="DZ6" s="1073"/>
      <c r="EA6" s="1073"/>
      <c r="EB6" s="1073"/>
      <c r="EC6" s="1073"/>
      <c r="ED6" s="1073"/>
      <c r="EE6" s="1193"/>
      <c r="EF6" s="1193"/>
      <c r="EG6" s="1194"/>
      <c r="EH6" s="1203"/>
      <c r="EI6" s="1204"/>
      <c r="EJ6" s="1205"/>
      <c r="EK6" s="1073"/>
      <c r="EL6" s="1091"/>
      <c r="EM6" s="1153" t="s">
        <v>199</v>
      </c>
      <c r="EN6" s="1141"/>
      <c r="EO6" s="1195"/>
      <c r="EP6" s="1140" t="s">
        <v>198</v>
      </c>
      <c r="EQ6" s="1141"/>
      <c r="ER6" s="1142"/>
      <c r="ES6" s="986"/>
      <c r="ET6" s="987"/>
      <c r="EU6" s="1093"/>
      <c r="EV6" s="274" t="s">
        <v>221</v>
      </c>
      <c r="EW6" s="1140" t="s">
        <v>202</v>
      </c>
      <c r="EX6" s="1141"/>
      <c r="EY6" s="1152"/>
      <c r="EZ6" s="1226"/>
      <c r="FA6" s="1159"/>
      <c r="FB6" s="1160"/>
      <c r="FC6" s="1161"/>
      <c r="FD6" s="1153" t="s">
        <v>202</v>
      </c>
      <c r="FE6" s="1141"/>
      <c r="FF6" s="1142"/>
      <c r="FG6" s="1155" t="s">
        <v>224</v>
      </c>
      <c r="FH6" s="1156"/>
      <c r="FI6" s="1157"/>
      <c r="FJ6" s="1072" t="s">
        <v>203</v>
      </c>
      <c r="FK6" s="1090" t="s">
        <v>214</v>
      </c>
      <c r="FL6" s="1092"/>
      <c r="FM6" s="972"/>
      <c r="FN6" s="1117" t="s">
        <v>204</v>
      </c>
      <c r="FO6" s="1228" t="s">
        <v>227</v>
      </c>
      <c r="FP6" s="122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0" t="s">
        <v>218</v>
      </c>
      <c r="FV6" s="1092"/>
      <c r="FW6" s="972"/>
      <c r="FX6" s="1117" t="s">
        <v>219</v>
      </c>
      <c r="FY6" s="1228" t="s">
        <v>227</v>
      </c>
      <c r="FZ6" s="1221" t="s">
        <v>225</v>
      </c>
      <c r="GA6" s="1223" t="s">
        <v>239</v>
      </c>
      <c r="GB6" s="336" t="s">
        <v>207</v>
      </c>
      <c r="GC6" s="337" t="s">
        <v>240</v>
      </c>
      <c r="GD6" s="338" t="s">
        <v>226</v>
      </c>
      <c r="GE6" s="1239"/>
      <c r="GF6" s="1192" t="s">
        <v>260</v>
      </c>
      <c r="GG6" s="336" t="s">
        <v>207</v>
      </c>
      <c r="GH6" s="337" t="s">
        <v>240</v>
      </c>
      <c r="GI6" s="338" t="s">
        <v>226</v>
      </c>
      <c r="GJ6" s="1242"/>
      <c r="GK6" s="1210"/>
      <c r="GL6" s="1213"/>
      <c r="GM6" s="1213"/>
      <c r="GN6" s="1214"/>
      <c r="GO6" s="1246" t="s">
        <v>238</v>
      </c>
      <c r="GP6" s="1250" t="s">
        <v>225</v>
      </c>
      <c r="GQ6" s="1092" t="s">
        <v>203</v>
      </c>
      <c r="GR6" s="990"/>
      <c r="GS6" s="1176" t="s">
        <v>252</v>
      </c>
      <c r="GT6" s="1177"/>
      <c r="GU6" s="1162" t="s">
        <v>251</v>
      </c>
      <c r="GV6" s="1115"/>
      <c r="GW6" s="1115"/>
      <c r="GX6" s="361" t="s">
        <v>106</v>
      </c>
      <c r="GY6" s="895" t="s">
        <v>250</v>
      </c>
      <c r="GZ6" s="1122"/>
      <c r="HA6" s="1230" t="s">
        <v>252</v>
      </c>
      <c r="HB6" s="1128"/>
      <c r="HC6" s="1128"/>
      <c r="HD6" s="1129"/>
      <c r="HE6" s="895" t="s">
        <v>251</v>
      </c>
      <c r="HF6" s="915"/>
      <c r="HG6" s="915"/>
      <c r="HH6" s="919"/>
      <c r="HI6" s="1179"/>
      <c r="HN6" s="954" t="s">
        <v>238</v>
      </c>
      <c r="HO6" s="957" t="s">
        <v>265</v>
      </c>
      <c r="HP6" s="933" t="s">
        <v>203</v>
      </c>
      <c r="HQ6" s="391"/>
      <c r="HS6" s="1173"/>
      <c r="HT6" s="888" t="s">
        <v>270</v>
      </c>
      <c r="HU6" s="901"/>
      <c r="HV6" s="1175"/>
      <c r="HW6" s="971" t="s">
        <v>258</v>
      </c>
      <c r="HX6" s="891"/>
      <c r="HY6" s="913"/>
      <c r="HZ6" s="971" t="s">
        <v>249</v>
      </c>
      <c r="IA6" s="888"/>
      <c r="IE6" s="853"/>
      <c r="IF6" s="853"/>
    </row>
    <row r="7" spans="1:283" ht="15" customHeight="1" thickBot="1" x14ac:dyDescent="0.4">
      <c r="A7" s="143"/>
      <c r="B7" s="1021" t="s">
        <v>40</v>
      </c>
      <c r="C7" s="1022"/>
      <c r="D7" s="1023"/>
      <c r="E7" s="1024" t="s">
        <v>41</v>
      </c>
      <c r="F7" s="1022"/>
      <c r="G7" s="1025"/>
      <c r="H7" s="992" t="s">
        <v>98</v>
      </c>
      <c r="I7" s="993"/>
      <c r="J7" s="994"/>
      <c r="K7" s="173"/>
      <c r="L7" s="990"/>
      <c r="M7" s="1015"/>
      <c r="N7" s="1036"/>
      <c r="O7" s="1038"/>
      <c r="P7" s="975"/>
      <c r="Q7" s="36" t="s">
        <v>18</v>
      </c>
      <c r="R7" s="2" t="s">
        <v>19</v>
      </c>
      <c r="S7" s="1032"/>
      <c r="T7" s="1068"/>
      <c r="U7" s="1070"/>
      <c r="V7" s="1027"/>
      <c r="W7" s="37" t="str">
        <f>$Q$7</f>
        <v>&lt; θ°</v>
      </c>
      <c r="X7" s="27" t="str">
        <f>$R$7</f>
        <v>r</v>
      </c>
      <c r="Y7" s="1066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8"/>
      <c r="AS7" s="1063" t="s">
        <v>54</v>
      </c>
      <c r="AT7" s="1061" t="s">
        <v>53</v>
      </c>
      <c r="AV7" s="105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3"/>
      <c r="BC7" s="37" t="str">
        <f>$Q$7</f>
        <v>&lt; θ°</v>
      </c>
      <c r="BD7" s="27" t="str">
        <f>$R$7</f>
        <v>r</v>
      </c>
      <c r="BE7" s="1106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27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54"/>
      <c r="FK7" s="350" t="s">
        <v>211</v>
      </c>
      <c r="FL7" s="351" t="s">
        <v>212</v>
      </c>
      <c r="FM7" s="352" t="s">
        <v>213</v>
      </c>
      <c r="FN7" s="1118"/>
      <c r="FO7" s="1229"/>
      <c r="FP7" s="122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8"/>
      <c r="FY7" s="1229"/>
      <c r="FZ7" s="1222"/>
      <c r="GA7" s="1224"/>
      <c r="GB7" s="223" t="s">
        <v>232</v>
      </c>
      <c r="GC7" s="131" t="s">
        <v>233</v>
      </c>
      <c r="GD7" s="224" t="s">
        <v>234</v>
      </c>
      <c r="GE7" s="1240"/>
      <c r="GF7" s="1208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7"/>
      <c r="GP7" s="1251"/>
      <c r="GQ7" s="1252"/>
      <c r="GR7" s="125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80"/>
      <c r="HJ7" s="31"/>
      <c r="HK7" s="1183" t="s">
        <v>246</v>
      </c>
      <c r="HL7" s="1183" t="s">
        <v>237</v>
      </c>
      <c r="HM7" s="881" t="s">
        <v>245</v>
      </c>
      <c r="HN7" s="955"/>
      <c r="HO7" s="1187"/>
      <c r="HP7" s="1181"/>
      <c r="HQ7" s="392"/>
      <c r="HR7" s="412"/>
      <c r="HS7" s="117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1" t="s">
        <v>33</v>
      </c>
      <c r="IH7" s="1231" t="s">
        <v>385</v>
      </c>
      <c r="II7" s="917" t="s">
        <v>333</v>
      </c>
      <c r="IJ7" s="918"/>
      <c r="IK7" s="918"/>
      <c r="IL7" s="915"/>
      <c r="IM7" s="915"/>
      <c r="IN7" s="915"/>
      <c r="IO7" s="896"/>
      <c r="IP7" s="895" t="s">
        <v>329</v>
      </c>
      <c r="IQ7" s="915"/>
      <c r="IR7" s="915"/>
      <c r="IS7" s="915"/>
      <c r="IT7" s="915"/>
      <c r="IU7" s="895" t="s">
        <v>328</v>
      </c>
      <c r="IV7" s="915"/>
      <c r="IW7" s="915"/>
      <c r="IX7" s="915"/>
      <c r="IY7" s="896"/>
      <c r="JA7" s="784"/>
      <c r="JB7" s="979" t="s">
        <v>364</v>
      </c>
      <c r="JC7" s="979"/>
      <c r="JD7" s="979"/>
      <c r="JE7" s="98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0"/>
      <c r="M8" s="462" cm="1">
        <f t="array" ref="M8">IF(AND(ISNUMBER('SN#.Run#'!$P$1),COUNT($M$9:$M$150)&gt;='SN#.Run#'!$P$1),INDEX($M$9:$M$150,'SN#.Run#'!$P$1),"")</f>
        <v>1.113</v>
      </c>
      <c r="N8" s="608"/>
      <c r="O8" s="609"/>
      <c r="P8" s="619"/>
      <c r="Q8" s="611">
        <f>IFERROR(INDEX(Q$9:Q$150,MATCH($M$8,$M$9:$M$150,0)),"")</f>
        <v>86.862100453056641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-0.46990141722267431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4"/>
      <c r="AT8" s="1062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4"/>
      <c r="HL8" s="1184"/>
      <c r="HM8" s="966"/>
      <c r="HN8" s="956"/>
      <c r="HO8" s="958"/>
      <c r="HP8" s="1182"/>
      <c r="HQ8" s="393" t="s">
        <v>49</v>
      </c>
      <c r="HR8" s="413" t="s">
        <v>51</v>
      </c>
      <c r="HS8" s="117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3"/>
      <c r="IH8" s="1232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0.34240103268151456</v>
      </c>
      <c r="D9" s="704">
        <v>-0.26970081341765328</v>
      </c>
      <c r="E9" s="705">
        <v>-0.90630781366099955</v>
      </c>
      <c r="F9" s="703">
        <v>-7.3386870597457673E-2</v>
      </c>
      <c r="G9" s="706">
        <v>0.41619768634740262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0.34240103268151456</v>
      </c>
      <c r="P9" s="625">
        <f t="shared" ref="P9:P40" si="4">IF(M9="","",D9)</f>
        <v>-0.26970081341765328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0.34240103268151456</v>
      </c>
      <c r="S9" s="626">
        <f>IF(M9="","",P9)</f>
        <v>-0.26970081341765328</v>
      </c>
      <c r="T9" s="627">
        <f>IF(M9="","",X9*COS(RADIANS(W9)))</f>
        <v>0.34188766405503801</v>
      </c>
      <c r="U9" s="624">
        <f>IF(M9="","",X9*SIN(RADIANS(W9)))</f>
        <v>1.8742794571703639E-2</v>
      </c>
      <c r="V9" s="628">
        <f>IF(M9="","",Y9)</f>
        <v>-0.26970081341765328</v>
      </c>
      <c r="W9" s="583">
        <f t="shared" ref="W9:W14" si="5">IF(M9="","",IF(Q9-$Q$8&lt;0,360+Q9-$Q$8,Q9-$Q$8))</f>
        <v>3.137899546943359</v>
      </c>
      <c r="X9" s="629">
        <f>IF(M9="","",R9)</f>
        <v>0.34240103268151456</v>
      </c>
      <c r="Y9" s="630">
        <f>IF(M9="","",S9)</f>
        <v>-0.26970081341765328</v>
      </c>
      <c r="Z9" s="623">
        <f t="shared" ref="Z9:Z40" si="6">IF(M9="","",-E9)</f>
        <v>0.90630781366099955</v>
      </c>
      <c r="AA9" s="624">
        <f t="shared" ref="AA9:AA40" si="7">IF(M9="","",-F9)</f>
        <v>7.3386870597457673E-2</v>
      </c>
      <c r="AB9" s="624">
        <f t="shared" ref="AB9:AB40" si="8">IF(M9="","",-G9)</f>
        <v>-0.41619768634740262</v>
      </c>
      <c r="AC9" s="628">
        <f>IF(M9="","",SQRT(Z9^2+AA9^2+AB9^2))</f>
        <v>1</v>
      </c>
      <c r="AD9" s="631">
        <f>IF(M9="","",Z9*(1/SQRT(Z9^2+AA9^2+AB9^2)))</f>
        <v>0.90630781366099955</v>
      </c>
      <c r="AE9" s="624">
        <f>IF(M9="","",AA9*(1/SQRT(Z9^2+AA9^2+AB9^2)))</f>
        <v>7.3386870597457673E-2</v>
      </c>
      <c r="AF9" s="625">
        <f>IF(M9="","",AB9*(1/SQRT(Z9^2+AA9^2+AB9^2)))</f>
        <v>-0.41619768634740262</v>
      </c>
      <c r="AG9" s="599">
        <f>IF(M9="","",DEGREES(ATAN2(-AF9,AE9)))</f>
        <v>9.9999985561788396</v>
      </c>
      <c r="AH9" s="600">
        <f>IF(M9="","",DEGREES(ACOS(AD9)))</f>
        <v>24.999996390447112</v>
      </c>
      <c r="AI9" s="583">
        <f>IF(M9="","",DEGREES(-ACOS(-AF9)))</f>
        <v>-65.405236833866326</v>
      </c>
      <c r="AJ9" s="601">
        <f>IF(M9="","",DEGREES(ATAN2(-AE9,AD9)))</f>
        <v>94.629336854056319</v>
      </c>
      <c r="AK9" s="627">
        <f>IF(M9="","",(COS(RADIANS((90-$Q$8)-W9))*AD9)+(-SIN(RADIANS((90-$Q$8)-W9))*AE9))</f>
        <v>0.90630781366099955</v>
      </c>
      <c r="AL9" s="624">
        <f>IF(M9="","",(SIN(RADIANS((90-$Q$8)-W9))*AD9)+(COS(RADIANS((90-$Q$8)-W9))*AE9))</f>
        <v>7.3386870597457673E-2</v>
      </c>
      <c r="AM9" s="626">
        <f>IF(M9="","",AF9)</f>
        <v>-0.41619768634740262</v>
      </c>
      <c r="AN9" s="581">
        <f>IF(M9="","",DEGREES(ATAN2(-AM9,AL9)))</f>
        <v>9.9999985561788396</v>
      </c>
      <c r="AO9" s="582">
        <f>IF(ROUND(IF(M9="",0,DEGREES(ACOS(AK9))),4)=90,0,IF(M9="","",DEGREES(ACOS(AK9))))</f>
        <v>24.999996390447112</v>
      </c>
      <c r="AP9" s="781">
        <f>IF(M9="","",DEGREES(ATAN2(AK9,AL9)))</f>
        <v>4.6293368540563282</v>
      </c>
      <c r="AQ9" s="584">
        <f t="shared" ref="AQ9:AQ40" si="9">IF(M9="","",DEGREES(ATAN(($AS$5*SIN(RADIANS(90)))/(($X9*2*PI())-($AS$5*COS(RADIANS(90)))))))</f>
        <v>6.6283312344282139</v>
      </c>
      <c r="AS9" s="51">
        <f>IF(M9="","",W9)</f>
        <v>3.137899546943359</v>
      </c>
      <c r="AT9" s="71">
        <f t="shared" ref="AT9:AT40" si="10">IF(M9="","",Y9+(((AS9-$AS$9)*$AS$6)*-1))</f>
        <v>-0.26970081341765328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19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1.1591378088512715E-3</v>
      </c>
      <c r="C10" s="708">
        <v>1.1425028577830609</v>
      </c>
      <c r="D10" s="709">
        <v>-0.12860038785876982</v>
      </c>
      <c r="E10" s="710">
        <v>-0.97623192729004094</v>
      </c>
      <c r="F10" s="708">
        <v>-2.3347442871420036E-2</v>
      </c>
      <c r="G10" s="711">
        <v>0.21546721572187807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1.1591378088512715E-3</v>
      </c>
      <c r="O10" s="629">
        <f t="shared" si="3"/>
        <v>1.1425028577830609</v>
      </c>
      <c r="P10" s="633">
        <f t="shared" si="4"/>
        <v>-0.12860038785876982</v>
      </c>
      <c r="Q10" s="585">
        <f>IF(M10="","",IF(DEGREES(ATAN2(N10,O10))&lt;0,DEGREES(ATAN2(N10,O10))+360,IF(DEGREES(ATAN2(N10,O10))&gt;360,DEGREES(ATAN2(N10,O10))-360,DEGREES(ATAN2(N10,O10)))))</f>
        <v>89.941870008392939</v>
      </c>
      <c r="R10" s="629">
        <f t="shared" ref="R10:R105" si="79">IF(M10="","",SQRT(N10^2+O10^2))</f>
        <v>1.1425034457903929</v>
      </c>
      <c r="S10" s="634">
        <f t="shared" ref="S10:S105" si="80">IF(M10="","",P10)</f>
        <v>-0.12860038785876982</v>
      </c>
      <c r="T10" s="635">
        <f t="shared" ref="T10:T105" si="81">IF(M10="","",X10*COS(RADIANS(W10)))</f>
        <v>1.1408533310962083</v>
      </c>
      <c r="U10" s="629">
        <f t="shared" ref="U10:U105" si="82">IF(M10="","",X10*SIN(RADIANS(W10)))</f>
        <v>6.1382412543059303E-2</v>
      </c>
      <c r="V10" s="636">
        <f>IF(M10="","",Y10)</f>
        <v>-0.12860038785876982</v>
      </c>
      <c r="W10" s="585">
        <f t="shared" si="5"/>
        <v>3.0797695553362985</v>
      </c>
      <c r="X10" s="629">
        <f t="shared" ref="X10:X105" si="83">IF(M10="","",R10)</f>
        <v>1.1425034457903929</v>
      </c>
      <c r="Y10" s="630">
        <f>IF(M10="","",S10)</f>
        <v>-0.12860038785876982</v>
      </c>
      <c r="Z10" s="632">
        <f t="shared" si="6"/>
        <v>0.97623192729004094</v>
      </c>
      <c r="AA10" s="629">
        <f t="shared" si="7"/>
        <v>2.3347442871420036E-2</v>
      </c>
      <c r="AB10" s="629">
        <f t="shared" si="8"/>
        <v>-0.21546721572187807</v>
      </c>
      <c r="AC10" s="636">
        <f t="shared" ref="AC10:AC105" si="84">IF(M10="","",SQRT(Z10^2+AA10^2+AB10^2))</f>
        <v>1</v>
      </c>
      <c r="AD10" s="637">
        <f>IF(M10="","",Z10*(1/SQRT(Z10^2+AA10^2+AB10^2)))</f>
        <v>0.97623192729004094</v>
      </c>
      <c r="AE10" s="629">
        <f t="shared" ref="AE10:AE105" si="85">IF(M10="","",AA10*(1/SQRT(Z10^2+AA10^2+AB10^2)))</f>
        <v>2.3347442871420036E-2</v>
      </c>
      <c r="AF10" s="633">
        <f t="shared" ref="AF10:AF105" si="86">IF(M10="","",AB10*(1/SQRT(Z10^2+AA10^2+AB10^2)))</f>
        <v>-0.21546721572187807</v>
      </c>
      <c r="AG10" s="602">
        <f t="shared" ref="AG10:AG105" si="87">IF(M10="","",DEGREES(ATAN2(-AF10,AE10)))</f>
        <v>6.1842866699573786</v>
      </c>
      <c r="AH10" s="603">
        <f t="shared" ref="AH10:AH105" si="88">IF(M10="","",DEGREES(ACOS(AD10)))</f>
        <v>12.516951867060415</v>
      </c>
      <c r="AI10" s="585">
        <f t="shared" ref="AI10:AI105" si="89">IF(M10="","",DEGREES(-ACOS(-AF10)))</f>
        <v>-77.557060740623569</v>
      </c>
      <c r="AJ10" s="586">
        <f t="shared" ref="AJ10:AJ105" si="90">IF(M10="","",DEGREES(ATAN2(-AE10,AD10)))</f>
        <v>91.370017662918784</v>
      </c>
      <c r="AK10" s="635">
        <f>IF(M10="","",(COS(RADIANS((90-$Q$8)-W10))*AD10)+(-SIN(RADIANS((90-$Q$8)-W10))*AE10))</f>
        <v>0.97620773748527057</v>
      </c>
      <c r="AL10" s="629">
        <f t="shared" ref="AL10:AL105" si="91">IF(M10="","",(SIN(RADIANS((90-$Q$8)-W10))*AD10)+(COS(RADIANS((90-$Q$8)-W10))*AE10))</f>
        <v>2.4337876303223899E-2</v>
      </c>
      <c r="AM10" s="634">
        <f t="shared" ref="AM10:AM105" si="92">IF(M10="","",AF10)</f>
        <v>-0.21546721572187807</v>
      </c>
      <c r="AN10" s="581">
        <f t="shared" ref="AN10:AN105" si="93">IF(M10="","",DEGREES(ATAN2(-AM10,AL10)))</f>
        <v>6.4444706229175059</v>
      </c>
      <c r="AO10" s="582">
        <f t="shared" ref="AO10:AO54" si="94">IF(ROUND(IF(M10="",0,DEGREES(ACOS(AK10))),4)=90,0,IF(M10="","",DEGREES(ACOS(AK10))))</f>
        <v>12.523345238362184</v>
      </c>
      <c r="AP10" s="585">
        <f t="shared" ref="AP10:AP105" si="95">IF(M10="","",DEGREES(ATAN2(AK10,AL10)))</f>
        <v>1.4281476545258496</v>
      </c>
      <c r="AQ10" s="586">
        <f t="shared" si="9"/>
        <v>1.9945722342482926</v>
      </c>
      <c r="AS10" s="52">
        <f>IF($M10="","",IF(AND($W10&lt;($AS$9+180),$W10&gt;($AS$9-180)),$W10,IF($W10&gt;($AS$9+180),$W10-360,IF($W10&lt;($AS$9-180),$W10+360,"Error"))))</f>
        <v>3.0797695553362985</v>
      </c>
      <c r="AT10" s="72">
        <f t="shared" si="10"/>
        <v>-0.12856001980904269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5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5.09981620448966E-2</v>
      </c>
      <c r="C11" s="708">
        <v>2.0054577215646101</v>
      </c>
      <c r="D11" s="709">
        <v>-7.6200229819893162E-2</v>
      </c>
      <c r="E11" s="710">
        <v>-0.97031672858167761</v>
      </c>
      <c r="F11" s="708">
        <v>0.13689059794341291</v>
      </c>
      <c r="G11" s="711">
        <v>0.19936501806797974</v>
      </c>
      <c r="H11" s="710">
        <v>0.314</v>
      </c>
      <c r="I11" s="708">
        <v>0.52</v>
      </c>
      <c r="J11" s="570">
        <v>1.1080000000000001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1.1080000000000001</v>
      </c>
      <c r="N11" s="632">
        <f t="shared" si="2"/>
        <v>5.09981620448966E-2</v>
      </c>
      <c r="O11" s="629">
        <f t="shared" si="3"/>
        <v>2.0054577215646101</v>
      </c>
      <c r="P11" s="633">
        <f t="shared" si="4"/>
        <v>-7.6200229819893162E-2</v>
      </c>
      <c r="Q11" s="585">
        <f t="shared" ref="Q11:Q73" si="113">IF(M11="","",IF(DEGREES(ATAN2(N11,O11))&lt;0,DEGREES(ATAN2(N11,O11))+360,IF(DEGREES(ATAN2(N11,O11))&gt;360,DEGREES(ATAN2(N11,O11))-360,DEGREES(ATAN2(N11,O11)))))</f>
        <v>88.543300210321433</v>
      </c>
      <c r="R11" s="629">
        <f t="shared" si="79"/>
        <v>2.0061060504158483</v>
      </c>
      <c r="S11" s="634">
        <f t="shared" si="80"/>
        <v>-7.6200229819893162E-2</v>
      </c>
      <c r="T11" s="635">
        <f t="shared" si="81"/>
        <v>2.005242503168049</v>
      </c>
      <c r="U11" s="629">
        <f t="shared" si="82"/>
        <v>5.8855662458346239E-2</v>
      </c>
      <c r="V11" s="636">
        <f t="shared" ref="V11:V105" si="114">IF(M11="","",Y11)</f>
        <v>-7.6200229819893162E-2</v>
      </c>
      <c r="W11" s="585">
        <f t="shared" si="5"/>
        <v>1.6811997572647925</v>
      </c>
      <c r="X11" s="629">
        <f>IF(M11="","",R11)</f>
        <v>2.0061060504158483</v>
      </c>
      <c r="Y11" s="630">
        <f>IF(M11="","",S11)</f>
        <v>-7.6200229819893162E-2</v>
      </c>
      <c r="Z11" s="632">
        <f t="shared" si="6"/>
        <v>0.97031672858167761</v>
      </c>
      <c r="AA11" s="629">
        <f t="shared" si="7"/>
        <v>-0.13689059794341291</v>
      </c>
      <c r="AB11" s="629">
        <f t="shared" si="8"/>
        <v>-0.19936501806797974</v>
      </c>
      <c r="AC11" s="636">
        <f t="shared" si="84"/>
        <v>1</v>
      </c>
      <c r="AD11" s="637">
        <f t="shared" ref="AD11:AD105" si="115">IF(M11="","",Z11*(1/SQRT(Z11^2+AA11^2+AB11^2)))</f>
        <v>0.97031672858167761</v>
      </c>
      <c r="AE11" s="629">
        <f t="shared" si="85"/>
        <v>-0.13689059794341291</v>
      </c>
      <c r="AF11" s="633">
        <f t="shared" si="86"/>
        <v>-0.19936501806797974</v>
      </c>
      <c r="AG11" s="602">
        <f>IF(M11="","",DEGREES(ATAN2(-AF11,AE11)))</f>
        <v>-34.474776978852603</v>
      </c>
      <c r="AH11" s="603">
        <f t="shared" si="88"/>
        <v>13.995025034648853</v>
      </c>
      <c r="AI11" s="585">
        <f t="shared" si="89"/>
        <v>-78.500170517643213</v>
      </c>
      <c r="AJ11" s="586">
        <f t="shared" si="90"/>
        <v>81.96980632773105</v>
      </c>
      <c r="AK11" s="635">
        <f>IF(M11="","",(COS(RADIANS((90-$Q$8)-W11))*AD11)+(-SIN(RADIANS((90-$Q$8)-W11))*AE11))</f>
        <v>0.97348310384137304</v>
      </c>
      <c r="AL11" s="629">
        <f t="shared" si="91"/>
        <v>-0.11217948166273771</v>
      </c>
      <c r="AM11" s="634">
        <f t="shared" si="92"/>
        <v>-0.19936501806797974</v>
      </c>
      <c r="AN11" s="581">
        <f>IF(M11="","",DEGREES(ATAN2(-AM11,AL11)))</f>
        <v>-29.365756126466287</v>
      </c>
      <c r="AO11" s="582">
        <f>IF(ROUND(IF(M11="",0,DEGREES(ACOS(AK11))),4)=90,0,IF(M11="","",DEGREES(ACOS(AK11))))</f>
        <v>13.224015587331687</v>
      </c>
      <c r="AP11" s="585">
        <f t="shared" si="95"/>
        <v>-6.5734938825903981</v>
      </c>
      <c r="AQ11" s="586">
        <f t="shared" si="9"/>
        <v>1.1362449003655741</v>
      </c>
      <c r="AS11" s="52">
        <f t="shared" ref="AS11:AS42" si="116">IF(G11="","",IF(AND(W11&lt;(AS10+180),W11&gt;(AS10-180)),W11,IF(W11&gt;(AS10+180),W11-360,IF(W11&lt;(AS10-180),W11+360,"Error"))))</f>
        <v>1.6811997572647925</v>
      </c>
      <c r="AT11" s="72">
        <f t="shared" si="10"/>
        <v>-7.5188632743727488E-2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1.1080000000000001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0.14872166638978285</v>
      </c>
      <c r="C12" s="708">
        <v>2.7128346801142893</v>
      </c>
      <c r="D12" s="709">
        <v>-0.46990141722267431</v>
      </c>
      <c r="E12" s="710">
        <v>-0.93920168675572391</v>
      </c>
      <c r="F12" s="708">
        <v>0.30566697739373133</v>
      </c>
      <c r="G12" s="711">
        <v>0.15642215484445726</v>
      </c>
      <c r="H12" s="710">
        <v>0.314</v>
      </c>
      <c r="I12" s="708">
        <v>0.52</v>
      </c>
      <c r="J12" s="570">
        <v>1.113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1.113</v>
      </c>
      <c r="N12" s="632">
        <f t="shared" si="2"/>
        <v>0.14872166638978285</v>
      </c>
      <c r="O12" s="629">
        <f t="shared" si="3"/>
        <v>2.7128346801142893</v>
      </c>
      <c r="P12" s="633">
        <f t="shared" si="4"/>
        <v>-0.46990141722267431</v>
      </c>
      <c r="Q12" s="585">
        <f>IF(M12="","",IF(DEGREES(ATAN2(N12,O12))&lt;0,DEGREES(ATAN2(N12,O12))+360,IF(DEGREES(ATAN2(N12,O12))&gt;360,DEGREES(ATAN2(N12,O12))-360,DEGREES(ATAN2(N12,O12)))))</f>
        <v>86.862100453056641</v>
      </c>
      <c r="R12" s="629">
        <f t="shared" si="79"/>
        <v>2.7169081941951134</v>
      </c>
      <c r="S12" s="634">
        <f t="shared" si="80"/>
        <v>-0.46990141722267431</v>
      </c>
      <c r="T12" s="635">
        <f>IF(M12="","",X12*COS(RADIANS(W12)))</f>
        <v>2.7169081941951134</v>
      </c>
      <c r="U12" s="629">
        <f t="shared" si="82"/>
        <v>0</v>
      </c>
      <c r="V12" s="636">
        <f t="shared" si="114"/>
        <v>-0.46990141722267431</v>
      </c>
      <c r="W12" s="585">
        <f>IF(M12="","",IF(Q12-$Q$8&lt;0,360+Q12-$Q$8,Q12-$Q$8))</f>
        <v>0</v>
      </c>
      <c r="X12" s="629">
        <f t="shared" si="83"/>
        <v>2.7169081941951134</v>
      </c>
      <c r="Y12" s="630">
        <f>IF(M12="","",S12)</f>
        <v>-0.46990141722267431</v>
      </c>
      <c r="Z12" s="632">
        <f t="shared" si="6"/>
        <v>0.93920168675572391</v>
      </c>
      <c r="AA12" s="629">
        <f t="shared" si="7"/>
        <v>-0.30566697739373133</v>
      </c>
      <c r="AB12" s="629">
        <f t="shared" si="8"/>
        <v>-0.15642215484445726</v>
      </c>
      <c r="AC12" s="636">
        <f t="shared" si="84"/>
        <v>1</v>
      </c>
      <c r="AD12" s="637">
        <f t="shared" si="115"/>
        <v>0.93920168675572391</v>
      </c>
      <c r="AE12" s="629">
        <f t="shared" si="85"/>
        <v>-0.30566697739373133</v>
      </c>
      <c r="AF12" s="633">
        <f t="shared" si="86"/>
        <v>-0.15642215484445726</v>
      </c>
      <c r="AG12" s="602">
        <f t="shared" si="87"/>
        <v>-62.899337494662504</v>
      </c>
      <c r="AH12" s="603">
        <f t="shared" si="88"/>
        <v>20.082080574605996</v>
      </c>
      <c r="AI12" s="585">
        <f t="shared" si="89"/>
        <v>-81.000714113488698</v>
      </c>
      <c r="AJ12" s="586">
        <f t="shared" si="90"/>
        <v>71.97231256872351</v>
      </c>
      <c r="AK12" s="635">
        <f t="shared" ref="AK12:AK105" si="211">IF(M12="","",(COS(RADIANS((90-$Q$8)-W12))*AD12)+(-SIN(RADIANS((90-$Q$8)-W12))*AE12))</f>
        <v>0.95452552104336885</v>
      </c>
      <c r="AL12" s="629">
        <f>IF(M12="","",(SIN(RADIANS((90-$Q$8)-W12))*AD12)+(COS(RADIANS((90-$Q$8)-W12))*AE12))</f>
        <v>-0.2537974372421874</v>
      </c>
      <c r="AM12" s="634">
        <f t="shared" si="92"/>
        <v>-0.15642215484445726</v>
      </c>
      <c r="AN12" s="581">
        <f>IF(M12="","",DEGREES(ATAN2(-AM12,AL12)))</f>
        <v>-58.353360248392235</v>
      </c>
      <c r="AO12" s="582">
        <f t="shared" si="94"/>
        <v>17.34527412069713</v>
      </c>
      <c r="AP12" s="585">
        <f t="shared" si="95"/>
        <v>-14.889787884333131</v>
      </c>
      <c r="AQ12" s="586">
        <f t="shared" si="9"/>
        <v>0.83902859828276843</v>
      </c>
      <c r="AS12" s="52">
        <f t="shared" si="116"/>
        <v>0</v>
      </c>
      <c r="AT12" s="72">
        <f>IF(M12="","",Y12+(((AS12-$AS$9)*$AS$6)*-1))</f>
        <v>-0.46772232031507477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1.113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0.21873398754112058</v>
      </c>
      <c r="C13" s="708">
        <v>3.0735358145355498</v>
      </c>
      <c r="D13" s="709">
        <v>-1.1961036074484801</v>
      </c>
      <c r="E13" s="710">
        <v>-0.84760454967760768</v>
      </c>
      <c r="F13" s="708">
        <v>0.52020069815810044</v>
      </c>
      <c r="G13" s="711">
        <v>0.10467932461400793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190</v>
      </c>
      <c r="M13" s="168">
        <f t="shared" si="1"/>
        <v>1.1180000000000001</v>
      </c>
      <c r="N13" s="632">
        <f t="shared" si="2"/>
        <v>0.21873398754112058</v>
      </c>
      <c r="O13" s="629">
        <f t="shared" si="3"/>
        <v>3.0735358145355498</v>
      </c>
      <c r="P13" s="633">
        <f t="shared" si="4"/>
        <v>-1.1961036074484801</v>
      </c>
      <c r="Q13" s="585">
        <f t="shared" si="113"/>
        <v>85.929300587736279</v>
      </c>
      <c r="R13" s="629">
        <f t="shared" si="79"/>
        <v>3.0813092932288288</v>
      </c>
      <c r="S13" s="634">
        <f t="shared" si="80"/>
        <v>-1.1961036074484801</v>
      </c>
      <c r="T13" s="635">
        <f>IF(M13="","",X13*COS(RADIANS(W13)))</f>
        <v>3.080900948089758</v>
      </c>
      <c r="U13" s="629">
        <f t="shared" si="82"/>
        <v>-5.0162820873383432E-2</v>
      </c>
      <c r="V13" s="636">
        <f t="shared" si="114"/>
        <v>-1.1961036074484801</v>
      </c>
      <c r="W13" s="585">
        <f t="shared" si="5"/>
        <v>359.06720013467964</v>
      </c>
      <c r="X13" s="629">
        <f t="shared" si="83"/>
        <v>3.0813092932288288</v>
      </c>
      <c r="Y13" s="630">
        <f>IF(M13="","",S13)</f>
        <v>-1.1961036074484801</v>
      </c>
      <c r="Z13" s="632">
        <f t="shared" si="6"/>
        <v>0.84760454967760768</v>
      </c>
      <c r="AA13" s="629">
        <f t="shared" si="7"/>
        <v>-0.52020069815810044</v>
      </c>
      <c r="AB13" s="629">
        <f t="shared" si="8"/>
        <v>-0.10467932461400793</v>
      </c>
      <c r="AC13" s="636">
        <f t="shared" si="84"/>
        <v>1</v>
      </c>
      <c r="AD13" s="637">
        <f>IF(M13="","",Z13*(1/SQRT(Z13^2+AA13^2+AB13^2)))</f>
        <v>0.84760454967760768</v>
      </c>
      <c r="AE13" s="629">
        <f t="shared" si="85"/>
        <v>-0.52020069815810044</v>
      </c>
      <c r="AF13" s="633">
        <f t="shared" si="86"/>
        <v>-0.10467932461400793</v>
      </c>
      <c r="AG13" s="602">
        <f>IF(M13="","",DEGREES(ATAN2(-AF13,AE13)))</f>
        <v>-78.622390367780739</v>
      </c>
      <c r="AH13" s="603">
        <f t="shared" si="88"/>
        <v>32.047924935364058</v>
      </c>
      <c r="AI13" s="585">
        <f t="shared" si="89"/>
        <v>-83.991308600225025</v>
      </c>
      <c r="AJ13" s="586">
        <f t="shared" si="90"/>
        <v>58.461293281601961</v>
      </c>
      <c r="AK13" s="635">
        <f t="shared" si="211"/>
        <v>0.88239389632259235</v>
      </c>
      <c r="AL13" s="629">
        <f t="shared" si="91"/>
        <v>-0.45871914144821696</v>
      </c>
      <c r="AM13" s="634">
        <f t="shared" si="92"/>
        <v>-0.10467932461400793</v>
      </c>
      <c r="AN13" s="581">
        <f t="shared" si="93"/>
        <v>-77.145270251423867</v>
      </c>
      <c r="AO13" s="582">
        <f t="shared" si="94"/>
        <v>28.067500095263487</v>
      </c>
      <c r="AP13" s="585">
        <f t="shared" si="95"/>
        <v>-27.468007306134336</v>
      </c>
      <c r="AQ13" s="586">
        <f t="shared" si="9"/>
        <v>0.73981535691466216</v>
      </c>
      <c r="AS13" s="52">
        <f t="shared" si="116"/>
        <v>-0.93279986532036219</v>
      </c>
      <c r="AT13" s="72">
        <f t="shared" si="10"/>
        <v>-1.1932767328566303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0.2419488912519015</v>
      </c>
      <c r="C14" s="708">
        <v>3.1795172206665945</v>
      </c>
      <c r="D14" s="709">
        <v>-1.9191057880230569</v>
      </c>
      <c r="E14" s="710">
        <v>-0.77326954245195478</v>
      </c>
      <c r="F14" s="708">
        <v>0.63407745166984764</v>
      </c>
      <c r="G14" s="711">
        <v>1.3008419219013557E-7</v>
      </c>
      <c r="H14" s="710">
        <v>0.26600000000000001</v>
      </c>
      <c r="I14" s="708">
        <v>0.52</v>
      </c>
      <c r="J14" s="570">
        <v>1.123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1313</v>
      </c>
      <c r="L14" s="776" t="s">
        <v>367</v>
      </c>
      <c r="M14" s="168">
        <f t="shared" si="1"/>
        <v>1.123</v>
      </c>
      <c r="N14" s="632">
        <f t="shared" si="2"/>
        <v>0.2419488912519015</v>
      </c>
      <c r="O14" s="629">
        <f t="shared" si="3"/>
        <v>3.1795172206665945</v>
      </c>
      <c r="P14" s="633">
        <f t="shared" si="4"/>
        <v>-1.9191057880230569</v>
      </c>
      <c r="Q14" s="585">
        <f t="shared" si="113"/>
        <v>85.648400628293217</v>
      </c>
      <c r="R14" s="629">
        <f t="shared" si="79"/>
        <v>3.1887096171482048</v>
      </c>
      <c r="S14" s="634">
        <f t="shared" si="80"/>
        <v>-1.9191057880230569</v>
      </c>
      <c r="T14" s="635">
        <f t="shared" si="81"/>
        <v>3.1879942219023163</v>
      </c>
      <c r="U14" s="629">
        <f t="shared" si="82"/>
        <v>-6.7541569502749046E-2</v>
      </c>
      <c r="V14" s="636">
        <f t="shared" si="114"/>
        <v>-1.9191057880230569</v>
      </c>
      <c r="W14" s="585">
        <f t="shared" si="5"/>
        <v>358.78630017523653</v>
      </c>
      <c r="X14" s="629">
        <f t="shared" si="83"/>
        <v>3.1887096171482048</v>
      </c>
      <c r="Y14" s="630">
        <f t="shared" ref="Y14:Y75" si="223">IF(M14="","",S14)</f>
        <v>-1.9191057880230569</v>
      </c>
      <c r="Z14" s="632">
        <f t="shared" si="6"/>
        <v>0.77326954245195478</v>
      </c>
      <c r="AA14" s="629">
        <f t="shared" si="7"/>
        <v>-0.63407745166984764</v>
      </c>
      <c r="AB14" s="629">
        <f t="shared" si="8"/>
        <v>-1.3008419219013557E-7</v>
      </c>
      <c r="AC14" s="636">
        <f t="shared" si="84"/>
        <v>1</v>
      </c>
      <c r="AD14" s="637">
        <f>IF(M14="","",Z14*(1/SQRT(Z14^2+AA14^2+AB14^2)))</f>
        <v>0.77326954245195478</v>
      </c>
      <c r="AE14" s="629">
        <f t="shared" si="85"/>
        <v>-0.63407745166984764</v>
      </c>
      <c r="AF14" s="633">
        <f t="shared" si="86"/>
        <v>-1.3008419219013557E-7</v>
      </c>
      <c r="AG14" s="602">
        <f t="shared" si="87"/>
        <v>-89.999988245481404</v>
      </c>
      <c r="AH14" s="603">
        <f t="shared" si="88"/>
        <v>39.351594318332644</v>
      </c>
      <c r="AI14" s="585">
        <f t="shared" si="89"/>
        <v>-89.999992546724812</v>
      </c>
      <c r="AJ14" s="586">
        <f t="shared" si="90"/>
        <v>50.648405681667924</v>
      </c>
      <c r="AK14" s="635">
        <f>IF(M14="","",(COS(RADIANS((90-$Q$8)-W14))*AD14)+(-SIN(RADIANS((90-$Q$8)-W14))*AE14))</f>
        <v>0.81915209487729224</v>
      </c>
      <c r="AL14" s="629">
        <f t="shared" si="91"/>
        <v>-0.57357636410344426</v>
      </c>
      <c r="AM14" s="634">
        <f t="shared" si="92"/>
        <v>-1.3008419219013557E-7</v>
      </c>
      <c r="AN14" s="581">
        <f t="shared" si="93"/>
        <v>-89.999987005609611</v>
      </c>
      <c r="AO14" s="582">
        <f t="shared" si="94"/>
        <v>34.999994946625925</v>
      </c>
      <c r="AP14" s="585">
        <f>IF(M14="","",DEGREES(ATAN2(AK14,AL14)))</f>
        <v>-34.999994946625243</v>
      </c>
      <c r="AQ14" s="586">
        <f t="shared" si="9"/>
        <v>0.71489994336999119</v>
      </c>
      <c r="AS14" s="52">
        <f t="shared" si="116"/>
        <v>-1.2136998247634665</v>
      </c>
      <c r="AT14" s="72">
        <f t="shared" si="10"/>
        <v>-1.916083844014927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1.123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1.0844497742967683</v>
      </c>
      <c r="C15" s="708">
        <v>2.5302478912863426</v>
      </c>
      <c r="D15" s="709">
        <v>-0.44086148530948349</v>
      </c>
      <c r="E15" s="710">
        <v>-0.68383342521601465</v>
      </c>
      <c r="F15" s="708">
        <v>0.67005312474051637</v>
      </c>
      <c r="G15" s="711">
        <v>0.28879171834178935</v>
      </c>
      <c r="H15" s="710">
        <v>0.26600000000000001</v>
      </c>
      <c r="I15" s="708">
        <v>0.52</v>
      </c>
      <c r="J15" s="570">
        <v>1.2130000000000001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1313</v>
      </c>
      <c r="L15" s="1312">
        <f>IF($L14=$JH$22,$JH$29,IF($L14=$JI$22,$JI$29,""))</f>
        <v>180</v>
      </c>
      <c r="M15" s="168">
        <f t="shared" si="1"/>
        <v>1.2130000000000001</v>
      </c>
      <c r="N15" s="632">
        <f t="shared" si="2"/>
        <v>1.0844497742967683</v>
      </c>
      <c r="O15" s="629">
        <f t="shared" si="3"/>
        <v>2.5302478912863426</v>
      </c>
      <c r="P15" s="633">
        <f t="shared" si="4"/>
        <v>-0.44086148530948349</v>
      </c>
      <c r="Q15" s="585">
        <f t="shared" si="113"/>
        <v>66.800303349621771</v>
      </c>
      <c r="R15" s="629">
        <f t="shared" si="79"/>
        <v>2.7528504689378419</v>
      </c>
      <c r="S15" s="634">
        <f t="shared" si="80"/>
        <v>-0.44086148530948349</v>
      </c>
      <c r="T15" s="635">
        <f t="shared" si="81"/>
        <v>2.5858162676705279</v>
      </c>
      <c r="U15" s="629">
        <f t="shared" si="82"/>
        <v>-0.94431982621448618</v>
      </c>
      <c r="V15" s="636">
        <f t="shared" si="114"/>
        <v>-0.44086148530948349</v>
      </c>
      <c r="W15" s="585">
        <f t="shared" ref="W15:W78" si="224">IF(M15="","",IF(Q15-$Q$8&lt;0,360+Q15-$Q$8,Q15-$Q$8))</f>
        <v>339.93820289656514</v>
      </c>
      <c r="X15" s="629">
        <f>IF(M15="","",R15)</f>
        <v>2.7528504689378419</v>
      </c>
      <c r="Y15" s="630">
        <f>IF(M15="","",S15)</f>
        <v>-0.44086148530948349</v>
      </c>
      <c r="Z15" s="632">
        <f t="shared" si="6"/>
        <v>0.68383342521601465</v>
      </c>
      <c r="AA15" s="629">
        <f t="shared" si="7"/>
        <v>-0.67005312474051637</v>
      </c>
      <c r="AB15" s="629">
        <f t="shared" si="8"/>
        <v>-0.28879171834178935</v>
      </c>
      <c r="AC15" s="636">
        <f t="shared" si="84"/>
        <v>1</v>
      </c>
      <c r="AD15" s="637">
        <f t="shared" si="115"/>
        <v>0.68383342521601465</v>
      </c>
      <c r="AE15" s="629">
        <f t="shared" si="85"/>
        <v>-0.67005312474051637</v>
      </c>
      <c r="AF15" s="633">
        <f t="shared" si="86"/>
        <v>-0.28879171834178935</v>
      </c>
      <c r="AG15" s="602">
        <f t="shared" si="87"/>
        <v>-66.684042773751088</v>
      </c>
      <c r="AH15" s="603">
        <f t="shared" si="88"/>
        <v>46.856068420641691</v>
      </c>
      <c r="AI15" s="585">
        <f t="shared" si="89"/>
        <v>-73.214368212651721</v>
      </c>
      <c r="AJ15" s="586">
        <f t="shared" si="90"/>
        <v>45.583155061200834</v>
      </c>
      <c r="AK15" s="635">
        <f t="shared" si="211"/>
        <v>0.89249564034024931</v>
      </c>
      <c r="AL15" s="629">
        <f t="shared" si="91"/>
        <v>-0.3464835860338048</v>
      </c>
      <c r="AM15" s="634">
        <f t="shared" si="92"/>
        <v>-0.28879171834178935</v>
      </c>
      <c r="AN15" s="581">
        <f>IF(M15="","",DEGREES(ATAN2(-AM15,AL15)))</f>
        <v>-50.18902308298523</v>
      </c>
      <c r="AO15" s="582">
        <f t="shared" si="94"/>
        <v>26.811457219091487</v>
      </c>
      <c r="AP15" s="585">
        <f t="shared" si="95"/>
        <v>-21.217148288420962</v>
      </c>
      <c r="AQ15" s="586">
        <f t="shared" si="9"/>
        <v>0.82807545362118984</v>
      </c>
      <c r="AS15" s="52">
        <f t="shared" si="116"/>
        <v>-20.061797103434856</v>
      </c>
      <c r="AT15" s="72">
        <f t="shared" si="10"/>
        <v>-0.42475058485783196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>Taper</v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1.2130000000000001</v>
      </c>
      <c r="IH15" s="731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>1.113</v>
      </c>
      <c r="II15" s="734" cm="1">
        <f t="array" ref="II15">IFERROR(IF($IH15&lt;1,$IH15+LARGE((IF($M$9:$M$150="",0,$M$9:$M$150)-MOD(IF($M$9:$M$150="",0,$M$9:$M$150),1)),1),$IH15),"")</f>
        <v>1.113</v>
      </c>
      <c r="IJ15" s="533">
        <f t="shared" si="112"/>
        <v>1613</v>
      </c>
      <c r="IK15" s="533">
        <f t="shared" si="66"/>
        <v>1313</v>
      </c>
      <c r="IL15" s="727">
        <f t="shared" si="67"/>
        <v>20.061797103434856</v>
      </c>
      <c r="IM15" s="759">
        <v>1.5690820079176802E-2</v>
      </c>
      <c r="IN15" s="5">
        <f t="shared" si="68"/>
        <v>0.36</v>
      </c>
      <c r="IO15" s="771">
        <v>180</v>
      </c>
      <c r="IP15" s="9">
        <f t="shared" si="69"/>
        <v>-2.7169081941951134</v>
      </c>
      <c r="IQ15" s="5">
        <f t="shared" si="70"/>
        <v>-0.46990141722267431</v>
      </c>
      <c r="IR15" s="5">
        <f t="shared" si="71"/>
        <v>0.314</v>
      </c>
      <c r="IS15" s="5">
        <f t="shared" si="72"/>
        <v>0.29972101360761783</v>
      </c>
      <c r="IT15" s="727">
        <f t="shared" si="73"/>
        <v>58.353360248392235</v>
      </c>
      <c r="IU15" s="9">
        <f t="shared" si="74"/>
        <v>-2.7528504689378419</v>
      </c>
      <c r="IV15" s="5">
        <f t="shared" si="75"/>
        <v>-0.44086148530948349</v>
      </c>
      <c r="IW15" s="5">
        <f t="shared" si="76"/>
        <v>0.26600000000000001</v>
      </c>
      <c r="IX15" s="5">
        <f t="shared" si="77"/>
        <v>0.23740384033050635</v>
      </c>
      <c r="IY15" s="762">
        <f t="shared" si="78"/>
        <v>50.18902308298523</v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24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1.2458898963512799</v>
      </c>
      <c r="C16" s="708">
        <v>2.8648861377381376</v>
      </c>
      <c r="D16" s="709">
        <v>-1.1930075772458015</v>
      </c>
      <c r="E16" s="710">
        <v>-0.58782455476678908</v>
      </c>
      <c r="F16" s="708">
        <v>0.79888410011912314</v>
      </c>
      <c r="G16" s="711">
        <v>0.12746170950558075</v>
      </c>
      <c r="H16" s="710">
        <v>0.26600000000000001</v>
      </c>
      <c r="I16" s="708">
        <v>0.52</v>
      </c>
      <c r="J16" s="570">
        <v>1.218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1.218</v>
      </c>
      <c r="N16" s="632">
        <f t="shared" si="2"/>
        <v>1.2458898963512799</v>
      </c>
      <c r="O16" s="629">
        <f t="shared" si="3"/>
        <v>2.8648861377381376</v>
      </c>
      <c r="P16" s="633">
        <f t="shared" si="4"/>
        <v>-1.1930075772458015</v>
      </c>
      <c r="Q16" s="585">
        <f>IF(M16="","",IF(DEGREES(ATAN2(N16,O16))&lt;0,DEGREES(ATAN2(N16,O16))+360,IF(DEGREES(ATAN2(N16,O16))&gt;360,DEGREES(ATAN2(N16,O16))-360,DEGREES(ATAN2(N16,O16)))))</f>
        <v>66.496603393470608</v>
      </c>
      <c r="R16" s="629">
        <f t="shared" si="79"/>
        <v>3.124070136222032</v>
      </c>
      <c r="S16" s="634">
        <f t="shared" si="80"/>
        <v>-1.1930075772458015</v>
      </c>
      <c r="T16" s="635">
        <f t="shared" si="81"/>
        <v>2.9287899044802281</v>
      </c>
      <c r="U16" s="629">
        <f t="shared" si="82"/>
        <v>-1.087200032859198</v>
      </c>
      <c r="V16" s="636">
        <f t="shared" si="114"/>
        <v>-1.1930075772458015</v>
      </c>
      <c r="W16" s="585">
        <f>IF(M16="","",IF(Q16-$Q$8&lt;0,360+Q16-$Q$8,Q16-$Q$8))</f>
        <v>339.63450294041394</v>
      </c>
      <c r="X16" s="629">
        <f t="shared" si="83"/>
        <v>3.124070136222032</v>
      </c>
      <c r="Y16" s="630">
        <f t="shared" si="223"/>
        <v>-1.1930075772458015</v>
      </c>
      <c r="Z16" s="632">
        <f t="shared" si="6"/>
        <v>0.58782455476678908</v>
      </c>
      <c r="AA16" s="629">
        <f t="shared" si="7"/>
        <v>-0.79888410011912314</v>
      </c>
      <c r="AB16" s="629">
        <f t="shared" si="8"/>
        <v>-0.12746170950558075</v>
      </c>
      <c r="AC16" s="636">
        <f t="shared" si="84"/>
        <v>1</v>
      </c>
      <c r="AD16" s="637">
        <f t="shared" si="115"/>
        <v>0.58782455476678908</v>
      </c>
      <c r="AE16" s="629">
        <f t="shared" si="85"/>
        <v>-0.79888410011912314</v>
      </c>
      <c r="AF16" s="633">
        <f t="shared" si="86"/>
        <v>-0.12746170950558075</v>
      </c>
      <c r="AG16" s="602">
        <f t="shared" si="87"/>
        <v>-80.934881763110781</v>
      </c>
      <c r="AH16" s="603">
        <f t="shared" si="88"/>
        <v>53.99721649154295</v>
      </c>
      <c r="AI16" s="585">
        <f t="shared" si="89"/>
        <v>-82.677061278959613</v>
      </c>
      <c r="AJ16" s="586">
        <f t="shared" si="90"/>
        <v>36.345896896173549</v>
      </c>
      <c r="AK16" s="635">
        <f t="shared" si="211"/>
        <v>0.85765425558203279</v>
      </c>
      <c r="AL16" s="629">
        <f t="shared" si="91"/>
        <v>-0.49817937581953764</v>
      </c>
      <c r="AM16" s="634">
        <f t="shared" si="92"/>
        <v>-0.12746170950558075</v>
      </c>
      <c r="AN16" s="581">
        <f t="shared" si="93"/>
        <v>-75.648457905533434</v>
      </c>
      <c r="AO16" s="582">
        <f t="shared" si="94"/>
        <v>30.94578565991592</v>
      </c>
      <c r="AP16" s="585">
        <f t="shared" si="95"/>
        <v>-30.150706497297048</v>
      </c>
      <c r="AQ16" s="586">
        <f t="shared" si="9"/>
        <v>0.72969020521801942</v>
      </c>
      <c r="AS16" s="52">
        <f t="shared" si="116"/>
        <v>-20.365497059586062</v>
      </c>
      <c r="AT16" s="72">
        <f t="shared" si="10"/>
        <v>-1.1766857740468228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Taper</v>
      </c>
      <c r="IF16" s="533" t="str">
        <f>IFERROR(IF((((($IW16*COS(RADIANS(180-$IY16)))*COS(RADIANS($IY16)))-(($IX16*SIN(RADIANS(180-$IY16)))*SIN(RADIANS($IY16))))+$IU16)&lt;(((Settings!$C$19+$IF$8)/2)*-1),"Gage",""),"")</f>
        <v>Gage</v>
      </c>
      <c r="IG16" s="847">
        <f t="shared" si="210"/>
        <v>1.218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1.1180000000000001</v>
      </c>
      <c r="II16" s="734" cm="1">
        <f t="array" ref="II16">IFERROR(IF($IH16&lt;1,$IH16+LARGE((IF($M$9:$M$150="",0,$M$9:$M$150)-MOD(IF($M$9:$M$150="",0,$M$9:$M$150),1)),1),$IH16),"")</f>
        <v>1.1180000000000001</v>
      </c>
      <c r="IJ16" s="533">
        <f t="shared" si="112"/>
        <v>1613</v>
      </c>
      <c r="IK16" s="533">
        <f t="shared" si="66"/>
        <v>1313</v>
      </c>
      <c r="IL16" s="727">
        <f>IF(ISNUMBER($II16),IFERROR(IF(INDEX($W$9:$W$150,MATCH($II16,$M$9:$M$150,0))&lt;$W16,((INDEX($W$9:$W$150,MATCH($II16,$M$9:$M$150,0))+360)-$W16),INDEX($W$9:$W$150,MATCH($II16,$M$9:$M$150,0))-$W16),""),"")</f>
        <v>19.4326971942657</v>
      </c>
      <c r="IM16" s="759">
        <v>5.6104162070783996E-3</v>
      </c>
      <c r="IN16" s="5">
        <f>IF(ISNUMBER($II16),(($IO16*12)/60)/$AS$3,"")</f>
        <v>0.34</v>
      </c>
      <c r="IO16" s="771">
        <v>170</v>
      </c>
      <c r="IP16" s="9">
        <f>IF(ISNUMBER($II16),(INDEX($X$9:$X$150,MATCH($II16,$M$9:$M$150,0))*-1),"")</f>
        <v>-3.0813092932288288</v>
      </c>
      <c r="IQ16" s="5">
        <f>IF(ISNUMBER($II16),INDEX($Y$9:$Y$150,MATCH($II16,$M$9:$M$150,0)),"")</f>
        <v>-1.1961036074484801</v>
      </c>
      <c r="IR16" s="5">
        <f t="shared" si="71"/>
        <v>0.314</v>
      </c>
      <c r="IS16" s="5">
        <f>IF(ISNUMBER($II16),$IR16*COS(RADIANS(INDEX($AO$9:$AO$150,MATCH($II16,$M$9:$M$150,0)))),"")</f>
        <v>0.27707168344529398</v>
      </c>
      <c r="IT16" s="727">
        <f>IF(ISNUMBER($II16),(-1*INDEX($AN$9:$AN$150,MATCH($II16,$M$9:$M$150,0))),"")</f>
        <v>77.145270251423867</v>
      </c>
      <c r="IU16" s="9">
        <f>IF(ISNUMBER($II16),-$X16,"")</f>
        <v>-3.124070136222032</v>
      </c>
      <c r="IV16" s="5">
        <f>IF(ISNUMBER($II16),$Y16,"")</f>
        <v>-1.1930075772458015</v>
      </c>
      <c r="IW16" s="5">
        <f t="shared" si="76"/>
        <v>0.26600000000000001</v>
      </c>
      <c r="IX16" s="5">
        <f>IF(ISNUMBER($II16),$IW16*COS(RADIANS($AO16)),"")</f>
        <v>0.22813603198482074</v>
      </c>
      <c r="IY16" s="762">
        <f>IF(ISNUMBER($II16),(-1*$AN16),"")</f>
        <v>75.648457905533434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1.7439325411129065</v>
      </c>
      <c r="C17" s="708">
        <v>0.59612815797187368</v>
      </c>
      <c r="D17" s="709">
        <v>-5.2200157435674834E-2</v>
      </c>
      <c r="E17" s="710">
        <v>-0.23562245616746216</v>
      </c>
      <c r="F17" s="708">
        <v>0.9490058819382714</v>
      </c>
      <c r="G17" s="711">
        <v>0.20945141249506091</v>
      </c>
      <c r="H17" s="710">
        <v>0.314</v>
      </c>
      <c r="I17" s="708">
        <v>0.52</v>
      </c>
      <c r="J17" s="570">
        <v>2.1070000000000002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2.1070000000000002</v>
      </c>
      <c r="N17" s="632">
        <f t="shared" si="2"/>
        <v>1.7439325411129065</v>
      </c>
      <c r="O17" s="629">
        <f t="shared" si="3"/>
        <v>0.59612815797187368</v>
      </c>
      <c r="P17" s="633">
        <f t="shared" si="4"/>
        <v>-5.2200157435674834E-2</v>
      </c>
      <c r="Q17" s="585">
        <f>IF(M17="","",IF(DEGREES(ATAN2(N17,O17))&lt;0,DEGREES(ATAN2(N17,O17))+360,IF(DEGREES(ATAN2(N17,O17))&gt;360,DEGREES(ATAN2(N17,O17))-360,DEGREES(ATAN2(N17,O17)))))</f>
        <v>18.871958292049531</v>
      </c>
      <c r="R17" s="629">
        <f>IF(M17="","",SQRT(N17^2+O17^2))</f>
        <v>1.8430055585047644</v>
      </c>
      <c r="S17" s="634">
        <f>IF(M17="","",P17)</f>
        <v>-5.2200157435674834E-2</v>
      </c>
      <c r="T17" s="635">
        <f>IF(M17="","",X17*COS(RADIANS(W17)))</f>
        <v>0.69069602658412965</v>
      </c>
      <c r="U17" s="629">
        <f>IF(M17="","",X17*SIN(RADIANS(W17)))</f>
        <v>-1.7086861875547406</v>
      </c>
      <c r="V17" s="636">
        <f>IF(M17="","",Y17)</f>
        <v>-5.2200157435674834E-2</v>
      </c>
      <c r="W17" s="585">
        <f t="shared" si="224"/>
        <v>292.0098578389929</v>
      </c>
      <c r="X17" s="629">
        <f>IF(M17="","",R17)</f>
        <v>1.8430055585047644</v>
      </c>
      <c r="Y17" s="630">
        <f t="shared" si="223"/>
        <v>-5.2200157435674834E-2</v>
      </c>
      <c r="Z17" s="632">
        <f t="shared" si="6"/>
        <v>0.23562245616746216</v>
      </c>
      <c r="AA17" s="629">
        <f t="shared" si="7"/>
        <v>-0.9490058819382714</v>
      </c>
      <c r="AB17" s="629">
        <f t="shared" si="8"/>
        <v>-0.20945141249506091</v>
      </c>
      <c r="AC17" s="636">
        <f>IF(M17="","",SQRT(Z17^2+AA17^2+AB17^2))</f>
        <v>1</v>
      </c>
      <c r="AD17" s="637">
        <f>IF(M17="","",Z17*(1/SQRT(Z17^2+AA17^2+AB17^2)))</f>
        <v>0.23562245616746216</v>
      </c>
      <c r="AE17" s="629">
        <f>IF(M17="","",AA17*(1/SQRT(Z17^2+AA17^2+AB17^2)))</f>
        <v>-0.9490058819382714</v>
      </c>
      <c r="AF17" s="633">
        <f>IF(M17="","",AB17*(1/SQRT(Z17^2+AA17^2+AB17^2)))</f>
        <v>-0.20945141249506091</v>
      </c>
      <c r="AG17" s="602">
        <f>IF(M17="","",DEGREES(ATAN2(-AF17,AE17)))</f>
        <v>-77.553996882551118</v>
      </c>
      <c r="AH17" s="603">
        <f>IF(M17="","",DEGREES(ACOS(AD17)))</f>
        <v>76.371682735342958</v>
      </c>
      <c r="AI17" s="585">
        <f>IF(M17="","",DEGREES(-ACOS(-AF17)))</f>
        <v>-77.909794438244631</v>
      </c>
      <c r="AJ17" s="586">
        <f>IF(M17="","",DEGREES(ATAN2(-AE17,AD17)))</f>
        <v>13.943640531816783</v>
      </c>
      <c r="AK17" s="635">
        <f>IF(M17="","",(COS(RADIANS((90-$Q$8)-W17))*AD17)+(-SIN(RADIANS((90-$Q$8)-W17))*AE17))</f>
        <v>0.97420401783719346</v>
      </c>
      <c r="AL17" s="629">
        <f>IF(M17="","",(SIN(RADIANS((90-$Q$8)-W17))*AD17)+(COS(RADIANS((90-$Q$8)-W17))*AE17))</f>
        <v>-8.4003794162484824E-2</v>
      </c>
      <c r="AM17" s="634">
        <f>IF(M17="","",AF17)</f>
        <v>-0.20945141249506091</v>
      </c>
      <c r="AN17" s="581">
        <f>IF(M17="","",DEGREES(ATAN2(-AM17,AL17)))</f>
        <v>-21.854032120372821</v>
      </c>
      <c r="AO17" s="582">
        <f t="shared" si="94"/>
        <v>13.042225316906521</v>
      </c>
      <c r="AP17" s="585">
        <f>IF(M17="","",DEGREES(ATAN2(AK17,AL17)))</f>
        <v>-4.928317760232785</v>
      </c>
      <c r="AQ17" s="586">
        <f t="shared" si="9"/>
        <v>1.2367692201469467</v>
      </c>
      <c r="AS17" s="52">
        <f t="shared" si="116"/>
        <v>-67.9901421610071</v>
      </c>
      <c r="AT17" s="72">
        <f t="shared" si="10"/>
        <v>-2.8056840273759029E-3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2.1070000000000002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2.4802054251088128</v>
      </c>
      <c r="C18" s="708">
        <v>0.76602828546484714</v>
      </c>
      <c r="D18" s="709">
        <v>-0.35800107973125644</v>
      </c>
      <c r="E18" s="710">
        <v>-6.8368445646530801E-2</v>
      </c>
      <c r="F18" s="708">
        <v>0.9835593801929976</v>
      </c>
      <c r="G18" s="711">
        <v>0.16714275716956356</v>
      </c>
      <c r="H18" s="710">
        <v>0.314</v>
      </c>
      <c r="I18" s="708">
        <v>0.52</v>
      </c>
      <c r="J18" s="570">
        <v>2.1120000000000001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2.1120000000000001</v>
      </c>
      <c r="N18" s="632">
        <f t="shared" si="2"/>
        <v>2.4802054251088128</v>
      </c>
      <c r="O18" s="629">
        <f t="shared" si="3"/>
        <v>0.76602828546484714</v>
      </c>
      <c r="P18" s="633">
        <f t="shared" si="4"/>
        <v>-0.35800107973125644</v>
      </c>
      <c r="Q18" s="585">
        <f t="shared" si="113"/>
        <v>17.163658538697501</v>
      </c>
      <c r="R18" s="629">
        <f>IF(M18="","",SQRT(N18^2+O18^2))</f>
        <v>2.5958078289564117</v>
      </c>
      <c r="S18" s="634">
        <f>IF(M18="","",P18)</f>
        <v>-0.35800107973125644</v>
      </c>
      <c r="T18" s="635">
        <f>IF(M18="","",X18*COS(RADIANS(W18)))</f>
        <v>0.90064448544740106</v>
      </c>
      <c r="U18" s="629">
        <f>IF(M18="","",X18*SIN(RADIANS(W18)))</f>
        <v>-2.4345549481793558</v>
      </c>
      <c r="V18" s="636">
        <f>IF(M18="","",Y18)</f>
        <v>-0.35800107973125644</v>
      </c>
      <c r="W18" s="585">
        <f t="shared" si="224"/>
        <v>290.30155808564086</v>
      </c>
      <c r="X18" s="629">
        <f>IF(M18="","",R18)</f>
        <v>2.5958078289564117</v>
      </c>
      <c r="Y18" s="630">
        <f t="shared" si="223"/>
        <v>-0.35800107973125644</v>
      </c>
      <c r="Z18" s="632">
        <f t="shared" si="6"/>
        <v>6.8368445646530801E-2</v>
      </c>
      <c r="AA18" s="629">
        <f t="shared" si="7"/>
        <v>-0.9835593801929976</v>
      </c>
      <c r="AB18" s="629">
        <f t="shared" si="8"/>
        <v>-0.16714275716956356</v>
      </c>
      <c r="AC18" s="636">
        <f>IF(M18="","",SQRT(Z18^2+AA18^2+AB18^2))</f>
        <v>1</v>
      </c>
      <c r="AD18" s="637">
        <f>IF(M18="","",Z18*(1/SQRT(Z18^2+AA18^2+AB18^2)))</f>
        <v>6.8368445646530801E-2</v>
      </c>
      <c r="AE18" s="629">
        <f>IF(M18="","",AA18*(1/SQRT(Z18^2+AA18^2+AB18^2)))</f>
        <v>-0.9835593801929976</v>
      </c>
      <c r="AF18" s="633">
        <f>IF(M18="","",AB18*(1/SQRT(Z18^2+AA18^2+AB18^2)))</f>
        <v>-0.16714275716956356</v>
      </c>
      <c r="AG18" s="602">
        <f>IF(M18="","",DEGREES(ATAN2(-AF18,AE18)))</f>
        <v>-80.355484097487732</v>
      </c>
      <c r="AH18" s="603">
        <f>IF(M18="","",DEGREES(ACOS(AD18)))</f>
        <v>86.079718499186711</v>
      </c>
      <c r="AI18" s="585">
        <f>IF(M18="","",DEGREES(-ACOS(-AF18)))</f>
        <v>-80.378265725567758</v>
      </c>
      <c r="AJ18" s="586">
        <f>IF(M18="","",DEGREES(ATAN2(-AE18,AD18)))</f>
        <v>3.9763054423909789</v>
      </c>
      <c r="AK18" s="635">
        <f>IF(M18="","",(COS(RADIANS((90-$Q$8)-W18))*AD18)+(-SIN(RADIANS((90-$Q$8)-W18))*AE18))</f>
        <v>0.9599329526915007</v>
      </c>
      <c r="AL18" s="629">
        <f>IF(M18="","",(SIN(RADIANS((90-$Q$8)-W18))*AD18)+(COS(RADIANS((90-$Q$8)-W18))*AE18))</f>
        <v>-0.22492671042527007</v>
      </c>
      <c r="AM18" s="634">
        <f>IF(M18="","",AF18)</f>
        <v>-0.16714275716956356</v>
      </c>
      <c r="AN18" s="581">
        <f>IF(M18="","",DEGREES(ATAN2(-AM18,AL18)))</f>
        <v>-53.384005808077291</v>
      </c>
      <c r="AO18" s="582">
        <f t="shared" si="94"/>
        <v>16.273918823353423</v>
      </c>
      <c r="AP18" s="585">
        <f>IF(M18="","",DEGREES(ATAN2(AK18,AL18)))</f>
        <v>-13.187353096306541</v>
      </c>
      <c r="AQ18" s="586">
        <f t="shared" si="9"/>
        <v>0.87816520591336922</v>
      </c>
      <c r="AS18" s="52">
        <f t="shared" si="116"/>
        <v>-69.698441914359137</v>
      </c>
      <c r="AT18" s="72">
        <f t="shared" si="10"/>
        <v>-0.3074202870497964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2.1120000000000001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2.9262042254638239</v>
      </c>
      <c r="C19" s="708">
        <v>0.84045522880131773</v>
      </c>
      <c r="D19" s="709">
        <v>-1.0354031227758187</v>
      </c>
      <c r="E19" s="710">
        <v>0.14274013832794405</v>
      </c>
      <c r="F19" s="708">
        <v>0.9825603802515146</v>
      </c>
      <c r="G19" s="711">
        <v>0.1191652301223744</v>
      </c>
      <c r="H19" s="710">
        <v>0.314</v>
      </c>
      <c r="I19" s="708">
        <v>0.52</v>
      </c>
      <c r="J19" s="570">
        <v>2.117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2.117</v>
      </c>
      <c r="N19" s="632">
        <f t="shared" si="2"/>
        <v>2.9262042254638239</v>
      </c>
      <c r="O19" s="629">
        <f t="shared" si="3"/>
        <v>0.84045522880131773</v>
      </c>
      <c r="P19" s="633">
        <f t="shared" si="4"/>
        <v>-1.0354031227758187</v>
      </c>
      <c r="Q19" s="585">
        <f t="shared" si="113"/>
        <v>16.024958703105408</v>
      </c>
      <c r="R19" s="629">
        <f>IF(M19="","",SQRT(N19^2+O19^2))</f>
        <v>3.0445091822396946</v>
      </c>
      <c r="S19" s="634">
        <f>IF(M19="","",P19)</f>
        <v>-1.0354031227758187</v>
      </c>
      <c r="T19" s="635">
        <f>IF(M19="","",X19*COS(RADIANS(W19)))</f>
        <v>0.99937350337588093</v>
      </c>
      <c r="U19" s="629">
        <f>IF(M19="","",X19*SIN(RADIANS(W19)))</f>
        <v>-2.875810974576047</v>
      </c>
      <c r="V19" s="636">
        <f>IF(M19="","",Y19)</f>
        <v>-1.0354031227758187</v>
      </c>
      <c r="W19" s="585">
        <f t="shared" si="224"/>
        <v>289.16285825004877</v>
      </c>
      <c r="X19" s="629">
        <f>IF(M19="","",R19)</f>
        <v>3.0445091822396946</v>
      </c>
      <c r="Y19" s="630">
        <f t="shared" si="223"/>
        <v>-1.0354031227758187</v>
      </c>
      <c r="Z19" s="632">
        <f t="shared" si="6"/>
        <v>-0.14274013832794405</v>
      </c>
      <c r="AA19" s="629">
        <f t="shared" si="7"/>
        <v>-0.9825603802515146</v>
      </c>
      <c r="AB19" s="629">
        <f t="shared" si="8"/>
        <v>-0.1191652301223744</v>
      </c>
      <c r="AC19" s="636">
        <f>IF(M19="","",SQRT(Z19^2+AA19^2+AB19^2))</f>
        <v>1</v>
      </c>
      <c r="AD19" s="637">
        <f>IF(M19="","",Z19*(1/SQRT(Z19^2+AA19^2+AB19^2)))</f>
        <v>-0.14274013832794405</v>
      </c>
      <c r="AE19" s="629">
        <f>IF(M19="","",AA19*(1/SQRT(Z19^2+AA19^2+AB19^2)))</f>
        <v>-0.9825603802515146</v>
      </c>
      <c r="AF19" s="633">
        <f>IF(M19="","",AB19*(1/SQRT(Z19^2+AA19^2+AB19^2)))</f>
        <v>-0.1191652301223744</v>
      </c>
      <c r="AG19" s="602">
        <f>IF(M19="","",DEGREES(ATAN2(-AF19,AE19)))</f>
        <v>-83.084922403426702</v>
      </c>
      <c r="AH19" s="603">
        <f>IF(M19="","",DEGREES(ACOS(AD19)))</f>
        <v>98.206437421835233</v>
      </c>
      <c r="AI19" s="585">
        <f>IF(M19="","",DEGREES(-ACOS(-AF19)))</f>
        <v>-83.156071900837901</v>
      </c>
      <c r="AJ19" s="586">
        <f>IF(M19="","",DEGREES(ATAN2(-AE19,AD19)))</f>
        <v>-8.2657430758428116</v>
      </c>
      <c r="AK19" s="635">
        <f>IF(M19="","",(COS(RADIANS((90-$Q$8)-W19))*AD19)+(-SIN(RADIANS((90-$Q$8)-W19))*AE19))</f>
        <v>0.90497530995157383</v>
      </c>
      <c r="AL19" s="629">
        <f>IF(M19="","",(SIN(RADIANS((90-$Q$8)-W19))*AD19)+(COS(RADIANS((90-$Q$8)-W19))*AE19))</f>
        <v>-0.40843522902405788</v>
      </c>
      <c r="AM19" s="634">
        <f>IF(M19="","",AF19)</f>
        <v>-0.1191652301223744</v>
      </c>
      <c r="AN19" s="581">
        <f>IF(M19="","",DEGREES(ATAN2(-AM19,AL19)))</f>
        <v>-73.734845381576903</v>
      </c>
      <c r="AO19" s="582">
        <f t="shared" si="94"/>
        <v>25.180042069418416</v>
      </c>
      <c r="AP19" s="585">
        <f>IF(M19="","",DEGREES(ATAN2(AK19,AL19)))</f>
        <v>-24.290701778948211</v>
      </c>
      <c r="AQ19" s="586">
        <f t="shared" si="9"/>
        <v>0.74875676735023788</v>
      </c>
      <c r="AS19" s="52">
        <f t="shared" si="116"/>
        <v>-70.837141749951229</v>
      </c>
      <c r="AT19" s="72">
        <f t="shared" si="10"/>
        <v>-0.98403156631964195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2.117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1" t="s">
        <v>365</v>
      </c>
      <c r="JC19" s="982"/>
      <c r="JD19" s="982"/>
      <c r="JE19" s="982"/>
      <c r="JF19" s="982"/>
      <c r="JG19" s="982"/>
      <c r="JH19" s="982"/>
      <c r="JI19" s="983"/>
    </row>
    <row r="20" spans="1:269" ht="15" customHeight="1" x14ac:dyDescent="0.25">
      <c r="A20" s="79"/>
      <c r="B20" s="707">
        <v>3.070520892932683</v>
      </c>
      <c r="C20" s="708">
        <v>0.86009910391612954</v>
      </c>
      <c r="D20" s="709">
        <v>-1.7820053745282094</v>
      </c>
      <c r="E20" s="710">
        <v>0.33136483209844508</v>
      </c>
      <c r="F20" s="708">
        <v>0.94350270166457528</v>
      </c>
      <c r="G20" s="711">
        <v>1.3008419229360957E-7</v>
      </c>
      <c r="H20" s="710">
        <v>0.26600000000000001</v>
      </c>
      <c r="I20" s="708">
        <v>0.52</v>
      </c>
      <c r="J20" s="570">
        <v>2.1219999999999999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 t="str">
        <f>IF($L19=$JH$22,$JH$30,IF($L19=$JI$22,$JI$30,""))</f>
        <v/>
      </c>
      <c r="M20" s="168">
        <f t="shared" si="1"/>
        <v>2.1219999999999999</v>
      </c>
      <c r="N20" s="632">
        <f t="shared" si="2"/>
        <v>3.070520892932683</v>
      </c>
      <c r="O20" s="629">
        <f t="shared" si="3"/>
        <v>0.86009910391612954</v>
      </c>
      <c r="P20" s="633">
        <f t="shared" si="4"/>
        <v>-1.7820053745282094</v>
      </c>
      <c r="Q20" s="585">
        <f t="shared" si="113"/>
        <v>15.648358757479722</v>
      </c>
      <c r="R20" s="629">
        <f>IF(M20="","",SQRT(N20^2+O20^2))</f>
        <v>3.1887096171482043</v>
      </c>
      <c r="S20" s="634">
        <f>IF(M20="","",P20)</f>
        <v>-1.7820053745282094</v>
      </c>
      <c r="T20" s="635">
        <f>IF(M20="","",X20*COS(RADIANS(W20)))</f>
        <v>1.0268877201229922</v>
      </c>
      <c r="U20" s="629">
        <f>IF(M20="","",X20*SIN(RADIANS(W20)))</f>
        <v>-3.0188359731449559</v>
      </c>
      <c r="V20" s="636">
        <f>IF(M20="","",Y20)</f>
        <v>-1.7820053745282094</v>
      </c>
      <c r="W20" s="585">
        <f t="shared" si="224"/>
        <v>288.78625830442309</v>
      </c>
      <c r="X20" s="629">
        <f>IF(M20="","",R20)</f>
        <v>3.1887096171482043</v>
      </c>
      <c r="Y20" s="630">
        <f t="shared" si="223"/>
        <v>-1.7820053745282094</v>
      </c>
      <c r="Z20" s="632">
        <f t="shared" si="6"/>
        <v>-0.33136483209844508</v>
      </c>
      <c r="AA20" s="629">
        <f t="shared" si="7"/>
        <v>-0.94350270166457528</v>
      </c>
      <c r="AB20" s="629">
        <f t="shared" si="8"/>
        <v>-1.3008419229360957E-7</v>
      </c>
      <c r="AC20" s="636">
        <f>IF(M20="","",SQRT(Z20^2+AA20^2+AB20^2))</f>
        <v>1</v>
      </c>
      <c r="AD20" s="637">
        <f>IF(M20="","",Z20*(1/SQRT(Z20^2+AA20^2+AB20^2)))</f>
        <v>-0.33136483209844508</v>
      </c>
      <c r="AE20" s="629">
        <f>IF(M20="","",AA20*(1/SQRT(Z20^2+AA20^2+AB20^2)))</f>
        <v>-0.94350270166457528</v>
      </c>
      <c r="AF20" s="633">
        <f>IF(M20="","",AB20*(1/SQRT(Z20^2+AA20^2+AB20^2)))</f>
        <v>-1.3008419229360957E-7</v>
      </c>
      <c r="AG20" s="602">
        <f>IF(M20="","",DEGREES(ATAN2(-AF20,AE20)))</f>
        <v>-89.99999210041986</v>
      </c>
      <c r="AH20" s="603">
        <f>IF(M20="","",DEGREES(ACOS(AD20)))</f>
        <v>109.3516361891454</v>
      </c>
      <c r="AI20" s="585">
        <f>IF(M20="","",DEGREES(-ACOS(-AF20)))</f>
        <v>-89.999992546724798</v>
      </c>
      <c r="AJ20" s="586">
        <f>IF(M20="","",DEGREES(ATAN2(-AE20,AD20)))</f>
        <v>-19.351636189145559</v>
      </c>
      <c r="AK20" s="635">
        <f>IF(M20="","",(COS(RADIANS((90-$Q$8)-W20))*AD20)+(-SIN(RADIANS((90-$Q$8)-W20))*AE20))</f>
        <v>0.81915209487729168</v>
      </c>
      <c r="AL20" s="629">
        <f>IF(M20="","",(SIN(RADIANS((90-$Q$8)-W20))*AD20)+(COS(RADIANS((90-$Q$8)-W20))*AE20))</f>
        <v>-0.57357636410344504</v>
      </c>
      <c r="AM20" s="634">
        <f>IF(M20="","",AF20)</f>
        <v>-1.3008419229360957E-7</v>
      </c>
      <c r="AN20" s="581">
        <f>IF(M20="","",DEGREES(ATAN2(-AM20,AL20)))</f>
        <v>-89.999987005609611</v>
      </c>
      <c r="AO20" s="582">
        <f t="shared" si="94"/>
        <v>34.999994946625982</v>
      </c>
      <c r="AP20" s="585">
        <f>IF(M20="","",DEGREES(ATAN2(AK20,AL20)))</f>
        <v>-34.9999949466253</v>
      </c>
      <c r="AQ20" s="586">
        <f t="shared" si="9"/>
        <v>0.7148999433699913</v>
      </c>
      <c r="AS20" s="52">
        <f t="shared" si="116"/>
        <v>-71.213741695576914</v>
      </c>
      <c r="AT20" s="72">
        <f t="shared" si="10"/>
        <v>-1.7303722903320147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2.1219999999999999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4" t="s">
        <v>369</v>
      </c>
      <c r="JC20" s="985"/>
      <c r="JD20" s="985"/>
      <c r="JE20" s="985"/>
      <c r="JF20" s="1234" t="s">
        <v>370</v>
      </c>
      <c r="JG20" s="1235"/>
      <c r="JH20" s="1235"/>
      <c r="JI20" s="1236"/>
    </row>
    <row r="21" spans="1:269" ht="15" customHeight="1" x14ac:dyDescent="0.25">
      <c r="A21" s="79"/>
      <c r="B21" s="707">
        <v>2.6228298933801533</v>
      </c>
      <c r="C21" s="708">
        <v>-0.14571774959140474</v>
      </c>
      <c r="D21" s="709">
        <v>-0.32679587322834791</v>
      </c>
      <c r="E21" s="710">
        <v>0.35580922104952867</v>
      </c>
      <c r="F21" s="708">
        <v>0.88230593321177708</v>
      </c>
      <c r="G21" s="711">
        <v>0.308116923318767</v>
      </c>
      <c r="H21" s="710">
        <v>0.26600000000000001</v>
      </c>
      <c r="I21" s="708">
        <v>0.52</v>
      </c>
      <c r="J21" s="570">
        <v>2.2120000000000002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2.2120000000000002</v>
      </c>
      <c r="N21" s="632">
        <f t="shared" si="2"/>
        <v>2.6228298933801533</v>
      </c>
      <c r="O21" s="629">
        <f t="shared" si="3"/>
        <v>-0.14571774959140474</v>
      </c>
      <c r="P21" s="633">
        <f t="shared" si="4"/>
        <v>-0.32679587322834791</v>
      </c>
      <c r="Q21" s="585">
        <f t="shared" si="113"/>
        <v>356.8200614759495</v>
      </c>
      <c r="R21" s="629">
        <f>IF(M21="","",SQRT(N21^2+O21^2))</f>
        <v>2.626874628175949</v>
      </c>
      <c r="S21" s="634">
        <f>IF(M21="","",P21)</f>
        <v>-0.32679587322834791</v>
      </c>
      <c r="T21" s="635">
        <f>IF(M21="","",X21*COS(RADIANS(W21)))</f>
        <v>-1.9273865088734149E-3</v>
      </c>
      <c r="U21" s="629">
        <f>IF(M21="","",X21*SIN(RADIANS(W21)))</f>
        <v>-2.6268739210962857</v>
      </c>
      <c r="V21" s="636">
        <f>IF(M21="","",Y21)</f>
        <v>-0.32679587322834791</v>
      </c>
      <c r="W21" s="585">
        <f t="shared" si="224"/>
        <v>269.95796102289285</v>
      </c>
      <c r="X21" s="629">
        <f>IF(M21="","",R21)</f>
        <v>2.626874628175949</v>
      </c>
      <c r="Y21" s="630">
        <f t="shared" si="223"/>
        <v>-0.32679587322834791</v>
      </c>
      <c r="Z21" s="632">
        <f t="shared" si="6"/>
        <v>-0.35580922104952867</v>
      </c>
      <c r="AA21" s="629">
        <f t="shared" si="7"/>
        <v>-0.88230593321177708</v>
      </c>
      <c r="AB21" s="629">
        <f t="shared" si="8"/>
        <v>-0.308116923318767</v>
      </c>
      <c r="AC21" s="636">
        <f>IF(M21="","",SQRT(Z21^2+AA21^2+AB21^2))</f>
        <v>1</v>
      </c>
      <c r="AD21" s="637">
        <f>IF(M21="","",Z21*(1/SQRT(Z21^2+AA21^2+AB21^2)))</f>
        <v>-0.35580922104952867</v>
      </c>
      <c r="AE21" s="629">
        <f>IF(M21="","",AA21*(1/SQRT(Z21^2+AA21^2+AB21^2)))</f>
        <v>-0.88230593321177708</v>
      </c>
      <c r="AF21" s="633">
        <f>IF(M21="","",AB21*(1/SQRT(Z21^2+AA21^2+AB21^2)))</f>
        <v>-0.308116923318767</v>
      </c>
      <c r="AG21" s="602">
        <f>IF(M21="","",DEGREES(ATAN2(-AF21,AE21)))</f>
        <v>-70.74989014475112</v>
      </c>
      <c r="AH21" s="603">
        <f>IF(M21="","",DEGREES(ACOS(AD21)))</f>
        <v>110.84304781488471</v>
      </c>
      <c r="AI21" s="585">
        <f>IF(M21="","",DEGREES(-ACOS(-AF21)))</f>
        <v>-72.054215867377863</v>
      </c>
      <c r="AJ21" s="586">
        <f>IF(M21="","",DEGREES(ATAN2(-AE21,AD21)))</f>
        <v>-21.962837334882256</v>
      </c>
      <c r="AK21" s="635">
        <f>IF(M21="","",(COS(RADIANS((90-$Q$8)-W21))*AD21)+(-SIN(RADIANS((90-$Q$8)-W21))*AE21))</f>
        <v>0.90068481774199682</v>
      </c>
      <c r="AL21" s="629">
        <f>IF(M21="","",(SIN(RADIANS((90-$Q$8)-W21))*AD21)+(COS(RADIANS((90-$Q$8)-W21))*AE21))</f>
        <v>-0.30631816899041964</v>
      </c>
      <c r="AM21" s="634">
        <f>IF(M21="","",AF21)</f>
        <v>-0.308116923318767</v>
      </c>
      <c r="AN21" s="581">
        <f>IF(M21="","",DEGREES(ATAN2(-AM21,AL21)))</f>
        <v>-44.832267495349257</v>
      </c>
      <c r="AO21" s="582">
        <f>IF(ROUND(IF(M21="",0,DEGREES(ACOS(AK21))),4)=90,0,IF(M21="","",DEGREES(ACOS(AK21))))</f>
        <v>25.751770016553262</v>
      </c>
      <c r="AP21" s="585">
        <f>IF(M21="","",DEGREES(ATAN2(AK21,AL21)))</f>
        <v>-18.78289881083175</v>
      </c>
      <c r="AQ21" s="586">
        <f t="shared" si="9"/>
        <v>0.86778116057099464</v>
      </c>
      <c r="AS21" s="52">
        <f t="shared" si="116"/>
        <v>-90.042038977107154</v>
      </c>
      <c r="AT21" s="72">
        <f t="shared" si="10"/>
        <v>-0.26208758258664616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Taper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2.2120000000000002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2.1120000000000001</v>
      </c>
      <c r="II21" s="734" cm="1">
        <f t="array" ref="II21">IFERROR(IF($IH21&lt;1,$IH21+LARGE((IF($M$9:$M$150="",0,$M$9:$M$150)-MOD(IF($M$9:$M$150="",0,$M$9:$M$150),1)),1),$IH21),"")</f>
        <v>2.1120000000000001</v>
      </c>
      <c r="IJ21" s="533">
        <f t="shared" si="112"/>
        <v>1613</v>
      </c>
      <c r="IK21" s="533">
        <f t="shared" si="66"/>
        <v>1313</v>
      </c>
      <c r="IL21" s="727">
        <f t="shared" si="225"/>
        <v>20.343597062748017</v>
      </c>
      <c r="IM21" s="759">
        <v>1.7601201934537399E-2</v>
      </c>
      <c r="IN21" s="5">
        <f t="shared" si="226"/>
        <v>0.38</v>
      </c>
      <c r="IO21" s="771">
        <v>190</v>
      </c>
      <c r="IP21" s="9">
        <f t="shared" si="227"/>
        <v>-2.5958078289564117</v>
      </c>
      <c r="IQ21" s="5">
        <f t="shared" si="228"/>
        <v>-0.35800107973125644</v>
      </c>
      <c r="IR21" s="5">
        <f t="shared" si="71"/>
        <v>0.314</v>
      </c>
      <c r="IS21" s="5">
        <f t="shared" si="229"/>
        <v>0.30141894714513123</v>
      </c>
      <c r="IT21" s="727">
        <f t="shared" si="230"/>
        <v>53.384005808077291</v>
      </c>
      <c r="IU21" s="9">
        <f t="shared" si="231"/>
        <v>-2.626874628175949</v>
      </c>
      <c r="IV21" s="5">
        <f t="shared" si="232"/>
        <v>-0.32679587322834791</v>
      </c>
      <c r="IW21" s="5">
        <f t="shared" si="76"/>
        <v>0.26600000000000001</v>
      </c>
      <c r="IX21" s="5">
        <f t="shared" si="233"/>
        <v>0.23958216151937117</v>
      </c>
      <c r="IY21" s="762">
        <f t="shared" si="234"/>
        <v>44.832267495349257</v>
      </c>
      <c r="JA21" s="765"/>
      <c r="JB21" s="986"/>
      <c r="JC21" s="987"/>
      <c r="JD21" s="987"/>
      <c r="JE21" s="987"/>
      <c r="JF21" s="1237" t="s">
        <v>358</v>
      </c>
      <c r="JG21" s="1238"/>
      <c r="JH21" s="988" t="s">
        <v>371</v>
      </c>
      <c r="JI21" s="989"/>
    </row>
    <row r="22" spans="1:269" ht="15" customHeight="1" thickBot="1" x14ac:dyDescent="0.3">
      <c r="A22" s="79"/>
      <c r="B22" s="707">
        <v>3.0850961604212999</v>
      </c>
      <c r="C22" s="708">
        <v>-0.18645181299871466</v>
      </c>
      <c r="D22" s="709">
        <v>-1.0246906793521069</v>
      </c>
      <c r="E22" s="710">
        <v>0.5349876143544553</v>
      </c>
      <c r="F22" s="708">
        <v>0.82713372450310396</v>
      </c>
      <c r="G22" s="711">
        <v>0.1721570628146058</v>
      </c>
      <c r="H22" s="710">
        <v>0.26600000000000001</v>
      </c>
      <c r="I22" s="708">
        <v>0.52</v>
      </c>
      <c r="J22" s="570">
        <v>2.2170000000000001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2" t="str">
        <f>IF($L21=$JH$22,$JH$30,IF($L21=$JI$22,$JI$30,""))</f>
        <v/>
      </c>
      <c r="M22" s="168">
        <f t="shared" si="1"/>
        <v>2.2170000000000001</v>
      </c>
      <c r="N22" s="632">
        <f t="shared" si="2"/>
        <v>3.0850961604212999</v>
      </c>
      <c r="O22" s="629">
        <f t="shared" si="3"/>
        <v>-0.18645181299871466</v>
      </c>
      <c r="P22" s="633">
        <f t="shared" si="4"/>
        <v>-1.0246906793521069</v>
      </c>
      <c r="Q22" s="585">
        <f t="shared" si="113"/>
        <v>356.54146151617437</v>
      </c>
      <c r="R22" s="629">
        <f t="shared" si="79"/>
        <v>3.0907252543079196</v>
      </c>
      <c r="S22" s="634">
        <f t="shared" si="80"/>
        <v>-1.0246906793521069</v>
      </c>
      <c r="T22" s="635">
        <f t="shared" si="81"/>
        <v>-1.7296242332708062E-2</v>
      </c>
      <c r="U22" s="629">
        <f t="shared" si="82"/>
        <v>-3.0906768575213297</v>
      </c>
      <c r="V22" s="636">
        <f t="shared" si="114"/>
        <v>-1.0246906793521069</v>
      </c>
      <c r="W22" s="585">
        <f t="shared" si="224"/>
        <v>269.67936106311771</v>
      </c>
      <c r="X22" s="629">
        <f t="shared" si="83"/>
        <v>3.0907252543079196</v>
      </c>
      <c r="Y22" s="630">
        <f t="shared" si="223"/>
        <v>-1.0246906793521069</v>
      </c>
      <c r="Z22" s="632">
        <f t="shared" si="6"/>
        <v>-0.5349876143544553</v>
      </c>
      <c r="AA22" s="629">
        <f t="shared" si="7"/>
        <v>-0.82713372450310396</v>
      </c>
      <c r="AB22" s="629">
        <f t="shared" si="8"/>
        <v>-0.1721570628146058</v>
      </c>
      <c r="AC22" s="636">
        <f t="shared" si="84"/>
        <v>1</v>
      </c>
      <c r="AD22" s="637">
        <f t="shared" si="115"/>
        <v>-0.5349876143544553</v>
      </c>
      <c r="AE22" s="629">
        <f t="shared" si="85"/>
        <v>-0.82713372450310396</v>
      </c>
      <c r="AF22" s="633">
        <f t="shared" si="86"/>
        <v>-0.1721570628146058</v>
      </c>
      <c r="AG22" s="602">
        <f t="shared" si="87"/>
        <v>-78.242497225078338</v>
      </c>
      <c r="AH22" s="603">
        <f t="shared" si="88"/>
        <v>122.34307145324806</v>
      </c>
      <c r="AI22" s="585">
        <f t="shared" si="89"/>
        <v>-80.086741009663655</v>
      </c>
      <c r="AJ22" s="586">
        <f t="shared" si="90"/>
        <v>-32.894667648656913</v>
      </c>
      <c r="AK22" s="635">
        <f t="shared" si="211"/>
        <v>0.85790106530885324</v>
      </c>
      <c r="AL22" s="629">
        <f t="shared" si="91"/>
        <v>-0.48411538693268447</v>
      </c>
      <c r="AM22" s="634">
        <f t="shared" si="92"/>
        <v>-0.1721570628146058</v>
      </c>
      <c r="AN22" s="581">
        <f t="shared" si="93"/>
        <v>-70.424021870818038</v>
      </c>
      <c r="AO22" s="582">
        <f t="shared" si="94"/>
        <v>30.918274800005548</v>
      </c>
      <c r="AP22" s="585">
        <f t="shared" si="95"/>
        <v>-29.436129164831261</v>
      </c>
      <c r="AQ22" s="586">
        <f t="shared" si="9"/>
        <v>0.73756174285549025</v>
      </c>
      <c r="AS22" s="52">
        <f t="shared" si="116"/>
        <v>-90.32063893688229</v>
      </c>
      <c r="AT22" s="72">
        <f t="shared" si="10"/>
        <v>-0.95978891651611686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2.2170000000000001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2.117</v>
      </c>
      <c r="II22" s="734" cm="1">
        <f t="array" ref="II22">IFERROR(IF($IH22&lt;1,$IH22+LARGE((IF($M$9:$M$150="",0,$M$9:$M$150)-MOD(IF($M$9:$M$150="",0,$M$9:$M$150),1)),1),$IH22),"")</f>
        <v>2.117</v>
      </c>
      <c r="IJ22" s="533">
        <f t="shared" si="112"/>
        <v>1613</v>
      </c>
      <c r="IK22" s="533">
        <f t="shared" si="66"/>
        <v>1313</v>
      </c>
      <c r="IL22" s="727">
        <f t="shared" si="225"/>
        <v>19.483497186931061</v>
      </c>
      <c r="IM22" s="759">
        <v>7.5900186691075797E-3</v>
      </c>
      <c r="IN22" s="5">
        <f t="shared" si="226"/>
        <v>0.36</v>
      </c>
      <c r="IO22" s="771">
        <v>180</v>
      </c>
      <c r="IP22" s="9">
        <f t="shared" si="227"/>
        <v>-3.0445091822396946</v>
      </c>
      <c r="IQ22" s="5">
        <f t="shared" si="228"/>
        <v>-1.0354031227758187</v>
      </c>
      <c r="IR22" s="5">
        <f t="shared" si="71"/>
        <v>0.314</v>
      </c>
      <c r="IS22" s="5">
        <f t="shared" si="229"/>
        <v>0.28416224732479417</v>
      </c>
      <c r="IT22" s="727">
        <f t="shared" si="230"/>
        <v>73.734845381576903</v>
      </c>
      <c r="IU22" s="9">
        <f t="shared" si="231"/>
        <v>-3.0907252543079196</v>
      </c>
      <c r="IV22" s="5">
        <f t="shared" si="232"/>
        <v>-1.0246906793521069</v>
      </c>
      <c r="IW22" s="5">
        <f t="shared" si="76"/>
        <v>0.26600000000000001</v>
      </c>
      <c r="IX22" s="5">
        <f t="shared" si="233"/>
        <v>0.22820168337215496</v>
      </c>
      <c r="IY22" s="762">
        <f t="shared" si="234"/>
        <v>70.424021870818038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0.50233936932589784</v>
      </c>
      <c r="C23" s="708">
        <v>-0.71741579627497132</v>
      </c>
      <c r="D23" s="709">
        <v>-0.17570052991279825</v>
      </c>
      <c r="E23" s="710">
        <v>0.76546194362595554</v>
      </c>
      <c r="F23" s="708">
        <v>0.59084739713371681</v>
      </c>
      <c r="G23" s="711">
        <v>0.25488696742024014</v>
      </c>
      <c r="H23" s="710">
        <v>0.314</v>
      </c>
      <c r="I23" s="708">
        <v>0.52</v>
      </c>
      <c r="J23" s="570">
        <v>3.1030000000000002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3.1030000000000002</v>
      </c>
      <c r="N23" s="632">
        <f t="shared" si="2"/>
        <v>0.50233936932589784</v>
      </c>
      <c r="O23" s="629">
        <f t="shared" si="3"/>
        <v>-0.71741579627497132</v>
      </c>
      <c r="P23" s="633">
        <f t="shared" si="4"/>
        <v>-0.17570052991279825</v>
      </c>
      <c r="Q23" s="585">
        <f t="shared" si="113"/>
        <v>304.99996895784517</v>
      </c>
      <c r="R23" s="629">
        <f t="shared" si="79"/>
        <v>0.87580264142076658</v>
      </c>
      <c r="S23" s="634">
        <f t="shared" si="80"/>
        <v>-0.17570052991279825</v>
      </c>
      <c r="T23" s="635">
        <f t="shared" si="81"/>
        <v>-0.68884245264373023</v>
      </c>
      <c r="U23" s="629">
        <f t="shared" si="82"/>
        <v>-0.54085704410256319</v>
      </c>
      <c r="V23" s="636">
        <f t="shared" si="114"/>
        <v>-0.17570052991279825</v>
      </c>
      <c r="W23" s="585">
        <f t="shared" si="224"/>
        <v>218.13786850478851</v>
      </c>
      <c r="X23" s="629">
        <f t="shared" si="83"/>
        <v>0.87580264142076658</v>
      </c>
      <c r="Y23" s="630">
        <f t="shared" si="223"/>
        <v>-0.17570052991279825</v>
      </c>
      <c r="Z23" s="632">
        <f t="shared" si="6"/>
        <v>-0.76546194362595554</v>
      </c>
      <c r="AA23" s="629">
        <f t="shared" si="7"/>
        <v>-0.59084739713371681</v>
      </c>
      <c r="AB23" s="629">
        <f t="shared" si="8"/>
        <v>-0.25488696742024014</v>
      </c>
      <c r="AC23" s="636">
        <f t="shared" si="84"/>
        <v>1</v>
      </c>
      <c r="AD23" s="637">
        <f t="shared" si="115"/>
        <v>-0.76546194362595554</v>
      </c>
      <c r="AE23" s="629">
        <f t="shared" si="85"/>
        <v>-0.59084739713371681</v>
      </c>
      <c r="AF23" s="633">
        <f t="shared" si="86"/>
        <v>-0.25488696742024014</v>
      </c>
      <c r="AG23" s="602">
        <f t="shared" si="87"/>
        <v>-66.665008726918458</v>
      </c>
      <c r="AH23" s="603">
        <f t="shared" si="88"/>
        <v>139.94810608664307</v>
      </c>
      <c r="AI23" s="585">
        <f t="shared" si="89"/>
        <v>-75.233112454846449</v>
      </c>
      <c r="AJ23" s="586">
        <f t="shared" si="90"/>
        <v>-52.336044207908316</v>
      </c>
      <c r="AK23" s="635">
        <f t="shared" si="211"/>
        <v>0.96592583607220739</v>
      </c>
      <c r="AL23" s="629">
        <f t="shared" si="91"/>
        <v>4.4943442764441732E-2</v>
      </c>
      <c r="AM23" s="634">
        <f t="shared" si="92"/>
        <v>-0.25488696742024014</v>
      </c>
      <c r="AN23" s="581">
        <f t="shared" si="93"/>
        <v>9.9999985561788343</v>
      </c>
      <c r="AO23" s="582">
        <f t="shared" si="94"/>
        <v>14.999997834268255</v>
      </c>
      <c r="AP23" s="585">
        <f t="shared" si="95"/>
        <v>2.6639868342465127</v>
      </c>
      <c r="AQ23" s="586">
        <f t="shared" si="9"/>
        <v>2.6012254573018554</v>
      </c>
      <c r="AS23" s="52">
        <f t="shared" si="116"/>
        <v>-141.86213149521149</v>
      </c>
      <c r="AT23" s="72">
        <f t="shared" si="10"/>
        <v>-7.5006063911301837E-2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3.1030000000000002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10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2</v>
      </c>
      <c r="JG23" s="801">
        <v>6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190</v>
      </c>
      <c r="JI23" s="801">
        <v>180</v>
      </c>
    </row>
    <row r="24" spans="1:269" ht="15" customHeight="1" x14ac:dyDescent="0.25">
      <c r="A24" s="79"/>
      <c r="B24" s="707">
        <v>0.94351570392645068</v>
      </c>
      <c r="C24" s="708">
        <v>-1.3878581861183936</v>
      </c>
      <c r="D24" s="709">
        <v>-4.7900144466835715E-2</v>
      </c>
      <c r="E24" s="710">
        <v>0.83680526554273882</v>
      </c>
      <c r="F24" s="708">
        <v>0.50304053458279352</v>
      </c>
      <c r="G24" s="711">
        <v>0.21611841228040715</v>
      </c>
      <c r="H24" s="710">
        <v>0.314</v>
      </c>
      <c r="I24" s="708">
        <v>0.52</v>
      </c>
      <c r="J24" s="570">
        <v>3.1059999999999999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3.1059999999999999</v>
      </c>
      <c r="N24" s="632">
        <f t="shared" si="2"/>
        <v>0.94351570392645068</v>
      </c>
      <c r="O24" s="629">
        <f t="shared" si="3"/>
        <v>-1.3878581861183936</v>
      </c>
      <c r="P24" s="633">
        <f t="shared" si="4"/>
        <v>-4.7900144466835715E-2</v>
      </c>
      <c r="Q24" s="585">
        <f t="shared" si="113"/>
        <v>304.20926907200811</v>
      </c>
      <c r="R24" s="629">
        <f t="shared" si="79"/>
        <v>1.6782050614664654</v>
      </c>
      <c r="S24" s="634">
        <f t="shared" si="80"/>
        <v>-4.7900144466835715E-2</v>
      </c>
      <c r="T24" s="635">
        <f t="shared" si="81"/>
        <v>-1.3341299490259162</v>
      </c>
      <c r="U24" s="629">
        <f t="shared" si="82"/>
        <v>-1.0180714648018425</v>
      </c>
      <c r="V24" s="636">
        <f t="shared" si="114"/>
        <v>-4.7900144466835715E-2</v>
      </c>
      <c r="W24" s="585">
        <f t="shared" si="224"/>
        <v>217.34716861895146</v>
      </c>
      <c r="X24" s="629">
        <f t="shared" si="83"/>
        <v>1.6782050614664654</v>
      </c>
      <c r="Y24" s="630">
        <f t="shared" si="223"/>
        <v>-4.7900144466835715E-2</v>
      </c>
      <c r="Z24" s="632">
        <f t="shared" si="6"/>
        <v>-0.83680526554273882</v>
      </c>
      <c r="AA24" s="629">
        <f t="shared" si="7"/>
        <v>-0.50304053458279352</v>
      </c>
      <c r="AB24" s="629">
        <f t="shared" si="8"/>
        <v>-0.21611841228040715</v>
      </c>
      <c r="AC24" s="636">
        <f t="shared" si="84"/>
        <v>1</v>
      </c>
      <c r="AD24" s="637">
        <f t="shared" si="115"/>
        <v>-0.83680526554273882</v>
      </c>
      <c r="AE24" s="629">
        <f t="shared" si="85"/>
        <v>-0.50304053458279352</v>
      </c>
      <c r="AF24" s="633">
        <f t="shared" si="86"/>
        <v>-0.21611841228040715</v>
      </c>
      <c r="AG24" s="602">
        <f t="shared" si="87"/>
        <v>-66.750467049979079</v>
      </c>
      <c r="AH24" s="603">
        <f t="shared" si="88"/>
        <v>146.80428537849923</v>
      </c>
      <c r="AI24" s="585">
        <f t="shared" si="89"/>
        <v>-77.518849640325953</v>
      </c>
      <c r="AJ24" s="586">
        <f t="shared" si="90"/>
        <v>-58.988068407855351</v>
      </c>
      <c r="AK24" s="635">
        <f>IF(M24="","",(COS(RADIANS((90-$Q$8)-W24))*AD24)+(-SIN(RADIANS((90-$Q$8)-W24))*AE24))</f>
        <v>0.9748473053890736</v>
      </c>
      <c r="AL24" s="629">
        <f t="shared" si="91"/>
        <v>-5.4456983473733067E-2</v>
      </c>
      <c r="AM24" s="634">
        <f t="shared" si="92"/>
        <v>-0.21611841228040715</v>
      </c>
      <c r="AN24" s="581">
        <f t="shared" si="93"/>
        <v>-14.142832863283939</v>
      </c>
      <c r="AO24" s="582">
        <f t="shared" si="94"/>
        <v>12.877881445238692</v>
      </c>
      <c r="AP24" s="585">
        <f t="shared" si="95"/>
        <v>-3.1973374798634473</v>
      </c>
      <c r="AQ24" s="586">
        <f t="shared" si="9"/>
        <v>1.3581770590207345</v>
      </c>
      <c r="AS24" s="52">
        <f t="shared" si="116"/>
        <v>-142.65283138104854</v>
      </c>
      <c r="AT24" s="72">
        <f t="shared" si="10"/>
        <v>5.3343418677603102E-2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3.1059999999999999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1.3225439252318301</v>
      </c>
      <c r="C25" s="708">
        <v>-2.0767403645131552</v>
      </c>
      <c r="D25" s="709">
        <v>-0.26140078838477782</v>
      </c>
      <c r="E25" s="710">
        <v>0.91902106457374266</v>
      </c>
      <c r="F25" s="708">
        <v>0.35355141616165287</v>
      </c>
      <c r="G25" s="711">
        <v>0.17436077253738749</v>
      </c>
      <c r="H25" s="710">
        <v>0.314</v>
      </c>
      <c r="I25" s="708">
        <v>0.52</v>
      </c>
      <c r="J25" s="570">
        <v>3.1110000000000002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3.1110000000000002</v>
      </c>
      <c r="N25" s="632">
        <f t="shared" si="2"/>
        <v>1.3225439252318301</v>
      </c>
      <c r="O25" s="629">
        <f t="shared" si="3"/>
        <v>-2.0767403645131552</v>
      </c>
      <c r="P25" s="633">
        <f t="shared" si="4"/>
        <v>-0.26140078838477782</v>
      </c>
      <c r="Q25" s="585">
        <f t="shared" si="113"/>
        <v>302.49046932017211</v>
      </c>
      <c r="R25" s="629">
        <f>IF(M25="","",SQRT(N25^2+O25^2))</f>
        <v>2.4621074257159963</v>
      </c>
      <c r="S25" s="634">
        <f>IF(M25="","",P25)</f>
        <v>-0.26140078838477782</v>
      </c>
      <c r="T25" s="635">
        <f>IF(M25="","",X25*COS(RADIANS(W25)))</f>
        <v>-2.0012315313514226</v>
      </c>
      <c r="U25" s="629">
        <f>IF(M25="","",X25*SIN(RADIANS(W25)))</f>
        <v>-1.434240333309132</v>
      </c>
      <c r="V25" s="636">
        <f>IF(M25="","",Y25)</f>
        <v>-0.26140078838477782</v>
      </c>
      <c r="W25" s="585">
        <f t="shared" si="224"/>
        <v>215.62836886711546</v>
      </c>
      <c r="X25" s="629">
        <f>IF(M25="","",R25)</f>
        <v>2.4621074257159963</v>
      </c>
      <c r="Y25" s="630">
        <f t="shared" si="223"/>
        <v>-0.26140078838477782</v>
      </c>
      <c r="Z25" s="632">
        <f t="shared" si="6"/>
        <v>-0.91902106457374266</v>
      </c>
      <c r="AA25" s="629">
        <f t="shared" si="7"/>
        <v>-0.35355141616165287</v>
      </c>
      <c r="AB25" s="629">
        <f t="shared" si="8"/>
        <v>-0.17436077253738749</v>
      </c>
      <c r="AC25" s="636">
        <f>IF(M25="","",SQRT(Z25^2+AA25^2+AB25^2))</f>
        <v>1</v>
      </c>
      <c r="AD25" s="637">
        <f>IF(M25="","",Z25*(1/SQRT(Z25^2+AA25^2+AB25^2)))</f>
        <v>-0.91902106457374266</v>
      </c>
      <c r="AE25" s="629">
        <f>IF(M25="","",AA25*(1/SQRT(Z25^2+AA25^2+AB25^2)))</f>
        <v>-0.35355141616165287</v>
      </c>
      <c r="AF25" s="633">
        <f>IF(M25="","",AB25*(1/SQRT(Z25^2+AA25^2+AB25^2)))</f>
        <v>-0.17436077253738749</v>
      </c>
      <c r="AG25" s="602">
        <f>IF(M25="","",DEGREES(ATAN2(-AF25,AE25)))</f>
        <v>-63.748890836985844</v>
      </c>
      <c r="AH25" s="603">
        <f>IF(M25="","",DEGREES(ACOS(AD25)))</f>
        <v>156.7833852588374</v>
      </c>
      <c r="AI25" s="585">
        <f>IF(M25="","",DEGREES(-ACOS(-AF25)))</f>
        <v>-79.95853882447922</v>
      </c>
      <c r="AJ25" s="586">
        <f>IF(M25="","",DEGREES(ATAN2(-AE25,AD25)))</f>
        <v>-68.958047831723718</v>
      </c>
      <c r="AK25" s="635">
        <f>IF(M25="","",(COS(RADIANS((90-$Q$8)-W25))*AD25)+(-SIN(RADIANS((90-$Q$8)-W25))*AE25))</f>
        <v>0.96509006614479698</v>
      </c>
      <c r="AL25" s="629">
        <f>IF(M25="","",(SIN(RADIANS((90-$Q$8)-W25))*AD25)+(COS(RADIANS((90-$Q$8)-W25))*AE25))</f>
        <v>-0.1954468859531836</v>
      </c>
      <c r="AM25" s="634">
        <f>IF(M25="","",AF25)</f>
        <v>-0.17436077253738749</v>
      </c>
      <c r="AN25" s="581">
        <f>IF(M25="","",DEGREES(ATAN2(-AM25,AL25)))</f>
        <v>-48.263422282991677</v>
      </c>
      <c r="AO25" s="582">
        <f>IF(ROUND(IF(M25="",0,DEGREES(ACOS(AK25))),4)=90,0,IF(M25="","",DEGREES(ACOS(AK25))))</f>
        <v>15.183914189531215</v>
      </c>
      <c r="AP25" s="585">
        <f>IF(M25="","",DEGREES(ATAN2(AK25,AL25)))</f>
        <v>-11.448517151895842</v>
      </c>
      <c r="AQ25" s="586">
        <f t="shared" si="9"/>
        <v>0.92584433221896045</v>
      </c>
      <c r="AS25" s="52">
        <f t="shared" si="116"/>
        <v>-144.37163113288454</v>
      </c>
      <c r="AT25" s="72">
        <f t="shared" si="10"/>
        <v>-0.158963614301564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3.1110000000000002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1.5468650937418587</v>
      </c>
      <c r="C26" s="708">
        <v>-2.5572621984863746</v>
      </c>
      <c r="D26" s="709">
        <v>-0.88020265469120595</v>
      </c>
      <c r="E26" s="710">
        <v>0.97689580825795896</v>
      </c>
      <c r="F26" s="708">
        <v>0.1726271808922909</v>
      </c>
      <c r="G26" s="711">
        <v>0.1259937943916668</v>
      </c>
      <c r="H26" s="710">
        <v>0.314</v>
      </c>
      <c r="I26" s="708">
        <v>0.52</v>
      </c>
      <c r="J26" s="570">
        <v>3.1160000000000001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3.1160000000000001</v>
      </c>
      <c r="N26" s="632">
        <f t="shared" si="2"/>
        <v>1.5468650937418587</v>
      </c>
      <c r="O26" s="629">
        <f t="shared" si="3"/>
        <v>-2.5572621984863746</v>
      </c>
      <c r="P26" s="633">
        <f t="shared" si="4"/>
        <v>-0.88020265469120595</v>
      </c>
      <c r="Q26" s="585">
        <f t="shared" si="113"/>
        <v>301.16936951091532</v>
      </c>
      <c r="R26" s="629">
        <f>IF(M26="","",SQRT(N26^2+O26^2))</f>
        <v>2.988709013946385</v>
      </c>
      <c r="S26" s="634">
        <f>IF(M26="","",P26)</f>
        <v>-0.88020265469120595</v>
      </c>
      <c r="T26" s="635">
        <f>IF(M26="","",X26*COS(RADIANS(W26)))</f>
        <v>-2.468753724586096</v>
      </c>
      <c r="U26" s="629">
        <f>IF(M26="","",X26*SIN(RADIANS(W26)))</f>
        <v>-1.6845286039087166</v>
      </c>
      <c r="V26" s="636">
        <f>IF(M26="","",Y26)</f>
        <v>-0.88020265469120595</v>
      </c>
      <c r="W26" s="585">
        <f t="shared" si="224"/>
        <v>214.30726905785866</v>
      </c>
      <c r="X26" s="629">
        <f>IF(M26="","",R26)</f>
        <v>2.988709013946385</v>
      </c>
      <c r="Y26" s="630">
        <f t="shared" si="223"/>
        <v>-0.88020265469120595</v>
      </c>
      <c r="Z26" s="632">
        <f t="shared" si="6"/>
        <v>-0.97689580825795896</v>
      </c>
      <c r="AA26" s="629">
        <f t="shared" si="7"/>
        <v>-0.1726271808922909</v>
      </c>
      <c r="AB26" s="629">
        <f t="shared" si="8"/>
        <v>-0.1259937943916668</v>
      </c>
      <c r="AC26" s="636">
        <f>IF(M26="","",SQRT(Z26^2+AA26^2+AB26^2))</f>
        <v>1</v>
      </c>
      <c r="AD26" s="637">
        <f>IF(M26="","",Z26*(1/SQRT(Z26^2+AA26^2+AB26^2)))</f>
        <v>-0.97689580825795896</v>
      </c>
      <c r="AE26" s="629">
        <f>IF(M26="","",AA26*(1/SQRT(Z26^2+AA26^2+AB26^2)))</f>
        <v>-0.1726271808922909</v>
      </c>
      <c r="AF26" s="633">
        <f>IF(M26="","",AB26*(1/SQRT(Z26^2+AA26^2+AB26^2)))</f>
        <v>-0.1259937943916668</v>
      </c>
      <c r="AG26" s="602">
        <f>IF(M26="","",DEGREES(ATAN2(-AF26,AE26)))</f>
        <v>-53.875763020785449</v>
      </c>
      <c r="AH26" s="603">
        <f>IF(M26="","",DEGREES(ACOS(AD26)))</f>
        <v>167.6597842306781</v>
      </c>
      <c r="AI26" s="585">
        <f>IF(M26="","",DEGREES(-ACOS(-AF26)))</f>
        <v>-82.761850235564097</v>
      </c>
      <c r="AJ26" s="586">
        <f>IF(M26="","",DEGREES(ATAN2(-AE26,AD26)))</f>
        <v>-79.978722141797334</v>
      </c>
      <c r="AK26" s="635">
        <f>IF(M26="","",(COS(RADIANS((90-$Q$8)-W26))*AD26)+(-SIN(RADIANS((90-$Q$8)-W26))*AE26))</f>
        <v>0.92521877163944721</v>
      </c>
      <c r="AL26" s="629">
        <f>IF(M26="","",(SIN(RADIANS((90-$Q$8)-W26))*AD26)+(COS(RADIANS((90-$Q$8)-W26))*AE26))</f>
        <v>-0.35790471969615467</v>
      </c>
      <c r="AM26" s="634">
        <f>IF(M26="","",AF26)</f>
        <v>-0.1259937943916668</v>
      </c>
      <c r="AN26" s="581">
        <f>IF(M26="","",DEGREES(ATAN2(-AM26,AL26)))</f>
        <v>-70.606317246566647</v>
      </c>
      <c r="AO26" s="582">
        <f t="shared" si="94"/>
        <v>22.298632969049692</v>
      </c>
      <c r="AP26" s="585">
        <f>IF(M26="","",DEGREES(ATAN2(AK26,AL26)))</f>
        <v>-21.148091652712633</v>
      </c>
      <c r="AQ26" s="586">
        <f t="shared" si="9"/>
        <v>0.76273466305789472</v>
      </c>
      <c r="AS26" s="52">
        <f t="shared" si="116"/>
        <v>-145.69273094214134</v>
      </c>
      <c r="AT26" s="72">
        <f t="shared" si="10"/>
        <v>-0.77684805018489711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3.1160000000000001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1.6255017415860966</v>
      </c>
      <c r="C27" s="708">
        <v>-2.7432850946618763</v>
      </c>
      <c r="D27" s="709">
        <v>-1.6449049610333624</v>
      </c>
      <c r="E27" s="710">
        <v>0.99711717047608439</v>
      </c>
      <c r="F27" s="708">
        <v>-7.5877192500451579E-2</v>
      </c>
      <c r="G27" s="711">
        <v>1.3008419233814161E-7</v>
      </c>
      <c r="H27" s="710">
        <v>0.26600000000000001</v>
      </c>
      <c r="I27" s="708">
        <v>0.52</v>
      </c>
      <c r="J27" s="570">
        <v>3.121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3.121</v>
      </c>
      <c r="N27" s="632">
        <f t="shared" si="2"/>
        <v>1.6255017415860966</v>
      </c>
      <c r="O27" s="629">
        <f t="shared" si="3"/>
        <v>-2.7432850946618763</v>
      </c>
      <c r="P27" s="633">
        <f t="shared" si="4"/>
        <v>-1.6449049610333624</v>
      </c>
      <c r="Q27" s="585">
        <f t="shared" si="113"/>
        <v>300.64836958613836</v>
      </c>
      <c r="R27" s="629">
        <f t="shared" si="79"/>
        <v>3.1887096171482052</v>
      </c>
      <c r="S27" s="634">
        <f t="shared" si="80"/>
        <v>-1.6449049610333624</v>
      </c>
      <c r="T27" s="635">
        <f t="shared" si="81"/>
        <v>-2.6501931975085675</v>
      </c>
      <c r="U27" s="629">
        <f t="shared" si="82"/>
        <v>-1.7732301143316875</v>
      </c>
      <c r="V27" s="636">
        <f t="shared" si="114"/>
        <v>-1.6449049610333624</v>
      </c>
      <c r="W27" s="585">
        <f t="shared" si="224"/>
        <v>213.7862691330817</v>
      </c>
      <c r="X27" s="629">
        <f t="shared" si="83"/>
        <v>3.1887096171482052</v>
      </c>
      <c r="Y27" s="630">
        <f t="shared" si="223"/>
        <v>-1.6449049610333624</v>
      </c>
      <c r="Z27" s="632">
        <f t="shared" si="6"/>
        <v>-0.99711717047608439</v>
      </c>
      <c r="AA27" s="629">
        <f t="shared" si="7"/>
        <v>7.5877192500451579E-2</v>
      </c>
      <c r="AB27" s="629">
        <f t="shared" si="8"/>
        <v>-1.3008419233814161E-7</v>
      </c>
      <c r="AC27" s="636">
        <f t="shared" si="84"/>
        <v>1</v>
      </c>
      <c r="AD27" s="637">
        <f t="shared" si="115"/>
        <v>-0.99711717047608439</v>
      </c>
      <c r="AE27" s="629">
        <f t="shared" si="85"/>
        <v>7.5877192500451579E-2</v>
      </c>
      <c r="AF27" s="633">
        <f t="shared" si="86"/>
        <v>-1.3008419233814161E-7</v>
      </c>
      <c r="AG27" s="602">
        <f t="shared" si="87"/>
        <v>89.999901771863762</v>
      </c>
      <c r="AH27" s="603">
        <f t="shared" si="88"/>
        <v>175.64837463950684</v>
      </c>
      <c r="AI27" s="585">
        <f t="shared" si="89"/>
        <v>-89.999992546724798</v>
      </c>
      <c r="AJ27" s="586">
        <f t="shared" si="90"/>
        <v>-94.351625360486892</v>
      </c>
      <c r="AK27" s="635">
        <f t="shared" si="211"/>
        <v>0.81915209487729235</v>
      </c>
      <c r="AL27" s="629">
        <f t="shared" si="91"/>
        <v>-0.57357636410344415</v>
      </c>
      <c r="AM27" s="634">
        <f t="shared" si="92"/>
        <v>-1.3008419233814161E-7</v>
      </c>
      <c r="AN27" s="581">
        <f t="shared" si="93"/>
        <v>-89.999987005609597</v>
      </c>
      <c r="AO27" s="582">
        <f t="shared" si="94"/>
        <v>34.999994946625911</v>
      </c>
      <c r="AP27" s="585">
        <f t="shared" si="95"/>
        <v>-34.999994946625236</v>
      </c>
      <c r="AQ27" s="586">
        <f t="shared" si="9"/>
        <v>0.71489994336999108</v>
      </c>
      <c r="AS27" s="52">
        <f t="shared" si="116"/>
        <v>-146.2137308669183</v>
      </c>
      <c r="AT27" s="72">
        <f t="shared" si="10"/>
        <v>-1.5411885510237362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3.121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0.50810255092938661</v>
      </c>
      <c r="C28" s="708">
        <v>-2.4357019692795636</v>
      </c>
      <c r="D28" s="709">
        <v>-0.22859404981673243</v>
      </c>
      <c r="E28" s="710">
        <v>0.94355641338325857</v>
      </c>
      <c r="F28" s="708">
        <v>-7.3593834371809122E-2</v>
      </c>
      <c r="G28" s="711">
        <v>0.32293225652724161</v>
      </c>
      <c r="H28" s="710">
        <v>0.26600000000000001</v>
      </c>
      <c r="I28" s="708">
        <v>0.52</v>
      </c>
      <c r="J28" s="570">
        <v>3.2109999999999999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3.2109999999999999</v>
      </c>
      <c r="N28" s="632">
        <f t="shared" si="2"/>
        <v>0.50810255092938661</v>
      </c>
      <c r="O28" s="629">
        <f t="shared" si="3"/>
        <v>-2.4357019692795636</v>
      </c>
      <c r="P28" s="633">
        <f t="shared" si="4"/>
        <v>-0.22859404981673243</v>
      </c>
      <c r="Q28" s="585">
        <f t="shared" si="113"/>
        <v>281.78327230992141</v>
      </c>
      <c r="R28" s="629">
        <f t="shared" si="79"/>
        <v>2.488134298106373</v>
      </c>
      <c r="S28" s="634">
        <f t="shared" si="80"/>
        <v>-0.22859404981673243</v>
      </c>
      <c r="T28" s="635">
        <f t="shared" si="81"/>
        <v>-2.4042368927185223</v>
      </c>
      <c r="U28" s="629">
        <f t="shared" si="82"/>
        <v>-0.64066937581288919</v>
      </c>
      <c r="V28" s="636">
        <f t="shared" si="114"/>
        <v>-0.22859404981673243</v>
      </c>
      <c r="W28" s="585">
        <f t="shared" si="224"/>
        <v>194.92117185686476</v>
      </c>
      <c r="X28" s="629">
        <f t="shared" si="83"/>
        <v>2.488134298106373</v>
      </c>
      <c r="Y28" s="630">
        <f t="shared" si="223"/>
        <v>-0.22859404981673243</v>
      </c>
      <c r="Z28" s="632">
        <f t="shared" si="6"/>
        <v>-0.94355641338325857</v>
      </c>
      <c r="AA28" s="629">
        <f t="shared" si="7"/>
        <v>7.3593834371809122E-2</v>
      </c>
      <c r="AB28" s="629">
        <f t="shared" si="8"/>
        <v>-0.32293225652724161</v>
      </c>
      <c r="AC28" s="636">
        <f t="shared" si="84"/>
        <v>1</v>
      </c>
      <c r="AD28" s="637">
        <f t="shared" si="115"/>
        <v>-0.94355641338325857</v>
      </c>
      <c r="AE28" s="629">
        <f t="shared" si="85"/>
        <v>7.3593834371809122E-2</v>
      </c>
      <c r="AF28" s="633">
        <f t="shared" si="86"/>
        <v>-0.32293225652724161</v>
      </c>
      <c r="AG28" s="602">
        <f t="shared" si="87"/>
        <v>12.838026950792989</v>
      </c>
      <c r="AH28" s="603">
        <f t="shared" si="88"/>
        <v>160.65765316506975</v>
      </c>
      <c r="AI28" s="585">
        <f t="shared" si="89"/>
        <v>-71.1596516553209</v>
      </c>
      <c r="AJ28" s="586">
        <f t="shared" si="90"/>
        <v>-94.459825246042996</v>
      </c>
      <c r="AK28" s="635">
        <f t="shared" si="211"/>
        <v>0.90864428055495527</v>
      </c>
      <c r="AL28" s="629">
        <f t="shared" si="91"/>
        <v>-0.26472689532609189</v>
      </c>
      <c r="AM28" s="634">
        <f t="shared" si="92"/>
        <v>-0.32293225652724161</v>
      </c>
      <c r="AN28" s="581">
        <f t="shared" si="93"/>
        <v>-39.343523909103574</v>
      </c>
      <c r="AO28" s="582">
        <f t="shared" si="94"/>
        <v>24.681331641634184</v>
      </c>
      <c r="AP28" s="585">
        <f t="shared" si="95"/>
        <v>-16.243097555964408</v>
      </c>
      <c r="AQ28" s="586">
        <f t="shared" si="9"/>
        <v>0.91616129243653477</v>
      </c>
      <c r="AS28" s="52">
        <f t="shared" si="116"/>
        <v>-165.07882814313524</v>
      </c>
      <c r="AT28" s="72">
        <f t="shared" si="10"/>
        <v>-0.1117768778097334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Nose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3.2109999999999999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3.1110000000000002</v>
      </c>
      <c r="II28" s="734" cm="1">
        <f t="array" ref="II28">IFERROR(IF($IH28&lt;1,$IH28+LARGE((IF($M$9:$M$150="",0,$M$9:$M$150)-MOD(IF($M$9:$M$150="",0,$M$9:$M$150),1)),1),$IH28),"")</f>
        <v>3.1110000000000002</v>
      </c>
      <c r="IJ28" s="533">
        <f t="shared" si="112"/>
        <v>1613</v>
      </c>
      <c r="IK28" s="533">
        <f t="shared" si="66"/>
        <v>1313</v>
      </c>
      <c r="IL28" s="727">
        <f t="shared" si="225"/>
        <v>20.707197010250695</v>
      </c>
      <c r="IM28" s="759">
        <v>1.94525461175938E-2</v>
      </c>
      <c r="IN28" s="5">
        <f t="shared" si="226"/>
        <v>0.38</v>
      </c>
      <c r="IO28" s="771">
        <v>190</v>
      </c>
      <c r="IP28" s="9">
        <f t="shared" si="227"/>
        <v>-2.4621074257159963</v>
      </c>
      <c r="IQ28" s="5">
        <f t="shared" si="228"/>
        <v>-0.26140078838477782</v>
      </c>
      <c r="IR28" s="5">
        <f t="shared" si="71"/>
        <v>0.314</v>
      </c>
      <c r="IS28" s="5">
        <f t="shared" si="229"/>
        <v>0.30303828076946626</v>
      </c>
      <c r="IT28" s="727">
        <f t="shared" si="230"/>
        <v>48.263422282991677</v>
      </c>
      <c r="IU28" s="9">
        <f t="shared" si="231"/>
        <v>-2.488134298106373</v>
      </c>
      <c r="IV28" s="5">
        <f t="shared" si="232"/>
        <v>-0.22859404981673243</v>
      </c>
      <c r="IW28" s="5">
        <f t="shared" si="76"/>
        <v>0.26600000000000001</v>
      </c>
      <c r="IX28" s="5">
        <f t="shared" si="233"/>
        <v>0.24169937862761812</v>
      </c>
      <c r="IY28" s="762">
        <f t="shared" si="234"/>
        <v>39.343523909103574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0.61081938382742473</v>
      </c>
      <c r="C29" s="708">
        <v>-2.9746593254916465</v>
      </c>
      <c r="D29" s="709">
        <v>-0.86165201040783435</v>
      </c>
      <c r="E29" s="710">
        <v>0.93434562297977142</v>
      </c>
      <c r="F29" s="708">
        <v>-0.28328104792592351</v>
      </c>
      <c r="G29" s="711">
        <v>0.21621772523207616</v>
      </c>
      <c r="H29" s="710">
        <v>0.26600000000000001</v>
      </c>
      <c r="I29" s="708">
        <v>0.52</v>
      </c>
      <c r="J29" s="570">
        <v>3.2160000000000002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3.2160000000000002</v>
      </c>
      <c r="N29" s="632">
        <f t="shared" si="2"/>
        <v>0.61081938382742473</v>
      </c>
      <c r="O29" s="629">
        <f t="shared" si="3"/>
        <v>-2.9746593254916465</v>
      </c>
      <c r="P29" s="633">
        <f t="shared" si="4"/>
        <v>-0.86165201040783435</v>
      </c>
      <c r="Q29" s="585">
        <f t="shared" si="113"/>
        <v>281.60387233582355</v>
      </c>
      <c r="R29" s="629">
        <f>IF(M29="","",SQRT(N29^2+O29^2))</f>
        <v>3.036724950072649</v>
      </c>
      <c r="S29" s="634">
        <f>IF(M29="","",P29)</f>
        <v>-0.86165201040783435</v>
      </c>
      <c r="T29" s="635">
        <f>IF(M29="","",X29*COS(RADIANS(W29)))</f>
        <v>-2.9367635314806382</v>
      </c>
      <c r="U29" s="629">
        <f>IF(M29="","",X29*SIN(RADIANS(W29)))</f>
        <v>-0.77273435445766414</v>
      </c>
      <c r="V29" s="636">
        <f>IF(M29="","",Y29)</f>
        <v>-0.86165201040783435</v>
      </c>
      <c r="W29" s="585">
        <f t="shared" si="224"/>
        <v>194.7417718827669</v>
      </c>
      <c r="X29" s="629">
        <f>IF(M29="","",R29)</f>
        <v>3.036724950072649</v>
      </c>
      <c r="Y29" s="630">
        <f t="shared" si="223"/>
        <v>-0.86165201040783435</v>
      </c>
      <c r="Z29" s="632">
        <f t="shared" si="6"/>
        <v>-0.93434562297977142</v>
      </c>
      <c r="AA29" s="629">
        <f t="shared" si="7"/>
        <v>0.28328104792592351</v>
      </c>
      <c r="AB29" s="629">
        <f t="shared" si="8"/>
        <v>-0.21621772523207616</v>
      </c>
      <c r="AC29" s="636">
        <f>IF(M29="","",SQRT(Z29^2+AA29^2+AB29^2))</f>
        <v>1</v>
      </c>
      <c r="AD29" s="637">
        <f>IF(M29="","",Z29*(1/SQRT(Z29^2+AA29^2+AB29^2)))</f>
        <v>-0.93434562297977142</v>
      </c>
      <c r="AE29" s="629">
        <f>IF(M29="","",AA29*(1/SQRT(Z29^2+AA29^2+AB29^2)))</f>
        <v>0.28328104792592351</v>
      </c>
      <c r="AF29" s="633">
        <f>IF(M29="","",AB29*(1/SQRT(Z29^2+AA29^2+AB29^2)))</f>
        <v>-0.21621772523207616</v>
      </c>
      <c r="AG29" s="602">
        <f>IF(M29="","",DEGREES(ATAN2(-AF29,AE29)))</f>
        <v>52.646873270321315</v>
      </c>
      <c r="AH29" s="603">
        <f>IF(M29="","",DEGREES(ACOS(AD29)))</f>
        <v>159.12268167889468</v>
      </c>
      <c r="AI29" s="585">
        <f>IF(M29="","",DEGREES(-ACOS(-AF29)))</f>
        <v>-77.513021630862667</v>
      </c>
      <c r="AJ29" s="586">
        <f>IF(M29="","",DEGREES(ATAN2(-AE29,AD29)))</f>
        <v>-106.86659901268817</v>
      </c>
      <c r="AK29" s="635">
        <f>IF(M29="","",(COS(RADIANS((90-$Q$8)-W29))*AD29)+(-SIN(RADIANS((90-$Q$8)-W29))*AE29))</f>
        <v>0.85826882853602782</v>
      </c>
      <c r="AL29" s="629">
        <f>IF(M29="","",(SIN(RADIANS((90-$Q$8)-W29))*AD29)+(COS(RADIANS((90-$Q$8)-W29))*AE29))</f>
        <v>-0.46542938589958094</v>
      </c>
      <c r="AM29" s="634">
        <f>IF(M29="","",AF29)</f>
        <v>-0.21621772523207616</v>
      </c>
      <c r="AN29" s="581">
        <f>IF(M29="","",DEGREES(ATAN2(-AM29,AL29)))</f>
        <v>-65.082521740680065</v>
      </c>
      <c r="AO29" s="582">
        <f t="shared" si="94"/>
        <v>30.877240785585457</v>
      </c>
      <c r="AP29" s="585">
        <f>IF(M29="","",DEGREES(ATAN2(AK29,AL29)))</f>
        <v>-28.470471348511715</v>
      </c>
      <c r="AQ29" s="586">
        <f t="shared" si="9"/>
        <v>0.75067588432207077</v>
      </c>
      <c r="AS29" s="52">
        <f t="shared" si="116"/>
        <v>-165.2582281172331</v>
      </c>
      <c r="AT29" s="72">
        <f t="shared" si="10"/>
        <v>-0.7447102550854896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3.2160000000000002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3.1160000000000001</v>
      </c>
      <c r="II29" s="734" cm="1">
        <f t="array" ref="II29">IFERROR(IF($IH29&lt;1,$IH29+LARGE((IF($M$9:$M$150="",0,$M$9:$M$150)-MOD(IF($M$9:$M$150="",0,$M$9:$M$150),1)),1),$IH29),"")</f>
        <v>3.1160000000000001</v>
      </c>
      <c r="IJ29" s="533">
        <f t="shared" si="112"/>
        <v>1613</v>
      </c>
      <c r="IK29" s="533">
        <f t="shared" si="66"/>
        <v>1313</v>
      </c>
      <c r="IL29" s="727">
        <f t="shared" si="225"/>
        <v>19.565497175091764</v>
      </c>
      <c r="IM29" s="759">
        <v>9.58802462814419E-3</v>
      </c>
      <c r="IN29" s="5">
        <f t="shared" si="226"/>
        <v>0.36</v>
      </c>
      <c r="IO29" s="771">
        <v>180</v>
      </c>
      <c r="IP29" s="9">
        <f t="shared" si="227"/>
        <v>-2.988709013946385</v>
      </c>
      <c r="IQ29" s="5">
        <f t="shared" si="228"/>
        <v>-0.88020265469120595</v>
      </c>
      <c r="IR29" s="5">
        <f t="shared" si="71"/>
        <v>0.314</v>
      </c>
      <c r="IS29" s="5">
        <f t="shared" si="229"/>
        <v>0.29051869429478644</v>
      </c>
      <c r="IT29" s="727">
        <f t="shared" si="230"/>
        <v>70.606317246566647</v>
      </c>
      <c r="IU29" s="9">
        <f t="shared" si="231"/>
        <v>-3.036724950072649</v>
      </c>
      <c r="IV29" s="5">
        <f t="shared" si="232"/>
        <v>-0.86165201040783435</v>
      </c>
      <c r="IW29" s="5">
        <f t="shared" si="76"/>
        <v>0.26600000000000001</v>
      </c>
      <c r="IX29" s="5">
        <f t="shared" si="233"/>
        <v>0.22829950839058341</v>
      </c>
      <c r="IY29" s="762">
        <f t="shared" si="234"/>
        <v>65.082521740680065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10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190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180</v>
      </c>
    </row>
    <row r="30" spans="1:269" ht="15" customHeight="1" x14ac:dyDescent="0.25">
      <c r="A30" s="79"/>
      <c r="B30" s="707">
        <v>-0.43070018593287651</v>
      </c>
      <c r="C30" s="708">
        <v>-0.43069989289116362</v>
      </c>
      <c r="D30" s="709">
        <v>-0.22270067166522575</v>
      </c>
      <c r="E30" s="710">
        <v>0.70645871531396387</v>
      </c>
      <c r="F30" s="708">
        <v>-0.62246738641407151</v>
      </c>
      <c r="G30" s="711">
        <v>0.33682404369014229</v>
      </c>
      <c r="H30" s="710">
        <v>0.314</v>
      </c>
      <c r="I30" s="708">
        <v>0.52</v>
      </c>
      <c r="J30" s="570">
        <v>4.1020000000000003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4.1020000000000003</v>
      </c>
      <c r="N30" s="632">
        <f t="shared" si="2"/>
        <v>-0.43070018593287651</v>
      </c>
      <c r="O30" s="629">
        <f t="shared" si="3"/>
        <v>-0.43069989289116362</v>
      </c>
      <c r="P30" s="633">
        <f t="shared" si="4"/>
        <v>-0.22270067166522575</v>
      </c>
      <c r="Q30" s="585">
        <f t="shared" si="113"/>
        <v>224.99998050841441</v>
      </c>
      <c r="R30" s="629">
        <f>IF(M30="","",SQRT(N30^2+O30^2))</f>
        <v>0.60910183705114052</v>
      </c>
      <c r="S30" s="634">
        <f>IF(M30="","",P30)</f>
        <v>-0.22270067166522575</v>
      </c>
      <c r="T30" s="635">
        <f>IF(M30="","",X30*COS(RADIANS(W30)))</f>
        <v>-0.453630364896487</v>
      </c>
      <c r="U30" s="629">
        <f>IF(M30="","",X30*SIN(RADIANS(W30)))</f>
        <v>0.4064782158282953</v>
      </c>
      <c r="V30" s="636">
        <f>IF(M30="","",Y30)</f>
        <v>-0.22270067166522575</v>
      </c>
      <c r="W30" s="585">
        <f t="shared" si="224"/>
        <v>138.13788005535775</v>
      </c>
      <c r="X30" s="629">
        <f>IF(M30="","",R30)</f>
        <v>0.60910183705114052</v>
      </c>
      <c r="Y30" s="630">
        <f t="shared" si="223"/>
        <v>-0.22270067166522575</v>
      </c>
      <c r="Z30" s="632">
        <f t="shared" si="6"/>
        <v>-0.70645871531396387</v>
      </c>
      <c r="AA30" s="629">
        <f t="shared" si="7"/>
        <v>0.62246738641407151</v>
      </c>
      <c r="AB30" s="629">
        <f t="shared" si="8"/>
        <v>-0.33682404369014229</v>
      </c>
      <c r="AC30" s="636">
        <f>IF(M30="","",SQRT(Z30^2+AA30^2+AB30^2))</f>
        <v>1</v>
      </c>
      <c r="AD30" s="637">
        <f>IF(M30="","",Z30*(1/SQRT(Z30^2+AA30^2+AB30^2)))</f>
        <v>-0.70645871531396387</v>
      </c>
      <c r="AE30" s="629">
        <f>IF(M30="","",AA30*(1/SQRT(Z30^2+AA30^2+AB30^2)))</f>
        <v>0.62246738641407151</v>
      </c>
      <c r="AF30" s="633">
        <f>IF(M30="","",AB30*(1/SQRT(Z30^2+AA30^2+AB30^2)))</f>
        <v>-0.33682404369014229</v>
      </c>
      <c r="AG30" s="602">
        <f>IF(M30="","",DEGREES(ATAN2(-AF30,AE30)))</f>
        <v>61.581685617746601</v>
      </c>
      <c r="AH30" s="603">
        <f>IF(M30="","",DEGREES(ACOS(AD30)))</f>
        <v>134.94751224914032</v>
      </c>
      <c r="AI30" s="585">
        <f>IF(M30="","",DEGREES(-ACOS(-AF30)))</f>
        <v>-70.316504667624201</v>
      </c>
      <c r="AJ30" s="586">
        <f>IF(M30="","",DEGREES(ATAN2(-AE30,AD30)))</f>
        <v>-131.38357899964939</v>
      </c>
      <c r="AK30" s="635">
        <f>IF(M30="","",(COS(RADIANS((90-$Q$8)-W30))*AD30)+(-SIN(RADIANS((90-$Q$8)-W30))*AE30))</f>
        <v>0.93969263802333458</v>
      </c>
      <c r="AL30" s="629">
        <f>IF(M30="","",(SIN(RADIANS((90-$Q$8)-W30))*AD30)+(COS(RADIANS((90-$Q$8)-W30))*AE30))</f>
        <v>5.9391157902229097E-2</v>
      </c>
      <c r="AM30" s="634">
        <f>IF(M30="","",AF30)</f>
        <v>-0.33682404369014229</v>
      </c>
      <c r="AN30" s="581">
        <f>IF(M30="","",DEGREES(ATAN2(-AM30,AL30)))</f>
        <v>9.9999985561788822</v>
      </c>
      <c r="AO30" s="582">
        <f>IF(ROUND(IF(M30="",0,DEGREES(ACOS(AK30))),4)=90,0,IF(M30="","",DEGREES(ACOS(AK30))))</f>
        <v>19.999997112357679</v>
      </c>
      <c r="AP30" s="585">
        <f>IF(M30="","",DEGREES(ATAN2(AK30,AL30)))</f>
        <v>3.6164404919362174</v>
      </c>
      <c r="AQ30" s="586">
        <f t="shared" si="9"/>
        <v>3.7374575255574021</v>
      </c>
      <c r="AS30" s="52">
        <f t="shared" si="116"/>
        <v>-221.86211994464225</v>
      </c>
      <c r="AT30" s="72">
        <f t="shared" si="10"/>
        <v>-6.6450658129402429E-2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4.1020000000000003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-1.0024004147766596</v>
      </c>
      <c r="C31" s="708">
        <v>-0.99047969546308212</v>
      </c>
      <c r="D31" s="709">
        <v>-8.1600246106342256E-2</v>
      </c>
      <c r="E31" s="710">
        <v>0.67424442759792147</v>
      </c>
      <c r="F31" s="708">
        <v>-0.705429093935665</v>
      </c>
      <c r="G31" s="711">
        <v>0.21855032665786142</v>
      </c>
      <c r="H31" s="710">
        <v>0.314</v>
      </c>
      <c r="I31" s="708">
        <v>0.52</v>
      </c>
      <c r="J31" s="570">
        <v>4.1050000000000004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4.1050000000000004</v>
      </c>
      <c r="N31" s="632">
        <f t="shared" si="2"/>
        <v>-1.0024004147766596</v>
      </c>
      <c r="O31" s="629">
        <f t="shared" si="3"/>
        <v>-0.99047969546308212</v>
      </c>
      <c r="P31" s="633">
        <f t="shared" si="4"/>
        <v>-8.1600246106342256E-2</v>
      </c>
      <c r="Q31" s="585">
        <f t="shared" si="113"/>
        <v>224.65728055789415</v>
      </c>
      <c r="R31" s="629">
        <f>IF(M31="","",SQRT(N31^2+O31^2))</f>
        <v>1.4092042501600182</v>
      </c>
      <c r="S31" s="634">
        <f>IF(M31="","",P31)</f>
        <v>-8.1600246106342256E-2</v>
      </c>
      <c r="T31" s="635">
        <f>IF(M31="","",X31*COS(RADIANS(W31)))</f>
        <v>-1.0438653517760386</v>
      </c>
      <c r="U31" s="629">
        <f>IF(M31="","",X31*SIN(RADIANS(W31)))</f>
        <v>0.94667932587045889</v>
      </c>
      <c r="V31" s="636">
        <f>IF(M31="","",Y31)</f>
        <v>-8.1600246106342256E-2</v>
      </c>
      <c r="W31" s="585">
        <f t="shared" si="224"/>
        <v>137.79518010483753</v>
      </c>
      <c r="X31" s="629">
        <f>IF(M31="","",R31)</f>
        <v>1.4092042501600182</v>
      </c>
      <c r="Y31" s="630">
        <f t="shared" si="223"/>
        <v>-8.1600246106342256E-2</v>
      </c>
      <c r="Z31" s="632">
        <f t="shared" si="6"/>
        <v>-0.67424442759792147</v>
      </c>
      <c r="AA31" s="629">
        <f t="shared" si="7"/>
        <v>0.705429093935665</v>
      </c>
      <c r="AB31" s="629">
        <f t="shared" si="8"/>
        <v>-0.21855032665786142</v>
      </c>
      <c r="AC31" s="636">
        <f>IF(M31="","",SQRT(Z31^2+AA31^2+AB31^2))</f>
        <v>1</v>
      </c>
      <c r="AD31" s="637">
        <f>IF(M31="","",Z31*(1/SQRT(Z31^2+AA31^2+AB31^2)))</f>
        <v>-0.67424442759792147</v>
      </c>
      <c r="AE31" s="629">
        <f>IF(M31="","",AA31*(1/SQRT(Z31^2+AA31^2+AB31^2)))</f>
        <v>0.705429093935665</v>
      </c>
      <c r="AF31" s="633">
        <f>IF(M31="","",AB31*(1/SQRT(Z31^2+AA31^2+AB31^2)))</f>
        <v>-0.21855032665786142</v>
      </c>
      <c r="AG31" s="602">
        <f>IF(M31="","",DEGREES(ATAN2(-AF31,AE31)))</f>
        <v>72.786396863240654</v>
      </c>
      <c r="AH31" s="603">
        <f>IF(M31="","",DEGREES(ACOS(AD31)))</f>
        <v>132.39550312199799</v>
      </c>
      <c r="AI31" s="585">
        <f>IF(M31="","",DEGREES(-ACOS(-AF31)))</f>
        <v>-77.376099031762919</v>
      </c>
      <c r="AJ31" s="586">
        <f>IF(M31="","",DEGREES(ATAN2(-AE31,AD31)))</f>
        <v>-136.29483211281647</v>
      </c>
      <c r="AK31" s="635">
        <f>IF(M31="","",(COS(RADIANS((90-$Q$8)-W31))*AD31)+(-SIN(RADIANS((90-$Q$8)-W31))*AE31))</f>
        <v>0.97569094864380013</v>
      </c>
      <c r="AL31" s="629">
        <f>IF(M31="","",(SIN(RADIANS((90-$Q$8)-W31))*AD31)+(COS(RADIANS((90-$Q$8)-W31))*AE31))</f>
        <v>-1.6215037844651115E-2</v>
      </c>
      <c r="AM31" s="634">
        <f>IF(M31="","",AF31)</f>
        <v>-0.21855032665786142</v>
      </c>
      <c r="AN31" s="581">
        <f>IF(M31="","",DEGREES(ATAN2(-AM31,AL31)))</f>
        <v>-4.2432063057951677</v>
      </c>
      <c r="AO31" s="582">
        <f t="shared" si="94"/>
        <v>12.659173643638827</v>
      </c>
      <c r="AP31" s="585">
        <f>IF(M31="","",DEGREES(ATAN2(AK31,AL31)))</f>
        <v>-0.9521126707106462</v>
      </c>
      <c r="AQ31" s="586">
        <f t="shared" si="9"/>
        <v>1.6173107019993249</v>
      </c>
      <c r="AS31" s="52">
        <f t="shared" si="116"/>
        <v>-222.20481989516247</v>
      </c>
      <c r="AT31" s="72">
        <f t="shared" si="10"/>
        <v>7.4887753506231225E-2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4.1050000000000004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-1.699753001540909</v>
      </c>
      <c r="C32" s="708">
        <v>-1.5759227619991014</v>
      </c>
      <c r="D32" s="709">
        <v>-0.18160054770725192</v>
      </c>
      <c r="E32" s="710">
        <v>0.53790083716495019</v>
      </c>
      <c r="F32" s="708">
        <v>-0.82400898642483145</v>
      </c>
      <c r="G32" s="711">
        <v>0.1779659508680462</v>
      </c>
      <c r="H32" s="710">
        <v>0.314</v>
      </c>
      <c r="I32" s="708">
        <v>0.52</v>
      </c>
      <c r="J32" s="570">
        <v>4.1100000000000003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4.1100000000000003</v>
      </c>
      <c r="N32" s="632">
        <f t="shared" si="2"/>
        <v>-1.699753001540909</v>
      </c>
      <c r="O32" s="629">
        <f t="shared" si="3"/>
        <v>-1.5759227619991014</v>
      </c>
      <c r="P32" s="633">
        <f t="shared" si="4"/>
        <v>-0.18160054770725192</v>
      </c>
      <c r="Q32" s="585">
        <f t="shared" si="113"/>
        <v>222.83508082098726</v>
      </c>
      <c r="R32" s="629">
        <f t="shared" si="79"/>
        <v>2.3179069908074843</v>
      </c>
      <c r="S32" s="634">
        <f t="shared" si="80"/>
        <v>-0.18160054770725192</v>
      </c>
      <c r="T32" s="635">
        <f t="shared" si="81"/>
        <v>-1.6666032479298722</v>
      </c>
      <c r="U32" s="629">
        <f t="shared" si="82"/>
        <v>1.6109396115384982</v>
      </c>
      <c r="V32" s="636">
        <f t="shared" si="114"/>
        <v>-0.18160054770725192</v>
      </c>
      <c r="W32" s="585">
        <f t="shared" si="224"/>
        <v>135.97298036793063</v>
      </c>
      <c r="X32" s="629">
        <f t="shared" si="83"/>
        <v>2.3179069908074843</v>
      </c>
      <c r="Y32" s="630">
        <f t="shared" si="223"/>
        <v>-0.18160054770725192</v>
      </c>
      <c r="Z32" s="632">
        <f t="shared" si="6"/>
        <v>-0.53790083716495019</v>
      </c>
      <c r="AA32" s="629">
        <f t="shared" si="7"/>
        <v>0.82400898642483145</v>
      </c>
      <c r="AB32" s="629">
        <f t="shared" si="8"/>
        <v>-0.1779659508680462</v>
      </c>
      <c r="AC32" s="636">
        <f t="shared" si="84"/>
        <v>1</v>
      </c>
      <c r="AD32" s="637">
        <f t="shared" si="115"/>
        <v>-0.53790083716495019</v>
      </c>
      <c r="AE32" s="629">
        <f t="shared" si="85"/>
        <v>0.82400898642483145</v>
      </c>
      <c r="AF32" s="633">
        <f t="shared" si="86"/>
        <v>-0.1779659508680462</v>
      </c>
      <c r="AG32" s="602">
        <f t="shared" si="87"/>
        <v>77.812694822375832</v>
      </c>
      <c r="AH32" s="603">
        <f t="shared" si="88"/>
        <v>122.54085374907744</v>
      </c>
      <c r="AI32" s="585">
        <f t="shared" si="89"/>
        <v>-79.748695443011485</v>
      </c>
      <c r="AJ32" s="586">
        <f t="shared" si="90"/>
        <v>-146.86409390686748</v>
      </c>
      <c r="AK32" s="635">
        <f t="shared" si="211"/>
        <v>0.96997072353436853</v>
      </c>
      <c r="AL32" s="629">
        <f t="shared" si="91"/>
        <v>-0.16578575275893204</v>
      </c>
      <c r="AM32" s="634">
        <f t="shared" si="92"/>
        <v>-0.1779659508680462</v>
      </c>
      <c r="AN32" s="581">
        <f t="shared" si="93"/>
        <v>-42.970680302184611</v>
      </c>
      <c r="AO32" s="582">
        <f t="shared" si="94"/>
        <v>14.076766065956816</v>
      </c>
      <c r="AP32" s="585">
        <f t="shared" si="95"/>
        <v>-9.6991747278547802</v>
      </c>
      <c r="AQ32" s="586">
        <f t="shared" si="9"/>
        <v>0.98343150185491957</v>
      </c>
      <c r="AS32" s="52">
        <f t="shared" si="116"/>
        <v>-224.02701963206937</v>
      </c>
      <c r="AT32" s="72">
        <f t="shared" si="10"/>
        <v>-2.3847131610715305E-2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4.1100000000000003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-2.1877828849273735</v>
      </c>
      <c r="C33" s="708">
        <v>-1.9260623917409416</v>
      </c>
      <c r="D33" s="709">
        <v>-0.7329022104330668</v>
      </c>
      <c r="E33" s="710">
        <v>0.37952054424859583</v>
      </c>
      <c r="F33" s="708">
        <v>-0.91501634735336279</v>
      </c>
      <c r="G33" s="711">
        <v>0.13678172600665645</v>
      </c>
      <c r="H33" s="710">
        <v>0.314</v>
      </c>
      <c r="I33" s="708">
        <v>0.52</v>
      </c>
      <c r="J33" s="570">
        <v>4.1150000000000002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4.1150000000000002</v>
      </c>
      <c r="N33" s="632">
        <f t="shared" si="2"/>
        <v>-2.1877828849273735</v>
      </c>
      <c r="O33" s="629">
        <f t="shared" si="3"/>
        <v>-1.9260623917409416</v>
      </c>
      <c r="P33" s="633">
        <f t="shared" si="4"/>
        <v>-0.7329022104330668</v>
      </c>
      <c r="Q33" s="585">
        <f t="shared" si="113"/>
        <v>221.35978103399418</v>
      </c>
      <c r="R33" s="629">
        <f t="shared" si="79"/>
        <v>2.9148087910633138</v>
      </c>
      <c r="S33" s="634">
        <f t="shared" si="80"/>
        <v>-0.7329022104330668</v>
      </c>
      <c r="T33" s="635">
        <f t="shared" si="81"/>
        <v>-2.0429323230660259</v>
      </c>
      <c r="U33" s="629">
        <f t="shared" si="82"/>
        <v>2.0790713820915401</v>
      </c>
      <c r="V33" s="636">
        <f t="shared" si="114"/>
        <v>-0.7329022104330668</v>
      </c>
      <c r="W33" s="585">
        <f t="shared" si="224"/>
        <v>134.49768058093753</v>
      </c>
      <c r="X33" s="629">
        <f t="shared" si="83"/>
        <v>2.9148087910633138</v>
      </c>
      <c r="Y33" s="630">
        <f t="shared" si="223"/>
        <v>-0.7329022104330668</v>
      </c>
      <c r="Z33" s="632">
        <f t="shared" si="6"/>
        <v>-0.37952054424859583</v>
      </c>
      <c r="AA33" s="629">
        <f t="shared" si="7"/>
        <v>0.91501634735336279</v>
      </c>
      <c r="AB33" s="629">
        <f t="shared" si="8"/>
        <v>-0.13678172600665645</v>
      </c>
      <c r="AC33" s="636">
        <f t="shared" si="84"/>
        <v>1</v>
      </c>
      <c r="AD33" s="637">
        <f t="shared" si="115"/>
        <v>-0.37952054424859583</v>
      </c>
      <c r="AE33" s="629">
        <f t="shared" si="85"/>
        <v>0.91501634735336279</v>
      </c>
      <c r="AF33" s="633">
        <f t="shared" si="86"/>
        <v>-0.13678172600665645</v>
      </c>
      <c r="AG33" s="602">
        <f t="shared" si="87"/>
        <v>81.498063516200858</v>
      </c>
      <c r="AH33" s="603">
        <f t="shared" si="88"/>
        <v>112.30398723151274</v>
      </c>
      <c r="AI33" s="585">
        <f t="shared" si="89"/>
        <v>-82.138338886765652</v>
      </c>
      <c r="AJ33" s="586">
        <f t="shared" si="90"/>
        <v>-157.47283476914819</v>
      </c>
      <c r="AK33" s="635">
        <f t="shared" si="211"/>
        <v>0.93757002507934362</v>
      </c>
      <c r="AL33" s="629">
        <f t="shared" si="91"/>
        <v>-0.31977055446579089</v>
      </c>
      <c r="AM33" s="634">
        <f t="shared" si="92"/>
        <v>-0.13678172600665645</v>
      </c>
      <c r="AN33" s="581">
        <f t="shared" si="93"/>
        <v>-66.841202092631661</v>
      </c>
      <c r="AO33" s="582">
        <f t="shared" si="94"/>
        <v>20.352602049074612</v>
      </c>
      <c r="AP33" s="585">
        <f t="shared" si="95"/>
        <v>-18.832615803142353</v>
      </c>
      <c r="AQ33" s="586">
        <f t="shared" si="9"/>
        <v>0.78207018425743058</v>
      </c>
      <c r="AS33" s="52">
        <f t="shared" si="116"/>
        <v>-225.50231941906247</v>
      </c>
      <c r="AT33" s="72">
        <f t="shared" si="10"/>
        <v>-0.57412428059556275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4.1150000000000002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-2.4193425959762598</v>
      </c>
      <c r="C34" s="708">
        <v>-2.0771736628862563</v>
      </c>
      <c r="D34" s="709">
        <v>-1.5078045475385156</v>
      </c>
      <c r="E34" s="710">
        <v>9.8423332738979977E-2</v>
      </c>
      <c r="F34" s="708">
        <v>-0.99514463650895246</v>
      </c>
      <c r="G34" s="711">
        <v>1.300841920315285E-7</v>
      </c>
      <c r="H34" s="710">
        <v>0.26600000000000001</v>
      </c>
      <c r="I34" s="708">
        <v>0.52</v>
      </c>
      <c r="J34" s="570">
        <v>4.12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4.12</v>
      </c>
      <c r="N34" s="632">
        <f t="shared" si="2"/>
        <v>-2.4193425959762598</v>
      </c>
      <c r="O34" s="629">
        <f t="shared" si="3"/>
        <v>-2.0771736628862563</v>
      </c>
      <c r="P34" s="633">
        <f t="shared" si="4"/>
        <v>-1.5078045475385156</v>
      </c>
      <c r="Q34" s="585">
        <f t="shared" si="113"/>
        <v>220.64838113670763</v>
      </c>
      <c r="R34" s="629">
        <f>IF(M34="","",SQRT(N34^2+O34^2))</f>
        <v>3.1887096171482052</v>
      </c>
      <c r="S34" s="634">
        <f>IF(M34="","",P34)</f>
        <v>-1.5078045475385156</v>
      </c>
      <c r="T34" s="635">
        <f>IF(M34="","",X34*COS(RADIANS(W34)))</f>
        <v>-2.2064924477564896</v>
      </c>
      <c r="U34" s="629">
        <f>IF(M34="","",X34*SIN(RADIANS(W34)))</f>
        <v>2.3020121851300068</v>
      </c>
      <c r="V34" s="636">
        <f>IF(M34="","",Y34)</f>
        <v>-1.5078045475385156</v>
      </c>
      <c r="W34" s="585">
        <f t="shared" si="224"/>
        <v>133.786280683651</v>
      </c>
      <c r="X34" s="629">
        <f>IF(M34="","",R34)</f>
        <v>3.1887096171482052</v>
      </c>
      <c r="Y34" s="630">
        <f t="shared" si="223"/>
        <v>-1.5078045475385156</v>
      </c>
      <c r="Z34" s="632">
        <f t="shared" si="6"/>
        <v>-9.8423332738979977E-2</v>
      </c>
      <c r="AA34" s="629">
        <f t="shared" si="7"/>
        <v>0.99514463650895246</v>
      </c>
      <c r="AB34" s="629">
        <f t="shared" si="8"/>
        <v>-1.300841920315285E-7</v>
      </c>
      <c r="AC34" s="636">
        <f>IF(M34="","",SQRT(Z34^2+AA34^2+AB34^2))</f>
        <v>1</v>
      </c>
      <c r="AD34" s="637">
        <f>IF(M34="","",Z34*(1/SQRT(Z34^2+AA34^2+AB34^2)))</f>
        <v>-9.8423332738979977E-2</v>
      </c>
      <c r="AE34" s="629">
        <f>IF(M34="","",AA34*(1/SQRT(Z34^2+AA34^2+AB34^2)))</f>
        <v>0.99514463650895246</v>
      </c>
      <c r="AF34" s="633">
        <f>IF(M34="","",AB34*(1/SQRT(Z34^2+AA34^2+AB34^2)))</f>
        <v>-1.300841920315285E-7</v>
      </c>
      <c r="AG34" s="602">
        <f>IF(M34="","",DEGREES(ATAN2(-AF34,AE34)))</f>
        <v>89.999992510359888</v>
      </c>
      <c r="AH34" s="603">
        <f>IF(M34="","",DEGREES(ACOS(AD34)))</f>
        <v>95.648386190082306</v>
      </c>
      <c r="AI34" s="585">
        <f>IF(M34="","",DEGREES(-ACOS(-AF34)))</f>
        <v>-89.999992546724812</v>
      </c>
      <c r="AJ34" s="586">
        <f>IF(M34="","",DEGREES(ATAN2(-AE34,AD34)))</f>
        <v>-174.35161380991764</v>
      </c>
      <c r="AK34" s="635">
        <f>IF(M34="","",(COS(RADIANS((90-$Q$8)-W34))*AD34)+(-SIN(RADIANS((90-$Q$8)-W34))*AE34))</f>
        <v>0.81915209487729146</v>
      </c>
      <c r="AL34" s="629">
        <f>IF(M34="","",(SIN(RADIANS((90-$Q$8)-W34))*AD34)+(COS(RADIANS((90-$Q$8)-W34))*AE34))</f>
        <v>-0.57357636410344526</v>
      </c>
      <c r="AM34" s="634">
        <f>IF(M34="","",AF34)</f>
        <v>-1.300841920315285E-7</v>
      </c>
      <c r="AN34" s="581">
        <f>IF(M34="","",DEGREES(ATAN2(-AM34,AL34)))</f>
        <v>-89.999987005609626</v>
      </c>
      <c r="AO34" s="582">
        <f t="shared" si="94"/>
        <v>34.999994946626011</v>
      </c>
      <c r="AP34" s="585">
        <f>IF(M34="","",DEGREES(ATAN2(AK34,AL34)))</f>
        <v>-34.999994946625314</v>
      </c>
      <c r="AQ34" s="586">
        <f t="shared" si="9"/>
        <v>0.71489994336999108</v>
      </c>
      <c r="AS34" s="52">
        <f t="shared" si="116"/>
        <v>-226.213719316349</v>
      </c>
      <c r="AT34" s="72">
        <f t="shared" si="10"/>
        <v>-1.3485325899945626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4.12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1313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-2.1735988427396613</v>
      </c>
      <c r="C35" s="708">
        <v>-0.86333184833794907</v>
      </c>
      <c r="D35" s="709">
        <v>-0.14778822741540368</v>
      </c>
      <c r="E35" s="710">
        <v>0.13172465702712238</v>
      </c>
      <c r="F35" s="708">
        <v>-0.93366467424962341</v>
      </c>
      <c r="G35" s="711">
        <v>0.33304487804113075</v>
      </c>
      <c r="H35" s="710">
        <v>0.26600000000000001</v>
      </c>
      <c r="I35" s="708">
        <v>0.52</v>
      </c>
      <c r="J35" s="570">
        <v>4.21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4.21</v>
      </c>
      <c r="N35" s="632">
        <f t="shared" si="2"/>
        <v>-2.1735988427396613</v>
      </c>
      <c r="O35" s="629">
        <f t="shared" si="3"/>
        <v>-0.86333184833794907</v>
      </c>
      <c r="P35" s="633">
        <f t="shared" si="4"/>
        <v>-0.14778822741540368</v>
      </c>
      <c r="Q35" s="585">
        <f t="shared" si="113"/>
        <v>201.662483877932</v>
      </c>
      <c r="R35" s="629">
        <f>IF(M35="","",SQRT(N35^2+O35^2))</f>
        <v>2.3387761349718392</v>
      </c>
      <c r="S35" s="634">
        <f>IF(M35="","",P35)</f>
        <v>-0.14778822741540368</v>
      </c>
      <c r="T35" s="635">
        <f>IF(M35="","",X35*COS(RADIANS(W35)))</f>
        <v>-0.98101872793059541</v>
      </c>
      <c r="U35" s="629">
        <f>IF(M35="","",X35*SIN(RADIANS(W35)))</f>
        <v>2.123081737701884</v>
      </c>
      <c r="V35" s="636">
        <f>IF(M35="","",Y35)</f>
        <v>-0.14778822741540368</v>
      </c>
      <c r="W35" s="585">
        <f t="shared" si="224"/>
        <v>114.80038342487536</v>
      </c>
      <c r="X35" s="629">
        <f>IF(M35="","",R35)</f>
        <v>2.3387761349718392</v>
      </c>
      <c r="Y35" s="630">
        <f t="shared" si="223"/>
        <v>-0.14778822741540368</v>
      </c>
      <c r="Z35" s="632">
        <f t="shared" si="6"/>
        <v>-0.13172465702712238</v>
      </c>
      <c r="AA35" s="629">
        <f t="shared" si="7"/>
        <v>0.93366467424962341</v>
      </c>
      <c r="AB35" s="629">
        <f t="shared" si="8"/>
        <v>-0.33304487804113075</v>
      </c>
      <c r="AC35" s="636">
        <f>IF(M35="","",SQRT(Z35^2+AA35^2+AB35^2))</f>
        <v>1</v>
      </c>
      <c r="AD35" s="637">
        <f>IF(M35="","",Z35*(1/SQRT(Z35^2+AA35^2+AB35^2)))</f>
        <v>-0.13172465702712238</v>
      </c>
      <c r="AE35" s="629">
        <f>IF(M35="","",AA35*(1/SQRT(Z35^2+AA35^2+AB35^2)))</f>
        <v>0.93366467424962341</v>
      </c>
      <c r="AF35" s="633">
        <f>IF(M35="","",AB35*(1/SQRT(Z35^2+AA35^2+AB35^2)))</f>
        <v>-0.33304487804113075</v>
      </c>
      <c r="AG35" s="602">
        <f>IF(M35="","",DEGREES(ATAN2(-AF35,AE35)))</f>
        <v>70.368318465284489</v>
      </c>
      <c r="AH35" s="603">
        <f>IF(M35="","",DEGREES(ACOS(AD35)))</f>
        <v>97.569265028774382</v>
      </c>
      <c r="AI35" s="585">
        <f>IF(M35="","",DEGREES(-ACOS(-AF35)))</f>
        <v>-70.546308235687135</v>
      </c>
      <c r="AJ35" s="586">
        <f>IF(M35="","",DEGREES(ATAN2(-AE35,AD35)))</f>
        <v>-171.96951347227213</v>
      </c>
      <c r="AK35" s="635">
        <f>IF(M35="","",(COS(RADIANS((90-$Q$8)-W35))*AD35)+(-SIN(RADIANS((90-$Q$8)-W35))*AE35))</f>
        <v>0.91634873258384675</v>
      </c>
      <c r="AL35" s="629">
        <f>IF(M35="","",(SIN(RADIANS((90-$Q$8)-W35))*AD35)+(COS(RADIANS((90-$Q$8)-W35))*AE35))</f>
        <v>-0.22222985736067541</v>
      </c>
      <c r="AM35" s="634">
        <f>IF(M35="","",AF35)</f>
        <v>-0.33304487804113075</v>
      </c>
      <c r="AN35" s="581">
        <f>IF(M35="","",DEGREES(ATAN2(-AM35,AL35)))</f>
        <v>-33.713874022119597</v>
      </c>
      <c r="AO35" s="582">
        <f t="shared" si="94"/>
        <v>23.602003091394614</v>
      </c>
      <c r="AP35" s="585">
        <f>IF(M35="","",DEGREES(ATAN2(AK35,AL35)))</f>
        <v>-13.631997350204145</v>
      </c>
      <c r="AQ35" s="586">
        <f t="shared" si="9"/>
        <v>0.97465794007231377</v>
      </c>
      <c r="AS35" s="52">
        <f t="shared" si="116"/>
        <v>-245.19961657512465</v>
      </c>
      <c r="AT35" s="72">
        <f t="shared" si="10"/>
        <v>2.4668381002699108E-2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Nose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4.21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4.1100000000000003</v>
      </c>
      <c r="II35" s="734" cm="1">
        <f t="array" ref="II35">IFERROR(IF($IH35&lt;1,$IH35+LARGE((IF($M$9:$M$150="",0,$M$9:$M$150)-MOD(IF($M$9:$M$150="",0,$M$9:$M$150),1)),1),$IH35),"")</f>
        <v>4.1100000000000003</v>
      </c>
      <c r="IJ35" s="533">
        <f t="shared" si="112"/>
        <v>1613</v>
      </c>
      <c r="IK35" s="533">
        <f t="shared" si="66"/>
        <v>1313</v>
      </c>
      <c r="IL35" s="727">
        <f t="shared" si="225"/>
        <v>21.172596943055268</v>
      </c>
      <c r="IM35" s="759">
        <v>2.1249580829607199E-2</v>
      </c>
      <c r="IN35" s="5">
        <f t="shared" si="226"/>
        <v>0.38</v>
      </c>
      <c r="IO35" s="771">
        <v>190</v>
      </c>
      <c r="IP35" s="9">
        <f t="shared" si="227"/>
        <v>-2.3179069908074843</v>
      </c>
      <c r="IQ35" s="5">
        <f t="shared" si="228"/>
        <v>-0.18160054770725192</v>
      </c>
      <c r="IR35" s="5">
        <f t="shared" si="71"/>
        <v>0.314</v>
      </c>
      <c r="IS35" s="5">
        <f t="shared" si="229"/>
        <v>0.30457080718979174</v>
      </c>
      <c r="IT35" s="727">
        <f t="shared" si="230"/>
        <v>42.970680302184611</v>
      </c>
      <c r="IU35" s="9">
        <f t="shared" si="231"/>
        <v>-2.3387761349718392</v>
      </c>
      <c r="IV35" s="5">
        <f t="shared" si="232"/>
        <v>-0.14778822741540368</v>
      </c>
      <c r="IW35" s="5">
        <f t="shared" si="76"/>
        <v>0.26600000000000001</v>
      </c>
      <c r="IX35" s="5">
        <f t="shared" si="233"/>
        <v>0.24374876286730324</v>
      </c>
      <c r="IY35" s="762">
        <f t="shared" si="234"/>
        <v>33.713874022119597</v>
      </c>
    </row>
    <row r="36" spans="1:267" ht="15" customHeight="1" x14ac:dyDescent="0.25">
      <c r="A36" s="79"/>
      <c r="B36" s="707">
        <v>-2.7508425273120487</v>
      </c>
      <c r="C36" s="708">
        <v>-1.0933522153154067</v>
      </c>
      <c r="D36" s="709">
        <v>-0.70942097778827129</v>
      </c>
      <c r="E36" s="710">
        <v>-8.0587778234550017E-2</v>
      </c>
      <c r="F36" s="708">
        <v>-0.96529023268076819</v>
      </c>
      <c r="G36" s="711">
        <v>0.24843586031474502</v>
      </c>
      <c r="H36" s="710">
        <v>0.26600000000000001</v>
      </c>
      <c r="I36" s="708">
        <v>0.52</v>
      </c>
      <c r="J36" s="570">
        <v>4.2149999999999999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4.2149999999999999</v>
      </c>
      <c r="N36" s="632">
        <f t="shared" si="2"/>
        <v>-2.7508425273120487</v>
      </c>
      <c r="O36" s="629">
        <f t="shared" si="3"/>
        <v>-1.0933522153154067</v>
      </c>
      <c r="P36" s="633">
        <f t="shared" si="4"/>
        <v>-0.70942097778827129</v>
      </c>
      <c r="Q36" s="585">
        <f t="shared" si="113"/>
        <v>201.6758838759973</v>
      </c>
      <c r="R36" s="629">
        <f>IF(M36="","",SQRT(N36^2+O36^2))</f>
        <v>2.960161089671244</v>
      </c>
      <c r="S36" s="634">
        <f>IF(M36="","",P36)</f>
        <v>-0.70942097778827129</v>
      </c>
      <c r="T36" s="635">
        <f>IF(M36="","",X36*COS(RADIANS(W36)))</f>
        <v>-1.242292138960202</v>
      </c>
      <c r="U36" s="629">
        <f>IF(M36="","",X36*SIN(RADIANS(W36)))</f>
        <v>2.6868687943927094</v>
      </c>
      <c r="V36" s="636">
        <f>IF(M36="","",Y36)</f>
        <v>-0.70942097778827129</v>
      </c>
      <c r="W36" s="585">
        <f t="shared" si="224"/>
        <v>114.81378342294066</v>
      </c>
      <c r="X36" s="629">
        <f>IF(M36="","",R36)</f>
        <v>2.960161089671244</v>
      </c>
      <c r="Y36" s="630">
        <f t="shared" si="223"/>
        <v>-0.70942097778827129</v>
      </c>
      <c r="Z36" s="632">
        <f t="shared" si="6"/>
        <v>8.0587778234550017E-2</v>
      </c>
      <c r="AA36" s="629">
        <f t="shared" si="7"/>
        <v>0.96529023268076819</v>
      </c>
      <c r="AB36" s="629">
        <f t="shared" si="8"/>
        <v>-0.24843586031474502</v>
      </c>
      <c r="AC36" s="636">
        <f>IF(M36="","",SQRT(Z36^2+AA36^2+AB36^2))</f>
        <v>1</v>
      </c>
      <c r="AD36" s="637">
        <f>IF(M36="","",Z36*(1/SQRT(Z36^2+AA36^2+AB36^2)))</f>
        <v>8.0587778234550017E-2</v>
      </c>
      <c r="AE36" s="629">
        <f>IF(M36="","",AA36*(1/SQRT(Z36^2+AA36^2+AB36^2)))</f>
        <v>0.96529023268076819</v>
      </c>
      <c r="AF36" s="633">
        <f>IF(M36="","",AB36*(1/SQRT(Z36^2+AA36^2+AB36^2)))</f>
        <v>-0.24843586031474502</v>
      </c>
      <c r="AG36" s="602">
        <f>IF(M36="","",DEGREES(ATAN2(-AF36,AE36)))</f>
        <v>75.567069752459716</v>
      </c>
      <c r="AH36" s="603">
        <f>IF(M36="","",DEGREES(ACOS(AD36)))</f>
        <v>85.377647963501929</v>
      </c>
      <c r="AI36" s="585">
        <f>IF(M36="","",DEGREES(-ACOS(-AF36)))</f>
        <v>-75.615026253948002</v>
      </c>
      <c r="AJ36" s="586">
        <f>IF(M36="","",DEGREES(ATAN2(-AE36,AD36)))</f>
        <v>175.22769765012202</v>
      </c>
      <c r="AK36" s="635">
        <f>IF(M36="","",(COS(RADIANS((90-$Q$8)-W36))*AD36)+(-SIN(RADIANS((90-$Q$8)-W36))*AE36))</f>
        <v>0.86726719243587758</v>
      </c>
      <c r="AL36" s="629">
        <f>IF(M36="","",(SIN(RADIANS((90-$Q$8)-W36))*AD36)+(COS(RADIANS((90-$Q$8)-W36))*AE36))</f>
        <v>-0.43142466345129477</v>
      </c>
      <c r="AM36" s="634">
        <f>IF(M36="","",AF36)</f>
        <v>-0.24843586031474502</v>
      </c>
      <c r="AN36" s="581">
        <f>IF(M36="","",DEGREES(ATAN2(-AM36,AL36)))</f>
        <v>-60.064514405872785</v>
      </c>
      <c r="AO36" s="582">
        <f t="shared" si="94"/>
        <v>29.857393969586177</v>
      </c>
      <c r="AP36" s="585">
        <f>IF(M36="","",DEGREES(ATAN2(AK36,AL36)))</f>
        <v>-26.448186225875286</v>
      </c>
      <c r="AQ36" s="586">
        <f t="shared" si="9"/>
        <v>0.7700896282064984</v>
      </c>
      <c r="AS36" s="52">
        <f t="shared" si="116"/>
        <v>-245.18621657705933</v>
      </c>
      <c r="AT36" s="72">
        <f t="shared" si="10"/>
        <v>-0.53697367492438053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4.2149999999999999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4.1150000000000002</v>
      </c>
      <c r="II36" s="734" cm="1">
        <f t="array" ref="II36">IFERROR(IF($IH36&lt;1,$IH36+LARGE((IF($M$9:$M$150="",0,$M$9:$M$150)-MOD(IF($M$9:$M$150="",0,$M$9:$M$150),1)),1),$IH36),"")</f>
        <v>4.1150000000000002</v>
      </c>
      <c r="IJ36" s="533">
        <f t="shared" si="112"/>
        <v>1613</v>
      </c>
      <c r="IK36" s="533">
        <f t="shared" si="66"/>
        <v>1313</v>
      </c>
      <c r="IL36" s="727">
        <f t="shared" si="225"/>
        <v>19.683897157996867</v>
      </c>
      <c r="IM36" s="759">
        <v>1.16367152465602E-2</v>
      </c>
      <c r="IN36" s="5">
        <f t="shared" si="226"/>
        <v>0.36</v>
      </c>
      <c r="IO36" s="771">
        <v>180</v>
      </c>
      <c r="IP36" s="9">
        <f t="shared" si="227"/>
        <v>-2.9148087910633138</v>
      </c>
      <c r="IQ36" s="5">
        <f t="shared" si="228"/>
        <v>-0.7329022104330668</v>
      </c>
      <c r="IR36" s="5">
        <f t="shared" si="71"/>
        <v>0.314</v>
      </c>
      <c r="IS36" s="5">
        <f t="shared" si="229"/>
        <v>0.29439698787491392</v>
      </c>
      <c r="IT36" s="727">
        <f t="shared" si="230"/>
        <v>66.841202092631661</v>
      </c>
      <c r="IU36" s="9">
        <f t="shared" si="231"/>
        <v>-2.960161089671244</v>
      </c>
      <c r="IV36" s="5">
        <f t="shared" si="232"/>
        <v>-0.70942097778827129</v>
      </c>
      <c r="IW36" s="5">
        <f t="shared" si="76"/>
        <v>0.26600000000000001</v>
      </c>
      <c r="IX36" s="5">
        <f t="shared" si="233"/>
        <v>0.23069307318794344</v>
      </c>
      <c r="IY36" s="762">
        <f t="shared" si="234"/>
        <v>60.064514405872785</v>
      </c>
    </row>
    <row r="37" spans="1:267" ht="15" customHeight="1" x14ac:dyDescent="0.25">
      <c r="A37" s="79"/>
      <c r="B37" s="707">
        <v>-1.932448435622224</v>
      </c>
      <c r="C37" s="708">
        <v>0.9766075784849847</v>
      </c>
      <c r="D37" s="709">
        <v>-0.11950036041308701</v>
      </c>
      <c r="E37" s="710">
        <v>-0.56242983153648962</v>
      </c>
      <c r="F37" s="708">
        <v>-0.80562661286829584</v>
      </c>
      <c r="G37" s="711">
        <v>0.18611406512188389</v>
      </c>
      <c r="H37" s="710">
        <v>0.314</v>
      </c>
      <c r="I37" s="708">
        <v>0.52</v>
      </c>
      <c r="J37" s="570">
        <v>5.109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5.109</v>
      </c>
      <c r="N37" s="632">
        <f t="shared" si="2"/>
        <v>-1.932448435622224</v>
      </c>
      <c r="O37" s="629">
        <f t="shared" si="3"/>
        <v>0.9766075784849847</v>
      </c>
      <c r="P37" s="633">
        <f t="shared" si="4"/>
        <v>-0.11950036041308701</v>
      </c>
      <c r="Q37" s="585">
        <f t="shared" si="113"/>
        <v>153.18919087660962</v>
      </c>
      <c r="R37" s="629">
        <f t="shared" si="79"/>
        <v>2.1652065302628953</v>
      </c>
      <c r="S37" s="634">
        <f t="shared" si="80"/>
        <v>-0.11950036041308701</v>
      </c>
      <c r="T37" s="635">
        <f t="shared" si="81"/>
        <v>0.8693624470878295</v>
      </c>
      <c r="U37" s="629">
        <f t="shared" si="82"/>
        <v>1.9830098976774038</v>
      </c>
      <c r="V37" s="636">
        <f t="shared" si="114"/>
        <v>-0.11950036041308701</v>
      </c>
      <c r="W37" s="585">
        <f t="shared" si="224"/>
        <v>66.327090423552974</v>
      </c>
      <c r="X37" s="629">
        <f t="shared" si="83"/>
        <v>2.1652065302628953</v>
      </c>
      <c r="Y37" s="630">
        <f t="shared" si="223"/>
        <v>-0.11950036041308701</v>
      </c>
      <c r="Z37" s="632">
        <f t="shared" si="6"/>
        <v>0.56242983153648962</v>
      </c>
      <c r="AA37" s="629">
        <f t="shared" si="7"/>
        <v>0.80562661286829584</v>
      </c>
      <c r="AB37" s="629">
        <f t="shared" si="8"/>
        <v>-0.18611406512188389</v>
      </c>
      <c r="AC37" s="636">
        <f t="shared" si="84"/>
        <v>1</v>
      </c>
      <c r="AD37" s="637">
        <f t="shared" si="115"/>
        <v>0.56242983153648962</v>
      </c>
      <c r="AE37" s="629">
        <f t="shared" si="85"/>
        <v>0.80562661286829584</v>
      </c>
      <c r="AF37" s="633">
        <f t="shared" si="86"/>
        <v>-0.18611406512188389</v>
      </c>
      <c r="AG37" s="602">
        <f t="shared" si="87"/>
        <v>76.991863602541329</v>
      </c>
      <c r="AH37" s="603">
        <f t="shared" si="88"/>
        <v>55.775996098364928</v>
      </c>
      <c r="AI37" s="585">
        <f t="shared" si="89"/>
        <v>-79.27390825211981</v>
      </c>
      <c r="AJ37" s="586">
        <f t="shared" si="90"/>
        <v>145.08005993135194</v>
      </c>
      <c r="AK37" s="635">
        <f t="shared" si="211"/>
        <v>0.97270403268265559</v>
      </c>
      <c r="AL37" s="629">
        <f t="shared" si="91"/>
        <v>-0.13859444276992705</v>
      </c>
      <c r="AM37" s="634">
        <f t="shared" si="92"/>
        <v>-0.18611406512188389</v>
      </c>
      <c r="AN37" s="581">
        <f t="shared" si="93"/>
        <v>-36.674124377981904</v>
      </c>
      <c r="AO37" s="582">
        <f t="shared" si="94"/>
        <v>13.417751058611522</v>
      </c>
      <c r="AP37" s="585">
        <f t="shared" si="95"/>
        <v>-8.1091309452576805</v>
      </c>
      <c r="AQ37" s="586">
        <f t="shared" si="9"/>
        <v>1.0527725814708577</v>
      </c>
      <c r="AS37" s="52">
        <f t="shared" si="116"/>
        <v>-293.67290957644701</v>
      </c>
      <c r="AT37" s="72">
        <f t="shared" si="10"/>
        <v>8.6618257033711871E-2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5.109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-2.4836904461416509</v>
      </c>
      <c r="C38" s="708">
        <v>1.343358311396267</v>
      </c>
      <c r="D38" s="709">
        <v>-0.59540179573181617</v>
      </c>
      <c r="E38" s="710">
        <v>-0.69917368364541677</v>
      </c>
      <c r="F38" s="708">
        <v>-0.7006342873661523</v>
      </c>
      <c r="G38" s="711">
        <v>0.14236486738174825</v>
      </c>
      <c r="H38" s="710">
        <v>0.314</v>
      </c>
      <c r="I38" s="708">
        <v>0.52</v>
      </c>
      <c r="J38" s="570">
        <v>5.1139999999999999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5.1139999999999999</v>
      </c>
      <c r="N38" s="632">
        <f t="shared" si="2"/>
        <v>-2.4836904461416509</v>
      </c>
      <c r="O38" s="629">
        <f t="shared" si="3"/>
        <v>1.343358311396267</v>
      </c>
      <c r="P38" s="633">
        <f t="shared" si="4"/>
        <v>-0.59540179573181617</v>
      </c>
      <c r="Q38" s="585">
        <f t="shared" si="113"/>
        <v>151.59229110717342</v>
      </c>
      <c r="R38" s="629">
        <f t="shared" si="79"/>
        <v>2.8237085163048863</v>
      </c>
      <c r="S38" s="634">
        <f t="shared" si="80"/>
        <v>-0.59540179573181617</v>
      </c>
      <c r="T38" s="635">
        <f t="shared" si="81"/>
        <v>1.2053886988254292</v>
      </c>
      <c r="U38" s="629">
        <f t="shared" si="82"/>
        <v>2.5535011004103136</v>
      </c>
      <c r="V38" s="636">
        <f t="shared" si="114"/>
        <v>-0.59540179573181617</v>
      </c>
      <c r="W38" s="585">
        <f t="shared" si="224"/>
        <v>64.730190654116782</v>
      </c>
      <c r="X38" s="629">
        <f t="shared" si="83"/>
        <v>2.8237085163048863</v>
      </c>
      <c r="Y38" s="630">
        <f t="shared" si="223"/>
        <v>-0.59540179573181617</v>
      </c>
      <c r="Z38" s="632">
        <f t="shared" si="6"/>
        <v>0.69917368364541677</v>
      </c>
      <c r="AA38" s="629">
        <f t="shared" si="7"/>
        <v>0.7006342873661523</v>
      </c>
      <c r="AB38" s="629">
        <f t="shared" si="8"/>
        <v>-0.14236486738174825</v>
      </c>
      <c r="AC38" s="636">
        <f t="shared" si="84"/>
        <v>1</v>
      </c>
      <c r="AD38" s="637">
        <f t="shared" si="115"/>
        <v>0.69917368364541677</v>
      </c>
      <c r="AE38" s="629">
        <f t="shared" si="85"/>
        <v>0.7006342873661523</v>
      </c>
      <c r="AF38" s="633">
        <f t="shared" si="86"/>
        <v>-0.14236486738174825</v>
      </c>
      <c r="AG38" s="602">
        <f t="shared" si="87"/>
        <v>78.514197490891419</v>
      </c>
      <c r="AH38" s="603">
        <f t="shared" si="88"/>
        <v>45.639253937644874</v>
      </c>
      <c r="AI38" s="585">
        <f t="shared" si="89"/>
        <v>-81.815285874465999</v>
      </c>
      <c r="AJ38" s="586">
        <f t="shared" si="90"/>
        <v>135.05978419904812</v>
      </c>
      <c r="AK38" s="635">
        <f t="shared" si="211"/>
        <v>0.94889378607373465</v>
      </c>
      <c r="AL38" s="629">
        <f t="shared" si="91"/>
        <v>-0.2816608373310549</v>
      </c>
      <c r="AM38" s="634">
        <f t="shared" si="92"/>
        <v>-0.14236486738174825</v>
      </c>
      <c r="AN38" s="581">
        <f t="shared" si="93"/>
        <v>-63.185781874564888</v>
      </c>
      <c r="AO38" s="582">
        <f t="shared" si="94"/>
        <v>18.39677335942773</v>
      </c>
      <c r="AP38" s="585">
        <f t="shared" si="95"/>
        <v>-16.532506908125303</v>
      </c>
      <c r="AQ38" s="586">
        <f t="shared" si="9"/>
        <v>0.80729854131565559</v>
      </c>
      <c r="AS38" s="52">
        <f t="shared" si="116"/>
        <v>-295.26980934588323</v>
      </c>
      <c r="AT38" s="72">
        <f t="shared" si="10"/>
        <v>-0.3881742201117977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5.1139999999999999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-2.7070628785327151</v>
      </c>
      <c r="C39" s="708">
        <v>1.5077103326256793</v>
      </c>
      <c r="D39" s="709">
        <v>-1.360004101772371</v>
      </c>
      <c r="E39" s="710">
        <v>-0.86083673520290893</v>
      </c>
      <c r="F39" s="708">
        <v>-0.5021235237586662</v>
      </c>
      <c r="G39" s="711">
        <v>8.265641060061292E-2</v>
      </c>
      <c r="H39" s="710">
        <v>0.314</v>
      </c>
      <c r="I39" s="708">
        <v>0.52</v>
      </c>
      <c r="J39" s="570">
        <v>5.1189999999999998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5.1189999999999998</v>
      </c>
      <c r="N39" s="632">
        <f t="shared" si="2"/>
        <v>-2.7070628785327151</v>
      </c>
      <c r="O39" s="629">
        <f t="shared" si="3"/>
        <v>1.5077103326256793</v>
      </c>
      <c r="P39" s="633">
        <f t="shared" si="4"/>
        <v>-1.360004101772371</v>
      </c>
      <c r="Q39" s="585">
        <f t="shared" si="113"/>
        <v>150.8841912094104</v>
      </c>
      <c r="R39" s="629">
        <f t="shared" si="79"/>
        <v>3.098609345405785</v>
      </c>
      <c r="S39" s="634">
        <f t="shared" si="80"/>
        <v>-1.360004101772371</v>
      </c>
      <c r="T39" s="635">
        <f t="shared" si="81"/>
        <v>1.3572670521127912</v>
      </c>
      <c r="U39" s="629">
        <f t="shared" si="82"/>
        <v>2.7855351415275886</v>
      </c>
      <c r="V39" s="636">
        <f t="shared" si="114"/>
        <v>-1.360004101772371</v>
      </c>
      <c r="W39" s="585">
        <f t="shared" si="224"/>
        <v>64.022090756353762</v>
      </c>
      <c r="X39" s="629">
        <f t="shared" si="83"/>
        <v>3.098609345405785</v>
      </c>
      <c r="Y39" s="630">
        <f t="shared" si="223"/>
        <v>-1.360004101772371</v>
      </c>
      <c r="Z39" s="632">
        <f t="shared" si="6"/>
        <v>0.86083673520290893</v>
      </c>
      <c r="AA39" s="629">
        <f t="shared" si="7"/>
        <v>0.5021235237586662</v>
      </c>
      <c r="AB39" s="629">
        <f t="shared" si="8"/>
        <v>-8.265641060061292E-2</v>
      </c>
      <c r="AC39" s="636">
        <f t="shared" si="84"/>
        <v>1</v>
      </c>
      <c r="AD39" s="637">
        <f t="shared" si="115"/>
        <v>0.86083673520290893</v>
      </c>
      <c r="AE39" s="629">
        <f t="shared" si="85"/>
        <v>0.5021235237586662</v>
      </c>
      <c r="AF39" s="633">
        <f t="shared" si="86"/>
        <v>-8.265641060061292E-2</v>
      </c>
      <c r="AG39" s="602">
        <f t="shared" si="87"/>
        <v>80.652163044741613</v>
      </c>
      <c r="AH39" s="603">
        <f t="shared" si="88"/>
        <v>30.589338325371898</v>
      </c>
      <c r="AI39" s="585">
        <f t="shared" si="89"/>
        <v>-85.258727241059034</v>
      </c>
      <c r="AJ39" s="586">
        <f t="shared" si="90"/>
        <v>120.25488583684503</v>
      </c>
      <c r="AK39" s="635">
        <f t="shared" si="211"/>
        <v>0.85753707414392744</v>
      </c>
      <c r="AL39" s="629">
        <f t="shared" si="91"/>
        <v>-0.50773820444722806</v>
      </c>
      <c r="AM39" s="634">
        <f t="shared" si="92"/>
        <v>-8.265641060061292E-2</v>
      </c>
      <c r="AN39" s="581">
        <f t="shared" si="93"/>
        <v>-80.753738399898026</v>
      </c>
      <c r="AO39" s="582">
        <f t="shared" si="94"/>
        <v>30.958839679655387</v>
      </c>
      <c r="AP39" s="585">
        <f t="shared" si="95"/>
        <v>-30.629305372565369</v>
      </c>
      <c r="AQ39" s="586">
        <f t="shared" si="9"/>
        <v>0.73568529978491704</v>
      </c>
      <c r="AS39" s="52">
        <f t="shared" si="116"/>
        <v>-295.97790924364625</v>
      </c>
      <c r="AT39" s="72">
        <f t="shared" si="10"/>
        <v>-1.1522847901122393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5.1189999999999998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-2.7793689402422554</v>
      </c>
      <c r="C40" s="708">
        <v>1.5630026604296281</v>
      </c>
      <c r="D40" s="709">
        <v>-2.0562062015179041</v>
      </c>
      <c r="E40" s="710">
        <v>-0.90146723281962149</v>
      </c>
      <c r="F40" s="708">
        <v>-0.4328473497117864</v>
      </c>
      <c r="G40" s="711">
        <v>1.3008419225322185E-7</v>
      </c>
      <c r="H40" s="710">
        <v>0.26600000000000001</v>
      </c>
      <c r="I40" s="708">
        <v>0.52</v>
      </c>
      <c r="J40" s="570">
        <v>5.1239999999999997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5.1239999999999997</v>
      </c>
      <c r="N40" s="632">
        <f t="shared" si="2"/>
        <v>-2.7793689402422554</v>
      </c>
      <c r="O40" s="629">
        <f t="shared" si="3"/>
        <v>1.5630026604296281</v>
      </c>
      <c r="P40" s="633">
        <f t="shared" si="4"/>
        <v>-2.0562062015179041</v>
      </c>
      <c r="Q40" s="585">
        <f t="shared" si="113"/>
        <v>150.64839124345571</v>
      </c>
      <c r="R40" s="629">
        <f t="shared" si="79"/>
        <v>3.1887096171482052</v>
      </c>
      <c r="S40" s="634">
        <f t="shared" si="80"/>
        <v>-2.0562062015179041</v>
      </c>
      <c r="T40" s="635">
        <f t="shared" si="81"/>
        <v>1.408518495470642</v>
      </c>
      <c r="U40" s="629">
        <f t="shared" si="82"/>
        <v>2.8607594569293262</v>
      </c>
      <c r="V40" s="636">
        <f t="shared" si="114"/>
        <v>-2.0562062015179041</v>
      </c>
      <c r="W40" s="585">
        <f t="shared" si="224"/>
        <v>63.786290790399065</v>
      </c>
      <c r="X40" s="629">
        <f t="shared" si="83"/>
        <v>3.1887096171482052</v>
      </c>
      <c r="Y40" s="630">
        <f t="shared" si="223"/>
        <v>-2.0562062015179041</v>
      </c>
      <c r="Z40" s="632">
        <f t="shared" si="6"/>
        <v>0.90146723281962149</v>
      </c>
      <c r="AA40" s="629">
        <f t="shared" si="7"/>
        <v>0.4328473497117864</v>
      </c>
      <c r="AB40" s="629">
        <f t="shared" si="8"/>
        <v>-1.3008419225322185E-7</v>
      </c>
      <c r="AC40" s="636">
        <f t="shared" si="84"/>
        <v>1</v>
      </c>
      <c r="AD40" s="637">
        <f t="shared" si="115"/>
        <v>0.90146723281962149</v>
      </c>
      <c r="AE40" s="629">
        <f t="shared" si="85"/>
        <v>0.4328473497117864</v>
      </c>
      <c r="AF40" s="633">
        <f t="shared" si="86"/>
        <v>-1.3008419225322185E-7</v>
      </c>
      <c r="AG40" s="602">
        <f t="shared" si="87"/>
        <v>89.999982780822847</v>
      </c>
      <c r="AH40" s="603">
        <f t="shared" si="88"/>
        <v>25.648396296831436</v>
      </c>
      <c r="AI40" s="585">
        <f t="shared" si="89"/>
        <v>-89.999992546724798</v>
      </c>
      <c r="AJ40" s="586">
        <f t="shared" si="90"/>
        <v>115.64839629683043</v>
      </c>
      <c r="AK40" s="635">
        <f t="shared" si="211"/>
        <v>0.8191520948772919</v>
      </c>
      <c r="AL40" s="629">
        <f t="shared" si="91"/>
        <v>-0.5735763641034447</v>
      </c>
      <c r="AM40" s="634">
        <f t="shared" si="92"/>
        <v>-1.3008419225322185E-7</v>
      </c>
      <c r="AN40" s="581">
        <f t="shared" si="93"/>
        <v>-89.999987005609611</v>
      </c>
      <c r="AO40" s="582">
        <f t="shared" si="94"/>
        <v>34.999994946625968</v>
      </c>
      <c r="AP40" s="585">
        <f t="shared" si="95"/>
        <v>-34.999994946625279</v>
      </c>
      <c r="AQ40" s="586">
        <f t="shared" si="9"/>
        <v>0.71489994336999108</v>
      </c>
      <c r="AS40" s="52">
        <f t="shared" si="116"/>
        <v>-296.21370920960095</v>
      </c>
      <c r="AT40" s="72">
        <f t="shared" si="10"/>
        <v>-1.8483231398814151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5.1239999999999997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1313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-1.9071498968972715</v>
      </c>
      <c r="C41" s="708">
        <v>2.1370741795724122</v>
      </c>
      <c r="D41" s="709">
        <v>-0.56905894985263816</v>
      </c>
      <c r="E41" s="710">
        <v>-0.91580392652697895</v>
      </c>
      <c r="F41" s="708">
        <v>-0.30160479489668013</v>
      </c>
      <c r="G41" s="711">
        <v>0.26521258615137272</v>
      </c>
      <c r="H41" s="710">
        <v>0.26600000000000001</v>
      </c>
      <c r="I41" s="708">
        <v>0.52</v>
      </c>
      <c r="J41" s="570">
        <v>5.2140000000000004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5.2140000000000004</v>
      </c>
      <c r="N41" s="632">
        <f t="shared" ref="N41:N72" si="240">IF(M41="","",B41)</f>
        <v>-1.9071498968972715</v>
      </c>
      <c r="O41" s="629">
        <f t="shared" ref="O41:O72" si="241">IF(M41="","",C41)</f>
        <v>2.1370741795724122</v>
      </c>
      <c r="P41" s="633">
        <f t="shared" ref="P41:P72" si="242">IF(M41="","",D41)</f>
        <v>-0.56905894985263816</v>
      </c>
      <c r="Q41" s="585">
        <f t="shared" si="113"/>
        <v>131.74609397260974</v>
      </c>
      <c r="R41" s="629">
        <f t="shared" si="79"/>
        <v>2.8643161100392485</v>
      </c>
      <c r="S41" s="634">
        <f t="shared" si="80"/>
        <v>-0.56905894985263816</v>
      </c>
      <c r="T41" s="635">
        <f t="shared" si="81"/>
        <v>2.0294739621235771</v>
      </c>
      <c r="U41" s="629">
        <f t="shared" si="82"/>
        <v>2.0212724248088878</v>
      </c>
      <c r="V41" s="636">
        <f t="shared" si="114"/>
        <v>-0.56905894985263816</v>
      </c>
      <c r="W41" s="585">
        <f t="shared" si="224"/>
        <v>44.883993519553101</v>
      </c>
      <c r="X41" s="629">
        <f t="shared" si="83"/>
        <v>2.8643161100392485</v>
      </c>
      <c r="Y41" s="630">
        <f t="shared" si="223"/>
        <v>-0.56905894985263816</v>
      </c>
      <c r="Z41" s="632">
        <f t="shared" ref="Z41:Z72" si="243">IF(M41="","",-E41)</f>
        <v>0.91580392652697895</v>
      </c>
      <c r="AA41" s="629">
        <f t="shared" ref="AA41:AA72" si="244">IF(M41="","",-F41)</f>
        <v>0.30160479489668013</v>
      </c>
      <c r="AB41" s="629">
        <f t="shared" ref="AB41:AB72" si="245">IF(M41="","",-G41)</f>
        <v>-0.26521258615137272</v>
      </c>
      <c r="AC41" s="636">
        <f t="shared" si="84"/>
        <v>1</v>
      </c>
      <c r="AD41" s="637">
        <f t="shared" si="115"/>
        <v>0.91580392652697895</v>
      </c>
      <c r="AE41" s="629">
        <f t="shared" si="85"/>
        <v>0.30160479489668013</v>
      </c>
      <c r="AF41" s="633">
        <f t="shared" si="86"/>
        <v>-0.26521258615137272</v>
      </c>
      <c r="AG41" s="602">
        <f t="shared" si="87"/>
        <v>48.673602821652572</v>
      </c>
      <c r="AH41" s="603">
        <f t="shared" si="88"/>
        <v>23.679845538132387</v>
      </c>
      <c r="AI41" s="585">
        <f t="shared" si="89"/>
        <v>-74.620414919679831</v>
      </c>
      <c r="AJ41" s="586">
        <f t="shared" si="90"/>
        <v>108.22843907655449</v>
      </c>
      <c r="AK41" s="635">
        <f t="shared" si="211"/>
        <v>0.88410160790111403</v>
      </c>
      <c r="AL41" s="629">
        <f t="shared" si="91"/>
        <v>-0.38474229174028363</v>
      </c>
      <c r="AM41" s="634">
        <f t="shared" si="92"/>
        <v>-0.26521258615137272</v>
      </c>
      <c r="AN41" s="581">
        <f t="shared" si="93"/>
        <v>-55.42052258875934</v>
      </c>
      <c r="AO41" s="582">
        <f t="shared" si="94"/>
        <v>27.858833180024394</v>
      </c>
      <c r="AP41" s="585">
        <f t="shared" si="95"/>
        <v>-23.517654896055237</v>
      </c>
      <c r="AQ41" s="586">
        <f t="shared" ref="AQ41:AQ72" si="246">IF(M41="","",DEGREES(ATAN(($AS$5*SIN(RADIANS(90)))/(($X41*2*PI())-($AS$5*COS(RADIANS(90)))))))</f>
        <v>0.79585490064223408</v>
      </c>
      <c r="AS41" s="52">
        <f t="shared" si="116"/>
        <v>-315.11600648044691</v>
      </c>
      <c r="AT41" s="72">
        <f t="shared" ref="AT41:AT72" si="247">IF(M41="","",Y41+(((AS41-$AS$9)*$AS$6)*-1))</f>
        <v>-0.34804929288917269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5.2140000000000004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0.114</v>
      </c>
      <c r="II41" s="734" cm="1">
        <f t="array" ref="II41">IFERROR(IF($IH41&lt;1,$IH41+LARGE((IF($M$9:$M$150="",0,$M$9:$M$150)-MOD(IF($M$9:$M$150="",0,$M$9:$M$150),1)),1),$IH41),"")</f>
        <v>5.1139999999999999</v>
      </c>
      <c r="IJ41" s="533">
        <f t="shared" si="112"/>
        <v>1613</v>
      </c>
      <c r="IK41" s="533">
        <f t="shared" ref="IK41:IK72" si="382">IF(ISNUMBER($II41),INDEX($K$9:$K$150,MATCH($IG41,$M$9:$M$150,0)),"")</f>
        <v>1313</v>
      </c>
      <c r="IL41" s="727">
        <f t="shared" si="225"/>
        <v>19.846197134563681</v>
      </c>
      <c r="IM41" s="759">
        <v>1.37505256240945E-2</v>
      </c>
      <c r="IN41" s="5">
        <f t="shared" si="226"/>
        <v>0.36</v>
      </c>
      <c r="IO41" s="771">
        <v>180</v>
      </c>
      <c r="IP41" s="9">
        <f t="shared" si="227"/>
        <v>-2.8237085163048863</v>
      </c>
      <c r="IQ41" s="5">
        <f t="shared" si="228"/>
        <v>-0.59540179573181617</v>
      </c>
      <c r="IR41" s="5">
        <f t="shared" ref="IR41:IR72" si="383">IF(ISNUMBER($II41),INDEX($H$9:$H$150,MATCH($II41,$M$9:$M$150,0)),"")</f>
        <v>0.314</v>
      </c>
      <c r="IS41" s="5">
        <f t="shared" si="229"/>
        <v>0.29795264882715267</v>
      </c>
      <c r="IT41" s="727">
        <f t="shared" si="230"/>
        <v>63.185781874564888</v>
      </c>
      <c r="IU41" s="9">
        <f t="shared" si="231"/>
        <v>-2.8643161100392485</v>
      </c>
      <c r="IV41" s="5">
        <f t="shared" si="232"/>
        <v>-0.56905894985263816</v>
      </c>
      <c r="IW41" s="5">
        <f t="shared" ref="IW41:IW72" si="384">IF(ISNUMBER($II41),$H41,"")</f>
        <v>0.26600000000000001</v>
      </c>
      <c r="IX41" s="5">
        <f t="shared" si="233"/>
        <v>0.23517102770169634</v>
      </c>
      <c r="IY41" s="762">
        <f t="shared" si="234"/>
        <v>55.42052258875934</v>
      </c>
    </row>
    <row r="42" spans="1:267" ht="15" customHeight="1" x14ac:dyDescent="0.25">
      <c r="A42" s="79"/>
      <c r="B42" s="707">
        <v>-2.0771187657435517</v>
      </c>
      <c r="C42" s="708">
        <v>2.3498627087576205</v>
      </c>
      <c r="D42" s="709">
        <v>-1.3640025359279899</v>
      </c>
      <c r="E42" s="710">
        <v>-0.97877838150980623</v>
      </c>
      <c r="F42" s="708">
        <v>-0.18751212674295809</v>
      </c>
      <c r="G42" s="711">
        <v>8.2656410600613253E-2</v>
      </c>
      <c r="H42" s="710">
        <v>0.26600000000000001</v>
      </c>
      <c r="I42" s="708">
        <v>0.52</v>
      </c>
      <c r="J42" s="570">
        <v>5.2190000000000003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5.2190000000000003</v>
      </c>
      <c r="N42" s="632">
        <f t="shared" si="240"/>
        <v>-2.0771187657435517</v>
      </c>
      <c r="O42" s="629">
        <f t="shared" si="241"/>
        <v>2.3498627087576205</v>
      </c>
      <c r="P42" s="633">
        <f t="shared" si="242"/>
        <v>-1.3640025359279899</v>
      </c>
      <c r="Q42" s="585">
        <f t="shared" si="113"/>
        <v>131.47449401182396</v>
      </c>
      <c r="R42" s="629">
        <f t="shared" ref="R42:R47" si="385">IF(M42="","",SQRT(N42^2+O42^2))</f>
        <v>3.1362839662590689</v>
      </c>
      <c r="S42" s="634">
        <f t="shared" ref="S42:S47" si="386">IF(M42="","",P42)</f>
        <v>-1.3640025359279899</v>
      </c>
      <c r="T42" s="635">
        <f t="shared" ref="T42:T47" si="387">IF(M42="","",X42*COS(RADIANS(W42)))</f>
        <v>2.2326394755090821</v>
      </c>
      <c r="U42" s="629">
        <f t="shared" ref="U42:U47" si="388">IF(M42="","",X42*SIN(RADIANS(W42)))</f>
        <v>2.2026343521820064</v>
      </c>
      <c r="V42" s="636">
        <f t="shared" ref="V42:V47" si="389">IF(M42="","",Y42)</f>
        <v>-1.3640025359279899</v>
      </c>
      <c r="W42" s="585">
        <f t="shared" si="224"/>
        <v>44.612393558767323</v>
      </c>
      <c r="X42" s="629">
        <f t="shared" ref="X42:X47" si="390">IF(M42="","",R42)</f>
        <v>3.1362839662590689</v>
      </c>
      <c r="Y42" s="630">
        <f t="shared" si="223"/>
        <v>-1.3640025359279899</v>
      </c>
      <c r="Z42" s="632">
        <f t="shared" si="243"/>
        <v>0.97877838150980623</v>
      </c>
      <c r="AA42" s="629">
        <f t="shared" si="244"/>
        <v>0.18751212674295809</v>
      </c>
      <c r="AB42" s="629">
        <f t="shared" si="245"/>
        <v>-8.2656410600613253E-2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0.97877838150980623</v>
      </c>
      <c r="AE42" s="629">
        <f t="shared" ref="AE42:AE47" si="393">IF(M42="","",AA42*(1/SQRT(Z42^2+AA42^2+AB42^2)))</f>
        <v>0.18751212674295809</v>
      </c>
      <c r="AF42" s="633">
        <f t="shared" ref="AF42:AF47" si="394">IF(M42="","",AB42*(1/SQRT(Z42^2+AA42^2+AB42^2)))</f>
        <v>-8.2656410600613253E-2</v>
      </c>
      <c r="AG42" s="602">
        <f t="shared" ref="AG42:AG47" si="395">IF(M42="","",DEGREES(ATAN2(-AF42,AE42)))</f>
        <v>66.211842328561218</v>
      </c>
      <c r="AH42" s="603">
        <f t="shared" ref="AH42:AH47" si="396">IF(M42="","",DEGREES(ACOS(AD42)))</f>
        <v>11.824912161144951</v>
      </c>
      <c r="AI42" s="585">
        <f t="shared" ref="AI42:AI47" si="397">IF(M42="","",DEGREES(-ACOS(-AF42)))</f>
        <v>-85.25872724105902</v>
      </c>
      <c r="AJ42" s="586">
        <f t="shared" ref="AJ42:AJ47" si="398">IF(M42="","",DEGREES(ATAN2(-AE42,AD42)))</f>
        <v>100.84518863925858</v>
      </c>
      <c r="AK42" s="635">
        <f t="shared" ref="AK42:AK47" si="399">IF(M42="","",(COS(RADIANS((90-$Q$8)-W42))*AD42)+(-SIN(RADIANS((90-$Q$8)-W42))*AE42))</f>
        <v>0.85753707414392732</v>
      </c>
      <c r="AL42" s="629">
        <f t="shared" ref="AL42:AL47" si="400">IF(M42="","",(SIN(RADIANS((90-$Q$8)-W42))*AD42)+(COS(RADIANS((90-$Q$8)-W42))*AE42))</f>
        <v>-0.50773820444722817</v>
      </c>
      <c r="AM42" s="634">
        <f t="shared" ref="AM42:AM47" si="401">IF(M42="","",AF42)</f>
        <v>-8.2656410600613253E-2</v>
      </c>
      <c r="AN42" s="581">
        <f t="shared" ref="AN42:AN47" si="402">IF(M42="","",DEGREES(ATAN2(-AM42,AL42)))</f>
        <v>-80.753738399897998</v>
      </c>
      <c r="AO42" s="582">
        <f t="shared" si="94"/>
        <v>30.958839679655398</v>
      </c>
      <c r="AP42" s="585">
        <f t="shared" ref="AP42:AP47" si="403">IF(M42="","",DEGREES(ATAN2(AK42,AL42)))</f>
        <v>-30.629305372565376</v>
      </c>
      <c r="AQ42" s="586">
        <f t="shared" si="246"/>
        <v>0.72684883172671055</v>
      </c>
      <c r="AS42" s="52">
        <f t="shared" si="116"/>
        <v>-315.38760644123266</v>
      </c>
      <c r="AT42" s="72">
        <f t="shared" si="247"/>
        <v>-1.1428042678806454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>Gage</v>
      </c>
      <c r="IG42" s="847">
        <f t="shared" si="210"/>
        <v>5.2190000000000003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0.11899999999999999</v>
      </c>
      <c r="II42" s="734" cm="1">
        <f t="array" ref="II42">IFERROR(IF($IH42&lt;1,$IH42+LARGE((IF($M$9:$M$150="",0,$M$9:$M$150)-MOD(IF($M$9:$M$150="",0,$M$9:$M$150),1)),1),$IH42),"")</f>
        <v>5.1189999999999998</v>
      </c>
      <c r="IJ42" s="533">
        <f t="shared" si="112"/>
        <v>1613</v>
      </c>
      <c r="IK42" s="533">
        <f t="shared" si="382"/>
        <v>1313</v>
      </c>
      <c r="IL42" s="727">
        <f t="shared" si="225"/>
        <v>19.409697197586439</v>
      </c>
      <c r="IM42" s="759">
        <v>3.6523300376178599E-3</v>
      </c>
      <c r="IN42" s="5">
        <f t="shared" si="226"/>
        <v>0.32</v>
      </c>
      <c r="IO42" s="771">
        <v>160</v>
      </c>
      <c r="IP42" s="9">
        <f t="shared" si="227"/>
        <v>-3.098609345405785</v>
      </c>
      <c r="IQ42" s="5">
        <f t="shared" si="228"/>
        <v>-1.360004101772371</v>
      </c>
      <c r="IR42" s="5">
        <f t="shared" si="383"/>
        <v>0.314</v>
      </c>
      <c r="IS42" s="5">
        <f t="shared" si="229"/>
        <v>0.26926664128119321</v>
      </c>
      <c r="IT42" s="727">
        <f t="shared" si="230"/>
        <v>80.753738399898026</v>
      </c>
      <c r="IU42" s="9">
        <f t="shared" si="231"/>
        <v>-3.1362839662590689</v>
      </c>
      <c r="IV42" s="5">
        <f t="shared" si="232"/>
        <v>-1.3640025359279899</v>
      </c>
      <c r="IW42" s="5">
        <f t="shared" si="384"/>
        <v>0.26600000000000001</v>
      </c>
      <c r="IX42" s="5">
        <f t="shared" si="233"/>
        <v>0.22810486172228467</v>
      </c>
      <c r="IY42" s="762">
        <f t="shared" si="234"/>
        <v>80.753738399897998</v>
      </c>
    </row>
    <row r="43" spans="1:267" ht="15" customHeight="1" x14ac:dyDescent="0.25">
      <c r="A43" s="79"/>
      <c r="B43" s="707"/>
      <c r="C43" s="708"/>
      <c r="D43" s="709"/>
      <c r="E43" s="710"/>
      <c r="F43" s="708"/>
      <c r="G43" s="711"/>
      <c r="H43" s="710"/>
      <c r="I43" s="708"/>
      <c r="J43" s="570"/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/>
      </c>
      <c r="L43" s="320"/>
      <c r="M43" s="168" t="str">
        <f t="shared" si="239"/>
        <v/>
      </c>
      <c r="N43" s="632" t="str">
        <f t="shared" si="240"/>
        <v/>
      </c>
      <c r="O43" s="629" t="str">
        <f t="shared" si="241"/>
        <v/>
      </c>
      <c r="P43" s="633" t="str">
        <f t="shared" si="242"/>
        <v/>
      </c>
      <c r="Q43" s="585" t="str">
        <f t="shared" si="113"/>
        <v/>
      </c>
      <c r="R43" s="629" t="str">
        <f t="shared" si="385"/>
        <v/>
      </c>
      <c r="S43" s="634" t="str">
        <f t="shared" si="386"/>
        <v/>
      </c>
      <c r="T43" s="635" t="str">
        <f t="shared" si="387"/>
        <v/>
      </c>
      <c r="U43" s="629" t="str">
        <f t="shared" si="388"/>
        <v/>
      </c>
      <c r="V43" s="636" t="str">
        <f t="shared" si="389"/>
        <v/>
      </c>
      <c r="W43" s="585" t="str">
        <f t="shared" si="224"/>
        <v/>
      </c>
      <c r="X43" s="629" t="str">
        <f t="shared" si="390"/>
        <v/>
      </c>
      <c r="Y43" s="630" t="str">
        <f t="shared" si="223"/>
        <v/>
      </c>
      <c r="Z43" s="632" t="str">
        <f t="shared" si="243"/>
        <v/>
      </c>
      <c r="AA43" s="629" t="str">
        <f t="shared" si="244"/>
        <v/>
      </c>
      <c r="AB43" s="629" t="str">
        <f t="shared" si="245"/>
        <v/>
      </c>
      <c r="AC43" s="636" t="str">
        <f t="shared" si="391"/>
        <v/>
      </c>
      <c r="AD43" s="637" t="str">
        <f t="shared" si="392"/>
        <v/>
      </c>
      <c r="AE43" s="629" t="str">
        <f t="shared" si="393"/>
        <v/>
      </c>
      <c r="AF43" s="633" t="str">
        <f t="shared" si="394"/>
        <v/>
      </c>
      <c r="AG43" s="602" t="str">
        <f t="shared" si="395"/>
        <v/>
      </c>
      <c r="AH43" s="603" t="str">
        <f t="shared" si="396"/>
        <v/>
      </c>
      <c r="AI43" s="585" t="str">
        <f t="shared" si="397"/>
        <v/>
      </c>
      <c r="AJ43" s="586" t="str">
        <f t="shared" si="398"/>
        <v/>
      </c>
      <c r="AK43" s="635" t="str">
        <f t="shared" si="399"/>
        <v/>
      </c>
      <c r="AL43" s="629" t="str">
        <f t="shared" si="400"/>
        <v/>
      </c>
      <c r="AM43" s="634" t="str">
        <f t="shared" si="401"/>
        <v/>
      </c>
      <c r="AN43" s="581" t="str">
        <f t="shared" si="402"/>
        <v/>
      </c>
      <c r="AO43" s="582" t="str">
        <f t="shared" si="94"/>
        <v/>
      </c>
      <c r="AP43" s="585" t="str">
        <f t="shared" si="403"/>
        <v/>
      </c>
      <c r="AQ43" s="586" t="str">
        <f t="shared" si="246"/>
        <v/>
      </c>
      <c r="AS43" s="52" t="str">
        <f t="shared" ref="AS43:AS74" si="406">IF(G43="","",IF(AND(W43&lt;(AS42+180),W43&gt;(AS42-180)),W43,IF(W43&gt;(AS42+180),W43-360,IF(W43&lt;(AS42-180),W43+360,"Error"))))</f>
        <v/>
      </c>
      <c r="AT43" s="72" t="str">
        <f t="shared" si="247"/>
        <v/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210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112"/>
        <v/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/>
      <c r="C44" s="708"/>
      <c r="D44" s="709"/>
      <c r="E44" s="710"/>
      <c r="F44" s="708"/>
      <c r="G44" s="711"/>
      <c r="H44" s="710"/>
      <c r="I44" s="708"/>
      <c r="J44" s="570"/>
      <c r="K44" s="865" t="str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/>
      </c>
      <c r="L44" s="320"/>
      <c r="M44" s="168" t="str">
        <f t="shared" si="239"/>
        <v/>
      </c>
      <c r="N44" s="632" t="str">
        <f t="shared" si="240"/>
        <v/>
      </c>
      <c r="O44" s="629" t="str">
        <f t="shared" si="241"/>
        <v/>
      </c>
      <c r="P44" s="633" t="str">
        <f t="shared" si="242"/>
        <v/>
      </c>
      <c r="Q44" s="585" t="str">
        <f t="shared" si="113"/>
        <v/>
      </c>
      <c r="R44" s="629" t="str">
        <f t="shared" si="385"/>
        <v/>
      </c>
      <c r="S44" s="634" t="str">
        <f t="shared" si="386"/>
        <v/>
      </c>
      <c r="T44" s="635" t="str">
        <f t="shared" si="387"/>
        <v/>
      </c>
      <c r="U44" s="629" t="str">
        <f t="shared" si="388"/>
        <v/>
      </c>
      <c r="V44" s="636" t="str">
        <f t="shared" si="389"/>
        <v/>
      </c>
      <c r="W44" s="585" t="str">
        <f t="shared" si="224"/>
        <v/>
      </c>
      <c r="X44" s="629" t="str">
        <f t="shared" si="390"/>
        <v/>
      </c>
      <c r="Y44" s="630" t="str">
        <f t="shared" si="223"/>
        <v/>
      </c>
      <c r="Z44" s="632" t="str">
        <f t="shared" si="243"/>
        <v/>
      </c>
      <c r="AA44" s="629" t="str">
        <f t="shared" si="244"/>
        <v/>
      </c>
      <c r="AB44" s="629" t="str">
        <f t="shared" si="245"/>
        <v/>
      </c>
      <c r="AC44" s="636" t="str">
        <f t="shared" si="391"/>
        <v/>
      </c>
      <c r="AD44" s="637" t="str">
        <f t="shared" si="392"/>
        <v/>
      </c>
      <c r="AE44" s="629" t="str">
        <f t="shared" si="393"/>
        <v/>
      </c>
      <c r="AF44" s="633" t="str">
        <f t="shared" si="394"/>
        <v/>
      </c>
      <c r="AG44" s="602" t="str">
        <f t="shared" si="395"/>
        <v/>
      </c>
      <c r="AH44" s="603" t="str">
        <f t="shared" si="396"/>
        <v/>
      </c>
      <c r="AI44" s="585" t="str">
        <f t="shared" si="397"/>
        <v/>
      </c>
      <c r="AJ44" s="586" t="str">
        <f t="shared" si="398"/>
        <v/>
      </c>
      <c r="AK44" s="635" t="str">
        <f t="shared" si="399"/>
        <v/>
      </c>
      <c r="AL44" s="629" t="str">
        <f t="shared" si="400"/>
        <v/>
      </c>
      <c r="AM44" s="634" t="str">
        <f t="shared" si="401"/>
        <v/>
      </c>
      <c r="AN44" s="581" t="str">
        <f t="shared" si="402"/>
        <v/>
      </c>
      <c r="AO44" s="582" t="str">
        <f t="shared" si="94"/>
        <v/>
      </c>
      <c r="AP44" s="585" t="str">
        <f t="shared" si="403"/>
        <v/>
      </c>
      <c r="AQ44" s="586" t="str">
        <f t="shared" si="246"/>
        <v/>
      </c>
      <c r="AS44" s="52" t="str">
        <f t="shared" si="406"/>
        <v/>
      </c>
      <c r="AT44" s="72" t="str">
        <f t="shared" si="247"/>
        <v/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210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112"/>
        <v/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/>
      <c r="C45" s="708"/>
      <c r="D45" s="709"/>
      <c r="E45" s="710"/>
      <c r="F45" s="708"/>
      <c r="G45" s="711"/>
      <c r="H45" s="710"/>
      <c r="I45" s="708"/>
      <c r="J45" s="570"/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/>
      </c>
      <c r="L45" s="320"/>
      <c r="M45" s="168" t="str">
        <f t="shared" si="239"/>
        <v/>
      </c>
      <c r="N45" s="632" t="str">
        <f t="shared" si="240"/>
        <v/>
      </c>
      <c r="O45" s="629" t="str">
        <f t="shared" si="241"/>
        <v/>
      </c>
      <c r="P45" s="633" t="str">
        <f t="shared" si="242"/>
        <v/>
      </c>
      <c r="Q45" s="585" t="str">
        <f t="shared" si="113"/>
        <v/>
      </c>
      <c r="R45" s="629" t="str">
        <f t="shared" si="385"/>
        <v/>
      </c>
      <c r="S45" s="634" t="str">
        <f t="shared" si="386"/>
        <v/>
      </c>
      <c r="T45" s="635" t="str">
        <f t="shared" si="387"/>
        <v/>
      </c>
      <c r="U45" s="629" t="str">
        <f t="shared" si="388"/>
        <v/>
      </c>
      <c r="V45" s="636" t="str">
        <f t="shared" si="389"/>
        <v/>
      </c>
      <c r="W45" s="585" t="str">
        <f t="shared" si="224"/>
        <v/>
      </c>
      <c r="X45" s="629" t="str">
        <f t="shared" si="390"/>
        <v/>
      </c>
      <c r="Y45" s="630" t="str">
        <f t="shared" si="223"/>
        <v/>
      </c>
      <c r="Z45" s="632" t="str">
        <f t="shared" si="243"/>
        <v/>
      </c>
      <c r="AA45" s="629" t="str">
        <f t="shared" si="244"/>
        <v/>
      </c>
      <c r="AB45" s="629" t="str">
        <f t="shared" si="245"/>
        <v/>
      </c>
      <c r="AC45" s="636" t="str">
        <f t="shared" si="391"/>
        <v/>
      </c>
      <c r="AD45" s="637" t="str">
        <f t="shared" si="392"/>
        <v/>
      </c>
      <c r="AE45" s="629" t="str">
        <f t="shared" si="393"/>
        <v/>
      </c>
      <c r="AF45" s="633" t="str">
        <f t="shared" si="394"/>
        <v/>
      </c>
      <c r="AG45" s="602" t="str">
        <f t="shared" si="395"/>
        <v/>
      </c>
      <c r="AH45" s="603" t="str">
        <f t="shared" si="396"/>
        <v/>
      </c>
      <c r="AI45" s="585" t="str">
        <f t="shared" si="397"/>
        <v/>
      </c>
      <c r="AJ45" s="586" t="str">
        <f t="shared" si="398"/>
        <v/>
      </c>
      <c r="AK45" s="635" t="str">
        <f t="shared" si="399"/>
        <v/>
      </c>
      <c r="AL45" s="629" t="str">
        <f t="shared" si="400"/>
        <v/>
      </c>
      <c r="AM45" s="634" t="str">
        <f t="shared" si="401"/>
        <v/>
      </c>
      <c r="AN45" s="581" t="str">
        <f t="shared" si="402"/>
        <v/>
      </c>
      <c r="AO45" s="582" t="str">
        <f t="shared" si="94"/>
        <v/>
      </c>
      <c r="AP45" s="585" t="str">
        <f t="shared" si="403"/>
        <v/>
      </c>
      <c r="AQ45" s="586" t="str">
        <f t="shared" si="246"/>
        <v/>
      </c>
      <c r="AS45" s="52" t="str">
        <f t="shared" si="406"/>
        <v/>
      </c>
      <c r="AT45" s="72" t="str">
        <f t="shared" si="247"/>
        <v/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210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112"/>
        <v/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0.90630781366099955</v>
      </c>
      <c r="F154" s="170">
        <f t="shared" si="929"/>
        <v>7.3386870597457673E-2</v>
      </c>
      <c r="G154" s="170">
        <f t="shared" si="929"/>
        <v>-0.41619768634740262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0.97623192729004094</v>
      </c>
      <c r="F155" s="170">
        <f t="shared" si="929"/>
        <v>2.3347442871420036E-2</v>
      </c>
      <c r="G155" s="170">
        <f t="shared" si="929"/>
        <v>-0.21546721572187807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0.97031672858167761</v>
      </c>
      <c r="F156" s="170">
        <f t="shared" si="929"/>
        <v>-0.13689059794341291</v>
      </c>
      <c r="G156" s="170">
        <f t="shared" si="929"/>
        <v>-0.19936501806797974</v>
      </c>
      <c r="H156" s="139"/>
      <c r="I156" s="86"/>
      <c r="J156" s="79">
        <f t="shared" si="930"/>
        <v>1.1080000000000001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0.93920168675572391</v>
      </c>
      <c r="F157" s="170">
        <f t="shared" si="929"/>
        <v>-0.30566697739373133</v>
      </c>
      <c r="G157" s="170">
        <f t="shared" si="929"/>
        <v>-0.15642215484445726</v>
      </c>
      <c r="H157" s="139"/>
      <c r="I157" s="86"/>
      <c r="J157" s="79">
        <f t="shared" si="930"/>
        <v>1.113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0.84760454967760768</v>
      </c>
      <c r="F158" s="170">
        <f t="shared" si="929"/>
        <v>-0.52020069815810044</v>
      </c>
      <c r="G158" s="170">
        <f t="shared" si="929"/>
        <v>-0.10467932461400793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0.77326954245195478</v>
      </c>
      <c r="F159" s="170">
        <f t="shared" si="929"/>
        <v>-0.63407745166984764</v>
      </c>
      <c r="G159" s="170">
        <f t="shared" si="929"/>
        <v>-1.3008419219013557E-7</v>
      </c>
      <c r="H159" s="139"/>
      <c r="I159" s="86"/>
      <c r="J159" s="79">
        <f t="shared" si="930"/>
        <v>1.123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0.68383342521601465</v>
      </c>
      <c r="F160" s="170">
        <f t="shared" si="929"/>
        <v>-0.67005312474051637</v>
      </c>
      <c r="G160" s="170">
        <f t="shared" si="929"/>
        <v>-0.28879171834178935</v>
      </c>
      <c r="H160" s="139"/>
      <c r="I160" s="86"/>
      <c r="J160" s="79">
        <f t="shared" si="930"/>
        <v>1.2130000000000001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0.58782455476678908</v>
      </c>
      <c r="F161" s="170">
        <f t="shared" si="929"/>
        <v>-0.79888410011912314</v>
      </c>
      <c r="G161" s="170">
        <f t="shared" si="929"/>
        <v>-0.12746170950558075</v>
      </c>
      <c r="H161" s="139"/>
      <c r="I161" s="86"/>
      <c r="J161" s="79">
        <f t="shared" si="930"/>
        <v>1.218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0.23562245616746216</v>
      </c>
      <c r="F162" s="170">
        <f t="shared" si="929"/>
        <v>-0.9490058819382714</v>
      </c>
      <c r="G162" s="170">
        <f t="shared" si="929"/>
        <v>-0.20945141249506091</v>
      </c>
      <c r="H162" s="139"/>
      <c r="I162" s="86"/>
      <c r="J162" s="79">
        <f t="shared" si="930"/>
        <v>2.1070000000000002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6.8368445646530801E-2</v>
      </c>
      <c r="F163" s="170">
        <f t="shared" si="929"/>
        <v>-0.9835593801929976</v>
      </c>
      <c r="G163" s="170">
        <f t="shared" si="929"/>
        <v>-0.16714275716956356</v>
      </c>
      <c r="H163" s="139"/>
      <c r="I163" s="86"/>
      <c r="J163" s="79">
        <f t="shared" si="930"/>
        <v>2.1120000000000001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-0.14274013832794405</v>
      </c>
      <c r="F164" s="170">
        <f t="shared" si="929"/>
        <v>-0.9825603802515146</v>
      </c>
      <c r="G164" s="170">
        <f t="shared" si="929"/>
        <v>-0.1191652301223744</v>
      </c>
      <c r="H164" s="139"/>
      <c r="I164" s="86"/>
      <c r="J164" s="79">
        <f t="shared" si="930"/>
        <v>2.117</v>
      </c>
    </row>
    <row r="165" spans="5:16" x14ac:dyDescent="0.25">
      <c r="E165" s="170">
        <f t="shared" si="929"/>
        <v>-0.33136483209844508</v>
      </c>
      <c r="F165" s="170">
        <f t="shared" si="929"/>
        <v>-0.94350270166457528</v>
      </c>
      <c r="G165" s="170">
        <f t="shared" si="929"/>
        <v>-1.3008419229360957E-7</v>
      </c>
      <c r="H165" s="139"/>
      <c r="I165" s="86"/>
      <c r="J165" s="79">
        <f t="shared" si="930"/>
        <v>2.1219999999999999</v>
      </c>
    </row>
    <row r="166" spans="5:16" x14ac:dyDescent="0.25">
      <c r="E166" s="170">
        <f t="shared" si="929"/>
        <v>-0.35580922104952867</v>
      </c>
      <c r="F166" s="170">
        <f t="shared" si="929"/>
        <v>-0.88230593321177708</v>
      </c>
      <c r="G166" s="170">
        <f t="shared" si="929"/>
        <v>-0.308116923318767</v>
      </c>
      <c r="H166" s="139"/>
      <c r="I166" s="86"/>
      <c r="J166" s="79">
        <f t="shared" si="930"/>
        <v>2.2120000000000002</v>
      </c>
    </row>
    <row r="167" spans="5:16" x14ac:dyDescent="0.25">
      <c r="E167" s="170">
        <f t="shared" si="929"/>
        <v>-0.5349876143544553</v>
      </c>
      <c r="F167" s="170">
        <f t="shared" si="929"/>
        <v>-0.82713372450310396</v>
      </c>
      <c r="G167" s="170">
        <f t="shared" si="929"/>
        <v>-0.1721570628146058</v>
      </c>
      <c r="H167" s="139"/>
      <c r="I167" s="86"/>
      <c r="J167" s="79">
        <f t="shared" si="930"/>
        <v>2.2170000000000001</v>
      </c>
    </row>
    <row r="168" spans="5:16" x14ac:dyDescent="0.25">
      <c r="E168" s="170">
        <f t="shared" si="929"/>
        <v>-0.76546194362595554</v>
      </c>
      <c r="F168" s="170">
        <f t="shared" si="929"/>
        <v>-0.59084739713371681</v>
      </c>
      <c r="G168" s="170">
        <f t="shared" si="929"/>
        <v>-0.25488696742024014</v>
      </c>
      <c r="H168" s="139"/>
      <c r="I168" s="86"/>
      <c r="J168" s="79">
        <f t="shared" si="930"/>
        <v>3.1030000000000002</v>
      </c>
    </row>
    <row r="169" spans="5:16" x14ac:dyDescent="0.25">
      <c r="E169" s="170">
        <f t="shared" si="929"/>
        <v>-0.83680526554273882</v>
      </c>
      <c r="F169" s="170">
        <f t="shared" si="929"/>
        <v>-0.50304053458279352</v>
      </c>
      <c r="G169" s="170">
        <f t="shared" si="929"/>
        <v>-0.21611841228040715</v>
      </c>
      <c r="H169" s="139"/>
      <c r="I169" s="86"/>
      <c r="J169" s="79">
        <f t="shared" si="930"/>
        <v>3.1059999999999999</v>
      </c>
    </row>
    <row r="170" spans="5:16" x14ac:dyDescent="0.25">
      <c r="E170" s="170">
        <f t="shared" si="929"/>
        <v>-0.91902106457374266</v>
      </c>
      <c r="F170" s="170">
        <f t="shared" si="929"/>
        <v>-0.35355141616165287</v>
      </c>
      <c r="G170" s="170">
        <f t="shared" si="929"/>
        <v>-0.17436077253738749</v>
      </c>
      <c r="H170" s="139"/>
      <c r="I170" s="86"/>
      <c r="J170" s="79">
        <f t="shared" si="930"/>
        <v>3.1110000000000002</v>
      </c>
    </row>
    <row r="171" spans="5:16" x14ac:dyDescent="0.25">
      <c r="E171" s="170">
        <f t="shared" si="929"/>
        <v>-0.97689580825795896</v>
      </c>
      <c r="F171" s="170">
        <f t="shared" si="929"/>
        <v>-0.1726271808922909</v>
      </c>
      <c r="G171" s="170">
        <f t="shared" si="929"/>
        <v>-0.1259937943916668</v>
      </c>
      <c r="H171" s="139"/>
      <c r="I171" s="86"/>
      <c r="J171" s="79">
        <f t="shared" si="930"/>
        <v>3.1160000000000001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-0.99711717047608439</v>
      </c>
      <c r="F172" s="170">
        <f t="shared" si="929"/>
        <v>7.5877192500451579E-2</v>
      </c>
      <c r="G172" s="170">
        <f t="shared" si="929"/>
        <v>-1.3008419233814161E-7</v>
      </c>
      <c r="H172" s="139"/>
      <c r="I172" s="86"/>
      <c r="J172" s="79">
        <f t="shared" si="930"/>
        <v>3.121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-0.94355641338325857</v>
      </c>
      <c r="F173" s="170">
        <f t="shared" si="929"/>
        <v>7.3593834371809122E-2</v>
      </c>
      <c r="G173" s="170">
        <f t="shared" si="929"/>
        <v>-0.32293225652724161</v>
      </c>
      <c r="H173" s="139"/>
      <c r="I173" s="86"/>
      <c r="J173" s="79">
        <f t="shared" si="930"/>
        <v>3.2109999999999999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-0.93434562297977142</v>
      </c>
      <c r="F174" s="170">
        <f t="shared" si="933"/>
        <v>0.28328104792592351</v>
      </c>
      <c r="G174" s="170">
        <f t="shared" si="933"/>
        <v>-0.21621772523207616</v>
      </c>
      <c r="H174" s="139"/>
      <c r="I174" s="86"/>
      <c r="J174" s="79">
        <f t="shared" si="930"/>
        <v>3.2160000000000002</v>
      </c>
    </row>
    <row r="175" spans="5:16" x14ac:dyDescent="0.25">
      <c r="E175" s="170">
        <f t="shared" si="933"/>
        <v>-0.70645871531396387</v>
      </c>
      <c r="F175" s="170">
        <f t="shared" si="933"/>
        <v>0.62246738641407151</v>
      </c>
      <c r="G175" s="170">
        <f t="shared" si="933"/>
        <v>-0.33682404369014229</v>
      </c>
      <c r="H175" s="139"/>
      <c r="I175" s="86"/>
      <c r="J175" s="79">
        <f t="shared" si="930"/>
        <v>4.1020000000000003</v>
      </c>
    </row>
    <row r="176" spans="5:16" x14ac:dyDescent="0.25">
      <c r="E176" s="170">
        <f t="shared" si="933"/>
        <v>-0.67424442759792147</v>
      </c>
      <c r="F176" s="170">
        <f t="shared" si="933"/>
        <v>0.705429093935665</v>
      </c>
      <c r="G176" s="170">
        <f t="shared" si="933"/>
        <v>-0.21855032665786142</v>
      </c>
      <c r="H176" s="139"/>
      <c r="I176" s="86"/>
      <c r="J176" s="79">
        <f t="shared" si="930"/>
        <v>4.1050000000000004</v>
      </c>
    </row>
    <row r="177" spans="5:10" x14ac:dyDescent="0.25">
      <c r="E177" s="170">
        <f t="shared" si="933"/>
        <v>-0.53790083716495019</v>
      </c>
      <c r="F177" s="170">
        <f t="shared" si="933"/>
        <v>0.82400898642483145</v>
      </c>
      <c r="G177" s="170">
        <f t="shared" si="933"/>
        <v>-0.1779659508680462</v>
      </c>
      <c r="H177" s="139"/>
      <c r="I177" s="86"/>
      <c r="J177" s="79">
        <f t="shared" si="930"/>
        <v>4.1100000000000003</v>
      </c>
    </row>
    <row r="178" spans="5:10" x14ac:dyDescent="0.25">
      <c r="E178" s="170">
        <f t="shared" si="933"/>
        <v>-0.37952054424859583</v>
      </c>
      <c r="F178" s="170">
        <f t="shared" si="933"/>
        <v>0.91501634735336279</v>
      </c>
      <c r="G178" s="170">
        <f t="shared" si="933"/>
        <v>-0.13678172600665645</v>
      </c>
      <c r="H178" s="139"/>
      <c r="I178" s="86"/>
      <c r="J178" s="79">
        <f t="shared" si="930"/>
        <v>4.1150000000000002</v>
      </c>
    </row>
    <row r="179" spans="5:10" x14ac:dyDescent="0.25">
      <c r="E179" s="170">
        <f t="shared" si="933"/>
        <v>-9.8423332738979977E-2</v>
      </c>
      <c r="F179" s="170">
        <f t="shared" si="933"/>
        <v>0.99514463650895246</v>
      </c>
      <c r="G179" s="170">
        <f t="shared" si="933"/>
        <v>-1.300841920315285E-7</v>
      </c>
      <c r="H179" s="139"/>
      <c r="I179" s="86"/>
      <c r="J179" s="79">
        <f t="shared" si="930"/>
        <v>4.12</v>
      </c>
    </row>
    <row r="180" spans="5:10" x14ac:dyDescent="0.25">
      <c r="E180" s="170">
        <f t="shared" si="933"/>
        <v>-0.13172465702712238</v>
      </c>
      <c r="F180" s="170">
        <f t="shared" si="933"/>
        <v>0.93366467424962341</v>
      </c>
      <c r="G180" s="170">
        <f t="shared" si="933"/>
        <v>-0.33304487804113075</v>
      </c>
      <c r="H180" s="139"/>
      <c r="I180" s="86"/>
      <c r="J180" s="79">
        <f t="shared" si="930"/>
        <v>4.21</v>
      </c>
    </row>
    <row r="181" spans="5:10" x14ac:dyDescent="0.25">
      <c r="E181" s="170">
        <f t="shared" si="933"/>
        <v>8.0587778234550017E-2</v>
      </c>
      <c r="F181" s="170">
        <f t="shared" si="933"/>
        <v>0.96529023268076819</v>
      </c>
      <c r="G181" s="170">
        <f t="shared" si="933"/>
        <v>-0.24843586031474502</v>
      </c>
      <c r="H181" s="139"/>
      <c r="I181" s="86"/>
      <c r="J181" s="79">
        <f t="shared" si="930"/>
        <v>4.2149999999999999</v>
      </c>
    </row>
    <row r="182" spans="5:10" x14ac:dyDescent="0.25">
      <c r="E182" s="170">
        <f t="shared" si="933"/>
        <v>0.56242983153648962</v>
      </c>
      <c r="F182" s="170">
        <f t="shared" si="933"/>
        <v>0.80562661286829584</v>
      </c>
      <c r="G182" s="170">
        <f t="shared" si="933"/>
        <v>-0.18611406512188389</v>
      </c>
      <c r="H182" s="139"/>
      <c r="I182" s="86"/>
      <c r="J182" s="79">
        <f t="shared" si="930"/>
        <v>5.109</v>
      </c>
    </row>
    <row r="183" spans="5:10" x14ac:dyDescent="0.25">
      <c r="E183" s="170">
        <f t="shared" si="933"/>
        <v>0.69917368364541677</v>
      </c>
      <c r="F183" s="170">
        <f t="shared" si="933"/>
        <v>0.7006342873661523</v>
      </c>
      <c r="G183" s="170">
        <f t="shared" si="933"/>
        <v>-0.14236486738174825</v>
      </c>
      <c r="H183" s="139"/>
      <c r="I183" s="86"/>
      <c r="J183" s="79">
        <f t="shared" si="930"/>
        <v>5.1139999999999999</v>
      </c>
    </row>
    <row r="184" spans="5:10" x14ac:dyDescent="0.25">
      <c r="E184" s="170">
        <f t="shared" si="933"/>
        <v>0.86083673520290893</v>
      </c>
      <c r="F184" s="170">
        <f t="shared" si="933"/>
        <v>0.5021235237586662</v>
      </c>
      <c r="G184" s="170">
        <f t="shared" si="933"/>
        <v>-8.265641060061292E-2</v>
      </c>
      <c r="H184" s="139"/>
      <c r="I184" s="86"/>
      <c r="J184" s="79">
        <f t="shared" si="930"/>
        <v>5.1189999999999998</v>
      </c>
    </row>
    <row r="185" spans="5:10" x14ac:dyDescent="0.25">
      <c r="E185" s="170">
        <f t="shared" si="933"/>
        <v>0.90146723281962149</v>
      </c>
      <c r="F185" s="170">
        <f t="shared" si="933"/>
        <v>0.4328473497117864</v>
      </c>
      <c r="G185" s="170">
        <f t="shared" si="933"/>
        <v>-1.3008419225322185E-7</v>
      </c>
      <c r="H185" s="139"/>
      <c r="I185" s="86"/>
      <c r="J185" s="79">
        <f t="shared" si="930"/>
        <v>5.1239999999999997</v>
      </c>
    </row>
    <row r="186" spans="5:10" x14ac:dyDescent="0.25">
      <c r="E186" s="170">
        <f t="shared" si="933"/>
        <v>0.91580392652697895</v>
      </c>
      <c r="F186" s="170">
        <f t="shared" si="933"/>
        <v>0.30160479489668013</v>
      </c>
      <c r="G186" s="170">
        <f t="shared" si="933"/>
        <v>-0.26521258615137272</v>
      </c>
      <c r="H186" s="139"/>
      <c r="I186" s="86"/>
      <c r="J186" s="79">
        <f t="shared" si="930"/>
        <v>5.2140000000000004</v>
      </c>
    </row>
    <row r="187" spans="5:10" x14ac:dyDescent="0.25">
      <c r="E187" s="170">
        <f t="shared" si="933"/>
        <v>0.97877838150980623</v>
      </c>
      <c r="F187" s="170">
        <f t="shared" si="933"/>
        <v>0.18751212674295809</v>
      </c>
      <c r="G187" s="170">
        <f t="shared" si="933"/>
        <v>-8.2656410600613253E-2</v>
      </c>
      <c r="H187" s="139"/>
      <c r="I187" s="86"/>
      <c r="J187" s="79">
        <f t="shared" si="930"/>
        <v>5.2190000000000003</v>
      </c>
    </row>
    <row r="188" spans="5:10" x14ac:dyDescent="0.25">
      <c r="E188" s="170">
        <f t="shared" si="933"/>
        <v>0</v>
      </c>
      <c r="F188" s="170">
        <f t="shared" si="933"/>
        <v>0</v>
      </c>
      <c r="G188" s="170">
        <f t="shared" si="933"/>
        <v>0</v>
      </c>
      <c r="H188" s="139"/>
      <c r="I188" s="86"/>
      <c r="J188" s="79">
        <f t="shared" si="930"/>
        <v>0</v>
      </c>
    </row>
    <row r="189" spans="5:10" x14ac:dyDescent="0.25">
      <c r="E189" s="170">
        <f t="shared" si="933"/>
        <v>0</v>
      </c>
      <c r="F189" s="170">
        <f t="shared" si="933"/>
        <v>0</v>
      </c>
      <c r="G189" s="170">
        <f t="shared" si="933"/>
        <v>0</v>
      </c>
      <c r="H189" s="139"/>
      <c r="I189" s="86"/>
      <c r="J189" s="79">
        <f t="shared" si="930"/>
        <v>0</v>
      </c>
    </row>
    <row r="190" spans="5:10" x14ac:dyDescent="0.25">
      <c r="E190" s="170">
        <f t="shared" si="933"/>
        <v>0</v>
      </c>
      <c r="F190" s="170">
        <f t="shared" si="933"/>
        <v>0</v>
      </c>
      <c r="G190" s="170">
        <f t="shared" si="933"/>
        <v>0</v>
      </c>
      <c r="H190" s="139"/>
      <c r="I190" s="86"/>
      <c r="J190" s="79">
        <f t="shared" si="930"/>
        <v>0</v>
      </c>
    </row>
    <row r="191" spans="5:10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</row>
    <row r="192" spans="5:10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54CDE7C6-3ADE-4B34-A4B7-A38096D5E65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8C65801D-0C24-428B-8559-6C5671CC3A5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1" t="str">
        <f>CONCATENATE(Settings!$C$19," ",Settings!$B$28)</f>
        <v>6.75  Job# --- Assy# --- Post Braze --- yy.mm.dd</v>
      </c>
      <c r="D1" s="991"/>
      <c r="E1" s="991"/>
      <c r="F1" s="991"/>
      <c r="G1" s="991"/>
      <c r="H1" s="991"/>
      <c r="I1" s="991"/>
      <c r="J1" s="991"/>
      <c r="K1" s="991"/>
      <c r="M1" s="107" t="s">
        <v>319</v>
      </c>
      <c r="N1" s="1308" t="s">
        <v>321</v>
      </c>
      <c r="O1" s="1308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4" t="str">
        <f>Settings!B28</f>
        <v xml:space="preserve"> Job# --- Assy# --- Post Braze --- yy.mm.dd</v>
      </c>
      <c r="C2" s="1305"/>
      <c r="D2" s="1305"/>
      <c r="E2" s="1305"/>
      <c r="F2" s="1305"/>
      <c r="G2" s="1305"/>
      <c r="H2" s="1305"/>
      <c r="I2" s="1305"/>
      <c r="J2" s="1305"/>
      <c r="K2" s="1306"/>
      <c r="L2" s="990" t="str" cm="1">
        <f t="array" ref="L2">IF(OR($K$9:$K$150="Undefined"),"Undefined Element","")</f>
        <v/>
      </c>
      <c r="M2" s="1301" t="s">
        <v>0</v>
      </c>
      <c r="N2" s="1051" t="s">
        <v>1</v>
      </c>
      <c r="O2" s="1052"/>
      <c r="P2" s="1052"/>
      <c r="Q2" s="1052"/>
      <c r="R2" s="1052"/>
      <c r="S2" s="1052"/>
      <c r="T2" s="1052"/>
      <c r="U2" s="1052"/>
      <c r="V2" s="1052"/>
      <c r="W2" s="1052"/>
      <c r="X2" s="1052"/>
      <c r="Y2" s="1053"/>
      <c r="Z2" s="1051" t="s">
        <v>2</v>
      </c>
      <c r="AA2" s="1052"/>
      <c r="AB2" s="1052"/>
      <c r="AC2" s="1052"/>
      <c r="AD2" s="1052"/>
      <c r="AE2" s="1052"/>
      <c r="AF2" s="1052"/>
      <c r="AG2" s="1052"/>
      <c r="AH2" s="1052"/>
      <c r="AI2" s="1052"/>
      <c r="AJ2" s="1052"/>
      <c r="AK2" s="1052"/>
      <c r="AL2" s="1052"/>
      <c r="AM2" s="1052"/>
      <c r="AN2" s="1052"/>
      <c r="AO2" s="1052"/>
      <c r="AP2" s="1052"/>
      <c r="AQ2" s="1077"/>
      <c r="AS2" s="1059" t="s">
        <v>44</v>
      </c>
      <c r="AT2" s="1060"/>
      <c r="AV2" s="1298" t="str">
        <f>M2</f>
        <v>CS-Name</v>
      </c>
      <c r="AW2" s="1277"/>
      <c r="AX2" s="1277"/>
      <c r="AY2" s="1277"/>
      <c r="AZ2" s="1277"/>
      <c r="BA2" s="1277"/>
      <c r="BB2" s="1277"/>
      <c r="BC2" s="1278"/>
      <c r="BF2" s="1270" t="s">
        <v>322</v>
      </c>
      <c r="BG2" s="1271"/>
      <c r="BH2" s="1271"/>
      <c r="BI2" s="1271"/>
      <c r="BJ2" s="1271"/>
      <c r="BK2" s="1272"/>
      <c r="BM2" s="1260" t="s">
        <v>279</v>
      </c>
      <c r="BN2" s="982"/>
      <c r="BO2" s="982"/>
      <c r="BP2" s="983"/>
      <c r="BR2" s="1260" t="s">
        <v>279</v>
      </c>
      <c r="BS2" s="982"/>
      <c r="BT2" s="982"/>
      <c r="BU2" s="98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7"/>
      <c r="C3" s="998"/>
      <c r="D3" s="998"/>
      <c r="E3" s="998"/>
      <c r="F3" s="998"/>
      <c r="G3" s="998"/>
      <c r="H3" s="998"/>
      <c r="I3" s="998"/>
      <c r="J3" s="998"/>
      <c r="K3" s="999"/>
      <c r="L3" s="990"/>
      <c r="M3" s="1302"/>
      <c r="N3" s="1054"/>
      <c r="O3" s="1055"/>
      <c r="P3" s="1055"/>
      <c r="Q3" s="1055"/>
      <c r="R3" s="1055"/>
      <c r="S3" s="1055"/>
      <c r="T3" s="1055"/>
      <c r="U3" s="1055"/>
      <c r="V3" s="1055"/>
      <c r="W3" s="1055"/>
      <c r="X3" s="1055"/>
      <c r="Y3" s="1056"/>
      <c r="Z3" s="1099"/>
      <c r="AA3" s="1085"/>
      <c r="AB3" s="1085"/>
      <c r="AC3" s="1085"/>
      <c r="AD3" s="1085"/>
      <c r="AE3" s="1085"/>
      <c r="AF3" s="1085"/>
      <c r="AG3" s="1085"/>
      <c r="AH3" s="1085"/>
      <c r="AI3" s="1085"/>
      <c r="AJ3" s="1085"/>
      <c r="AK3" s="1085"/>
      <c r="AL3" s="1085"/>
      <c r="AM3" s="1085"/>
      <c r="AN3" s="1085"/>
      <c r="AO3" s="1085"/>
      <c r="AP3" s="1085"/>
      <c r="AQ3" s="1100"/>
      <c r="AS3" s="466">
        <v>100</v>
      </c>
      <c r="AT3" s="463" t="s">
        <v>45</v>
      </c>
      <c r="AV3" s="1299"/>
      <c r="AW3" s="1279"/>
      <c r="AX3" s="1279"/>
      <c r="AY3" s="1279"/>
      <c r="AZ3" s="1279"/>
      <c r="BA3" s="1279"/>
      <c r="BB3" s="1279"/>
      <c r="BC3" s="128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8" t="s">
        <v>316</v>
      </c>
      <c r="C4" s="872"/>
      <c r="D4" s="872"/>
      <c r="E4" s="872"/>
      <c r="F4" s="872"/>
      <c r="G4" s="872"/>
      <c r="H4" s="872"/>
      <c r="I4" s="872"/>
      <c r="J4" s="872"/>
      <c r="K4" s="1307"/>
      <c r="L4" s="990"/>
      <c r="M4" s="1302"/>
      <c r="N4" s="1018" t="s">
        <v>3</v>
      </c>
      <c r="O4" s="1013"/>
      <c r="P4" s="1013"/>
      <c r="Q4" s="1012" t="s">
        <v>4</v>
      </c>
      <c r="R4" s="1013"/>
      <c r="S4" s="1034"/>
      <c r="T4" s="1028" t="str">
        <f>N4</f>
        <v>Cartesian Coordinates</v>
      </c>
      <c r="U4" s="995"/>
      <c r="V4" s="1029"/>
      <c r="W4" s="995" t="str">
        <f>Q4</f>
        <v>Polar XY; Cartesian Z</v>
      </c>
      <c r="X4" s="995"/>
      <c r="Y4" s="996"/>
      <c r="Z4" s="1309" t="s">
        <v>3</v>
      </c>
      <c r="AA4" s="1284"/>
      <c r="AB4" s="1284"/>
      <c r="AC4" s="1284"/>
      <c r="AD4" s="1284"/>
      <c r="AE4" s="1284"/>
      <c r="AF4" s="1284"/>
      <c r="AG4" s="1283" t="s">
        <v>31</v>
      </c>
      <c r="AH4" s="1284"/>
      <c r="AI4" s="1284"/>
      <c r="AJ4" s="1285"/>
      <c r="AK4" s="1263" t="s">
        <v>32</v>
      </c>
      <c r="AL4" s="1264"/>
      <c r="AM4" s="1264"/>
      <c r="AN4" s="1264"/>
      <c r="AO4" s="1264"/>
      <c r="AP4" s="1264"/>
      <c r="AQ4" s="1265"/>
      <c r="AS4" s="467">
        <v>125</v>
      </c>
      <c r="AT4" s="464" t="s">
        <v>46</v>
      </c>
      <c r="AV4" s="1299"/>
      <c r="AW4" s="1281"/>
      <c r="AX4" s="1281"/>
      <c r="AY4" s="1281"/>
      <c r="AZ4" s="1282"/>
      <c r="BA4" s="1281" t="str">
        <f>Z2</f>
        <v>PDC Orientation</v>
      </c>
      <c r="BB4" s="1281"/>
      <c r="BC4" s="128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7" t="s">
        <v>381</v>
      </c>
      <c r="IF4" s="897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7" t="str">
        <f>CONCATENATE(B7," ; ",E7," ; ",H8)</f>
        <v>Absolute-Point ; Incremental-Vector Point ; Radius</v>
      </c>
      <c r="C5" s="998"/>
      <c r="D5" s="998"/>
      <c r="E5" s="998"/>
      <c r="F5" s="998"/>
      <c r="G5" s="998"/>
      <c r="H5" s="998"/>
      <c r="I5" s="998"/>
      <c r="J5" s="998"/>
      <c r="K5" s="999"/>
      <c r="L5" s="843"/>
      <c r="M5" s="1302"/>
      <c r="N5" s="1039" t="s">
        <v>5</v>
      </c>
      <c r="O5" s="977"/>
      <c r="P5" s="977"/>
      <c r="Q5" s="976" t="s">
        <v>6</v>
      </c>
      <c r="R5" s="977"/>
      <c r="S5" s="978"/>
      <c r="T5" s="1044" t="str">
        <f>CONCATENATE("Relative to ",M8,"'s θ &amp; Z; Z Axis")</f>
        <v>Relative to 's θ &amp; Z; Z Axis</v>
      </c>
      <c r="U5" s="1020"/>
      <c r="V5" s="1071"/>
      <c r="W5" s="1020" t="str">
        <f>CONCATENATE("Relative to ",M8,"'s θ &amp; Z; Z Axis")</f>
        <v>Relative to 's θ &amp; Z; Z Axis</v>
      </c>
      <c r="X5" s="1020"/>
      <c r="Y5" s="1030"/>
      <c r="Z5" s="1019" t="str">
        <f>N5</f>
        <v>Relative to World_CS</v>
      </c>
      <c r="AA5" s="1020"/>
      <c r="AB5" s="1020"/>
      <c r="AC5" s="1020"/>
      <c r="AD5" s="1020"/>
      <c r="AE5" s="1020"/>
      <c r="AF5" s="1020"/>
      <c r="AG5" s="1044" t="str">
        <f>N5</f>
        <v>Relative to World_CS</v>
      </c>
      <c r="AH5" s="1020"/>
      <c r="AI5" s="1020"/>
      <c r="AJ5" s="1045"/>
      <c r="AK5" s="1082" t="s">
        <v>7</v>
      </c>
      <c r="AL5" s="977"/>
      <c r="AM5" s="977"/>
      <c r="AN5" s="977"/>
      <c r="AO5" s="977"/>
      <c r="AP5" s="977"/>
      <c r="AQ5" s="978"/>
      <c r="AS5" s="171">
        <f>(((AS4*12)/60)/AS3)</f>
        <v>0.25</v>
      </c>
      <c r="AT5" s="464" t="s">
        <v>47</v>
      </c>
      <c r="AV5" s="1299"/>
      <c r="AW5" s="1028" t="str">
        <f>W4</f>
        <v>Polar XY; Cartesian Z</v>
      </c>
      <c r="AX5" s="995"/>
      <c r="AY5" s="995"/>
      <c r="AZ5" s="1239" t="s">
        <v>104</v>
      </c>
      <c r="BA5" s="995" t="str">
        <f>AK4</f>
        <v>Polar Z Projection → XZ Plane</v>
      </c>
      <c r="BB5" s="995"/>
      <c r="BC5" s="1104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0"/>
      <c r="C6" s="1001"/>
      <c r="D6" s="1001"/>
      <c r="E6" s="1001"/>
      <c r="F6" s="1001"/>
      <c r="G6" s="1001"/>
      <c r="H6" s="1001"/>
      <c r="I6" s="1001"/>
      <c r="J6" s="1001"/>
      <c r="K6" s="1002"/>
      <c r="L6" s="990" t="str" cm="1">
        <f t="array" ref="L6">IF(OR($K$9:$K$150="Inactive"),"Inactive Element","")</f>
        <v/>
      </c>
      <c r="M6" s="1302"/>
      <c r="N6" s="1035" t="s">
        <v>8</v>
      </c>
      <c r="O6" s="1037" t="s">
        <v>9</v>
      </c>
      <c r="P6" s="974" t="s">
        <v>10</v>
      </c>
      <c r="Q6" s="1040" t="s">
        <v>11</v>
      </c>
      <c r="R6" s="1041"/>
      <c r="S6" s="1031" t="s">
        <v>10</v>
      </c>
      <c r="T6" s="1067" t="str">
        <f>N6</f>
        <v>X</v>
      </c>
      <c r="U6" s="1069" t="str">
        <f>O6</f>
        <v>Y</v>
      </c>
      <c r="V6" s="1026" t="str">
        <f>P6</f>
        <v>Z</v>
      </c>
      <c r="W6" s="1016" t="str">
        <f>Q6</f>
        <v>Projected XY</v>
      </c>
      <c r="X6" s="1017"/>
      <c r="Y6" s="1065" t="str">
        <f>S6</f>
        <v>Z</v>
      </c>
      <c r="Z6" s="1047" t="s">
        <v>12</v>
      </c>
      <c r="AA6" s="1007"/>
      <c r="AB6" s="1007"/>
      <c r="AC6" s="1048"/>
      <c r="AD6" s="1012" t="s">
        <v>13</v>
      </c>
      <c r="AE6" s="1013"/>
      <c r="AF6" s="1013"/>
      <c r="AG6" s="1046" t="s">
        <v>7</v>
      </c>
      <c r="AH6" s="1013"/>
      <c r="AI6" s="1012" t="s">
        <v>14</v>
      </c>
      <c r="AJ6" s="1034"/>
      <c r="AK6" s="1028" t="str">
        <f>AD6</f>
        <v>Unit Vector</v>
      </c>
      <c r="AL6" s="995"/>
      <c r="AM6" s="1104"/>
      <c r="AN6" s="34" t="s">
        <v>15</v>
      </c>
      <c r="AO6" s="35" t="s">
        <v>16</v>
      </c>
      <c r="AP6" s="737" t="s">
        <v>17</v>
      </c>
      <c r="AQ6" s="1310" t="s">
        <v>108</v>
      </c>
      <c r="AS6" s="172">
        <f>(AS5/360)</f>
        <v>6.9444444444444447E-4</v>
      </c>
      <c r="AT6" s="465" t="s">
        <v>48</v>
      </c>
      <c r="AV6" s="1299"/>
      <c r="AW6" s="1044" t="str">
        <f>W5</f>
        <v>Relative to 's θ &amp; Z; Z Axis</v>
      </c>
      <c r="AX6" s="1020"/>
      <c r="AY6" s="1020"/>
      <c r="AZ6" s="1295"/>
      <c r="BA6" s="1020" t="str">
        <f>AK5</f>
        <v>Vector Along X Axis</v>
      </c>
      <c r="BB6" s="1020"/>
      <c r="BC6" s="1045"/>
      <c r="BD6" s="468"/>
      <c r="BF6" s="461">
        <f>SUM(AZ9:AZ150)</f>
        <v>0</v>
      </c>
      <c r="BG6" s="1288" t="s">
        <v>318</v>
      </c>
      <c r="BH6" s="1288"/>
      <c r="BI6" s="1288"/>
      <c r="BJ6" s="1288"/>
      <c r="BK6" s="1288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1" t="s">
        <v>40</v>
      </c>
      <c r="C7" s="1022"/>
      <c r="D7" s="1023"/>
      <c r="E7" s="1024" t="s">
        <v>41</v>
      </c>
      <c r="F7" s="1022"/>
      <c r="G7" s="1025"/>
      <c r="H7" s="895" t="s">
        <v>314</v>
      </c>
      <c r="I7" s="915"/>
      <c r="J7" s="896"/>
      <c r="K7" s="539"/>
      <c r="L7" s="990"/>
      <c r="M7" s="1303"/>
      <c r="N7" s="1036"/>
      <c r="O7" s="1038"/>
      <c r="P7" s="975"/>
      <c r="Q7" s="36" t="s">
        <v>18</v>
      </c>
      <c r="R7" s="2" t="s">
        <v>19</v>
      </c>
      <c r="S7" s="1032"/>
      <c r="T7" s="1068"/>
      <c r="U7" s="1070"/>
      <c r="V7" s="1027"/>
      <c r="W7" s="37" t="str">
        <f>Q7</f>
        <v>&lt; θ°</v>
      </c>
      <c r="X7" s="27" t="str">
        <f>R7</f>
        <v>r</v>
      </c>
      <c r="Y7" s="1066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1"/>
      <c r="AS7" s="1286" t="s">
        <v>54</v>
      </c>
      <c r="AT7" s="1261" t="s">
        <v>53</v>
      </c>
      <c r="AV7" s="1299"/>
      <c r="AW7" s="1294" t="str">
        <f>$W$6</f>
        <v>Projected XY</v>
      </c>
      <c r="AX7" s="1017"/>
      <c r="AY7" s="1296" t="str">
        <f>$Y$6</f>
        <v>Z</v>
      </c>
      <c r="AZ7" s="1295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8"/>
      <c r="BH7" s="1288"/>
      <c r="BI7" s="1288"/>
      <c r="BJ7" s="1288"/>
      <c r="BK7" s="1288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1" t="s">
        <v>33</v>
      </c>
      <c r="IH7" s="1231" t="s">
        <v>385</v>
      </c>
      <c r="II7" s="917" t="s">
        <v>333</v>
      </c>
      <c r="IJ7" s="918"/>
      <c r="IK7" s="918"/>
      <c r="IL7" s="915"/>
      <c r="IM7" s="915"/>
      <c r="IN7" s="915"/>
      <c r="IO7" s="896"/>
      <c r="IP7" s="895" t="s">
        <v>329</v>
      </c>
      <c r="IQ7" s="915"/>
      <c r="IR7" s="915"/>
      <c r="IS7" s="915"/>
      <c r="IT7" s="915"/>
      <c r="IU7" s="895" t="s">
        <v>328</v>
      </c>
      <c r="IV7" s="915"/>
      <c r="IW7" s="915"/>
      <c r="IX7" s="915"/>
      <c r="IY7" s="896"/>
      <c r="JA7" s="784"/>
      <c r="JB7" s="1259" t="s">
        <v>364</v>
      </c>
      <c r="JC7" s="979"/>
      <c r="JD7" s="979"/>
      <c r="JE7" s="98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0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7"/>
      <c r="AT8" s="1262"/>
      <c r="AV8" s="1300"/>
      <c r="AW8" s="46" t="str">
        <f>$W$7</f>
        <v>&lt; θ°</v>
      </c>
      <c r="AX8" s="27" t="str">
        <f>$X$7</f>
        <v>r</v>
      </c>
      <c r="AY8" s="1297"/>
      <c r="AZ8" s="1240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3"/>
      <c r="IH8" s="1232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1" t="s">
        <v>365</v>
      </c>
      <c r="JC19" s="982"/>
      <c r="JD19" s="982"/>
      <c r="JE19" s="982"/>
      <c r="JF19" s="982"/>
      <c r="JG19" s="982"/>
      <c r="JH19" s="982"/>
      <c r="JI19" s="98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4" t="s">
        <v>369</v>
      </c>
      <c r="JC20" s="985"/>
      <c r="JD20" s="985"/>
      <c r="JE20" s="985"/>
      <c r="JF20" s="1234" t="s">
        <v>370</v>
      </c>
      <c r="JG20" s="1235"/>
      <c r="JH20" s="1235"/>
      <c r="JI20" s="1236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6"/>
      <c r="JC21" s="987"/>
      <c r="JD21" s="987"/>
      <c r="JE21" s="987"/>
      <c r="JF21" s="1237" t="s">
        <v>358</v>
      </c>
      <c r="JG21" s="1238"/>
      <c r="JH21" s="988" t="s">
        <v>371</v>
      </c>
      <c r="JI21" s="989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2" t="str">
        <f>$W$6</f>
        <v>Projected XY</v>
      </c>
      <c r="AX152" s="1293"/>
      <c r="AY152" s="1275" t="str">
        <f>$Y$6</f>
        <v>Z</v>
      </c>
      <c r="AZ152" s="127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6"/>
      <c r="AZ153" s="127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3" t="s">
        <v>42</v>
      </c>
      <c r="C157" s="1004"/>
      <c r="D157" s="1004"/>
      <c r="E157" s="1004"/>
      <c r="F157" s="1004"/>
      <c r="G157" s="1004"/>
      <c r="H157" s="1004"/>
      <c r="I157" s="1004"/>
      <c r="J157" s="1004"/>
      <c r="K157" s="1005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6"/>
      <c r="C158" s="1007"/>
      <c r="D158" s="1007"/>
      <c r="E158" s="1007"/>
      <c r="F158" s="1007"/>
      <c r="G158" s="1007"/>
      <c r="H158" s="1007"/>
      <c r="I158" s="1007"/>
      <c r="J158" s="1007"/>
      <c r="K158" s="1008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09"/>
      <c r="C159" s="1010"/>
      <c r="D159" s="1010"/>
      <c r="E159" s="1010"/>
      <c r="F159" s="1010"/>
      <c r="G159" s="1010"/>
      <c r="H159" s="1010"/>
      <c r="I159" s="1010"/>
      <c r="J159" s="1010"/>
      <c r="K159" s="1011"/>
      <c r="AQ159" s="166"/>
      <c r="BD159" s="468"/>
    </row>
    <row r="160" spans="1:259" ht="15" customHeight="1" x14ac:dyDescent="0.25">
      <c r="B160" s="997" t="str">
        <f>CONCATENATE(B162," ; ",E162," ; ",H163)</f>
        <v>Absolute-Point ; Incremental-Vector Point ; Radius</v>
      </c>
      <c r="C160" s="998"/>
      <c r="D160" s="998"/>
      <c r="E160" s="998"/>
      <c r="F160" s="998"/>
      <c r="G160" s="998"/>
      <c r="H160" s="998"/>
      <c r="I160" s="998"/>
      <c r="J160" s="998"/>
      <c r="K160" s="999"/>
      <c r="AQ160" s="166"/>
      <c r="BD160" s="468"/>
    </row>
    <row r="161" spans="2:56" ht="15" customHeight="1" x14ac:dyDescent="0.25">
      <c r="B161" s="1000"/>
      <c r="C161" s="1001"/>
      <c r="D161" s="1001"/>
      <c r="E161" s="1001"/>
      <c r="F161" s="1001"/>
      <c r="G161" s="1001"/>
      <c r="H161" s="1001"/>
      <c r="I161" s="1001"/>
      <c r="J161" s="1001"/>
      <c r="K161" s="1002"/>
      <c r="AQ161" s="166"/>
      <c r="BD161" s="468"/>
    </row>
    <row r="162" spans="2:56" ht="15" customHeight="1" x14ac:dyDescent="0.25">
      <c r="B162" s="1021" t="s">
        <v>40</v>
      </c>
      <c r="C162" s="1022"/>
      <c r="D162" s="1023"/>
      <c r="E162" s="1024" t="s">
        <v>41</v>
      </c>
      <c r="F162" s="1022"/>
      <c r="G162" s="1025"/>
      <c r="H162" s="895" t="s">
        <v>314</v>
      </c>
      <c r="I162" s="915"/>
      <c r="J162" s="896"/>
      <c r="K162" s="539"/>
      <c r="M162" s="1200" t="s">
        <v>313</v>
      </c>
      <c r="N162" s="1289"/>
      <c r="O162" s="1266" t="s">
        <v>292</v>
      </c>
      <c r="P162" s="1267"/>
      <c r="Q162" s="1268"/>
      <c r="R162" s="1269" t="s">
        <v>41</v>
      </c>
      <c r="S162" s="1267"/>
      <c r="T162" s="126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0"/>
      <c r="N163" s="1291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1.1080000000000001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1.113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1.123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1.2130000000000001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1.218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2.1070000000000002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2.1120000000000001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2.117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2.1219999999999999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2.2120000000000002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2.2170000000000001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3.1030000000000002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3.1059999999999999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3.1110000000000002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3.1160000000000001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3.121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3.2109999999999999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3.2160000000000002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4.1020000000000003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4.1050000000000004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4.1100000000000003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4.1150000000000002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4.12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4.21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4.2149999999999999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5.109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5.1139999999999999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5.1189999999999998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5.1239999999999997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5.2140000000000004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5.2190000000000003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 t="str">
        <f>Assy.Model!$M43</f>
        <v/>
      </c>
      <c r="N198" s="869" t="str">
        <f>Assy.Model!K43</f>
        <v/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 t="str">
        <f>Assy.Model!$M44</f>
        <v/>
      </c>
      <c r="N199" s="869" t="str">
        <f>Assy.Model!K44</f>
        <v/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 t="str">
        <f>Assy.Model!$M45</f>
        <v/>
      </c>
      <c r="N200" s="869" t="str">
        <f>Assy.Model!K45</f>
        <v/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2023-03-29T13:00:56Z</dcterms:modified>
</cp:coreProperties>
</file>