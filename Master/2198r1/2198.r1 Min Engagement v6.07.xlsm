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8\"/>
    </mc:Choice>
  </mc:AlternateContent>
  <xr:revisionPtr revIDLastSave="0" documentId="13_ncr:1_{3C54BEBD-1FA2-4D67-B835-71C86A0C5D5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JA9" i="1" a="1"/>
  <c r="JA9" i="1" s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73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IQ50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4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50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AQ11" i="1"/>
  <c r="IP49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IL50" i="1" s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46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49" i="1" l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IS49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IF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IT50" i="1" s="1"/>
  <c r="AL11" i="1"/>
  <c r="AN11" i="1" s="1"/>
  <c r="IT49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IS5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4" i="1" l="1"/>
  <c r="IX50" i="1"/>
  <c r="IF50" i="1" s="1"/>
  <c r="IS34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<sst xmlns="http://schemas.openxmlformats.org/spreadsheetml/2006/main" count="734" uniqueCount="391">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</sst>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F19" sqref="F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42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1.11's θ about Z Axis</v>
      </c>
      <c r="U5" s="1136"/>
      <c r="V5" s="1137"/>
      <c r="W5" s="1136" t="str">
        <f>CONCATENATE("Relative to ",M8,"'s θ about Z Axis")</f>
        <v>Relative to 1.11's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89.970000004331467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-7.4500224692677655E-2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0.2950008897226834</v>
      </c>
      <c r="D9" s="704">
        <v>-0.23810071811176584</v>
      </c>
      <c r="E9" s="705">
        <v>-0.96592583607220739</v>
      </c>
      <c r="F9" s="703">
        <v>-2.2557559682354424E-2</v>
      </c>
      <c r="G9" s="706">
        <v>0.25783412440827963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0.2950008897226834</v>
      </c>
      <c r="P9" s="625">
        <f t="shared" ref="P9:P40" si="4">IF(M9="","",D9)</f>
        <v>-0.23810071811176584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0.2950008897226834</v>
      </c>
      <c r="S9" s="626">
        <f>IF(M9="","",P9)</f>
        <v>-0.23810071811176584</v>
      </c>
      <c r="T9" s="627">
        <f>IF(M9="","",X9*COS(RADIANS(W9)))</f>
        <v>0.29500084928461157</v>
      </c>
      <c r="U9" s="624">
        <f>IF(M9="","",X9*SIN(RADIANS(W9)))</f>
        <v>1.5446207529984621E-4</v>
      </c>
      <c r="V9" s="628">
        <f>IF(M9="","",Y9)</f>
        <v>-0.23810071811176584</v>
      </c>
      <c r="W9" s="583">
        <f t="shared" ref="W9:W14" si="5">IF(M9="","",IF(Q9-$Q$8&lt;0,360+Q9-$Q$8,Q9-$Q$8))</f>
        <v>2.999999566853262E-2</v>
      </c>
      <c r="X9" s="629">
        <f>IF(M9="","",R9)</f>
        <v>0.2950008897226834</v>
      </c>
      <c r="Y9" s="630">
        <f>IF(M9="","",S9)</f>
        <v>-0.23810071811176584</v>
      </c>
      <c r="Z9" s="623">
        <f t="shared" ref="Z9:Z40" si="6">IF(M9="","",-E9)</f>
        <v>0.96592583607220739</v>
      </c>
      <c r="AA9" s="624">
        <f t="shared" ref="AA9:AA40" si="7">IF(M9="","",-F9)</f>
        <v>2.2557559682354424E-2</v>
      </c>
      <c r="AB9" s="624">
        <f t="shared" ref="AB9:AB40" si="8">IF(M9="","",-G9)</f>
        <v>-0.25783412440827963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2.2557559682354424E-2</v>
      </c>
      <c r="AF9" s="625">
        <f>IF(M9="","",AB9*(1/SQRT(Z9^2+AA9^2+AB9^2)))</f>
        <v>-0.25783412440827963</v>
      </c>
      <c r="AG9" s="599">
        <f>IF(M9="","",DEGREES(ATAN2(-AF9,AE9)))</f>
        <v>4.999999278089426</v>
      </c>
      <c r="AH9" s="600">
        <f>IF(M9="","",DEGREES(ACOS(AD9)))</f>
        <v>14.999997834268255</v>
      </c>
      <c r="AI9" s="583">
        <f>IF(M9="","",DEGREES(-ACOS(-AF9)))</f>
        <v>-75.058414528502141</v>
      </c>
      <c r="AJ9" s="601">
        <f>IF(M9="","",DEGREES(ATAN2(-AE9,AD9)))</f>
        <v>91.337802589549781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2.2557559682354424E-2</v>
      </c>
      <c r="AM9" s="626">
        <f>IF(M9="","",AF9)</f>
        <v>-0.25783412440827963</v>
      </c>
      <c r="AN9" s="581">
        <f>IF(M9="","",DEGREES(ATAN2(-AM9,AL9)))</f>
        <v>4.999999278089426</v>
      </c>
      <c r="AO9" s="582">
        <f>IF(ROUND(IF(M9="",0,DEGREES(ACOS(AK9))),4)=90,0,IF(M9="","",DEGREES(ACOS(AK9))))</f>
        <v>14.999997834268255</v>
      </c>
      <c r="AP9" s="781">
        <f>IF(M9="","",DEGREES(ATAN2(AK9,AL9)))</f>
        <v>1.3378025895497809</v>
      </c>
      <c r="AQ9" s="584">
        <f t="shared" ref="AQ9:AQ40" si="9">IF(M9="","",DEGREES(ATAN(($AS$5*SIN(RADIANS(90)))/(($X9*2*PI())-($AS$5*COS(RADIANS(90)))))))</f>
        <v>7.6815074874289211</v>
      </c>
      <c r="AS9" s="51">
        <f>IF(M9="","",W9)</f>
        <v>2.999999566853262E-2</v>
      </c>
      <c r="AT9" s="71">
        <f t="shared" ref="AT9:AT40" si="10">IF(M9="","",Y9+(((AS9-$AS$9)*$AS$6)*-1))</f>
        <v>-0.23810071811176584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26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0.91840276990275405</v>
      </c>
      <c r="D10" s="709">
        <v>-0.18360055373927009</v>
      </c>
      <c r="E10" s="710">
        <v>-0.96592583607220739</v>
      </c>
      <c r="F10" s="708">
        <v>-2.2557559682354424E-2</v>
      </c>
      <c r="G10" s="711">
        <v>0.25783412440827963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0.91840276990275405</v>
      </c>
      <c r="P10" s="633">
        <f t="shared" si="4"/>
        <v>-0.18360055373927009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0.91840276990275405</v>
      </c>
      <c r="S10" s="634">
        <f t="shared" ref="S10:S105" si="80">IF(M10="","",P10)</f>
        <v>-0.18360055373927009</v>
      </c>
      <c r="T10" s="635">
        <f t="shared" ref="T10:T105" si="81">IF(M10="","",X10*COS(RADIANS(W10)))</f>
        <v>0.91840264401012628</v>
      </c>
      <c r="U10" s="629">
        <f t="shared" ref="U10:U105" si="82">IF(M10="","",X10*SIN(RADIANS(W10)))</f>
        <v>4.8087447442501273E-4</v>
      </c>
      <c r="V10" s="636">
        <f>IF(M10="","",Y10)</f>
        <v>-0.18360055373927009</v>
      </c>
      <c r="W10" s="585">
        <f t="shared" si="5"/>
        <v>2.999999566853262E-2</v>
      </c>
      <c r="X10" s="629">
        <f t="shared" ref="X10:X105" si="83">IF(M10="","",R10)</f>
        <v>0.91840276990275405</v>
      </c>
      <c r="Y10" s="630">
        <f>IF(M10="","",S10)</f>
        <v>-0.18360055373927009</v>
      </c>
      <c r="Z10" s="632">
        <f t="shared" si="6"/>
        <v>0.96592583607220739</v>
      </c>
      <c r="AA10" s="629">
        <f t="shared" si="7"/>
        <v>2.2557559682354424E-2</v>
      </c>
      <c r="AB10" s="629">
        <f t="shared" si="8"/>
        <v>-0.25783412440827963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2.2557559682354424E-2</v>
      </c>
      <c r="AF10" s="633">
        <f t="shared" ref="AF10:AF105" si="86">IF(M10="","",AB10*(1/SQRT(Z10^2+AA10^2+AB10^2)))</f>
        <v>-0.25783412440827963</v>
      </c>
      <c r="AG10" s="602">
        <f t="shared" ref="AG10:AG105" si="87">IF(M10="","",DEGREES(ATAN2(-AF10,AE10)))</f>
        <v>4.999999278089426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-75.058414528502141</v>
      </c>
      <c r="AJ10" s="586">
        <f t="shared" ref="AJ10:AJ105" si="90">IF(M10="","",DEGREES(ATAN2(-AE10,AD10)))</f>
        <v>91.337802589549781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2.2557559682354424E-2</v>
      </c>
      <c r="AM10" s="634">
        <f t="shared" ref="AM10:AM105" si="92">IF(M10="","",AF10)</f>
        <v>-0.25783412440827963</v>
      </c>
      <c r="AN10" s="581">
        <f t="shared" ref="AN10:AN105" si="93">IF(M10="","",DEGREES(ATAN2(-AM10,AL10)))</f>
        <v>4.999999278089426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1.3378025895497809</v>
      </c>
      <c r="AQ10" s="586">
        <f t="shared" si="9"/>
        <v>2.4807219618783893</v>
      </c>
      <c r="AS10" s="52">
        <f>IF($M10="","",IF(AND($W10&lt;($AS$9+180),$W10&gt;($AS$9-180)),$W10,IF($W10&gt;($AS$9+180),$W10-360,IF($W10&lt;($AS$9-180),$W10+360,"Error"))))</f>
        <v>2.999999566853262E-2</v>
      </c>
      <c r="AT10" s="72">
        <f t="shared" si="10"/>
        <v>-0.18360055373927009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16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1.5418046500828246</v>
      </c>
      <c r="D11" s="709">
        <v>-0.12900038906517344</v>
      </c>
      <c r="E11" s="710">
        <v>-0.96592583607220739</v>
      </c>
      <c r="F11" s="708">
        <v>-2.2557559682354407E-2</v>
      </c>
      <c r="G11" s="711">
        <v>0.25783412440827963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1.5418046500828246</v>
      </c>
      <c r="P11" s="633">
        <f t="shared" si="4"/>
        <v>-0.12900038906517344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1.5418046500828246</v>
      </c>
      <c r="S11" s="634">
        <f t="shared" si="80"/>
        <v>-0.12900038906517344</v>
      </c>
      <c r="T11" s="635">
        <f t="shared" si="81"/>
        <v>1.5418044387356411</v>
      </c>
      <c r="U11" s="629">
        <f t="shared" si="82"/>
        <v>8.0728687355017929E-4</v>
      </c>
      <c r="V11" s="636">
        <f t="shared" ref="V11:V105" si="114">IF(M11="","",Y11)</f>
        <v>-0.12900038906517344</v>
      </c>
      <c r="W11" s="585">
        <f t="shared" si="5"/>
        <v>2.999999566853262E-2</v>
      </c>
      <c r="X11" s="629">
        <f>IF(M11="","",R11)</f>
        <v>1.5418046500828246</v>
      </c>
      <c r="Y11" s="630">
        <f>IF(M11="","",S11)</f>
        <v>-0.12900038906517344</v>
      </c>
      <c r="Z11" s="632">
        <f t="shared" si="6"/>
        <v>0.96592583607220739</v>
      </c>
      <c r="AA11" s="629">
        <f t="shared" si="7"/>
        <v>2.2557559682354407E-2</v>
      </c>
      <c r="AB11" s="629">
        <f t="shared" si="8"/>
        <v>-0.25783412440827963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2.2557559682354407E-2</v>
      </c>
      <c r="AF11" s="633">
        <f t="shared" si="86"/>
        <v>-0.25783412440827963</v>
      </c>
      <c r="AG11" s="602">
        <f>IF(M11="","",DEGREES(ATAN2(-AF11,AE11)))</f>
        <v>4.9999992780894216</v>
      </c>
      <c r="AH11" s="603">
        <f t="shared" si="88"/>
        <v>14.999997834268255</v>
      </c>
      <c r="AI11" s="585">
        <f t="shared" si="89"/>
        <v>-75.058414528502141</v>
      </c>
      <c r="AJ11" s="586">
        <f t="shared" si="90"/>
        <v>91.337802589549781</v>
      </c>
      <c r="AK11" s="635">
        <f>IF(M11="","",(COS(RADIANS((90-$Q$8)-W11))*AD11)+(-SIN(RADIANS((90-$Q$8)-W11))*AE11))</f>
        <v>0.96592583607220739</v>
      </c>
      <c r="AL11" s="629">
        <f t="shared" si="91"/>
        <v>2.2557559682354407E-2</v>
      </c>
      <c r="AM11" s="634">
        <f t="shared" si="92"/>
        <v>-0.25783412440827963</v>
      </c>
      <c r="AN11" s="581">
        <f>IF(M11="","",DEGREES(ATAN2(-AM11,AL11)))</f>
        <v>4.9999992780894216</v>
      </c>
      <c r="AO11" s="582">
        <f>IF(ROUND(IF(M11="",0,DEGREES(ACOS(AK11))),4)=90,0,IF(M11="","",DEGREES(ACOS(AK11))))</f>
        <v>14.999997834268255</v>
      </c>
      <c r="AP11" s="585">
        <f t="shared" si="95"/>
        <v>1.33780258954978</v>
      </c>
      <c r="AQ11" s="586">
        <f t="shared" si="9"/>
        <v>1.4782811489053067</v>
      </c>
      <c r="AS11" s="52">
        <f t="shared" ref="AS11:AS42" si="116">IF(G11="","",IF(AND(W11&lt;(AS10+180),W11&gt;(AS10-180)),W11,IF(W11&gt;(AS10+180),W11-360,IF(W11&lt;(AS10-180),W11+360,"Error"))))</f>
        <v>2.999999566853262E-2</v>
      </c>
      <c r="AT11" s="72">
        <f t="shared" si="10"/>
        <v>-0.12900038906517344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1.1336469126499785E-3</v>
      </c>
      <c r="C12" s="708">
        <v>2.1651062331732622</v>
      </c>
      <c r="D12" s="709">
        <v>-7.4500224692677655E-2</v>
      </c>
      <c r="E12" s="710">
        <v>-0.96584562048657119</v>
      </c>
      <c r="F12" s="708">
        <v>-8.8362234726935083E-3</v>
      </c>
      <c r="G12" s="711">
        <v>0.258967485491231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1.1336469126499785E-3</v>
      </c>
      <c r="O12" s="629">
        <f t="shared" si="3"/>
        <v>2.1651062331732622</v>
      </c>
      <c r="P12" s="633">
        <f t="shared" si="4"/>
        <v>-7.4500224692677655E-2</v>
      </c>
      <c r="Q12" s="585">
        <f>IF(M12="","",IF(DEGREES(ATAN2(N12,O12))&lt;0,DEGREES(ATAN2(N12,O12))+360,IF(DEGREES(ATAN2(N12,O12))&gt;360,DEGREES(ATAN2(N12,O12))-360,DEGREES(ATAN2(N12,O12)))))</f>
        <v>89.970000004331467</v>
      </c>
      <c r="R12" s="629">
        <f t="shared" si="79"/>
        <v>2.1651065299612942</v>
      </c>
      <c r="S12" s="634">
        <f t="shared" si="80"/>
        <v>-7.4500224692677655E-2</v>
      </c>
      <c r="T12" s="635">
        <f>IF(M12="","",X12*COS(RADIANS(W12)))</f>
        <v>2.1651065299612942</v>
      </c>
      <c r="U12" s="629">
        <f t="shared" si="82"/>
        <v>0</v>
      </c>
      <c r="V12" s="636">
        <f t="shared" si="114"/>
        <v>-7.4500224692677655E-2</v>
      </c>
      <c r="W12" s="585">
        <f>IF(M12="","",IF(Q12-$Q$8&lt;0,360+Q12-$Q$8,Q12-$Q$8))</f>
        <v>0</v>
      </c>
      <c r="X12" s="629">
        <f t="shared" si="83"/>
        <v>2.1651065299612942</v>
      </c>
      <c r="Y12" s="630">
        <f>IF(M12="","",S12)</f>
        <v>-7.4500224692677655E-2</v>
      </c>
      <c r="Z12" s="632">
        <f t="shared" si="6"/>
        <v>0.96584562048657119</v>
      </c>
      <c r="AA12" s="629">
        <f t="shared" si="7"/>
        <v>8.8362234726935083E-3</v>
      </c>
      <c r="AB12" s="629">
        <f t="shared" si="8"/>
        <v>-0.258967485491231</v>
      </c>
      <c r="AC12" s="636">
        <f t="shared" si="84"/>
        <v>1</v>
      </c>
      <c r="AD12" s="637">
        <f t="shared" si="115"/>
        <v>0.96584562048657119</v>
      </c>
      <c r="AE12" s="629">
        <f t="shared" si="85"/>
        <v>8.8362234726935083E-3</v>
      </c>
      <c r="AF12" s="633">
        <f t="shared" si="86"/>
        <v>-0.258967485491231</v>
      </c>
      <c r="AG12" s="602">
        <f t="shared" si="87"/>
        <v>1.954229780359455</v>
      </c>
      <c r="AH12" s="603">
        <f t="shared" si="88"/>
        <v>15.017745215482767</v>
      </c>
      <c r="AI12" s="585">
        <f t="shared" si="89"/>
        <v>-74.991194786701655</v>
      </c>
      <c r="AJ12" s="586">
        <f t="shared" si="90"/>
        <v>90.524166778696213</v>
      </c>
      <c r="AK12" s="635">
        <f t="shared" ref="AK12:AK105" si="211">IF(M12="","",(COS(RADIANS((90-$Q$8)-W12))*AD12)+(-SIN(RADIANS((90-$Q$8)-W12))*AE12))</f>
        <v>0.96584086145567016</v>
      </c>
      <c r="AL12" s="629">
        <f>IF(M12="","",(SIN(RADIANS((90-$Q$8)-W12))*AD12)+(COS(RADIANS((90-$Q$8)-W12))*AE12))</f>
        <v>9.3419377496234066E-3</v>
      </c>
      <c r="AM12" s="634">
        <f t="shared" si="92"/>
        <v>-0.258967485491231</v>
      </c>
      <c r="AN12" s="581">
        <f>IF(M12="","",DEGREES(ATAN2(-AM12,AL12)))</f>
        <v>2.065979855470244</v>
      </c>
      <c r="AO12" s="582">
        <f t="shared" si="94"/>
        <v>15.018797488387246</v>
      </c>
      <c r="AP12" s="585">
        <f t="shared" si="95"/>
        <v>0.55416677436475092</v>
      </c>
      <c r="AQ12" s="586">
        <f t="shared" si="9"/>
        <v>1.05282119518964</v>
      </c>
      <c r="AS12" s="52">
        <f t="shared" si="116"/>
        <v>0</v>
      </c>
      <c r="AT12" s="72">
        <f>IF(M12="","",Y12+(((AS12-$AS$9)*$AS$6)*-1))</f>
        <v>-7.4479391362352279E-2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2.9223709508500634E-2</v>
      </c>
      <c r="C13" s="708">
        <v>2.8378580933905351</v>
      </c>
      <c r="D13" s="709">
        <v>-8.060024309033316E-2</v>
      </c>
      <c r="E13" s="710">
        <v>-0.96307745540324263</v>
      </c>
      <c r="F13" s="708">
        <v>0.11549026541758782</v>
      </c>
      <c r="G13" s="711">
        <v>0.24319501123129628</v>
      </c>
      <c r="H13" s="710">
        <v>0.26600000000000001</v>
      </c>
      <c r="I13" s="708">
        <v>0.52</v>
      </c>
      <c r="J13" s="570">
        <v>1.1160000000000001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 t="str">
        <f>IF($L12=$JH$22,$JH$29,IF($L12=$JI$22,$JI$29,""))</f>
        <v/>
      </c>
      <c r="M13" s="168">
        <f t="shared" si="1"/>
        <v>1.1160000000000001</v>
      </c>
      <c r="N13" s="632">
        <f t="shared" si="2"/>
        <v>2.9223709508500634E-2</v>
      </c>
      <c r="O13" s="629">
        <f t="shared" si="3"/>
        <v>2.8378580933905351</v>
      </c>
      <c r="P13" s="633">
        <f t="shared" si="4"/>
        <v>-8.060024309033316E-2</v>
      </c>
      <c r="Q13" s="585">
        <f t="shared" si="113"/>
        <v>89.410000085185459</v>
      </c>
      <c r="R13" s="629">
        <f t="shared" si="79"/>
        <v>2.8380085594338156</v>
      </c>
      <c r="S13" s="634">
        <f t="shared" si="80"/>
        <v>-8.060024309033316E-2</v>
      </c>
      <c r="T13" s="635">
        <f>IF(M13="","",X13*COS(RADIANS(W13)))</f>
        <v>2.8378730058788104</v>
      </c>
      <c r="U13" s="629">
        <f t="shared" si="82"/>
        <v>-2.7737806761989222E-2</v>
      </c>
      <c r="V13" s="636">
        <f t="shared" si="114"/>
        <v>-8.060024309033316E-2</v>
      </c>
      <c r="W13" s="585">
        <f t="shared" si="5"/>
        <v>359.44000008085402</v>
      </c>
      <c r="X13" s="629">
        <f t="shared" si="83"/>
        <v>2.8380085594338156</v>
      </c>
      <c r="Y13" s="630">
        <f>IF(M13="","",S13)</f>
        <v>-8.060024309033316E-2</v>
      </c>
      <c r="Z13" s="632">
        <f t="shared" si="6"/>
        <v>0.96307745540324263</v>
      </c>
      <c r="AA13" s="629">
        <f t="shared" si="7"/>
        <v>-0.11549026541758782</v>
      </c>
      <c r="AB13" s="629">
        <f t="shared" si="8"/>
        <v>-0.24319501123129628</v>
      </c>
      <c r="AC13" s="636">
        <f t="shared" si="84"/>
        <v>1</v>
      </c>
      <c r="AD13" s="637">
        <f>IF(M13="","",Z13*(1/SQRT(Z13^2+AA13^2+AB13^2)))</f>
        <v>0.96307745540324263</v>
      </c>
      <c r="AE13" s="629">
        <f t="shared" si="85"/>
        <v>-0.11549026541758782</v>
      </c>
      <c r="AF13" s="633">
        <f t="shared" si="86"/>
        <v>-0.24319501123129628</v>
      </c>
      <c r="AG13" s="602">
        <f>IF(M13="","",DEGREES(ATAN2(-AF13,AE13)))</f>
        <v>-25.402457652401573</v>
      </c>
      <c r="AH13" s="603">
        <f t="shared" si="88"/>
        <v>15.618123480036122</v>
      </c>
      <c r="AI13" s="585">
        <f t="shared" si="89"/>
        <v>-75.924810439842901</v>
      </c>
      <c r="AJ13" s="586">
        <f t="shared" si="90"/>
        <v>83.161861527674063</v>
      </c>
      <c r="AK13" s="635">
        <f t="shared" si="211"/>
        <v>0.96421562797950167</v>
      </c>
      <c r="AL13" s="629">
        <f t="shared" si="91"/>
        <v>-0.10556708422754212</v>
      </c>
      <c r="AM13" s="634">
        <f t="shared" si="92"/>
        <v>-0.24319501123129628</v>
      </c>
      <c r="AN13" s="581">
        <f t="shared" si="93"/>
        <v>-23.464897551347971</v>
      </c>
      <c r="AO13" s="582">
        <f t="shared" si="94"/>
        <v>15.37403944722319</v>
      </c>
      <c r="AP13" s="585">
        <f t="shared" si="95"/>
        <v>-6.2481385575114512</v>
      </c>
      <c r="AQ13" s="586">
        <f t="shared" si="9"/>
        <v>0.80323129226591972</v>
      </c>
      <c r="AS13" s="52">
        <f t="shared" si="116"/>
        <v>-0.55999991914598013</v>
      </c>
      <c r="AT13" s="72">
        <f t="shared" si="10"/>
        <v>-8.0190520927267528E-2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1.1160000000000001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9.8703276329655254E-2</v>
      </c>
      <c r="C14" s="708">
        <v>3.533632414500977</v>
      </c>
      <c r="D14" s="709">
        <v>-0.46740140968265165</v>
      </c>
      <c r="E14" s="710">
        <v>-0.94449302702146609</v>
      </c>
      <c r="F14" s="708">
        <v>0.26389416185295367</v>
      </c>
      <c r="G14" s="711">
        <v>0.19568544464971172</v>
      </c>
      <c r="H14" s="710">
        <v>0.314</v>
      </c>
      <c r="I14" s="708">
        <v>0.52</v>
      </c>
      <c r="J14" s="570">
        <v>1.1220000000000001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1.1220000000000001</v>
      </c>
      <c r="N14" s="632">
        <f t="shared" si="2"/>
        <v>9.8703276329655254E-2</v>
      </c>
      <c r="O14" s="629">
        <f t="shared" si="3"/>
        <v>3.533632414500977</v>
      </c>
      <c r="P14" s="633">
        <f t="shared" si="4"/>
        <v>-0.46740140968265165</v>
      </c>
      <c r="Q14" s="585">
        <f t="shared" si="113"/>
        <v>88.400000231011376</v>
      </c>
      <c r="R14" s="629">
        <f t="shared" si="79"/>
        <v>3.5350106615921559</v>
      </c>
      <c r="S14" s="634">
        <f t="shared" si="80"/>
        <v>-0.46740140968265165</v>
      </c>
      <c r="T14" s="635">
        <f t="shared" si="81"/>
        <v>3.5336836110232435</v>
      </c>
      <c r="U14" s="629">
        <f t="shared" si="82"/>
        <v>-9.6853057545659219E-2</v>
      </c>
      <c r="V14" s="636">
        <f t="shared" si="114"/>
        <v>-0.46740140968265165</v>
      </c>
      <c r="W14" s="585">
        <f t="shared" si="5"/>
        <v>358.43000022667991</v>
      </c>
      <c r="X14" s="629">
        <f t="shared" si="83"/>
        <v>3.5350106615921559</v>
      </c>
      <c r="Y14" s="630">
        <f t="shared" ref="Y14:Y75" si="223">IF(M14="","",S14)</f>
        <v>-0.46740140968265165</v>
      </c>
      <c r="Z14" s="632">
        <f t="shared" si="6"/>
        <v>0.94449302702146609</v>
      </c>
      <c r="AA14" s="629">
        <f t="shared" si="7"/>
        <v>-0.26389416185295367</v>
      </c>
      <c r="AB14" s="629">
        <f t="shared" si="8"/>
        <v>-0.19568544464971172</v>
      </c>
      <c r="AC14" s="636">
        <f t="shared" si="84"/>
        <v>1</v>
      </c>
      <c r="AD14" s="637">
        <f>IF(M14="","",Z14*(1/SQRT(Z14^2+AA14^2+AB14^2)))</f>
        <v>0.94449302702146609</v>
      </c>
      <c r="AE14" s="629">
        <f t="shared" si="85"/>
        <v>-0.26389416185295367</v>
      </c>
      <c r="AF14" s="633">
        <f t="shared" si="86"/>
        <v>-0.19568544464971172</v>
      </c>
      <c r="AG14" s="602">
        <f t="shared" si="87"/>
        <v>-53.441955167237204</v>
      </c>
      <c r="AH14" s="603">
        <f t="shared" si="88"/>
        <v>19.179665468430873</v>
      </c>
      <c r="AI14" s="585">
        <f t="shared" si="89"/>
        <v>-78.715231864737788</v>
      </c>
      <c r="AJ14" s="586">
        <f t="shared" si="90"/>
        <v>74.389478596859391</v>
      </c>
      <c r="AK14" s="635">
        <f>IF(M14="","",(COS(RADIANS((90-$Q$8)-W14))*AD14)+(-SIN(RADIANS((90-$Q$8)-W14))*AE14))</f>
        <v>0.95149313988700346</v>
      </c>
      <c r="AL14" s="629">
        <f t="shared" si="91"/>
        <v>-0.2374194842472199</v>
      </c>
      <c r="AM14" s="634">
        <f t="shared" si="92"/>
        <v>-0.19568544464971172</v>
      </c>
      <c r="AN14" s="581">
        <f t="shared" si="93"/>
        <v>-50.504034243219152</v>
      </c>
      <c r="AO14" s="582">
        <f t="shared" si="94"/>
        <v>17.918867475107838</v>
      </c>
      <c r="AP14" s="585">
        <f>IF(M14="","",DEGREES(ATAN2(AK14,AL14)))</f>
        <v>-14.010521634152013</v>
      </c>
      <c r="AQ14" s="586">
        <f t="shared" si="9"/>
        <v>0.6448722749158281</v>
      </c>
      <c r="AS14" s="52">
        <f t="shared" si="116"/>
        <v>-1.5699997733200917</v>
      </c>
      <c r="AT14" s="72">
        <f t="shared" si="10"/>
        <v>-0.46629029873196509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1.1220000000000001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0.18945024422608911</v>
      </c>
      <c r="C15" s="708">
        <v>4.1243636015617291</v>
      </c>
      <c r="D15" s="709">
        <v>-1.879305667985895</v>
      </c>
      <c r="E15" s="710">
        <v>-0.84217022615222226</v>
      </c>
      <c r="F15" s="708">
        <v>0.53921174892865809</v>
      </c>
      <c r="G15" s="711">
        <v>1.133974335509097E-7</v>
      </c>
      <c r="H15" s="710">
        <v>0.314</v>
      </c>
      <c r="I15" s="708">
        <v>0.52</v>
      </c>
      <c r="J15" s="570">
        <v>1.1339999999999999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1.1339999999999999</v>
      </c>
      <c r="N15" s="632">
        <f t="shared" si="2"/>
        <v>0.18945024422608911</v>
      </c>
      <c r="O15" s="629">
        <f t="shared" si="3"/>
        <v>4.1243636015617291</v>
      </c>
      <c r="P15" s="633">
        <f t="shared" si="4"/>
        <v>-1.879305667985895</v>
      </c>
      <c r="Q15" s="585">
        <f t="shared" si="113"/>
        <v>87.370000379724956</v>
      </c>
      <c r="R15" s="629">
        <f t="shared" si="79"/>
        <v>4.1287124521967575</v>
      </c>
      <c r="S15" s="634">
        <f t="shared" si="80"/>
        <v>-1.879305667985895</v>
      </c>
      <c r="T15" s="635">
        <f t="shared" si="81"/>
        <v>4.1244622321001145</v>
      </c>
      <c r="U15" s="629">
        <f t="shared" si="82"/>
        <v>-0.18729070693524005</v>
      </c>
      <c r="V15" s="636">
        <f t="shared" si="114"/>
        <v>-1.879305667985895</v>
      </c>
      <c r="W15" s="585">
        <f t="shared" ref="W15:W78" si="224">IF(M15="","",IF(Q15-$Q$8&lt;0,360+Q15-$Q$8,Q15-$Q$8))</f>
        <v>357.40000037539346</v>
      </c>
      <c r="X15" s="629">
        <f>IF(M15="","",R15)</f>
        <v>4.1287124521967575</v>
      </c>
      <c r="Y15" s="630">
        <f>IF(M15="","",S15)</f>
        <v>-1.879305667985895</v>
      </c>
      <c r="Z15" s="632">
        <f t="shared" si="6"/>
        <v>0.84217022615222226</v>
      </c>
      <c r="AA15" s="629">
        <f t="shared" si="7"/>
        <v>-0.53921174892865809</v>
      </c>
      <c r="AB15" s="629">
        <f t="shared" si="8"/>
        <v>-1.133974335509097E-7</v>
      </c>
      <c r="AC15" s="636">
        <f t="shared" si="84"/>
        <v>1</v>
      </c>
      <c r="AD15" s="637">
        <f t="shared" si="115"/>
        <v>0.84217022615222226</v>
      </c>
      <c r="AE15" s="629">
        <f t="shared" si="85"/>
        <v>-0.53921174892865809</v>
      </c>
      <c r="AF15" s="633">
        <f t="shared" si="86"/>
        <v>-1.133974335509097E-7</v>
      </c>
      <c r="AG15" s="602">
        <f t="shared" si="87"/>
        <v>-89.999987950569775</v>
      </c>
      <c r="AH15" s="603">
        <f t="shared" si="88"/>
        <v>32.629995288811486</v>
      </c>
      <c r="AI15" s="585">
        <f t="shared" si="89"/>
        <v>-89.999993502805651</v>
      </c>
      <c r="AJ15" s="586">
        <f t="shared" si="90"/>
        <v>57.370004711189068</v>
      </c>
      <c r="AK15" s="635">
        <f t="shared" si="211"/>
        <v>0.86602544158358596</v>
      </c>
      <c r="AL15" s="629">
        <f t="shared" si="91"/>
        <v>-0.49999993452993813</v>
      </c>
      <c r="AM15" s="634">
        <f t="shared" si="92"/>
        <v>-1.133974335509097E-7</v>
      </c>
      <c r="AN15" s="581">
        <f>IF(M15="","",DEGREES(ATAN2(-AM15,AL15)))</f>
        <v>-89.999987005609611</v>
      </c>
      <c r="AO15" s="582">
        <f t="shared" si="94"/>
        <v>29.999995668536499</v>
      </c>
      <c r="AP15" s="585">
        <f t="shared" si="95"/>
        <v>-29.999995668535874</v>
      </c>
      <c r="AQ15" s="586">
        <f t="shared" si="9"/>
        <v>0.55214696761117954</v>
      </c>
      <c r="AS15" s="52">
        <f t="shared" si="116"/>
        <v>-2.5999996246065393</v>
      </c>
      <c r="AT15" s="72">
        <f t="shared" si="10"/>
        <v>-1.877479279360704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0.18945024422608911</v>
      </c>
      <c r="C16" s="708">
        <v>4.1243636015617291</v>
      </c>
      <c r="D16" s="709">
        <v>-2.6525079999641288</v>
      </c>
      <c r="E16" s="710">
        <v>-0.84217022615222226</v>
      </c>
      <c r="F16" s="708">
        <v>0.53921174892865809</v>
      </c>
      <c r="G16" s="711">
        <v>1.1339743351532766E-7</v>
      </c>
      <c r="H16" s="710">
        <v>0.314</v>
      </c>
      <c r="I16" s="708">
        <v>0.52</v>
      </c>
      <c r="J16" s="570">
        <v>1.1399999999999999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1.1399999999999999</v>
      </c>
      <c r="N16" s="632">
        <f t="shared" si="2"/>
        <v>0.18945024422608911</v>
      </c>
      <c r="O16" s="629">
        <f t="shared" si="3"/>
        <v>4.1243636015617291</v>
      </c>
      <c r="P16" s="633">
        <f t="shared" si="4"/>
        <v>-2.6525079999641288</v>
      </c>
      <c r="Q16" s="585">
        <f>IF(M16="","",IF(DEGREES(ATAN2(N16,O16))&lt;0,DEGREES(ATAN2(N16,O16))+360,IF(DEGREES(ATAN2(N16,O16))&gt;360,DEGREES(ATAN2(N16,O16))-360,DEGREES(ATAN2(N16,O16)))))</f>
        <v>87.370000379724956</v>
      </c>
      <c r="R16" s="629">
        <f t="shared" si="79"/>
        <v>4.1287124521967575</v>
      </c>
      <c r="S16" s="634">
        <f t="shared" si="80"/>
        <v>-2.6525079999641288</v>
      </c>
      <c r="T16" s="635">
        <f t="shared" si="81"/>
        <v>4.1244622321001145</v>
      </c>
      <c r="U16" s="629">
        <f t="shared" si="82"/>
        <v>-0.18729070693524005</v>
      </c>
      <c r="V16" s="636">
        <f t="shared" si="114"/>
        <v>-2.6525079999641288</v>
      </c>
      <c r="W16" s="585">
        <f>IF(M16="","",IF(Q16-$Q$8&lt;0,360+Q16-$Q$8,Q16-$Q$8))</f>
        <v>357.40000037539346</v>
      </c>
      <c r="X16" s="629">
        <f t="shared" si="83"/>
        <v>4.1287124521967575</v>
      </c>
      <c r="Y16" s="630">
        <f t="shared" si="223"/>
        <v>-2.6525079999641288</v>
      </c>
      <c r="Z16" s="632">
        <f t="shared" si="6"/>
        <v>0.84217022615222226</v>
      </c>
      <c r="AA16" s="629">
        <f t="shared" si="7"/>
        <v>-0.53921174892865809</v>
      </c>
      <c r="AB16" s="629">
        <f t="shared" si="8"/>
        <v>-1.1339743351532766E-7</v>
      </c>
      <c r="AC16" s="636">
        <f t="shared" si="84"/>
        <v>1</v>
      </c>
      <c r="AD16" s="637">
        <f t="shared" si="115"/>
        <v>0.84217022615222226</v>
      </c>
      <c r="AE16" s="629">
        <f t="shared" si="85"/>
        <v>-0.53921174892865809</v>
      </c>
      <c r="AF16" s="633">
        <f t="shared" si="86"/>
        <v>-1.1339743351532766E-7</v>
      </c>
      <c r="AG16" s="602">
        <f t="shared" si="87"/>
        <v>-89.999987950569775</v>
      </c>
      <c r="AH16" s="603">
        <f t="shared" si="88"/>
        <v>32.629995288811486</v>
      </c>
      <c r="AI16" s="585">
        <f t="shared" si="89"/>
        <v>-89.999993502805651</v>
      </c>
      <c r="AJ16" s="586">
        <f t="shared" si="90"/>
        <v>57.370004711189068</v>
      </c>
      <c r="AK16" s="635">
        <f t="shared" si="211"/>
        <v>0.86602544158358596</v>
      </c>
      <c r="AL16" s="629">
        <f t="shared" si="91"/>
        <v>-0.49999993452993813</v>
      </c>
      <c r="AM16" s="634">
        <f t="shared" si="92"/>
        <v>-1.1339743351532766E-7</v>
      </c>
      <c r="AN16" s="581">
        <f t="shared" si="93"/>
        <v>-89.999987005609611</v>
      </c>
      <c r="AO16" s="582">
        <f t="shared" si="94"/>
        <v>29.999995668536499</v>
      </c>
      <c r="AP16" s="585">
        <f t="shared" si="95"/>
        <v>-29.999995668535874</v>
      </c>
      <c r="AQ16" s="586">
        <f t="shared" si="9"/>
        <v>0.55214696761117954</v>
      </c>
      <c r="AS16" s="52">
        <f t="shared" si="116"/>
        <v>-2.5999996246065393</v>
      </c>
      <c r="AT16" s="72">
        <f t="shared" si="10"/>
        <v>-2.6506816113389378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0.92245171816160687</v>
      </c>
      <c r="C17" s="708">
        <v>0.96360584870259436</v>
      </c>
      <c r="D17" s="709">
        <v>-0.18141988185206898</v>
      </c>
      <c r="E17" s="710">
        <v>-6.0269482204187798E-2</v>
      </c>
      <c r="F17" s="708">
        <v>-6.2958008393439818E-2</v>
      </c>
      <c r="G17" s="711">
        <v>0.99619469918985748</v>
      </c>
      <c r="H17" s="710">
        <v>0.25700000000000001</v>
      </c>
      <c r="I17" s="708">
        <v>0.41499999999999992</v>
      </c>
      <c r="J17" s="570">
        <v>1.206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CPS-32193r1</v>
      </c>
      <c r="M17" s="168">
        <f t="shared" si="1"/>
        <v>1.206</v>
      </c>
      <c r="N17" s="632">
        <f t="shared" si="2"/>
        <v>0.92245171816160687</v>
      </c>
      <c r="O17" s="629">
        <f t="shared" si="3"/>
        <v>0.96360584870259436</v>
      </c>
      <c r="P17" s="633">
        <f t="shared" si="4"/>
        <v>-0.18141988185206898</v>
      </c>
      <c r="Q17" s="585">
        <f>IF(M17="","",IF(DEGREES(ATAN2(N17,O17))&lt;0,DEGREES(ATAN2(N17,O17))+360,IF(DEGREES(ATAN2(N17,O17))&gt;360,DEGREES(ATAN2(N17,O17))-360,DEGREES(ATAN2(N17,O17)))))</f>
        <v>46.250006316717538</v>
      </c>
      <c r="R17" s="629">
        <f>IF(M17="","",SQRT(N17^2+O17^2))</f>
        <v>1.3339615451703051</v>
      </c>
      <c r="S17" s="634">
        <f>IF(M17="","",P17)</f>
        <v>-0.18141988185206898</v>
      </c>
      <c r="T17" s="635">
        <f>IF(M17="","",X17*COS(RADIANS(W17)))</f>
        <v>0.96408871111200023</v>
      </c>
      <c r="U17" s="629">
        <f>IF(M17="","",X17*SIN(RADIANS(W17)))</f>
        <v>-0.92194704896732005</v>
      </c>
      <c r="V17" s="636">
        <f>IF(M17="","",Y17)</f>
        <v>-0.18141988185206898</v>
      </c>
      <c r="W17" s="585">
        <f t="shared" si="224"/>
        <v>316.28000631238604</v>
      </c>
      <c r="X17" s="629">
        <f>IF(M17="","",R17)</f>
        <v>1.3339615451703051</v>
      </c>
      <c r="Y17" s="630">
        <f t="shared" si="223"/>
        <v>-0.18141988185206898</v>
      </c>
      <c r="Z17" s="632">
        <f t="shared" si="6"/>
        <v>6.0269482204187798E-2</v>
      </c>
      <c r="AA17" s="629">
        <f t="shared" si="7"/>
        <v>6.2958008393439818E-2</v>
      </c>
      <c r="AB17" s="629">
        <f t="shared" si="8"/>
        <v>-0.99619469918985748</v>
      </c>
      <c r="AC17" s="636">
        <f>IF(M17="","",SQRT(Z17^2+AA17^2+AB17^2))</f>
        <v>1</v>
      </c>
      <c r="AD17" s="637">
        <f>IF(M17="","",Z17*(1/SQRT(Z17^2+AA17^2+AB17^2)))</f>
        <v>6.0269482204187798E-2</v>
      </c>
      <c r="AE17" s="629">
        <f>IF(M17="","",AA17*(1/SQRT(Z17^2+AA17^2+AB17^2)))</f>
        <v>6.2958008393439818E-2</v>
      </c>
      <c r="AF17" s="633">
        <f>IF(M17="","",AB17*(1/SQRT(Z17^2+AA17^2+AB17^2)))</f>
        <v>-0.99619469918985748</v>
      </c>
      <c r="AG17" s="602">
        <f>IF(M17="","",DEGREES(ATAN2(-AF17,AE17)))</f>
        <v>3.616197880950009</v>
      </c>
      <c r="AH17" s="603">
        <f>IF(M17="","",DEGREES(ACOS(AD17)))</f>
        <v>86.544719046225723</v>
      </c>
      <c r="AI17" s="585">
        <f>IF(M17="","",DEGREES(-ACOS(-AF17)))</f>
        <v>-4.9999992781062668</v>
      </c>
      <c r="AJ17" s="586">
        <f>IF(M17="","",DEGREES(ATAN2(-AE17,AD17)))</f>
        <v>136.24985722278686</v>
      </c>
      <c r="AK17" s="635">
        <f>IF(M17="","",(COS(RADIANS((90-$Q$8)-W17))*AD17)+(-SIN(RADIANS((90-$Q$8)-W17))*AE17))</f>
        <v>2.2679489670301978E-7</v>
      </c>
      <c r="AL17" s="629">
        <f>IF(M17="","",(SIN(RADIANS((90-$Q$8)-W17))*AD17)+(COS(RADIANS((90-$Q$8)-W17))*AE17))</f>
        <v>8.7155730195885073E-2</v>
      </c>
      <c r="AM17" s="634">
        <f>IF(M17="","",AF17)</f>
        <v>-0.99619469918985748</v>
      </c>
      <c r="AN17" s="581">
        <f>IF(M17="","",DEGREES(ATAN2(-AM17,AL17)))</f>
        <v>4.9999992780894171</v>
      </c>
      <c r="AO17" s="582">
        <f t="shared" si="94"/>
        <v>0</v>
      </c>
      <c r="AP17" s="585">
        <f>IF(M17="","",DEGREES(ATAN2(AK17,AL17)))</f>
        <v>89.999850906069327</v>
      </c>
      <c r="AQ17" s="586">
        <f t="shared" si="9"/>
        <v>1.7084832208242975</v>
      </c>
      <c r="AS17" s="52">
        <f t="shared" si="116"/>
        <v>-43.719993687613965</v>
      </c>
      <c r="AT17" s="72">
        <f t="shared" si="10"/>
        <v>-0.15103794179423391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1.206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3.1059999999999999</v>
      </c>
      <c r="II17" s="734" cm="1">
        <f t="array" ref="II17">IFERROR(ROUND(VALUE(IF($IH17&lt;1,$IH17+LARGE((IF($M$9:$M$150="",0,$M$9:$M$150)-MOD(IF($M$9:$M$150="",0,$M$9:$M$150),1)),1),$IH17)),4),"")</f>
        <v>3.1059999999999999</v>
      </c>
      <c r="IJ17" s="533">
        <f t="shared" si="112"/>
        <v>1313</v>
      </c>
      <c r="IK17" s="533" t="str">
        <f t="shared" si="66"/>
        <v>CPS-32193r1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283.7499590315748</v>
      </c>
      <c r="IM17" s="759">
        <v>2.2477100218717499E-2</v>
      </c>
      <c r="IN17" s="5">
        <f t="shared" ref="IN17:IN80" si="226">IF(ISNUMBER($II17),(($IO17*12)/60)/$AS$3,"")</f>
        <v>0.06</v>
      </c>
      <c r="IO17" s="771">
        <v>30</v>
      </c>
      <c r="IP17" s="9">
        <f t="shared" ref="IP17:IP80" si="227">IF(ISNUMBER($II17),(INDEX($X$9:$X$150,MATCH($II17,$M$9:$M$150,0))*-1),"")</f>
        <v>-1.3340040233561343</v>
      </c>
      <c r="IQ17" s="5">
        <f t="shared" ref="IQ17:IQ80" si="228">IF(ISNUMBER($II17),INDEX($Y$9:$Y$150,MATCH($II17,$M$9:$M$150,0)),"")</f>
        <v>-0.14720044395653897</v>
      </c>
      <c r="IR17" s="5">
        <f t="shared" si="71"/>
        <v>0.26600000000000001</v>
      </c>
      <c r="IS17" s="5">
        <f t="shared" ref="IS17:IS80" si="229">IF(ISNUMBER($II17),$IR17*COS(RADIANS(INDEX($AO$9:$AO$150,MATCH($II17,$M$9:$M$150,0)))),"")</f>
        <v>0.25693627239520722</v>
      </c>
      <c r="IT17" s="727">
        <f t="shared" ref="IT17:IT80" si="230">IF(ISNUMBER($II17),(-1*INDEX($AN$9:$AN$150,MATCH($II17,$M$9:$M$150,0))),"")</f>
        <v>-4.9999992780894429</v>
      </c>
      <c r="IU17" s="9">
        <f t="shared" ref="IU17:IU80" si="231">IF(ISNUMBER($II17),-$X17,"")</f>
        <v>-1.3339615451703051</v>
      </c>
      <c r="IV17" s="5">
        <f t="shared" ref="IV17:IV80" si="232">IF(ISNUMBER($II17),$Y17,"")</f>
        <v>-0.18141988185206898</v>
      </c>
      <c r="IW17" s="5">
        <f t="shared" si="76"/>
        <v>0.25700000000000001</v>
      </c>
      <c r="IX17" s="5">
        <f t="shared" ref="IX17:IX80" si="233">IF(ISNUMBER($II17),$IW17*COS(RADIANS($AO17)),"")</f>
        <v>0.25700000000000001</v>
      </c>
      <c r="IY17" s="762">
        <f t="shared" ref="IY17:IY80" si="234">IF(ISNUMBER($II17),(-1*$AN17),"")</f>
        <v>-4.9999992780894171</v>
      </c>
    </row>
    <row r="18" spans="1:269" ht="15" customHeight="1" x14ac:dyDescent="0.25">
      <c r="A18" s="79"/>
      <c r="B18" s="707">
        <v>0.92249683064222088</v>
      </c>
      <c r="C18" s="708">
        <v>1.726232809469429</v>
      </c>
      <c r="D18" s="709">
        <v>-0.12583429753927999</v>
      </c>
      <c r="E18" s="710">
        <v>-4.1078413538944453E-2</v>
      </c>
      <c r="F18" s="708">
        <v>-7.6867972831035677E-2</v>
      </c>
      <c r="G18" s="711">
        <v>0.99619469918985748</v>
      </c>
      <c r="H18" s="710">
        <v>0.25700000000000001</v>
      </c>
      <c r="I18" s="708">
        <v>0.41499999999999992</v>
      </c>
      <c r="J18" s="570">
        <v>1.2090000000000001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1.2090000000000001</v>
      </c>
      <c r="N18" s="632">
        <f t="shared" si="2"/>
        <v>0.92249683064222088</v>
      </c>
      <c r="O18" s="629">
        <f t="shared" si="3"/>
        <v>1.726232809469429</v>
      </c>
      <c r="P18" s="633">
        <f t="shared" si="4"/>
        <v>-0.12583429753927999</v>
      </c>
      <c r="Q18" s="585">
        <f t="shared" si="113"/>
        <v>61.880004060025094</v>
      </c>
      <c r="R18" s="629">
        <f>IF(M18="","",SQRT(N18^2+O18^2))</f>
        <v>1.9572634250487746</v>
      </c>
      <c r="S18" s="634">
        <f>IF(M18="","",P18)</f>
        <v>-0.12583429753927999</v>
      </c>
      <c r="T18" s="635">
        <f>IF(M18="","",X18*COS(RADIANS(W18)))</f>
        <v>1.7267155909604486</v>
      </c>
      <c r="U18" s="629">
        <f>IF(M18="","",X18*SIN(RADIANS(W18)))</f>
        <v>-0.92159285097475074</v>
      </c>
      <c r="V18" s="636">
        <f>IF(M18="","",Y18)</f>
        <v>-0.12583429753927999</v>
      </c>
      <c r="W18" s="585">
        <f t="shared" si="224"/>
        <v>331.91000405569366</v>
      </c>
      <c r="X18" s="629">
        <f>IF(M18="","",R18)</f>
        <v>1.9572634250487746</v>
      </c>
      <c r="Y18" s="630">
        <f t="shared" si="223"/>
        <v>-0.12583429753927999</v>
      </c>
      <c r="Z18" s="632">
        <f t="shared" si="6"/>
        <v>4.1078413538944453E-2</v>
      </c>
      <c r="AA18" s="629">
        <f t="shared" si="7"/>
        <v>7.6867972831035677E-2</v>
      </c>
      <c r="AB18" s="629">
        <f t="shared" si="8"/>
        <v>-0.99619469918985748</v>
      </c>
      <c r="AC18" s="636">
        <f>IF(M18="","",SQRT(Z18^2+AA18^2+AB18^2))</f>
        <v>1</v>
      </c>
      <c r="AD18" s="637">
        <f>IF(M18="","",Z18*(1/SQRT(Z18^2+AA18^2+AB18^2)))</f>
        <v>4.1078413538944453E-2</v>
      </c>
      <c r="AE18" s="629">
        <f>IF(M18="","",AA18*(1/SQRT(Z18^2+AA18^2+AB18^2)))</f>
        <v>7.6867972831035677E-2</v>
      </c>
      <c r="AF18" s="633">
        <f>IF(M18="","",AB18*(1/SQRT(Z18^2+AA18^2+AB18^2)))</f>
        <v>-0.99619469918985748</v>
      </c>
      <c r="AG18" s="602">
        <f>IF(M18="","",DEGREES(ATAN2(-AF18,AE18)))</f>
        <v>4.412290849477853</v>
      </c>
      <c r="AH18" s="603">
        <f>IF(M18="","",DEGREES(ACOS(AD18)))</f>
        <v>87.645717841520138</v>
      </c>
      <c r="AI18" s="585">
        <f>IF(M18="","",DEGREES(-ACOS(-AF18)))</f>
        <v>-4.9999992781062668</v>
      </c>
      <c r="AJ18" s="586">
        <f>IF(M18="","",DEGREES(ATAN2(-AE18,AD18)))</f>
        <v>151.87985496609437</v>
      </c>
      <c r="AK18" s="635">
        <f>IF(M18="","",(COS(RADIANS((90-$Q$8)-W18))*AD18)+(-SIN(RADIANS((90-$Q$8)-W18))*AE18))</f>
        <v>2.2679489680710319E-7</v>
      </c>
      <c r="AL18" s="629">
        <f>IF(M18="","",(SIN(RADIANS((90-$Q$8)-W18))*AD18)+(COS(RADIANS((90-$Q$8)-W18))*AE18))</f>
        <v>8.7155730195885225E-2</v>
      </c>
      <c r="AM18" s="634">
        <f>IF(M18="","",AF18)</f>
        <v>-0.99619469918985748</v>
      </c>
      <c r="AN18" s="581">
        <f>IF(M18="","",DEGREES(ATAN2(-AM18,AL18)))</f>
        <v>4.999999278089426</v>
      </c>
      <c r="AO18" s="582">
        <f t="shared" si="94"/>
        <v>0</v>
      </c>
      <c r="AP18" s="585">
        <f>IF(M18="","",DEGREES(ATAN2(AK18,AL18)))</f>
        <v>89.999850906069256</v>
      </c>
      <c r="AQ18" s="586">
        <f t="shared" si="9"/>
        <v>1.1645916650142321</v>
      </c>
      <c r="AS18" s="52">
        <f t="shared" si="116"/>
        <v>-28.089995944306338</v>
      </c>
      <c r="AT18" s="72">
        <f t="shared" si="10"/>
        <v>-0.10630652258096411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1.2090000000000001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3.109</v>
      </c>
      <c r="II18" s="734" cm="1">
        <f t="array" ref="II18">IFERROR(ROUND(VALUE(IF($IH18&lt;1,$IH18+LARGE((IF($M$9:$M$150="",0,$M$9:$M$150)-MOD(IF($M$9:$M$150="",0,$M$9:$M$150),1)),1),$IH18)),4),"")</f>
        <v>3.109</v>
      </c>
      <c r="IJ18" s="533">
        <f t="shared" si="112"/>
        <v>1313</v>
      </c>
      <c r="IK18" s="533" t="str">
        <f t="shared" si="66"/>
        <v>CPS-32193r1</v>
      </c>
      <c r="IL18" s="727">
        <f t="shared" si="225"/>
        <v>268.11996128826718</v>
      </c>
      <c r="IM18" s="759">
        <v>2.19324931549887E-2</v>
      </c>
      <c r="IN18" s="5">
        <f t="shared" si="226"/>
        <v>0.06</v>
      </c>
      <c r="IO18" s="771">
        <v>30</v>
      </c>
      <c r="IP18" s="9">
        <f t="shared" si="227"/>
        <v>-1.9573059032346045</v>
      </c>
      <c r="IQ18" s="5">
        <f t="shared" si="228"/>
        <v>-9.2700279584043241E-2</v>
      </c>
      <c r="IR18" s="5">
        <f t="shared" si="71"/>
        <v>0.26600000000000001</v>
      </c>
      <c r="IS18" s="5">
        <f t="shared" si="229"/>
        <v>0.25693627239520717</v>
      </c>
      <c r="IT18" s="727">
        <f t="shared" si="230"/>
        <v>-4.9999992780894198</v>
      </c>
      <c r="IU18" s="9">
        <f t="shared" si="231"/>
        <v>-1.9572634250487746</v>
      </c>
      <c r="IV18" s="5">
        <f t="shared" si="232"/>
        <v>-0.12583429753927999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-4.999999278089426</v>
      </c>
    </row>
    <row r="19" spans="1:269" ht="15" customHeight="1" thickBot="1" x14ac:dyDescent="0.3">
      <c r="A19" s="79"/>
      <c r="B19" s="707">
        <v>0.1648936012580019</v>
      </c>
      <c r="C19" s="708">
        <v>3.9841011860193216</v>
      </c>
      <c r="D19" s="709">
        <v>-1.1078033411348769</v>
      </c>
      <c r="E19" s="710">
        <v>-0.92365688193061923</v>
      </c>
      <c r="F19" s="708">
        <v>0.37046552789895126</v>
      </c>
      <c r="G19" s="711">
        <v>9.804721873035338E-2</v>
      </c>
      <c r="H19" s="710">
        <v>0.314</v>
      </c>
      <c r="I19" s="708">
        <v>0.52</v>
      </c>
      <c r="J19" s="570">
        <v>1.228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1.228</v>
      </c>
      <c r="N19" s="632">
        <f t="shared" si="2"/>
        <v>0.1648936012580019</v>
      </c>
      <c r="O19" s="629">
        <f t="shared" si="3"/>
        <v>3.9841011860193216</v>
      </c>
      <c r="P19" s="633">
        <f t="shared" si="4"/>
        <v>-1.1078033411348769</v>
      </c>
      <c r="Q19" s="585">
        <f t="shared" si="113"/>
        <v>87.630000342185625</v>
      </c>
      <c r="R19" s="629">
        <f>IF(M19="","",SQRT(N19^2+O19^2))</f>
        <v>3.9875120263362716</v>
      </c>
      <c r="S19" s="634">
        <f>IF(M19="","",P19)</f>
        <v>-1.1078033411348769</v>
      </c>
      <c r="T19" s="635">
        <f>IF(M19="","",X19*COS(RADIANS(W19)))</f>
        <v>3.9841869779588235</v>
      </c>
      <c r="U19" s="629">
        <f>IF(M19="","",X19*SIN(RADIANS(W19)))</f>
        <v>-0.16280750854839871</v>
      </c>
      <c r="V19" s="636">
        <f>IF(M19="","",Y19)</f>
        <v>-1.1078033411348769</v>
      </c>
      <c r="W19" s="585">
        <f t="shared" si="224"/>
        <v>357.66000033785417</v>
      </c>
      <c r="X19" s="629">
        <f>IF(M19="","",R19)</f>
        <v>3.9875120263362716</v>
      </c>
      <c r="Y19" s="630">
        <f t="shared" si="223"/>
        <v>-1.1078033411348769</v>
      </c>
      <c r="Z19" s="632">
        <f t="shared" si="6"/>
        <v>0.92365688193061923</v>
      </c>
      <c r="AA19" s="629">
        <f t="shared" si="7"/>
        <v>-0.37046552789895126</v>
      </c>
      <c r="AB19" s="629">
        <f t="shared" si="8"/>
        <v>-9.804721873035338E-2</v>
      </c>
      <c r="AC19" s="636">
        <f>IF(M19="","",SQRT(Z19^2+AA19^2+AB19^2))</f>
        <v>1</v>
      </c>
      <c r="AD19" s="637">
        <f>IF(M19="","",Z19*(1/SQRT(Z19^2+AA19^2+AB19^2)))</f>
        <v>0.92365688193061923</v>
      </c>
      <c r="AE19" s="629">
        <f>IF(M19="","",AA19*(1/SQRT(Z19^2+AA19^2+AB19^2)))</f>
        <v>-0.37046552789895126</v>
      </c>
      <c r="AF19" s="633">
        <f>IF(M19="","",AB19*(1/SQRT(Z19^2+AA19^2+AB19^2)))</f>
        <v>-9.804721873035338E-2</v>
      </c>
      <c r="AG19" s="602">
        <f>IF(M19="","",DEGREES(ATAN2(-AF19,AE19)))</f>
        <v>-75.176003937693011</v>
      </c>
      <c r="AH19" s="603">
        <f>IF(M19="","",DEGREES(ACOS(AD19)))</f>
        <v>22.533312109785257</v>
      </c>
      <c r="AI19" s="585">
        <f>IF(M19="","",DEGREES(-ACOS(-AF19)))</f>
        <v>-84.373268293374025</v>
      </c>
      <c r="AJ19" s="586">
        <f>IF(M19="","",DEGREES(ATAN2(-AE19,AD19)))</f>
        <v>68.144986804142306</v>
      </c>
      <c r="AK19" s="635">
        <f>IF(M19="","",(COS(RADIANS((90-$Q$8)-W19))*AD19)+(-SIN(RADIANS((90-$Q$8)-W19))*AE19))</f>
        <v>0.93818648046791031</v>
      </c>
      <c r="AL19" s="629">
        <f>IF(M19="","",(SIN(RADIANS((90-$Q$8)-W19))*AD19)+(COS(RADIANS((90-$Q$8)-W19))*AE19))</f>
        <v>-0.33195311531371097</v>
      </c>
      <c r="AM19" s="634">
        <f>IF(M19="","",AF19)</f>
        <v>-9.804721873035338E-2</v>
      </c>
      <c r="AN19" s="581">
        <f>IF(M19="","",DEGREES(ATAN2(-AM19,AL19)))</f>
        <v>-73.544721937551671</v>
      </c>
      <c r="AO19" s="582">
        <f t="shared" si="94"/>
        <v>20.250803750522898</v>
      </c>
      <c r="AP19" s="585">
        <f>IF(M19="","",DEGREES(ATAN2(AK19,AL19)))</f>
        <v>-19.485013538043386</v>
      </c>
      <c r="AQ19" s="586">
        <f t="shared" si="9"/>
        <v>0.57169757969912494</v>
      </c>
      <c r="AS19" s="52">
        <f t="shared" si="116"/>
        <v>-2.3399996621458286</v>
      </c>
      <c r="AT19" s="72">
        <f t="shared" si="10"/>
        <v>-1.1061575080391726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1.228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2.4803187384417398</v>
      </c>
      <c r="C20" s="708">
        <v>1.1324360290639524</v>
      </c>
      <c r="D20" s="709">
        <v>-6.2500188500568515E-2</v>
      </c>
      <c r="E20" s="710">
        <v>-0.32455791245177645</v>
      </c>
      <c r="F20" s="708">
        <v>0.91219194006957782</v>
      </c>
      <c r="G20" s="711">
        <v>0.25013601487399795</v>
      </c>
      <c r="H20" s="710">
        <v>0.26600000000000001</v>
      </c>
      <c r="I20" s="708">
        <v>0.52</v>
      </c>
      <c r="J20" s="570">
        <v>2.1150000000000002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30</v>
      </c>
      <c r="M20" s="168">
        <f t="shared" si="1"/>
        <v>2.1150000000000002</v>
      </c>
      <c r="N20" s="632">
        <f t="shared" si="2"/>
        <v>2.4803187384417398</v>
      </c>
      <c r="O20" s="629">
        <f t="shared" si="3"/>
        <v>1.1324360290639524</v>
      </c>
      <c r="P20" s="633">
        <f t="shared" si="4"/>
        <v>-6.2500188500568515E-2</v>
      </c>
      <c r="Q20" s="585">
        <f t="shared" si="113"/>
        <v>24.539957473691722</v>
      </c>
      <c r="R20" s="629">
        <f>IF(M20="","",SQRT(N20^2+O20^2))</f>
        <v>2.7266082234504019</v>
      </c>
      <c r="S20" s="634">
        <f>IF(M20="","",P20)</f>
        <v>-6.2500188500568515E-2</v>
      </c>
      <c r="T20" s="635">
        <f>IF(M20="","",X20*COS(RADIANS(W20)))</f>
        <v>1.1337345654398101</v>
      </c>
      <c r="U20" s="629">
        <f>IF(M20="","",X20*SIN(RADIANS(W20)))</f>
        <v>-2.4797254564395552</v>
      </c>
      <c r="V20" s="636">
        <f>IF(M20="","",Y20)</f>
        <v>-6.2500188500568515E-2</v>
      </c>
      <c r="W20" s="585">
        <f t="shared" si="224"/>
        <v>294.56995746936025</v>
      </c>
      <c r="X20" s="629">
        <f>IF(M20="","",R20)</f>
        <v>2.7266082234504019</v>
      </c>
      <c r="Y20" s="630">
        <f t="shared" si="223"/>
        <v>-6.2500188500568515E-2</v>
      </c>
      <c r="Z20" s="632">
        <f t="shared" si="6"/>
        <v>0.32455791245177645</v>
      </c>
      <c r="AA20" s="629">
        <f t="shared" si="7"/>
        <v>-0.91219194006957782</v>
      </c>
      <c r="AB20" s="629">
        <f t="shared" si="8"/>
        <v>-0.25013601487399795</v>
      </c>
      <c r="AC20" s="636">
        <f>IF(M20="","",SQRT(Z20^2+AA20^2+AB20^2))</f>
        <v>1</v>
      </c>
      <c r="AD20" s="637">
        <f>IF(M20="","",Z20*(1/SQRT(Z20^2+AA20^2+AB20^2)))</f>
        <v>0.32455791245177645</v>
      </c>
      <c r="AE20" s="629">
        <f>IF(M20="","",AA20*(1/SQRT(Z20^2+AA20^2+AB20^2)))</f>
        <v>-0.91219194006957782</v>
      </c>
      <c r="AF20" s="633">
        <f>IF(M20="","",AB20*(1/SQRT(Z20^2+AA20^2+AB20^2)))</f>
        <v>-0.25013601487399795</v>
      </c>
      <c r="AG20" s="602">
        <f>IF(M20="","",DEGREES(ATAN2(-AF20,AE20)))</f>
        <v>-74.665612844632818</v>
      </c>
      <c r="AH20" s="603">
        <f>IF(M20="","",DEGREES(ACOS(AD20)))</f>
        <v>71.061206593044574</v>
      </c>
      <c r="AI20" s="585">
        <f>IF(M20="","",DEGREES(-ACOS(-AF20)))</f>
        <v>-75.514439011485464</v>
      </c>
      <c r="AJ20" s="586">
        <f>IF(M20="","",DEGREES(ATAN2(-AE20,AD20)))</f>
        <v>19.585559757615542</v>
      </c>
      <c r="AK20" s="635">
        <f>IF(M20="","",(COS(RADIANS((90-$Q$8)-W20))*AD20)+(-SIN(RADIANS((90-$Q$8)-W20))*AE20))</f>
        <v>0.96459323087496585</v>
      </c>
      <c r="AL20" s="629">
        <f>IF(M20="","",(SIN(RADIANS((90-$Q$8)-W20))*AD20)+(COS(RADIANS((90-$Q$8)-W20))*AE20))</f>
        <v>-8.3617420512415608E-2</v>
      </c>
      <c r="AM20" s="634">
        <f>IF(M20="","",AF20)</f>
        <v>-0.25013601487399795</v>
      </c>
      <c r="AN20" s="581">
        <f>IF(M20="","",DEGREES(ATAN2(-AM20,AL20)))</f>
        <v>-18.48415343659563</v>
      </c>
      <c r="AO20" s="582">
        <f t="shared" si="94"/>
        <v>15.292221981010064</v>
      </c>
      <c r="AP20" s="585">
        <f>IF(M20="","",DEGREES(ATAN2(AK20,AL20)))</f>
        <v>-4.9543977160762198</v>
      </c>
      <c r="AQ20" s="586">
        <f t="shared" si="9"/>
        <v>0.83604414139297201</v>
      </c>
      <c r="AS20" s="52">
        <f t="shared" si="116"/>
        <v>-65.430042530639753</v>
      </c>
      <c r="AT20" s="72">
        <f t="shared" si="10"/>
        <v>-1.7041825635076648E-2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2.1150000000000002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3.1444948350827744</v>
      </c>
      <c r="C21" s="708">
        <v>1.3718329771894098</v>
      </c>
      <c r="D21" s="709">
        <v>-0.38640116538591485</v>
      </c>
      <c r="E21" s="710">
        <v>-0.18828527253284369</v>
      </c>
      <c r="F21" s="708">
        <v>0.96194291460987869</v>
      </c>
      <c r="G21" s="711">
        <v>0.19802647595481895</v>
      </c>
      <c r="H21" s="710">
        <v>0.314</v>
      </c>
      <c r="I21" s="708">
        <v>0.52</v>
      </c>
      <c r="J21" s="570">
        <v>2.121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2.121</v>
      </c>
      <c r="N21" s="632">
        <f t="shared" si="2"/>
        <v>3.1444948350827744</v>
      </c>
      <c r="O21" s="629">
        <f t="shared" si="3"/>
        <v>1.3718329771894098</v>
      </c>
      <c r="P21" s="633">
        <f t="shared" si="4"/>
        <v>-0.38640116538591485</v>
      </c>
      <c r="Q21" s="585">
        <f t="shared" si="113"/>
        <v>23.569957613742371</v>
      </c>
      <c r="R21" s="629">
        <f>IF(M21="","",SQRT(N21^2+O21^2))</f>
        <v>3.4307103470224067</v>
      </c>
      <c r="S21" s="634">
        <f>IF(M21="","",P21)</f>
        <v>-0.38640116538591485</v>
      </c>
      <c r="T21" s="635">
        <f>IF(M21="","",X21*COS(RADIANS(W21)))</f>
        <v>1.3734792424741447</v>
      </c>
      <c r="U21" s="629">
        <f>IF(M21="","",X21*SIN(RADIANS(W21)))</f>
        <v>-3.1437761141116987</v>
      </c>
      <c r="V21" s="636">
        <f>IF(M21="","",Y21)</f>
        <v>-0.38640116538591485</v>
      </c>
      <c r="W21" s="585">
        <f t="shared" si="224"/>
        <v>293.59995760941092</v>
      </c>
      <c r="X21" s="629">
        <f>IF(M21="","",R21)</f>
        <v>3.4307103470224067</v>
      </c>
      <c r="Y21" s="630">
        <f t="shared" si="223"/>
        <v>-0.38640116538591485</v>
      </c>
      <c r="Z21" s="632">
        <f t="shared" si="6"/>
        <v>0.18828527253284369</v>
      </c>
      <c r="AA21" s="629">
        <f t="shared" si="7"/>
        <v>-0.96194291460987869</v>
      </c>
      <c r="AB21" s="629">
        <f t="shared" si="8"/>
        <v>-0.19802647595481895</v>
      </c>
      <c r="AC21" s="636">
        <f>IF(M21="","",SQRT(Z21^2+AA21^2+AB21^2))</f>
        <v>1</v>
      </c>
      <c r="AD21" s="637">
        <f>IF(M21="","",Z21*(1/SQRT(Z21^2+AA21^2+AB21^2)))</f>
        <v>0.18828527253284369</v>
      </c>
      <c r="AE21" s="629">
        <f>IF(M21="","",AA21*(1/SQRT(Z21^2+AA21^2+AB21^2)))</f>
        <v>-0.96194291460987869</v>
      </c>
      <c r="AF21" s="633">
        <f>IF(M21="","",AB21*(1/SQRT(Z21^2+AA21^2+AB21^2)))</f>
        <v>-0.19802647595481895</v>
      </c>
      <c r="AG21" s="602">
        <f>IF(M21="","",DEGREES(ATAN2(-AF21,AE21)))</f>
        <v>-78.367542797725278</v>
      </c>
      <c r="AH21" s="603">
        <f>IF(M21="","",DEGREES(ACOS(AD21)))</f>
        <v>79.147268449841192</v>
      </c>
      <c r="AI21" s="585">
        <f>IF(M21="","",DEGREES(-ACOS(-AF21)))</f>
        <v>-78.578423609091871</v>
      </c>
      <c r="AJ21" s="586">
        <f>IF(M21="","",DEGREES(ATAN2(-AE21,AD21)))</f>
        <v>11.074737341902297</v>
      </c>
      <c r="AK21" s="635">
        <f>IF(M21="","",(COS(RADIANS((90-$Q$8)-W21))*AD21)+(-SIN(RADIANS((90-$Q$8)-W21))*AE21))</f>
        <v>0.95697979150713786</v>
      </c>
      <c r="AL21" s="629">
        <f>IF(M21="","",(SIN(RADIANS((90-$Q$8)-W21))*AD21)+(COS(RADIANS((90-$Q$8)-W21))*AE21))</f>
        <v>-0.21207355673886041</v>
      </c>
      <c r="AM21" s="634">
        <f>IF(M21="","",AF21)</f>
        <v>-0.19802647595481895</v>
      </c>
      <c r="AN21" s="581">
        <f>IF(M21="","",DEGREES(ATAN2(-AM21,AL21)))</f>
        <v>-46.9617747874061</v>
      </c>
      <c r="AO21" s="582">
        <f>IF(ROUND(IF(M21="",0,DEGREES(ACOS(AK21))),4)=90,0,IF(M21="","",DEGREES(ACOS(AK21))))</f>
        <v>16.867210556539124</v>
      </c>
      <c r="AP21" s="585">
        <f>IF(M21="","",DEGREES(ATAN2(AK21,AL21)))</f>
        <v>-12.495220271840131</v>
      </c>
      <c r="AQ21" s="586">
        <f t="shared" si="9"/>
        <v>0.66447592330278293</v>
      </c>
      <c r="AS21" s="52">
        <f t="shared" si="116"/>
        <v>-66.400042390589078</v>
      </c>
      <c r="AT21" s="72">
        <f t="shared" si="10"/>
        <v>-0.34026919150656926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3.6301303616497429</v>
      </c>
      <c r="C22" s="708">
        <v>1.5200023790882669</v>
      </c>
      <c r="D22" s="709">
        <v>-0.98640297499137275</v>
      </c>
      <c r="E22" s="710">
        <v>-7.7427095101043508E-2</v>
      </c>
      <c r="F22" s="708">
        <v>0.99097969874337732</v>
      </c>
      <c r="G22" s="711">
        <v>0.10938135866178975</v>
      </c>
      <c r="H22" s="710">
        <v>0.314</v>
      </c>
      <c r="I22" s="708">
        <v>0.52</v>
      </c>
      <c r="J22" s="570">
        <v>2.1269999999999998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2.1269999999999998</v>
      </c>
      <c r="N22" s="632">
        <f t="shared" si="2"/>
        <v>3.6301303616497429</v>
      </c>
      <c r="O22" s="629">
        <f t="shared" si="3"/>
        <v>1.5200023790882669</v>
      </c>
      <c r="P22" s="633">
        <f t="shared" si="4"/>
        <v>-0.98640297499137275</v>
      </c>
      <c r="Q22" s="585">
        <f t="shared" si="113"/>
        <v>22.719957736467173</v>
      </c>
      <c r="R22" s="629">
        <f t="shared" si="79"/>
        <v>3.9355118695037987</v>
      </c>
      <c r="S22" s="634">
        <f t="shared" si="80"/>
        <v>-0.98640297499137275</v>
      </c>
      <c r="T22" s="635">
        <f t="shared" si="81"/>
        <v>1.5219029021810313</v>
      </c>
      <c r="U22" s="629">
        <f t="shared" si="82"/>
        <v>-3.6293339928061514</v>
      </c>
      <c r="V22" s="636">
        <f t="shared" si="114"/>
        <v>-0.98640297499137275</v>
      </c>
      <c r="W22" s="585">
        <f t="shared" si="224"/>
        <v>292.74995773213573</v>
      </c>
      <c r="X22" s="629">
        <f t="shared" si="83"/>
        <v>3.9355118695037987</v>
      </c>
      <c r="Y22" s="630">
        <f t="shared" si="223"/>
        <v>-0.98640297499137275</v>
      </c>
      <c r="Z22" s="632">
        <f t="shared" si="6"/>
        <v>7.7427095101043508E-2</v>
      </c>
      <c r="AA22" s="629">
        <f t="shared" si="7"/>
        <v>-0.99097969874337732</v>
      </c>
      <c r="AB22" s="629">
        <f t="shared" si="8"/>
        <v>-0.10938135866178975</v>
      </c>
      <c r="AC22" s="636">
        <f t="shared" si="84"/>
        <v>1</v>
      </c>
      <c r="AD22" s="637">
        <f t="shared" si="115"/>
        <v>7.7427095101043508E-2</v>
      </c>
      <c r="AE22" s="629">
        <f t="shared" si="85"/>
        <v>-0.99097969874337732</v>
      </c>
      <c r="AF22" s="633">
        <f t="shared" si="86"/>
        <v>-0.10938135866178975</v>
      </c>
      <c r="AG22" s="602">
        <f t="shared" si="87"/>
        <v>-83.701360549457121</v>
      </c>
      <c r="AH22" s="603">
        <f t="shared" si="88"/>
        <v>85.559309714510348</v>
      </c>
      <c r="AI22" s="585">
        <f t="shared" si="89"/>
        <v>-83.720345153900837</v>
      </c>
      <c r="AJ22" s="586">
        <f t="shared" si="90"/>
        <v>4.4675501864515432</v>
      </c>
      <c r="AK22" s="635">
        <f t="shared" si="211"/>
        <v>0.94398771599048337</v>
      </c>
      <c r="AL22" s="629">
        <f t="shared" si="91"/>
        <v>-0.3113244456132081</v>
      </c>
      <c r="AM22" s="634">
        <f t="shared" si="92"/>
        <v>-0.10938135866178975</v>
      </c>
      <c r="AN22" s="581">
        <f t="shared" si="93"/>
        <v>-70.641481877364512</v>
      </c>
      <c r="AO22" s="582">
        <f t="shared" si="94"/>
        <v>19.267597598050688</v>
      </c>
      <c r="AP22" s="585">
        <f t="shared" si="95"/>
        <v>-18.252407550015675</v>
      </c>
      <c r="AQ22" s="586">
        <f t="shared" si="9"/>
        <v>0.57925094311713521</v>
      </c>
      <c r="AS22" s="52">
        <f t="shared" si="116"/>
        <v>-67.250042267864274</v>
      </c>
      <c r="AT22" s="72">
        <f t="shared" si="10"/>
        <v>-0.93968072341947495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2.1269999999999998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3.779577389136322</v>
      </c>
      <c r="C23" s="708">
        <v>1.5609139196046111</v>
      </c>
      <c r="D23" s="709">
        <v>-1.7561052964135742</v>
      </c>
      <c r="E23" s="710">
        <v>-2.0127948877718106E-2</v>
      </c>
      <c r="F23" s="708">
        <v>0.99978029119841494</v>
      </c>
      <c r="G23" s="711">
        <v>-5.8510687219252436E-3</v>
      </c>
      <c r="H23" s="710">
        <v>0.314</v>
      </c>
      <c r="I23" s="708">
        <v>0.52</v>
      </c>
      <c r="J23" s="570">
        <v>2.133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2.133</v>
      </c>
      <c r="N23" s="632">
        <f t="shared" si="2"/>
        <v>3.779577389136322</v>
      </c>
      <c r="O23" s="629">
        <f t="shared" si="3"/>
        <v>1.5609139196046111</v>
      </c>
      <c r="P23" s="633">
        <f t="shared" si="4"/>
        <v>-1.7561052964135742</v>
      </c>
      <c r="Q23" s="585">
        <f t="shared" si="113"/>
        <v>22.439957776894165</v>
      </c>
      <c r="R23" s="629">
        <f t="shared" si="79"/>
        <v>4.0892123330643972</v>
      </c>
      <c r="S23" s="634">
        <f t="shared" si="80"/>
        <v>-1.7561052964135742</v>
      </c>
      <c r="T23" s="635">
        <f t="shared" si="81"/>
        <v>1.5628926873550448</v>
      </c>
      <c r="U23" s="629">
        <f t="shared" si="82"/>
        <v>-3.7787595785784118</v>
      </c>
      <c r="V23" s="636">
        <f t="shared" si="114"/>
        <v>-1.7561052964135742</v>
      </c>
      <c r="W23" s="585">
        <f t="shared" si="224"/>
        <v>292.46995777256268</v>
      </c>
      <c r="X23" s="629">
        <f t="shared" si="83"/>
        <v>4.0892123330643972</v>
      </c>
      <c r="Y23" s="630">
        <f t="shared" si="223"/>
        <v>-1.7561052964135742</v>
      </c>
      <c r="Z23" s="632">
        <f t="shared" si="6"/>
        <v>2.0127948877718106E-2</v>
      </c>
      <c r="AA23" s="629">
        <f t="shared" si="7"/>
        <v>-0.99978029119841494</v>
      </c>
      <c r="AB23" s="629">
        <f t="shared" si="8"/>
        <v>5.8510687219252436E-3</v>
      </c>
      <c r="AC23" s="636">
        <f t="shared" si="84"/>
        <v>1</v>
      </c>
      <c r="AD23" s="637">
        <f t="shared" si="115"/>
        <v>2.0127948877718106E-2</v>
      </c>
      <c r="AE23" s="629">
        <f t="shared" si="85"/>
        <v>-0.99978029119841494</v>
      </c>
      <c r="AF23" s="633">
        <f t="shared" si="86"/>
        <v>5.8510687219252436E-3</v>
      </c>
      <c r="AG23" s="602">
        <f t="shared" si="87"/>
        <v>-90.335311387002022</v>
      </c>
      <c r="AH23" s="603">
        <f t="shared" si="88"/>
        <v>88.846675594893071</v>
      </c>
      <c r="AI23" s="585">
        <f t="shared" si="89"/>
        <v>-90.335243456269453</v>
      </c>
      <c r="AJ23" s="586">
        <f t="shared" si="90"/>
        <v>1.1533441503143282</v>
      </c>
      <c r="AK23" s="635">
        <f t="shared" si="211"/>
        <v>0.93176012101056505</v>
      </c>
      <c r="AL23" s="629">
        <f t="shared" si="91"/>
        <v>-0.36302732939709753</v>
      </c>
      <c r="AM23" s="634">
        <f t="shared" si="92"/>
        <v>5.8510687219252436E-3</v>
      </c>
      <c r="AN23" s="581">
        <f t="shared" si="93"/>
        <v>-90.923380946932653</v>
      </c>
      <c r="AO23" s="582">
        <f t="shared" si="94"/>
        <v>21.289130764808817</v>
      </c>
      <c r="AP23" s="585">
        <f t="shared" si="95"/>
        <v>-21.28661362657984</v>
      </c>
      <c r="AQ23" s="586">
        <f t="shared" si="9"/>
        <v>0.55748014655505251</v>
      </c>
      <c r="AS23" s="52">
        <f t="shared" si="116"/>
        <v>-67.53004222743732</v>
      </c>
      <c r="AT23" s="72">
        <f t="shared" si="10"/>
        <v>-1.7091886004253063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2.133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CPS-32193r1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30</v>
      </c>
      <c r="JI23" s="801"/>
    </row>
    <row r="24" spans="1:269" ht="15" customHeight="1" x14ac:dyDescent="0.25">
      <c r="A24" s="79"/>
      <c r="B24" s="707">
        <v>3.818009149667331</v>
      </c>
      <c r="C24" s="708">
        <v>1.5713283062368284</v>
      </c>
      <c r="D24" s="709">
        <v>-2.5237076115021559</v>
      </c>
      <c r="E24" s="710">
        <v>0.13277602665091337</v>
      </c>
      <c r="F24" s="708">
        <v>0.99114606731136412</v>
      </c>
      <c r="G24" s="711">
        <v>1.133974334784796E-7</v>
      </c>
      <c r="H24" s="710">
        <v>0.314</v>
      </c>
      <c r="I24" s="708">
        <v>0.52</v>
      </c>
      <c r="J24" s="570">
        <v>2.1389999999999998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2.1389999999999998</v>
      </c>
      <c r="N24" s="632">
        <f t="shared" si="2"/>
        <v>3.818009149667331</v>
      </c>
      <c r="O24" s="629">
        <f t="shared" si="3"/>
        <v>1.5713283062368284</v>
      </c>
      <c r="P24" s="633">
        <f t="shared" si="4"/>
        <v>-2.5237076115021559</v>
      </c>
      <c r="Q24" s="585">
        <f t="shared" si="113"/>
        <v>22.369957787000907</v>
      </c>
      <c r="R24" s="629">
        <f t="shared" si="79"/>
        <v>4.1287124521967566</v>
      </c>
      <c r="S24" s="634">
        <f t="shared" si="80"/>
        <v>-2.5237076115021559</v>
      </c>
      <c r="T24" s="635">
        <f t="shared" si="81"/>
        <v>1.5733271953786137</v>
      </c>
      <c r="U24" s="629">
        <f t="shared" si="82"/>
        <v>-3.817185880882227</v>
      </c>
      <c r="V24" s="636">
        <f t="shared" si="114"/>
        <v>-2.5237076115021559</v>
      </c>
      <c r="W24" s="585">
        <f t="shared" si="224"/>
        <v>292.39995778266939</v>
      </c>
      <c r="X24" s="629">
        <f t="shared" si="83"/>
        <v>4.1287124521967566</v>
      </c>
      <c r="Y24" s="630">
        <f t="shared" si="223"/>
        <v>-2.5237076115021559</v>
      </c>
      <c r="Z24" s="632">
        <f t="shared" si="6"/>
        <v>-0.13277602665091337</v>
      </c>
      <c r="AA24" s="629">
        <f t="shared" si="7"/>
        <v>-0.99114606731136412</v>
      </c>
      <c r="AB24" s="629">
        <f t="shared" si="8"/>
        <v>-1.133974334784796E-7</v>
      </c>
      <c r="AC24" s="636">
        <f t="shared" si="84"/>
        <v>1</v>
      </c>
      <c r="AD24" s="637">
        <f t="shared" si="115"/>
        <v>-0.13277602665091337</v>
      </c>
      <c r="AE24" s="629">
        <f t="shared" si="85"/>
        <v>-0.99114606731136412</v>
      </c>
      <c r="AF24" s="633">
        <f t="shared" si="86"/>
        <v>-1.133974334784796E-7</v>
      </c>
      <c r="AG24" s="602">
        <f t="shared" si="87"/>
        <v>-89.999993444766048</v>
      </c>
      <c r="AH24" s="603">
        <f t="shared" si="88"/>
        <v>97.630037881534946</v>
      </c>
      <c r="AI24" s="585">
        <f t="shared" si="89"/>
        <v>-89.999993502805651</v>
      </c>
      <c r="AJ24" s="586">
        <f t="shared" si="90"/>
        <v>-7.6300378815349914</v>
      </c>
      <c r="AK24" s="635">
        <f>IF(M24="","",(COS(RADIANS((90-$Q$8)-W24))*AD24)+(-SIN(RADIANS((90-$Q$8)-W24))*AE24))</f>
        <v>0.86602544158358608</v>
      </c>
      <c r="AL24" s="629">
        <f t="shared" si="91"/>
        <v>-0.49999993452993763</v>
      </c>
      <c r="AM24" s="634">
        <f t="shared" si="92"/>
        <v>-1.133974334784796E-7</v>
      </c>
      <c r="AN24" s="581">
        <f t="shared" si="93"/>
        <v>-89.999987005609611</v>
      </c>
      <c r="AO24" s="582">
        <f t="shared" si="94"/>
        <v>29.999995668536485</v>
      </c>
      <c r="AP24" s="585">
        <f t="shared" si="95"/>
        <v>-29.999995668535849</v>
      </c>
      <c r="AQ24" s="586">
        <f t="shared" si="9"/>
        <v>0.55214696761117965</v>
      </c>
      <c r="AS24" s="52">
        <f t="shared" si="116"/>
        <v>-67.600042217330611</v>
      </c>
      <c r="AT24" s="72">
        <f t="shared" si="10"/>
        <v>-2.4767423044097954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2.1389999999999998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0.61539929309277275</v>
      </c>
      <c r="C25" s="708">
        <v>-0.3553014437732146</v>
      </c>
      <c r="D25" s="709">
        <v>-0.20180060863063565</v>
      </c>
      <c r="E25" s="710">
        <v>0.46342801103865056</v>
      </c>
      <c r="F25" s="708">
        <v>0.84779481177663285</v>
      </c>
      <c r="G25" s="711">
        <v>0.25783412440827963</v>
      </c>
      <c r="H25" s="710">
        <v>0.26600000000000001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3.1030000000000002</v>
      </c>
      <c r="N25" s="632">
        <f t="shared" si="2"/>
        <v>0.61539929309277275</v>
      </c>
      <c r="O25" s="629">
        <f t="shared" si="3"/>
        <v>-0.3553014437732146</v>
      </c>
      <c r="P25" s="633">
        <f t="shared" si="4"/>
        <v>-0.20180060863063565</v>
      </c>
      <c r="Q25" s="585">
        <f t="shared" si="113"/>
        <v>329.99996534829228</v>
      </c>
      <c r="R25" s="629">
        <f>IF(M25="","",SQRT(N25^2+O25^2))</f>
        <v>0.71060214317606385</v>
      </c>
      <c r="S25" s="634">
        <f>IF(M25="","",P25)</f>
        <v>-0.20180060863063565</v>
      </c>
      <c r="T25" s="635">
        <f>IF(M25="","",X25*COS(RADIANS(W25)))</f>
        <v>-0.35497917281415448</v>
      </c>
      <c r="U25" s="629">
        <f>IF(M25="","",X25*SIN(RADIANS(W25)))</f>
        <v>-0.61558524410076121</v>
      </c>
      <c r="V25" s="636">
        <f>IF(M25="","",Y25)</f>
        <v>-0.20180060863063565</v>
      </c>
      <c r="W25" s="585">
        <f t="shared" si="224"/>
        <v>240.02996534396081</v>
      </c>
      <c r="X25" s="629">
        <f>IF(M25="","",R25)</f>
        <v>0.71060214317606385</v>
      </c>
      <c r="Y25" s="630">
        <f t="shared" si="223"/>
        <v>-0.20180060863063565</v>
      </c>
      <c r="Z25" s="632">
        <f t="shared" si="6"/>
        <v>-0.46342801103865056</v>
      </c>
      <c r="AA25" s="629">
        <f t="shared" si="7"/>
        <v>-0.84779481177663285</v>
      </c>
      <c r="AB25" s="629">
        <f t="shared" si="8"/>
        <v>-0.25783412440827963</v>
      </c>
      <c r="AC25" s="636">
        <f>IF(M25="","",SQRT(Z25^2+AA25^2+AB25^2))</f>
        <v>1</v>
      </c>
      <c r="AD25" s="637">
        <f>IF(M25="","",Z25*(1/SQRT(Z25^2+AA25^2+AB25^2)))</f>
        <v>-0.46342801103865056</v>
      </c>
      <c r="AE25" s="629">
        <f>IF(M25="","",AA25*(1/SQRT(Z25^2+AA25^2+AB25^2)))</f>
        <v>-0.84779481177663285</v>
      </c>
      <c r="AF25" s="633">
        <f>IF(M25="","",AB25*(1/SQRT(Z25^2+AA25^2+AB25^2)))</f>
        <v>-0.25783412440827963</v>
      </c>
      <c r="AG25" s="602">
        <f>IF(M25="","",DEGREES(ATAN2(-AF25,AE25)))</f>
        <v>-73.084263435752646</v>
      </c>
      <c r="AH25" s="603">
        <f>IF(M25="","",DEGREES(ACOS(AD25)))</f>
        <v>117.60853298015098</v>
      </c>
      <c r="AI25" s="585">
        <f>IF(M25="","",DEGREES(-ACOS(-AF25)))</f>
        <v>-75.058414528502141</v>
      </c>
      <c r="AJ25" s="586">
        <f>IF(M25="","",DEGREES(ATAN2(-AE25,AD25)))</f>
        <v>-28.662232062157937</v>
      </c>
      <c r="AK25" s="635">
        <f>IF(M25="","",(COS(RADIANS((90-$Q$8)-W25))*AD25)+(-SIN(RADIANS((90-$Q$8)-W25))*AE25))</f>
        <v>0.9659258360722075</v>
      </c>
      <c r="AL25" s="629">
        <f>IF(M25="","",(SIN(RADIANS((90-$Q$8)-W25))*AD25)+(COS(RADIANS((90-$Q$8)-W25))*AE25))</f>
        <v>2.2557559682354511E-2</v>
      </c>
      <c r="AM25" s="634">
        <f>IF(M25="","",AF25)</f>
        <v>-0.25783412440827963</v>
      </c>
      <c r="AN25" s="581">
        <f>IF(M25="","",DEGREES(ATAN2(-AM25,AL25)))</f>
        <v>4.9999992780894447</v>
      </c>
      <c r="AO25" s="582">
        <f>IF(ROUND(IF(M25="",0,DEGREES(ACOS(AK25))),4)=90,0,IF(M25="","",DEGREES(ACOS(AK25))))</f>
        <v>14.99999783426823</v>
      </c>
      <c r="AP25" s="585">
        <f>IF(M25="","",DEGREES(ATAN2(AK25,AL25)))</f>
        <v>1.337802589549786</v>
      </c>
      <c r="AQ25" s="586">
        <f t="shared" si="9"/>
        <v>3.20481530804468</v>
      </c>
      <c r="AS25" s="52">
        <f t="shared" si="116"/>
        <v>-119.97003465603919</v>
      </c>
      <c r="AT25" s="72">
        <f t="shared" si="10"/>
        <v>-0.1184672512336164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1.1552809695831112</v>
      </c>
      <c r="C26" s="708">
        <v>-0.66700271037639769</v>
      </c>
      <c r="D26" s="709">
        <v>-0.14720044395653897</v>
      </c>
      <c r="E26" s="710">
        <v>0.46342801103865056</v>
      </c>
      <c r="F26" s="708">
        <v>0.84779481177663285</v>
      </c>
      <c r="G26" s="711">
        <v>0.25783412440827974</v>
      </c>
      <c r="H26" s="710">
        <v>0.26600000000000001</v>
      </c>
      <c r="I26" s="708">
        <v>0.52</v>
      </c>
      <c r="J26" s="570">
        <v>3.1059999999999999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3.1059999999999999</v>
      </c>
      <c r="N26" s="632">
        <f t="shared" si="2"/>
        <v>1.1552809695831112</v>
      </c>
      <c r="O26" s="629">
        <f t="shared" si="3"/>
        <v>-0.66700271037639769</v>
      </c>
      <c r="P26" s="633">
        <f t="shared" si="4"/>
        <v>-0.14720044395653897</v>
      </c>
      <c r="Q26" s="585">
        <f t="shared" si="113"/>
        <v>329.99996534829228</v>
      </c>
      <c r="R26" s="629">
        <f>IF(M26="","",SQRT(N26^2+O26^2))</f>
        <v>1.3340040233561343</v>
      </c>
      <c r="S26" s="634">
        <f>IF(M26="","",P26)</f>
        <v>-0.14720044395653897</v>
      </c>
      <c r="T26" s="635">
        <f>IF(M26="","",X26*COS(RADIANS(W26)))</f>
        <v>-0.66639771535896708</v>
      </c>
      <c r="U26" s="629">
        <f>IF(M26="","",X26*SIN(RADIANS(W26)))</f>
        <v>-1.1556300529558337</v>
      </c>
      <c r="V26" s="636">
        <f>IF(M26="","",Y26)</f>
        <v>-0.14720044395653897</v>
      </c>
      <c r="W26" s="585">
        <f t="shared" si="224"/>
        <v>240.02996534396081</v>
      </c>
      <c r="X26" s="629">
        <f>IF(M26="","",R26)</f>
        <v>1.3340040233561343</v>
      </c>
      <c r="Y26" s="630">
        <f t="shared" si="223"/>
        <v>-0.14720044395653897</v>
      </c>
      <c r="Z26" s="632">
        <f t="shared" si="6"/>
        <v>-0.46342801103865056</v>
      </c>
      <c r="AA26" s="629">
        <f t="shared" si="7"/>
        <v>-0.84779481177663285</v>
      </c>
      <c r="AB26" s="629">
        <f t="shared" si="8"/>
        <v>-0.25783412440827974</v>
      </c>
      <c r="AC26" s="636">
        <f>IF(M26="","",SQRT(Z26^2+AA26^2+AB26^2))</f>
        <v>1</v>
      </c>
      <c r="AD26" s="637">
        <f>IF(M26="","",Z26*(1/SQRT(Z26^2+AA26^2+AB26^2)))</f>
        <v>-0.46342801103865056</v>
      </c>
      <c r="AE26" s="629">
        <f>IF(M26="","",AA26*(1/SQRT(Z26^2+AA26^2+AB26^2)))</f>
        <v>-0.84779481177663285</v>
      </c>
      <c r="AF26" s="633">
        <f>IF(M26="","",AB26*(1/SQRT(Z26^2+AA26^2+AB26^2)))</f>
        <v>-0.25783412440827974</v>
      </c>
      <c r="AG26" s="602">
        <f>IF(M26="","",DEGREES(ATAN2(-AF26,AE26)))</f>
        <v>-73.084263435752632</v>
      </c>
      <c r="AH26" s="603">
        <f>IF(M26="","",DEGREES(ACOS(AD26)))</f>
        <v>117.60853298015098</v>
      </c>
      <c r="AI26" s="585">
        <f>IF(M26="","",DEGREES(-ACOS(-AF26)))</f>
        <v>-75.058414528502141</v>
      </c>
      <c r="AJ26" s="586">
        <f>IF(M26="","",DEGREES(ATAN2(-AE26,AD26)))</f>
        <v>-28.662232062157937</v>
      </c>
      <c r="AK26" s="635">
        <f>IF(M26="","",(COS(RADIANS((90-$Q$8)-W26))*AD26)+(-SIN(RADIANS((90-$Q$8)-W26))*AE26))</f>
        <v>0.9659258360722075</v>
      </c>
      <c r="AL26" s="629">
        <f>IF(M26="","",(SIN(RADIANS((90-$Q$8)-W26))*AD26)+(COS(RADIANS((90-$Q$8)-W26))*AE26))</f>
        <v>2.2557559682354511E-2</v>
      </c>
      <c r="AM26" s="634">
        <f>IF(M26="","",AF26)</f>
        <v>-0.25783412440827974</v>
      </c>
      <c r="AN26" s="581">
        <f>IF(M26="","",DEGREES(ATAN2(-AM26,AL26)))</f>
        <v>4.9999992780894429</v>
      </c>
      <c r="AO26" s="582">
        <f t="shared" si="94"/>
        <v>14.99999783426823</v>
      </c>
      <c r="AP26" s="585">
        <f>IF(M26="","",DEGREES(ATAN2(AK26,AL26)))</f>
        <v>1.337802589549786</v>
      </c>
      <c r="AQ26" s="586">
        <f t="shared" si="9"/>
        <v>1.7084288504797964</v>
      </c>
      <c r="AS26" s="52">
        <f t="shared" si="116"/>
        <v>-119.97003465603919</v>
      </c>
      <c r="AT26" s="72">
        <f t="shared" si="10"/>
        <v>-6.3867086559519726E-2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1.6950760433021168</v>
      </c>
      <c r="C27" s="708">
        <v>-0.97865397677640431</v>
      </c>
      <c r="D27" s="709">
        <v>-9.2700279584043241E-2</v>
      </c>
      <c r="E27" s="710">
        <v>0.46342801103865061</v>
      </c>
      <c r="F27" s="708">
        <v>0.84779481177663274</v>
      </c>
      <c r="G27" s="711">
        <v>0.25783412440827963</v>
      </c>
      <c r="H27" s="710">
        <v>0.26600000000000001</v>
      </c>
      <c r="I27" s="708">
        <v>0.52</v>
      </c>
      <c r="J27" s="570">
        <v>3.109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3.109</v>
      </c>
      <c r="N27" s="632">
        <f t="shared" si="2"/>
        <v>1.6950760433021168</v>
      </c>
      <c r="O27" s="629">
        <f t="shared" si="3"/>
        <v>-0.97865397677640431</v>
      </c>
      <c r="P27" s="633">
        <f t="shared" si="4"/>
        <v>-9.2700279584043241E-2</v>
      </c>
      <c r="Q27" s="585">
        <f t="shared" si="113"/>
        <v>329.99996534829228</v>
      </c>
      <c r="R27" s="629">
        <f t="shared" si="79"/>
        <v>1.9573059032346045</v>
      </c>
      <c r="S27" s="634">
        <f t="shared" si="80"/>
        <v>-9.2700279584043241E-2</v>
      </c>
      <c r="T27" s="635">
        <f t="shared" si="81"/>
        <v>-0.97776630305255374</v>
      </c>
      <c r="U27" s="629">
        <f t="shared" si="82"/>
        <v>-1.6955882328714047</v>
      </c>
      <c r="V27" s="636">
        <f t="shared" si="114"/>
        <v>-9.2700279584043241E-2</v>
      </c>
      <c r="W27" s="585">
        <f t="shared" si="224"/>
        <v>240.02996534396081</v>
      </c>
      <c r="X27" s="629">
        <f t="shared" si="83"/>
        <v>1.9573059032346045</v>
      </c>
      <c r="Y27" s="630">
        <f t="shared" si="223"/>
        <v>-9.2700279584043241E-2</v>
      </c>
      <c r="Z27" s="632">
        <f t="shared" si="6"/>
        <v>-0.46342801103865061</v>
      </c>
      <c r="AA27" s="629">
        <f t="shared" si="7"/>
        <v>-0.84779481177663274</v>
      </c>
      <c r="AB27" s="629">
        <f t="shared" si="8"/>
        <v>-0.25783412440827963</v>
      </c>
      <c r="AC27" s="636">
        <f t="shared" si="84"/>
        <v>1</v>
      </c>
      <c r="AD27" s="637">
        <f t="shared" si="115"/>
        <v>-0.46342801103865061</v>
      </c>
      <c r="AE27" s="629">
        <f t="shared" si="85"/>
        <v>-0.84779481177663274</v>
      </c>
      <c r="AF27" s="633">
        <f t="shared" si="86"/>
        <v>-0.25783412440827963</v>
      </c>
      <c r="AG27" s="602">
        <f t="shared" si="87"/>
        <v>-73.084263435752632</v>
      </c>
      <c r="AH27" s="603">
        <f t="shared" si="88"/>
        <v>117.60853298015098</v>
      </c>
      <c r="AI27" s="585">
        <f t="shared" si="89"/>
        <v>-75.058414528502141</v>
      </c>
      <c r="AJ27" s="586">
        <f t="shared" si="90"/>
        <v>-28.662232062157944</v>
      </c>
      <c r="AK27" s="635">
        <f t="shared" si="211"/>
        <v>0.96592583607220739</v>
      </c>
      <c r="AL27" s="629">
        <f t="shared" si="91"/>
        <v>2.25575596823544E-2</v>
      </c>
      <c r="AM27" s="634">
        <f t="shared" si="92"/>
        <v>-0.25783412440827963</v>
      </c>
      <c r="AN27" s="581">
        <f t="shared" si="93"/>
        <v>4.9999992780894198</v>
      </c>
      <c r="AO27" s="582">
        <f t="shared" si="94"/>
        <v>14.999997834268255</v>
      </c>
      <c r="AP27" s="585">
        <f t="shared" si="95"/>
        <v>1.3378025895497796</v>
      </c>
      <c r="AQ27" s="586">
        <f t="shared" si="9"/>
        <v>1.1645663975702358</v>
      </c>
      <c r="AS27" s="52">
        <f t="shared" si="116"/>
        <v>-119.97003465603919</v>
      </c>
      <c r="AT27" s="72">
        <f t="shared" si="10"/>
        <v>-9.3669221870239933E-3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2.2561733144418783</v>
      </c>
      <c r="C28" s="708">
        <v>-1.3205168830143819</v>
      </c>
      <c r="D28" s="709">
        <v>-5.220015743567484E-2</v>
      </c>
      <c r="E28" s="710">
        <v>0.53997002698976448</v>
      </c>
      <c r="F28" s="708">
        <v>0.80202699698372171</v>
      </c>
      <c r="G28" s="711">
        <v>0.25531366211377399</v>
      </c>
      <c r="H28" s="710">
        <v>0.26600000000000001</v>
      </c>
      <c r="I28" s="708">
        <v>0.52</v>
      </c>
      <c r="J28" s="570">
        <v>3.1139999999999999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3.1139999999999999</v>
      </c>
      <c r="N28" s="632">
        <f t="shared" si="2"/>
        <v>2.2561733144418783</v>
      </c>
      <c r="O28" s="629">
        <f t="shared" si="3"/>
        <v>-1.3205168830143819</v>
      </c>
      <c r="P28" s="633">
        <f t="shared" si="4"/>
        <v>-5.220015743567484E-2</v>
      </c>
      <c r="Q28" s="585">
        <f t="shared" si="113"/>
        <v>329.65996539738217</v>
      </c>
      <c r="R28" s="629">
        <f t="shared" si="79"/>
        <v>2.61420788445098</v>
      </c>
      <c r="S28" s="634">
        <f t="shared" si="80"/>
        <v>-5.220015743567484E-2</v>
      </c>
      <c r="T28" s="635">
        <f t="shared" si="81"/>
        <v>-1.3193353726404005</v>
      </c>
      <c r="U28" s="629">
        <f t="shared" si="82"/>
        <v>-2.2568644260622928</v>
      </c>
      <c r="V28" s="636">
        <f t="shared" si="114"/>
        <v>-5.220015743567484E-2</v>
      </c>
      <c r="W28" s="585">
        <f t="shared" si="224"/>
        <v>239.6899653930507</v>
      </c>
      <c r="X28" s="629">
        <f t="shared" si="83"/>
        <v>2.61420788445098</v>
      </c>
      <c r="Y28" s="630">
        <f t="shared" si="223"/>
        <v>-5.220015743567484E-2</v>
      </c>
      <c r="Z28" s="632">
        <f t="shared" si="6"/>
        <v>-0.53997002698976448</v>
      </c>
      <c r="AA28" s="629">
        <f t="shared" si="7"/>
        <v>-0.80202699698372171</v>
      </c>
      <c r="AB28" s="629">
        <f t="shared" si="8"/>
        <v>-0.25531366211377399</v>
      </c>
      <c r="AC28" s="636">
        <f t="shared" si="84"/>
        <v>1</v>
      </c>
      <c r="AD28" s="637">
        <f t="shared" si="115"/>
        <v>-0.53997002698976448</v>
      </c>
      <c r="AE28" s="629">
        <f t="shared" si="85"/>
        <v>-0.80202699698372171</v>
      </c>
      <c r="AF28" s="633">
        <f t="shared" si="86"/>
        <v>-0.25531366211377399</v>
      </c>
      <c r="AG28" s="602">
        <f t="shared" si="87"/>
        <v>-72.341880503840841</v>
      </c>
      <c r="AH28" s="603">
        <f t="shared" si="88"/>
        <v>122.68159847706792</v>
      </c>
      <c r="AI28" s="585">
        <f t="shared" si="89"/>
        <v>-75.207828106563042</v>
      </c>
      <c r="AJ28" s="586">
        <f t="shared" si="90"/>
        <v>-33.950674271620812</v>
      </c>
      <c r="AK28" s="635">
        <f t="shared" si="211"/>
        <v>0.96493911598316373</v>
      </c>
      <c r="AL28" s="629">
        <f t="shared" si="91"/>
        <v>-6.0888721317534145E-2</v>
      </c>
      <c r="AM28" s="634">
        <f t="shared" si="92"/>
        <v>-0.25531366211377399</v>
      </c>
      <c r="AN28" s="581">
        <f t="shared" si="93"/>
        <v>-13.413681070512039</v>
      </c>
      <c r="AO28" s="582">
        <f t="shared" si="94"/>
        <v>15.216900223163455</v>
      </c>
      <c r="AP28" s="585">
        <f t="shared" si="95"/>
        <v>-3.6106396690029592</v>
      </c>
      <c r="AQ28" s="586">
        <f t="shared" si="9"/>
        <v>0.8719852135508207</v>
      </c>
      <c r="AS28" s="52">
        <f t="shared" si="116"/>
        <v>-120.3100346069493</v>
      </c>
      <c r="AT28" s="72">
        <f t="shared" si="10"/>
        <v>3.1369311038365322E-2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3.1139999999999999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2.8380142875795822</v>
      </c>
      <c r="C29" s="708">
        <v>-1.7228294723830759</v>
      </c>
      <c r="D29" s="709">
        <v>-0.31440094823325987</v>
      </c>
      <c r="E29" s="710">
        <v>0.66281214330391236</v>
      </c>
      <c r="F29" s="708">
        <v>0.71777261849973073</v>
      </c>
      <c r="G29" s="711">
        <v>0.21326633775848003</v>
      </c>
      <c r="H29" s="710">
        <v>0.314</v>
      </c>
      <c r="I29" s="708">
        <v>0.52</v>
      </c>
      <c r="J29" s="570">
        <v>3.12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3.12</v>
      </c>
      <c r="N29" s="632">
        <f t="shared" si="2"/>
        <v>2.8380142875795822</v>
      </c>
      <c r="O29" s="629">
        <f t="shared" si="3"/>
        <v>-1.7228294723830759</v>
      </c>
      <c r="P29" s="633">
        <f t="shared" si="4"/>
        <v>-0.31440094823325987</v>
      </c>
      <c r="Q29" s="585">
        <f t="shared" si="113"/>
        <v>328.73996553021374</v>
      </c>
      <c r="R29" s="629">
        <f>IF(M29="","",SQRT(N29^2+O29^2))</f>
        <v>3.3200100131501999</v>
      </c>
      <c r="S29" s="634">
        <f>IF(M29="","",P29)</f>
        <v>-0.31440094823325987</v>
      </c>
      <c r="T29" s="635">
        <f>IF(M29="","",X29*COS(RADIANS(W29)))</f>
        <v>-1.7213432556977497</v>
      </c>
      <c r="U29" s="629">
        <f>IF(M29="","",X29*SIN(RADIANS(W29)))</f>
        <v>-2.8389159697816808</v>
      </c>
      <c r="V29" s="636">
        <f>IF(M29="","",Y29)</f>
        <v>-0.31440094823325987</v>
      </c>
      <c r="W29" s="585">
        <f t="shared" si="224"/>
        <v>238.76996552588227</v>
      </c>
      <c r="X29" s="629">
        <f>IF(M29="","",R29)</f>
        <v>3.3200100131501999</v>
      </c>
      <c r="Y29" s="630">
        <f t="shared" si="223"/>
        <v>-0.31440094823325987</v>
      </c>
      <c r="Z29" s="632">
        <f t="shared" si="6"/>
        <v>-0.66281214330391236</v>
      </c>
      <c r="AA29" s="629">
        <f t="shared" si="7"/>
        <v>-0.71777261849973073</v>
      </c>
      <c r="AB29" s="629">
        <f t="shared" si="8"/>
        <v>-0.21326633775848003</v>
      </c>
      <c r="AC29" s="636">
        <f>IF(M29="","",SQRT(Z29^2+AA29^2+AB29^2))</f>
        <v>1</v>
      </c>
      <c r="AD29" s="637">
        <f>IF(M29="","",Z29*(1/SQRT(Z29^2+AA29^2+AB29^2)))</f>
        <v>-0.66281214330391236</v>
      </c>
      <c r="AE29" s="629">
        <f>IF(M29="","",AA29*(1/SQRT(Z29^2+AA29^2+AB29^2)))</f>
        <v>-0.71777261849973073</v>
      </c>
      <c r="AF29" s="633">
        <f>IF(M29="","",AB29*(1/SQRT(Z29^2+AA29^2+AB29^2)))</f>
        <v>-0.21326633775848003</v>
      </c>
      <c r="AG29" s="602">
        <f>IF(M29="","",DEGREES(ATAN2(-AF29,AE29)))</f>
        <v>-73.452135087327221</v>
      </c>
      <c r="AH29" s="603">
        <f>IF(M29="","",DEGREES(ACOS(AD29)))</f>
        <v>131.51469711315616</v>
      </c>
      <c r="AI29" s="585">
        <f>IF(M29="","",DEGREES(-ACOS(-AF29)))</f>
        <v>-77.686162999355901</v>
      </c>
      <c r="AJ29" s="586">
        <f>IF(M29="","",DEGREES(ATAN2(-AE29,AD29)))</f>
        <v>-42.720283881825253</v>
      </c>
      <c r="AK29" s="635">
        <f>IF(M29="","",(COS(RADIANS((90-$Q$8)-W29))*AD29)+(-SIN(RADIANS((90-$Q$8)-W29))*AE29))</f>
        <v>0.95751555841142</v>
      </c>
      <c r="AL29" s="629">
        <f>IF(M29="","",(SIN(RADIANS((90-$Q$8)-W29))*AD29)+(COS(RADIANS((90-$Q$8)-W29))*AE29))</f>
        <v>-0.1941170383535471</v>
      </c>
      <c r="AM29" s="634">
        <f>IF(M29="","",AF29)</f>
        <v>-0.21326633775848003</v>
      </c>
      <c r="AN29" s="581">
        <f>IF(M29="","",DEGREES(ATAN2(-AM29,AL29)))</f>
        <v>-42.308758549991488</v>
      </c>
      <c r="AO29" s="582">
        <f t="shared" si="94"/>
        <v>16.761090406747435</v>
      </c>
      <c r="AP29" s="585">
        <f>IF(M29="","",DEGREES(ATAN2(AK29,AL29)))</f>
        <v>-11.460249412038978</v>
      </c>
      <c r="AQ29" s="586">
        <f t="shared" si="9"/>
        <v>0.68662970519294408</v>
      </c>
      <c r="AS29" s="52">
        <f t="shared" si="116"/>
        <v>-121.23003447411773</v>
      </c>
      <c r="AT29" s="72">
        <f t="shared" si="10"/>
        <v>-0.23019259096257497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3.2788181908072582</v>
      </c>
      <c r="C30" s="708">
        <v>-2.0623879426971135</v>
      </c>
      <c r="D30" s="709">
        <v>-0.86980262332471192</v>
      </c>
      <c r="E30" s="710">
        <v>0.75831689404369462</v>
      </c>
      <c r="F30" s="708">
        <v>0.6386662150037572</v>
      </c>
      <c r="G30" s="711">
        <v>0.13061758695022216</v>
      </c>
      <c r="H30" s="710">
        <v>0.314</v>
      </c>
      <c r="I30" s="708">
        <v>0.52</v>
      </c>
      <c r="J30" s="570">
        <v>3.1259999999999999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3.1259999999999999</v>
      </c>
      <c r="N30" s="632">
        <f t="shared" si="2"/>
        <v>3.2788181908072582</v>
      </c>
      <c r="O30" s="629">
        <f t="shared" si="3"/>
        <v>-2.0623879426971135</v>
      </c>
      <c r="P30" s="633">
        <f t="shared" si="4"/>
        <v>-0.86980262332471192</v>
      </c>
      <c r="Q30" s="585">
        <f t="shared" si="113"/>
        <v>327.82996566160148</v>
      </c>
      <c r="R30" s="629">
        <f>IF(M30="","",SQRT(N30^2+O30^2))</f>
        <v>3.8735116825112343</v>
      </c>
      <c r="S30" s="634">
        <f>IF(M30="","",P30)</f>
        <v>-0.86980262332471192</v>
      </c>
      <c r="T30" s="635">
        <f>IF(M30="","",X30*COS(RADIANS(W30)))</f>
        <v>-2.0606708751257194</v>
      </c>
      <c r="U30" s="629">
        <f>IF(M30="","",X30*SIN(RADIANS(W30)))</f>
        <v>-3.2798976049504374</v>
      </c>
      <c r="V30" s="636">
        <f>IF(M30="","",Y30)</f>
        <v>-0.86980262332471192</v>
      </c>
      <c r="W30" s="585">
        <f t="shared" si="224"/>
        <v>237.85996565727001</v>
      </c>
      <c r="X30" s="629">
        <f>IF(M30="","",R30)</f>
        <v>3.8735116825112343</v>
      </c>
      <c r="Y30" s="630">
        <f t="shared" si="223"/>
        <v>-0.86980262332471192</v>
      </c>
      <c r="Z30" s="632">
        <f t="shared" si="6"/>
        <v>-0.75831689404369462</v>
      </c>
      <c r="AA30" s="629">
        <f t="shared" si="7"/>
        <v>-0.6386662150037572</v>
      </c>
      <c r="AB30" s="629">
        <f t="shared" si="8"/>
        <v>-0.13061758695022216</v>
      </c>
      <c r="AC30" s="636">
        <f>IF(M30="","",SQRT(Z30^2+AA30^2+AB30^2))</f>
        <v>1</v>
      </c>
      <c r="AD30" s="637">
        <f>IF(M30="","",Z30*(1/SQRT(Z30^2+AA30^2+AB30^2)))</f>
        <v>-0.75831689404369462</v>
      </c>
      <c r="AE30" s="629">
        <f>IF(M30="","",AA30*(1/SQRT(Z30^2+AA30^2+AB30^2)))</f>
        <v>-0.6386662150037572</v>
      </c>
      <c r="AF30" s="633">
        <f>IF(M30="","",AB30*(1/SQRT(Z30^2+AA30^2+AB30^2)))</f>
        <v>-0.13061758695022216</v>
      </c>
      <c r="AG30" s="602">
        <f>IF(M30="","",DEGREES(ATAN2(-AF30,AE30)))</f>
        <v>-78.441478099971405</v>
      </c>
      <c r="AH30" s="603">
        <f>IF(M30="","",DEGREES(ACOS(AD30)))</f>
        <v>139.31604281951363</v>
      </c>
      <c r="AI30" s="585">
        <f>IF(M30="","",DEGREES(-ACOS(-AF30)))</f>
        <v>-82.494718249802844</v>
      </c>
      <c r="AJ30" s="586">
        <f>IF(M30="","",DEGREES(ATAN2(-AE30,AD30)))</f>
        <v>-49.895398366220057</v>
      </c>
      <c r="AK30" s="635">
        <f>IF(M30="","",(COS(RADIANS((90-$Q$8)-W30))*AD30)+(-SIN(RADIANS((90-$Q$8)-W30))*AE30))</f>
        <v>0.94436633278876636</v>
      </c>
      <c r="AL30" s="629">
        <f>IF(M30="","",(SIN(RADIANS((90-$Q$8)-W30))*AD30)+(COS(RADIANS((90-$Q$8)-W30))*AE30))</f>
        <v>-0.30184644353445428</v>
      </c>
      <c r="AM30" s="634">
        <f>IF(M30="","",AF30)</f>
        <v>-0.13061758695022216</v>
      </c>
      <c r="AN30" s="581">
        <f>IF(M30="","",DEGREES(ATAN2(-AM30,AL30)))</f>
        <v>-66.600484943607796</v>
      </c>
      <c r="AO30" s="582">
        <f>IF(ROUND(IF(M30="",0,DEGREES(ACOS(AK30))),4)=90,0,IF(M30="","",DEGREES(ACOS(AK30))))</f>
        <v>19.201748666986646</v>
      </c>
      <c r="AP30" s="585">
        <f>IF(M30="","",DEGREES(ATAN2(AK30,AL30)))</f>
        <v>-17.725364027821534</v>
      </c>
      <c r="AQ30" s="586">
        <f t="shared" si="9"/>
        <v>0.58852190022091766</v>
      </c>
      <c r="AS30" s="52">
        <f t="shared" si="116"/>
        <v>-122.14003434272999</v>
      </c>
      <c r="AT30" s="72">
        <f t="shared" si="10"/>
        <v>-0.78496232170082403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3.4460812477211342</v>
      </c>
      <c r="C31" s="708">
        <v>-2.2004755314081677</v>
      </c>
      <c r="D31" s="709">
        <v>-1.6239048976971715</v>
      </c>
      <c r="E31" s="710">
        <v>0.80715743305405152</v>
      </c>
      <c r="F31" s="708">
        <v>0.59011055434154058</v>
      </c>
      <c r="G31" s="711">
        <v>1.6322129772613242E-2</v>
      </c>
      <c r="H31" s="710">
        <v>0.314</v>
      </c>
      <c r="I31" s="708">
        <v>0.52</v>
      </c>
      <c r="J31" s="570">
        <v>3.1320000000000001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3.1320000000000001</v>
      </c>
      <c r="N31" s="632">
        <f t="shared" si="2"/>
        <v>3.4460812477211342</v>
      </c>
      <c r="O31" s="629">
        <f t="shared" si="3"/>
        <v>-2.2004755314081677</v>
      </c>
      <c r="P31" s="633">
        <f t="shared" si="4"/>
        <v>-1.6239048976971715</v>
      </c>
      <c r="Q31" s="585">
        <f t="shared" si="113"/>
        <v>327.43996571791047</v>
      </c>
      <c r="R31" s="629">
        <f>IF(M31="","",SQRT(N31^2+O31^2))</f>
        <v>4.0887123315563922</v>
      </c>
      <c r="S31" s="634">
        <f>IF(M31="","",P31)</f>
        <v>-1.6239048976971715</v>
      </c>
      <c r="T31" s="635">
        <f>IF(M31="","",X31*COS(RADIANS(W31)))</f>
        <v>-2.1986708661928787</v>
      </c>
      <c r="U31" s="629">
        <f>IF(M31="","",X31*SIN(RADIANS(W31)))</f>
        <v>-3.4472329414148919</v>
      </c>
      <c r="V31" s="636">
        <f>IF(M31="","",Y31)</f>
        <v>-1.6239048976971715</v>
      </c>
      <c r="W31" s="585">
        <f t="shared" si="224"/>
        <v>237.469965713579</v>
      </c>
      <c r="X31" s="629">
        <f>IF(M31="","",R31)</f>
        <v>4.0887123315563922</v>
      </c>
      <c r="Y31" s="630">
        <f t="shared" si="223"/>
        <v>-1.6239048976971715</v>
      </c>
      <c r="Z31" s="632">
        <f t="shared" si="6"/>
        <v>-0.80715743305405152</v>
      </c>
      <c r="AA31" s="629">
        <f t="shared" si="7"/>
        <v>-0.59011055434154058</v>
      </c>
      <c r="AB31" s="629">
        <f t="shared" si="8"/>
        <v>-1.6322129772613242E-2</v>
      </c>
      <c r="AC31" s="636">
        <f>IF(M31="","",SQRT(Z31^2+AA31^2+AB31^2))</f>
        <v>1</v>
      </c>
      <c r="AD31" s="637">
        <f>IF(M31="","",Z31*(1/SQRT(Z31^2+AA31^2+AB31^2)))</f>
        <v>-0.80715743305405152</v>
      </c>
      <c r="AE31" s="629">
        <f>IF(M31="","",AA31*(1/SQRT(Z31^2+AA31^2+AB31^2)))</f>
        <v>-0.59011055434154058</v>
      </c>
      <c r="AF31" s="633">
        <f>IF(M31="","",AB31*(1/SQRT(Z31^2+AA31^2+AB31^2)))</f>
        <v>-1.6322129772613242E-2</v>
      </c>
      <c r="AG31" s="602">
        <f>IF(M31="","",DEGREES(ATAN2(-AF31,AE31)))</f>
        <v>-88.415634555322981</v>
      </c>
      <c r="AH31" s="603">
        <f>IF(M31="","",DEGREES(ACOS(AD31)))</f>
        <v>143.81912743720423</v>
      </c>
      <c r="AI31" s="585">
        <f>IF(M31="","",DEGREES(-ACOS(-AF31)))</f>
        <v>-89.064769322129337</v>
      </c>
      <c r="AJ31" s="586">
        <f>IF(M31="","",DEGREES(ATAN2(-AE31,AD31)))</f>
        <v>-53.829566126685414</v>
      </c>
      <c r="AK31" s="635">
        <f>IF(M31="","",(COS(RADIANS((90-$Q$8)-W31))*AD31)+(-SIN(RADIANS((90-$Q$8)-W31))*AE31))</f>
        <v>0.93176012101056516</v>
      </c>
      <c r="AL31" s="629">
        <f>IF(M31="","",(SIN(RADIANS((90-$Q$8)-W31))*AD31)+(COS(RADIANS((90-$Q$8)-W31))*AE31))</f>
        <v>-0.36270740959354941</v>
      </c>
      <c r="AM31" s="634">
        <f>IF(M31="","",AF31)</f>
        <v>-1.6322129772613242E-2</v>
      </c>
      <c r="AN31" s="581">
        <f>IF(M31="","",DEGREES(ATAN2(-AM31,AL31)))</f>
        <v>-87.423381452270092</v>
      </c>
      <c r="AO31" s="582">
        <f t="shared" si="94"/>
        <v>21.289130764808807</v>
      </c>
      <c r="AP31" s="585">
        <f>IF(M31="","",DEGREES(ATAN2(AK31,AL31)))</f>
        <v>-21.26953184459585</v>
      </c>
      <c r="AQ31" s="586">
        <f t="shared" si="9"/>
        <v>0.55754831552761641</v>
      </c>
      <c r="AS31" s="52">
        <f t="shared" si="116"/>
        <v>-122.530034286421</v>
      </c>
      <c r="AT31" s="72">
        <f t="shared" si="10"/>
        <v>-1.5387937627790538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3.1320000000000001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3.4770771848766362</v>
      </c>
      <c r="C32" s="708">
        <v>-2.2262526279231927</v>
      </c>
      <c r="D32" s="709">
        <v>-2.3948072227385842</v>
      </c>
      <c r="E32" s="710">
        <v>0.88805646370863567</v>
      </c>
      <c r="F32" s="708">
        <v>0.45973439861000159</v>
      </c>
      <c r="G32" s="711">
        <v>1.1339743392783211E-7</v>
      </c>
      <c r="H32" s="710">
        <v>0.314</v>
      </c>
      <c r="I32" s="708">
        <v>0.52</v>
      </c>
      <c r="J32" s="570">
        <v>3.1379999999999999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3.1379999999999999</v>
      </c>
      <c r="N32" s="632">
        <f t="shared" si="2"/>
        <v>3.4770771848766362</v>
      </c>
      <c r="O32" s="629">
        <f t="shared" si="3"/>
        <v>-2.2262526279231927</v>
      </c>
      <c r="P32" s="633">
        <f t="shared" si="4"/>
        <v>-2.3948072227385842</v>
      </c>
      <c r="Q32" s="585">
        <f t="shared" si="113"/>
        <v>327.36996572801723</v>
      </c>
      <c r="R32" s="629">
        <f t="shared" si="79"/>
        <v>4.1287124521967566</v>
      </c>
      <c r="S32" s="634">
        <f t="shared" si="80"/>
        <v>-2.3948072227385842</v>
      </c>
      <c r="T32" s="635">
        <f t="shared" si="81"/>
        <v>-2.2244317297427751</v>
      </c>
      <c r="U32" s="629">
        <f t="shared" si="82"/>
        <v>-3.4782423711751487</v>
      </c>
      <c r="V32" s="636">
        <f t="shared" si="114"/>
        <v>-2.3948072227385842</v>
      </c>
      <c r="W32" s="585">
        <f t="shared" si="224"/>
        <v>237.39996572368577</v>
      </c>
      <c r="X32" s="629">
        <f t="shared" si="83"/>
        <v>4.1287124521967566</v>
      </c>
      <c r="Y32" s="630">
        <f t="shared" si="223"/>
        <v>-2.3948072227385842</v>
      </c>
      <c r="Z32" s="632">
        <f t="shared" si="6"/>
        <v>-0.88805646370863567</v>
      </c>
      <c r="AA32" s="629">
        <f t="shared" si="7"/>
        <v>-0.45973439861000159</v>
      </c>
      <c r="AB32" s="629">
        <f t="shared" si="8"/>
        <v>-1.1339743392783211E-7</v>
      </c>
      <c r="AC32" s="636">
        <f t="shared" si="84"/>
        <v>1</v>
      </c>
      <c r="AD32" s="637">
        <f t="shared" si="115"/>
        <v>-0.88805646370863567</v>
      </c>
      <c r="AE32" s="629">
        <f t="shared" si="85"/>
        <v>-0.45973439861000159</v>
      </c>
      <c r="AF32" s="633">
        <f t="shared" si="86"/>
        <v>-1.1339743392783211E-7</v>
      </c>
      <c r="AG32" s="602">
        <f t="shared" si="87"/>
        <v>-89.999985867504378</v>
      </c>
      <c r="AH32" s="603">
        <f t="shared" si="88"/>
        <v>152.63002994051791</v>
      </c>
      <c r="AI32" s="585">
        <f t="shared" si="89"/>
        <v>-89.999993502805637</v>
      </c>
      <c r="AJ32" s="586">
        <f t="shared" si="90"/>
        <v>-62.630029940518639</v>
      </c>
      <c r="AK32" s="635">
        <f t="shared" si="211"/>
        <v>0.86602544158358574</v>
      </c>
      <c r="AL32" s="629">
        <f t="shared" si="91"/>
        <v>-0.49999993452993802</v>
      </c>
      <c r="AM32" s="634">
        <f t="shared" si="92"/>
        <v>-1.1339743392783211E-7</v>
      </c>
      <c r="AN32" s="581">
        <f t="shared" si="93"/>
        <v>-89.999987005609555</v>
      </c>
      <c r="AO32" s="582">
        <f t="shared" si="94"/>
        <v>29.99999566853651</v>
      </c>
      <c r="AP32" s="585">
        <f t="shared" si="95"/>
        <v>-29.999995668535874</v>
      </c>
      <c r="AQ32" s="586">
        <f t="shared" si="9"/>
        <v>0.55214696761117965</v>
      </c>
      <c r="AS32" s="52">
        <f t="shared" si="116"/>
        <v>-122.60003427631423</v>
      </c>
      <c r="AT32" s="72">
        <f t="shared" si="10"/>
        <v>-2.3096474767163739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9.8150868293721161E-2</v>
      </c>
      <c r="C33" s="708">
        <v>-1.121875581908687</v>
      </c>
      <c r="D33" s="709">
        <v>-0.20040118909969162</v>
      </c>
      <c r="E33" s="710">
        <v>-7.5958559915795896E-3</v>
      </c>
      <c r="F33" s="708">
        <v>8.6824099637050942E-2</v>
      </c>
      <c r="G33" s="711">
        <v>0.99619469918985748</v>
      </c>
      <c r="H33" s="710">
        <v>0.25700000000000001</v>
      </c>
      <c r="I33" s="708">
        <v>0.41499999999999992</v>
      </c>
      <c r="J33" s="570">
        <v>3.2050000000000001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CPS-32193r1</v>
      </c>
      <c r="L33" s="320"/>
      <c r="M33" s="168">
        <f t="shared" si="1"/>
        <v>3.2050000000000001</v>
      </c>
      <c r="N33" s="632">
        <f t="shared" si="2"/>
        <v>9.8150868293721161E-2</v>
      </c>
      <c r="O33" s="629">
        <f t="shared" si="3"/>
        <v>-1.121875581908687</v>
      </c>
      <c r="P33" s="633">
        <f t="shared" si="4"/>
        <v>-0.20040118909969162</v>
      </c>
      <c r="Q33" s="585">
        <f t="shared" si="113"/>
        <v>274.99997328930863</v>
      </c>
      <c r="R33" s="629">
        <f t="shared" si="79"/>
        <v>1.126160918443615</v>
      </c>
      <c r="S33" s="634">
        <f t="shared" si="80"/>
        <v>-0.20040118909969162</v>
      </c>
      <c r="T33" s="635">
        <f t="shared" si="81"/>
        <v>-1.1218240364597605</v>
      </c>
      <c r="U33" s="629">
        <f t="shared" si="82"/>
        <v>-9.8738267408824729E-2</v>
      </c>
      <c r="V33" s="636">
        <f t="shared" si="114"/>
        <v>-0.20040118909969162</v>
      </c>
      <c r="W33" s="585">
        <f t="shared" si="224"/>
        <v>185.02997328497716</v>
      </c>
      <c r="X33" s="629">
        <f t="shared" si="83"/>
        <v>1.126160918443615</v>
      </c>
      <c r="Y33" s="630">
        <f t="shared" si="223"/>
        <v>-0.20040118909969162</v>
      </c>
      <c r="Z33" s="632">
        <f t="shared" si="6"/>
        <v>7.5958559915795896E-3</v>
      </c>
      <c r="AA33" s="629">
        <f t="shared" si="7"/>
        <v>-8.6824099637050942E-2</v>
      </c>
      <c r="AB33" s="629">
        <f t="shared" si="8"/>
        <v>-0.99619469918985748</v>
      </c>
      <c r="AC33" s="636">
        <f t="shared" si="84"/>
        <v>1</v>
      </c>
      <c r="AD33" s="637">
        <f t="shared" si="115"/>
        <v>7.5958559915795896E-3</v>
      </c>
      <c r="AE33" s="629">
        <f t="shared" si="85"/>
        <v>-8.6824099637050942E-2</v>
      </c>
      <c r="AF33" s="633">
        <f t="shared" si="86"/>
        <v>-0.99619469918985748</v>
      </c>
      <c r="AG33" s="602">
        <f t="shared" si="87"/>
        <v>-4.9810700049171297</v>
      </c>
      <c r="AH33" s="603">
        <f t="shared" si="88"/>
        <v>89.564785324726017</v>
      </c>
      <c r="AI33" s="585">
        <f t="shared" si="89"/>
        <v>-4.9999992781062668</v>
      </c>
      <c r="AJ33" s="586">
        <f t="shared" si="90"/>
        <v>4.9998241953779505</v>
      </c>
      <c r="AK33" s="635">
        <f t="shared" si="211"/>
        <v>2.2679489670388714E-7</v>
      </c>
      <c r="AL33" s="629">
        <f t="shared" si="91"/>
        <v>8.715573019588517E-2</v>
      </c>
      <c r="AM33" s="634">
        <f t="shared" si="92"/>
        <v>-0.99619469918985748</v>
      </c>
      <c r="AN33" s="581">
        <f t="shared" si="93"/>
        <v>4.9999992780894225</v>
      </c>
      <c r="AO33" s="582">
        <f t="shared" si="94"/>
        <v>0</v>
      </c>
      <c r="AP33" s="585">
        <f t="shared" si="95"/>
        <v>89.999850906069327</v>
      </c>
      <c r="AQ33" s="586">
        <f t="shared" si="9"/>
        <v>2.0234930100478028</v>
      </c>
      <c r="AS33" s="52">
        <f t="shared" si="116"/>
        <v>-174.97002671502284</v>
      </c>
      <c r="AT33" s="72">
        <f t="shared" si="10"/>
        <v>-7.8873392772822612E-2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3.2050000000000001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5.1050000000000004</v>
      </c>
      <c r="II33" s="734" cm="1">
        <f t="array" ref="II33">IFERROR(ROUND(VALUE(IF($IH33&lt;1,$IH33+LARGE((IF($M$9:$M$150="",0,$M$9:$M$150)-MOD(IF($M$9:$M$150="",0,$M$9:$M$150),1)),1),$IH33)),4),"")</f>
        <v>5.1050000000000004</v>
      </c>
      <c r="IJ33" s="533">
        <f t="shared" si="112"/>
        <v>1313</v>
      </c>
      <c r="IK33" s="533" t="str">
        <f t="shared" si="66"/>
        <v>CPS-32193r1</v>
      </c>
      <c r="IL33" s="727">
        <f t="shared" si="225"/>
        <v>295.00000938483754</v>
      </c>
      <c r="IM33" s="759">
        <v>2.28929370350326E-2</v>
      </c>
      <c r="IN33" s="5">
        <f t="shared" si="226"/>
        <v>0.06</v>
      </c>
      <c r="IO33" s="771">
        <v>30</v>
      </c>
      <c r="IP33" s="9">
        <f t="shared" si="227"/>
        <v>-1.1262033966294445</v>
      </c>
      <c r="IQ33" s="5">
        <f t="shared" si="228"/>
        <v>-0.16540049884790453</v>
      </c>
      <c r="IR33" s="5">
        <f t="shared" si="71"/>
        <v>0.26600000000000001</v>
      </c>
      <c r="IS33" s="5">
        <f t="shared" si="229"/>
        <v>0.25693627239520717</v>
      </c>
      <c r="IT33" s="727">
        <f t="shared" si="230"/>
        <v>-4.9999992780894198</v>
      </c>
      <c r="IU33" s="9">
        <f t="shared" si="231"/>
        <v>-1.126160918443615</v>
      </c>
      <c r="IV33" s="5">
        <f t="shared" si="232"/>
        <v>-0.20040118909969162</v>
      </c>
      <c r="IW33" s="5">
        <f t="shared" si="76"/>
        <v>0.25700000000000001</v>
      </c>
      <c r="IX33" s="5">
        <f t="shared" si="233"/>
        <v>0.25700000000000001</v>
      </c>
      <c r="IY33" s="762">
        <f t="shared" si="234"/>
        <v>-4.9999992780894225</v>
      </c>
    </row>
    <row r="34" spans="1:267" ht="15" customHeight="1" x14ac:dyDescent="0.25">
      <c r="A34" s="79"/>
      <c r="B34" s="707">
        <v>0.82621815613970728</v>
      </c>
      <c r="C34" s="708">
        <v>-1.5421846662423555</v>
      </c>
      <c r="D34" s="709">
        <v>-0.14429129765003679</v>
      </c>
      <c r="E34" s="710">
        <v>-4.1158452269612136E-2</v>
      </c>
      <c r="F34" s="708">
        <v>7.6825146357162422E-2</v>
      </c>
      <c r="G34" s="711">
        <v>0.99619469918985748</v>
      </c>
      <c r="H34" s="710">
        <v>0.25700000000000001</v>
      </c>
      <c r="I34" s="708">
        <v>0.41499999999999992</v>
      </c>
      <c r="J34" s="570">
        <v>3.2080000000000002</v>
      </c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CPS-32193r1</v>
      </c>
      <c r="L34" s="320"/>
      <c r="M34" s="168">
        <f t="shared" si="1"/>
        <v>3.2080000000000002</v>
      </c>
      <c r="N34" s="632">
        <f t="shared" si="2"/>
        <v>0.82621815613970728</v>
      </c>
      <c r="O34" s="629">
        <f t="shared" si="3"/>
        <v>-1.5421846662423555</v>
      </c>
      <c r="P34" s="633">
        <f t="shared" si="4"/>
        <v>-0.14429129765003679</v>
      </c>
      <c r="Q34" s="585">
        <f t="shared" si="113"/>
        <v>298.17996994253122</v>
      </c>
      <c r="R34" s="629">
        <f>IF(M34="","",SQRT(N34^2+O34^2))</f>
        <v>1.7495627986236855</v>
      </c>
      <c r="S34" s="634">
        <f>IF(M34="","",P34)</f>
        <v>-0.14429129765003679</v>
      </c>
      <c r="T34" s="635">
        <f>IF(M34="","",X34*COS(RADIANS(W34)))</f>
        <v>-1.5417518481103756</v>
      </c>
      <c r="U34" s="629">
        <f>IF(M34="","",X34*SIN(RADIANS(W34)))</f>
        <v>-0.8270255287330518</v>
      </c>
      <c r="V34" s="636">
        <f>IF(M34="","",Y34)</f>
        <v>-0.14429129765003679</v>
      </c>
      <c r="W34" s="585">
        <f t="shared" si="224"/>
        <v>208.20996993819975</v>
      </c>
      <c r="X34" s="629">
        <f>IF(M34="","",R34)</f>
        <v>1.7495627986236855</v>
      </c>
      <c r="Y34" s="630">
        <f t="shared" si="223"/>
        <v>-0.14429129765003679</v>
      </c>
      <c r="Z34" s="632">
        <f t="shared" si="6"/>
        <v>4.1158452269612136E-2</v>
      </c>
      <c r="AA34" s="629">
        <f t="shared" si="7"/>
        <v>-7.6825146357162422E-2</v>
      </c>
      <c r="AB34" s="629">
        <f t="shared" si="8"/>
        <v>-0.99619469918985748</v>
      </c>
      <c r="AC34" s="636">
        <f>IF(M34="","",SQRT(Z34^2+AA34^2+AB34^2))</f>
        <v>1</v>
      </c>
      <c r="AD34" s="637">
        <f>IF(M34="","",Z34*(1/SQRT(Z34^2+AA34^2+AB34^2)))</f>
        <v>4.1158452269612136E-2</v>
      </c>
      <c r="AE34" s="629">
        <f>IF(M34="","",AA34*(1/SQRT(Z34^2+AA34^2+AB34^2)))</f>
        <v>-7.6825146357162422E-2</v>
      </c>
      <c r="AF34" s="633">
        <f>IF(M34="","",AB34*(1/SQRT(Z34^2+AA34^2+AB34^2)))</f>
        <v>-0.99619469918985748</v>
      </c>
      <c r="AG34" s="602">
        <f>IF(M34="","",DEGREES(ATAN2(-AF34,AE34)))</f>
        <v>-4.4098422707508362</v>
      </c>
      <c r="AH34" s="603">
        <f>IF(M34="","",DEGREES(ACOS(AD34)))</f>
        <v>87.641128078397841</v>
      </c>
      <c r="AI34" s="585">
        <f>IF(M34="","",DEGREES(-ACOS(-AF34)))</f>
        <v>-4.9999992781062668</v>
      </c>
      <c r="AJ34" s="586">
        <f>IF(M34="","",DEGREES(ATAN2(-AE34,AD34)))</f>
        <v>28.179820848600517</v>
      </c>
      <c r="AK34" s="635">
        <f>IF(M34="","",(COS(RADIANS((90-$Q$8)-W34))*AD34)+(-SIN(RADIANS((90-$Q$8)-W34))*AE34))</f>
        <v>2.2679489673771425E-7</v>
      </c>
      <c r="AL34" s="629">
        <f>IF(M34="","",(SIN(RADIANS((90-$Q$8)-W34))*AD34)+(COS(RADIANS((90-$Q$8)-W34))*AE34))</f>
        <v>8.715573019588517E-2</v>
      </c>
      <c r="AM34" s="634">
        <f>IF(M34="","",AF34)</f>
        <v>-0.99619469918985748</v>
      </c>
      <c r="AN34" s="581">
        <f>IF(M34="","",DEGREES(ATAN2(-AM34,AL34)))</f>
        <v>4.9999992780894225</v>
      </c>
      <c r="AO34" s="582">
        <f t="shared" si="94"/>
        <v>0</v>
      </c>
      <c r="AP34" s="585">
        <f>IF(M34="","",DEGREES(ATAN2(AK34,AL34)))</f>
        <v>89.999850906069298</v>
      </c>
      <c r="AQ34" s="586">
        <f t="shared" si="9"/>
        <v>1.3028018933398697</v>
      </c>
      <c r="AS34" s="52">
        <f t="shared" si="116"/>
        <v>-151.79003006180025</v>
      </c>
      <c r="AT34" s="72">
        <f t="shared" si="10"/>
        <v>-3.8860721221239014E-2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Nose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3.2080000000000002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5.1079999999999997</v>
      </c>
      <c r="II34" s="734" cm="1">
        <f t="array" ref="II34">IFERROR(ROUND(VALUE(IF($IH34&lt;1,$IH34+LARGE((IF($M$9:$M$150="",0,$M$9:$M$150)-MOD(IF($M$9:$M$150="",0,$M$9:$M$150),1)),1),$IH34)),4),"")</f>
        <v>5.1079999999999997</v>
      </c>
      <c r="IJ34" s="533">
        <f t="shared" si="112"/>
        <v>1313</v>
      </c>
      <c r="IK34" s="533" t="str">
        <f t="shared" si="66"/>
        <v>CPS-32193r1</v>
      </c>
      <c r="IL34" s="727">
        <f t="shared" si="225"/>
        <v>271.82001273161495</v>
      </c>
      <c r="IM34" s="759">
        <v>2.20578045949507E-2</v>
      </c>
      <c r="IN34" s="5">
        <f t="shared" si="226"/>
        <v>0.06</v>
      </c>
      <c r="IO34" s="771">
        <v>30</v>
      </c>
      <c r="IP34" s="9">
        <f t="shared" si="227"/>
        <v>-1.7496052768095149</v>
      </c>
      <c r="IQ34" s="5">
        <f t="shared" si="228"/>
        <v>-0.11090033447540877</v>
      </c>
      <c r="IR34" s="5">
        <f t="shared" si="71"/>
        <v>0.26600000000000001</v>
      </c>
      <c r="IS34" s="5">
        <f t="shared" si="229"/>
        <v>0.25693627239520722</v>
      </c>
      <c r="IT34" s="727">
        <f t="shared" si="230"/>
        <v>-4.9999992780894065</v>
      </c>
      <c r="IU34" s="9">
        <f t="shared" si="231"/>
        <v>-1.7495627986236855</v>
      </c>
      <c r="IV34" s="5">
        <f t="shared" si="232"/>
        <v>-0.14429129765003679</v>
      </c>
      <c r="IW34" s="5">
        <f t="shared" si="76"/>
        <v>0.25700000000000001</v>
      </c>
      <c r="IX34" s="5">
        <f t="shared" si="233"/>
        <v>0.25700000000000001</v>
      </c>
      <c r="IY34" s="762">
        <f t="shared" si="234"/>
        <v>-4.9999992780894225</v>
      </c>
      <c r="JG34" s="470"/>
    </row>
    <row r="35" spans="1:267" ht="15" customHeight="1" x14ac:dyDescent="0.25">
      <c r="A35" s="79"/>
      <c r="B35" s="707">
        <v>-9.7492165604759484E-2</v>
      </c>
      <c r="C35" s="708">
        <v>-2.4924015118153529</v>
      </c>
      <c r="D35" s="709">
        <v>-4.9800150197253021E-2</v>
      </c>
      <c r="E35" s="710">
        <v>0.96304193547815453</v>
      </c>
      <c r="F35" s="708">
        <v>-7.5214569056230043E-2</v>
      </c>
      <c r="G35" s="711">
        <v>0.25863680927543103</v>
      </c>
      <c r="H35" s="710">
        <v>0.26600000000000001</v>
      </c>
      <c r="I35" s="708">
        <v>0.52</v>
      </c>
      <c r="J35" s="570">
        <v>4.1130000000000004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4.1130000000000004</v>
      </c>
      <c r="N35" s="632">
        <f t="shared" si="2"/>
        <v>-9.7492165604759484E-2</v>
      </c>
      <c r="O35" s="629">
        <f t="shared" si="3"/>
        <v>-2.4924015118153529</v>
      </c>
      <c r="P35" s="633">
        <f t="shared" si="4"/>
        <v>-4.9800150197253021E-2</v>
      </c>
      <c r="Q35" s="585">
        <f t="shared" si="113"/>
        <v>267.75997433463516</v>
      </c>
      <c r="R35" s="629">
        <f>IF(M35="","",SQRT(N35^2+O35^2))</f>
        <v>2.4943075228314897</v>
      </c>
      <c r="S35" s="634">
        <f>IF(M35="","",P35)</f>
        <v>-4.9800150197253021E-2</v>
      </c>
      <c r="T35" s="635">
        <f>IF(M35="","",X35*COS(RADIANS(W35)))</f>
        <v>-2.4924522169312846</v>
      </c>
      <c r="U35" s="629">
        <f>IF(M35="","",X35*SIN(RADIANS(W35)))</f>
        <v>9.6187134108913538E-2</v>
      </c>
      <c r="V35" s="636">
        <f>IF(M35="","",Y35)</f>
        <v>-4.9800150197253021E-2</v>
      </c>
      <c r="W35" s="585">
        <f t="shared" si="224"/>
        <v>177.78997433030369</v>
      </c>
      <c r="X35" s="629">
        <f>IF(M35="","",R35)</f>
        <v>2.4943075228314897</v>
      </c>
      <c r="Y35" s="630">
        <f t="shared" si="223"/>
        <v>-4.9800150197253021E-2</v>
      </c>
      <c r="Z35" s="632">
        <f t="shared" si="6"/>
        <v>-0.96304193547815453</v>
      </c>
      <c r="AA35" s="629">
        <f t="shared" si="7"/>
        <v>7.5214569056230043E-2</v>
      </c>
      <c r="AB35" s="629">
        <f t="shared" si="8"/>
        <v>-0.25863680927543103</v>
      </c>
      <c r="AC35" s="636">
        <f>IF(M35="","",SQRT(Z35^2+AA35^2+AB35^2))</f>
        <v>1</v>
      </c>
      <c r="AD35" s="637">
        <f>IF(M35="","",Z35*(1/SQRT(Z35^2+AA35^2+AB35^2)))</f>
        <v>-0.96304193547815453</v>
      </c>
      <c r="AE35" s="629">
        <f>IF(M35="","",AA35*(1/SQRT(Z35^2+AA35^2+AB35^2)))</f>
        <v>7.5214569056230043E-2</v>
      </c>
      <c r="AF35" s="633">
        <f>IF(M35="","",AB35*(1/SQRT(Z35^2+AA35^2+AB35^2)))</f>
        <v>-0.25863680927543103</v>
      </c>
      <c r="AG35" s="602">
        <f>IF(M35="","",DEGREES(ATAN2(-AF35,AE35)))</f>
        <v>16.215040458110384</v>
      </c>
      <c r="AH35" s="603">
        <f>IF(M35="","",DEGREES(ACOS(AD35)))</f>
        <v>164.37431902795032</v>
      </c>
      <c r="AI35" s="585">
        <f>IF(M35="","",DEGREES(-ACOS(-AF35)))</f>
        <v>-75.010809401344844</v>
      </c>
      <c r="AJ35" s="586">
        <f>IF(M35="","",DEGREES(ATAN2(-AE35,AD35)))</f>
        <v>-94.465794126639182</v>
      </c>
      <c r="AK35" s="635">
        <f>IF(M35="","",(COS(RADIANS((90-$Q$8)-W35))*AD35)+(-SIN(RADIANS((90-$Q$8)-W35))*AE35))</f>
        <v>0.96524585886529857</v>
      </c>
      <c r="AL35" s="629">
        <f>IF(M35="","",(SIN(RADIANS((90-$Q$8)-W35))*AD35)+(COS(RADIANS((90-$Q$8)-W35))*AE35))</f>
        <v>-3.7515767767920989E-2</v>
      </c>
      <c r="AM35" s="634">
        <f>IF(M35="","",AF35)</f>
        <v>-0.25863680927543103</v>
      </c>
      <c r="AN35" s="581">
        <f>IF(M35="","",DEGREES(ATAN2(-AM35,AL35)))</f>
        <v>-8.2533011810170525</v>
      </c>
      <c r="AO35" s="582">
        <f t="shared" si="94"/>
        <v>15.149796407940622</v>
      </c>
      <c r="AP35" s="585">
        <f>IF(M35="","",DEGREES(ATAN2(AK35,AL35)))</f>
        <v>-2.2257684612743462</v>
      </c>
      <c r="AQ35" s="586">
        <f t="shared" si="9"/>
        <v>0.91389424674014341</v>
      </c>
      <c r="AS35" s="52">
        <f t="shared" si="116"/>
        <v>-182.21002566969631</v>
      </c>
      <c r="AT35" s="72">
        <f t="shared" si="10"/>
        <v>7.6755423181472562E-2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4.1130000000000004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-0.17213756221084806</v>
      </c>
      <c r="C36" s="708">
        <v>-3.1990817839743531</v>
      </c>
      <c r="D36" s="709">
        <v>-0.25200076003429228</v>
      </c>
      <c r="E36" s="710">
        <v>0.94731260625632485</v>
      </c>
      <c r="F36" s="708">
        <v>-0.22568640542976165</v>
      </c>
      <c r="G36" s="711">
        <v>0.22729820155919109</v>
      </c>
      <c r="H36" s="710">
        <v>0.314</v>
      </c>
      <c r="I36" s="708">
        <v>0.52</v>
      </c>
      <c r="J36" s="570">
        <v>4.1189999999999998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4.1189999999999998</v>
      </c>
      <c r="N36" s="632">
        <f t="shared" si="2"/>
        <v>-0.17213756221084806</v>
      </c>
      <c r="O36" s="629">
        <f t="shared" si="3"/>
        <v>-3.1990817839743531</v>
      </c>
      <c r="P36" s="633">
        <f t="shared" si="4"/>
        <v>-0.25200076003429228</v>
      </c>
      <c r="Q36" s="585">
        <f t="shared" si="113"/>
        <v>266.91997445591613</v>
      </c>
      <c r="R36" s="629">
        <f>IF(M36="","",SQRT(N36^2+O36^2))</f>
        <v>3.2037096623883419</v>
      </c>
      <c r="S36" s="634">
        <f>IF(M36="","",P36)</f>
        <v>-0.25200076003429228</v>
      </c>
      <c r="T36" s="635">
        <f>IF(M36="","",X36*COS(RADIANS(W36)))</f>
        <v>-3.1991714764509487</v>
      </c>
      <c r="U36" s="629">
        <f>IF(M36="","",X36*SIN(RADIANS(W36)))</f>
        <v>0.17046250362786397</v>
      </c>
      <c r="V36" s="636">
        <f>IF(M36="","",Y36)</f>
        <v>-0.25200076003429228</v>
      </c>
      <c r="W36" s="585">
        <f t="shared" si="224"/>
        <v>176.94997445158467</v>
      </c>
      <c r="X36" s="629">
        <f>IF(M36="","",R36)</f>
        <v>3.2037096623883419</v>
      </c>
      <c r="Y36" s="630">
        <f t="shared" si="223"/>
        <v>-0.25200076003429228</v>
      </c>
      <c r="Z36" s="632">
        <f t="shared" si="6"/>
        <v>-0.94731260625632485</v>
      </c>
      <c r="AA36" s="629">
        <f t="shared" si="7"/>
        <v>0.22568640542976165</v>
      </c>
      <c r="AB36" s="629">
        <f t="shared" si="8"/>
        <v>-0.22729820155919109</v>
      </c>
      <c r="AC36" s="636">
        <f>IF(M36="","",SQRT(Z36^2+AA36^2+AB36^2))</f>
        <v>1</v>
      </c>
      <c r="AD36" s="637">
        <f>IF(M36="","",Z36*(1/SQRT(Z36^2+AA36^2+AB36^2)))</f>
        <v>-0.94731260625632485</v>
      </c>
      <c r="AE36" s="629">
        <f>IF(M36="","",AA36*(1/SQRT(Z36^2+AA36^2+AB36^2)))</f>
        <v>0.22568640542976165</v>
      </c>
      <c r="AF36" s="633">
        <f>IF(M36="","",AB36*(1/SQRT(Z36^2+AA36^2+AB36^2)))</f>
        <v>-0.22729820155919109</v>
      </c>
      <c r="AG36" s="602">
        <f>IF(M36="","",DEGREES(ATAN2(-AF36,AE36)))</f>
        <v>44.796132750431042</v>
      </c>
      <c r="AH36" s="603">
        <f>IF(M36="","",DEGREES(ACOS(AD36)))</f>
        <v>161.3182954491848</v>
      </c>
      <c r="AI36" s="585">
        <f>IF(M36="","",DEGREES(-ACOS(-AF36)))</f>
        <v>-76.861942417748622</v>
      </c>
      <c r="AJ36" s="586">
        <f>IF(M36="","",DEGREES(ATAN2(-AE36,AD36)))</f>
        <v>-103.40026951432286</v>
      </c>
      <c r="AK36" s="635">
        <f>IF(M36="","",(COS(RADIANS((90-$Q$8)-W36))*AD36)+(-SIN(RADIANS((90-$Q$8)-W36))*AE36))</f>
        <v>0.95807046627642478</v>
      </c>
      <c r="AL36" s="629">
        <f>IF(M36="","",(SIN(RADIANS((90-$Q$8)-W36))*AD36)+(COS(RADIANS((90-$Q$8)-W36))*AE36))</f>
        <v>-0.17446062368578086</v>
      </c>
      <c r="AM36" s="634">
        <f>IF(M36="","",AF36)</f>
        <v>-0.22729820155919109</v>
      </c>
      <c r="AN36" s="581">
        <f>IF(M36="","",DEGREES(ATAN2(-AM36,AL36)))</f>
        <v>-37.507706664596256</v>
      </c>
      <c r="AO36" s="582">
        <f t="shared" si="94"/>
        <v>16.650486552729664</v>
      </c>
      <c r="AP36" s="585">
        <f>IF(M36="","",DEGREES(ATAN2(AK36,AL36)))</f>
        <v>-10.320243970238986</v>
      </c>
      <c r="AQ36" s="586">
        <f t="shared" si="9"/>
        <v>0.71155306507291216</v>
      </c>
      <c r="AS36" s="52">
        <f t="shared" si="116"/>
        <v>-183.05002554841533</v>
      </c>
      <c r="AT36" s="72">
        <f t="shared" si="10"/>
        <v>-0.12486185340645625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4.1189999999999998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-0.26851922915784826</v>
      </c>
      <c r="C37" s="708">
        <v>-3.7924172005688912</v>
      </c>
      <c r="D37" s="709">
        <v>-0.75890228884930355</v>
      </c>
      <c r="E37" s="710">
        <v>0.92191032793940697</v>
      </c>
      <c r="F37" s="708">
        <v>-0.35657047611554521</v>
      </c>
      <c r="G37" s="711">
        <v>0.15145574535615486</v>
      </c>
      <c r="H37" s="710">
        <v>0.314</v>
      </c>
      <c r="I37" s="708">
        <v>0.52</v>
      </c>
      <c r="J37" s="570">
        <v>4.125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4.125</v>
      </c>
      <c r="N37" s="632">
        <f t="shared" si="2"/>
        <v>-0.26851922915784826</v>
      </c>
      <c r="O37" s="629">
        <f t="shared" si="3"/>
        <v>-3.7924172005688912</v>
      </c>
      <c r="P37" s="633">
        <f t="shared" si="4"/>
        <v>-0.75890228884930355</v>
      </c>
      <c r="Q37" s="585">
        <f t="shared" si="113"/>
        <v>265.94997459596675</v>
      </c>
      <c r="R37" s="629">
        <f t="shared" si="79"/>
        <v>3.8019114665649845</v>
      </c>
      <c r="S37" s="634">
        <f t="shared" si="80"/>
        <v>-0.75890228884930355</v>
      </c>
      <c r="T37" s="635">
        <f t="shared" si="81"/>
        <v>-3.7925572770255869</v>
      </c>
      <c r="U37" s="629">
        <f t="shared" si="82"/>
        <v>0.26653348772448354</v>
      </c>
      <c r="V37" s="636">
        <f t="shared" si="114"/>
        <v>-0.75890228884930355</v>
      </c>
      <c r="W37" s="585">
        <f t="shared" si="224"/>
        <v>175.97997459163528</v>
      </c>
      <c r="X37" s="629">
        <f t="shared" si="83"/>
        <v>3.8019114665649845</v>
      </c>
      <c r="Y37" s="630">
        <f t="shared" si="223"/>
        <v>-0.75890228884930355</v>
      </c>
      <c r="Z37" s="632">
        <f t="shared" si="6"/>
        <v>-0.92191032793940697</v>
      </c>
      <c r="AA37" s="629">
        <f t="shared" si="7"/>
        <v>0.35657047611554521</v>
      </c>
      <c r="AB37" s="629">
        <f t="shared" si="8"/>
        <v>-0.15145574535615486</v>
      </c>
      <c r="AC37" s="636">
        <f t="shared" si="84"/>
        <v>1</v>
      </c>
      <c r="AD37" s="637">
        <f t="shared" si="115"/>
        <v>-0.92191032793940697</v>
      </c>
      <c r="AE37" s="629">
        <f t="shared" si="85"/>
        <v>0.35657047611554521</v>
      </c>
      <c r="AF37" s="633">
        <f t="shared" si="86"/>
        <v>-0.15145574535615486</v>
      </c>
      <c r="AG37" s="602">
        <f t="shared" si="87"/>
        <v>66.986310040459315</v>
      </c>
      <c r="AH37" s="603">
        <f t="shared" si="88"/>
        <v>157.20697622862696</v>
      </c>
      <c r="AI37" s="585">
        <f t="shared" si="89"/>
        <v>-81.288701442879628</v>
      </c>
      <c r="AJ37" s="586">
        <f t="shared" si="90"/>
        <v>-111.14514913760378</v>
      </c>
      <c r="AK37" s="635">
        <f t="shared" si="211"/>
        <v>0.94479175699792994</v>
      </c>
      <c r="AL37" s="629">
        <f t="shared" si="91"/>
        <v>-0.2905678803780215</v>
      </c>
      <c r="AM37" s="634">
        <f t="shared" si="92"/>
        <v>-0.15145574535615486</v>
      </c>
      <c r="AN37" s="581">
        <f t="shared" si="93"/>
        <v>-62.469649806807098</v>
      </c>
      <c r="AO37" s="582">
        <f t="shared" si="94"/>
        <v>19.127498777074774</v>
      </c>
      <c r="AP37" s="585">
        <f t="shared" si="95"/>
        <v>-17.095123733570546</v>
      </c>
      <c r="AQ37" s="586">
        <f t="shared" si="9"/>
        <v>0.5996045483622896</v>
      </c>
      <c r="AS37" s="52">
        <f t="shared" si="116"/>
        <v>-184.02002540836472</v>
      </c>
      <c r="AT37" s="72">
        <f t="shared" si="10"/>
        <v>-0.63108977120761378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4.125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-0.32293957026682779</v>
      </c>
      <c r="C38" s="708">
        <v>-4.0670110001880877</v>
      </c>
      <c r="D38" s="709">
        <v>-1.4921045001871727</v>
      </c>
      <c r="E38" s="710">
        <v>0.90033915057313763</v>
      </c>
      <c r="F38" s="708">
        <v>-0.43344620784590354</v>
      </c>
      <c r="G38" s="711">
        <v>3.8907568020205216E-2</v>
      </c>
      <c r="H38" s="710">
        <v>0.314</v>
      </c>
      <c r="I38" s="708">
        <v>0.52</v>
      </c>
      <c r="J38" s="570">
        <v>4.1310000000000002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4.1310000000000002</v>
      </c>
      <c r="N38" s="632">
        <f t="shared" si="2"/>
        <v>-0.32293957026682779</v>
      </c>
      <c r="O38" s="629">
        <f t="shared" si="3"/>
        <v>-4.0670110001880877</v>
      </c>
      <c r="P38" s="633">
        <f t="shared" si="4"/>
        <v>-1.4921045001871727</v>
      </c>
      <c r="Q38" s="585">
        <f t="shared" si="113"/>
        <v>265.459974666714</v>
      </c>
      <c r="R38" s="629">
        <f t="shared" si="79"/>
        <v>4.0798123047139114</v>
      </c>
      <c r="S38" s="634">
        <f t="shared" si="80"/>
        <v>-1.4921045001871727</v>
      </c>
      <c r="T38" s="635">
        <f t="shared" si="81"/>
        <v>-4.0671795334226273</v>
      </c>
      <c r="U38" s="629">
        <f t="shared" si="82"/>
        <v>0.32081004442370165</v>
      </c>
      <c r="V38" s="636">
        <f t="shared" si="114"/>
        <v>-1.4921045001871727</v>
      </c>
      <c r="W38" s="585">
        <f t="shared" si="224"/>
        <v>175.48997466238254</v>
      </c>
      <c r="X38" s="629">
        <f t="shared" si="83"/>
        <v>4.0798123047139114</v>
      </c>
      <c r="Y38" s="630">
        <f t="shared" si="223"/>
        <v>-1.4921045001871727</v>
      </c>
      <c r="Z38" s="632">
        <f t="shared" si="6"/>
        <v>-0.90033915057313763</v>
      </c>
      <c r="AA38" s="629">
        <f t="shared" si="7"/>
        <v>0.43344620784590354</v>
      </c>
      <c r="AB38" s="629">
        <f t="shared" si="8"/>
        <v>-3.8907568020205216E-2</v>
      </c>
      <c r="AC38" s="636">
        <f t="shared" si="84"/>
        <v>1</v>
      </c>
      <c r="AD38" s="637">
        <f t="shared" si="115"/>
        <v>-0.90033915057313763</v>
      </c>
      <c r="AE38" s="629">
        <f t="shared" si="85"/>
        <v>0.43344620784590354</v>
      </c>
      <c r="AF38" s="633">
        <f t="shared" si="86"/>
        <v>-3.8907568020205216E-2</v>
      </c>
      <c r="AG38" s="602">
        <f t="shared" si="87"/>
        <v>84.870687877432005</v>
      </c>
      <c r="AH38" s="603">
        <f t="shared" si="88"/>
        <v>154.20268293566636</v>
      </c>
      <c r="AI38" s="585">
        <f t="shared" si="89"/>
        <v>-87.770197741158455</v>
      </c>
      <c r="AJ38" s="586">
        <f t="shared" si="90"/>
        <v>-115.70734893616971</v>
      </c>
      <c r="AK38" s="635">
        <f t="shared" si="211"/>
        <v>0.93182378929147258</v>
      </c>
      <c r="AL38" s="629">
        <f t="shared" si="91"/>
        <v>-0.36081938260192514</v>
      </c>
      <c r="AM38" s="634">
        <f t="shared" si="92"/>
        <v>-3.8907568020205216E-2</v>
      </c>
      <c r="AN38" s="581">
        <f t="shared" si="93"/>
        <v>-83.845510729548579</v>
      </c>
      <c r="AO38" s="582">
        <f t="shared" si="94"/>
        <v>21.279081187609933</v>
      </c>
      <c r="AP38" s="585">
        <f t="shared" si="95"/>
        <v>-21.167323602883702</v>
      </c>
      <c r="AQ38" s="586">
        <f t="shared" si="9"/>
        <v>0.55876451870700594</v>
      </c>
      <c r="AS38" s="52">
        <f t="shared" si="116"/>
        <v>-184.51002533761746</v>
      </c>
      <c r="AT38" s="72">
        <f t="shared" si="10"/>
        <v>-1.3639517048168353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4.1310000000000002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-0.3332748960589289</v>
      </c>
      <c r="C39" s="708">
        <v>-4.1152392830285658</v>
      </c>
      <c r="D39" s="709">
        <v>-2.2659068339750115</v>
      </c>
      <c r="E39" s="710">
        <v>0.82283872525184432</v>
      </c>
      <c r="F39" s="708">
        <v>-0.56827496181505932</v>
      </c>
      <c r="G39" s="711">
        <v>1.1339743344435707E-7</v>
      </c>
      <c r="H39" s="710">
        <v>0.314</v>
      </c>
      <c r="I39" s="708">
        <v>0.52</v>
      </c>
      <c r="J39" s="570">
        <v>4.1369999999999996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4.1369999999999996</v>
      </c>
      <c r="N39" s="632">
        <f t="shared" si="2"/>
        <v>-0.3332748960589289</v>
      </c>
      <c r="O39" s="629">
        <f t="shared" si="3"/>
        <v>-4.1152392830285658</v>
      </c>
      <c r="P39" s="633">
        <f t="shared" si="4"/>
        <v>-2.2659068339750115</v>
      </c>
      <c r="Q39" s="585">
        <f t="shared" si="113"/>
        <v>265.36997467970843</v>
      </c>
      <c r="R39" s="629">
        <f t="shared" si="79"/>
        <v>4.1287124521967566</v>
      </c>
      <c r="S39" s="634">
        <f t="shared" si="80"/>
        <v>-2.2659068339750115</v>
      </c>
      <c r="T39" s="635">
        <f t="shared" si="81"/>
        <v>-4.1154132212149799</v>
      </c>
      <c r="U39" s="629">
        <f t="shared" si="82"/>
        <v>0.33112011653401163</v>
      </c>
      <c r="V39" s="636">
        <f t="shared" si="114"/>
        <v>-2.2659068339750115</v>
      </c>
      <c r="W39" s="585">
        <f t="shared" si="224"/>
        <v>175.39997467537697</v>
      </c>
      <c r="X39" s="629">
        <f t="shared" si="83"/>
        <v>4.1287124521967566</v>
      </c>
      <c r="Y39" s="630">
        <f t="shared" si="223"/>
        <v>-2.2659068339750115</v>
      </c>
      <c r="Z39" s="632">
        <f t="shared" si="6"/>
        <v>-0.82283872525184432</v>
      </c>
      <c r="AA39" s="629">
        <f t="shared" si="7"/>
        <v>0.56827496181505932</v>
      </c>
      <c r="AB39" s="629">
        <f t="shared" si="8"/>
        <v>-1.1339743344435707E-7</v>
      </c>
      <c r="AC39" s="636">
        <f t="shared" si="84"/>
        <v>1</v>
      </c>
      <c r="AD39" s="637">
        <f t="shared" si="115"/>
        <v>-0.82283872525184432</v>
      </c>
      <c r="AE39" s="629">
        <f t="shared" si="85"/>
        <v>0.56827496181505932</v>
      </c>
      <c r="AF39" s="633">
        <f t="shared" si="86"/>
        <v>-1.1339743344435707E-7</v>
      </c>
      <c r="AG39" s="602">
        <f t="shared" si="87"/>
        <v>89.999988566812235</v>
      </c>
      <c r="AH39" s="603">
        <f t="shared" si="88"/>
        <v>145.36997901117198</v>
      </c>
      <c r="AI39" s="585">
        <f t="shared" si="89"/>
        <v>-89.999993502805651</v>
      </c>
      <c r="AJ39" s="586">
        <f t="shared" si="90"/>
        <v>-124.6300209888275</v>
      </c>
      <c r="AK39" s="635">
        <f t="shared" si="211"/>
        <v>0.86602544158358541</v>
      </c>
      <c r="AL39" s="629">
        <f t="shared" si="91"/>
        <v>-0.49999993452993879</v>
      </c>
      <c r="AM39" s="634">
        <f t="shared" si="92"/>
        <v>-1.1339743344435707E-7</v>
      </c>
      <c r="AN39" s="581">
        <f t="shared" si="93"/>
        <v>-89.999987005609626</v>
      </c>
      <c r="AO39" s="582">
        <f t="shared" si="94"/>
        <v>29.99999566853656</v>
      </c>
      <c r="AP39" s="585">
        <f t="shared" si="95"/>
        <v>-29.999995668535924</v>
      </c>
      <c r="AQ39" s="586">
        <f t="shared" si="9"/>
        <v>0.55214696761117965</v>
      </c>
      <c r="AS39" s="52">
        <f t="shared" si="116"/>
        <v>-184.60002532462303</v>
      </c>
      <c r="AT39" s="72">
        <f t="shared" si="10"/>
        <v>-2.1376915386136979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4.1369999999999996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-0.43543896232835566</v>
      </c>
      <c r="C40" s="708">
        <v>-0.25140062655091905</v>
      </c>
      <c r="D40" s="709">
        <v>-0.21990066322040031</v>
      </c>
      <c r="E40" s="710">
        <v>0.50249808822216879</v>
      </c>
      <c r="F40" s="708">
        <v>-0.8252376843211181</v>
      </c>
      <c r="G40" s="711">
        <v>0.25783412440827963</v>
      </c>
      <c r="H40" s="710">
        <v>0.26600000000000001</v>
      </c>
      <c r="I40" s="708">
        <v>0.52</v>
      </c>
      <c r="J40" s="570">
        <v>5.1020000000000003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5.1020000000000003</v>
      </c>
      <c r="N40" s="632">
        <f t="shared" si="2"/>
        <v>-0.43543896232835566</v>
      </c>
      <c r="O40" s="629">
        <f t="shared" si="3"/>
        <v>-0.25140062655091905</v>
      </c>
      <c r="P40" s="633">
        <f t="shared" si="4"/>
        <v>-0.21990066322040031</v>
      </c>
      <c r="Q40" s="585">
        <f t="shared" si="113"/>
        <v>209.99998267414614</v>
      </c>
      <c r="R40" s="629">
        <f t="shared" si="79"/>
        <v>0.50280151644937365</v>
      </c>
      <c r="S40" s="634">
        <f t="shared" si="80"/>
        <v>-0.21990066322040031</v>
      </c>
      <c r="T40" s="635">
        <f t="shared" si="81"/>
        <v>-0.25162858735366195</v>
      </c>
      <c r="U40" s="629">
        <f t="shared" si="82"/>
        <v>0.4353072696041157</v>
      </c>
      <c r="V40" s="636">
        <f t="shared" si="114"/>
        <v>-0.21990066322040031</v>
      </c>
      <c r="W40" s="585">
        <f t="shared" si="224"/>
        <v>120.02998266981467</v>
      </c>
      <c r="X40" s="629">
        <f t="shared" si="83"/>
        <v>0.50280151644937365</v>
      </c>
      <c r="Y40" s="630">
        <f t="shared" si="223"/>
        <v>-0.21990066322040031</v>
      </c>
      <c r="Z40" s="632">
        <f t="shared" si="6"/>
        <v>-0.50249808822216879</v>
      </c>
      <c r="AA40" s="629">
        <f t="shared" si="7"/>
        <v>0.8252376843211181</v>
      </c>
      <c r="AB40" s="629">
        <f t="shared" si="8"/>
        <v>-0.25783412440827963</v>
      </c>
      <c r="AC40" s="636">
        <f t="shared" si="84"/>
        <v>1</v>
      </c>
      <c r="AD40" s="637">
        <f t="shared" si="115"/>
        <v>-0.50249808822216879</v>
      </c>
      <c r="AE40" s="629">
        <f t="shared" si="85"/>
        <v>0.8252376843211181</v>
      </c>
      <c r="AF40" s="633">
        <f t="shared" si="86"/>
        <v>-0.25783412440827963</v>
      </c>
      <c r="AG40" s="602">
        <f t="shared" si="87"/>
        <v>72.649305787597442</v>
      </c>
      <c r="AH40" s="603">
        <f t="shared" si="88"/>
        <v>120.16541026765245</v>
      </c>
      <c r="AI40" s="585">
        <f t="shared" si="89"/>
        <v>-75.058414528502141</v>
      </c>
      <c r="AJ40" s="586">
        <f t="shared" si="90"/>
        <v>-148.66221473630407</v>
      </c>
      <c r="AK40" s="635">
        <f t="shared" si="211"/>
        <v>0.96592583607220739</v>
      </c>
      <c r="AL40" s="629">
        <f t="shared" si="91"/>
        <v>2.2557559682354511E-2</v>
      </c>
      <c r="AM40" s="634">
        <f t="shared" si="92"/>
        <v>-0.25783412440827963</v>
      </c>
      <c r="AN40" s="581">
        <f t="shared" si="93"/>
        <v>4.9999992780894447</v>
      </c>
      <c r="AO40" s="582">
        <f t="shared" si="94"/>
        <v>14.999997834268255</v>
      </c>
      <c r="AP40" s="585">
        <f t="shared" si="95"/>
        <v>1.3378025895497863</v>
      </c>
      <c r="AQ40" s="586">
        <f t="shared" si="9"/>
        <v>4.5246198638465787</v>
      </c>
      <c r="AS40" s="52">
        <f t="shared" si="116"/>
        <v>-239.97001733018533</v>
      </c>
      <c r="AT40" s="72">
        <f t="shared" si="10"/>
        <v>-5.3233984521890682E-2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5.1020000000000003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-0.97532092158749828</v>
      </c>
      <c r="C41" s="708">
        <v>-0.56310140338433778</v>
      </c>
      <c r="D41" s="709">
        <v>-0.16540049884790453</v>
      </c>
      <c r="E41" s="710">
        <v>0.50249808822216868</v>
      </c>
      <c r="F41" s="708">
        <v>-0.8252376843211181</v>
      </c>
      <c r="G41" s="711">
        <v>0.25783412440827963</v>
      </c>
      <c r="H41" s="710">
        <v>0.26600000000000001</v>
      </c>
      <c r="I41" s="708">
        <v>0.52</v>
      </c>
      <c r="J41" s="570">
        <v>5.1050000000000004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5.1050000000000004</v>
      </c>
      <c r="N41" s="632">
        <f t="shared" ref="N41:N72" si="240">IF(M41="","",B41)</f>
        <v>-0.97532092158749828</v>
      </c>
      <c r="O41" s="629">
        <f t="shared" ref="O41:O72" si="241">IF(M41="","",C41)</f>
        <v>-0.56310140338433778</v>
      </c>
      <c r="P41" s="633">
        <f t="shared" ref="P41:P72" si="242">IF(M41="","",D41)</f>
        <v>-0.16540049884790453</v>
      </c>
      <c r="Q41" s="585">
        <f t="shared" si="113"/>
        <v>209.99998267414614</v>
      </c>
      <c r="R41" s="629">
        <f t="shared" si="79"/>
        <v>1.1262033966294445</v>
      </c>
      <c r="S41" s="634">
        <f t="shared" si="80"/>
        <v>-0.16540049884790453</v>
      </c>
      <c r="T41" s="635">
        <f t="shared" si="81"/>
        <v>-0.56361200293893021</v>
      </c>
      <c r="U41" s="629">
        <f t="shared" si="82"/>
        <v>0.97502594874334758</v>
      </c>
      <c r="V41" s="636">
        <f t="shared" si="114"/>
        <v>-0.16540049884790453</v>
      </c>
      <c r="W41" s="585">
        <f t="shared" si="224"/>
        <v>120.02998266981467</v>
      </c>
      <c r="X41" s="629">
        <f t="shared" si="83"/>
        <v>1.1262033966294445</v>
      </c>
      <c r="Y41" s="630">
        <f t="shared" si="223"/>
        <v>-0.16540049884790453</v>
      </c>
      <c r="Z41" s="632">
        <f t="shared" ref="Z41:Z72" si="243">IF(M41="","",-E41)</f>
        <v>-0.50249808822216868</v>
      </c>
      <c r="AA41" s="629">
        <f t="shared" ref="AA41:AA72" si="244">IF(M41="","",-F41)</f>
        <v>0.8252376843211181</v>
      </c>
      <c r="AB41" s="629">
        <f t="shared" ref="AB41:AB72" si="245">IF(M41="","",-G41)</f>
        <v>-0.25783412440827963</v>
      </c>
      <c r="AC41" s="636">
        <f t="shared" si="84"/>
        <v>1</v>
      </c>
      <c r="AD41" s="637">
        <f t="shared" si="115"/>
        <v>-0.50249808822216868</v>
      </c>
      <c r="AE41" s="629">
        <f t="shared" si="85"/>
        <v>0.8252376843211181</v>
      </c>
      <c r="AF41" s="633">
        <f t="shared" si="86"/>
        <v>-0.25783412440827963</v>
      </c>
      <c r="AG41" s="602">
        <f t="shared" si="87"/>
        <v>72.649305787597442</v>
      </c>
      <c r="AH41" s="603">
        <f t="shared" si="88"/>
        <v>120.16541026765245</v>
      </c>
      <c r="AI41" s="585">
        <f t="shared" si="89"/>
        <v>-75.058414528502141</v>
      </c>
      <c r="AJ41" s="586">
        <f t="shared" si="90"/>
        <v>-148.66221473630407</v>
      </c>
      <c r="AK41" s="635">
        <f t="shared" si="211"/>
        <v>0.96592583607220739</v>
      </c>
      <c r="AL41" s="629">
        <f t="shared" si="91"/>
        <v>2.25575596823544E-2</v>
      </c>
      <c r="AM41" s="634">
        <f t="shared" si="92"/>
        <v>-0.25783412440827963</v>
      </c>
      <c r="AN41" s="581">
        <f t="shared" si="93"/>
        <v>4.9999992780894198</v>
      </c>
      <c r="AO41" s="582">
        <f t="shared" si="94"/>
        <v>14.999997834268255</v>
      </c>
      <c r="AP41" s="585">
        <f t="shared" si="95"/>
        <v>1.3378025895497796</v>
      </c>
      <c r="AQ41" s="586">
        <f t="shared" ref="AQ41:AQ72" si="246">IF(M41="","",DEGREES(ATAN(($AS$5*SIN(RADIANS(90)))/(($X41*2*PI())-($AS$5*COS(RADIANS(90)))))))</f>
        <v>2.023416751298758</v>
      </c>
      <c r="AS41" s="52">
        <f t="shared" si="116"/>
        <v>-239.97001733018533</v>
      </c>
      <c r="AT41" s="72">
        <f t="shared" ref="AT41:AT72" si="247">IF(M41="","",Y41+(((AS41-$AS$9)*$AS$6)*-1))</f>
        <v>1.2661798506050925E-3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5.1050000000000004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-1.5152028808466409</v>
      </c>
      <c r="C42" s="708">
        <v>-0.87480218021775635</v>
      </c>
      <c r="D42" s="709">
        <v>-0.11090033447540877</v>
      </c>
      <c r="E42" s="710">
        <v>0.50249808822216868</v>
      </c>
      <c r="F42" s="708">
        <v>-0.82523768432111821</v>
      </c>
      <c r="G42" s="711">
        <v>0.25783412440827969</v>
      </c>
      <c r="H42" s="710">
        <v>0.26600000000000001</v>
      </c>
      <c r="I42" s="708">
        <v>0.52</v>
      </c>
      <c r="J42" s="570">
        <v>5.1079999999999997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5.1079999999999997</v>
      </c>
      <c r="N42" s="632">
        <f t="shared" si="240"/>
        <v>-1.5152028808466409</v>
      </c>
      <c r="O42" s="629">
        <f t="shared" si="241"/>
        <v>-0.87480218021775635</v>
      </c>
      <c r="P42" s="633">
        <f t="shared" si="242"/>
        <v>-0.11090033447540877</v>
      </c>
      <c r="Q42" s="585">
        <f t="shared" si="113"/>
        <v>209.99998267414614</v>
      </c>
      <c r="R42" s="629">
        <f t="shared" ref="R42:R47" si="385">IF(M42="","",SQRT(N42^2+O42^2))</f>
        <v>1.7496052768095149</v>
      </c>
      <c r="S42" s="634">
        <f t="shared" ref="S42:S47" si="386">IF(M42="","",P42)</f>
        <v>-0.11090033447540877</v>
      </c>
      <c r="T42" s="635">
        <f t="shared" ref="T42:T47" si="387">IF(M42="","",X42*COS(RADIANS(W42)))</f>
        <v>-0.87559541852419842</v>
      </c>
      <c r="U42" s="629">
        <f t="shared" ref="U42:U47" si="388">IF(M42="","",X42*SIN(RADIANS(W42)))</f>
        <v>1.5147446278825791</v>
      </c>
      <c r="V42" s="636">
        <f t="shared" ref="V42:V47" si="389">IF(M42="","",Y42)</f>
        <v>-0.11090033447540877</v>
      </c>
      <c r="W42" s="585">
        <f t="shared" si="224"/>
        <v>120.02998266981467</v>
      </c>
      <c r="X42" s="629">
        <f t="shared" ref="X42:X47" si="390">IF(M42="","",R42)</f>
        <v>1.7496052768095149</v>
      </c>
      <c r="Y42" s="630">
        <f t="shared" si="223"/>
        <v>-0.11090033447540877</v>
      </c>
      <c r="Z42" s="632">
        <f t="shared" si="243"/>
        <v>-0.50249808822216868</v>
      </c>
      <c r="AA42" s="629">
        <f t="shared" si="244"/>
        <v>0.82523768432111821</v>
      </c>
      <c r="AB42" s="629">
        <f t="shared" si="245"/>
        <v>-0.25783412440827969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-0.50249808822216868</v>
      </c>
      <c r="AE42" s="629">
        <f t="shared" ref="AE42:AE47" si="393">IF(M42="","",AA42*(1/SQRT(Z42^2+AA42^2+AB42^2)))</f>
        <v>0.82523768432111821</v>
      </c>
      <c r="AF42" s="633">
        <f t="shared" ref="AF42:AF47" si="394">IF(M42="","",AB42*(1/SQRT(Z42^2+AA42^2+AB42^2)))</f>
        <v>-0.25783412440827969</v>
      </c>
      <c r="AG42" s="602">
        <f t="shared" ref="AG42:AG47" si="395">IF(M42="","",DEGREES(ATAN2(-AF42,AE42)))</f>
        <v>72.649305787597442</v>
      </c>
      <c r="AH42" s="603">
        <f t="shared" ref="AH42:AH47" si="396">IF(M42="","",DEGREES(ACOS(AD42)))</f>
        <v>120.16541026765245</v>
      </c>
      <c r="AI42" s="585">
        <f t="shared" ref="AI42:AI47" si="397">IF(M42="","",DEGREES(-ACOS(-AF42)))</f>
        <v>-75.058414528502141</v>
      </c>
      <c r="AJ42" s="586">
        <f t="shared" ref="AJ42:AJ47" si="398">IF(M42="","",DEGREES(ATAN2(-AE42,AD42)))</f>
        <v>-148.66221473630407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2.2557559682354344E-2</v>
      </c>
      <c r="AM42" s="634">
        <f t="shared" ref="AM42:AM47" si="401">IF(M42="","",AF42)</f>
        <v>-0.25783412440827969</v>
      </c>
      <c r="AN42" s="581">
        <f t="shared" ref="AN42:AN47" si="402">IF(M42="","",DEGREES(ATAN2(-AM42,AL42)))</f>
        <v>4.9999992780894065</v>
      </c>
      <c r="AO42" s="582">
        <f t="shared" si="94"/>
        <v>14.99999783426823</v>
      </c>
      <c r="AP42" s="585">
        <f t="shared" ref="AP42:AP47" si="403">IF(M42="","",DEGREES(ATAN2(AK42,AL42)))</f>
        <v>1.337802589549776</v>
      </c>
      <c r="AQ42" s="586">
        <f t="shared" si="246"/>
        <v>1.3027702738715685</v>
      </c>
      <c r="AS42" s="52">
        <f t="shared" si="116"/>
        <v>-239.97001733018533</v>
      </c>
      <c r="AT42" s="72">
        <f t="shared" si="247"/>
        <v>5.5766344223100853E-2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5.1079999999999997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-2.056969783051438</v>
      </c>
      <c r="C43" s="708">
        <v>-1.1804218731748994</v>
      </c>
      <c r="D43" s="709">
        <v>-5.6400170102913018E-2</v>
      </c>
      <c r="E43" s="710">
        <v>0.46464088621187755</v>
      </c>
      <c r="F43" s="708">
        <v>-0.8465443198547512</v>
      </c>
      <c r="G43" s="711">
        <v>0.25975288522343298</v>
      </c>
      <c r="H43" s="710">
        <v>0.26600000000000001</v>
      </c>
      <c r="I43" s="708">
        <v>0.52</v>
      </c>
      <c r="J43" s="570">
        <v>5.1120000000000001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5.1120000000000001</v>
      </c>
      <c r="N43" s="632">
        <f t="shared" si="240"/>
        <v>-2.056969783051438</v>
      </c>
      <c r="O43" s="629">
        <f t="shared" si="241"/>
        <v>-1.1804218731748994</v>
      </c>
      <c r="P43" s="633">
        <f t="shared" si="242"/>
        <v>-5.6400170102913018E-2</v>
      </c>
      <c r="Q43" s="585">
        <f t="shared" si="113"/>
        <v>209.84998269580345</v>
      </c>
      <c r="R43" s="629">
        <f t="shared" si="385"/>
        <v>2.3716071527671732</v>
      </c>
      <c r="S43" s="634">
        <f t="shared" si="386"/>
        <v>-5.6400170102913018E-2</v>
      </c>
      <c r="T43" s="635">
        <f t="shared" si="387"/>
        <v>-1.1814987380204027</v>
      </c>
      <c r="U43" s="629">
        <f t="shared" si="388"/>
        <v>2.0563514337565487</v>
      </c>
      <c r="V43" s="636">
        <f t="shared" si="389"/>
        <v>-5.6400170102913018E-2</v>
      </c>
      <c r="W43" s="585">
        <f t="shared" si="224"/>
        <v>119.87998269147198</v>
      </c>
      <c r="X43" s="629">
        <f t="shared" si="390"/>
        <v>2.3716071527671732</v>
      </c>
      <c r="Y43" s="630">
        <f t="shared" si="223"/>
        <v>-5.6400170102913018E-2</v>
      </c>
      <c r="Z43" s="632">
        <f t="shared" si="243"/>
        <v>-0.46464088621187755</v>
      </c>
      <c r="AA43" s="629">
        <f t="shared" si="244"/>
        <v>0.8465443198547512</v>
      </c>
      <c r="AB43" s="629">
        <f t="shared" si="245"/>
        <v>-0.25975288522343298</v>
      </c>
      <c r="AC43" s="636">
        <f t="shared" si="391"/>
        <v>1</v>
      </c>
      <c r="AD43" s="637">
        <f t="shared" si="392"/>
        <v>-0.46464088621187755</v>
      </c>
      <c r="AE43" s="629">
        <f t="shared" si="393"/>
        <v>0.8465443198547512</v>
      </c>
      <c r="AF43" s="633">
        <f t="shared" si="394"/>
        <v>-0.25975288522343298</v>
      </c>
      <c r="AG43" s="602">
        <f t="shared" si="395"/>
        <v>72.94193976658066</v>
      </c>
      <c r="AH43" s="603">
        <f t="shared" si="396"/>
        <v>117.68698329924698</v>
      </c>
      <c r="AI43" s="585">
        <f t="shared" si="397"/>
        <v>-74.944600261679469</v>
      </c>
      <c r="AJ43" s="586">
        <f t="shared" si="398"/>
        <v>-151.23903618193037</v>
      </c>
      <c r="AK43" s="635">
        <f t="shared" si="399"/>
        <v>0.96550069371279179</v>
      </c>
      <c r="AL43" s="629">
        <f t="shared" si="400"/>
        <v>-1.8353448128900662E-2</v>
      </c>
      <c r="AM43" s="634">
        <f t="shared" si="401"/>
        <v>-0.25975288522343298</v>
      </c>
      <c r="AN43" s="581">
        <f t="shared" si="402"/>
        <v>-4.0416504233824391</v>
      </c>
      <c r="AO43" s="582">
        <f t="shared" si="94"/>
        <v>15.093826582753662</v>
      </c>
      <c r="AP43" s="585">
        <f t="shared" si="403"/>
        <v>-1.089018877733799</v>
      </c>
      <c r="AQ43" s="586">
        <f t="shared" si="246"/>
        <v>0.96116794577235132</v>
      </c>
      <c r="AS43" s="52">
        <f t="shared" ref="AS43:AS74" si="406">IF(G43="","",IF(AND(W43&lt;(AS42+180),W43&gt;(AS42-180)),W43,IF(W43&gt;(AS42+180),W43-360,IF(W43&lt;(AS42-180),W43+360,"Error"))))</f>
        <v>-240.12001730852802</v>
      </c>
      <c r="AT43" s="72">
        <f t="shared" si="247"/>
        <v>0.11037067524722349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5.1120000000000001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1313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-2.6936730576844758</v>
      </c>
      <c r="C44" s="708">
        <v>-1.4986624114387337</v>
      </c>
      <c r="D44" s="709">
        <v>-0.19960060199541563</v>
      </c>
      <c r="E44" s="710">
        <v>0.33191937666155552</v>
      </c>
      <c r="F44" s="708">
        <v>-0.91231439849491569</v>
      </c>
      <c r="G44" s="711">
        <v>0.23981652506752915</v>
      </c>
      <c r="H44" s="710">
        <v>0.314</v>
      </c>
      <c r="I44" s="708">
        <v>0.52</v>
      </c>
      <c r="J44" s="570">
        <v>5.1180000000000003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5.1180000000000003</v>
      </c>
      <c r="N44" s="632">
        <f t="shared" si="240"/>
        <v>-2.6936730576844758</v>
      </c>
      <c r="O44" s="629">
        <f t="shared" si="241"/>
        <v>-1.4986624114387337</v>
      </c>
      <c r="P44" s="633">
        <f t="shared" si="242"/>
        <v>-0.19960060199541563</v>
      </c>
      <c r="Q44" s="585">
        <f t="shared" si="113"/>
        <v>209.08998280553388</v>
      </c>
      <c r="R44" s="629">
        <f t="shared" si="385"/>
        <v>3.0825092968480394</v>
      </c>
      <c r="S44" s="634">
        <f t="shared" si="386"/>
        <v>-0.19960060199541563</v>
      </c>
      <c r="T44" s="635">
        <f t="shared" si="387"/>
        <v>-1.5000726096521768</v>
      </c>
      <c r="U44" s="629">
        <f t="shared" si="388"/>
        <v>2.6928879907871961</v>
      </c>
      <c r="V44" s="636">
        <f t="shared" si="389"/>
        <v>-0.19960060199541563</v>
      </c>
      <c r="W44" s="585">
        <f t="shared" si="224"/>
        <v>119.11998280120241</v>
      </c>
      <c r="X44" s="629">
        <f t="shared" si="390"/>
        <v>3.0825092968480394</v>
      </c>
      <c r="Y44" s="630">
        <f t="shared" si="223"/>
        <v>-0.19960060199541563</v>
      </c>
      <c r="Z44" s="632">
        <f t="shared" si="243"/>
        <v>-0.33191937666155552</v>
      </c>
      <c r="AA44" s="629">
        <f t="shared" si="244"/>
        <v>0.91231439849491569</v>
      </c>
      <c r="AB44" s="629">
        <f t="shared" si="245"/>
        <v>-0.23981652506752915</v>
      </c>
      <c r="AC44" s="636">
        <f t="shared" si="391"/>
        <v>1</v>
      </c>
      <c r="AD44" s="637">
        <f t="shared" si="392"/>
        <v>-0.33191937666155552</v>
      </c>
      <c r="AE44" s="629">
        <f t="shared" si="393"/>
        <v>0.91231439849491569</v>
      </c>
      <c r="AF44" s="633">
        <f t="shared" si="394"/>
        <v>-0.23981652506752915</v>
      </c>
      <c r="AG44" s="602">
        <f t="shared" si="395"/>
        <v>75.272074248433739</v>
      </c>
      <c r="AH44" s="603">
        <f t="shared" si="396"/>
        <v>109.3853153135437</v>
      </c>
      <c r="AI44" s="585">
        <f t="shared" si="397"/>
        <v>-76.124288219302997</v>
      </c>
      <c r="AJ44" s="586">
        <f t="shared" si="398"/>
        <v>-160.00753733350177</v>
      </c>
      <c r="AK44" s="635">
        <f t="shared" si="399"/>
        <v>0.95860596813631982</v>
      </c>
      <c r="AL44" s="629">
        <f t="shared" si="400"/>
        <v>-0.1535012448091691</v>
      </c>
      <c r="AM44" s="634">
        <f t="shared" si="401"/>
        <v>-0.23981652506752915</v>
      </c>
      <c r="AN44" s="581">
        <f t="shared" si="402"/>
        <v>-32.622407154405309</v>
      </c>
      <c r="AO44" s="582">
        <f t="shared" si="94"/>
        <v>16.543069544416831</v>
      </c>
      <c r="AP44" s="585">
        <f t="shared" si="403"/>
        <v>-9.0975201390356393</v>
      </c>
      <c r="AQ44" s="586">
        <f t="shared" si="246"/>
        <v>0.73952738292846198</v>
      </c>
      <c r="AS44" s="52">
        <f t="shared" si="406"/>
        <v>-240.88001719879759</v>
      </c>
      <c r="AT44" s="72">
        <f t="shared" si="247"/>
        <v>-3.2301978943703041E-2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5.1180000000000003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-3.2828867754116864</v>
      </c>
      <c r="C45" s="708">
        <v>-1.75216077666866</v>
      </c>
      <c r="D45" s="709">
        <v>-0.65430197337475171</v>
      </c>
      <c r="E45" s="710">
        <v>0.21182757019180365</v>
      </c>
      <c r="F45" s="708">
        <v>-0.96432217510085061</v>
      </c>
      <c r="G45" s="711">
        <v>0.15878231361017819</v>
      </c>
      <c r="H45" s="710">
        <v>0.314</v>
      </c>
      <c r="I45" s="708">
        <v>0.52</v>
      </c>
      <c r="J45" s="570">
        <v>5.1239999999999997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5.1239999999999997</v>
      </c>
      <c r="N45" s="632">
        <f t="shared" si="240"/>
        <v>-3.2828867754116864</v>
      </c>
      <c r="O45" s="629">
        <f t="shared" si="241"/>
        <v>-1.75216077666866</v>
      </c>
      <c r="P45" s="633">
        <f t="shared" si="242"/>
        <v>-0.65430197337475171</v>
      </c>
      <c r="Q45" s="585">
        <f t="shared" si="113"/>
        <v>208.08998294991596</v>
      </c>
      <c r="R45" s="629">
        <f t="shared" si="385"/>
        <v>3.7212112231730492</v>
      </c>
      <c r="S45" s="634">
        <f t="shared" si="386"/>
        <v>-0.65430197337475171</v>
      </c>
      <c r="T45" s="635">
        <f t="shared" si="387"/>
        <v>-1.7538794516556313</v>
      </c>
      <c r="U45" s="629">
        <f t="shared" si="388"/>
        <v>3.2819688963378679</v>
      </c>
      <c r="V45" s="636">
        <f t="shared" si="389"/>
        <v>-0.65430197337475171</v>
      </c>
      <c r="W45" s="585">
        <f t="shared" si="224"/>
        <v>118.1199829455845</v>
      </c>
      <c r="X45" s="629">
        <f t="shared" si="390"/>
        <v>3.7212112231730492</v>
      </c>
      <c r="Y45" s="630">
        <f t="shared" si="223"/>
        <v>-0.65430197337475171</v>
      </c>
      <c r="Z45" s="632">
        <f t="shared" si="243"/>
        <v>-0.21182757019180365</v>
      </c>
      <c r="AA45" s="629">
        <f t="shared" si="244"/>
        <v>0.96432217510085061</v>
      </c>
      <c r="AB45" s="629">
        <f t="shared" si="245"/>
        <v>-0.15878231361017819</v>
      </c>
      <c r="AC45" s="636">
        <f t="shared" si="391"/>
        <v>1</v>
      </c>
      <c r="AD45" s="637">
        <f t="shared" si="392"/>
        <v>-0.21182757019180365</v>
      </c>
      <c r="AE45" s="629">
        <f t="shared" si="393"/>
        <v>0.96432217510085061</v>
      </c>
      <c r="AF45" s="633">
        <f t="shared" si="394"/>
        <v>-0.15878231361017819</v>
      </c>
      <c r="AG45" s="602">
        <f t="shared" si="395"/>
        <v>80.649752339951817</v>
      </c>
      <c r="AH45" s="603">
        <f t="shared" si="396"/>
        <v>102.22947406180113</v>
      </c>
      <c r="AI45" s="585">
        <f t="shared" si="397"/>
        <v>-80.863775577379187</v>
      </c>
      <c r="AJ45" s="586">
        <f t="shared" si="398"/>
        <v>-167.61090549871113</v>
      </c>
      <c r="AK45" s="635">
        <f t="shared" si="399"/>
        <v>0.9504745266155622</v>
      </c>
      <c r="AL45" s="629">
        <f t="shared" si="400"/>
        <v>-0.26718224330879875</v>
      </c>
      <c r="AM45" s="634">
        <f t="shared" si="401"/>
        <v>-0.15878231361017819</v>
      </c>
      <c r="AN45" s="581">
        <f t="shared" si="402"/>
        <v>-59.277632897630419</v>
      </c>
      <c r="AO45" s="582">
        <f t="shared" si="94"/>
        <v>18.107597597600698</v>
      </c>
      <c r="AP45" s="585">
        <f t="shared" si="403"/>
        <v>-15.700888448627094</v>
      </c>
      <c r="AQ45" s="586">
        <f t="shared" si="246"/>
        <v>0.6126069235327497</v>
      </c>
      <c r="AS45" s="52">
        <f t="shared" si="406"/>
        <v>-241.8800170544155</v>
      </c>
      <c r="AT45" s="72">
        <f t="shared" si="247"/>
        <v>-0.48630890597886001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5.1239999999999997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-3.6011866978715061</v>
      </c>
      <c r="C46" s="708">
        <v>-1.8746577825566966</v>
      </c>
      <c r="D46" s="709">
        <v>-1.3616041065979854</v>
      </c>
      <c r="E46" s="710">
        <v>0.12855013340019114</v>
      </c>
      <c r="F46" s="708">
        <v>-0.99025889124607358</v>
      </c>
      <c r="G46" s="711">
        <v>5.3499453370012641E-2</v>
      </c>
      <c r="H46" s="710">
        <v>0.314</v>
      </c>
      <c r="I46" s="708">
        <v>0.52</v>
      </c>
      <c r="J46" s="570">
        <v>5.13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5.13</v>
      </c>
      <c r="N46" s="632">
        <f t="shared" si="240"/>
        <v>-3.6011866978715061</v>
      </c>
      <c r="O46" s="629">
        <f t="shared" si="241"/>
        <v>-1.8746577825566966</v>
      </c>
      <c r="P46" s="633">
        <f t="shared" si="242"/>
        <v>-1.3616041065979854</v>
      </c>
      <c r="Q46" s="585">
        <f t="shared" si="113"/>
        <v>207.49998303510142</v>
      </c>
      <c r="R46" s="629">
        <f t="shared" si="385"/>
        <v>4.0599122446953304</v>
      </c>
      <c r="S46" s="634">
        <f t="shared" si="386"/>
        <v>-1.3616041065979854</v>
      </c>
      <c r="T46" s="635">
        <f t="shared" si="387"/>
        <v>-1.8765431021700447</v>
      </c>
      <c r="U46" s="629">
        <f t="shared" si="388"/>
        <v>3.6002046358957291</v>
      </c>
      <c r="V46" s="636">
        <f t="shared" si="389"/>
        <v>-1.3616041065979854</v>
      </c>
      <c r="W46" s="585">
        <f t="shared" si="224"/>
        <v>117.52998303076996</v>
      </c>
      <c r="X46" s="629">
        <f t="shared" si="390"/>
        <v>4.0599122446953304</v>
      </c>
      <c r="Y46" s="630">
        <f t="shared" si="223"/>
        <v>-1.3616041065979854</v>
      </c>
      <c r="Z46" s="632">
        <f t="shared" si="243"/>
        <v>-0.12855013340019114</v>
      </c>
      <c r="AA46" s="629">
        <f t="shared" si="244"/>
        <v>0.99025889124607358</v>
      </c>
      <c r="AB46" s="629">
        <f t="shared" si="245"/>
        <v>-5.3499453370012641E-2</v>
      </c>
      <c r="AC46" s="636">
        <f t="shared" si="391"/>
        <v>1</v>
      </c>
      <c r="AD46" s="637">
        <f t="shared" si="392"/>
        <v>-0.12855013340019114</v>
      </c>
      <c r="AE46" s="629">
        <f t="shared" si="393"/>
        <v>0.99025889124607358</v>
      </c>
      <c r="AF46" s="633">
        <f t="shared" si="394"/>
        <v>-5.3499453370012641E-2</v>
      </c>
      <c r="AG46" s="602">
        <f t="shared" si="395"/>
        <v>86.90756041740228</v>
      </c>
      <c r="AH46" s="603">
        <f t="shared" si="396"/>
        <v>97.385818103107326</v>
      </c>
      <c r="AI46" s="585">
        <f t="shared" si="397"/>
        <v>-86.933242986532903</v>
      </c>
      <c r="AJ46" s="586">
        <f t="shared" si="398"/>
        <v>-172.60353014696867</v>
      </c>
      <c r="AK46" s="635">
        <f t="shared" si="399"/>
        <v>0.93772831164172477</v>
      </c>
      <c r="AL46" s="629">
        <f t="shared" si="400"/>
        <v>-0.34322503118897119</v>
      </c>
      <c r="AM46" s="634">
        <f t="shared" si="401"/>
        <v>-5.3499453370012641E-2</v>
      </c>
      <c r="AN46" s="581">
        <f t="shared" si="402"/>
        <v>-81.140437872622456</v>
      </c>
      <c r="AO46" s="582">
        <f t="shared" si="94"/>
        <v>20.326510007189057</v>
      </c>
      <c r="AP46" s="585">
        <f t="shared" si="403"/>
        <v>-20.103513182070092</v>
      </c>
      <c r="AQ46" s="586">
        <f t="shared" si="246"/>
        <v>0.56150318313754366</v>
      </c>
      <c r="AS46" s="52">
        <f t="shared" si="406"/>
        <v>-242.47001696923004</v>
      </c>
      <c r="AT46" s="72">
        <f t="shared" si="247"/>
        <v>-1.1932013170390281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-3.6665293494856925</v>
      </c>
      <c r="C47" s="708">
        <v>-1.8981119677944651</v>
      </c>
      <c r="D47" s="709">
        <v>-2.1370064452114388</v>
      </c>
      <c r="E47" s="710">
        <v>-4.5886261589821564E-2</v>
      </c>
      <c r="F47" s="708">
        <v>-0.99894667074739174</v>
      </c>
      <c r="G47" s="711">
        <v>1.1339743338447125E-7</v>
      </c>
      <c r="H47" s="710">
        <v>0.314</v>
      </c>
      <c r="I47" s="708">
        <v>0.52</v>
      </c>
      <c r="J47" s="570">
        <v>5.1360000000000001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5.1360000000000001</v>
      </c>
      <c r="N47" s="632">
        <f t="shared" si="240"/>
        <v>-3.6665293494856925</v>
      </c>
      <c r="O47" s="629">
        <f t="shared" si="241"/>
        <v>-1.8981119677944651</v>
      </c>
      <c r="P47" s="633">
        <f t="shared" si="242"/>
        <v>-2.1370064452114388</v>
      </c>
      <c r="Q47" s="585">
        <f t="shared" si="113"/>
        <v>207.3699830538711</v>
      </c>
      <c r="R47" s="629">
        <f t="shared" si="385"/>
        <v>4.1287124521967566</v>
      </c>
      <c r="S47" s="634">
        <f t="shared" si="386"/>
        <v>-2.1370064452114388</v>
      </c>
      <c r="T47" s="635">
        <f t="shared" si="387"/>
        <v>-1.9000314975186421</v>
      </c>
      <c r="U47" s="629">
        <f t="shared" si="388"/>
        <v>3.66553499797255</v>
      </c>
      <c r="V47" s="636">
        <f t="shared" si="389"/>
        <v>-2.1370064452114388</v>
      </c>
      <c r="W47" s="585">
        <f t="shared" si="224"/>
        <v>117.39998304953963</v>
      </c>
      <c r="X47" s="629">
        <f t="shared" si="390"/>
        <v>4.1287124521967566</v>
      </c>
      <c r="Y47" s="630">
        <f t="shared" si="223"/>
        <v>-2.1370064452114388</v>
      </c>
      <c r="Z47" s="632">
        <f t="shared" si="243"/>
        <v>4.5886261589821564E-2</v>
      </c>
      <c r="AA47" s="629">
        <f t="shared" si="244"/>
        <v>0.99894667074739174</v>
      </c>
      <c r="AB47" s="629">
        <f t="shared" si="245"/>
        <v>-1.1339743338447125E-7</v>
      </c>
      <c r="AC47" s="636">
        <f t="shared" si="391"/>
        <v>1</v>
      </c>
      <c r="AD47" s="637">
        <f t="shared" si="392"/>
        <v>4.5886261589821564E-2</v>
      </c>
      <c r="AE47" s="629">
        <f t="shared" si="393"/>
        <v>0.99894667074739174</v>
      </c>
      <c r="AF47" s="633">
        <f t="shared" si="394"/>
        <v>-1.1339743338447125E-7</v>
      </c>
      <c r="AG47" s="602">
        <f t="shared" si="395"/>
        <v>89.999993495954769</v>
      </c>
      <c r="AH47" s="603">
        <f t="shared" si="396"/>
        <v>87.369987385335207</v>
      </c>
      <c r="AI47" s="585">
        <f t="shared" si="397"/>
        <v>-89.999993502805651</v>
      </c>
      <c r="AJ47" s="586">
        <f t="shared" si="398"/>
        <v>177.36998738533521</v>
      </c>
      <c r="AK47" s="635">
        <f t="shared" si="399"/>
        <v>0.86602544158358574</v>
      </c>
      <c r="AL47" s="629">
        <f t="shared" si="400"/>
        <v>-0.49999993452993852</v>
      </c>
      <c r="AM47" s="634">
        <f t="shared" si="401"/>
        <v>-1.1339743338447125E-7</v>
      </c>
      <c r="AN47" s="581">
        <f t="shared" si="402"/>
        <v>-89.999987005609626</v>
      </c>
      <c r="AO47" s="582">
        <f t="shared" si="94"/>
        <v>29.99999566853651</v>
      </c>
      <c r="AP47" s="585">
        <f t="shared" si="403"/>
        <v>-29.999995668535906</v>
      </c>
      <c r="AQ47" s="586">
        <f t="shared" si="246"/>
        <v>0.55214696761117965</v>
      </c>
      <c r="AS47" s="52">
        <f t="shared" si="406"/>
        <v>-242.60001695046037</v>
      </c>
      <c r="AT47" s="72">
        <f t="shared" si="247"/>
        <v>-1.9685133778877382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5.1360000000000001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-3.6665293494856925</v>
      </c>
      <c r="C48" s="708">
        <v>-1.8981119677944651</v>
      </c>
      <c r="D48" s="709">
        <v>-2.9103087774912728</v>
      </c>
      <c r="E48" s="710">
        <v>-4.5886261589821564E-2</v>
      </c>
      <c r="F48" s="708">
        <v>-0.99894667074739174</v>
      </c>
      <c r="G48" s="711">
        <v>1.1339743338447125E-7</v>
      </c>
      <c r="H48" s="710">
        <v>0.314</v>
      </c>
      <c r="I48" s="708">
        <v>0.52</v>
      </c>
      <c r="J48" s="570">
        <v>5.1420000000000003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5.1420000000000003</v>
      </c>
      <c r="N48" s="632">
        <f t="shared" si="240"/>
        <v>-3.6665293494856925</v>
      </c>
      <c r="O48" s="629">
        <f t="shared" si="241"/>
        <v>-1.8981119677944651</v>
      </c>
      <c r="P48" s="633">
        <f t="shared" si="242"/>
        <v>-2.9103087774912728</v>
      </c>
      <c r="Q48" s="585">
        <f t="shared" si="113"/>
        <v>207.3699830538711</v>
      </c>
      <c r="R48" s="629">
        <f t="shared" si="79"/>
        <v>4.1287124521967566</v>
      </c>
      <c r="S48" s="634">
        <f t="shared" si="80"/>
        <v>-2.9103087774912728</v>
      </c>
      <c r="T48" s="635">
        <f t="shared" si="81"/>
        <v>-1.9000314975186421</v>
      </c>
      <c r="U48" s="629">
        <f t="shared" si="82"/>
        <v>3.66553499797255</v>
      </c>
      <c r="V48" s="636">
        <f t="shared" si="114"/>
        <v>-2.9103087774912728</v>
      </c>
      <c r="W48" s="585">
        <f t="shared" si="224"/>
        <v>117.39998304953963</v>
      </c>
      <c r="X48" s="629">
        <f t="shared" si="83"/>
        <v>4.1287124521967566</v>
      </c>
      <c r="Y48" s="630">
        <f t="shared" si="223"/>
        <v>-2.9103087774912728</v>
      </c>
      <c r="Z48" s="632">
        <f t="shared" si="243"/>
        <v>4.5886261589821564E-2</v>
      </c>
      <c r="AA48" s="629">
        <f t="shared" si="244"/>
        <v>0.99894667074739174</v>
      </c>
      <c r="AB48" s="629">
        <f t="shared" si="245"/>
        <v>-1.1339743338447125E-7</v>
      </c>
      <c r="AC48" s="636">
        <f t="shared" si="84"/>
        <v>1</v>
      </c>
      <c r="AD48" s="637">
        <f t="shared" si="115"/>
        <v>4.5886261589821564E-2</v>
      </c>
      <c r="AE48" s="629">
        <f t="shared" si="85"/>
        <v>0.99894667074739174</v>
      </c>
      <c r="AF48" s="633">
        <f t="shared" si="86"/>
        <v>-1.1339743338447125E-7</v>
      </c>
      <c r="AG48" s="602">
        <f t="shared" si="87"/>
        <v>89.999993495954769</v>
      </c>
      <c r="AH48" s="603">
        <f t="shared" si="88"/>
        <v>87.369987385335207</v>
      </c>
      <c r="AI48" s="585">
        <f t="shared" si="89"/>
        <v>-89.999993502805651</v>
      </c>
      <c r="AJ48" s="586">
        <f t="shared" si="90"/>
        <v>177.36998738533521</v>
      </c>
      <c r="AK48" s="635">
        <f t="shared" si="211"/>
        <v>0.86602544158358574</v>
      </c>
      <c r="AL48" s="629">
        <f t="shared" si="91"/>
        <v>-0.49999993452993852</v>
      </c>
      <c r="AM48" s="634">
        <f t="shared" si="92"/>
        <v>-1.1339743338447125E-7</v>
      </c>
      <c r="AN48" s="581">
        <f t="shared" si="93"/>
        <v>-89.999987005609626</v>
      </c>
      <c r="AO48" s="582">
        <f t="shared" si="94"/>
        <v>29.99999566853651</v>
      </c>
      <c r="AP48" s="585">
        <f t="shared" si="95"/>
        <v>-29.999995668535906</v>
      </c>
      <c r="AQ48" s="586">
        <f t="shared" si="246"/>
        <v>0.55214696761117965</v>
      </c>
      <c r="AS48" s="52">
        <f t="shared" si="406"/>
        <v>-242.60001695046037</v>
      </c>
      <c r="AT48" s="72">
        <f t="shared" si="247"/>
        <v>-2.7418157101675722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5.1420000000000003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-1.5310753430210122</v>
      </c>
      <c r="C49" s="708">
        <v>0.18121503438078881</v>
      </c>
      <c r="D49" s="709">
        <v>-0.16273371438347681</v>
      </c>
      <c r="E49" s="710">
        <v>8.6551577694423995E-2</v>
      </c>
      <c r="F49" s="708">
        <v>-1.0244301080867078E-2</v>
      </c>
      <c r="G49" s="711">
        <v>0.99619469918985759</v>
      </c>
      <c r="H49" s="710">
        <v>0.25700000000000001</v>
      </c>
      <c r="I49" s="708">
        <v>0.41499999999999992</v>
      </c>
      <c r="J49" s="570">
        <v>5.2069999999999999</v>
      </c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CPS-32193r1</v>
      </c>
      <c r="L49" s="320"/>
      <c r="M49" s="168">
        <f t="shared" si="239"/>
        <v>5.2069999999999999</v>
      </c>
      <c r="N49" s="632">
        <f t="shared" si="240"/>
        <v>-1.5310753430210122</v>
      </c>
      <c r="O49" s="629">
        <f t="shared" si="241"/>
        <v>0.18121503438078881</v>
      </c>
      <c r="P49" s="633">
        <f t="shared" si="242"/>
        <v>-0.16273371438347681</v>
      </c>
      <c r="Q49" s="585">
        <f t="shared" si="113"/>
        <v>173.24998798018888</v>
      </c>
      <c r="R49" s="629">
        <f t="shared" si="79"/>
        <v>1.5417621718969954</v>
      </c>
      <c r="S49" s="634">
        <f t="shared" si="80"/>
        <v>-0.16273371438347681</v>
      </c>
      <c r="T49" s="635">
        <f t="shared" si="81"/>
        <v>0.18041334051765398</v>
      </c>
      <c r="U49" s="629">
        <f t="shared" si="82"/>
        <v>1.5311700170966651</v>
      </c>
      <c r="V49" s="636">
        <f t="shared" si="114"/>
        <v>-0.16273371438347681</v>
      </c>
      <c r="W49" s="585">
        <f t="shared" si="224"/>
        <v>83.279987975857409</v>
      </c>
      <c r="X49" s="629">
        <f t="shared" si="83"/>
        <v>1.5417621718969954</v>
      </c>
      <c r="Y49" s="630">
        <f t="shared" si="223"/>
        <v>-0.16273371438347681</v>
      </c>
      <c r="Z49" s="632">
        <f t="shared" si="243"/>
        <v>-8.6551577694423995E-2</v>
      </c>
      <c r="AA49" s="629">
        <f t="shared" si="244"/>
        <v>1.0244301080867078E-2</v>
      </c>
      <c r="AB49" s="629">
        <f t="shared" si="245"/>
        <v>-0.99619469918985759</v>
      </c>
      <c r="AC49" s="636">
        <f t="shared" si="84"/>
        <v>1</v>
      </c>
      <c r="AD49" s="637">
        <f t="shared" si="115"/>
        <v>-8.6551577694423995E-2</v>
      </c>
      <c r="AE49" s="629">
        <f t="shared" si="85"/>
        <v>1.0244301080867078E-2</v>
      </c>
      <c r="AF49" s="633">
        <f t="shared" si="86"/>
        <v>-0.99619469918985759</v>
      </c>
      <c r="AG49" s="602">
        <f t="shared" si="87"/>
        <v>0.58917652122808106</v>
      </c>
      <c r="AH49" s="603">
        <f t="shared" si="88"/>
        <v>94.96525258409855</v>
      </c>
      <c r="AI49" s="585">
        <f t="shared" si="89"/>
        <v>-4.9999992781061904</v>
      </c>
      <c r="AJ49" s="586">
        <f t="shared" si="90"/>
        <v>-96.750161113741797</v>
      </c>
      <c r="AK49" s="635">
        <f t="shared" si="211"/>
        <v>2.2679489669261144E-7</v>
      </c>
      <c r="AL49" s="629">
        <f t="shared" si="91"/>
        <v>8.7155730195885184E-2</v>
      </c>
      <c r="AM49" s="634">
        <f t="shared" si="92"/>
        <v>-0.99619469918985759</v>
      </c>
      <c r="AN49" s="581">
        <f t="shared" si="93"/>
        <v>4.9999992780894233</v>
      </c>
      <c r="AO49" s="582">
        <f t="shared" si="94"/>
        <v>0</v>
      </c>
      <c r="AP49" s="585">
        <f t="shared" si="95"/>
        <v>89.999850906069341</v>
      </c>
      <c r="AQ49" s="586">
        <f t="shared" si="246"/>
        <v>1.4783218600067924</v>
      </c>
      <c r="AS49" s="52">
        <f t="shared" si="406"/>
        <v>-276.72001202414259</v>
      </c>
      <c r="AT49" s="72">
        <f t="shared" si="247"/>
        <v>2.9453793963614278E-2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5.2069999999999999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1.107</v>
      </c>
      <c r="II49" s="734" cm="1">
        <f t="array" ref="II49">IFERROR(ROUND(VALUE(IF($IH49&lt;1,$IH49+LARGE((IF($M$9:$M$150="",0,$M$9:$M$150)-MOD(IF($M$9:$M$150="",0,$M$9:$M$150),1)),1),$IH49)),4),"")</f>
        <v>1.107</v>
      </c>
      <c r="IJ49" s="533">
        <f t="shared" si="112"/>
        <v>1313</v>
      </c>
      <c r="IK49" s="533" t="str">
        <f t="shared" si="382"/>
        <v>CPS-32193r1</v>
      </c>
      <c r="IL49" s="727">
        <f t="shared" si="225"/>
        <v>276.75001201981109</v>
      </c>
      <c r="IM49" s="759">
        <v>2.2228291452656999E-2</v>
      </c>
      <c r="IN49" s="5">
        <f t="shared" si="226"/>
        <v>0.06</v>
      </c>
      <c r="IO49" s="771">
        <v>30</v>
      </c>
      <c r="IP49" s="9">
        <f t="shared" si="227"/>
        <v>-1.5418046500828246</v>
      </c>
      <c r="IQ49" s="5">
        <f t="shared" si="228"/>
        <v>-0.12900038906517344</v>
      </c>
      <c r="IR49" s="5">
        <f t="shared" si="383"/>
        <v>0.26600000000000001</v>
      </c>
      <c r="IS49" s="5">
        <f t="shared" si="229"/>
        <v>0.25693627239520717</v>
      </c>
      <c r="IT49" s="727">
        <f t="shared" si="230"/>
        <v>-4.9999992780894216</v>
      </c>
      <c r="IU49" s="9">
        <f t="shared" si="231"/>
        <v>-1.5417621718969954</v>
      </c>
      <c r="IV49" s="5">
        <f t="shared" si="232"/>
        <v>-0.16273371438347681</v>
      </c>
      <c r="IW49" s="5">
        <f t="shared" si="384"/>
        <v>0.25700000000000001</v>
      </c>
      <c r="IX49" s="5">
        <f t="shared" si="233"/>
        <v>0.25700000000000001</v>
      </c>
      <c r="IY49" s="762">
        <f t="shared" si="234"/>
        <v>-4.9999992780894233</v>
      </c>
    </row>
    <row r="50" spans="1:259" ht="15" customHeight="1" x14ac:dyDescent="0.25">
      <c r="A50" s="79"/>
      <c r="B50" s="707">
        <v>-2.1575340185841427</v>
      </c>
      <c r="C50" s="708">
        <v>-0.18041426479785969</v>
      </c>
      <c r="D50" s="709">
        <v>-0.10743076981201817</v>
      </c>
      <c r="E50" s="710">
        <v>8.6852623863480721E-2</v>
      </c>
      <c r="F50" s="708">
        <v>7.2624399521169607E-3</v>
      </c>
      <c r="G50" s="711">
        <v>0.99619469918985759</v>
      </c>
      <c r="H50" s="710">
        <v>0.25700000000000001</v>
      </c>
      <c r="I50" s="708">
        <v>0.41499999999999992</v>
      </c>
      <c r="J50" s="570">
        <v>5.21</v>
      </c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CPS-32193r1</v>
      </c>
      <c r="L50" s="320"/>
      <c r="M50" s="168">
        <f t="shared" si="239"/>
        <v>5.21</v>
      </c>
      <c r="N50" s="632">
        <f t="shared" si="240"/>
        <v>-2.1575340185841427</v>
      </c>
      <c r="O50" s="629">
        <f t="shared" si="241"/>
        <v>-0.18041426479785969</v>
      </c>
      <c r="P50" s="633">
        <f t="shared" si="242"/>
        <v>-0.10743076981201817</v>
      </c>
      <c r="Q50" s="585">
        <f t="shared" si="113"/>
        <v>184.77998631546311</v>
      </c>
      <c r="R50" s="629">
        <f t="shared" si="79"/>
        <v>2.1650640517754649</v>
      </c>
      <c r="S50" s="634">
        <f t="shared" si="80"/>
        <v>-0.10743076981201817</v>
      </c>
      <c r="T50" s="635">
        <f t="shared" si="81"/>
        <v>-0.18154392202278866</v>
      </c>
      <c r="U50" s="629">
        <f t="shared" si="82"/>
        <v>2.157439258163941</v>
      </c>
      <c r="V50" s="636">
        <f t="shared" si="114"/>
        <v>-0.10743076981201817</v>
      </c>
      <c r="W50" s="585">
        <f t="shared" si="224"/>
        <v>94.809986311131638</v>
      </c>
      <c r="X50" s="629">
        <f t="shared" si="83"/>
        <v>2.1650640517754649</v>
      </c>
      <c r="Y50" s="630">
        <f t="shared" si="223"/>
        <v>-0.10743076981201817</v>
      </c>
      <c r="Z50" s="632">
        <f t="shared" si="243"/>
        <v>-8.6852623863480721E-2</v>
      </c>
      <c r="AA50" s="629">
        <f t="shared" si="244"/>
        <v>-7.2624399521169607E-3</v>
      </c>
      <c r="AB50" s="629">
        <f t="shared" si="245"/>
        <v>-0.99619469918985759</v>
      </c>
      <c r="AC50" s="636">
        <f t="shared" si="84"/>
        <v>1</v>
      </c>
      <c r="AD50" s="637">
        <f t="shared" si="115"/>
        <v>-8.6852623863480721E-2</v>
      </c>
      <c r="AE50" s="629">
        <f t="shared" si="85"/>
        <v>-7.2624399521169607E-3</v>
      </c>
      <c r="AF50" s="633">
        <f t="shared" si="86"/>
        <v>-0.99619469918985759</v>
      </c>
      <c r="AG50" s="602">
        <f t="shared" si="87"/>
        <v>-0.41768922000573616</v>
      </c>
      <c r="AH50" s="603">
        <f t="shared" si="88"/>
        <v>94.982566458249281</v>
      </c>
      <c r="AI50" s="585">
        <f t="shared" si="89"/>
        <v>-4.9999992781061904</v>
      </c>
      <c r="AJ50" s="586">
        <f t="shared" si="90"/>
        <v>-85.220162778467596</v>
      </c>
      <c r="AK50" s="635">
        <f t="shared" si="211"/>
        <v>2.2679489671776493E-7</v>
      </c>
      <c r="AL50" s="629">
        <f t="shared" si="91"/>
        <v>8.715573019588517E-2</v>
      </c>
      <c r="AM50" s="634">
        <f t="shared" si="92"/>
        <v>-0.99619469918985759</v>
      </c>
      <c r="AN50" s="581">
        <f t="shared" si="93"/>
        <v>4.9999992780894225</v>
      </c>
      <c r="AO50" s="582">
        <f t="shared" si="94"/>
        <v>0</v>
      </c>
      <c r="AP50" s="585">
        <f t="shared" si="95"/>
        <v>89.999850906069312</v>
      </c>
      <c r="AQ50" s="586">
        <f t="shared" si="246"/>
        <v>1.0528418467116487</v>
      </c>
      <c r="AS50" s="52">
        <f t="shared" si="406"/>
        <v>-265.19001368886836</v>
      </c>
      <c r="AT50" s="72">
        <f t="shared" si="247"/>
        <v>7.6749795246687999E-2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Nose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5.21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1.1100000000000001</v>
      </c>
      <c r="II50" s="734" cm="1">
        <f t="array" ref="II50">IFERROR(ROUND(VALUE(IF($IH50&lt;1,$IH50+LARGE((IF($M$9:$M$150="",0,$M$9:$M$150)-MOD(IF($M$9:$M$150="",0,$M$9:$M$150),1)),1),$IH50)),4),"")</f>
        <v>1.1100000000000001</v>
      </c>
      <c r="IJ50" s="533">
        <f t="shared" si="112"/>
        <v>1313</v>
      </c>
      <c r="IK50" s="533" t="str">
        <f t="shared" si="382"/>
        <v>CPS-32193r1</v>
      </c>
      <c r="IL50" s="727">
        <f t="shared" si="225"/>
        <v>265.19001368886836</v>
      </c>
      <c r="IM50" s="759">
        <v>2.3254463887353801E-2</v>
      </c>
      <c r="IN50" s="5">
        <f t="shared" si="226"/>
        <v>0.06</v>
      </c>
      <c r="IO50" s="771">
        <v>30</v>
      </c>
      <c r="IP50" s="9">
        <f t="shared" si="227"/>
        <v>-2.1651065299612942</v>
      </c>
      <c r="IQ50" s="5">
        <f t="shared" si="228"/>
        <v>-7.4500224692677655E-2</v>
      </c>
      <c r="IR50" s="5">
        <f t="shared" si="383"/>
        <v>0.26600000000000001</v>
      </c>
      <c r="IS50" s="5">
        <f t="shared" si="229"/>
        <v>0.25691366914720826</v>
      </c>
      <c r="IT50" s="727">
        <f t="shared" si="230"/>
        <v>-2.065979855470244</v>
      </c>
      <c r="IU50" s="9">
        <f t="shared" si="231"/>
        <v>-2.1650640517754649</v>
      </c>
      <c r="IV50" s="5">
        <f t="shared" si="232"/>
        <v>-0.10743076981201817</v>
      </c>
      <c r="IW50" s="5">
        <f t="shared" si="384"/>
        <v>0.25700000000000001</v>
      </c>
      <c r="IX50" s="5">
        <f t="shared" si="233"/>
        <v>0.25700000000000001</v>
      </c>
      <c r="IY50" s="762">
        <f t="shared" si="234"/>
        <v>-4.9999992780894225</v>
      </c>
    </row>
    <row r="51" spans="1:259" ht="15" customHeight="1" x14ac:dyDescent="0.25">
      <c r="A51" s="79"/>
      <c r="B51" s="707">
        <v>-1.9443076453518569</v>
      </c>
      <c r="C51" s="708">
        <v>1.1261695446404401</v>
      </c>
      <c r="D51" s="709">
        <v>-6.7400203279013096E-2</v>
      </c>
      <c r="E51" s="710">
        <v>-0.48315685830626665</v>
      </c>
      <c r="F51" s="708">
        <v>-0.83614366209215074</v>
      </c>
      <c r="G51" s="711">
        <v>0.25965982865038173</v>
      </c>
      <c r="H51" s="710">
        <v>0.26600000000000001</v>
      </c>
      <c r="I51" s="708">
        <v>0.52</v>
      </c>
      <c r="J51" s="570">
        <v>6.1109999999999998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6.1109999999999998</v>
      </c>
      <c r="N51" s="632">
        <f t="shared" si="240"/>
        <v>-1.9443076453518569</v>
      </c>
      <c r="O51" s="629">
        <f t="shared" si="241"/>
        <v>1.1261695446404401</v>
      </c>
      <c r="P51" s="633">
        <f t="shared" si="242"/>
        <v>-6.7400203279013096E-2</v>
      </c>
      <c r="Q51" s="585">
        <f t="shared" si="113"/>
        <v>149.91999134862363</v>
      </c>
      <c r="R51" s="629">
        <f t="shared" si="79"/>
        <v>2.2469067766708388</v>
      </c>
      <c r="S51" s="634">
        <f t="shared" si="80"/>
        <v>-6.7400203279013096E-2</v>
      </c>
      <c r="T51" s="635">
        <f t="shared" si="81"/>
        <v>1.1251513533586122</v>
      </c>
      <c r="U51" s="629">
        <f t="shared" si="82"/>
        <v>1.9448970397130596</v>
      </c>
      <c r="V51" s="636">
        <f t="shared" si="114"/>
        <v>-6.7400203279013096E-2</v>
      </c>
      <c r="W51" s="585">
        <f t="shared" si="224"/>
        <v>59.949991344292158</v>
      </c>
      <c r="X51" s="629">
        <f t="shared" si="83"/>
        <v>2.2469067766708388</v>
      </c>
      <c r="Y51" s="630">
        <f t="shared" si="223"/>
        <v>-6.7400203279013096E-2</v>
      </c>
      <c r="Z51" s="632">
        <f t="shared" si="243"/>
        <v>0.48315685830626665</v>
      </c>
      <c r="AA51" s="629">
        <f t="shared" si="244"/>
        <v>0.83614366209215074</v>
      </c>
      <c r="AB51" s="629">
        <f t="shared" si="245"/>
        <v>-0.25965982865038173</v>
      </c>
      <c r="AC51" s="636">
        <f t="shared" si="84"/>
        <v>1</v>
      </c>
      <c r="AD51" s="637">
        <f t="shared" si="115"/>
        <v>0.48315685830626665</v>
      </c>
      <c r="AE51" s="629">
        <f t="shared" si="85"/>
        <v>0.83614366209215074</v>
      </c>
      <c r="AF51" s="633">
        <f t="shared" si="86"/>
        <v>-0.25965982865038173</v>
      </c>
      <c r="AG51" s="602">
        <f t="shared" si="87"/>
        <v>72.748105047316258</v>
      </c>
      <c r="AH51" s="603">
        <f t="shared" si="88"/>
        <v>61.108214799097155</v>
      </c>
      <c r="AI51" s="585">
        <f t="shared" si="89"/>
        <v>-74.950121455802375</v>
      </c>
      <c r="AJ51" s="586">
        <f t="shared" si="90"/>
        <v>149.97898014329937</v>
      </c>
      <c r="AK51" s="635">
        <f t="shared" si="211"/>
        <v>0.9656996349185043</v>
      </c>
      <c r="AL51" s="629">
        <f t="shared" si="91"/>
        <v>9.9423514426350001E-4</v>
      </c>
      <c r="AM51" s="634">
        <f t="shared" si="92"/>
        <v>-0.25965982865038173</v>
      </c>
      <c r="AN51" s="581">
        <f t="shared" si="93"/>
        <v>0.21938395135996788</v>
      </c>
      <c r="AO51" s="582">
        <f t="shared" si="94"/>
        <v>15.049991477575279</v>
      </c>
      <c r="AP51" s="585">
        <f t="shared" si="95"/>
        <v>5.8988794675730635E-2</v>
      </c>
      <c r="AQ51" s="586">
        <f t="shared" si="246"/>
        <v>1.0145006491689099</v>
      </c>
      <c r="AS51" s="52">
        <f t="shared" si="406"/>
        <v>-300.05000865570787</v>
      </c>
      <c r="AT51" s="72">
        <f t="shared" si="247"/>
        <v>0.14098869161777605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6.1109999999999998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-2.541793881516857</v>
      </c>
      <c r="C52" s="708">
        <v>1.5116083843779815</v>
      </c>
      <c r="D52" s="709">
        <v>-0.1576004753230334</v>
      </c>
      <c r="E52" s="710">
        <v>-0.60202579766170283</v>
      </c>
      <c r="F52" s="708">
        <v>-0.76329325970530759</v>
      </c>
      <c r="G52" s="711">
        <v>0.23441061972154001</v>
      </c>
      <c r="H52" s="710">
        <v>0.314</v>
      </c>
      <c r="I52" s="708">
        <v>0.52</v>
      </c>
      <c r="J52" s="570">
        <v>6.117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6.117</v>
      </c>
      <c r="N52" s="632">
        <f t="shared" si="240"/>
        <v>-2.541793881516857</v>
      </c>
      <c r="O52" s="629">
        <f t="shared" si="241"/>
        <v>1.5116083843779815</v>
      </c>
      <c r="P52" s="633">
        <f t="shared" si="242"/>
        <v>-0.1576004753230334</v>
      </c>
      <c r="Q52" s="585">
        <f t="shared" si="113"/>
        <v>149.25999133707307</v>
      </c>
      <c r="R52" s="629">
        <f t="shared" si="79"/>
        <v>2.9573089192437001</v>
      </c>
      <c r="S52" s="634">
        <f t="shared" si="80"/>
        <v>-0.1576004753230334</v>
      </c>
      <c r="T52" s="635">
        <f t="shared" si="81"/>
        <v>1.5102772972588168</v>
      </c>
      <c r="U52" s="629">
        <f t="shared" si="82"/>
        <v>2.542585009242158</v>
      </c>
      <c r="V52" s="636">
        <f t="shared" si="114"/>
        <v>-0.1576004753230334</v>
      </c>
      <c r="W52" s="585">
        <f t="shared" si="224"/>
        <v>59.289991332741607</v>
      </c>
      <c r="X52" s="629">
        <f t="shared" si="83"/>
        <v>2.9573089192437001</v>
      </c>
      <c r="Y52" s="630">
        <f t="shared" si="223"/>
        <v>-0.1576004753230334</v>
      </c>
      <c r="Z52" s="632">
        <f t="shared" si="243"/>
        <v>0.60202579766170283</v>
      </c>
      <c r="AA52" s="629">
        <f t="shared" si="244"/>
        <v>0.76329325970530759</v>
      </c>
      <c r="AB52" s="629">
        <f t="shared" si="245"/>
        <v>-0.23441061972154001</v>
      </c>
      <c r="AC52" s="636">
        <f t="shared" si="84"/>
        <v>1</v>
      </c>
      <c r="AD52" s="637">
        <f t="shared" si="115"/>
        <v>0.60202579766170283</v>
      </c>
      <c r="AE52" s="629">
        <f t="shared" si="85"/>
        <v>0.76329325970530759</v>
      </c>
      <c r="AF52" s="633">
        <f t="shared" si="86"/>
        <v>-0.23441061972154001</v>
      </c>
      <c r="AG52" s="602">
        <f t="shared" si="87"/>
        <v>72.928054256853741</v>
      </c>
      <c r="AH52" s="603">
        <f t="shared" si="88"/>
        <v>52.984877092333747</v>
      </c>
      <c r="AI52" s="585">
        <f t="shared" si="89"/>
        <v>-76.443116619542081</v>
      </c>
      <c r="AJ52" s="586">
        <f t="shared" si="90"/>
        <v>141.73639635431149</v>
      </c>
      <c r="AK52" s="635">
        <f t="shared" si="211"/>
        <v>0.96376856747457351</v>
      </c>
      <c r="AL52" s="629">
        <f t="shared" si="91"/>
        <v>-0.12728632962644487</v>
      </c>
      <c r="AM52" s="634">
        <f t="shared" si="92"/>
        <v>-0.23441061972154001</v>
      </c>
      <c r="AN52" s="581">
        <f t="shared" si="93"/>
        <v>-28.502217594414866</v>
      </c>
      <c r="AO52" s="582">
        <f t="shared" si="94"/>
        <v>15.470360722796613</v>
      </c>
      <c r="AP52" s="585">
        <f t="shared" si="95"/>
        <v>-7.5235949827615931</v>
      </c>
      <c r="AQ52" s="586">
        <f t="shared" si="246"/>
        <v>0.77083224997119515</v>
      </c>
      <c r="AS52" s="52">
        <f t="shared" si="406"/>
        <v>-300.71000866725842</v>
      </c>
      <c r="AT52" s="72">
        <f t="shared" si="247"/>
        <v>5.12467529151103E-2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6.117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-3.0882397163632627</v>
      </c>
      <c r="C53" s="708">
        <v>1.9118068520872666</v>
      </c>
      <c r="D53" s="709">
        <v>-0.55700167991706673</v>
      </c>
      <c r="E53" s="710">
        <v>-0.71575941613133187</v>
      </c>
      <c r="F53" s="708">
        <v>-0.67535736757006404</v>
      </c>
      <c r="G53" s="711">
        <v>0.17771011307229678</v>
      </c>
      <c r="H53" s="710">
        <v>0.314</v>
      </c>
      <c r="I53" s="708">
        <v>0.52</v>
      </c>
      <c r="J53" s="570">
        <v>6.1230000000000002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6.1230000000000002</v>
      </c>
      <c r="N53" s="632">
        <f t="shared" si="240"/>
        <v>-3.0882397163632627</v>
      </c>
      <c r="O53" s="629">
        <f t="shared" si="241"/>
        <v>1.9118068520872666</v>
      </c>
      <c r="P53" s="633">
        <f t="shared" si="242"/>
        <v>-0.55700167991706673</v>
      </c>
      <c r="Q53" s="585">
        <f t="shared" si="113"/>
        <v>148.23999133707309</v>
      </c>
      <c r="R53" s="629">
        <f t="shared" ref="R53:R58" si="410">IF(M53="","",SQRT(N53^2+O53^2))</f>
        <v>3.6321109544466381</v>
      </c>
      <c r="S53" s="634">
        <f t="shared" ref="S53:S58" si="411">IF(M53="","",P53)</f>
        <v>-0.55700167991706673</v>
      </c>
      <c r="T53" s="635">
        <f t="shared" ref="T53:T58" si="412">IF(M53="","",X53*COS(RADIANS(W53)))</f>
        <v>1.9101895917941041</v>
      </c>
      <c r="U53" s="629">
        <f t="shared" ref="U53:U58" si="413">IF(M53="","",X53*SIN(RADIANS(W53)))</f>
        <v>3.0892403125708339</v>
      </c>
      <c r="V53" s="636">
        <f t="shared" ref="V53:V58" si="414">IF(M53="","",Y53)</f>
        <v>-0.55700167991706673</v>
      </c>
      <c r="W53" s="585">
        <f t="shared" si="224"/>
        <v>58.269991332741625</v>
      </c>
      <c r="X53" s="629">
        <f t="shared" ref="X53:X58" si="415">IF(M53="","",R53)</f>
        <v>3.6321109544466381</v>
      </c>
      <c r="Y53" s="630">
        <f t="shared" si="223"/>
        <v>-0.55700167991706673</v>
      </c>
      <c r="Z53" s="632">
        <f t="shared" si="243"/>
        <v>0.71575941613133187</v>
      </c>
      <c r="AA53" s="629">
        <f t="shared" si="244"/>
        <v>0.67535736757006404</v>
      </c>
      <c r="AB53" s="629">
        <f t="shared" si="245"/>
        <v>-0.17771011307229678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0.71575941613133187</v>
      </c>
      <c r="AE53" s="629">
        <f t="shared" ref="AE53:AE58" si="418">IF(M53="","",AA53*(1/SQRT(Z53^2+AA53^2+AB53^2)))</f>
        <v>0.67535736757006404</v>
      </c>
      <c r="AF53" s="633">
        <f t="shared" ref="AF53:AF58" si="419">IF(M53="","",AB53*(1/SQRT(Z53^2+AA53^2+AB53^2)))</f>
        <v>-0.17771011307229678</v>
      </c>
      <c r="AG53" s="602">
        <f t="shared" ref="AG53:AG58" si="420">IF(M53="","",DEGREES(ATAN2(-AF53,AE53)))</f>
        <v>75.257667778995227</v>
      </c>
      <c r="AH53" s="603">
        <f t="shared" ref="AH53:AH58" si="421">IF(M53="","",DEGREES(ACOS(AD53)))</f>
        <v>44.294529317048166</v>
      </c>
      <c r="AI53" s="585">
        <f t="shared" ref="AI53:AI58" si="422">IF(M53="","",DEGREES(-ACOS(-AF53)))</f>
        <v>-79.763591312553586</v>
      </c>
      <c r="AJ53" s="586">
        <f t="shared" ref="AJ53:AJ58" si="423">IF(M53="","",DEGREES(ATAN2(-AE53,AD53)))</f>
        <v>133.33643273707355</v>
      </c>
      <c r="AK53" s="635">
        <f t="shared" ref="AK53:AK58" si="424">IF(M53="","",(COS(RADIANS((90-$Q$8)-W53))*AD53)+(-SIN(RADIANS((90-$Q$8)-W53))*AE53))</f>
        <v>0.95097843782707636</v>
      </c>
      <c r="AL53" s="629">
        <f t="shared" ref="AL53:AL58" si="425">IF(M53="","",(SIN(RADIANS((90-$Q$8)-W53))*AD53)+(COS(RADIANS((90-$Q$8)-W53))*AE53))</f>
        <v>-0.25309904484174772</v>
      </c>
      <c r="AM53" s="634">
        <f t="shared" ref="AM53:AM58" si="426">IF(M53="","",AF53)</f>
        <v>-0.17771011307229678</v>
      </c>
      <c r="AN53" s="581">
        <f t="shared" ref="AN53:AN58" si="427">IF(M53="","",DEGREES(ATAN2(-AM53,AL53)))</f>
        <v>-54.925900847742454</v>
      </c>
      <c r="AO53" s="582">
        <f t="shared" si="94"/>
        <v>18.014471141660639</v>
      </c>
      <c r="AP53" s="585">
        <f t="shared" ref="AP53:AP58" si="428">IF(M53="","",DEGREES(ATAN2(AK53,AL53)))</f>
        <v>-14.90355859999956</v>
      </c>
      <c r="AQ53" s="586">
        <f t="shared" si="246"/>
        <v>0.62763375724805781</v>
      </c>
      <c r="AS53" s="52">
        <f t="shared" si="406"/>
        <v>-301.7300086672584</v>
      </c>
      <c r="AT53" s="72">
        <f t="shared" si="247"/>
        <v>-0.34744611834558969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6.1230000000000002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-3.399921895409781</v>
      </c>
      <c r="C54" s="708">
        <v>2.1618209967647766</v>
      </c>
      <c r="D54" s="709">
        <v>-1.2332037193424175</v>
      </c>
      <c r="E54" s="710">
        <v>-0.78890016478966729</v>
      </c>
      <c r="F54" s="708">
        <v>-0.60984334006465524</v>
      </c>
      <c r="G54" s="711">
        <v>7.5681111075494328E-2</v>
      </c>
      <c r="H54" s="710">
        <v>0.314</v>
      </c>
      <c r="I54" s="708">
        <v>0.52</v>
      </c>
      <c r="J54" s="570">
        <v>6.1289999999999996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6.1289999999999996</v>
      </c>
      <c r="N54" s="632">
        <f t="shared" si="240"/>
        <v>-3.399921895409781</v>
      </c>
      <c r="O54" s="629">
        <f t="shared" si="241"/>
        <v>2.1618209967647766</v>
      </c>
      <c r="P54" s="633">
        <f t="shared" si="242"/>
        <v>-1.2332037193424175</v>
      </c>
      <c r="Q54" s="585">
        <f t="shared" si="113"/>
        <v>147.54999133707307</v>
      </c>
      <c r="R54" s="629">
        <f t="shared" si="410"/>
        <v>4.0290121515006492</v>
      </c>
      <c r="S54" s="634">
        <f t="shared" si="411"/>
        <v>-1.2332037193424175</v>
      </c>
      <c r="T54" s="635">
        <f t="shared" si="412"/>
        <v>2.1600405058239223</v>
      </c>
      <c r="U54" s="629">
        <f t="shared" si="413"/>
        <v>3.4010533559677985</v>
      </c>
      <c r="V54" s="636">
        <f t="shared" si="414"/>
        <v>-1.2332037193424175</v>
      </c>
      <c r="W54" s="585">
        <f t="shared" si="224"/>
        <v>57.579991332741599</v>
      </c>
      <c r="X54" s="629">
        <f t="shared" si="415"/>
        <v>4.0290121515006492</v>
      </c>
      <c r="Y54" s="630">
        <f t="shared" si="223"/>
        <v>-1.2332037193424175</v>
      </c>
      <c r="Z54" s="632">
        <f t="shared" si="243"/>
        <v>0.78890016478966729</v>
      </c>
      <c r="AA54" s="629">
        <f t="shared" si="244"/>
        <v>0.60984334006465524</v>
      </c>
      <c r="AB54" s="629">
        <f t="shared" si="245"/>
        <v>-7.5681111075494328E-2</v>
      </c>
      <c r="AC54" s="636">
        <f t="shared" si="416"/>
        <v>1</v>
      </c>
      <c r="AD54" s="637">
        <f t="shared" si="417"/>
        <v>0.78890016478966729</v>
      </c>
      <c r="AE54" s="629">
        <f t="shared" si="418"/>
        <v>0.60984334006465524</v>
      </c>
      <c r="AF54" s="633">
        <f t="shared" si="419"/>
        <v>-7.5681111075494328E-2</v>
      </c>
      <c r="AG54" s="602">
        <f t="shared" si="420"/>
        <v>82.92580353676486</v>
      </c>
      <c r="AH54" s="603">
        <f t="shared" si="421"/>
        <v>37.91715134410105</v>
      </c>
      <c r="AI54" s="585">
        <f t="shared" si="422"/>
        <v>-85.659641674560021</v>
      </c>
      <c r="AJ54" s="586">
        <f t="shared" si="423"/>
        <v>127.70509211608585</v>
      </c>
      <c r="AK54" s="635">
        <f t="shared" si="424"/>
        <v>0.93791741577191923</v>
      </c>
      <c r="AL54" s="629">
        <f t="shared" si="425"/>
        <v>-0.33850153709858355</v>
      </c>
      <c r="AM54" s="634">
        <f t="shared" si="426"/>
        <v>-7.5681111075494328E-2</v>
      </c>
      <c r="AN54" s="581">
        <f t="shared" si="427"/>
        <v>-77.397250938185479</v>
      </c>
      <c r="AO54" s="582">
        <f t="shared" si="94"/>
        <v>20.295295867185249</v>
      </c>
      <c r="AP54" s="585">
        <f t="shared" si="428"/>
        <v>-19.844899220987212</v>
      </c>
      <c r="AQ54" s="586">
        <f t="shared" si="246"/>
        <v>0.56580929499147758</v>
      </c>
      <c r="AS54" s="52">
        <f t="shared" si="406"/>
        <v>-302.4200086672584</v>
      </c>
      <c r="AT54" s="72">
        <f t="shared" si="247"/>
        <v>-1.0231689911042738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6.1289999999999996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-3.4770781799273789</v>
      </c>
      <c r="C55" s="708">
        <v>2.2262510738004062</v>
      </c>
      <c r="D55" s="709">
        <v>-2.0081060564478661</v>
      </c>
      <c r="E55" s="710">
        <v>-0.88805625822458334</v>
      </c>
      <c r="F55" s="708">
        <v>-0.45973479553775287</v>
      </c>
      <c r="G55" s="711">
        <v>1.1339743320583981E-7</v>
      </c>
      <c r="H55" s="710">
        <v>0.314</v>
      </c>
      <c r="I55" s="708">
        <v>0.52</v>
      </c>
      <c r="J55" s="570">
        <v>6.1349999999999998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6.1349999999999998</v>
      </c>
      <c r="N55" s="632">
        <f t="shared" si="240"/>
        <v>-3.4770781799273789</v>
      </c>
      <c r="O55" s="629">
        <f t="shared" si="241"/>
        <v>2.2262510738004062</v>
      </c>
      <c r="P55" s="633">
        <f t="shared" si="242"/>
        <v>-2.0081060564478661</v>
      </c>
      <c r="Q55" s="585">
        <f t="shared" si="113"/>
        <v>147.36999133707309</v>
      </c>
      <c r="R55" s="629">
        <f t="shared" si="410"/>
        <v>4.1287124521967566</v>
      </c>
      <c r="S55" s="634">
        <f t="shared" si="411"/>
        <v>-2.0081060564478661</v>
      </c>
      <c r="T55" s="635">
        <f t="shared" si="412"/>
        <v>2.2244301750991942</v>
      </c>
      <c r="U55" s="629">
        <f t="shared" si="413"/>
        <v>3.4782433654120184</v>
      </c>
      <c r="V55" s="636">
        <f t="shared" si="414"/>
        <v>-2.0081060564478661</v>
      </c>
      <c r="W55" s="585">
        <f t="shared" si="224"/>
        <v>57.399991332741621</v>
      </c>
      <c r="X55" s="629">
        <f t="shared" si="415"/>
        <v>4.1287124521967566</v>
      </c>
      <c r="Y55" s="630">
        <f t="shared" si="223"/>
        <v>-2.0081060564478661</v>
      </c>
      <c r="Z55" s="632">
        <f t="shared" si="243"/>
        <v>0.88805625822458334</v>
      </c>
      <c r="AA55" s="629">
        <f t="shared" si="244"/>
        <v>0.45973479553775287</v>
      </c>
      <c r="AB55" s="629">
        <f t="shared" si="245"/>
        <v>-1.1339743320583981E-7</v>
      </c>
      <c r="AC55" s="636">
        <f t="shared" si="416"/>
        <v>1</v>
      </c>
      <c r="AD55" s="637">
        <f t="shared" si="417"/>
        <v>0.88805625822458334</v>
      </c>
      <c r="AE55" s="629">
        <f t="shared" si="418"/>
        <v>0.45973479553775287</v>
      </c>
      <c r="AF55" s="633">
        <f t="shared" si="419"/>
        <v>-1.1339743320583981E-7</v>
      </c>
      <c r="AG55" s="602">
        <f t="shared" si="420"/>
        <v>89.999985867516685</v>
      </c>
      <c r="AH55" s="603">
        <f t="shared" si="421"/>
        <v>27.369995668537882</v>
      </c>
      <c r="AI55" s="585">
        <f t="shared" si="422"/>
        <v>-89.999993502805665</v>
      </c>
      <c r="AJ55" s="586">
        <f t="shared" si="423"/>
        <v>117.36999566853716</v>
      </c>
      <c r="AK55" s="635">
        <f t="shared" si="424"/>
        <v>0.86602544158358552</v>
      </c>
      <c r="AL55" s="629">
        <f t="shared" si="425"/>
        <v>-0.49999993452993874</v>
      </c>
      <c r="AM55" s="634">
        <f t="shared" si="426"/>
        <v>-1.1339743320583981E-7</v>
      </c>
      <c r="AN55" s="581">
        <f t="shared" si="427"/>
        <v>-89.99998700560964</v>
      </c>
      <c r="AO55" s="582">
        <f>IF(ROUND(IF(M55="",0,DEGREES(ACOS(AK55))),4)=90,0,IF(M55="","",DEGREES(ACOS(AK55))))</f>
        <v>29.999995668536549</v>
      </c>
      <c r="AP55" s="585">
        <f t="shared" si="428"/>
        <v>-29.99999566853592</v>
      </c>
      <c r="AQ55" s="586">
        <f t="shared" si="246"/>
        <v>0.55214696761117965</v>
      </c>
      <c r="AS55" s="52">
        <f t="shared" si="406"/>
        <v>-302.60000866725841</v>
      </c>
      <c r="AT55" s="72">
        <f t="shared" si="247"/>
        <v>-1.7979463282097223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6.1349999999999998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-3.4770781799273789</v>
      </c>
      <c r="C56" s="708">
        <v>2.2262510738004062</v>
      </c>
      <c r="D56" s="709">
        <v>-2.7814083887277001</v>
      </c>
      <c r="E56" s="710">
        <v>-0.88805625822458334</v>
      </c>
      <c r="F56" s="708">
        <v>-0.45973479553775287</v>
      </c>
      <c r="G56" s="711">
        <v>1.1339743320583981E-7</v>
      </c>
      <c r="H56" s="710">
        <v>0.314</v>
      </c>
      <c r="I56" s="708">
        <v>0.52</v>
      </c>
      <c r="J56" s="570">
        <v>6.141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6.141</v>
      </c>
      <c r="N56" s="632">
        <f t="shared" si="240"/>
        <v>-3.4770781799273789</v>
      </c>
      <c r="O56" s="629">
        <f t="shared" si="241"/>
        <v>2.2262510738004062</v>
      </c>
      <c r="P56" s="633">
        <f t="shared" si="242"/>
        <v>-2.7814083887277001</v>
      </c>
      <c r="Q56" s="585">
        <f t="shared" si="113"/>
        <v>147.36999133707309</v>
      </c>
      <c r="R56" s="629">
        <f t="shared" si="410"/>
        <v>4.1287124521967566</v>
      </c>
      <c r="S56" s="634">
        <f t="shared" si="411"/>
        <v>-2.7814083887277001</v>
      </c>
      <c r="T56" s="635">
        <f t="shared" si="412"/>
        <v>2.2244301750991942</v>
      </c>
      <c r="U56" s="629">
        <f t="shared" si="413"/>
        <v>3.4782433654120184</v>
      </c>
      <c r="V56" s="636">
        <f t="shared" si="414"/>
        <v>-2.7814083887277001</v>
      </c>
      <c r="W56" s="585">
        <f t="shared" si="224"/>
        <v>57.399991332741621</v>
      </c>
      <c r="X56" s="629">
        <f t="shared" si="415"/>
        <v>4.1287124521967566</v>
      </c>
      <c r="Y56" s="630">
        <f t="shared" si="223"/>
        <v>-2.7814083887277001</v>
      </c>
      <c r="Z56" s="632">
        <f t="shared" si="243"/>
        <v>0.88805625822458334</v>
      </c>
      <c r="AA56" s="629">
        <f t="shared" si="244"/>
        <v>0.45973479553775287</v>
      </c>
      <c r="AB56" s="629">
        <f t="shared" si="245"/>
        <v>-1.1339743320583981E-7</v>
      </c>
      <c r="AC56" s="636">
        <f t="shared" si="416"/>
        <v>1</v>
      </c>
      <c r="AD56" s="637">
        <f t="shared" si="417"/>
        <v>0.88805625822458334</v>
      </c>
      <c r="AE56" s="629">
        <f t="shared" si="418"/>
        <v>0.45973479553775287</v>
      </c>
      <c r="AF56" s="633">
        <f t="shared" si="419"/>
        <v>-1.1339743320583981E-7</v>
      </c>
      <c r="AG56" s="602">
        <f t="shared" si="420"/>
        <v>89.999985867516685</v>
      </c>
      <c r="AH56" s="603">
        <f t="shared" si="421"/>
        <v>27.369995668537882</v>
      </c>
      <c r="AI56" s="585">
        <f t="shared" si="422"/>
        <v>-89.999993502805665</v>
      </c>
      <c r="AJ56" s="586">
        <f t="shared" si="423"/>
        <v>117.36999566853716</v>
      </c>
      <c r="AK56" s="635">
        <f t="shared" si="424"/>
        <v>0.86602544158358552</v>
      </c>
      <c r="AL56" s="629">
        <f t="shared" si="425"/>
        <v>-0.49999993452993874</v>
      </c>
      <c r="AM56" s="634">
        <f t="shared" si="426"/>
        <v>-1.1339743320583981E-7</v>
      </c>
      <c r="AN56" s="581">
        <f t="shared" si="427"/>
        <v>-89.99998700560964</v>
      </c>
      <c r="AO56" s="582">
        <f t="shared" ref="AO56:AO119" si="461">IF(ROUND(IF(M56="",0,DEGREES(ACOS(AK56))),4)=90,0,IF(M56="","",DEGREES(ACOS(AK56))))</f>
        <v>29.999995668536549</v>
      </c>
      <c r="AP56" s="585">
        <f t="shared" si="428"/>
        <v>-29.99999566853592</v>
      </c>
      <c r="AQ56" s="586">
        <f t="shared" si="246"/>
        <v>0.55214696761117965</v>
      </c>
      <c r="AS56" s="52">
        <f t="shared" si="406"/>
        <v>-302.60000866725841</v>
      </c>
      <c r="AT56" s="72">
        <f t="shared" si="247"/>
        <v>-2.5712486604895566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6.141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2.2557559682354424E-2</v>
      </c>
      <c r="G154" s="170">
        <f t="shared" si="929"/>
        <v>-0.25783412440827963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2.2557559682354424E-2</v>
      </c>
      <c r="G155" s="170">
        <f t="shared" si="929"/>
        <v>-0.25783412440827963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2.2557559682354407E-2</v>
      </c>
      <c r="G156" s="170">
        <f t="shared" si="929"/>
        <v>-0.25783412440827963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0.96584562048657119</v>
      </c>
      <c r="F157" s="170">
        <f t="shared" si="929"/>
        <v>8.8362234726935083E-3</v>
      </c>
      <c r="G157" s="170">
        <f t="shared" si="929"/>
        <v>-0.258967485491231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0.96307745540324263</v>
      </c>
      <c r="F158" s="170">
        <f t="shared" si="929"/>
        <v>-0.11549026541758782</v>
      </c>
      <c r="G158" s="170">
        <f t="shared" si="929"/>
        <v>-0.24319501123129628</v>
      </c>
      <c r="H158" s="139"/>
      <c r="I158" s="86"/>
      <c r="J158" s="79">
        <f t="shared" si="930"/>
        <v>1.1160000000000001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0.94449302702146609</v>
      </c>
      <c r="F159" s="170">
        <f t="shared" si="929"/>
        <v>-0.26389416185295367</v>
      </c>
      <c r="G159" s="170">
        <f t="shared" si="929"/>
        <v>-0.19568544464971172</v>
      </c>
      <c r="H159" s="139"/>
      <c r="I159" s="86"/>
      <c r="J159" s="79">
        <f t="shared" si="930"/>
        <v>1.1220000000000001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0.84217022615222226</v>
      </c>
      <c r="F160" s="170">
        <f t="shared" si="929"/>
        <v>-0.53921174892865809</v>
      </c>
      <c r="G160" s="170">
        <f t="shared" si="929"/>
        <v>-1.133974335509097E-7</v>
      </c>
      <c r="H160" s="139"/>
      <c r="I160" s="86"/>
      <c r="J160" s="79">
        <f t="shared" si="930"/>
        <v>1.1339999999999999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0.84217022615222226</v>
      </c>
      <c r="F161" s="170">
        <f t="shared" si="929"/>
        <v>-0.53921174892865809</v>
      </c>
      <c r="G161" s="170">
        <f t="shared" si="929"/>
        <v>-1.1339743351532766E-7</v>
      </c>
      <c r="H161" s="139"/>
      <c r="I161" s="86"/>
      <c r="J161" s="79">
        <f t="shared" si="930"/>
        <v>1.1399999999999999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6.0269482204187798E-2</v>
      </c>
      <c r="F162" s="170">
        <f t="shared" si="929"/>
        <v>6.2958008393439818E-2</v>
      </c>
      <c r="G162" s="170">
        <f t="shared" si="929"/>
        <v>-0.99619469918985748</v>
      </c>
      <c r="H162" s="139"/>
      <c r="I162" s="86"/>
      <c r="J162" s="79">
        <f t="shared" si="930"/>
        <v>1.206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4.1078413538944453E-2</v>
      </c>
      <c r="F163" s="170">
        <f t="shared" si="929"/>
        <v>7.6867972831035677E-2</v>
      </c>
      <c r="G163" s="170">
        <f t="shared" si="929"/>
        <v>-0.99619469918985748</v>
      </c>
      <c r="H163" s="139"/>
      <c r="I163" s="86"/>
      <c r="J163" s="79">
        <f t="shared" si="930"/>
        <v>1.2090000000000001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0.92365688193061923</v>
      </c>
      <c r="F164" s="170">
        <f t="shared" si="929"/>
        <v>-0.37046552789895126</v>
      </c>
      <c r="G164" s="170">
        <f t="shared" si="929"/>
        <v>-9.804721873035338E-2</v>
      </c>
      <c r="H164" s="139"/>
      <c r="I164" s="86"/>
      <c r="J164" s="79">
        <f t="shared" si="930"/>
        <v>1.228</v>
      </c>
    </row>
    <row r="165" spans="5:16" x14ac:dyDescent="0.25">
      <c r="E165" s="170">
        <f t="shared" si="929"/>
        <v>0.32455791245177645</v>
      </c>
      <c r="F165" s="170">
        <f t="shared" si="929"/>
        <v>-0.91219194006957782</v>
      </c>
      <c r="G165" s="170">
        <f t="shared" si="929"/>
        <v>-0.25013601487399795</v>
      </c>
      <c r="H165" s="139"/>
      <c r="I165" s="86"/>
      <c r="J165" s="79">
        <f t="shared" si="930"/>
        <v>2.1150000000000002</v>
      </c>
    </row>
    <row r="166" spans="5:16" x14ac:dyDescent="0.25">
      <c r="E166" s="170">
        <f t="shared" si="929"/>
        <v>0.18828527253284369</v>
      </c>
      <c r="F166" s="170">
        <f t="shared" si="929"/>
        <v>-0.96194291460987869</v>
      </c>
      <c r="G166" s="170">
        <f t="shared" si="929"/>
        <v>-0.19802647595481895</v>
      </c>
      <c r="H166" s="139"/>
      <c r="I166" s="86"/>
      <c r="J166" s="79">
        <f t="shared" si="930"/>
        <v>2.121</v>
      </c>
    </row>
    <row r="167" spans="5:16" x14ac:dyDescent="0.25">
      <c r="E167" s="170">
        <f t="shared" si="929"/>
        <v>7.7427095101043508E-2</v>
      </c>
      <c r="F167" s="170">
        <f t="shared" si="929"/>
        <v>-0.99097969874337732</v>
      </c>
      <c r="G167" s="170">
        <f t="shared" si="929"/>
        <v>-0.10938135866178975</v>
      </c>
      <c r="H167" s="139"/>
      <c r="I167" s="86"/>
      <c r="J167" s="79">
        <f t="shared" si="930"/>
        <v>2.1269999999999998</v>
      </c>
    </row>
    <row r="168" spans="5:16" x14ac:dyDescent="0.25">
      <c r="E168" s="170">
        <f t="shared" si="929"/>
        <v>2.0127948877718106E-2</v>
      </c>
      <c r="F168" s="170">
        <f t="shared" si="929"/>
        <v>-0.99978029119841494</v>
      </c>
      <c r="G168" s="170">
        <f t="shared" si="929"/>
        <v>5.8510687219252436E-3</v>
      </c>
      <c r="H168" s="139"/>
      <c r="I168" s="86"/>
      <c r="J168" s="79">
        <f t="shared" si="930"/>
        <v>2.133</v>
      </c>
    </row>
    <row r="169" spans="5:16" x14ac:dyDescent="0.25">
      <c r="E169" s="170">
        <f t="shared" si="929"/>
        <v>-0.13277602665091337</v>
      </c>
      <c r="F169" s="170">
        <f t="shared" si="929"/>
        <v>-0.99114606731136412</v>
      </c>
      <c r="G169" s="170">
        <f t="shared" si="929"/>
        <v>-1.133974334784796E-7</v>
      </c>
      <c r="H169" s="139"/>
      <c r="I169" s="86"/>
      <c r="J169" s="79">
        <f t="shared" si="930"/>
        <v>2.1389999999999998</v>
      </c>
    </row>
    <row r="170" spans="5:16" x14ac:dyDescent="0.25">
      <c r="E170" s="170">
        <f t="shared" si="929"/>
        <v>-0.46342801103865056</v>
      </c>
      <c r="F170" s="170">
        <f t="shared" si="929"/>
        <v>-0.84779481177663285</v>
      </c>
      <c r="G170" s="170">
        <f t="shared" si="929"/>
        <v>-0.25783412440827963</v>
      </c>
      <c r="H170" s="139"/>
      <c r="I170" s="86"/>
      <c r="J170" s="79">
        <f t="shared" si="930"/>
        <v>3.1030000000000002</v>
      </c>
    </row>
    <row r="171" spans="5:16" x14ac:dyDescent="0.25">
      <c r="E171" s="170">
        <f t="shared" si="929"/>
        <v>-0.46342801103865056</v>
      </c>
      <c r="F171" s="170">
        <f t="shared" si="929"/>
        <v>-0.84779481177663285</v>
      </c>
      <c r="G171" s="170">
        <f t="shared" si="929"/>
        <v>-0.25783412440827974</v>
      </c>
      <c r="H171" s="139"/>
      <c r="I171" s="86"/>
      <c r="J171" s="79">
        <f t="shared" si="930"/>
        <v>3.1059999999999999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-0.46342801103865061</v>
      </c>
      <c r="F172" s="170">
        <f t="shared" si="929"/>
        <v>-0.84779481177663274</v>
      </c>
      <c r="G172" s="170">
        <f t="shared" si="929"/>
        <v>-0.25783412440827963</v>
      </c>
      <c r="H172" s="139"/>
      <c r="I172" s="86"/>
      <c r="J172" s="79">
        <f t="shared" si="930"/>
        <v>3.109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-0.53997002698976448</v>
      </c>
      <c r="F173" s="170">
        <f t="shared" si="929"/>
        <v>-0.80202699698372171</v>
      </c>
      <c r="G173" s="170">
        <f t="shared" si="929"/>
        <v>-0.25531366211377399</v>
      </c>
      <c r="H173" s="139"/>
      <c r="I173" s="86"/>
      <c r="J173" s="79">
        <f t="shared" si="930"/>
        <v>3.1139999999999999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-0.66281214330391236</v>
      </c>
      <c r="F174" s="170">
        <f t="shared" si="933"/>
        <v>-0.71777261849973073</v>
      </c>
      <c r="G174" s="170">
        <f t="shared" si="933"/>
        <v>-0.21326633775848003</v>
      </c>
      <c r="H174" s="139"/>
      <c r="I174" s="86"/>
      <c r="J174" s="79">
        <f t="shared" si="930"/>
        <v>3.12</v>
      </c>
    </row>
    <row r="175" spans="5:16" x14ac:dyDescent="0.25">
      <c r="E175" s="170">
        <f t="shared" si="933"/>
        <v>-0.75831689404369462</v>
      </c>
      <c r="F175" s="170">
        <f t="shared" si="933"/>
        <v>-0.6386662150037572</v>
      </c>
      <c r="G175" s="170">
        <f t="shared" si="933"/>
        <v>-0.13061758695022216</v>
      </c>
      <c r="H175" s="139"/>
      <c r="I175" s="86"/>
      <c r="J175" s="79">
        <f t="shared" si="930"/>
        <v>3.1259999999999999</v>
      </c>
    </row>
    <row r="176" spans="5:16" x14ac:dyDescent="0.25">
      <c r="E176" s="170">
        <f t="shared" si="933"/>
        <v>-0.80715743305405152</v>
      </c>
      <c r="F176" s="170">
        <f t="shared" si="933"/>
        <v>-0.59011055434154058</v>
      </c>
      <c r="G176" s="170">
        <f t="shared" si="933"/>
        <v>-1.6322129772613242E-2</v>
      </c>
      <c r="H176" s="139"/>
      <c r="I176" s="86"/>
      <c r="J176" s="79">
        <f t="shared" si="930"/>
        <v>3.1320000000000001</v>
      </c>
    </row>
    <row r="177" spans="5:10" x14ac:dyDescent="0.25">
      <c r="E177" s="170">
        <f t="shared" si="933"/>
        <v>-0.88805646370863567</v>
      </c>
      <c r="F177" s="170">
        <f t="shared" si="933"/>
        <v>-0.45973439861000159</v>
      </c>
      <c r="G177" s="170">
        <f t="shared" si="933"/>
        <v>-1.1339743392783211E-7</v>
      </c>
      <c r="H177" s="139"/>
      <c r="I177" s="86"/>
      <c r="J177" s="79">
        <f t="shared" si="930"/>
        <v>3.1379999999999999</v>
      </c>
    </row>
    <row r="178" spans="5:10" x14ac:dyDescent="0.25">
      <c r="E178" s="170">
        <f t="shared" si="933"/>
        <v>7.5958559915795896E-3</v>
      </c>
      <c r="F178" s="170">
        <f t="shared" si="933"/>
        <v>-8.6824099637050942E-2</v>
      </c>
      <c r="G178" s="170">
        <f t="shared" si="933"/>
        <v>-0.99619469918985748</v>
      </c>
      <c r="H178" s="139"/>
      <c r="I178" s="86"/>
      <c r="J178" s="79">
        <f t="shared" si="930"/>
        <v>3.2050000000000001</v>
      </c>
    </row>
    <row r="179" spans="5:10" x14ac:dyDescent="0.25">
      <c r="E179" s="170">
        <f t="shared" si="933"/>
        <v>4.1158452269612136E-2</v>
      </c>
      <c r="F179" s="170">
        <f t="shared" si="933"/>
        <v>-7.6825146357162422E-2</v>
      </c>
      <c r="G179" s="170">
        <f t="shared" si="933"/>
        <v>-0.99619469918985748</v>
      </c>
      <c r="H179" s="139"/>
      <c r="I179" s="86"/>
      <c r="J179" s="79">
        <f t="shared" si="930"/>
        <v>3.2080000000000002</v>
      </c>
    </row>
    <row r="180" spans="5:10" x14ac:dyDescent="0.25">
      <c r="E180" s="170">
        <f t="shared" si="933"/>
        <v>-0.96304193547815453</v>
      </c>
      <c r="F180" s="170">
        <f t="shared" si="933"/>
        <v>7.5214569056230043E-2</v>
      </c>
      <c r="G180" s="170">
        <f t="shared" si="933"/>
        <v>-0.25863680927543103</v>
      </c>
      <c r="H180" s="139"/>
      <c r="I180" s="86"/>
      <c r="J180" s="79">
        <f t="shared" si="930"/>
        <v>4.1130000000000004</v>
      </c>
    </row>
    <row r="181" spans="5:10" x14ac:dyDescent="0.25">
      <c r="E181" s="170">
        <f t="shared" si="933"/>
        <v>-0.94731260625632485</v>
      </c>
      <c r="F181" s="170">
        <f t="shared" si="933"/>
        <v>0.22568640542976165</v>
      </c>
      <c r="G181" s="170">
        <f t="shared" si="933"/>
        <v>-0.22729820155919109</v>
      </c>
      <c r="H181" s="139"/>
      <c r="I181" s="86"/>
      <c r="J181" s="79">
        <f t="shared" si="930"/>
        <v>4.1189999999999998</v>
      </c>
    </row>
    <row r="182" spans="5:10" x14ac:dyDescent="0.25">
      <c r="E182" s="170">
        <f t="shared" si="933"/>
        <v>-0.92191032793940697</v>
      </c>
      <c r="F182" s="170">
        <f t="shared" si="933"/>
        <v>0.35657047611554521</v>
      </c>
      <c r="G182" s="170">
        <f t="shared" si="933"/>
        <v>-0.15145574535615486</v>
      </c>
      <c r="H182" s="139"/>
      <c r="I182" s="86"/>
      <c r="J182" s="79">
        <f t="shared" si="930"/>
        <v>4.125</v>
      </c>
    </row>
    <row r="183" spans="5:10" x14ac:dyDescent="0.25">
      <c r="E183" s="170">
        <f t="shared" si="933"/>
        <v>-0.90033915057313763</v>
      </c>
      <c r="F183" s="170">
        <f t="shared" si="933"/>
        <v>0.43344620784590354</v>
      </c>
      <c r="G183" s="170">
        <f t="shared" si="933"/>
        <v>-3.8907568020205216E-2</v>
      </c>
      <c r="H183" s="139"/>
      <c r="I183" s="86"/>
      <c r="J183" s="79">
        <f t="shared" si="930"/>
        <v>4.1310000000000002</v>
      </c>
    </row>
    <row r="184" spans="5:10" x14ac:dyDescent="0.25">
      <c r="E184" s="170">
        <f t="shared" si="933"/>
        <v>-0.82283872525184432</v>
      </c>
      <c r="F184" s="170">
        <f t="shared" si="933"/>
        <v>0.56827496181505932</v>
      </c>
      <c r="G184" s="170">
        <f t="shared" si="933"/>
        <v>-1.1339743344435707E-7</v>
      </c>
      <c r="H184" s="139"/>
      <c r="I184" s="86"/>
      <c r="J184" s="79">
        <f t="shared" si="930"/>
        <v>4.1369999999999996</v>
      </c>
    </row>
    <row r="185" spans="5:10" x14ac:dyDescent="0.25">
      <c r="E185" s="170">
        <f t="shared" si="933"/>
        <v>-0.50249808822216879</v>
      </c>
      <c r="F185" s="170">
        <f t="shared" si="933"/>
        <v>0.8252376843211181</v>
      </c>
      <c r="G185" s="170">
        <f t="shared" si="933"/>
        <v>-0.25783412440827963</v>
      </c>
      <c r="H185" s="139"/>
      <c r="I185" s="86"/>
      <c r="J185" s="79">
        <f t="shared" si="930"/>
        <v>5.1020000000000003</v>
      </c>
    </row>
    <row r="186" spans="5:10" x14ac:dyDescent="0.25">
      <c r="E186" s="170">
        <f t="shared" si="933"/>
        <v>-0.50249808822216868</v>
      </c>
      <c r="F186" s="170">
        <f t="shared" si="933"/>
        <v>0.8252376843211181</v>
      </c>
      <c r="G186" s="170">
        <f t="shared" si="933"/>
        <v>-0.25783412440827963</v>
      </c>
      <c r="H186" s="139"/>
      <c r="I186" s="86"/>
      <c r="J186" s="79">
        <f t="shared" si="930"/>
        <v>5.1050000000000004</v>
      </c>
    </row>
    <row r="187" spans="5:10" x14ac:dyDescent="0.25">
      <c r="E187" s="170">
        <f t="shared" si="933"/>
        <v>-0.50249808822216868</v>
      </c>
      <c r="F187" s="170">
        <f t="shared" si="933"/>
        <v>0.82523768432111821</v>
      </c>
      <c r="G187" s="170">
        <f t="shared" si="933"/>
        <v>-0.25783412440827969</v>
      </c>
      <c r="H187" s="139"/>
      <c r="I187" s="86"/>
      <c r="J187" s="79">
        <f t="shared" si="930"/>
        <v>5.1079999999999997</v>
      </c>
    </row>
    <row r="188" spans="5:10" x14ac:dyDescent="0.25">
      <c r="E188" s="170">
        <f t="shared" si="933"/>
        <v>-0.46464088621187755</v>
      </c>
      <c r="F188" s="170">
        <f t="shared" si="933"/>
        <v>0.8465443198547512</v>
      </c>
      <c r="G188" s="170">
        <f t="shared" si="933"/>
        <v>-0.25975288522343298</v>
      </c>
      <c r="H188" s="139"/>
      <c r="I188" s="86"/>
      <c r="J188" s="79">
        <f t="shared" si="930"/>
        <v>5.1120000000000001</v>
      </c>
    </row>
    <row r="189" spans="5:10" x14ac:dyDescent="0.25">
      <c r="E189" s="170">
        <f t="shared" si="933"/>
        <v>-0.33191937666155552</v>
      </c>
      <c r="F189" s="170">
        <f t="shared" si="933"/>
        <v>0.91231439849491569</v>
      </c>
      <c r="G189" s="170">
        <f t="shared" si="933"/>
        <v>-0.23981652506752915</v>
      </c>
      <c r="H189" s="139"/>
      <c r="I189" s="86"/>
      <c r="J189" s="79">
        <f t="shared" si="930"/>
        <v>5.1180000000000003</v>
      </c>
    </row>
    <row r="190" spans="5:10" x14ac:dyDescent="0.25">
      <c r="E190" s="170">
        <f t="shared" si="933"/>
        <v>-0.21182757019180365</v>
      </c>
      <c r="F190" s="170">
        <f t="shared" si="933"/>
        <v>0.96432217510085061</v>
      </c>
      <c r="G190" s="170">
        <f t="shared" si="933"/>
        <v>-0.15878231361017819</v>
      </c>
      <c r="H190" s="139"/>
      <c r="I190" s="86"/>
      <c r="J190" s="79">
        <f t="shared" si="930"/>
        <v>5.1239999999999997</v>
      </c>
    </row>
    <row r="191" spans="5:10" x14ac:dyDescent="0.25">
      <c r="E191" s="170">
        <f t="shared" si="933"/>
        <v>-0.12855013340019114</v>
      </c>
      <c r="F191" s="170">
        <f t="shared" si="933"/>
        <v>0.99025889124607358</v>
      </c>
      <c r="G191" s="170">
        <f t="shared" si="933"/>
        <v>-5.3499453370012641E-2</v>
      </c>
      <c r="H191" s="139"/>
      <c r="I191" s="86"/>
      <c r="J191" s="79">
        <f t="shared" si="930"/>
        <v>5.13</v>
      </c>
    </row>
    <row r="192" spans="5:10" x14ac:dyDescent="0.25">
      <c r="E192" s="170">
        <f t="shared" si="933"/>
        <v>4.5886261589821564E-2</v>
      </c>
      <c r="F192" s="170">
        <f t="shared" si="933"/>
        <v>0.99894667074739174</v>
      </c>
      <c r="G192" s="170">
        <f t="shared" si="933"/>
        <v>-1.1339743338447125E-7</v>
      </c>
      <c r="H192" s="139"/>
      <c r="I192" s="86"/>
      <c r="J192" s="79">
        <f t="shared" si="930"/>
        <v>5.1360000000000001</v>
      </c>
    </row>
    <row r="193" spans="5:10" x14ac:dyDescent="0.25">
      <c r="E193" s="170">
        <f t="shared" si="933"/>
        <v>4.5886261589821564E-2</v>
      </c>
      <c r="F193" s="170">
        <f t="shared" si="933"/>
        <v>0.99894667074739174</v>
      </c>
      <c r="G193" s="170">
        <f t="shared" si="933"/>
        <v>-1.1339743338447125E-7</v>
      </c>
      <c r="H193" s="139"/>
      <c r="I193" s="86"/>
      <c r="J193" s="79">
        <f t="shared" si="930"/>
        <v>5.1420000000000003</v>
      </c>
    </row>
    <row r="194" spans="5:10" x14ac:dyDescent="0.25">
      <c r="E194" s="170">
        <f t="shared" ref="E194:G213" si="934">E49*-1</f>
        <v>-8.6551577694423995E-2</v>
      </c>
      <c r="F194" s="170">
        <f t="shared" si="934"/>
        <v>1.0244301080867078E-2</v>
      </c>
      <c r="G194" s="170">
        <f t="shared" si="934"/>
        <v>-0.99619469918985759</v>
      </c>
      <c r="H194" s="139"/>
      <c r="I194" s="86"/>
      <c r="J194" s="79">
        <f t="shared" si="930"/>
        <v>5.2069999999999999</v>
      </c>
    </row>
    <row r="195" spans="5:10" x14ac:dyDescent="0.25">
      <c r="E195" s="170">
        <f t="shared" si="934"/>
        <v>-8.6852623863480721E-2</v>
      </c>
      <c r="F195" s="170">
        <f t="shared" si="934"/>
        <v>-7.2624399521169607E-3</v>
      </c>
      <c r="G195" s="170">
        <f t="shared" si="934"/>
        <v>-0.99619469918985759</v>
      </c>
      <c r="H195" s="139"/>
      <c r="I195" s="86"/>
      <c r="J195" s="79">
        <f t="shared" si="930"/>
        <v>5.21</v>
      </c>
    </row>
    <row r="196" spans="5:10" x14ac:dyDescent="0.25">
      <c r="E196" s="170">
        <f t="shared" si="934"/>
        <v>0.48315685830626665</v>
      </c>
      <c r="F196" s="170">
        <f t="shared" si="934"/>
        <v>0.83614366209215074</v>
      </c>
      <c r="G196" s="170">
        <f t="shared" si="934"/>
        <v>-0.25965982865038173</v>
      </c>
      <c r="H196" s="139"/>
      <c r="I196" s="86"/>
      <c r="J196" s="79">
        <f t="shared" si="930"/>
        <v>6.1109999999999998</v>
      </c>
    </row>
    <row r="197" spans="5:10" x14ac:dyDescent="0.25">
      <c r="E197" s="170">
        <f t="shared" si="934"/>
        <v>0.60202579766170283</v>
      </c>
      <c r="F197" s="170">
        <f t="shared" si="934"/>
        <v>0.76329325970530759</v>
      </c>
      <c r="G197" s="170">
        <f t="shared" si="934"/>
        <v>-0.23441061972154001</v>
      </c>
      <c r="H197" s="139"/>
      <c r="I197" s="86"/>
      <c r="J197" s="79">
        <f t="shared" si="930"/>
        <v>6.117</v>
      </c>
    </row>
    <row r="198" spans="5:10" x14ac:dyDescent="0.25">
      <c r="E198" s="170">
        <f t="shared" si="934"/>
        <v>0.71575941613133187</v>
      </c>
      <c r="F198" s="170">
        <f t="shared" si="934"/>
        <v>0.67535736757006404</v>
      </c>
      <c r="G198" s="170">
        <f t="shared" si="934"/>
        <v>-0.17771011307229678</v>
      </c>
      <c r="H198" s="139"/>
      <c r="I198" s="86"/>
      <c r="J198" s="79">
        <f t="shared" si="930"/>
        <v>6.1230000000000002</v>
      </c>
    </row>
    <row r="199" spans="5:10" x14ac:dyDescent="0.25">
      <c r="E199" s="170">
        <f t="shared" si="934"/>
        <v>0.78890016478966729</v>
      </c>
      <c r="F199" s="170">
        <f t="shared" si="934"/>
        <v>0.60984334006465524</v>
      </c>
      <c r="G199" s="170">
        <f t="shared" si="934"/>
        <v>-7.5681111075494328E-2</v>
      </c>
      <c r="H199" s="139"/>
      <c r="I199" s="86"/>
      <c r="J199" s="79">
        <f t="shared" si="930"/>
        <v>6.1289999999999996</v>
      </c>
    </row>
    <row r="200" spans="5:10" x14ac:dyDescent="0.25">
      <c r="E200" s="170">
        <f t="shared" si="934"/>
        <v>0.88805625822458334</v>
      </c>
      <c r="F200" s="170">
        <f t="shared" si="934"/>
        <v>0.45973479553775287</v>
      </c>
      <c r="G200" s="170">
        <f t="shared" si="934"/>
        <v>-1.1339743320583981E-7</v>
      </c>
      <c r="H200" s="139"/>
      <c r="I200" s="86"/>
      <c r="J200" s="79">
        <f t="shared" si="930"/>
        <v>6.1349999999999998</v>
      </c>
    </row>
    <row r="201" spans="5:10" x14ac:dyDescent="0.25">
      <c r="E201" s="170">
        <f t="shared" si="934"/>
        <v>0.88805625822458334</v>
      </c>
      <c r="F201" s="170">
        <f t="shared" si="934"/>
        <v>0.45973479553775287</v>
      </c>
      <c r="G201" s="170">
        <f t="shared" si="934"/>
        <v>-1.1339743320583981E-7</v>
      </c>
      <c r="H201" s="139"/>
      <c r="I201" s="86"/>
      <c r="J201" s="79">
        <f t="shared" si="930"/>
        <v>6.141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50B6BC5-2620-4653-8BDD-BFC761C2CCF8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6C477F1-ACD0-4B14-B108-EAB3BDBD6B8E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8.75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1.1160000000000001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1.1220000000000001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1.206</v>
      </c>
      <c r="N172" s="869" t="str">
        <f>Assy.Model!K17</f>
        <v>CPS-32193r1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1.2090000000000001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1.228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2.1150000000000002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2.121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2.1269999999999998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2.133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2.1389999999999998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3.1059999999999999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3.109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3.1139999999999999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3.1320000000000001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3.2050000000000001</v>
      </c>
      <c r="N188" s="869" t="str">
        <f>Assy.Model!K33</f>
        <v>CPS-32193r1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3.2080000000000002</v>
      </c>
      <c r="N189" s="869" t="str">
        <f>Assy.Model!K34</f>
        <v>CPS-32193r1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4.1130000000000004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4.1189999999999998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4.125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4.1310000000000002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4.1369999999999996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5.1020000000000003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5.1050000000000004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5.1079999999999997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5.1120000000000001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5.1180000000000003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5.1239999999999997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5.1360000000000001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5.1420000000000003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5.2069999999999999</v>
      </c>
      <c r="N204" s="869" t="str">
        <f>Assy.Model!K49</f>
        <v>CPS-32193r1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5.21</v>
      </c>
      <c r="N205" s="869" t="str">
        <f>Assy.Model!K50</f>
        <v>CPS-32193r1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6.1109999999999998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6.117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6.1230000000000002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6.1289999999999996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6.1349999999999998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6.141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2023-03-28T20:08:21Z</dcterms:modified>
</cp:coreProperties>
</file>