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31\"/>
    </mc:Choice>
  </mc:AlternateContent>
  <xr:revisionPtr revIDLastSave="0" documentId="13_ncr:1_{A4A06B77-A900-45B7-B9F3-E7D07B54982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S11" i="1"/>
  <c r="IT11" i="1"/>
  <c r="IR11" i="1"/>
  <c r="IX11" i="1"/>
  <c r="IL11" i="1"/>
  <c r="IN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U11" i="1" l="1"/>
  <c r="IE11" i="1" s="1"/>
  <c r="IP11" i="1"/>
  <c r="IV11" i="1"/>
  <c r="IY11" i="1"/>
  <c r="IQ11" i="1"/>
  <c r="IK11" i="1"/>
  <c r="JA23" i="1" s="1" a="1"/>
  <c r="JA23" i="1" s="1"/>
  <c r="JA9" i="1" a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A9" i="1"/>
  <c r="JB15" i="1" s="1" a="1"/>
  <c r="JB15" i="1" s="1"/>
  <c r="JB11" i="1" a="1"/>
  <c r="JB11" i="1" s="1"/>
  <c r="JB10" i="1" a="1"/>
  <c r="JB10" i="1" s="1"/>
  <c r="JB24" i="1" a="1"/>
  <c r="JB24" i="1" s="1"/>
  <c r="JB25" i="1" a="1"/>
  <c r="JB25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16" i="1" l="1" a="1"/>
  <c r="JB16" i="1" s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7" i="1" l="1"/>
  <c r="IL16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47" i="1" l="1"/>
  <c r="IT38" i="1"/>
  <c r="IT37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8" i="1"/>
  <c r="IY54" i="1"/>
  <c r="IT63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3" i="1" s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47" i="1" s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IS37" i="1" s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38" i="1" l="1"/>
  <c r="IS52" i="1"/>
  <c r="IT29" i="1"/>
  <c r="IY47" i="1"/>
  <c r="IF47" i="1" s="1"/>
  <c r="IT17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<sst xmlns="http://schemas.openxmlformats.org/spreadsheetml/2006/main" count="734" uniqueCount="391">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</sst>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E20" sqref="E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7.875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1.112's θ about Z Axis</v>
      </c>
      <c r="U5" s="1137"/>
      <c r="V5" s="1138"/>
      <c r="W5" s="1137" t="str">
        <f>CONCATENATE("Relative to ",M8,"'s θ about Z Axis")</f>
        <v>Relative to 1.112's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1.112's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89.180000118393338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-7.7500233740704957E-2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0.30020090540593075</v>
      </c>
      <c r="D9" s="704">
        <v>-0.48400145974840258</v>
      </c>
      <c r="E9" s="705">
        <v>-0.93969263802333458</v>
      </c>
      <c r="F9" s="703">
        <v>-8.8521302156295598E-2</v>
      </c>
      <c r="G9" s="706">
        <v>0.33036604714967344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0.30020090540593075</v>
      </c>
      <c r="P9" s="625">
        <f t="shared" ref="P9:P40" si="4">IF(M9="","",D9)</f>
        <v>-0.48400145974840258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0.30020090540593075</v>
      </c>
      <c r="S9" s="626">
        <f>IF(M9="","",P9)</f>
        <v>-0.48400145974840258</v>
      </c>
      <c r="T9" s="627">
        <f>IF(M9="","",X9*COS(RADIANS(W9)))</f>
        <v>0.30017016165141092</v>
      </c>
      <c r="U9" s="624">
        <f>IF(M9="","",X9*SIN(RADIANS(W9)))</f>
        <v>4.2962379713467154E-3</v>
      </c>
      <c r="V9" s="628">
        <f>IF(M9="","",Y9)</f>
        <v>-0.48400145974840258</v>
      </c>
      <c r="W9" s="583">
        <f t="shared" ref="W9:W14" si="5">IF(M9="","",IF(Q9-$Q$8&lt;0,360+Q9-$Q$8,Q9-$Q$8))</f>
        <v>0.81999988160666248</v>
      </c>
      <c r="X9" s="629">
        <f>IF(M9="","",R9)</f>
        <v>0.30020090540593075</v>
      </c>
      <c r="Y9" s="630">
        <f>IF(M9="","",S9)</f>
        <v>-0.48400145974840258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-0.33036604714967344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-0.33036604714967344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7.5499982653110917</v>
      </c>
      <c r="AS9" s="51">
        <f>IF(M9="","",W9)</f>
        <v>0.81999988160666248</v>
      </c>
      <c r="AT9" s="71">
        <f t="shared" ref="AT9:AT40" si="10">IF(M9="","",Y9+(((AS9-$AS$9)*$AS$6)*-1))</f>
        <v>-0.48400145974840258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1.0299031061877684</v>
      </c>
      <c r="D10" s="709">
        <v>-0.33820102001427643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1.0299031061877684</v>
      </c>
      <c r="P10" s="633">
        <f t="shared" si="4"/>
        <v>-0.33820102001427643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1.0299031061877684</v>
      </c>
      <c r="S10" s="634">
        <f t="shared" ref="S10:S105" si="80">IF(M10="","",P10)</f>
        <v>-0.33820102001427643</v>
      </c>
      <c r="T10" s="635">
        <f t="shared" ref="T10:T105" si="81">IF(M10="","",X10*COS(RADIANS(W10)))</f>
        <v>1.029797633193831</v>
      </c>
      <c r="U10" s="629">
        <f t="shared" ref="U10:U105" si="82">IF(M10="","",X10*SIN(RADIANS(W10)))</f>
        <v>1.4739158849733449E-2</v>
      </c>
      <c r="V10" s="636">
        <f>IF(M10="","",Y10)</f>
        <v>-0.33820102001427643</v>
      </c>
      <c r="W10" s="585">
        <f t="shared" si="5"/>
        <v>0.81999988160666248</v>
      </c>
      <c r="X10" s="629">
        <f t="shared" ref="X10:X105" si="83">IF(M10="","",R10)</f>
        <v>1.0299031061877684</v>
      </c>
      <c r="Y10" s="630">
        <f>IF(M10="","",S10)</f>
        <v>-0.33820102001427643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2.2124347760503364</v>
      </c>
      <c r="AS10" s="52">
        <f>IF($M10="","",IF(AND($W10&lt;($AS$9+180),$W10&gt;($AS$9-180)),$W10,IF($W10&gt;($AS$9+180),$W10-360,IF($W10&lt;($AS$9-180),$W10+360,"Error"))))</f>
        <v>0.81999988160666248</v>
      </c>
      <c r="AT10" s="72">
        <f t="shared" si="10"/>
        <v>-0.33820102001427643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2.1782289795303309E-3</v>
      </c>
      <c r="C11" s="708">
        <v>1.7829040466382797</v>
      </c>
      <c r="D11" s="709">
        <v>-0.13640041138364073</v>
      </c>
      <c r="E11" s="710">
        <v>-0.96583617972618152</v>
      </c>
      <c r="F11" s="708">
        <v>-2.79452738189527E-2</v>
      </c>
      <c r="G11" s="711">
        <v>0.25764226284350006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2.1782289795303309E-3</v>
      </c>
      <c r="O11" s="629">
        <f t="shared" si="3"/>
        <v>1.7829040466382797</v>
      </c>
      <c r="P11" s="633">
        <f t="shared" si="4"/>
        <v>-0.13640041138364073</v>
      </c>
      <c r="Q11" s="585">
        <f t="shared" ref="Q11:Q73" si="113">IF(M11="","",IF(DEGREES(ATAN2(N11,O11))&lt;0,DEGREES(ATAN2(N11,O11))+360,IF(DEGREES(ATAN2(N11,O11))&gt;360,DEGREES(ATAN2(N11,O11))-360,DEGREES(ATAN2(N11,O11)))))</f>
        <v>89.930000010106752</v>
      </c>
      <c r="R11" s="629">
        <f t="shared" si="79"/>
        <v>1.7829053772426176</v>
      </c>
      <c r="S11" s="634">
        <f t="shared" si="80"/>
        <v>-0.13640041138364073</v>
      </c>
      <c r="T11" s="635">
        <f t="shared" si="81"/>
        <v>1.78275263145774</v>
      </c>
      <c r="U11" s="629">
        <f t="shared" si="82"/>
        <v>2.3337506960754546E-2</v>
      </c>
      <c r="V11" s="636">
        <f t="shared" ref="V11:V105" si="114">IF(M11="","",Y11)</f>
        <v>-0.13640041138364073</v>
      </c>
      <c r="W11" s="585">
        <f t="shared" si="5"/>
        <v>0.74999989171341497</v>
      </c>
      <c r="X11" s="629">
        <f>IF(M11="","",R11)</f>
        <v>1.7829053772426176</v>
      </c>
      <c r="Y11" s="630">
        <f>IF(M11="","",S11)</f>
        <v>-0.13640041138364073</v>
      </c>
      <c r="Z11" s="632">
        <f t="shared" si="6"/>
        <v>0.96583617972618152</v>
      </c>
      <c r="AA11" s="629">
        <f t="shared" si="7"/>
        <v>2.79452738189527E-2</v>
      </c>
      <c r="AB11" s="629">
        <f t="shared" si="8"/>
        <v>-0.25764226284350006</v>
      </c>
      <c r="AC11" s="636">
        <f t="shared" si="84"/>
        <v>1</v>
      </c>
      <c r="AD11" s="637">
        <f t="shared" ref="AD11:AD105" si="115">IF(M11="","",Z11*(1/SQRT(Z11^2+AA11^2+AB11^2)))</f>
        <v>0.96583617972618152</v>
      </c>
      <c r="AE11" s="629">
        <f t="shared" si="85"/>
        <v>2.79452738189527E-2</v>
      </c>
      <c r="AF11" s="633">
        <f t="shared" si="86"/>
        <v>-0.25764226284350006</v>
      </c>
      <c r="AG11" s="602">
        <f>IF(M11="","",DEGREES(ATAN2(-AF11,AE11)))</f>
        <v>6.1904097458124783</v>
      </c>
      <c r="AH11" s="603">
        <f t="shared" si="88"/>
        <v>15.019832598838656</v>
      </c>
      <c r="AI11" s="585">
        <f t="shared" si="89"/>
        <v>-75.069791768873415</v>
      </c>
      <c r="AJ11" s="586">
        <f t="shared" si="90"/>
        <v>91.657320049190375</v>
      </c>
      <c r="AK11" s="635">
        <f>IF(M11="","",(COS(RADIANS((90-$Q$8)-W11))*AD11)+(-SIN(RADIANS((90-$Q$8)-W11))*AE11))</f>
        <v>0.96580131733142016</v>
      </c>
      <c r="AL11" s="629">
        <f t="shared" si="91"/>
        <v>2.9125243995109421E-2</v>
      </c>
      <c r="AM11" s="634">
        <f t="shared" si="92"/>
        <v>-0.25764226284350006</v>
      </c>
      <c r="AN11" s="581">
        <f>IF(M11="","",DEGREES(ATAN2(-AM11,AL11)))</f>
        <v>6.4496371278509823</v>
      </c>
      <c r="AO11" s="582">
        <f>IF(ROUND(IF(M11="",0,DEGREES(ACOS(AK11))),4)=90,0,IF(M11="","",DEGREES(ACOS(AK11))))</f>
        <v>15.027538335205138</v>
      </c>
      <c r="AP11" s="585">
        <f t="shared" si="95"/>
        <v>1.7273200390836188</v>
      </c>
      <c r="AQ11" s="586">
        <f t="shared" si="9"/>
        <v>1.278446018251014</v>
      </c>
      <c r="AS11" s="52">
        <f t="shared" ref="AS11:AS42" si="116">IF(G11="","",IF(AND(W11&lt;(AS10+180),W11&gt;(AS10-180)),W11,IF(W11&gt;(AS10+180),W11-360,IF(W11&lt;(AS10-180),W11+360,"Error"))))</f>
        <v>0.74999989171341497</v>
      </c>
      <c r="AT11" s="72">
        <f t="shared" si="10"/>
        <v>-0.13635180027954819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3.65309028836098E-2</v>
      </c>
      <c r="C12" s="708">
        <v>2.5523462845815836</v>
      </c>
      <c r="D12" s="709">
        <v>-7.7500233740704957E-2</v>
      </c>
      <c r="E12" s="710">
        <v>-0.96288001137080859</v>
      </c>
      <c r="F12" s="708">
        <v>0.10575671577583916</v>
      </c>
      <c r="G12" s="711">
        <v>0.24834975492409928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3.65309028836098E-2</v>
      </c>
      <c r="O12" s="629">
        <f t="shared" si="3"/>
        <v>2.5523462845815836</v>
      </c>
      <c r="P12" s="633">
        <f t="shared" si="4"/>
        <v>-7.7500233740704957E-2</v>
      </c>
      <c r="Q12" s="585">
        <f>IF(M12="","",IF(DEGREES(ATAN2(N12,O12))&lt;0,DEGREES(ATAN2(N12,O12))+360,IF(DEGREES(ATAN2(N12,O12))&gt;360,DEGREES(ATAN2(N12,O12))-360,DEGREES(ATAN2(N12,O12)))))</f>
        <v>89.180000118393338</v>
      </c>
      <c r="R12" s="629">
        <f t="shared" si="79"/>
        <v>2.5526076986648194</v>
      </c>
      <c r="S12" s="634">
        <f t="shared" si="80"/>
        <v>-7.7500233740704957E-2</v>
      </c>
      <c r="T12" s="635">
        <f>IF(M12="","",X12*COS(RADIANS(W12)))</f>
        <v>2.5526076986648194</v>
      </c>
      <c r="U12" s="629">
        <f t="shared" si="82"/>
        <v>0</v>
      </c>
      <c r="V12" s="636">
        <f t="shared" si="114"/>
        <v>-7.7500233740704957E-2</v>
      </c>
      <c r="W12" s="585">
        <f>IF(M12="","",IF(Q12-$Q$8&lt;0,360+Q12-$Q$8,Q12-$Q$8))</f>
        <v>0</v>
      </c>
      <c r="X12" s="629">
        <f t="shared" si="83"/>
        <v>2.5526076986648194</v>
      </c>
      <c r="Y12" s="630">
        <f>IF(M12="","",S12)</f>
        <v>-7.7500233740704957E-2</v>
      </c>
      <c r="Z12" s="632">
        <f t="shared" si="6"/>
        <v>0.96288001137080859</v>
      </c>
      <c r="AA12" s="629">
        <f t="shared" si="7"/>
        <v>-0.10575671577583916</v>
      </c>
      <c r="AB12" s="629">
        <f t="shared" si="8"/>
        <v>-0.24834975492409928</v>
      </c>
      <c r="AC12" s="636">
        <f t="shared" si="84"/>
        <v>1</v>
      </c>
      <c r="AD12" s="637">
        <f t="shared" si="115"/>
        <v>0.96288001137080859</v>
      </c>
      <c r="AE12" s="629">
        <f t="shared" si="85"/>
        <v>-0.10575671577583916</v>
      </c>
      <c r="AF12" s="633">
        <f t="shared" si="86"/>
        <v>-0.24834975492409928</v>
      </c>
      <c r="AG12" s="602">
        <f t="shared" si="87"/>
        <v>-23.066138701332203</v>
      </c>
      <c r="AH12" s="603">
        <f t="shared" si="88"/>
        <v>15.660088128746294</v>
      </c>
      <c r="AI12" s="585">
        <f t="shared" si="89"/>
        <v>-75.620119350171578</v>
      </c>
      <c r="AJ12" s="586">
        <f t="shared" si="90"/>
        <v>83.732113616387124</v>
      </c>
      <c r="AK12" s="635">
        <f t="shared" ref="AK12:AK105" si="211">IF(M12="","",(COS(RADIANS((90-$Q$8)-W12))*AD12)+(-SIN(RADIANS((90-$Q$8)-W12))*AE12))</f>
        <v>0.96429490874017221</v>
      </c>
      <c r="AL12" s="629">
        <f>IF(M12="","",(SIN(RADIANS((90-$Q$8)-W12))*AD12)+(COS(RADIANS((90-$Q$8)-W12))*AE12))</f>
        <v>-9.1965907851350878E-2</v>
      </c>
      <c r="AM12" s="634">
        <f t="shared" si="92"/>
        <v>-0.24834975492409928</v>
      </c>
      <c r="AN12" s="581">
        <f>IF(M12="","",DEGREES(ATAN2(-AM12,AL12)))</f>
        <v>-20.319995656090491</v>
      </c>
      <c r="AO12" s="582">
        <f t="shared" si="94"/>
        <v>15.356896498621781</v>
      </c>
      <c r="AP12" s="585">
        <f t="shared" si="95"/>
        <v>-5.447886502006221</v>
      </c>
      <c r="AQ12" s="586">
        <f t="shared" si="9"/>
        <v>0.89302481741276085</v>
      </c>
      <c r="AS12" s="52">
        <f t="shared" si="116"/>
        <v>0</v>
      </c>
      <c r="AT12" s="72">
        <f>IF(M12="","",Y12+(((AS12-$AS$9)*$AS$6)*-1))</f>
        <v>-7.6930789378478109E-2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0.10411544619027338</v>
      </c>
      <c r="C13" s="708">
        <v>3.2409378515088259</v>
      </c>
      <c r="D13" s="709">
        <v>-0.44070132915520871</v>
      </c>
      <c r="E13" s="710">
        <v>-0.95481756300624221</v>
      </c>
      <c r="F13" s="708">
        <v>0.23937894087535502</v>
      </c>
      <c r="G13" s="711">
        <v>0.17612820342072988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0.10411544619027338</v>
      </c>
      <c r="O13" s="629">
        <f t="shared" si="3"/>
        <v>3.2409378515088259</v>
      </c>
      <c r="P13" s="633">
        <f t="shared" si="4"/>
        <v>-0.44070132915520871</v>
      </c>
      <c r="Q13" s="585">
        <f t="shared" si="113"/>
        <v>88.160000265663101</v>
      </c>
      <c r="R13" s="629">
        <f t="shared" si="79"/>
        <v>3.2426097797110964</v>
      </c>
      <c r="S13" s="634">
        <f t="shared" si="80"/>
        <v>-0.44070132915520871</v>
      </c>
      <c r="T13" s="635">
        <f>IF(M13="","",X13*COS(RADIANS(W13)))</f>
        <v>3.2420959630579409</v>
      </c>
      <c r="U13" s="629">
        <f t="shared" si="82"/>
        <v>-5.772304393781013E-2</v>
      </c>
      <c r="V13" s="636">
        <f t="shared" si="114"/>
        <v>-0.44070132915520871</v>
      </c>
      <c r="W13" s="585">
        <f t="shared" si="5"/>
        <v>358.98000014726972</v>
      </c>
      <c r="X13" s="629">
        <f t="shared" si="83"/>
        <v>3.2426097797110964</v>
      </c>
      <c r="Y13" s="630">
        <f>IF(M13="","",S13)</f>
        <v>-0.44070132915520871</v>
      </c>
      <c r="Z13" s="632">
        <f t="shared" si="6"/>
        <v>0.95481756300624221</v>
      </c>
      <c r="AA13" s="629">
        <f t="shared" si="7"/>
        <v>-0.23937894087535502</v>
      </c>
      <c r="AB13" s="629">
        <f t="shared" si="8"/>
        <v>-0.17612820342072988</v>
      </c>
      <c r="AC13" s="636">
        <f t="shared" si="84"/>
        <v>1</v>
      </c>
      <c r="AD13" s="637">
        <f>IF(M13="","",Z13*(1/SQRT(Z13^2+AA13^2+AB13^2)))</f>
        <v>0.95481756300624221</v>
      </c>
      <c r="AE13" s="629">
        <f t="shared" si="85"/>
        <v>-0.23937894087535502</v>
      </c>
      <c r="AF13" s="633">
        <f t="shared" si="86"/>
        <v>-0.17612820342072988</v>
      </c>
      <c r="AG13" s="602">
        <f>IF(M13="","",DEGREES(ATAN2(-AF13,AE13)))</f>
        <v>-53.65542447732529</v>
      </c>
      <c r="AH13" s="603">
        <f t="shared" si="88"/>
        <v>17.28905991499758</v>
      </c>
      <c r="AI13" s="585">
        <f t="shared" si="89"/>
        <v>-79.855680745065627</v>
      </c>
      <c r="AJ13" s="586">
        <f t="shared" si="90"/>
        <v>75.925666155070971</v>
      </c>
      <c r="AK13" s="635">
        <f t="shared" si="211"/>
        <v>0.96201135455406717</v>
      </c>
      <c r="AL13" s="629">
        <f t="shared" si="91"/>
        <v>-0.20859772210845184</v>
      </c>
      <c r="AM13" s="634">
        <f t="shared" si="92"/>
        <v>-0.17612820342072988</v>
      </c>
      <c r="AN13" s="581">
        <f t="shared" si="93"/>
        <v>-49.824130778942823</v>
      </c>
      <c r="AO13" s="582">
        <f t="shared" si="94"/>
        <v>15.843424773665101</v>
      </c>
      <c r="AP13" s="585">
        <f t="shared" si="95"/>
        <v>-12.234334110592059</v>
      </c>
      <c r="AQ13" s="586">
        <f t="shared" si="9"/>
        <v>0.70301774794485528</v>
      </c>
      <c r="AS13" s="52">
        <f t="shared" si="116"/>
        <v>-1.0199998527302796</v>
      </c>
      <c r="AT13" s="72">
        <f t="shared" si="10"/>
        <v>-0.43942355156191915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0.15618568043520303</v>
      </c>
      <c r="C14" s="708">
        <v>3.6207438556851126</v>
      </c>
      <c r="D14" s="709">
        <v>-1.113203357421326</v>
      </c>
      <c r="E14" s="710">
        <v>-0.89076943682589782</v>
      </c>
      <c r="F14" s="708">
        <v>0.42727908660065239</v>
      </c>
      <c r="G14" s="711">
        <v>0.15479790880559438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0.15618568043520303</v>
      </c>
      <c r="O14" s="629">
        <f t="shared" si="3"/>
        <v>3.6207438556851126</v>
      </c>
      <c r="P14" s="633">
        <f t="shared" si="4"/>
        <v>-1.113203357421326</v>
      </c>
      <c r="Q14" s="585">
        <f t="shared" si="113"/>
        <v>87.53000035662383</v>
      </c>
      <c r="R14" s="629">
        <f t="shared" si="79"/>
        <v>3.6241109303185661</v>
      </c>
      <c r="S14" s="634">
        <f t="shared" si="80"/>
        <v>-1.113203357421326</v>
      </c>
      <c r="T14" s="635">
        <f t="shared" si="81"/>
        <v>3.622608259091328</v>
      </c>
      <c r="U14" s="629">
        <f t="shared" si="82"/>
        <v>-0.10435246244243195</v>
      </c>
      <c r="V14" s="636">
        <f t="shared" si="114"/>
        <v>-1.113203357421326</v>
      </c>
      <c r="W14" s="585">
        <f t="shared" si="5"/>
        <v>358.35000023823045</v>
      </c>
      <c r="X14" s="629">
        <f t="shared" si="83"/>
        <v>3.6241109303185661</v>
      </c>
      <c r="Y14" s="630">
        <f t="shared" ref="Y14:Y75" si="223">IF(M14="","",S14)</f>
        <v>-1.113203357421326</v>
      </c>
      <c r="Z14" s="632">
        <f t="shared" si="6"/>
        <v>0.89076943682589782</v>
      </c>
      <c r="AA14" s="629">
        <f t="shared" si="7"/>
        <v>-0.42727908660065239</v>
      </c>
      <c r="AB14" s="629">
        <f t="shared" si="8"/>
        <v>-0.15479790880559438</v>
      </c>
      <c r="AC14" s="636">
        <f t="shared" si="84"/>
        <v>1</v>
      </c>
      <c r="AD14" s="637">
        <f>IF(M14="","",Z14*(1/SQRT(Z14^2+AA14^2+AB14^2)))</f>
        <v>0.89076943682589782</v>
      </c>
      <c r="AE14" s="629">
        <f t="shared" si="85"/>
        <v>-0.42727908660065239</v>
      </c>
      <c r="AF14" s="633">
        <f t="shared" si="86"/>
        <v>-0.15479790880559438</v>
      </c>
      <c r="AG14" s="602">
        <f t="shared" si="87"/>
        <v>-70.085176978657827</v>
      </c>
      <c r="AH14" s="603">
        <f t="shared" si="88"/>
        <v>27.029906246037477</v>
      </c>
      <c r="AI14" s="585">
        <f t="shared" si="89"/>
        <v>-81.094924181459476</v>
      </c>
      <c r="AJ14" s="586">
        <f t="shared" si="90"/>
        <v>64.374169153625857</v>
      </c>
      <c r="AK14" s="635">
        <f>IF(M14="","",(COS(RADIANS((90-$Q$8)-W14))*AD14)+(-SIN(RADIANS((90-$Q$8)-W14))*AE14))</f>
        <v>0.90835598120241368</v>
      </c>
      <c r="AL14" s="629">
        <f t="shared" si="91"/>
        <v>-0.38849326743614887</v>
      </c>
      <c r="AM14" s="634">
        <f t="shared" si="92"/>
        <v>-0.15479790880559438</v>
      </c>
      <c r="AN14" s="581">
        <f t="shared" si="93"/>
        <v>-68.274838331625546</v>
      </c>
      <c r="AO14" s="582">
        <f t="shared" si="94"/>
        <v>24.720860120007245</v>
      </c>
      <c r="AP14" s="585">
        <f>IF(M14="","",DEGREES(ATAN2(AK14,AL14)))</f>
        <v>-23.155831202997934</v>
      </c>
      <c r="AQ14" s="586">
        <f t="shared" si="9"/>
        <v>0.62901911280228429</v>
      </c>
      <c r="AS14" s="52">
        <f t="shared" si="116"/>
        <v>-1.6499997617695499</v>
      </c>
      <c r="AT14" s="72">
        <f t="shared" si="10"/>
        <v>-1.1114880798912037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0.17528602968653639</v>
      </c>
      <c r="C15" s="708">
        <v>3.7447110728200275</v>
      </c>
      <c r="D15" s="709">
        <v>-1.8272055108518204</v>
      </c>
      <c r="E15" s="710">
        <v>-0.7915390614585831</v>
      </c>
      <c r="F15" s="708">
        <v>0.60907048397887942</v>
      </c>
      <c r="G15" s="711">
        <v>4.9990596425720554E-2</v>
      </c>
      <c r="H15" s="710">
        <v>0.26600000000000001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0.17528602968653639</v>
      </c>
      <c r="O15" s="629">
        <f t="shared" si="3"/>
        <v>3.7447110728200275</v>
      </c>
      <c r="P15" s="633">
        <f t="shared" si="4"/>
        <v>-1.8272055108518204</v>
      </c>
      <c r="Q15" s="585">
        <f t="shared" si="113"/>
        <v>87.320000386944088</v>
      </c>
      <c r="R15" s="629">
        <f t="shared" si="79"/>
        <v>3.7488113064149</v>
      </c>
      <c r="S15" s="634">
        <f t="shared" si="80"/>
        <v>-1.8272055108518204</v>
      </c>
      <c r="T15" s="635">
        <f t="shared" si="81"/>
        <v>3.7468361297639854</v>
      </c>
      <c r="U15" s="629">
        <f t="shared" si="82"/>
        <v>-0.12167673483221424</v>
      </c>
      <c r="V15" s="636">
        <f t="shared" si="114"/>
        <v>-1.8272055108518204</v>
      </c>
      <c r="W15" s="585">
        <f t="shared" ref="W15:W78" si="224">IF(M15="","",IF(Q15-$Q$8&lt;0,360+Q15-$Q$8,Q15-$Q$8))</f>
        <v>358.14000026855081</v>
      </c>
      <c r="X15" s="629">
        <f>IF(M15="","",R15)</f>
        <v>3.7488113064149</v>
      </c>
      <c r="Y15" s="630">
        <f>IF(M15="","",S15)</f>
        <v>-1.8272055108518204</v>
      </c>
      <c r="Z15" s="632">
        <f t="shared" si="6"/>
        <v>0.7915390614585831</v>
      </c>
      <c r="AA15" s="629">
        <f t="shared" si="7"/>
        <v>-0.60907048397887942</v>
      </c>
      <c r="AB15" s="629">
        <f t="shared" si="8"/>
        <v>-4.9990596425720554E-2</v>
      </c>
      <c r="AC15" s="636">
        <f t="shared" si="84"/>
        <v>1</v>
      </c>
      <c r="AD15" s="637">
        <f t="shared" si="115"/>
        <v>0.7915390614585831</v>
      </c>
      <c r="AE15" s="629">
        <f t="shared" si="85"/>
        <v>-0.60907048397887942</v>
      </c>
      <c r="AF15" s="633">
        <f t="shared" si="86"/>
        <v>-4.9990596425720554E-2</v>
      </c>
      <c r="AG15" s="602">
        <f t="shared" si="87"/>
        <v>-85.307859504505814</v>
      </c>
      <c r="AH15" s="603">
        <f t="shared" si="88"/>
        <v>37.670427325445687</v>
      </c>
      <c r="AI15" s="585">
        <f t="shared" si="89"/>
        <v>-87.134555477139372</v>
      </c>
      <c r="AJ15" s="586">
        <f t="shared" si="90"/>
        <v>52.422573762151416</v>
      </c>
      <c r="AK15" s="635">
        <f t="shared" si="211"/>
        <v>0.81915209487729179</v>
      </c>
      <c r="AL15" s="629">
        <f t="shared" si="91"/>
        <v>-0.57139372216287543</v>
      </c>
      <c r="AM15" s="634">
        <f t="shared" si="92"/>
        <v>-4.9990596425720554E-2</v>
      </c>
      <c r="AN15" s="581">
        <f>IF(M15="","",DEGREES(ATAN2(-AM15,AL15)))</f>
        <v>-84.999987727520192</v>
      </c>
      <c r="AO15" s="582">
        <f t="shared" si="94"/>
        <v>34.999994946625968</v>
      </c>
      <c r="AP15" s="585">
        <f t="shared" si="95"/>
        <v>-34.897426624792679</v>
      </c>
      <c r="AQ15" s="586">
        <f t="shared" si="9"/>
        <v>0.60809703324445996</v>
      </c>
      <c r="AS15" s="52">
        <f t="shared" si="116"/>
        <v>-1.859999731449193</v>
      </c>
      <c r="AT15" s="72">
        <f t="shared" si="10"/>
        <v>-1.8253444000094206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1.1078566979339248</v>
      </c>
      <c r="C16" s="708">
        <v>3.068785561255694</v>
      </c>
      <c r="D16" s="709">
        <v>-0.47032671245568508</v>
      </c>
      <c r="E16" s="710">
        <v>0.17279825151124079</v>
      </c>
      <c r="F16" s="708">
        <v>0.47865533528476689</v>
      </c>
      <c r="G16" s="711">
        <v>0.86083089760886566</v>
      </c>
      <c r="H16" s="710">
        <v>0.26250000000000001</v>
      </c>
      <c r="I16" s="708">
        <v>0.40699999999999997</v>
      </c>
      <c r="J16" s="570">
        <v>1.218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1.218</v>
      </c>
      <c r="N16" s="632">
        <f t="shared" si="2"/>
        <v>1.1078566979339248</v>
      </c>
      <c r="O16" s="629">
        <f t="shared" si="3"/>
        <v>3.068785561255694</v>
      </c>
      <c r="P16" s="633">
        <f t="shared" si="4"/>
        <v>-0.47032671245568508</v>
      </c>
      <c r="Q16" s="585">
        <f>IF(M16="","",IF(DEGREES(ATAN2(N16,O16))&lt;0,DEGREES(ATAN2(N16,O16))+360,IF(DEGREES(ATAN2(N16,O16))&gt;360,DEGREES(ATAN2(N16,O16))-360,DEGREES(ATAN2(N16,O16)))))</f>
        <v>70.150002865985002</v>
      </c>
      <c r="R16" s="629">
        <f t="shared" si="79"/>
        <v>3.2626356345949032</v>
      </c>
      <c r="S16" s="634">
        <f t="shared" si="80"/>
        <v>-0.47032671245568508</v>
      </c>
      <c r="T16" s="635">
        <f t="shared" si="81"/>
        <v>3.0843260541006341</v>
      </c>
      <c r="U16" s="629">
        <f t="shared" si="82"/>
        <v>-1.0638252093856866</v>
      </c>
      <c r="V16" s="636">
        <f t="shared" si="114"/>
        <v>-0.47032671245568508</v>
      </c>
      <c r="W16" s="585">
        <f>IF(M16="","",IF(Q16-$Q$8&lt;0,360+Q16-$Q$8,Q16-$Q$8))</f>
        <v>340.97000274759171</v>
      </c>
      <c r="X16" s="629">
        <f t="shared" si="83"/>
        <v>3.2626356345949032</v>
      </c>
      <c r="Y16" s="630">
        <f t="shared" si="223"/>
        <v>-0.47032671245568508</v>
      </c>
      <c r="Z16" s="632">
        <f t="shared" si="6"/>
        <v>-0.17279825151124079</v>
      </c>
      <c r="AA16" s="629">
        <f t="shared" si="7"/>
        <v>-0.47865533528476689</v>
      </c>
      <c r="AB16" s="629">
        <f t="shared" si="8"/>
        <v>-0.86083089760886566</v>
      </c>
      <c r="AC16" s="636">
        <f t="shared" si="84"/>
        <v>1</v>
      </c>
      <c r="AD16" s="637">
        <f t="shared" si="115"/>
        <v>-0.17279825151124079</v>
      </c>
      <c r="AE16" s="629">
        <f t="shared" si="85"/>
        <v>-0.47865533528476689</v>
      </c>
      <c r="AF16" s="633">
        <f t="shared" si="86"/>
        <v>-0.86083089760886566</v>
      </c>
      <c r="AG16" s="602">
        <f t="shared" si="87"/>
        <v>-29.075755230066676</v>
      </c>
      <c r="AH16" s="603">
        <f t="shared" si="88"/>
        <v>99.950555341602836</v>
      </c>
      <c r="AI16" s="585">
        <f t="shared" si="89"/>
        <v>-30.589995583353573</v>
      </c>
      <c r="AJ16" s="586">
        <f t="shared" si="90"/>
        <v>-19.849971599298353</v>
      </c>
      <c r="AK16" s="635">
        <f t="shared" si="211"/>
        <v>2.2679489672383646E-7</v>
      </c>
      <c r="AL16" s="629">
        <f t="shared" si="91"/>
        <v>-0.50889111381695717</v>
      </c>
      <c r="AM16" s="634">
        <f t="shared" si="92"/>
        <v>-0.86083089760886566</v>
      </c>
      <c r="AN16" s="581">
        <f t="shared" si="93"/>
        <v>-30.589995583351087</v>
      </c>
      <c r="AO16" s="582">
        <f t="shared" si="94"/>
        <v>0</v>
      </c>
      <c r="AP16" s="585">
        <f t="shared" si="95"/>
        <v>-89.999974465283358</v>
      </c>
      <c r="AQ16" s="586">
        <f t="shared" si="9"/>
        <v>0.69870309777708428</v>
      </c>
      <c r="AS16" s="52">
        <f t="shared" si="116"/>
        <v>-19.029997252408293</v>
      </c>
      <c r="AT16" s="72">
        <f t="shared" si="10"/>
        <v>-0.45654199222373026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1.218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1.1180000000000001</v>
      </c>
      <c r="II16" s="734" cm="1">
        <f t="array" ref="II16">IFERROR(ROUND(VALUE(IF($IH16&lt;1,$IH16+LARGE((IF($M$9:$M$150="",0,$M$9:$M$150)-MOD(IF($M$9:$M$150="",0,$M$9:$M$150),1)),1),$IH16)),4),"")</f>
        <v>1.1180000000000001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18.009997399678014</v>
      </c>
      <c r="IM16" s="759">
        <v>2.3985890742766299E-2</v>
      </c>
      <c r="IN16" s="5">
        <f>IF(ISNUMBER($II16),(($IO16*12)/60)/$AS$3,"")</f>
        <v>1.26</v>
      </c>
      <c r="IO16" s="771">
        <v>630</v>
      </c>
      <c r="IP16" s="9">
        <f>IF(ISNUMBER($II16),(INDEX($X$9:$X$150,MATCH($II16,$M$9:$M$150,0))*-1),"")</f>
        <v>-3.2426097797110964</v>
      </c>
      <c r="IQ16" s="5">
        <f>IF(ISNUMBER($II16),INDEX($Y$9:$Y$150,MATCH($II16,$M$9:$M$150,0)),"")</f>
        <v>-0.44070132915520871</v>
      </c>
      <c r="IR16" s="5">
        <f t="shared" si="71"/>
        <v>0.314</v>
      </c>
      <c r="IS16" s="5">
        <f>IF(ISNUMBER($II16),$IR16*COS(RADIANS(INDEX($AO$9:$AO$150,MATCH($II16,$M$9:$M$150,0)))),"")</f>
        <v>0.30207156532997709</v>
      </c>
      <c r="IT16" s="727">
        <f>IF(ISNUMBER($II16),(-1*INDEX($AN$9:$AN$150,MATCH($II16,$M$9:$M$150,0))),"")</f>
        <v>49.824130778942823</v>
      </c>
      <c r="IU16" s="9">
        <f>IF(ISNUMBER($II16),-$X16,"")</f>
        <v>-3.2626356345949032</v>
      </c>
      <c r="IV16" s="5">
        <f>IF(ISNUMBER($II16),$Y16,"")</f>
        <v>-0.47032671245568508</v>
      </c>
      <c r="IW16" s="5">
        <f t="shared" si="76"/>
        <v>0.26250000000000001</v>
      </c>
      <c r="IX16" s="5">
        <f>IF(ISNUMBER($II16),$IW16*COS(RADIANS($AO16)),"")</f>
        <v>0.26250000000000001</v>
      </c>
      <c r="IY16" s="762">
        <f>IF(ISNUMBER($II16),(-1*$AN16),"")</f>
        <v>30.589995583351087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1.1582229203420302</v>
      </c>
      <c r="C17" s="708">
        <v>3.4535495520783841</v>
      </c>
      <c r="D17" s="709">
        <v>-1.1629351749083394</v>
      </c>
      <c r="E17" s="710">
        <v>0.25569837909760806</v>
      </c>
      <c r="F17" s="708">
        <v>0.76243340829455752</v>
      </c>
      <c r="G17" s="711">
        <v>0.59440191524186758</v>
      </c>
      <c r="H17" s="710">
        <v>0.26250000000000001</v>
      </c>
      <c r="I17" s="708">
        <v>0.40699999999999997</v>
      </c>
      <c r="J17" s="570">
        <v>1.224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1.224</v>
      </c>
      <c r="N17" s="632">
        <f t="shared" si="2"/>
        <v>1.1582229203420302</v>
      </c>
      <c r="O17" s="629">
        <f t="shared" si="3"/>
        <v>3.4535495520783841</v>
      </c>
      <c r="P17" s="633">
        <f t="shared" si="4"/>
        <v>-1.1629351749083394</v>
      </c>
      <c r="Q17" s="585">
        <f>IF(M17="","",IF(DEGREES(ATAN2(N17,O17))&lt;0,DEGREES(ATAN2(N17,O17))+360,IF(DEGREES(ATAN2(N17,O17))&gt;360,DEGREES(ATAN2(N17,O17))-360,DEGREES(ATAN2(N17,O17)))))</f>
        <v>71.460002676844425</v>
      </c>
      <c r="R17" s="629">
        <f>IF(M17="","",SQRT(N17^2+O17^2))</f>
        <v>3.6425931480013558</v>
      </c>
      <c r="S17" s="634">
        <f>IF(M17="","",P17)</f>
        <v>-1.1629351749083394</v>
      </c>
      <c r="T17" s="635">
        <f>IF(M17="","",X17*COS(RADIANS(W17)))</f>
        <v>3.4697714425600972</v>
      </c>
      <c r="U17" s="629">
        <f>IF(M17="","",X17*SIN(RADIANS(W17)))</f>
        <v>-1.1086798357780521</v>
      </c>
      <c r="V17" s="636">
        <f>IF(M17="","",Y17)</f>
        <v>-1.1629351749083394</v>
      </c>
      <c r="W17" s="585">
        <f t="shared" si="224"/>
        <v>342.28000255845109</v>
      </c>
      <c r="X17" s="629">
        <f>IF(M17="","",R17)</f>
        <v>3.6425931480013558</v>
      </c>
      <c r="Y17" s="630">
        <f t="shared" si="223"/>
        <v>-1.1629351749083394</v>
      </c>
      <c r="Z17" s="632">
        <f t="shared" si="6"/>
        <v>-0.25569837909760806</v>
      </c>
      <c r="AA17" s="629">
        <f t="shared" si="7"/>
        <v>-0.76243340829455752</v>
      </c>
      <c r="AB17" s="629">
        <f t="shared" si="8"/>
        <v>-0.59440191524186758</v>
      </c>
      <c r="AC17" s="636">
        <f>IF(M17="","",SQRT(Z17^2+AA17^2+AB17^2))</f>
        <v>1</v>
      </c>
      <c r="AD17" s="637">
        <f>IF(M17="","",Z17*(1/SQRT(Z17^2+AA17^2+AB17^2)))</f>
        <v>-0.25569837909760806</v>
      </c>
      <c r="AE17" s="629">
        <f>IF(M17="","",AA17*(1/SQRT(Z17^2+AA17^2+AB17^2)))</f>
        <v>-0.76243340829455752</v>
      </c>
      <c r="AF17" s="633">
        <f>IF(M17="","",AB17*(1/SQRT(Z17^2+AA17^2+AB17^2)))</f>
        <v>-0.59440191524186758</v>
      </c>
      <c r="AG17" s="602">
        <f>IF(M17="","",DEGREES(ATAN2(-AF17,AE17)))</f>
        <v>-52.059608301774666</v>
      </c>
      <c r="AH17" s="603">
        <f>IF(M17="","",DEGREES(ACOS(AD17)))</f>
        <v>104.81497132400172</v>
      </c>
      <c r="AI17" s="585">
        <f>IF(M17="","",DEGREES(-ACOS(-AF17)))</f>
        <v>-53.52999227122644</v>
      </c>
      <c r="AJ17" s="586">
        <f>IF(M17="","",DEGREES(ATAN2(-AE17,AD17)))</f>
        <v>-18.539981164357322</v>
      </c>
      <c r="AK17" s="635">
        <f>IF(M17="","",(COS(RADIANS((90-$Q$8)-W17))*AD17)+(-SIN(RADIANS((90-$Q$8)-W17))*AE17))</f>
        <v>2.2679489697363664E-7</v>
      </c>
      <c r="AL17" s="629">
        <f>IF(M17="","",(SIN(RADIANS((90-$Q$8)-W17))*AD17)+(COS(RADIANS((90-$Q$8)-W17))*AE17))</f>
        <v>-0.80416811871445648</v>
      </c>
      <c r="AM17" s="634">
        <f>IF(M17="","",AF17)</f>
        <v>-0.59440191524186758</v>
      </c>
      <c r="AN17" s="581">
        <f>IF(M17="","",DEGREES(ATAN2(-AM17,AL17)))</f>
        <v>-53.52999227122536</v>
      </c>
      <c r="AO17" s="582">
        <f t="shared" si="94"/>
        <v>0</v>
      </c>
      <c r="AP17" s="585">
        <f>IF(M17="","",DEGREES(ATAN2(AK17,AL17)))</f>
        <v>-89.999983841201725</v>
      </c>
      <c r="AQ17" s="586">
        <f t="shared" si="9"/>
        <v>0.62582777611367979</v>
      </c>
      <c r="AS17" s="52">
        <f t="shared" si="116"/>
        <v>-17.719997441548912</v>
      </c>
      <c r="AT17" s="72">
        <f t="shared" si="10"/>
        <v>-1.1500601767672591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1.224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1.1240000000000001</v>
      </c>
      <c r="II17" s="734" cm="1">
        <f t="array" ref="II17">IFERROR(ROUND(VALUE(IF($IH17&lt;1,$IH17+LARGE((IF($M$9:$M$150="",0,$M$9:$M$150)-MOD(IF($M$9:$M$150="",0,$M$9:$M$150),1)),1),$IH17)),4),"")</f>
        <v>1.1240000000000001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16.069997679779362</v>
      </c>
      <c r="IM17" s="759">
        <v>8.2873223020320502E-4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-3.6241109303185661</v>
      </c>
      <c r="IQ17" s="5">
        <f t="shared" ref="IQ17:IQ80" si="228">IF(ISNUMBER($II17),INDEX($Y$9:$Y$150,MATCH($II17,$M$9:$M$150,0)),"")</f>
        <v>-1.113203357421326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0.28522377809755789</v>
      </c>
      <c r="IT17" s="727">
        <f t="shared" ref="IT17:IT80" si="230">IF(ISNUMBER($II17),(-1*INDEX($AN$9:$AN$150,MATCH($II17,$M$9:$M$150,0))),"")</f>
        <v>68.274838331625546</v>
      </c>
      <c r="IU17" s="9">
        <f t="shared" ref="IU17:IU80" si="231">IF(ISNUMBER($II17),-$X17,"")</f>
        <v>-3.6425931480013558</v>
      </c>
      <c r="IV17" s="5">
        <f t="shared" ref="IV17:IV80" si="232">IF(ISNUMBER($II17),$Y17,"")</f>
        <v>-1.1629351749083394</v>
      </c>
      <c r="IW17" s="5">
        <f t="shared" si="76"/>
        <v>0.26250000000000001</v>
      </c>
      <c r="IX17" s="5">
        <f t="shared" ref="IX17:IX80" si="233">IF(ISNUMBER($II17),$IW17*COS(RADIANS($AO17)),"")</f>
        <v>0.26250000000000001</v>
      </c>
      <c r="IY17" s="762">
        <f t="shared" ref="IY17:IY80" si="234">IF(ISNUMBER($II17),(-1*$AN17),"")</f>
        <v>53.52999227122536</v>
      </c>
    </row>
    <row r="18" spans="1:269" ht="15" customHeight="1" x14ac:dyDescent="0.25">
      <c r="A18" s="79"/>
      <c r="B18" s="707">
        <v>2.0015152242636045</v>
      </c>
      <c r="C18" s="708">
        <v>1.3673873810600232</v>
      </c>
      <c r="D18" s="709">
        <v>-5.800017492852759E-2</v>
      </c>
      <c r="E18" s="710">
        <v>-0.48922558917338499</v>
      </c>
      <c r="F18" s="708">
        <v>0.83402084099009521</v>
      </c>
      <c r="G18" s="711">
        <v>0.25508343672635575</v>
      </c>
      <c r="H18" s="710">
        <v>0.314</v>
      </c>
      <c r="I18" s="708">
        <v>0.52</v>
      </c>
      <c r="J18" s="570">
        <v>2.1110000000000002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2.1110000000000002</v>
      </c>
      <c r="N18" s="632">
        <f t="shared" si="2"/>
        <v>2.0015152242636045</v>
      </c>
      <c r="O18" s="629">
        <f t="shared" si="3"/>
        <v>1.3673873810600232</v>
      </c>
      <c r="P18" s="633">
        <f t="shared" si="4"/>
        <v>-5.800017492852759E-2</v>
      </c>
      <c r="Q18" s="585">
        <f t="shared" si="113"/>
        <v>34.339956058746985</v>
      </c>
      <c r="R18" s="629">
        <f>IF(M18="","",SQRT(N18^2+O18^2))</f>
        <v>2.4240073108060494</v>
      </c>
      <c r="S18" s="634">
        <f>IF(M18="","",P18)</f>
        <v>-5.800017492852759E-2</v>
      </c>
      <c r="T18" s="635">
        <f>IF(M18="","",X18*COS(RADIANS(W18)))</f>
        <v>1.3958914492711483</v>
      </c>
      <c r="U18" s="629">
        <f>IF(M18="","",X18*SIN(RADIANS(W18)))</f>
        <v>-1.9817412809680452</v>
      </c>
      <c r="V18" s="636">
        <f>IF(M18="","",Y18)</f>
        <v>-5.800017492852759E-2</v>
      </c>
      <c r="W18" s="585">
        <f t="shared" si="224"/>
        <v>305.1599559403536</v>
      </c>
      <c r="X18" s="629">
        <f>IF(M18="","",R18)</f>
        <v>2.4240073108060494</v>
      </c>
      <c r="Y18" s="630">
        <f t="shared" si="223"/>
        <v>-5.800017492852759E-2</v>
      </c>
      <c r="Z18" s="632">
        <f t="shared" si="6"/>
        <v>0.48922558917338499</v>
      </c>
      <c r="AA18" s="629">
        <f t="shared" si="7"/>
        <v>-0.83402084099009521</v>
      </c>
      <c r="AB18" s="629">
        <f t="shared" si="8"/>
        <v>-0.25508343672635575</v>
      </c>
      <c r="AC18" s="636">
        <f>IF(M18="","",SQRT(Z18^2+AA18^2+AB18^2))</f>
        <v>1</v>
      </c>
      <c r="AD18" s="637">
        <f>IF(M18="","",Z18*(1/SQRT(Z18^2+AA18^2+AB18^2)))</f>
        <v>0.48922558917338499</v>
      </c>
      <c r="AE18" s="629">
        <f>IF(M18="","",AA18*(1/SQRT(Z18^2+AA18^2+AB18^2)))</f>
        <v>-0.83402084099009521</v>
      </c>
      <c r="AF18" s="633">
        <f>IF(M18="","",AB18*(1/SQRT(Z18^2+AA18^2+AB18^2)))</f>
        <v>-0.25508343672635575</v>
      </c>
      <c r="AG18" s="602">
        <f>IF(M18="","",DEGREES(ATAN2(-AF18,AE18)))</f>
        <v>-72.993863581965385</v>
      </c>
      <c r="AH18" s="603">
        <f>IF(M18="","",DEGREES(ACOS(AD18)))</f>
        <v>60.71030550016026</v>
      </c>
      <c r="AI18" s="585">
        <f>IF(M18="","",DEGREES(-ACOS(-AF18)))</f>
        <v>-75.221470776584283</v>
      </c>
      <c r="AJ18" s="586">
        <f>IF(M18="","",DEGREES(ATAN2(-AE18,AD18)))</f>
        <v>30.395321882932681</v>
      </c>
      <c r="AK18" s="635">
        <f>IF(M18="","",(COS(RADIANS((90-$Q$8)-W18))*AD18)+(-SIN(RADIANS((90-$Q$8)-W18))*AE18))</f>
        <v>0.96462840573884823</v>
      </c>
      <c r="AL18" s="629">
        <f>IF(M18="","",(SIN(RADIANS((90-$Q$8)-W18))*AD18)+(COS(RADIANS((90-$Q$8)-W18))*AE18))</f>
        <v>-6.6516758411691024E-2</v>
      </c>
      <c r="AM18" s="634">
        <f>IF(M18="","",AF18)</f>
        <v>-0.25508343672635575</v>
      </c>
      <c r="AN18" s="581">
        <f>IF(M18="","",DEGREES(ATAN2(-AM18,AL18)))</f>
        <v>-14.615248880258012</v>
      </c>
      <c r="AO18" s="582">
        <f t="shared" si="94"/>
        <v>15.284578669758892</v>
      </c>
      <c r="AP18" s="585">
        <f>IF(M18="","",DEGREES(ATAN2(AK18,AL18)))</f>
        <v>-3.9446341758142163</v>
      </c>
      <c r="AQ18" s="586">
        <f t="shared" si="9"/>
        <v>0.94039399533998402</v>
      </c>
      <c r="AS18" s="52">
        <f t="shared" si="116"/>
        <v>-54.840044059646402</v>
      </c>
      <c r="AT18" s="72">
        <f t="shared" si="10"/>
        <v>-1.9347366635990737E-2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2.1110000000000002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2.626850648025377</v>
      </c>
      <c r="C19" s="708">
        <v>1.7268283767633528</v>
      </c>
      <c r="D19" s="709">
        <v>-0.35330106555601337</v>
      </c>
      <c r="E19" s="710">
        <v>-0.36776757905797824</v>
      </c>
      <c r="F19" s="708">
        <v>0.90994108502979154</v>
      </c>
      <c r="G19" s="711">
        <v>0.19171392638157428</v>
      </c>
      <c r="H19" s="710">
        <v>0.314</v>
      </c>
      <c r="I19" s="708">
        <v>0.52</v>
      </c>
      <c r="J19" s="570">
        <v>2.117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</v>
      </c>
      <c r="N19" s="632">
        <f t="shared" si="2"/>
        <v>2.626850648025377</v>
      </c>
      <c r="O19" s="629">
        <f t="shared" si="3"/>
        <v>1.7268283767633528</v>
      </c>
      <c r="P19" s="633">
        <f t="shared" si="4"/>
        <v>-0.35330106555601337</v>
      </c>
      <c r="Q19" s="585">
        <f t="shared" si="113"/>
        <v>33.319956206016755</v>
      </c>
      <c r="R19" s="629">
        <f>IF(M19="","",SQRT(N19^2+O19^2))</f>
        <v>3.1436094811261941</v>
      </c>
      <c r="S19" s="634">
        <f>IF(M19="","",P19)</f>
        <v>-0.35330106555601337</v>
      </c>
      <c r="T19" s="635">
        <f>IF(M19="","",X19*COS(RADIANS(W19)))</f>
        <v>1.764244940501567</v>
      </c>
      <c r="U19" s="629">
        <f>IF(M19="","",X19*SIN(RADIANS(W19)))</f>
        <v>-2.6018686284555415</v>
      </c>
      <c r="V19" s="636">
        <f>IF(M19="","",Y19)</f>
        <v>-0.35330106555601337</v>
      </c>
      <c r="W19" s="585">
        <f t="shared" si="224"/>
        <v>304.13995608762343</v>
      </c>
      <c r="X19" s="629">
        <f>IF(M19="","",R19)</f>
        <v>3.1436094811261941</v>
      </c>
      <c r="Y19" s="630">
        <f t="shared" si="223"/>
        <v>-0.35330106555601337</v>
      </c>
      <c r="Z19" s="632">
        <f t="shared" si="6"/>
        <v>0.36776757905797824</v>
      </c>
      <c r="AA19" s="629">
        <f t="shared" si="7"/>
        <v>-0.90994108502979154</v>
      </c>
      <c r="AB19" s="629">
        <f t="shared" si="8"/>
        <v>-0.19171392638157428</v>
      </c>
      <c r="AC19" s="636">
        <f>IF(M19="","",SQRT(Z19^2+AA19^2+AB19^2))</f>
        <v>1</v>
      </c>
      <c r="AD19" s="637">
        <f>IF(M19="","",Z19*(1/SQRT(Z19^2+AA19^2+AB19^2)))</f>
        <v>0.36776757905797824</v>
      </c>
      <c r="AE19" s="629">
        <f>IF(M19="","",AA19*(1/SQRT(Z19^2+AA19^2+AB19^2)))</f>
        <v>-0.90994108502979154</v>
      </c>
      <c r="AF19" s="633">
        <f>IF(M19="","",AB19*(1/SQRT(Z19^2+AA19^2+AB19^2)))</f>
        <v>-0.19171392638157428</v>
      </c>
      <c r="AG19" s="602">
        <f>IF(M19="","",DEGREES(ATAN2(-AF19,AE19)))</f>
        <v>-78.102455967566939</v>
      </c>
      <c r="AH19" s="603">
        <f>IF(M19="","",DEGREES(ACOS(AD19)))</f>
        <v>68.421996177268383</v>
      </c>
      <c r="AI19" s="585">
        <f>IF(M19="","",DEGREES(-ACOS(-AF19)))</f>
        <v>-78.947176095101767</v>
      </c>
      <c r="AJ19" s="586">
        <f>IF(M19="","",DEGREES(ATAN2(-AE19,AD19)))</f>
        <v>22.006902193707916</v>
      </c>
      <c r="AK19" s="635">
        <f>IF(M19="","",(COS(RADIANS((90-$Q$8)-W19))*AD19)+(-SIN(RADIANS((90-$Q$8)-W19))*AE19))</f>
        <v>0.96238124951909465</v>
      </c>
      <c r="AL19" s="629">
        <f>IF(M19="","",(SIN(RADIANS((90-$Q$8)-W19))*AD19)+(COS(RADIANS((90-$Q$8)-W19))*AE19))</f>
        <v>-0.19253077937157648</v>
      </c>
      <c r="AM19" s="634">
        <f>IF(M19="","",AF19)</f>
        <v>-0.19171392638157428</v>
      </c>
      <c r="AN19" s="581">
        <f>IF(M19="","",DEGREES(ATAN2(-AM19,AL19)))</f>
        <v>-45.121803001068422</v>
      </c>
      <c r="AO19" s="582">
        <f t="shared" si="94"/>
        <v>15.765609658139104</v>
      </c>
      <c r="AP19" s="585">
        <f>IF(M19="","",DEGREES(ATAN2(AK19,AL19)))</f>
        <v>-11.313054012308811</v>
      </c>
      <c r="AQ19" s="586">
        <f t="shared" si="9"/>
        <v>0.72515524583186297</v>
      </c>
      <c r="AS19" s="52">
        <f t="shared" si="116"/>
        <v>-55.860043912376568</v>
      </c>
      <c r="AT19" s="72">
        <f t="shared" si="10"/>
        <v>-0.31393992403241389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3.022645545542352</v>
      </c>
      <c r="C20" s="708">
        <v>1.9330592247677181</v>
      </c>
      <c r="D20" s="709">
        <v>-0.98720297740417984</v>
      </c>
      <c r="E20" s="710">
        <v>-0.20025299972598604</v>
      </c>
      <c r="F20" s="708">
        <v>0.96644041672527914</v>
      </c>
      <c r="G20" s="711">
        <v>0.1609088469308424</v>
      </c>
      <c r="H20" s="710">
        <v>0.314</v>
      </c>
      <c r="I20" s="708">
        <v>0.52</v>
      </c>
      <c r="J20" s="570">
        <v>2.1230000000000002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550</v>
      </c>
      <c r="M20" s="168">
        <f t="shared" si="1"/>
        <v>2.1230000000000002</v>
      </c>
      <c r="N20" s="632">
        <f t="shared" si="2"/>
        <v>3.022645545542352</v>
      </c>
      <c r="O20" s="629">
        <f t="shared" si="3"/>
        <v>1.9330592247677181</v>
      </c>
      <c r="P20" s="633">
        <f t="shared" si="4"/>
        <v>-0.98720297740417984</v>
      </c>
      <c r="Q20" s="585">
        <f t="shared" si="113"/>
        <v>32.599956309971873</v>
      </c>
      <c r="R20" s="629">
        <f>IF(M20="","",SQRT(N20^2+O20^2))</f>
        <v>3.5879108211390363</v>
      </c>
      <c r="S20" s="634">
        <f>IF(M20="","",P20)</f>
        <v>-0.98720297740417984</v>
      </c>
      <c r="T20" s="635">
        <f>IF(M20="","",X20*COS(RADIANS(W20)))</f>
        <v>1.976118971875819</v>
      </c>
      <c r="U20" s="629">
        <f>IF(M20="","",X20*SIN(RADIANS(W20)))</f>
        <v>-2.9946715795624486</v>
      </c>
      <c r="V20" s="636">
        <f>IF(M20="","",Y20)</f>
        <v>-0.98720297740417984</v>
      </c>
      <c r="W20" s="585">
        <f t="shared" si="224"/>
        <v>303.41995619157854</v>
      </c>
      <c r="X20" s="629">
        <f>IF(M20="","",R20)</f>
        <v>3.5879108211390363</v>
      </c>
      <c r="Y20" s="630">
        <f t="shared" si="223"/>
        <v>-0.98720297740417984</v>
      </c>
      <c r="Z20" s="632">
        <f t="shared" si="6"/>
        <v>0.20025299972598604</v>
      </c>
      <c r="AA20" s="629">
        <f t="shared" si="7"/>
        <v>-0.96644041672527914</v>
      </c>
      <c r="AB20" s="629">
        <f t="shared" si="8"/>
        <v>-0.1609088469308424</v>
      </c>
      <c r="AC20" s="636">
        <f>IF(M20="","",SQRT(Z20^2+AA20^2+AB20^2))</f>
        <v>1</v>
      </c>
      <c r="AD20" s="637">
        <f>IF(M20="","",Z20*(1/SQRT(Z20^2+AA20^2+AB20^2)))</f>
        <v>0.20025299972598604</v>
      </c>
      <c r="AE20" s="629">
        <f>IF(M20="","",AA20*(1/SQRT(Z20^2+AA20^2+AB20^2)))</f>
        <v>-0.96644041672527914</v>
      </c>
      <c r="AF20" s="633">
        <f>IF(M20="","",AB20*(1/SQRT(Z20^2+AA20^2+AB20^2)))</f>
        <v>-0.1609088469308424</v>
      </c>
      <c r="AG20" s="602">
        <f>IF(M20="","",DEGREES(ATAN2(-AF20,AE20)))</f>
        <v>-80.54717014008682</v>
      </c>
      <c r="AH20" s="603">
        <f>IF(M20="","",DEGREES(ACOS(AD20)))</f>
        <v>78.448245846317334</v>
      </c>
      <c r="AI20" s="585">
        <f>IF(M20="","",DEGREES(-ACOS(-AF20)))</f>
        <v>-80.740347128598984</v>
      </c>
      <c r="AJ20" s="586">
        <f>IF(M20="","",DEGREES(ATAN2(-AE20,AD20)))</f>
        <v>11.706412856866219</v>
      </c>
      <c r="AK20" s="635">
        <f>IF(M20="","",(COS(RADIANS((90-$Q$8)-W20))*AD20)+(-SIN(RADIANS((90-$Q$8)-W20))*AE20))</f>
        <v>0.92207077989865205</v>
      </c>
      <c r="AL20" s="629">
        <f>IF(M20="","",(SIN(RADIANS((90-$Q$8)-W20))*AD20)+(COS(RADIANS((90-$Q$8)-W20))*AE20))</f>
        <v>-0.35198553924341613</v>
      </c>
      <c r="AM20" s="634">
        <f>IF(M20="","",AF20)</f>
        <v>-0.1609088469308424</v>
      </c>
      <c r="AN20" s="581">
        <f>IF(M20="","",DEGREES(ATAN2(-AM20,AL20)))</f>
        <v>-65.432670900242698</v>
      </c>
      <c r="AO20" s="582">
        <f t="shared" si="94"/>
        <v>22.769281706277297</v>
      </c>
      <c r="AP20" s="585">
        <f>IF(M20="","",DEGREES(ATAN2(AK20,AL20)))</f>
        <v>-20.893543453105629</v>
      </c>
      <c r="AQ20" s="586">
        <f t="shared" si="9"/>
        <v>0.63536506294485973</v>
      </c>
      <c r="AS20" s="52">
        <f t="shared" si="116"/>
        <v>-56.580043808421465</v>
      </c>
      <c r="AT20" s="72">
        <f t="shared" si="10"/>
        <v>-0.94734183595277144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3.168029207285203</v>
      </c>
      <c r="C21" s="708">
        <v>2.0042896878675212</v>
      </c>
      <c r="D21" s="709">
        <v>-1.7158051748684076</v>
      </c>
      <c r="E21" s="710">
        <v>4.4913944808489703E-2</v>
      </c>
      <c r="F21" s="708">
        <v>0.99773928349581431</v>
      </c>
      <c r="G21" s="711">
        <v>4.9990596425720693E-2</v>
      </c>
      <c r="H21" s="710">
        <v>0.26600000000000001</v>
      </c>
      <c r="I21" s="708">
        <v>0.52</v>
      </c>
      <c r="J21" s="570">
        <v>2.129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2.129</v>
      </c>
      <c r="N21" s="632">
        <f t="shared" si="2"/>
        <v>3.168029207285203</v>
      </c>
      <c r="O21" s="629">
        <f t="shared" si="3"/>
        <v>2.0042896878675212</v>
      </c>
      <c r="P21" s="633">
        <f t="shared" si="4"/>
        <v>-1.7158051748684076</v>
      </c>
      <c r="Q21" s="585">
        <f t="shared" si="113"/>
        <v>32.319956350398861</v>
      </c>
      <c r="R21" s="629">
        <f>IF(M21="","",SQRT(N21^2+O21^2))</f>
        <v>3.7488113064149009</v>
      </c>
      <c r="S21" s="634">
        <f>IF(M21="","",P21)</f>
        <v>-1.7158051748684076</v>
      </c>
      <c r="T21" s="635">
        <f>IF(M21="","",X21*COS(RADIANS(W21)))</f>
        <v>2.0494227562245335</v>
      </c>
      <c r="U21" s="629">
        <f>IF(M21="","",X21*SIN(RADIANS(W21)))</f>
        <v>-3.1390209584157338</v>
      </c>
      <c r="V21" s="636">
        <f>IF(M21="","",Y21)</f>
        <v>-1.7158051748684076</v>
      </c>
      <c r="W21" s="585">
        <f t="shared" si="224"/>
        <v>303.13995623200549</v>
      </c>
      <c r="X21" s="629">
        <f>IF(M21="","",R21)</f>
        <v>3.7488113064149009</v>
      </c>
      <c r="Y21" s="630">
        <f t="shared" si="223"/>
        <v>-1.7158051748684076</v>
      </c>
      <c r="Z21" s="632">
        <f t="shared" si="6"/>
        <v>-4.4913944808489703E-2</v>
      </c>
      <c r="AA21" s="629">
        <f t="shared" si="7"/>
        <v>-0.99773928349581431</v>
      </c>
      <c r="AB21" s="629">
        <f t="shared" si="8"/>
        <v>-4.9990596425720693E-2</v>
      </c>
      <c r="AC21" s="636">
        <f>IF(M21="","",SQRT(Z21^2+AA21^2+AB21^2))</f>
        <v>1</v>
      </c>
      <c r="AD21" s="637">
        <f>IF(M21="","",Z21*(1/SQRT(Z21^2+AA21^2+AB21^2)))</f>
        <v>-4.4913944808489703E-2</v>
      </c>
      <c r="AE21" s="629">
        <f>IF(M21="","",AA21*(1/SQRT(Z21^2+AA21^2+AB21^2)))</f>
        <v>-0.99773928349581431</v>
      </c>
      <c r="AF21" s="633">
        <f>IF(M21="","",AB21*(1/SQRT(Z21^2+AA21^2+AB21^2)))</f>
        <v>-4.9990596425720693E-2</v>
      </c>
      <c r="AG21" s="602">
        <f>IF(M21="","",DEGREES(ATAN2(-AF21,AE21)))</f>
        <v>-87.131658500970801</v>
      </c>
      <c r="AH21" s="603">
        <f>IF(M21="","",DEGREES(ACOS(AD21)))</f>
        <v>92.57424546211287</v>
      </c>
      <c r="AI21" s="585">
        <f>IF(M21="","",DEGREES(-ACOS(-AF21)))</f>
        <v>-87.134555477139372</v>
      </c>
      <c r="AJ21" s="586">
        <f>IF(M21="","",DEGREES(ATAN2(-AE21,AD21)))</f>
        <v>-2.577470274393789</v>
      </c>
      <c r="AK21" s="635">
        <f>IF(M21="","",(COS(RADIANS((90-$Q$8)-W21))*AD21)+(-SIN(RADIANS((90-$Q$8)-W21))*AE21))</f>
        <v>0.81915209487729268</v>
      </c>
      <c r="AL21" s="629">
        <f>IF(M21="","",(SIN(RADIANS((90-$Q$8)-W21))*AD21)+(COS(RADIANS((90-$Q$8)-W21))*AE21))</f>
        <v>-0.57139372216287421</v>
      </c>
      <c r="AM21" s="634">
        <f>IF(M21="","",AF21)</f>
        <v>-4.9990596425720693E-2</v>
      </c>
      <c r="AN21" s="581">
        <f>IF(M21="","",DEGREES(ATAN2(-AM21,AL21)))</f>
        <v>-84.999987727520178</v>
      </c>
      <c r="AO21" s="582">
        <f>IF(ROUND(IF(M21="",0,DEGREES(ACOS(AK21))),4)=90,0,IF(M21="","",DEGREES(ACOS(AK21))))</f>
        <v>34.999994946625883</v>
      </c>
      <c r="AP21" s="585">
        <f>IF(M21="","",DEGREES(ATAN2(AK21,AL21)))</f>
        <v>-34.897426624792587</v>
      </c>
      <c r="AQ21" s="586">
        <f t="shared" si="9"/>
        <v>0.60809703324445974</v>
      </c>
      <c r="AS21" s="52">
        <f t="shared" si="116"/>
        <v>-56.860043767994512</v>
      </c>
      <c r="AT21" s="72">
        <f t="shared" si="10"/>
        <v>-1.6757495890006289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3.0575708607195171</v>
      </c>
      <c r="C22" s="708">
        <v>0.80327720861215657</v>
      </c>
      <c r="D22" s="709">
        <v>-0.38169722914457843</v>
      </c>
      <c r="E22" s="710">
        <v>0.43547651068702969</v>
      </c>
      <c r="F22" s="708">
        <v>0.11440751133124899</v>
      </c>
      <c r="G22" s="711">
        <v>0.89290040317542663</v>
      </c>
      <c r="H22" s="710">
        <v>0.26250000000000001</v>
      </c>
      <c r="I22" s="708">
        <v>0.40699999999999997</v>
      </c>
      <c r="J22" s="570">
        <v>2.2170000000000001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>
        <f>IF($L21=$JH$22,$JH$30,IF($L21=$JI$22,$JI$30,""))</f>
        <v>0</v>
      </c>
      <c r="M22" s="168">
        <f t="shared" si="1"/>
        <v>2.2170000000000001</v>
      </c>
      <c r="N22" s="632">
        <f t="shared" si="2"/>
        <v>3.0575708607195171</v>
      </c>
      <c r="O22" s="629">
        <f t="shared" si="3"/>
        <v>0.80327720861215657</v>
      </c>
      <c r="P22" s="633">
        <f t="shared" si="4"/>
        <v>-0.38169722914457843</v>
      </c>
      <c r="Q22" s="585">
        <f t="shared" si="113"/>
        <v>14.719958891524092</v>
      </c>
      <c r="R22" s="629">
        <f t="shared" si="79"/>
        <v>3.1613278605985848</v>
      </c>
      <c r="S22" s="634">
        <f t="shared" si="80"/>
        <v>-0.38169722914457843</v>
      </c>
      <c r="T22" s="635">
        <f t="shared" si="81"/>
        <v>0.8469524808664598</v>
      </c>
      <c r="U22" s="629">
        <f t="shared" si="82"/>
        <v>-3.04576186484613</v>
      </c>
      <c r="V22" s="636">
        <f t="shared" si="114"/>
        <v>-0.38169722914457843</v>
      </c>
      <c r="W22" s="585">
        <f t="shared" si="224"/>
        <v>285.53995877313071</v>
      </c>
      <c r="X22" s="629">
        <f t="shared" si="83"/>
        <v>3.1613278605985848</v>
      </c>
      <c r="Y22" s="630">
        <f t="shared" si="223"/>
        <v>-0.38169722914457843</v>
      </c>
      <c r="Z22" s="632">
        <f t="shared" si="6"/>
        <v>-0.43547651068702969</v>
      </c>
      <c r="AA22" s="629">
        <f t="shared" si="7"/>
        <v>-0.11440751133124899</v>
      </c>
      <c r="AB22" s="629">
        <f t="shared" si="8"/>
        <v>-0.89290040317542663</v>
      </c>
      <c r="AC22" s="636">
        <f t="shared" si="84"/>
        <v>1</v>
      </c>
      <c r="AD22" s="637">
        <f t="shared" si="115"/>
        <v>-0.43547651068702969</v>
      </c>
      <c r="AE22" s="629">
        <f t="shared" si="85"/>
        <v>-0.11440751133124899</v>
      </c>
      <c r="AF22" s="633">
        <f t="shared" si="86"/>
        <v>-0.89290040317542663</v>
      </c>
      <c r="AG22" s="602">
        <f t="shared" si="87"/>
        <v>-7.3015361040520315</v>
      </c>
      <c r="AH22" s="603">
        <f t="shared" si="88"/>
        <v>115.81561886716423</v>
      </c>
      <c r="AI22" s="585">
        <f t="shared" si="89"/>
        <v>-26.759996136337502</v>
      </c>
      <c r="AJ22" s="586">
        <f t="shared" si="90"/>
        <v>-75.28001224835738</v>
      </c>
      <c r="AK22" s="635">
        <f t="shared" si="211"/>
        <v>2.2679489737609249E-7</v>
      </c>
      <c r="AL22" s="629">
        <f t="shared" si="91"/>
        <v>-0.45025422819681454</v>
      </c>
      <c r="AM22" s="634">
        <f t="shared" si="92"/>
        <v>-0.89290040317542663</v>
      </c>
      <c r="AN22" s="581">
        <f t="shared" si="93"/>
        <v>-26.759996136334589</v>
      </c>
      <c r="AO22" s="582">
        <f t="shared" si="94"/>
        <v>0</v>
      </c>
      <c r="AP22" s="585">
        <f t="shared" si="95"/>
        <v>-89.999971139881382</v>
      </c>
      <c r="AQ22" s="586">
        <f t="shared" si="9"/>
        <v>0.7210913790451412</v>
      </c>
      <c r="AS22" s="52">
        <f t="shared" si="116"/>
        <v>-74.460041226869293</v>
      </c>
      <c r="AT22" s="72">
        <f t="shared" si="10"/>
        <v>-0.32941942281924791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2.2170000000000001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2.117</v>
      </c>
      <c r="II22" s="734" cm="1">
        <f t="array" ref="II22">IFERROR(ROUND(VALUE(IF($IH22&lt;1,$IH22+LARGE((IF($M$9:$M$150="",0,$M$9:$M$150)-MOD(IF($M$9:$M$150="",0,$M$9:$M$150),1)),1),$IH22)),4),"")</f>
        <v>2.117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18.599997314492725</v>
      </c>
      <c r="IM22" s="759">
        <v>2.8473726698518501E-2</v>
      </c>
      <c r="IN22" s="5">
        <f t="shared" si="226"/>
        <v>1.22</v>
      </c>
      <c r="IO22" s="771">
        <v>610</v>
      </c>
      <c r="IP22" s="9">
        <f t="shared" si="227"/>
        <v>-3.1436094811261941</v>
      </c>
      <c r="IQ22" s="5">
        <f t="shared" si="228"/>
        <v>-0.35330106555601337</v>
      </c>
      <c r="IR22" s="5">
        <f t="shared" si="71"/>
        <v>0.314</v>
      </c>
      <c r="IS22" s="5">
        <f t="shared" si="229"/>
        <v>0.30218771234899572</v>
      </c>
      <c r="IT22" s="727">
        <f t="shared" si="230"/>
        <v>45.121803001068422</v>
      </c>
      <c r="IU22" s="9">
        <f t="shared" si="231"/>
        <v>-3.1613278605985848</v>
      </c>
      <c r="IV22" s="5">
        <f t="shared" si="232"/>
        <v>-0.38169722914457843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26.759996136334589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3.462580659713872</v>
      </c>
      <c r="C23" s="708">
        <v>1.0164640014150366</v>
      </c>
      <c r="D23" s="709">
        <v>-1.0329872064283874</v>
      </c>
      <c r="E23" s="710">
        <v>0.7318968567609857</v>
      </c>
      <c r="F23" s="708">
        <v>0.21485351510654802</v>
      </c>
      <c r="G23" s="711">
        <v>0.64665675447624438</v>
      </c>
      <c r="H23" s="710">
        <v>0.26250000000000001</v>
      </c>
      <c r="I23" s="708">
        <v>0.40699999999999997</v>
      </c>
      <c r="J23" s="570">
        <v>2.2229999999999999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2.2229999999999999</v>
      </c>
      <c r="N23" s="632">
        <f t="shared" si="2"/>
        <v>3.462580659713872</v>
      </c>
      <c r="O23" s="629">
        <f t="shared" si="3"/>
        <v>1.0164640014150366</v>
      </c>
      <c r="P23" s="633">
        <f t="shared" si="4"/>
        <v>-1.0329872064283874</v>
      </c>
      <c r="Q23" s="585">
        <f t="shared" si="113"/>
        <v>16.359958654737429</v>
      </c>
      <c r="R23" s="629">
        <f t="shared" si="79"/>
        <v>3.6086928230589566</v>
      </c>
      <c r="S23" s="634">
        <f t="shared" si="80"/>
        <v>-1.0329872064283874</v>
      </c>
      <c r="T23" s="635">
        <f t="shared" si="81"/>
        <v>1.0659136210599292</v>
      </c>
      <c r="U23" s="629">
        <f t="shared" si="82"/>
        <v>-3.447679225745361</v>
      </c>
      <c r="V23" s="636">
        <f t="shared" si="114"/>
        <v>-1.0329872064283874</v>
      </c>
      <c r="W23" s="585">
        <f t="shared" si="224"/>
        <v>287.17995853634409</v>
      </c>
      <c r="X23" s="629">
        <f t="shared" si="83"/>
        <v>3.6086928230589566</v>
      </c>
      <c r="Y23" s="630">
        <f t="shared" si="223"/>
        <v>-1.0329872064283874</v>
      </c>
      <c r="Z23" s="632">
        <f t="shared" si="6"/>
        <v>-0.7318968567609857</v>
      </c>
      <c r="AA23" s="629">
        <f t="shared" si="7"/>
        <v>-0.21485351510654802</v>
      </c>
      <c r="AB23" s="629">
        <f t="shared" si="8"/>
        <v>-0.64665675447624438</v>
      </c>
      <c r="AC23" s="636">
        <f t="shared" si="84"/>
        <v>1</v>
      </c>
      <c r="AD23" s="637">
        <f t="shared" si="115"/>
        <v>-0.7318968567609857</v>
      </c>
      <c r="AE23" s="629">
        <f t="shared" si="85"/>
        <v>-0.21485351510654802</v>
      </c>
      <c r="AF23" s="633">
        <f t="shared" si="86"/>
        <v>-0.64665675447624438</v>
      </c>
      <c r="AG23" s="602">
        <f t="shared" si="87"/>
        <v>-18.379211597001255</v>
      </c>
      <c r="AH23" s="603">
        <f t="shared" si="88"/>
        <v>137.04565084463732</v>
      </c>
      <c r="AI23" s="585">
        <f t="shared" si="89"/>
        <v>-49.709992822766282</v>
      </c>
      <c r="AJ23" s="586">
        <f t="shared" si="90"/>
        <v>-73.640024309719877</v>
      </c>
      <c r="AK23" s="635">
        <f t="shared" si="211"/>
        <v>2.2679489691812549E-7</v>
      </c>
      <c r="AL23" s="629">
        <f t="shared" si="91"/>
        <v>-0.76278112318685432</v>
      </c>
      <c r="AM23" s="634">
        <f t="shared" si="92"/>
        <v>-0.64665675447624438</v>
      </c>
      <c r="AN23" s="581">
        <f t="shared" si="93"/>
        <v>-49.709992822765045</v>
      </c>
      <c r="AO23" s="582">
        <f t="shared" si="94"/>
        <v>0</v>
      </c>
      <c r="AP23" s="585">
        <f t="shared" si="95"/>
        <v>-89.999982964457288</v>
      </c>
      <c r="AQ23" s="586">
        <f t="shared" si="9"/>
        <v>0.63170637391775697</v>
      </c>
      <c r="AS23" s="52">
        <f t="shared" si="116"/>
        <v>-72.820041463655912</v>
      </c>
      <c r="AT23" s="72">
        <f t="shared" si="10"/>
        <v>-0.98184828882751063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2.2229999999999999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2.1230000000000002</v>
      </c>
      <c r="II23" s="734" cm="1">
        <f t="array" ref="II23">IFERROR(ROUND(VALUE(IF($IH23&lt;1,$IH23+LARGE((IF($M$9:$M$150="",0,$M$9:$M$150)-MOD(IF($M$9:$M$150="",0,$M$9:$M$150),1)),1),$IH23)),4),"")</f>
        <v>2.1230000000000002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16.239997655234447</v>
      </c>
      <c r="IM23" s="759">
        <v>4.0932477973558302E-3</v>
      </c>
      <c r="IN23" s="5">
        <f t="shared" si="226"/>
        <v>1.36</v>
      </c>
      <c r="IO23" s="771">
        <v>680</v>
      </c>
      <c r="IP23" s="9">
        <f t="shared" si="227"/>
        <v>-3.5879108211390363</v>
      </c>
      <c r="IQ23" s="5">
        <f t="shared" si="228"/>
        <v>-0.98720297740417984</v>
      </c>
      <c r="IR23" s="5">
        <f t="shared" si="71"/>
        <v>0.314</v>
      </c>
      <c r="IS23" s="5">
        <f t="shared" si="229"/>
        <v>0.28953022488817676</v>
      </c>
      <c r="IT23" s="727">
        <f t="shared" si="230"/>
        <v>65.432670900242698</v>
      </c>
      <c r="IU23" s="9">
        <f t="shared" si="231"/>
        <v>-3.6086928230589566</v>
      </c>
      <c r="IV23" s="5">
        <f t="shared" si="232"/>
        <v>-1.0329872064283874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49.709992822765045</v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9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550</v>
      </c>
      <c r="JI23" s="801">
        <v>0</v>
      </c>
    </row>
    <row r="24" spans="1:269" ht="15" customHeight="1" x14ac:dyDescent="0.25">
      <c r="A24" s="79"/>
      <c r="B24" s="707">
        <v>0.68485471570189238</v>
      </c>
      <c r="C24" s="708">
        <v>-0.39540160672088104</v>
      </c>
      <c r="D24" s="709">
        <v>-0.40220121303885853</v>
      </c>
      <c r="E24" s="710">
        <v>0.42495075868149662</v>
      </c>
      <c r="F24" s="708">
        <v>0.87000969481008184</v>
      </c>
      <c r="G24" s="711">
        <v>0.2499999672649757</v>
      </c>
      <c r="H24" s="710">
        <v>0.314</v>
      </c>
      <c r="I24" s="708">
        <v>0.52</v>
      </c>
      <c r="J24" s="570">
        <v>3.1030000000000002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3.1030000000000002</v>
      </c>
      <c r="N24" s="632">
        <f t="shared" si="2"/>
        <v>0.68485471570189238</v>
      </c>
      <c r="O24" s="629">
        <f t="shared" si="3"/>
        <v>-0.39540160672088104</v>
      </c>
      <c r="P24" s="633">
        <f t="shared" si="4"/>
        <v>-0.40220121303885853</v>
      </c>
      <c r="Q24" s="585">
        <f t="shared" si="113"/>
        <v>329.99996534829228</v>
      </c>
      <c r="R24" s="629">
        <f t="shared" si="79"/>
        <v>0.79080238505999345</v>
      </c>
      <c r="S24" s="634">
        <f t="shared" si="80"/>
        <v>-0.40220121303885853</v>
      </c>
      <c r="T24" s="635">
        <f t="shared" si="81"/>
        <v>-0.38556001427000836</v>
      </c>
      <c r="U24" s="629">
        <f t="shared" si="82"/>
        <v>-0.69044325444795618</v>
      </c>
      <c r="V24" s="636">
        <f t="shared" si="114"/>
        <v>-0.40220121303885853</v>
      </c>
      <c r="W24" s="585">
        <f t="shared" si="224"/>
        <v>240.81996522989894</v>
      </c>
      <c r="X24" s="629">
        <f t="shared" si="83"/>
        <v>0.79080238505999345</v>
      </c>
      <c r="Y24" s="630">
        <f t="shared" si="223"/>
        <v>-0.40220121303885853</v>
      </c>
      <c r="Z24" s="632">
        <f t="shared" si="6"/>
        <v>-0.42495075868149662</v>
      </c>
      <c r="AA24" s="629">
        <f t="shared" si="7"/>
        <v>-0.87000969481008184</v>
      </c>
      <c r="AB24" s="629">
        <f t="shared" si="8"/>
        <v>-0.2499999672649757</v>
      </c>
      <c r="AC24" s="636">
        <f t="shared" si="84"/>
        <v>1</v>
      </c>
      <c r="AD24" s="637">
        <f t="shared" si="115"/>
        <v>-0.42495075868149662</v>
      </c>
      <c r="AE24" s="629">
        <f t="shared" si="85"/>
        <v>-0.87000969481008184</v>
      </c>
      <c r="AF24" s="633">
        <f t="shared" si="86"/>
        <v>-0.2499999672649757</v>
      </c>
      <c r="AG24" s="602">
        <f t="shared" si="87"/>
        <v>-73.967832110835701</v>
      </c>
      <c r="AH24" s="603">
        <f t="shared" si="88"/>
        <v>115.14754663787646</v>
      </c>
      <c r="AI24" s="585">
        <f t="shared" si="89"/>
        <v>-75.522489751159455</v>
      </c>
      <c r="AJ24" s="586">
        <f t="shared" si="90"/>
        <v>-26.03290500662116</v>
      </c>
      <c r="AK24" s="635">
        <f>IF(M24="","",(COS(RADIANS((90-$Q$8)-W24))*AD24)+(-SIN(RADIANS((90-$Q$8)-W24))*AE24))</f>
        <v>0.96592583607220761</v>
      </c>
      <c r="AL24" s="629">
        <f t="shared" si="91"/>
        <v>6.6987279208207129E-2</v>
      </c>
      <c r="AM24" s="634">
        <f t="shared" si="92"/>
        <v>-0.2499999672649757</v>
      </c>
      <c r="AN24" s="581">
        <f t="shared" si="93"/>
        <v>14.999997834268251</v>
      </c>
      <c r="AO24" s="582">
        <f t="shared" si="94"/>
        <v>14.999997834268203</v>
      </c>
      <c r="AP24" s="585">
        <f t="shared" si="95"/>
        <v>3.9671296450865663</v>
      </c>
      <c r="AQ24" s="586">
        <f t="shared" si="9"/>
        <v>2.880372965500861</v>
      </c>
      <c r="AS24" s="52">
        <f t="shared" si="116"/>
        <v>-119.18003477010106</v>
      </c>
      <c r="AT24" s="72">
        <f t="shared" si="10"/>
        <v>-0.31886785564183928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3.1030000000000002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1.3266678540512504</v>
      </c>
      <c r="C25" s="708">
        <v>-0.76595311246297126</v>
      </c>
      <c r="D25" s="709">
        <v>-0.20370061436105291</v>
      </c>
      <c r="E25" s="710">
        <v>0.42495075868149662</v>
      </c>
      <c r="F25" s="708">
        <v>0.87000969481008184</v>
      </c>
      <c r="G25" s="711">
        <v>0.2499999672649757</v>
      </c>
      <c r="H25" s="710">
        <v>0.314</v>
      </c>
      <c r="I25" s="708">
        <v>0.52</v>
      </c>
      <c r="J25" s="570">
        <v>3.1059999999999999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3.1059999999999999</v>
      </c>
      <c r="N25" s="632">
        <f t="shared" si="2"/>
        <v>1.3266678540512504</v>
      </c>
      <c r="O25" s="629">
        <f t="shared" si="3"/>
        <v>-0.76595311246297126</v>
      </c>
      <c r="P25" s="633">
        <f t="shared" si="4"/>
        <v>-0.20370061436105291</v>
      </c>
      <c r="Q25" s="585">
        <f t="shared" si="113"/>
        <v>329.99996534829228</v>
      </c>
      <c r="R25" s="629">
        <f>IF(M25="","",SQRT(N25^2+O25^2))</f>
        <v>1.5319046202243347</v>
      </c>
      <c r="S25" s="634">
        <f>IF(M25="","",P25)</f>
        <v>-0.20370061436105291</v>
      </c>
      <c r="T25" s="635">
        <f>IF(M25="","",X25*COS(RADIANS(W25)))</f>
        <v>-0.74688844949446853</v>
      </c>
      <c r="U25" s="629">
        <f>IF(M25="","",X25*SIN(RADIANS(W25)))</f>
        <v>-1.3374937044623469</v>
      </c>
      <c r="V25" s="636">
        <f>IF(M25="","",Y25)</f>
        <v>-0.20370061436105291</v>
      </c>
      <c r="W25" s="585">
        <f t="shared" si="224"/>
        <v>240.81996522989894</v>
      </c>
      <c r="X25" s="629">
        <f>IF(M25="","",R25)</f>
        <v>1.5319046202243347</v>
      </c>
      <c r="Y25" s="630">
        <f t="shared" si="223"/>
        <v>-0.20370061436105291</v>
      </c>
      <c r="Z25" s="632">
        <f t="shared" si="6"/>
        <v>-0.42495075868149662</v>
      </c>
      <c r="AA25" s="629">
        <f t="shared" si="7"/>
        <v>-0.87000969481008184</v>
      </c>
      <c r="AB25" s="629">
        <f t="shared" si="8"/>
        <v>-0.2499999672649757</v>
      </c>
      <c r="AC25" s="636">
        <f>IF(M25="","",SQRT(Z25^2+AA25^2+AB25^2))</f>
        <v>1</v>
      </c>
      <c r="AD25" s="637">
        <f>IF(M25="","",Z25*(1/SQRT(Z25^2+AA25^2+AB25^2)))</f>
        <v>-0.42495075868149662</v>
      </c>
      <c r="AE25" s="629">
        <f>IF(M25="","",AA25*(1/SQRT(Z25^2+AA25^2+AB25^2)))</f>
        <v>-0.87000969481008184</v>
      </c>
      <c r="AF25" s="633">
        <f>IF(M25="","",AB25*(1/SQRT(Z25^2+AA25^2+AB25^2)))</f>
        <v>-0.2499999672649757</v>
      </c>
      <c r="AG25" s="602">
        <f>IF(M25="","",DEGREES(ATAN2(-AF25,AE25)))</f>
        <v>-73.967832110835701</v>
      </c>
      <c r="AH25" s="603">
        <f>IF(M25="","",DEGREES(ACOS(AD25)))</f>
        <v>115.14754663787646</v>
      </c>
      <c r="AI25" s="585">
        <f>IF(M25="","",DEGREES(-ACOS(-AF25)))</f>
        <v>-75.522489751159455</v>
      </c>
      <c r="AJ25" s="586">
        <f>IF(M25="","",DEGREES(ATAN2(-AE25,AD25)))</f>
        <v>-26.03290500662116</v>
      </c>
      <c r="AK25" s="635">
        <f>IF(M25="","",(COS(RADIANS((90-$Q$8)-W25))*AD25)+(-SIN(RADIANS((90-$Q$8)-W25))*AE25))</f>
        <v>0.96592583607220761</v>
      </c>
      <c r="AL25" s="629">
        <f>IF(M25="","",(SIN(RADIANS((90-$Q$8)-W25))*AD25)+(COS(RADIANS((90-$Q$8)-W25))*AE25))</f>
        <v>6.6987279208207129E-2</v>
      </c>
      <c r="AM25" s="634">
        <f>IF(M25="","",AF25)</f>
        <v>-0.2499999672649757</v>
      </c>
      <c r="AN25" s="581">
        <f>IF(M25="","",DEGREES(ATAN2(-AM25,AL25)))</f>
        <v>14.999997834268251</v>
      </c>
      <c r="AO25" s="582">
        <f>IF(ROUND(IF(M25="",0,DEGREES(ACOS(AK25))),4)=90,0,IF(M25="","",DEGREES(ACOS(AK25))))</f>
        <v>14.999997834268203</v>
      </c>
      <c r="AP25" s="585">
        <f>IF(M25="","",DEGREES(ATAN2(AK25,AL25)))</f>
        <v>3.9671296450865663</v>
      </c>
      <c r="AQ25" s="586">
        <f t="shared" si="9"/>
        <v>1.4878303533739292</v>
      </c>
      <c r="AS25" s="52">
        <f t="shared" si="116"/>
        <v>-119.18003477010106</v>
      </c>
      <c r="AT25" s="72">
        <f t="shared" si="10"/>
        <v>-0.12036725696403366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3.1059999999999999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1.9764654686699485</v>
      </c>
      <c r="C26" s="708">
        <v>-1.1646934390990589</v>
      </c>
      <c r="D26" s="709">
        <v>-5.0600152610060269E-2</v>
      </c>
      <c r="E26" s="710">
        <v>0.52882104561366983</v>
      </c>
      <c r="F26" s="708">
        <v>0.8083921148431279</v>
      </c>
      <c r="G26" s="711">
        <v>0.25855461778030614</v>
      </c>
      <c r="H26" s="710">
        <v>0.314</v>
      </c>
      <c r="I26" s="708">
        <v>0.52</v>
      </c>
      <c r="J26" s="570">
        <v>3.11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843"/>
      <c r="M26" s="168">
        <f t="shared" si="1"/>
        <v>3.11</v>
      </c>
      <c r="N26" s="632">
        <f t="shared" si="2"/>
        <v>1.9764654686699485</v>
      </c>
      <c r="O26" s="629">
        <f t="shared" si="3"/>
        <v>-1.1646934390990589</v>
      </c>
      <c r="P26" s="633">
        <f t="shared" si="4"/>
        <v>-5.0600152610060269E-2</v>
      </c>
      <c r="Q26" s="585">
        <f t="shared" si="113"/>
        <v>329.48996542192714</v>
      </c>
      <c r="R26" s="629">
        <f>IF(M26="","",SQRT(N26^2+O26^2))</f>
        <v>2.2941069190264676</v>
      </c>
      <c r="S26" s="634">
        <f>IF(M26="","",P26)</f>
        <v>-5.0600152610060269E-2</v>
      </c>
      <c r="T26" s="635">
        <f>IF(M26="","",X26*COS(RADIANS(W26)))</f>
        <v>-1.1362885512683325</v>
      </c>
      <c r="U26" s="629">
        <f>IF(M26="","",X26*SIN(RADIANS(W26)))</f>
        <v>-1.9929312291651275</v>
      </c>
      <c r="V26" s="636">
        <f>IF(M26="","",Y26)</f>
        <v>-5.0600152610060269E-2</v>
      </c>
      <c r="W26" s="585">
        <f t="shared" si="224"/>
        <v>240.3099653035338</v>
      </c>
      <c r="X26" s="629">
        <f>IF(M26="","",R26)</f>
        <v>2.2941069190264676</v>
      </c>
      <c r="Y26" s="630">
        <f t="shared" si="223"/>
        <v>-5.0600152610060269E-2</v>
      </c>
      <c r="Z26" s="632">
        <f t="shared" si="6"/>
        <v>-0.52882104561366983</v>
      </c>
      <c r="AA26" s="629">
        <f t="shared" si="7"/>
        <v>-0.8083921148431279</v>
      </c>
      <c r="AB26" s="629">
        <f t="shared" si="8"/>
        <v>-0.25855461778030614</v>
      </c>
      <c r="AC26" s="636">
        <f>IF(M26="","",SQRT(Z26^2+AA26^2+AB26^2))</f>
        <v>1</v>
      </c>
      <c r="AD26" s="637">
        <f>IF(M26="","",Z26*(1/SQRT(Z26^2+AA26^2+AB26^2)))</f>
        <v>-0.52882104561366983</v>
      </c>
      <c r="AE26" s="629">
        <f>IF(M26="","",AA26*(1/SQRT(Z26^2+AA26^2+AB26^2)))</f>
        <v>-0.8083921148431279</v>
      </c>
      <c r="AF26" s="633">
        <f>IF(M26="","",AB26*(1/SQRT(Z26^2+AA26^2+AB26^2)))</f>
        <v>-0.25855461778030614</v>
      </c>
      <c r="AG26" s="602">
        <f>IF(M26="","",DEGREES(ATAN2(-AF26,AE26)))</f>
        <v>-72.263742040780699</v>
      </c>
      <c r="AH26" s="603">
        <f>IF(M26="","",DEGREES(ACOS(AD26)))</f>
        <v>121.92583218871525</v>
      </c>
      <c r="AI26" s="585">
        <f>IF(M26="","",DEGREES(-ACOS(-AF26)))</f>
        <v>-75.015684448745745</v>
      </c>
      <c r="AJ26" s="586">
        <f>IF(M26="","",DEGREES(ATAN2(-AE26,AD26)))</f>
        <v>-33.191268408707316</v>
      </c>
      <c r="AK26" s="635">
        <f>IF(M26="","",(COS(RADIANS((90-$Q$8)-W26))*AD26)+(-SIN(RADIANS((90-$Q$8)-W26))*AE26))</f>
        <v>0.96493911598316351</v>
      </c>
      <c r="AL26" s="629">
        <f>IF(M26="","",(SIN(RADIANS((90-$Q$8)-W26))*AD26)+(COS(RADIANS((90-$Q$8)-W26))*AE26))</f>
        <v>-4.5188627663501457E-2</v>
      </c>
      <c r="AM26" s="634">
        <f>IF(M26="","",AF26)</f>
        <v>-0.25855461778030614</v>
      </c>
      <c r="AN26" s="581">
        <f>IF(M26="","",DEGREES(ATAN2(-AM26,AL26)))</f>
        <v>-9.9136815758495889</v>
      </c>
      <c r="AO26" s="582">
        <f t="shared" si="94"/>
        <v>15.216900223163494</v>
      </c>
      <c r="AP26" s="585">
        <f>IF(M26="","",DEGREES(ATAN2(AK26,AL26)))</f>
        <v>-2.6812338306344525</v>
      </c>
      <c r="AQ26" s="586">
        <f t="shared" si="9"/>
        <v>0.99363201677172275</v>
      </c>
      <c r="AS26" s="52">
        <f t="shared" si="116"/>
        <v>-119.6900346964662</v>
      </c>
      <c r="AT26" s="72">
        <f t="shared" si="10"/>
        <v>3.308737140249033E-2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2.5891127859213721</v>
      </c>
      <c r="C27" s="708">
        <v>-1.5872341426923062</v>
      </c>
      <c r="D27" s="709">
        <v>-0.27590083211690958</v>
      </c>
      <c r="E27" s="710">
        <v>0.65241941555692884</v>
      </c>
      <c r="F27" s="708">
        <v>0.72931267235171349</v>
      </c>
      <c r="G27" s="711">
        <v>0.20603866664186549</v>
      </c>
      <c r="H27" s="710">
        <v>0.314</v>
      </c>
      <c r="I27" s="708">
        <v>0.52</v>
      </c>
      <c r="J27" s="570">
        <v>3.1160000000000001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843"/>
      <c r="M27" s="168">
        <f t="shared" si="1"/>
        <v>3.1160000000000001</v>
      </c>
      <c r="N27" s="632">
        <f t="shared" si="2"/>
        <v>2.5891127859213721</v>
      </c>
      <c r="O27" s="629">
        <f t="shared" si="3"/>
        <v>-1.5872341426923062</v>
      </c>
      <c r="P27" s="633">
        <f t="shared" si="4"/>
        <v>-0.27590083211690958</v>
      </c>
      <c r="Q27" s="585">
        <f t="shared" si="113"/>
        <v>328.48996556630925</v>
      </c>
      <c r="R27" s="629">
        <f t="shared" si="79"/>
        <v>3.0369091593180242</v>
      </c>
      <c r="S27" s="634">
        <f t="shared" si="80"/>
        <v>-0.27590083211690958</v>
      </c>
      <c r="T27" s="635">
        <f t="shared" si="81"/>
        <v>-1.5500182582674555</v>
      </c>
      <c r="U27" s="629">
        <f t="shared" si="82"/>
        <v>-2.6115628732594649</v>
      </c>
      <c r="V27" s="636">
        <f t="shared" si="114"/>
        <v>-0.27590083211690958</v>
      </c>
      <c r="W27" s="585">
        <f t="shared" si="224"/>
        <v>239.30996544791591</v>
      </c>
      <c r="X27" s="629">
        <f t="shared" si="83"/>
        <v>3.0369091593180242</v>
      </c>
      <c r="Y27" s="630">
        <f t="shared" si="223"/>
        <v>-0.27590083211690958</v>
      </c>
      <c r="Z27" s="632">
        <f t="shared" si="6"/>
        <v>-0.65241941555692884</v>
      </c>
      <c r="AA27" s="629">
        <f t="shared" si="7"/>
        <v>-0.72931267235171349</v>
      </c>
      <c r="AB27" s="629">
        <f t="shared" si="8"/>
        <v>-0.20603866664186549</v>
      </c>
      <c r="AC27" s="636">
        <f t="shared" si="84"/>
        <v>1</v>
      </c>
      <c r="AD27" s="637">
        <f t="shared" si="115"/>
        <v>-0.65241941555692884</v>
      </c>
      <c r="AE27" s="629">
        <f t="shared" si="85"/>
        <v>-0.72931267235171349</v>
      </c>
      <c r="AF27" s="633">
        <f t="shared" si="86"/>
        <v>-0.20603866664186549</v>
      </c>
      <c r="AG27" s="602">
        <f t="shared" si="87"/>
        <v>-74.224443886647606</v>
      </c>
      <c r="AH27" s="603">
        <f t="shared" si="88"/>
        <v>130.72426478699882</v>
      </c>
      <c r="AI27" s="585">
        <f t="shared" si="89"/>
        <v>-78.109691640288787</v>
      </c>
      <c r="AJ27" s="586">
        <f t="shared" si="90"/>
        <v>-41.814780825489883</v>
      </c>
      <c r="AK27" s="635">
        <f t="shared" si="211"/>
        <v>0.96276015621889788</v>
      </c>
      <c r="AL27" s="629">
        <f t="shared" si="91"/>
        <v>-0.17504556391352954</v>
      </c>
      <c r="AM27" s="634">
        <f t="shared" si="92"/>
        <v>-0.20603866664186549</v>
      </c>
      <c r="AN27" s="581">
        <f t="shared" si="93"/>
        <v>-40.350439358387682</v>
      </c>
      <c r="AO27" s="582">
        <f t="shared" si="94"/>
        <v>15.68550868376926</v>
      </c>
      <c r="AP27" s="585">
        <f t="shared" si="95"/>
        <v>-10.304746391799156</v>
      </c>
      <c r="AQ27" s="586">
        <f t="shared" si="9"/>
        <v>0.75063035592187244</v>
      </c>
      <c r="AS27" s="52">
        <f t="shared" si="116"/>
        <v>-120.69003455208409</v>
      </c>
      <c r="AT27" s="72">
        <f t="shared" si="10"/>
        <v>-0.1915188637601799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3.1160000000000001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2.9915743008077436</v>
      </c>
      <c r="C28" s="708">
        <v>-1.8926591858281931</v>
      </c>
      <c r="D28" s="709">
        <v>-0.86540261005427188</v>
      </c>
      <c r="E28" s="710">
        <v>0.76669918483393484</v>
      </c>
      <c r="F28" s="708">
        <v>0.62099102647484994</v>
      </c>
      <c r="G28" s="711">
        <v>0.16291870676104733</v>
      </c>
      <c r="H28" s="710">
        <v>0.314</v>
      </c>
      <c r="I28" s="708">
        <v>0.52</v>
      </c>
      <c r="J28" s="570">
        <v>3.1219999999999999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3.1219999999999999</v>
      </c>
      <c r="N28" s="632">
        <f t="shared" si="2"/>
        <v>2.9915743008077436</v>
      </c>
      <c r="O28" s="629">
        <f t="shared" si="3"/>
        <v>-1.8926591858281931</v>
      </c>
      <c r="P28" s="633">
        <f t="shared" si="4"/>
        <v>-0.86540261005427188</v>
      </c>
      <c r="Q28" s="585">
        <f t="shared" si="113"/>
        <v>327.67996568325879</v>
      </c>
      <c r="R28" s="629">
        <f t="shared" si="79"/>
        <v>3.5400106766722015</v>
      </c>
      <c r="S28" s="634">
        <f t="shared" si="80"/>
        <v>-0.86540261005427188</v>
      </c>
      <c r="T28" s="635">
        <f t="shared" si="81"/>
        <v>-1.8496523116911006</v>
      </c>
      <c r="U28" s="629">
        <f t="shared" si="82"/>
        <v>-3.0183541735205539</v>
      </c>
      <c r="V28" s="636">
        <f t="shared" si="114"/>
        <v>-0.86540261005427188</v>
      </c>
      <c r="W28" s="585">
        <f t="shared" si="224"/>
        <v>238.49996556486545</v>
      </c>
      <c r="X28" s="629">
        <f t="shared" si="83"/>
        <v>3.5400106766722015</v>
      </c>
      <c r="Y28" s="630">
        <f t="shared" si="223"/>
        <v>-0.86540261005427188</v>
      </c>
      <c r="Z28" s="632">
        <f t="shared" si="6"/>
        <v>-0.76669918483393484</v>
      </c>
      <c r="AA28" s="629">
        <f t="shared" si="7"/>
        <v>-0.62099102647484994</v>
      </c>
      <c r="AB28" s="629">
        <f t="shared" si="8"/>
        <v>-0.16291870676104733</v>
      </c>
      <c r="AC28" s="636">
        <f t="shared" si="84"/>
        <v>1</v>
      </c>
      <c r="AD28" s="637">
        <f t="shared" si="115"/>
        <v>-0.76669918483393484</v>
      </c>
      <c r="AE28" s="629">
        <f t="shared" si="85"/>
        <v>-0.62099102647484994</v>
      </c>
      <c r="AF28" s="633">
        <f t="shared" si="86"/>
        <v>-0.16291870676104733</v>
      </c>
      <c r="AG28" s="602">
        <f t="shared" si="87"/>
        <v>-75.299589037244687</v>
      </c>
      <c r="AH28" s="603">
        <f t="shared" si="88"/>
        <v>140.05839680162146</v>
      </c>
      <c r="AI28" s="585">
        <f t="shared" si="89"/>
        <v>-80.62365080279119</v>
      </c>
      <c r="AJ28" s="586">
        <f t="shared" si="90"/>
        <v>-50.994120971227225</v>
      </c>
      <c r="AK28" s="635">
        <f t="shared" si="211"/>
        <v>0.93469804274370261</v>
      </c>
      <c r="AL28" s="629">
        <f t="shared" si="91"/>
        <v>-0.31590673287918319</v>
      </c>
      <c r="AM28" s="634">
        <f t="shared" si="92"/>
        <v>-0.16291870676104733</v>
      </c>
      <c r="AN28" s="581">
        <f t="shared" si="93"/>
        <v>-62.7190391152307</v>
      </c>
      <c r="AO28" s="582">
        <f t="shared" si="94"/>
        <v>20.820583694849603</v>
      </c>
      <c r="AP28" s="585">
        <f t="shared" si="95"/>
        <v>-18.674086654485997</v>
      </c>
      <c r="AQ28" s="586">
        <f t="shared" si="9"/>
        <v>0.64396151512665045</v>
      </c>
      <c r="AS28" s="52">
        <f t="shared" si="116"/>
        <v>-121.50003443513455</v>
      </c>
      <c r="AT28" s="72">
        <f t="shared" si="10"/>
        <v>-0.78045814177875716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3.1219999999999999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3.1553706798681525</v>
      </c>
      <c r="C29" s="708">
        <v>-2.0241595993726849</v>
      </c>
      <c r="D29" s="709">
        <v>-1.6043048385833931</v>
      </c>
      <c r="E29" s="710">
        <v>0.9232402729481437</v>
      </c>
      <c r="F29" s="708">
        <v>0.38095713495830213</v>
      </c>
      <c r="G29" s="711">
        <v>4.999059642572079E-2</v>
      </c>
      <c r="H29" s="710">
        <v>0.26600000000000001</v>
      </c>
      <c r="I29" s="708">
        <v>0.52</v>
      </c>
      <c r="J29" s="570">
        <v>3.1280000000000001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3.1280000000000001</v>
      </c>
      <c r="N29" s="632">
        <f t="shared" si="2"/>
        <v>3.1553706798681525</v>
      </c>
      <c r="O29" s="629">
        <f t="shared" si="3"/>
        <v>-2.0241595993726849</v>
      </c>
      <c r="P29" s="633">
        <f t="shared" si="4"/>
        <v>-1.6043048385833931</v>
      </c>
      <c r="Q29" s="585">
        <f t="shared" si="113"/>
        <v>327.31996573523634</v>
      </c>
      <c r="R29" s="629">
        <f>IF(M29="","",SQRT(N29^2+O29^2))</f>
        <v>3.7488113064149009</v>
      </c>
      <c r="S29" s="634">
        <f>IF(M29="","",P29)</f>
        <v>-1.6043048385833931</v>
      </c>
      <c r="T29" s="635">
        <f>IF(M29="","",X29*COS(RADIANS(W29)))</f>
        <v>-1.97879513394597</v>
      </c>
      <c r="U29" s="629">
        <f>IF(M29="","",X29*SIN(RADIANS(W29)))</f>
        <v>-3.1840157080290838</v>
      </c>
      <c r="V29" s="636">
        <f>IF(M29="","",Y29)</f>
        <v>-1.6043048385833931</v>
      </c>
      <c r="W29" s="585">
        <f t="shared" si="224"/>
        <v>238.139965616843</v>
      </c>
      <c r="X29" s="629">
        <f>IF(M29="","",R29)</f>
        <v>3.7488113064149009</v>
      </c>
      <c r="Y29" s="630">
        <f t="shared" si="223"/>
        <v>-1.6043048385833931</v>
      </c>
      <c r="Z29" s="632">
        <f t="shared" si="6"/>
        <v>-0.9232402729481437</v>
      </c>
      <c r="AA29" s="629">
        <f t="shared" si="7"/>
        <v>-0.38095713495830213</v>
      </c>
      <c r="AB29" s="629">
        <f t="shared" si="8"/>
        <v>-4.999059642572079E-2</v>
      </c>
      <c r="AC29" s="636">
        <f>IF(M29="","",SQRT(Z29^2+AA29^2+AB29^2))</f>
        <v>1</v>
      </c>
      <c r="AD29" s="637">
        <f>IF(M29="","",Z29*(1/SQRT(Z29^2+AA29^2+AB29^2)))</f>
        <v>-0.9232402729481437</v>
      </c>
      <c r="AE29" s="629">
        <f>IF(M29="","",AA29*(1/SQRT(Z29^2+AA29^2+AB29^2)))</f>
        <v>-0.38095713495830213</v>
      </c>
      <c r="AF29" s="633">
        <f>IF(M29="","",AB29*(1/SQRT(Z29^2+AA29^2+AB29^2)))</f>
        <v>-4.999059642572079E-2</v>
      </c>
      <c r="AG29" s="602">
        <f>IF(M29="","",DEGREES(ATAN2(-AF29,AE29)))</f>
        <v>-82.524152295403169</v>
      </c>
      <c r="AH29" s="603">
        <f>IF(M29="","",DEGREES(ACOS(AD29)))</f>
        <v>157.40448153858145</v>
      </c>
      <c r="AI29" s="585">
        <f>IF(M29="","",DEGREES(-ACOS(-AF29)))</f>
        <v>-87.134555477139358</v>
      </c>
      <c r="AJ29" s="586">
        <f>IF(M29="","",DEGREES(ATAN2(-AE29,AD29)))</f>
        <v>-67.577460889556306</v>
      </c>
      <c r="AK29" s="635">
        <f>IF(M29="","",(COS(RADIANS((90-$Q$8)-W29))*AD29)+(-SIN(RADIANS((90-$Q$8)-W29))*AE29))</f>
        <v>0.81915209487729213</v>
      </c>
      <c r="AL29" s="629">
        <f>IF(M29="","",(SIN(RADIANS((90-$Q$8)-W29))*AD29)+(COS(RADIANS((90-$Q$8)-W29))*AE29))</f>
        <v>-0.57139372216287476</v>
      </c>
      <c r="AM29" s="634">
        <f>IF(M29="","",AF29)</f>
        <v>-4.999059642572079E-2</v>
      </c>
      <c r="AN29" s="581">
        <f>IF(M29="","",DEGREES(ATAN2(-AM29,AL29)))</f>
        <v>-84.999987727520178</v>
      </c>
      <c r="AO29" s="582">
        <f t="shared" si="94"/>
        <v>34.999994946625939</v>
      </c>
      <c r="AP29" s="585">
        <f>IF(M29="","",DEGREES(ATAN2(AK29,AL29)))</f>
        <v>-34.897426624792629</v>
      </c>
      <c r="AQ29" s="586">
        <f t="shared" si="9"/>
        <v>0.60809703324445974</v>
      </c>
      <c r="AS29" s="52">
        <f t="shared" si="116"/>
        <v>-121.860034383157</v>
      </c>
      <c r="AT29" s="72">
        <f t="shared" si="10"/>
        <v>-1.5191103703439739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3.1280000000000001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1.9295211887904451</v>
      </c>
      <c r="C30" s="708">
        <v>-2.3649865175598763</v>
      </c>
      <c r="D30" s="709">
        <v>-0.30323240187411898</v>
      </c>
      <c r="E30" s="710">
        <v>0.24639683123062422</v>
      </c>
      <c r="F30" s="708">
        <v>-0.30200471235099252</v>
      </c>
      <c r="G30" s="711">
        <v>0.92091354386679625</v>
      </c>
      <c r="H30" s="710">
        <v>0.26250000000000001</v>
      </c>
      <c r="I30" s="708">
        <v>0.40699999999999997</v>
      </c>
      <c r="J30" s="570">
        <v>3.2160000000000002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3.2160000000000002</v>
      </c>
      <c r="N30" s="632">
        <f t="shared" si="2"/>
        <v>1.9295211887904451</v>
      </c>
      <c r="O30" s="629">
        <f t="shared" si="3"/>
        <v>-2.3649865175598763</v>
      </c>
      <c r="P30" s="633">
        <f t="shared" si="4"/>
        <v>-0.30323240187411898</v>
      </c>
      <c r="Q30" s="585">
        <f t="shared" si="113"/>
        <v>309.20996834999647</v>
      </c>
      <c r="R30" s="629">
        <f>IF(M30="","",SQRT(N30^2+O30^2))</f>
        <v>3.0522472452655736</v>
      </c>
      <c r="S30" s="634">
        <f>IF(M30="","",P30)</f>
        <v>-0.30323240187411898</v>
      </c>
      <c r="T30" s="635">
        <f>IF(M30="","",X30*COS(RADIANS(W30)))</f>
        <v>-2.3371305364080848</v>
      </c>
      <c r="U30" s="629">
        <f>IF(M30="","",X30*SIN(RADIANS(W30)))</f>
        <v>-1.9631694022727992</v>
      </c>
      <c r="V30" s="636">
        <f>IF(M30="","",Y30)</f>
        <v>-0.30323240187411898</v>
      </c>
      <c r="W30" s="585">
        <f t="shared" si="224"/>
        <v>220.02996823160314</v>
      </c>
      <c r="X30" s="629">
        <f>IF(M30="","",R30)</f>
        <v>3.0522472452655736</v>
      </c>
      <c r="Y30" s="630">
        <f t="shared" si="223"/>
        <v>-0.30323240187411898</v>
      </c>
      <c r="Z30" s="632">
        <f t="shared" si="6"/>
        <v>-0.24639683123062422</v>
      </c>
      <c r="AA30" s="629">
        <f t="shared" si="7"/>
        <v>0.30200471235099252</v>
      </c>
      <c r="AB30" s="629">
        <f t="shared" si="8"/>
        <v>-0.92091354386679625</v>
      </c>
      <c r="AC30" s="636">
        <f>IF(M30="","",SQRT(Z30^2+AA30^2+AB30^2))</f>
        <v>1</v>
      </c>
      <c r="AD30" s="637">
        <f>IF(M30="","",Z30*(1/SQRT(Z30^2+AA30^2+AB30^2)))</f>
        <v>-0.24639683123062422</v>
      </c>
      <c r="AE30" s="629">
        <f>IF(M30="","",AA30*(1/SQRT(Z30^2+AA30^2+AB30^2)))</f>
        <v>0.30200471235099252</v>
      </c>
      <c r="AF30" s="633">
        <f>IF(M30="","",AB30*(1/SQRT(Z30^2+AA30^2+AB30^2)))</f>
        <v>-0.92091354386679625</v>
      </c>
      <c r="AG30" s="602">
        <f>IF(M30="","",DEGREES(ATAN2(-AF30,AE30)))</f>
        <v>18.156404830991757</v>
      </c>
      <c r="AH30" s="603">
        <f>IF(M30="","",DEGREES(ACOS(AD30)))</f>
        <v>104.26439714351098</v>
      </c>
      <c r="AI30" s="585">
        <f>IF(M30="","",DEGREES(-ACOS(-AF30)))</f>
        <v>-22.939996687877741</v>
      </c>
      <c r="AJ30" s="586">
        <f>IF(M30="","",DEGREES(ATAN2(-AE30,AD30)))</f>
        <v>-140.7899983111283</v>
      </c>
      <c r="AK30" s="635">
        <f>IF(M30="","",(COS(RADIANS((90-$Q$8)-W30))*AD30)+(-SIN(RADIANS((90-$Q$8)-W30))*AE30))</f>
        <v>2.2679489669608088E-7</v>
      </c>
      <c r="AL30" s="629">
        <f>IF(M30="","",(SIN(RADIANS((90-$Q$8)-W30))*AD30)+(COS(RADIANS((90-$Q$8)-W30))*AE30))</f>
        <v>-0.38976691075904202</v>
      </c>
      <c r="AM30" s="634">
        <f>IF(M30="","",AF30)</f>
        <v>-0.92091354386679625</v>
      </c>
      <c r="AN30" s="581">
        <f>IF(M30="","",DEGREES(ATAN2(-AM30,AL30)))</f>
        <v>-22.939996687874277</v>
      </c>
      <c r="AO30" s="582">
        <f>IF(ROUND(IF(M30="",0,DEGREES(ACOS(AK30))),4)=90,0,IF(M30="","",DEGREES(ACOS(AK30))))</f>
        <v>0</v>
      </c>
      <c r="AP30" s="585">
        <f>IF(M30="","",DEGREES(ATAN2(AK30,AL30)))</f>
        <v>-89.999966661124802</v>
      </c>
      <c r="AQ30" s="586">
        <f t="shared" si="9"/>
        <v>0.7468587330617118</v>
      </c>
      <c r="AS30" s="52">
        <f t="shared" si="116"/>
        <v>-139.97003176839686</v>
      </c>
      <c r="AT30" s="72">
        <f t="shared" si="10"/>
        <v>-0.20546154656161653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3.2160000000000002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3.1160000000000001</v>
      </c>
      <c r="II30" s="734" cm="1">
        <f t="array" ref="II30">IFERROR(ROUND(VALUE(IF($IH30&lt;1,$IH30+LARGE((IF($M$9:$M$150="",0,$M$9:$M$150)-MOD(IF($M$9:$M$150="",0,$M$9:$M$150),1)),1),$IH30)),4),"")</f>
        <v>3.1160000000000001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19.279997216312779</v>
      </c>
      <c r="IM30" s="759">
        <v>3.2967688119669901E-2</v>
      </c>
      <c r="IN30" s="5">
        <f t="shared" si="226"/>
        <v>1.18</v>
      </c>
      <c r="IO30" s="771">
        <v>590</v>
      </c>
      <c r="IP30" s="9">
        <f t="shared" si="227"/>
        <v>-3.0369091593180242</v>
      </c>
      <c r="IQ30" s="5">
        <f t="shared" si="228"/>
        <v>-0.27590083211690958</v>
      </c>
      <c r="IR30" s="5">
        <f t="shared" si="71"/>
        <v>0.314</v>
      </c>
      <c r="IS30" s="5">
        <f t="shared" si="229"/>
        <v>0.30230668905273395</v>
      </c>
      <c r="IT30" s="727">
        <f t="shared" si="230"/>
        <v>40.350439358387682</v>
      </c>
      <c r="IU30" s="9">
        <f t="shared" si="231"/>
        <v>-3.0522472452655736</v>
      </c>
      <c r="IV30" s="5">
        <f t="shared" si="232"/>
        <v>-0.30323240187411898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22.939996687874277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12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550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2.346965573622573</v>
      </c>
      <c r="C31" s="708">
        <v>-2.6799762696994156</v>
      </c>
      <c r="D31" s="709">
        <v>-0.90712949946868926</v>
      </c>
      <c r="E31" s="710">
        <v>0.47295626873303948</v>
      </c>
      <c r="F31" s="708">
        <v>-0.54006363924848289</v>
      </c>
      <c r="G31" s="711">
        <v>0.6961635105546724</v>
      </c>
      <c r="H31" s="710">
        <v>0.26250000000000001</v>
      </c>
      <c r="I31" s="708">
        <v>0.40699999999999997</v>
      </c>
      <c r="J31" s="570">
        <v>3.222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Inactive</v>
      </c>
      <c r="L31" s="320"/>
      <c r="M31" s="168">
        <f t="shared" si="1"/>
        <v>3.222</v>
      </c>
      <c r="N31" s="632">
        <f t="shared" si="2"/>
        <v>2.346965573622573</v>
      </c>
      <c r="O31" s="629">
        <f t="shared" si="3"/>
        <v>-2.6799762696994156</v>
      </c>
      <c r="P31" s="633">
        <f t="shared" si="4"/>
        <v>-0.90712949946868926</v>
      </c>
      <c r="Q31" s="585">
        <f t="shared" si="113"/>
        <v>311.20996806123225</v>
      </c>
      <c r="R31" s="629">
        <f>IF(M31="","",SQRT(N31^2+O31^2))</f>
        <v>3.562375641327221</v>
      </c>
      <c r="S31" s="634">
        <f>IF(M31="","",P31)</f>
        <v>-0.90712949946868926</v>
      </c>
      <c r="T31" s="635">
        <f>IF(M31="","",X31*COS(RADIANS(W31)))</f>
        <v>-2.646113896320994</v>
      </c>
      <c r="U31" s="629">
        <f>IF(M31="","",X31*SIN(RADIANS(W31)))</f>
        <v>-2.3850789206268326</v>
      </c>
      <c r="V31" s="636">
        <f>IF(M31="","",Y31)</f>
        <v>-0.90712949946868926</v>
      </c>
      <c r="W31" s="585">
        <f t="shared" si="224"/>
        <v>222.02996794283891</v>
      </c>
      <c r="X31" s="629">
        <f>IF(M31="","",R31)</f>
        <v>3.562375641327221</v>
      </c>
      <c r="Y31" s="630">
        <f t="shared" si="223"/>
        <v>-0.90712949946868926</v>
      </c>
      <c r="Z31" s="632">
        <f t="shared" si="6"/>
        <v>-0.47295626873303948</v>
      </c>
      <c r="AA31" s="629">
        <f t="shared" si="7"/>
        <v>0.54006363924848289</v>
      </c>
      <c r="AB31" s="629">
        <f t="shared" si="8"/>
        <v>-0.6961635105546724</v>
      </c>
      <c r="AC31" s="636">
        <f>IF(M31="","",SQRT(Z31^2+AA31^2+AB31^2))</f>
        <v>1</v>
      </c>
      <c r="AD31" s="637">
        <f>IF(M31="","",Z31*(1/SQRT(Z31^2+AA31^2+AB31^2)))</f>
        <v>-0.47295626873303948</v>
      </c>
      <c r="AE31" s="629">
        <f>IF(M31="","",AA31*(1/SQRT(Z31^2+AA31^2+AB31^2)))</f>
        <v>0.54006363924848289</v>
      </c>
      <c r="AF31" s="633">
        <f>IF(M31="","",AB31*(1/SQRT(Z31^2+AA31^2+AB31^2)))</f>
        <v>-0.6961635105546724</v>
      </c>
      <c r="AG31" s="602">
        <f>IF(M31="","",DEGREES(ATAN2(-AF31,AE31)))</f>
        <v>37.803281696681566</v>
      </c>
      <c r="AH31" s="603">
        <f>IF(M31="","",DEGREES(ACOS(AD31)))</f>
        <v>118.22636609159075</v>
      </c>
      <c r="AI31" s="585">
        <f>IF(M31="","",DEGREES(-ACOS(-AF31)))</f>
        <v>-45.879993375749983</v>
      </c>
      <c r="AJ31" s="586">
        <f>IF(M31="","",DEGREES(ATAN2(-AE31,AD31)))</f>
        <v>-138.79001383778782</v>
      </c>
      <c r="AK31" s="635">
        <f>IF(M31="","",(COS(RADIANS((90-$Q$8)-W31))*AD31)+(-SIN(RADIANS((90-$Q$8)-W31))*AE31))</f>
        <v>2.2679489652954743E-7</v>
      </c>
      <c r="AL31" s="629">
        <f>IF(M31="","",(SIN(RADIANS((90-$Q$8)-W31))*AD31)+(COS(RADIANS((90-$Q$8)-W31))*AE31))</f>
        <v>-0.71788325413826382</v>
      </c>
      <c r="AM31" s="634">
        <f>IF(M31="","",AF31)</f>
        <v>-0.6961635105546724</v>
      </c>
      <c r="AN31" s="581">
        <f>IF(M31="","",DEGREES(ATAN2(-AM31,AL31)))</f>
        <v>-45.879993375748555</v>
      </c>
      <c r="AO31" s="582">
        <f t="shared" si="94"/>
        <v>0</v>
      </c>
      <c r="AP31" s="585">
        <f>IF(M31="","",DEGREES(ATAN2(AK31,AL31)))</f>
        <v>-89.999981899020057</v>
      </c>
      <c r="AQ31" s="586">
        <f t="shared" si="9"/>
        <v>0.63991899503897753</v>
      </c>
      <c r="AS31" s="52">
        <f t="shared" si="116"/>
        <v>-137.97003205716109</v>
      </c>
      <c r="AT31" s="72">
        <f t="shared" si="10"/>
        <v>-0.81074753284454504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3.222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3.1219999999999999</v>
      </c>
      <c r="II31" s="734" cm="1">
        <f t="array" ref="II31">IFERROR(ROUND(VALUE(IF($IH31&lt;1,$IH31+LARGE((IF($M$9:$M$150="",0,$M$9:$M$150)-MOD(IF($M$9:$M$150="",0,$M$9:$M$150),1)),1),$IH31)),4),"")</f>
        <v>3.1219999999999999</v>
      </c>
      <c r="IJ31" s="533">
        <f t="shared" si="112"/>
        <v>1613</v>
      </c>
      <c r="IK31" s="533" t="str">
        <f t="shared" si="66"/>
        <v>Inactive</v>
      </c>
      <c r="IL31" s="727">
        <f t="shared" si="225"/>
        <v>16.46999762202654</v>
      </c>
      <c r="IM31" s="759">
        <v>7.7250850650621896E-3</v>
      </c>
      <c r="IN31" s="5">
        <f t="shared" si="226"/>
        <v>1.36</v>
      </c>
      <c r="IO31" s="771">
        <v>680</v>
      </c>
      <c r="IP31" s="9">
        <f t="shared" si="227"/>
        <v>-3.5400106766722015</v>
      </c>
      <c r="IQ31" s="5">
        <f t="shared" si="228"/>
        <v>-0.86540261005427188</v>
      </c>
      <c r="IR31" s="5">
        <f t="shared" si="71"/>
        <v>0.314</v>
      </c>
      <c r="IS31" s="5">
        <f t="shared" si="229"/>
        <v>0.29349518542152264</v>
      </c>
      <c r="IT31" s="727">
        <f t="shared" si="230"/>
        <v>62.7190391152307</v>
      </c>
      <c r="IU31" s="9">
        <f t="shared" si="231"/>
        <v>-3.562375641327221</v>
      </c>
      <c r="IV31" s="5">
        <f t="shared" si="232"/>
        <v>-0.90712949946868926</v>
      </c>
      <c r="IW31" s="5">
        <f t="shared" si="76"/>
        <v>0.26250000000000001</v>
      </c>
      <c r="IX31" s="5">
        <f t="shared" si="233"/>
        <v>0.26250000000000001</v>
      </c>
      <c r="IY31" s="762">
        <f t="shared" si="234"/>
        <v>45.879993375748555</v>
      </c>
    </row>
    <row r="32" spans="1:269" ht="15" customHeight="1" x14ac:dyDescent="0.25">
      <c r="A32" s="79"/>
      <c r="B32" s="707">
        <v>-1.3976072621984694E-2</v>
      </c>
      <c r="C32" s="708">
        <v>-2.1640613968557472</v>
      </c>
      <c r="D32" s="709">
        <v>-5.5600167690105756E-2</v>
      </c>
      <c r="E32" s="710">
        <v>0.96502650037823789</v>
      </c>
      <c r="F32" s="708">
        <v>-3.3128702514188306E-2</v>
      </c>
      <c r="G32" s="711">
        <v>0.26005065398390642</v>
      </c>
      <c r="H32" s="710">
        <v>0.314</v>
      </c>
      <c r="I32" s="708">
        <v>0.52</v>
      </c>
      <c r="J32" s="570">
        <v>4.109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4.109</v>
      </c>
      <c r="N32" s="632">
        <f t="shared" si="2"/>
        <v>-1.3976072621984694E-2</v>
      </c>
      <c r="O32" s="629">
        <f t="shared" si="3"/>
        <v>-2.1640613968557472</v>
      </c>
      <c r="P32" s="633">
        <f t="shared" si="4"/>
        <v>-5.5600167690105756E-2</v>
      </c>
      <c r="Q32" s="585">
        <f t="shared" si="113"/>
        <v>269.62997406464058</v>
      </c>
      <c r="R32" s="629">
        <f t="shared" si="79"/>
        <v>2.164106526945285</v>
      </c>
      <c r="S32" s="634">
        <f t="shared" si="80"/>
        <v>-5.5600167690105756E-2</v>
      </c>
      <c r="T32" s="635">
        <f t="shared" si="81"/>
        <v>-2.164039788531638</v>
      </c>
      <c r="U32" s="629">
        <f t="shared" si="82"/>
        <v>-1.6995694134916282E-2</v>
      </c>
      <c r="V32" s="636">
        <f t="shared" si="114"/>
        <v>-5.5600167690105756E-2</v>
      </c>
      <c r="W32" s="585">
        <f t="shared" si="224"/>
        <v>180.44997394624724</v>
      </c>
      <c r="X32" s="629">
        <f t="shared" si="83"/>
        <v>2.164106526945285</v>
      </c>
      <c r="Y32" s="630">
        <f t="shared" si="223"/>
        <v>-5.5600167690105756E-2</v>
      </c>
      <c r="Z32" s="632">
        <f t="shared" si="6"/>
        <v>-0.96502650037823789</v>
      </c>
      <c r="AA32" s="629">
        <f t="shared" si="7"/>
        <v>3.3128702514188306E-2</v>
      </c>
      <c r="AB32" s="629">
        <f t="shared" si="8"/>
        <v>-0.26005065398390642</v>
      </c>
      <c r="AC32" s="636">
        <f t="shared" si="84"/>
        <v>1</v>
      </c>
      <c r="AD32" s="637">
        <f t="shared" si="115"/>
        <v>-0.96502650037823789</v>
      </c>
      <c r="AE32" s="629">
        <f t="shared" si="85"/>
        <v>3.3128702514188306E-2</v>
      </c>
      <c r="AF32" s="633">
        <f t="shared" si="86"/>
        <v>-0.26005065398390642</v>
      </c>
      <c r="AG32" s="602">
        <f t="shared" si="87"/>
        <v>7.2599908639588051</v>
      </c>
      <c r="AH32" s="603">
        <f t="shared" si="88"/>
        <v>164.80218672811739</v>
      </c>
      <c r="AI32" s="585">
        <f t="shared" si="89"/>
        <v>-74.926932206711982</v>
      </c>
      <c r="AJ32" s="586">
        <f t="shared" si="90"/>
        <v>-91.966152959410294</v>
      </c>
      <c r="AK32" s="635">
        <f t="shared" si="211"/>
        <v>0.96522032513437606</v>
      </c>
      <c r="AL32" s="629">
        <f t="shared" si="91"/>
        <v>-2.6895748921197872E-2</v>
      </c>
      <c r="AM32" s="634">
        <f t="shared" si="92"/>
        <v>-0.26005065398390642</v>
      </c>
      <c r="AN32" s="581">
        <f t="shared" si="93"/>
        <v>-5.9048238096395176</v>
      </c>
      <c r="AO32" s="582">
        <f t="shared" si="94"/>
        <v>15.155393298935271</v>
      </c>
      <c r="AP32" s="585">
        <f t="shared" si="95"/>
        <v>-1.5961270240508647</v>
      </c>
      <c r="AQ32" s="586">
        <f t="shared" si="9"/>
        <v>1.0533075793948179</v>
      </c>
      <c r="AS32" s="52">
        <f t="shared" si="116"/>
        <v>-179.55002605375276</v>
      </c>
      <c r="AT32" s="72">
        <f t="shared" si="10"/>
        <v>6.965679476500497E-2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4.109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-6.8363710943814562E-2</v>
      </c>
      <c r="C33" s="708">
        <v>-2.922509339731592</v>
      </c>
      <c r="D33" s="709">
        <v>-0.20910063064750203</v>
      </c>
      <c r="E33" s="710">
        <v>0.95924374225646658</v>
      </c>
      <c r="F33" s="708">
        <v>-0.1785141462401385</v>
      </c>
      <c r="G33" s="711">
        <v>0.21905283046325635</v>
      </c>
      <c r="H33" s="710">
        <v>0.314</v>
      </c>
      <c r="I33" s="708">
        <v>0.52</v>
      </c>
      <c r="J33" s="570">
        <v>4.1150000000000002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4.1150000000000002</v>
      </c>
      <c r="N33" s="632">
        <f t="shared" si="2"/>
        <v>-6.8363710943814562E-2</v>
      </c>
      <c r="O33" s="629">
        <f t="shared" si="3"/>
        <v>-2.922509339731592</v>
      </c>
      <c r="P33" s="633">
        <f t="shared" si="4"/>
        <v>-0.20910063064750203</v>
      </c>
      <c r="Q33" s="585">
        <f t="shared" si="113"/>
        <v>268.65997420469125</v>
      </c>
      <c r="R33" s="629">
        <f t="shared" si="79"/>
        <v>2.9233088166993912</v>
      </c>
      <c r="S33" s="634">
        <f t="shared" si="80"/>
        <v>-0.20910063064750203</v>
      </c>
      <c r="T33" s="635">
        <f t="shared" si="81"/>
        <v>-2.9231884111715019</v>
      </c>
      <c r="U33" s="629">
        <f t="shared" si="82"/>
        <v>2.6532067108040742E-2</v>
      </c>
      <c r="V33" s="636">
        <f t="shared" si="114"/>
        <v>-0.20910063064750203</v>
      </c>
      <c r="W33" s="585">
        <f t="shared" si="224"/>
        <v>179.47997408629791</v>
      </c>
      <c r="X33" s="629">
        <f t="shared" si="83"/>
        <v>2.9233088166993912</v>
      </c>
      <c r="Y33" s="630">
        <f t="shared" si="223"/>
        <v>-0.20910063064750203</v>
      </c>
      <c r="Z33" s="632">
        <f t="shared" si="6"/>
        <v>-0.95924374225646658</v>
      </c>
      <c r="AA33" s="629">
        <f t="shared" si="7"/>
        <v>0.1785141462401385</v>
      </c>
      <c r="AB33" s="629">
        <f t="shared" si="8"/>
        <v>-0.21905283046325635</v>
      </c>
      <c r="AC33" s="636">
        <f t="shared" si="84"/>
        <v>1</v>
      </c>
      <c r="AD33" s="637">
        <f t="shared" si="115"/>
        <v>-0.95924374225646658</v>
      </c>
      <c r="AE33" s="629">
        <f t="shared" si="85"/>
        <v>0.1785141462401385</v>
      </c>
      <c r="AF33" s="633">
        <f t="shared" si="86"/>
        <v>-0.21905283046325635</v>
      </c>
      <c r="AG33" s="602">
        <f t="shared" si="87"/>
        <v>39.177847731458002</v>
      </c>
      <c r="AH33" s="603">
        <f t="shared" si="88"/>
        <v>163.58575372368858</v>
      </c>
      <c r="AI33" s="585">
        <f t="shared" si="89"/>
        <v>-77.346592727914697</v>
      </c>
      <c r="AJ33" s="586">
        <f t="shared" si="90"/>
        <v>-100.54208150577614</v>
      </c>
      <c r="AK33" s="635">
        <f t="shared" si="211"/>
        <v>0.96315608848180168</v>
      </c>
      <c r="AL33" s="629">
        <f t="shared" si="91"/>
        <v>-0.15603271030931853</v>
      </c>
      <c r="AM33" s="634">
        <f t="shared" si="92"/>
        <v>-0.21905283046325635</v>
      </c>
      <c r="AN33" s="581">
        <f t="shared" si="93"/>
        <v>-35.462510121780724</v>
      </c>
      <c r="AO33" s="582">
        <f t="shared" si="94"/>
        <v>15.601380203752052</v>
      </c>
      <c r="AP33" s="585">
        <f t="shared" si="95"/>
        <v>-9.2020557104673948</v>
      </c>
      <c r="AQ33" s="586">
        <f t="shared" si="9"/>
        <v>0.77979646123919855</v>
      </c>
      <c r="AS33" s="52">
        <f t="shared" si="116"/>
        <v>-180.52002591370209</v>
      </c>
      <c r="AT33" s="72">
        <f t="shared" si="10"/>
        <v>-8.3170057178537621E-2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4.1150000000000002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-0.13544732449383995</v>
      </c>
      <c r="C34" s="708">
        <v>-3.4782742733056926</v>
      </c>
      <c r="D34" s="709">
        <v>-0.74880225838761139</v>
      </c>
      <c r="E34" s="710">
        <v>0.93462411191907102</v>
      </c>
      <c r="F34" s="708">
        <v>-0.31708849595307437</v>
      </c>
      <c r="G34" s="711">
        <v>0.16103619206161415</v>
      </c>
      <c r="H34" s="710">
        <v>0.314</v>
      </c>
      <c r="I34" s="708">
        <v>0.52</v>
      </c>
      <c r="J34" s="570">
        <v>4.1210000000000004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4.1210000000000004</v>
      </c>
      <c r="N34" s="632">
        <f t="shared" si="2"/>
        <v>-0.13544732449383995</v>
      </c>
      <c r="O34" s="629">
        <f t="shared" si="3"/>
        <v>-3.4782742733056926</v>
      </c>
      <c r="P34" s="633">
        <f t="shared" si="4"/>
        <v>-0.74880225838761139</v>
      </c>
      <c r="Q34" s="585">
        <f t="shared" si="113"/>
        <v>267.76997433319133</v>
      </c>
      <c r="R34" s="629">
        <f>IF(M34="","",SQRT(N34^2+O34^2))</f>
        <v>3.4809104984260633</v>
      </c>
      <c r="S34" s="634">
        <f>IF(M34="","",P34)</f>
        <v>-0.74880225838761139</v>
      </c>
      <c r="T34" s="635">
        <f>IF(M34="","",X34*COS(RADIANS(W34)))</f>
        <v>-3.4798564761559945</v>
      </c>
      <c r="U34" s="629">
        <f>IF(M34="","",X34*SIN(RADIANS(W34)))</f>
        <v>8.5655142332308767E-2</v>
      </c>
      <c r="V34" s="636">
        <f>IF(M34="","",Y34)</f>
        <v>-0.74880225838761139</v>
      </c>
      <c r="W34" s="585">
        <f t="shared" si="224"/>
        <v>178.58997421479799</v>
      </c>
      <c r="X34" s="629">
        <f>IF(M34="","",R34)</f>
        <v>3.4809104984260633</v>
      </c>
      <c r="Y34" s="630">
        <f t="shared" si="223"/>
        <v>-0.74880225838761139</v>
      </c>
      <c r="Z34" s="632">
        <f t="shared" si="6"/>
        <v>-0.93462411191907102</v>
      </c>
      <c r="AA34" s="629">
        <f t="shared" si="7"/>
        <v>0.31708849595307437</v>
      </c>
      <c r="AB34" s="629">
        <f t="shared" si="8"/>
        <v>-0.16103619206161415</v>
      </c>
      <c r="AC34" s="636">
        <f>IF(M34="","",SQRT(Z34^2+AA34^2+AB34^2))</f>
        <v>1</v>
      </c>
      <c r="AD34" s="637">
        <f>IF(M34="","",Z34*(1/SQRT(Z34^2+AA34^2+AB34^2)))</f>
        <v>-0.93462411191907102</v>
      </c>
      <c r="AE34" s="629">
        <f>IF(M34="","",AA34*(1/SQRT(Z34^2+AA34^2+AB34^2)))</f>
        <v>0.31708849595307437</v>
      </c>
      <c r="AF34" s="633">
        <f>IF(M34="","",AB34*(1/SQRT(Z34^2+AA34^2+AB34^2)))</f>
        <v>-0.16103619206161415</v>
      </c>
      <c r="AG34" s="602">
        <f>IF(M34="","",DEGREES(ATAN2(-AF34,AE34)))</f>
        <v>63.075860185181853</v>
      </c>
      <c r="AH34" s="603">
        <f>IF(M34="","",DEGREES(ACOS(AD34)))</f>
        <v>159.16750224556122</v>
      </c>
      <c r="AI34" s="585">
        <f>IF(M34="","",DEGREES(-ACOS(-AF34)))</f>
        <v>-80.73295438040671</v>
      </c>
      <c r="AJ34" s="586">
        <f>IF(M34="","",DEGREES(ATAN2(-AE34,AD34)))</f>
        <v>-108.74045460203669</v>
      </c>
      <c r="AK34" s="635">
        <f>IF(M34="","",(COS(RADIANS((90-$Q$8)-W34))*AD34)+(-SIN(RADIANS((90-$Q$8)-W34))*AE34))</f>
        <v>0.9462546634259198</v>
      </c>
      <c r="AL34" s="629">
        <f>IF(M34="","",(SIN(RADIANS((90-$Q$8)-W34))*AD34)+(COS(RADIANS((90-$Q$8)-W34))*AE34))</f>
        <v>-0.28048076010841544</v>
      </c>
      <c r="AM34" s="634">
        <f>IF(M34="","",AF34)</f>
        <v>-0.16103619206161415</v>
      </c>
      <c r="AN34" s="581">
        <f>IF(M34="","",DEGREES(ATAN2(-AM34,AL34)))</f>
        <v>-60.137994133351427</v>
      </c>
      <c r="AO34" s="582">
        <f t="shared" si="94"/>
        <v>18.870029845275059</v>
      </c>
      <c r="AP34" s="585">
        <f>IF(M34="","",DEGREES(ATAN2(AK34,AL34)))</f>
        <v>-16.510428935228017</v>
      </c>
      <c r="AQ34" s="586">
        <f t="shared" si="9"/>
        <v>0.65489398619159156</v>
      </c>
      <c r="AS34" s="52">
        <f t="shared" si="116"/>
        <v>-181.41002578520201</v>
      </c>
      <c r="AT34" s="72">
        <f t="shared" si="10"/>
        <v>-0.62225362945232754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4.1210000000000004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-0.16178873544271463</v>
      </c>
      <c r="C35" s="708">
        <v>-3.6615383984130405</v>
      </c>
      <c r="D35" s="709">
        <v>-1.474004445597408</v>
      </c>
      <c r="E35" s="710">
        <v>0.83820027810807241</v>
      </c>
      <c r="F35" s="708">
        <v>-0.53373145965482827</v>
      </c>
      <c r="G35" s="711">
        <v>0.11203134719477609</v>
      </c>
      <c r="H35" s="710">
        <v>0.314</v>
      </c>
      <c r="I35" s="708">
        <v>0.52</v>
      </c>
      <c r="J35" s="570">
        <v>4.1269999999999998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4.1269999999999998</v>
      </c>
      <c r="N35" s="632">
        <f t="shared" si="2"/>
        <v>-0.16178873544271463</v>
      </c>
      <c r="O35" s="629">
        <f t="shared" si="3"/>
        <v>-3.6615383984130405</v>
      </c>
      <c r="P35" s="633">
        <f t="shared" si="4"/>
        <v>-1.474004445597408</v>
      </c>
      <c r="Q35" s="585">
        <f t="shared" si="113"/>
        <v>267.46997437650595</v>
      </c>
      <c r="R35" s="629">
        <f>IF(M35="","",SQRT(N35^2+O35^2))</f>
        <v>3.6651110539749387</v>
      </c>
      <c r="S35" s="634">
        <f>IF(M35="","",P35)</f>
        <v>-1.474004445597408</v>
      </c>
      <c r="T35" s="635">
        <f>IF(M35="","",X35*COS(RADIANS(W35)))</f>
        <v>-3.6634788105182992</v>
      </c>
      <c r="U35" s="629">
        <f>IF(M35="","",X35*SIN(RADIANS(W35)))</f>
        <v>0.10937112440088856</v>
      </c>
      <c r="V35" s="636">
        <f>IF(M35="","",Y35)</f>
        <v>-1.474004445597408</v>
      </c>
      <c r="W35" s="585">
        <f t="shared" si="224"/>
        <v>178.28997425811261</v>
      </c>
      <c r="X35" s="629">
        <f>IF(M35="","",R35)</f>
        <v>3.6651110539749387</v>
      </c>
      <c r="Y35" s="630">
        <f t="shared" si="223"/>
        <v>-1.474004445597408</v>
      </c>
      <c r="Z35" s="632">
        <f t="shared" si="6"/>
        <v>-0.83820027810807241</v>
      </c>
      <c r="AA35" s="629">
        <f t="shared" si="7"/>
        <v>0.53373145965482827</v>
      </c>
      <c r="AB35" s="629">
        <f t="shared" si="8"/>
        <v>-0.11203134719477609</v>
      </c>
      <c r="AC35" s="636">
        <f>IF(M35="","",SQRT(Z35^2+AA35^2+AB35^2))</f>
        <v>1</v>
      </c>
      <c r="AD35" s="637">
        <f>IF(M35="","",Z35*(1/SQRT(Z35^2+AA35^2+AB35^2)))</f>
        <v>-0.83820027810807241</v>
      </c>
      <c r="AE35" s="629">
        <f>IF(M35="","",AA35*(1/SQRT(Z35^2+AA35^2+AB35^2)))</f>
        <v>0.53373145965482827</v>
      </c>
      <c r="AF35" s="633">
        <f>IF(M35="","",AB35*(1/SQRT(Z35^2+AA35^2+AB35^2)))</f>
        <v>-0.11203134719477609</v>
      </c>
      <c r="AG35" s="602">
        <f>IF(M35="","",DEGREES(ATAN2(-AF35,AE35)))</f>
        <v>78.145594043669774</v>
      </c>
      <c r="AH35" s="603">
        <f>IF(M35="","",DEGREES(ACOS(AD35)))</f>
        <v>146.95055856447266</v>
      </c>
      <c r="AI35" s="585">
        <f>IF(M35="","",DEGREES(-ACOS(-AF35)))</f>
        <v>-83.567572881820624</v>
      </c>
      <c r="AJ35" s="586">
        <f>IF(M35="","",DEGREES(ATAN2(-AE35,AD35)))</f>
        <v>-122.48730736311154</v>
      </c>
      <c r="AK35" s="635">
        <f>IF(M35="","",(COS(RADIANS((90-$Q$8)-W35))*AD35)+(-SIN(RADIANS((90-$Q$8)-W35))*AE35))</f>
        <v>0.86094369183016906</v>
      </c>
      <c r="AL35" s="629">
        <f>IF(M35="","",(SIN(RADIANS((90-$Q$8)-W35))*AD35)+(COS(RADIANS((90-$Q$8)-W35))*AE35))</f>
        <v>-0.49621057701701826</v>
      </c>
      <c r="AM35" s="634">
        <f>IF(M35="","",AF35)</f>
        <v>-0.11203134719477609</v>
      </c>
      <c r="AN35" s="581">
        <f>IF(M35="","",DEGREES(ATAN2(-AM35,AL35)))</f>
        <v>-77.277424406702579</v>
      </c>
      <c r="AO35" s="582">
        <f t="shared" si="94"/>
        <v>30.577293760317488</v>
      </c>
      <c r="AP35" s="585">
        <f>IF(M35="","",DEGREES(ATAN2(AK35,AL35)))</f>
        <v>-29.957281739617471</v>
      </c>
      <c r="AQ35" s="586">
        <f t="shared" si="9"/>
        <v>0.62198308484161502</v>
      </c>
      <c r="AS35" s="52">
        <f t="shared" si="116"/>
        <v>-181.71002574188739</v>
      </c>
      <c r="AT35" s="72">
        <f t="shared" si="10"/>
        <v>-1.3472474833588703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4.1269999999999998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-0.17528772824924055</v>
      </c>
      <c r="C36" s="708">
        <v>-3.7447109933116884</v>
      </c>
      <c r="D36" s="709">
        <v>-2.1616065194052623</v>
      </c>
      <c r="E36" s="710">
        <v>0.79153878519034671</v>
      </c>
      <c r="F36" s="708">
        <v>-0.60907084301285608</v>
      </c>
      <c r="G36" s="711">
        <v>4.9990596425720582E-2</v>
      </c>
      <c r="H36" s="710">
        <v>0.26600000000000001</v>
      </c>
      <c r="I36" s="708">
        <v>0.52</v>
      </c>
      <c r="J36" s="570">
        <v>4.133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4.133</v>
      </c>
      <c r="N36" s="632">
        <f t="shared" si="2"/>
        <v>-0.17528772824924055</v>
      </c>
      <c r="O36" s="629">
        <f t="shared" si="3"/>
        <v>-3.7447109933116884</v>
      </c>
      <c r="P36" s="633">
        <f t="shared" si="4"/>
        <v>-2.1616065194052623</v>
      </c>
      <c r="Q36" s="585">
        <f t="shared" si="113"/>
        <v>267.31997439816325</v>
      </c>
      <c r="R36" s="629">
        <f>IF(M36="","",SQRT(N36^2+O36^2))</f>
        <v>3.7488113064149005</v>
      </c>
      <c r="S36" s="634">
        <f>IF(M36="","",P36)</f>
        <v>-2.1616065194052623</v>
      </c>
      <c r="T36" s="635">
        <f>IF(M36="","",X36*COS(RADIANS(W36)))</f>
        <v>-3.7468360745722751</v>
      </c>
      <c r="U36" s="629">
        <f>IF(M36="","",X36*SIN(RADIANS(W36)))</f>
        <v>0.12167843435883513</v>
      </c>
      <c r="V36" s="636">
        <f>IF(M36="","",Y36)</f>
        <v>-2.1616065194052623</v>
      </c>
      <c r="W36" s="585">
        <f t="shared" si="224"/>
        <v>178.13997427976992</v>
      </c>
      <c r="X36" s="629">
        <f>IF(M36="","",R36)</f>
        <v>3.7488113064149005</v>
      </c>
      <c r="Y36" s="630">
        <f t="shared" si="223"/>
        <v>-2.1616065194052623</v>
      </c>
      <c r="Z36" s="632">
        <f t="shared" si="6"/>
        <v>-0.79153878519034671</v>
      </c>
      <c r="AA36" s="629">
        <f t="shared" si="7"/>
        <v>0.60907084301285608</v>
      </c>
      <c r="AB36" s="629">
        <f t="shared" si="8"/>
        <v>-4.9990596425720582E-2</v>
      </c>
      <c r="AC36" s="636">
        <f>IF(M36="","",SQRT(Z36^2+AA36^2+AB36^2))</f>
        <v>1</v>
      </c>
      <c r="AD36" s="637">
        <f>IF(M36="","",Z36*(1/SQRT(Z36^2+AA36^2+AB36^2)))</f>
        <v>-0.79153878519034671</v>
      </c>
      <c r="AE36" s="629">
        <f>IF(M36="","",AA36*(1/SQRT(Z36^2+AA36^2+AB36^2)))</f>
        <v>0.60907084301285608</v>
      </c>
      <c r="AF36" s="633">
        <f>IF(M36="","",AB36*(1/SQRT(Z36^2+AA36^2+AB36^2)))</f>
        <v>-4.9990596425720582E-2</v>
      </c>
      <c r="AG36" s="602">
        <f>IF(M36="","",DEGREES(ATAN2(-AF36,AE36)))</f>
        <v>85.307862258070458</v>
      </c>
      <c r="AH36" s="603">
        <f>IF(M36="","",DEGREES(ACOS(AD36)))</f>
        <v>142.32954677287182</v>
      </c>
      <c r="AI36" s="585">
        <f>IF(M36="","",DEGREES(-ACOS(-AF36)))</f>
        <v>-87.134555477139372</v>
      </c>
      <c r="AJ36" s="586">
        <f>IF(M36="","",DEGREES(ATAN2(-AE36,AD36)))</f>
        <v>-127.57745222662936</v>
      </c>
      <c r="AK36" s="635">
        <f>IF(M36="","",(COS(RADIANS((90-$Q$8)-W36))*AD36)+(-SIN(RADIANS((90-$Q$8)-W36))*AE36))</f>
        <v>0.81915209487729246</v>
      </c>
      <c r="AL36" s="629">
        <f>IF(M36="","",(SIN(RADIANS((90-$Q$8)-W36))*AD36)+(COS(RADIANS((90-$Q$8)-W36))*AE36))</f>
        <v>-0.57139372216287454</v>
      </c>
      <c r="AM36" s="634">
        <f>IF(M36="","",AF36)</f>
        <v>-4.9990596425720582E-2</v>
      </c>
      <c r="AN36" s="581">
        <f>IF(M36="","",DEGREES(ATAN2(-AM36,AL36)))</f>
        <v>-84.999987727520178</v>
      </c>
      <c r="AO36" s="582">
        <f t="shared" si="94"/>
        <v>34.999994946625904</v>
      </c>
      <c r="AP36" s="585">
        <f>IF(M36="","",DEGREES(ATAN2(AK36,AL36)))</f>
        <v>-34.897426624792608</v>
      </c>
      <c r="AQ36" s="586">
        <f t="shared" si="9"/>
        <v>0.60809703324445985</v>
      </c>
      <c r="AS36" s="52">
        <f t="shared" si="116"/>
        <v>-181.86002572023008</v>
      </c>
      <c r="AT36" s="72">
        <f t="shared" si="10"/>
        <v>-2.0347453905150981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4.133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-1.071351743043726</v>
      </c>
      <c r="C37" s="708">
        <v>-2.733764219930316</v>
      </c>
      <c r="D37" s="709">
        <v>-0.23553419169291412</v>
      </c>
      <c r="E37" s="710">
        <v>-0.11951445598182485</v>
      </c>
      <c r="F37" s="708">
        <v>-0.30496521013177647</v>
      </c>
      <c r="G37" s="711">
        <v>0.94483464977775344</v>
      </c>
      <c r="H37" s="710">
        <v>0.26250000000000001</v>
      </c>
      <c r="I37" s="708">
        <v>0.40699999999999997</v>
      </c>
      <c r="J37" s="570">
        <v>4.2149999999999999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4.2149999999999999</v>
      </c>
      <c r="N37" s="632">
        <f t="shared" si="2"/>
        <v>-1.071351743043726</v>
      </c>
      <c r="O37" s="629">
        <f t="shared" si="3"/>
        <v>-2.733764219930316</v>
      </c>
      <c r="P37" s="633">
        <f t="shared" si="4"/>
        <v>-0.23553419169291412</v>
      </c>
      <c r="Q37" s="585">
        <f t="shared" si="113"/>
        <v>248.59997710099648</v>
      </c>
      <c r="R37" s="629">
        <f t="shared" si="79"/>
        <v>2.9361984550595417</v>
      </c>
      <c r="S37" s="634">
        <f t="shared" si="80"/>
        <v>-0.23553419169291412</v>
      </c>
      <c r="T37" s="635">
        <f t="shared" si="81"/>
        <v>-2.7488165924637364</v>
      </c>
      <c r="U37" s="629">
        <f t="shared" si="82"/>
        <v>1.032118553505406</v>
      </c>
      <c r="V37" s="636">
        <f t="shared" si="114"/>
        <v>-0.23553419169291412</v>
      </c>
      <c r="W37" s="585">
        <f t="shared" si="224"/>
        <v>159.41997698260315</v>
      </c>
      <c r="X37" s="629">
        <f t="shared" si="83"/>
        <v>2.9361984550595417</v>
      </c>
      <c r="Y37" s="630">
        <f t="shared" si="223"/>
        <v>-0.23553419169291412</v>
      </c>
      <c r="Z37" s="632">
        <f t="shared" si="6"/>
        <v>0.11951445598182485</v>
      </c>
      <c r="AA37" s="629">
        <f t="shared" si="7"/>
        <v>0.30496521013177647</v>
      </c>
      <c r="AB37" s="629">
        <f t="shared" si="8"/>
        <v>-0.94483464977775344</v>
      </c>
      <c r="AC37" s="636">
        <f t="shared" si="84"/>
        <v>1</v>
      </c>
      <c r="AD37" s="637">
        <f t="shared" si="115"/>
        <v>0.11951445598182485</v>
      </c>
      <c r="AE37" s="629">
        <f t="shared" si="85"/>
        <v>0.30496521013177647</v>
      </c>
      <c r="AF37" s="633">
        <f t="shared" si="86"/>
        <v>-0.94483464977775344</v>
      </c>
      <c r="AG37" s="602">
        <f t="shared" si="87"/>
        <v>17.888573824702387</v>
      </c>
      <c r="AH37" s="603">
        <f t="shared" si="88"/>
        <v>83.135918707373307</v>
      </c>
      <c r="AI37" s="585">
        <f t="shared" si="89"/>
        <v>-19.119997239418193</v>
      </c>
      <c r="AJ37" s="586">
        <f t="shared" si="90"/>
        <v>158.60001677274835</v>
      </c>
      <c r="AK37" s="635">
        <f t="shared" si="211"/>
        <v>2.267948966822031E-7</v>
      </c>
      <c r="AL37" s="629">
        <f t="shared" si="91"/>
        <v>-0.32754768290937225</v>
      </c>
      <c r="AM37" s="634">
        <f t="shared" si="92"/>
        <v>-0.94483464977775344</v>
      </c>
      <c r="AN37" s="581">
        <f t="shared" si="93"/>
        <v>-19.119997239413951</v>
      </c>
      <c r="AO37" s="582">
        <f t="shared" si="94"/>
        <v>0</v>
      </c>
      <c r="AP37" s="585">
        <f t="shared" si="95"/>
        <v>-89.999960328248164</v>
      </c>
      <c r="AQ37" s="586">
        <f t="shared" si="9"/>
        <v>0.77637364717478696</v>
      </c>
      <c r="AS37" s="52">
        <f t="shared" si="116"/>
        <v>-200.58002301739685</v>
      </c>
      <c r="AT37" s="72">
        <f t="shared" si="10"/>
        <v>-9.5673064679717229E-2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4.2149999999999999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4.1150000000000002</v>
      </c>
      <c r="II37" s="734" cm="1">
        <f t="array" ref="II37">IFERROR(ROUND(VALUE(IF($IH37&lt;1,$IH37+LARGE((IF($M$9:$M$150="",0,$M$9:$M$150)-MOD(IF($M$9:$M$150="",0,$M$9:$M$150),1)),1),$IH37)),4),"")</f>
        <v>4.1150000000000002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20.059997103694769</v>
      </c>
      <c r="IM37" s="759">
        <v>3.74613161867135E-2</v>
      </c>
      <c r="IN37" s="5">
        <f t="shared" si="226"/>
        <v>1.1399999999999999</v>
      </c>
      <c r="IO37" s="771">
        <v>570</v>
      </c>
      <c r="IP37" s="9">
        <f t="shared" si="227"/>
        <v>-2.9233088166993912</v>
      </c>
      <c r="IQ37" s="5">
        <f t="shared" si="228"/>
        <v>-0.20910063064750203</v>
      </c>
      <c r="IR37" s="5">
        <f t="shared" si="71"/>
        <v>0.314</v>
      </c>
      <c r="IS37" s="5">
        <f t="shared" si="229"/>
        <v>0.30243101178328574</v>
      </c>
      <c r="IT37" s="727">
        <f t="shared" si="230"/>
        <v>35.462510121780724</v>
      </c>
      <c r="IU37" s="9">
        <f t="shared" si="231"/>
        <v>-2.9361984550595417</v>
      </c>
      <c r="IV37" s="5">
        <f t="shared" si="232"/>
        <v>-0.23553419169291412</v>
      </c>
      <c r="IW37" s="5">
        <f t="shared" si="76"/>
        <v>0.26250000000000001</v>
      </c>
      <c r="IX37" s="5">
        <f t="shared" si="233"/>
        <v>0.26250000000000001</v>
      </c>
      <c r="IY37" s="762">
        <f t="shared" si="234"/>
        <v>19.119997239413951</v>
      </c>
    </row>
    <row r="38" spans="1:267" ht="15" customHeight="1" x14ac:dyDescent="0.25">
      <c r="A38" s="79"/>
      <c r="B38" s="707">
        <v>-1.1391092308791919</v>
      </c>
      <c r="C38" s="708">
        <v>-3.3138446572402995</v>
      </c>
      <c r="D38" s="709">
        <v>-0.78646574336954056</v>
      </c>
      <c r="E38" s="710">
        <v>-0.21776919454494334</v>
      </c>
      <c r="F38" s="708">
        <v>-0.63352491316646176</v>
      </c>
      <c r="G38" s="711">
        <v>0.74244377720112509</v>
      </c>
      <c r="H38" s="710">
        <v>0.26250000000000001</v>
      </c>
      <c r="I38" s="708">
        <v>0.40699999999999997</v>
      </c>
      <c r="J38" s="570">
        <v>4.2210000000000001</v>
      </c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Inactive</v>
      </c>
      <c r="L38" s="320"/>
      <c r="M38" s="168">
        <f t="shared" si="1"/>
        <v>4.2210000000000001</v>
      </c>
      <c r="N38" s="632">
        <f t="shared" si="2"/>
        <v>-1.1391092308791919</v>
      </c>
      <c r="O38" s="629">
        <f t="shared" si="3"/>
        <v>-3.3138446572402995</v>
      </c>
      <c r="P38" s="633">
        <f t="shared" si="4"/>
        <v>-0.78646574336954056</v>
      </c>
      <c r="Q38" s="585">
        <f t="shared" si="113"/>
        <v>251.02997675014797</v>
      </c>
      <c r="R38" s="629">
        <f t="shared" si="79"/>
        <v>3.5041598496921145</v>
      </c>
      <c r="S38" s="634">
        <f t="shared" si="80"/>
        <v>-0.78646574336954056</v>
      </c>
      <c r="T38" s="635">
        <f t="shared" si="81"/>
        <v>-3.3298073149747123</v>
      </c>
      <c r="U38" s="629">
        <f t="shared" si="82"/>
        <v>1.0915674497414984</v>
      </c>
      <c r="V38" s="636">
        <f t="shared" si="114"/>
        <v>-0.78646574336954056</v>
      </c>
      <c r="W38" s="585">
        <f t="shared" si="224"/>
        <v>161.84997663175463</v>
      </c>
      <c r="X38" s="629">
        <f t="shared" si="83"/>
        <v>3.5041598496921145</v>
      </c>
      <c r="Y38" s="630">
        <f t="shared" si="223"/>
        <v>-0.78646574336954056</v>
      </c>
      <c r="Z38" s="632">
        <f t="shared" si="6"/>
        <v>0.21776919454494334</v>
      </c>
      <c r="AA38" s="629">
        <f t="shared" si="7"/>
        <v>0.63352491316646176</v>
      </c>
      <c r="AB38" s="629">
        <f t="shared" si="8"/>
        <v>-0.74244377720112509</v>
      </c>
      <c r="AC38" s="636">
        <f t="shared" si="84"/>
        <v>1</v>
      </c>
      <c r="AD38" s="637">
        <f t="shared" si="115"/>
        <v>0.21776919454494334</v>
      </c>
      <c r="AE38" s="629">
        <f t="shared" si="85"/>
        <v>0.63352491316646176</v>
      </c>
      <c r="AF38" s="633">
        <f t="shared" si="86"/>
        <v>-0.74244377720112509</v>
      </c>
      <c r="AG38" s="602">
        <f t="shared" si="87"/>
        <v>40.474020904736193</v>
      </c>
      <c r="AH38" s="603">
        <f t="shared" si="88"/>
        <v>77.421959238059472</v>
      </c>
      <c r="AI38" s="585">
        <f t="shared" si="89"/>
        <v>-42.059993927289845</v>
      </c>
      <c r="AJ38" s="586">
        <f t="shared" si="90"/>
        <v>161.02999614741299</v>
      </c>
      <c r="AK38" s="635">
        <f t="shared" si="211"/>
        <v>2.2679489658505858E-7</v>
      </c>
      <c r="AL38" s="629">
        <f t="shared" si="91"/>
        <v>-0.66990838007542108</v>
      </c>
      <c r="AM38" s="634">
        <f t="shared" si="92"/>
        <v>-0.74244377720112509</v>
      </c>
      <c r="AN38" s="581">
        <f t="shared" si="93"/>
        <v>-42.059993927288218</v>
      </c>
      <c r="AO38" s="582">
        <f t="shared" si="94"/>
        <v>0</v>
      </c>
      <c r="AP38" s="585">
        <f t="shared" si="95"/>
        <v>-89.999980602734979</v>
      </c>
      <c r="AQ38" s="586">
        <f t="shared" si="9"/>
        <v>0.65054927931519868</v>
      </c>
      <c r="AS38" s="52">
        <f t="shared" si="116"/>
        <v>-198.15002336824537</v>
      </c>
      <c r="AT38" s="72">
        <f t="shared" si="10"/>
        <v>-0.64829211611269888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4.2210000000000001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4.1210000000000004</v>
      </c>
      <c r="II38" s="734" cm="1">
        <f t="array" ref="II38">IFERROR(ROUND(VALUE(IF($IH38&lt;1,$IH38+LARGE((IF($M$9:$M$150="",0,$M$9:$M$150)-MOD(IF($M$9:$M$150="",0,$M$9:$M$150),1)),1),$IH38)),4),"")</f>
        <v>4.1210000000000004</v>
      </c>
      <c r="IJ38" s="533">
        <f t="shared" si="112"/>
        <v>1613</v>
      </c>
      <c r="IK38" s="533" t="str">
        <f t="shared" si="66"/>
        <v>Inactive</v>
      </c>
      <c r="IL38" s="727">
        <f t="shared" si="225"/>
        <v>16.739997583043362</v>
      </c>
      <c r="IM38" s="759">
        <v>1.1396955645131801E-2</v>
      </c>
      <c r="IN38" s="5">
        <f t="shared" si="226"/>
        <v>1.34</v>
      </c>
      <c r="IO38" s="771">
        <v>670</v>
      </c>
      <c r="IP38" s="9">
        <f t="shared" si="227"/>
        <v>-3.4809104984260633</v>
      </c>
      <c r="IQ38" s="5">
        <f t="shared" si="228"/>
        <v>-0.74880225838761139</v>
      </c>
      <c r="IR38" s="5">
        <f t="shared" si="71"/>
        <v>0.314</v>
      </c>
      <c r="IS38" s="5">
        <f t="shared" si="229"/>
        <v>0.29712396431573884</v>
      </c>
      <c r="IT38" s="727">
        <f t="shared" si="230"/>
        <v>60.137994133351427</v>
      </c>
      <c r="IU38" s="9">
        <f t="shared" si="231"/>
        <v>-3.5041598496921145</v>
      </c>
      <c r="IV38" s="5">
        <f t="shared" si="232"/>
        <v>-0.78646574336954056</v>
      </c>
      <c r="IW38" s="5">
        <f t="shared" si="76"/>
        <v>0.26250000000000001</v>
      </c>
      <c r="IX38" s="5">
        <f t="shared" si="233"/>
        <v>0.26250000000000001</v>
      </c>
      <c r="IY38" s="762">
        <f t="shared" si="234"/>
        <v>42.059993927288218</v>
      </c>
    </row>
    <row r="39" spans="1:267" ht="15" customHeight="1" x14ac:dyDescent="0.25">
      <c r="A39" s="79"/>
      <c r="B39" s="707">
        <v>-0.5000115817108407</v>
      </c>
      <c r="C39" s="708">
        <v>-0.23315905331039963</v>
      </c>
      <c r="D39" s="709">
        <v>-0.46630140636504158</v>
      </c>
      <c r="E39" s="710">
        <v>0.47273314551621665</v>
      </c>
      <c r="F39" s="708">
        <v>-0.83472650352623445</v>
      </c>
      <c r="G39" s="711">
        <v>0.28240934375691412</v>
      </c>
      <c r="H39" s="710">
        <v>0.314</v>
      </c>
      <c r="I39" s="708">
        <v>0.52</v>
      </c>
      <c r="J39" s="570">
        <v>5.1020000000000003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5.1020000000000003</v>
      </c>
      <c r="N39" s="632">
        <f t="shared" si="2"/>
        <v>-0.5000115817108407</v>
      </c>
      <c r="O39" s="629">
        <f t="shared" si="3"/>
        <v>-0.23315905331039963</v>
      </c>
      <c r="P39" s="633">
        <f t="shared" si="4"/>
        <v>-0.46630140636504158</v>
      </c>
      <c r="Q39" s="585">
        <f t="shared" si="113"/>
        <v>204.99998339605673</v>
      </c>
      <c r="R39" s="629">
        <f t="shared" si="79"/>
        <v>0.55170166393221842</v>
      </c>
      <c r="S39" s="634">
        <f t="shared" si="80"/>
        <v>-0.46630140636504158</v>
      </c>
      <c r="T39" s="635">
        <f t="shared" si="81"/>
        <v>-0.24029094572046802</v>
      </c>
      <c r="U39" s="629">
        <f t="shared" si="82"/>
        <v>0.49662358722712874</v>
      </c>
      <c r="V39" s="636">
        <f t="shared" si="114"/>
        <v>-0.46630140636504158</v>
      </c>
      <c r="W39" s="585">
        <f t="shared" si="224"/>
        <v>115.8199832776634</v>
      </c>
      <c r="X39" s="629">
        <f t="shared" si="83"/>
        <v>0.55170166393221842</v>
      </c>
      <c r="Y39" s="630">
        <f t="shared" si="223"/>
        <v>-0.46630140636504158</v>
      </c>
      <c r="Z39" s="632">
        <f t="shared" si="6"/>
        <v>-0.47273314551621665</v>
      </c>
      <c r="AA39" s="629">
        <f t="shared" si="7"/>
        <v>0.83472650352623445</v>
      </c>
      <c r="AB39" s="629">
        <f t="shared" si="8"/>
        <v>-0.28240934375691412</v>
      </c>
      <c r="AC39" s="636">
        <f t="shared" si="84"/>
        <v>1</v>
      </c>
      <c r="AD39" s="637">
        <f t="shared" si="115"/>
        <v>-0.47273314551621665</v>
      </c>
      <c r="AE39" s="629">
        <f t="shared" si="85"/>
        <v>0.83472650352623445</v>
      </c>
      <c r="AF39" s="633">
        <f t="shared" si="86"/>
        <v>-0.28240934375691412</v>
      </c>
      <c r="AG39" s="602">
        <f t="shared" si="87"/>
        <v>71.308005732214383</v>
      </c>
      <c r="AH39" s="603">
        <f t="shared" si="88"/>
        <v>118.21185768786107</v>
      </c>
      <c r="AI39" s="585">
        <f t="shared" si="89"/>
        <v>-73.595945358587798</v>
      </c>
      <c r="AJ39" s="586">
        <f t="shared" si="90"/>
        <v>-150.47569173894405</v>
      </c>
      <c r="AK39" s="635">
        <f t="shared" si="211"/>
        <v>0.95630476848795665</v>
      </c>
      <c r="AL39" s="629">
        <f t="shared" si="91"/>
        <v>7.5671344153416642E-2</v>
      </c>
      <c r="AM39" s="634">
        <f t="shared" si="92"/>
        <v>-0.28240934375691412</v>
      </c>
      <c r="AN39" s="581">
        <f t="shared" si="93"/>
        <v>14.999997834268187</v>
      </c>
      <c r="AO39" s="582">
        <f t="shared" si="94"/>
        <v>16.999997545504019</v>
      </c>
      <c r="AP39" s="585">
        <f t="shared" si="95"/>
        <v>4.5243248649991985</v>
      </c>
      <c r="AQ39" s="586">
        <f t="shared" si="9"/>
        <v>4.1250308960065896</v>
      </c>
      <c r="AS39" s="52">
        <f t="shared" si="116"/>
        <v>-244.1800167223366</v>
      </c>
      <c r="AT39" s="72">
        <f t="shared" si="10"/>
        <v>-0.29616250594563653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5.1020000000000003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-1.1608933025438026</v>
      </c>
      <c r="C40" s="708">
        <v>-0.54133302770580194</v>
      </c>
      <c r="D40" s="709">
        <v>-0.27090081703686414</v>
      </c>
      <c r="E40" s="710">
        <v>0.46892874510133487</v>
      </c>
      <c r="F40" s="708">
        <v>-0.84711619532694493</v>
      </c>
      <c r="G40" s="711">
        <v>0.24999996726497567</v>
      </c>
      <c r="H40" s="710">
        <v>0.314</v>
      </c>
      <c r="I40" s="708">
        <v>0.52</v>
      </c>
      <c r="J40" s="570">
        <v>5.1050000000000004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5.1050000000000004</v>
      </c>
      <c r="N40" s="632">
        <f t="shared" si="2"/>
        <v>-1.1608933025438026</v>
      </c>
      <c r="O40" s="629">
        <f t="shared" si="3"/>
        <v>-0.54133302770580194</v>
      </c>
      <c r="P40" s="633">
        <f t="shared" si="4"/>
        <v>-0.27090081703686414</v>
      </c>
      <c r="Q40" s="585">
        <f t="shared" si="113"/>
        <v>204.99998339605673</v>
      </c>
      <c r="R40" s="629">
        <f t="shared" si="79"/>
        <v>1.2809038632060517</v>
      </c>
      <c r="S40" s="634">
        <f t="shared" si="80"/>
        <v>-0.27090081703686414</v>
      </c>
      <c r="T40" s="635">
        <f t="shared" si="81"/>
        <v>-0.557891376424411</v>
      </c>
      <c r="U40" s="629">
        <f t="shared" si="82"/>
        <v>1.1530272845373017</v>
      </c>
      <c r="V40" s="636">
        <f t="shared" si="114"/>
        <v>-0.27090081703686414</v>
      </c>
      <c r="W40" s="585">
        <f t="shared" si="224"/>
        <v>115.8199832776634</v>
      </c>
      <c r="X40" s="629">
        <f t="shared" si="83"/>
        <v>1.2809038632060517</v>
      </c>
      <c r="Y40" s="630">
        <f t="shared" si="223"/>
        <v>-0.27090081703686414</v>
      </c>
      <c r="Z40" s="632">
        <f t="shared" si="6"/>
        <v>-0.46892874510133487</v>
      </c>
      <c r="AA40" s="629">
        <f t="shared" si="7"/>
        <v>0.84711619532694493</v>
      </c>
      <c r="AB40" s="629">
        <f t="shared" si="8"/>
        <v>-0.24999996726497567</v>
      </c>
      <c r="AC40" s="636">
        <f t="shared" si="84"/>
        <v>1</v>
      </c>
      <c r="AD40" s="637">
        <f t="shared" si="115"/>
        <v>-0.46892874510133487</v>
      </c>
      <c r="AE40" s="629">
        <f t="shared" si="85"/>
        <v>0.84711619532694493</v>
      </c>
      <c r="AF40" s="633">
        <f t="shared" si="86"/>
        <v>-0.24999996726497567</v>
      </c>
      <c r="AG40" s="602">
        <f t="shared" si="87"/>
        <v>73.557675922032189</v>
      </c>
      <c r="AH40" s="603">
        <f t="shared" si="88"/>
        <v>117.96478150797752</v>
      </c>
      <c r="AI40" s="585">
        <f t="shared" si="89"/>
        <v>-75.522489751159455</v>
      </c>
      <c r="AJ40" s="586">
        <f t="shared" si="90"/>
        <v>-151.03288695885672</v>
      </c>
      <c r="AK40" s="635">
        <f t="shared" si="211"/>
        <v>0.9659258360722075</v>
      </c>
      <c r="AL40" s="629">
        <f t="shared" si="91"/>
        <v>6.6987279208206851E-2</v>
      </c>
      <c r="AM40" s="634">
        <f t="shared" si="92"/>
        <v>-0.24999996726497567</v>
      </c>
      <c r="AN40" s="581">
        <f t="shared" si="93"/>
        <v>14.999997834268191</v>
      </c>
      <c r="AO40" s="582">
        <f t="shared" si="94"/>
        <v>14.99999783426823</v>
      </c>
      <c r="AP40" s="585">
        <f t="shared" si="95"/>
        <v>3.9671296450865503</v>
      </c>
      <c r="AQ40" s="586">
        <f t="shared" si="9"/>
        <v>1.7792075402998337</v>
      </c>
      <c r="AS40" s="52">
        <f t="shared" si="116"/>
        <v>-244.1800167223366</v>
      </c>
      <c r="AT40" s="72">
        <f t="shared" si="10"/>
        <v>-0.10076191661745909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5.1050000000000004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-1.8483496227042544</v>
      </c>
      <c r="C41" s="708">
        <v>-0.85210019927054259</v>
      </c>
      <c r="D41" s="709">
        <v>-7.3100220470264946E-2</v>
      </c>
      <c r="E41" s="710">
        <v>0.39657320352163083</v>
      </c>
      <c r="F41" s="708">
        <v>-0.88029126841361693</v>
      </c>
      <c r="G41" s="711">
        <v>0.2604169291796074</v>
      </c>
      <c r="H41" s="710">
        <v>0.314</v>
      </c>
      <c r="I41" s="708">
        <v>0.52</v>
      </c>
      <c r="J41" s="570">
        <v>5.1079999999999997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5.1079999999999997</v>
      </c>
      <c r="N41" s="632">
        <f t="shared" ref="N41:N72" si="240">IF(M41="","",B41)</f>
        <v>-1.8483496227042544</v>
      </c>
      <c r="O41" s="629">
        <f t="shared" ref="O41:O72" si="241">IF(M41="","",C41)</f>
        <v>-0.85210019927054259</v>
      </c>
      <c r="P41" s="633">
        <f t="shared" ref="P41:P72" si="242">IF(M41="","",D41)</f>
        <v>-7.3100220470264946E-2</v>
      </c>
      <c r="Q41" s="585">
        <f t="shared" si="113"/>
        <v>204.74998343215225</v>
      </c>
      <c r="R41" s="629">
        <f t="shared" si="79"/>
        <v>2.035306138483314</v>
      </c>
      <c r="S41" s="634">
        <f t="shared" si="80"/>
        <v>-7.3100220470264946E-2</v>
      </c>
      <c r="T41" s="635">
        <f t="shared" si="81"/>
        <v>-0.87846505337826541</v>
      </c>
      <c r="U41" s="629">
        <f t="shared" si="82"/>
        <v>1.8359657478670401</v>
      </c>
      <c r="V41" s="636">
        <f t="shared" si="114"/>
        <v>-7.3100220470264946E-2</v>
      </c>
      <c r="W41" s="585">
        <f t="shared" si="224"/>
        <v>115.56998331375891</v>
      </c>
      <c r="X41" s="629">
        <f t="shared" si="83"/>
        <v>2.035306138483314</v>
      </c>
      <c r="Y41" s="630">
        <f t="shared" si="223"/>
        <v>-7.3100220470264946E-2</v>
      </c>
      <c r="Z41" s="632">
        <f t="shared" ref="Z41:Z72" si="243">IF(M41="","",-E41)</f>
        <v>-0.39657320352163083</v>
      </c>
      <c r="AA41" s="629">
        <f t="shared" ref="AA41:AA72" si="244">IF(M41="","",-F41)</f>
        <v>0.88029126841361693</v>
      </c>
      <c r="AB41" s="629">
        <f t="shared" ref="AB41:AB72" si="245">IF(M41="","",-G41)</f>
        <v>-0.2604169291796074</v>
      </c>
      <c r="AC41" s="636">
        <f t="shared" si="84"/>
        <v>1</v>
      </c>
      <c r="AD41" s="637">
        <f t="shared" si="115"/>
        <v>-0.39657320352163083</v>
      </c>
      <c r="AE41" s="629">
        <f t="shared" si="85"/>
        <v>0.88029126841361693</v>
      </c>
      <c r="AF41" s="633">
        <f t="shared" si="86"/>
        <v>-0.2604169291796074</v>
      </c>
      <c r="AG41" s="602">
        <f t="shared" si="87"/>
        <v>73.520180594724465</v>
      </c>
      <c r="AH41" s="603">
        <f t="shared" si="88"/>
        <v>113.36412691657299</v>
      </c>
      <c r="AI41" s="585">
        <f t="shared" si="89"/>
        <v>-74.905197322060815</v>
      </c>
      <c r="AJ41" s="586">
        <f t="shared" si="90"/>
        <v>-155.74832801648884</v>
      </c>
      <c r="AK41" s="635">
        <f t="shared" si="211"/>
        <v>0.9654597421165334</v>
      </c>
      <c r="AL41" s="629">
        <f t="shared" si="91"/>
        <v>-8.3969845147093269E-3</v>
      </c>
      <c r="AM41" s="634">
        <f t="shared" si="92"/>
        <v>-0.2604169291796074</v>
      </c>
      <c r="AN41" s="581">
        <f t="shared" si="93"/>
        <v>-1.8468274754193215</v>
      </c>
      <c r="AO41" s="582">
        <f t="shared" si="94"/>
        <v>15.102834515288585</v>
      </c>
      <c r="AP41" s="585">
        <f t="shared" si="95"/>
        <v>-0.4983114486410864</v>
      </c>
      <c r="AQ41" s="586">
        <f t="shared" ref="AQ41:AQ72" si="246">IF(M41="","",DEGREES(ATAN(($AS$5*SIN(RADIANS(90)))/(($X41*2*PI())-($AS$5*COS(RADIANS(90)))))))</f>
        <v>1.1199476276529163</v>
      </c>
      <c r="AS41" s="52">
        <f t="shared" si="116"/>
        <v>-244.43001668624109</v>
      </c>
      <c r="AT41" s="72">
        <f t="shared" ref="AT41:AT72" si="247">IF(M41="","",Y41+(((AS41-$AS$9)*$AS$6)*-1))</f>
        <v>9.7212291035184875E-2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5.1079999999999997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-2.5650536195106657</v>
      </c>
      <c r="C42" s="708">
        <v>-1.1329272565906094</v>
      </c>
      <c r="D42" s="709">
        <v>-0.15350046295739628</v>
      </c>
      <c r="E42" s="710">
        <v>0.26515927746955653</v>
      </c>
      <c r="F42" s="708">
        <v>-0.93623407395475655</v>
      </c>
      <c r="G42" s="711">
        <v>0.23055653609885404</v>
      </c>
      <c r="H42" s="710">
        <v>0.314</v>
      </c>
      <c r="I42" s="708">
        <v>0.52</v>
      </c>
      <c r="J42" s="570">
        <v>5.1139999999999999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5.1139999999999999</v>
      </c>
      <c r="N42" s="632">
        <f t="shared" si="240"/>
        <v>-2.5650536195106657</v>
      </c>
      <c r="O42" s="629">
        <f t="shared" si="241"/>
        <v>-1.1329272565906094</v>
      </c>
      <c r="P42" s="633">
        <f t="shared" si="242"/>
        <v>-0.15350046295739628</v>
      </c>
      <c r="Q42" s="585">
        <f t="shared" si="113"/>
        <v>203.82998356498379</v>
      </c>
      <c r="R42" s="629">
        <f t="shared" ref="R42:R47" si="385">IF(M42="","",SQRT(N42^2+O42^2))</f>
        <v>2.804108457191107</v>
      </c>
      <c r="S42" s="634">
        <f t="shared" ref="S42:S47" si="386">IF(M42="","",P42)</f>
        <v>-0.15350046295739628</v>
      </c>
      <c r="T42" s="635">
        <f t="shared" ref="T42:T47" si="387">IF(M42="","",X42*COS(RADIANS(W42)))</f>
        <v>-1.1695202518927468</v>
      </c>
      <c r="U42" s="629">
        <f t="shared" ref="U42:U47" si="388">IF(M42="","",X42*SIN(RADIANS(W42)))</f>
        <v>2.5485773718102842</v>
      </c>
      <c r="V42" s="636">
        <f t="shared" ref="V42:V47" si="389">IF(M42="","",Y42)</f>
        <v>-0.15350046295739628</v>
      </c>
      <c r="W42" s="585">
        <f t="shared" si="224"/>
        <v>114.64998344659045</v>
      </c>
      <c r="X42" s="629">
        <f t="shared" ref="X42:X47" si="390">IF(M42="","",R42)</f>
        <v>2.804108457191107</v>
      </c>
      <c r="Y42" s="630">
        <f t="shared" si="223"/>
        <v>-0.15350046295739628</v>
      </c>
      <c r="Z42" s="632">
        <f t="shared" si="243"/>
        <v>-0.26515927746955653</v>
      </c>
      <c r="AA42" s="629">
        <f t="shared" si="244"/>
        <v>0.93623407395475655</v>
      </c>
      <c r="AB42" s="629">
        <f t="shared" si="245"/>
        <v>-0.23055653609885404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-0.26515927746955653</v>
      </c>
      <c r="AE42" s="629">
        <f t="shared" ref="AE42:AE47" si="393">IF(M42="","",AA42*(1/SQRT(Z42^2+AA42^2+AB42^2)))</f>
        <v>0.93623407395475655</v>
      </c>
      <c r="AF42" s="633">
        <f t="shared" ref="AF42:AF47" si="394">IF(M42="","",AB42*(1/SQRT(Z42^2+AA42^2+AB42^2)))</f>
        <v>-0.23055653609885404</v>
      </c>
      <c r="AG42" s="602">
        <f t="shared" ref="AG42:AG47" si="395">IF(M42="","",DEGREES(ATAN2(-AF42,AE42)))</f>
        <v>76.165641419273953</v>
      </c>
      <c r="AH42" s="603">
        <f t="shared" ref="AH42:AH47" si="396">IF(M42="","",DEGREES(ACOS(AD42)))</f>
        <v>105.3764173028339</v>
      </c>
      <c r="AI42" s="585">
        <f t="shared" ref="AI42:AI47" si="397">IF(M42="","",DEGREES(-ACOS(-AF42)))</f>
        <v>-76.670160441923855</v>
      </c>
      <c r="AJ42" s="586">
        <f t="shared" ref="AJ42:AJ47" si="398">IF(M42="","",DEGREES(ATAN2(-AE42,AD42)))</f>
        <v>-164.18687028726595</v>
      </c>
      <c r="AK42" s="635">
        <f t="shared" ref="AK42:AK47" si="399">IF(M42="","",(COS(RADIANS((90-$Q$8)-W42))*AD42)+(-SIN(RADIANS((90-$Q$8)-W42))*AE42))</f>
        <v>0.96354931135456301</v>
      </c>
      <c r="AL42" s="629">
        <f t="shared" ref="AL42:AL47" si="400">IF(M42="","",(SIN(RADIANS((90-$Q$8)-W42))*AD42)+(COS(RADIANS((90-$Q$8)-W42))*AE42))</f>
        <v>-0.13570706779768424</v>
      </c>
      <c r="AM42" s="634">
        <f t="shared" ref="AM42:AM47" si="401">IF(M42="","",AF42)</f>
        <v>-0.23055653609885404</v>
      </c>
      <c r="AN42" s="581">
        <f t="shared" ref="AN42:AN47" si="402">IF(M42="","",DEGREES(ATAN2(-AM42,AL42)))</f>
        <v>-30.481341927481662</v>
      </c>
      <c r="AO42" s="582">
        <f t="shared" si="94"/>
        <v>15.517387261729512</v>
      </c>
      <c r="AP42" s="585">
        <f t="shared" ref="AP42:AP47" si="403">IF(M42="","",DEGREES(ATAN2(AK42,AL42)))</f>
        <v>-8.0168538522497474</v>
      </c>
      <c r="AQ42" s="586">
        <f t="shared" si="246"/>
        <v>0.81294061373470605</v>
      </c>
      <c r="AS42" s="52">
        <f t="shared" si="116"/>
        <v>-245.35001655340955</v>
      </c>
      <c r="AT42" s="72">
        <f t="shared" si="247"/>
        <v>1.7450937344698325E-2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5.1139999999999999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-3.1426812601720404</v>
      </c>
      <c r="C43" s="708">
        <v>-1.3268731595258616</v>
      </c>
      <c r="D43" s="709">
        <v>-0.63860192602340882</v>
      </c>
      <c r="E43" s="710">
        <v>0.1337930687140387</v>
      </c>
      <c r="F43" s="708">
        <v>-0.97662209440842151</v>
      </c>
      <c r="G43" s="711">
        <v>0.16825189293850096</v>
      </c>
      <c r="H43" s="710">
        <v>0.314</v>
      </c>
      <c r="I43" s="708">
        <v>0.52</v>
      </c>
      <c r="J43" s="570">
        <v>5.12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5.12</v>
      </c>
      <c r="N43" s="632">
        <f t="shared" si="240"/>
        <v>-3.1426812601720404</v>
      </c>
      <c r="O43" s="629">
        <f t="shared" si="241"/>
        <v>-1.3268731595258616</v>
      </c>
      <c r="P43" s="633">
        <f t="shared" si="242"/>
        <v>-0.63860192602340882</v>
      </c>
      <c r="Q43" s="585">
        <f t="shared" si="113"/>
        <v>202.88998370070297</v>
      </c>
      <c r="R43" s="629">
        <f t="shared" si="385"/>
        <v>3.4113102885118307</v>
      </c>
      <c r="S43" s="634">
        <f t="shared" si="386"/>
        <v>-0.63860192602340882</v>
      </c>
      <c r="T43" s="635">
        <f t="shared" si="387"/>
        <v>-1.3717128427403189</v>
      </c>
      <c r="U43" s="629">
        <f t="shared" si="388"/>
        <v>3.123370256880849</v>
      </c>
      <c r="V43" s="636">
        <f t="shared" si="389"/>
        <v>-0.63860192602340882</v>
      </c>
      <c r="W43" s="585">
        <f t="shared" si="224"/>
        <v>113.70998358230963</v>
      </c>
      <c r="X43" s="629">
        <f t="shared" si="390"/>
        <v>3.4113102885118307</v>
      </c>
      <c r="Y43" s="630">
        <f t="shared" si="223"/>
        <v>-0.63860192602340882</v>
      </c>
      <c r="Z43" s="632">
        <f t="shared" si="243"/>
        <v>-0.1337930687140387</v>
      </c>
      <c r="AA43" s="629">
        <f t="shared" si="244"/>
        <v>0.97662209440842151</v>
      </c>
      <c r="AB43" s="629">
        <f t="shared" si="245"/>
        <v>-0.16825189293850096</v>
      </c>
      <c r="AC43" s="636">
        <f t="shared" si="391"/>
        <v>1</v>
      </c>
      <c r="AD43" s="637">
        <f t="shared" si="392"/>
        <v>-0.1337930687140387</v>
      </c>
      <c r="AE43" s="629">
        <f t="shared" si="393"/>
        <v>0.97662209440842151</v>
      </c>
      <c r="AF43" s="633">
        <f t="shared" si="394"/>
        <v>-0.16825189293850096</v>
      </c>
      <c r="AG43" s="602">
        <f t="shared" si="395"/>
        <v>80.225069607940839</v>
      </c>
      <c r="AH43" s="603">
        <f t="shared" si="396"/>
        <v>97.688834698290492</v>
      </c>
      <c r="AI43" s="585">
        <f t="shared" si="397"/>
        <v>-80.313804051391031</v>
      </c>
      <c r="AJ43" s="586">
        <f t="shared" si="398"/>
        <v>-172.19928115789662</v>
      </c>
      <c r="AK43" s="635">
        <f t="shared" si="399"/>
        <v>0.95175698238548356</v>
      </c>
      <c r="AL43" s="629">
        <f t="shared" si="400"/>
        <v>-0.25661244514459836</v>
      </c>
      <c r="AM43" s="634">
        <f t="shared" si="401"/>
        <v>-0.16825189293850096</v>
      </c>
      <c r="AN43" s="581">
        <f t="shared" si="402"/>
        <v>-56.748531912708806</v>
      </c>
      <c r="AO43" s="582">
        <f t="shared" si="94"/>
        <v>17.869668124226873</v>
      </c>
      <c r="AP43" s="585">
        <f t="shared" si="403"/>
        <v>-15.089264858599609</v>
      </c>
      <c r="AQ43" s="586">
        <f t="shared" si="246"/>
        <v>0.66825444387027999</v>
      </c>
      <c r="AS43" s="52">
        <f t="shared" ref="AS43:AS74" si="406">IF(G43="","",IF(AND(W43&lt;(AS42+180),W43&gt;(AS42-180)),W43,IF(W43&gt;(AS42+180),W43-360,IF(W43&lt;(AS42-180),W43+360,"Error"))))</f>
        <v>-246.29001641769037</v>
      </c>
      <c r="AT43" s="72">
        <f t="shared" si="247"/>
        <v>-0.46699774803778588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-3.3808819709807323</v>
      </c>
      <c r="C44" s="708">
        <v>-1.3990236103653173</v>
      </c>
      <c r="D44" s="709">
        <v>-1.3542040842795184</v>
      </c>
      <c r="E44" s="710">
        <v>-9.0320242241522616E-2</v>
      </c>
      <c r="F44" s="708">
        <v>-0.98734322734705715</v>
      </c>
      <c r="G44" s="711">
        <v>0.13036719393056773</v>
      </c>
      <c r="H44" s="710">
        <v>0.314</v>
      </c>
      <c r="I44" s="708">
        <v>0.52</v>
      </c>
      <c r="J44" s="570">
        <v>5.1260000000000003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5.1260000000000003</v>
      </c>
      <c r="N44" s="632">
        <f t="shared" si="240"/>
        <v>-3.3808819709807323</v>
      </c>
      <c r="O44" s="629">
        <f t="shared" si="241"/>
        <v>-1.3990236103653173</v>
      </c>
      <c r="P44" s="633">
        <f t="shared" si="242"/>
        <v>-1.3542040842795184</v>
      </c>
      <c r="Q44" s="585">
        <f t="shared" si="113"/>
        <v>202.47998375989965</v>
      </c>
      <c r="R44" s="629">
        <f t="shared" si="385"/>
        <v>3.6589110352756826</v>
      </c>
      <c r="S44" s="634">
        <f t="shared" si="386"/>
        <v>-1.3542040842795184</v>
      </c>
      <c r="T44" s="635">
        <f t="shared" si="387"/>
        <v>-1.4472648448224275</v>
      </c>
      <c r="U44" s="629">
        <f t="shared" si="388"/>
        <v>3.360514013213348</v>
      </c>
      <c r="V44" s="636">
        <f t="shared" si="389"/>
        <v>-1.3542040842795184</v>
      </c>
      <c r="W44" s="585">
        <f t="shared" si="224"/>
        <v>113.29998364150632</v>
      </c>
      <c r="X44" s="629">
        <f t="shared" si="390"/>
        <v>3.6589110352756826</v>
      </c>
      <c r="Y44" s="630">
        <f t="shared" si="223"/>
        <v>-1.3542040842795184</v>
      </c>
      <c r="Z44" s="632">
        <f t="shared" si="243"/>
        <v>9.0320242241522616E-2</v>
      </c>
      <c r="AA44" s="629">
        <f t="shared" si="244"/>
        <v>0.98734322734705715</v>
      </c>
      <c r="AB44" s="629">
        <f t="shared" si="245"/>
        <v>-0.13036719393056773</v>
      </c>
      <c r="AC44" s="636">
        <f t="shared" si="391"/>
        <v>1</v>
      </c>
      <c r="AD44" s="637">
        <f t="shared" si="392"/>
        <v>9.0320242241522616E-2</v>
      </c>
      <c r="AE44" s="629">
        <f t="shared" si="393"/>
        <v>0.98734322734705715</v>
      </c>
      <c r="AF44" s="633">
        <f t="shared" si="394"/>
        <v>-0.13036719393056773</v>
      </c>
      <c r="AG44" s="602">
        <f t="shared" si="395"/>
        <v>82.478268692992046</v>
      </c>
      <c r="AH44" s="603">
        <f t="shared" si="396"/>
        <v>84.817969346249441</v>
      </c>
      <c r="AI44" s="585">
        <f t="shared" si="397"/>
        <v>-82.5091884432141</v>
      </c>
      <c r="AJ44" s="586">
        <f t="shared" si="398"/>
        <v>174.77324047911557</v>
      </c>
      <c r="AK44" s="635">
        <f t="shared" si="399"/>
        <v>0.87778323499898947</v>
      </c>
      <c r="AL44" s="629">
        <f t="shared" si="400"/>
        <v>-0.46097829352517095</v>
      </c>
      <c r="AM44" s="634">
        <f t="shared" si="401"/>
        <v>-0.13036719393056773</v>
      </c>
      <c r="AN44" s="581">
        <f t="shared" si="402"/>
        <v>-74.208805483098686</v>
      </c>
      <c r="AO44" s="582">
        <f t="shared" si="94"/>
        <v>28.623898271572369</v>
      </c>
      <c r="AP44" s="585">
        <f t="shared" si="403"/>
        <v>-27.706743280784067</v>
      </c>
      <c r="AQ44" s="586">
        <f t="shared" si="246"/>
        <v>0.62303695113991586</v>
      </c>
      <c r="AS44" s="52">
        <f t="shared" si="406"/>
        <v>-246.70001635849368</v>
      </c>
      <c r="AT44" s="72">
        <f t="shared" si="247"/>
        <v>-1.1823151841127821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5.1260000000000003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-3.4679402952573932</v>
      </c>
      <c r="C45" s="708">
        <v>-1.423719185666281</v>
      </c>
      <c r="D45" s="709">
        <v>-2.050206183421849</v>
      </c>
      <c r="E45" s="710">
        <v>-0.21748674271630036</v>
      </c>
      <c r="F45" s="708">
        <v>-0.97478226133411683</v>
      </c>
      <c r="G45" s="711">
        <v>4.9990596425720596E-2</v>
      </c>
      <c r="H45" s="710">
        <v>0.26600000000000001</v>
      </c>
      <c r="I45" s="708">
        <v>0.52</v>
      </c>
      <c r="J45" s="570">
        <v>5.1319999999999997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5.1319999999999997</v>
      </c>
      <c r="N45" s="632">
        <f t="shared" si="240"/>
        <v>-3.4679402952573932</v>
      </c>
      <c r="O45" s="629">
        <f t="shared" si="241"/>
        <v>-1.423719185666281</v>
      </c>
      <c r="P45" s="633">
        <f t="shared" si="242"/>
        <v>-2.050206183421849</v>
      </c>
      <c r="Q45" s="585">
        <f t="shared" si="113"/>
        <v>202.31998378300079</v>
      </c>
      <c r="R45" s="629">
        <f t="shared" si="385"/>
        <v>3.7488113064149005</v>
      </c>
      <c r="S45" s="634">
        <f t="shared" si="386"/>
        <v>-2.050206183421849</v>
      </c>
      <c r="T45" s="635">
        <f t="shared" si="387"/>
        <v>-1.4732038009295541</v>
      </c>
      <c r="U45" s="629">
        <f t="shared" si="388"/>
        <v>3.4472099982494404</v>
      </c>
      <c r="V45" s="636">
        <f t="shared" si="389"/>
        <v>-2.050206183421849</v>
      </c>
      <c r="W45" s="585">
        <f t="shared" si="224"/>
        <v>113.13998366460746</v>
      </c>
      <c r="X45" s="629">
        <f t="shared" si="390"/>
        <v>3.7488113064149005</v>
      </c>
      <c r="Y45" s="630">
        <f t="shared" si="223"/>
        <v>-2.050206183421849</v>
      </c>
      <c r="Z45" s="632">
        <f t="shared" si="243"/>
        <v>0.21748674271630036</v>
      </c>
      <c r="AA45" s="629">
        <f t="shared" si="244"/>
        <v>0.97478226133411683</v>
      </c>
      <c r="AB45" s="629">
        <f t="shared" si="245"/>
        <v>-4.9990596425720596E-2</v>
      </c>
      <c r="AC45" s="636">
        <f t="shared" si="391"/>
        <v>1</v>
      </c>
      <c r="AD45" s="637">
        <f t="shared" si="392"/>
        <v>0.21748674271630036</v>
      </c>
      <c r="AE45" s="629">
        <f t="shared" si="393"/>
        <v>0.97478226133411683</v>
      </c>
      <c r="AF45" s="633">
        <f t="shared" si="394"/>
        <v>-4.9990596425720596E-2</v>
      </c>
      <c r="AG45" s="602">
        <f t="shared" si="395"/>
        <v>87.064223228387448</v>
      </c>
      <c r="AH45" s="603">
        <f t="shared" si="396"/>
        <v>77.438539945598151</v>
      </c>
      <c r="AI45" s="585">
        <f t="shared" si="397"/>
        <v>-87.134555477139372</v>
      </c>
      <c r="AJ45" s="586">
        <f t="shared" si="398"/>
        <v>167.42255715820815</v>
      </c>
      <c r="AK45" s="635">
        <f t="shared" si="399"/>
        <v>0.81915209487729201</v>
      </c>
      <c r="AL45" s="629">
        <f t="shared" si="400"/>
        <v>-0.57139372216287487</v>
      </c>
      <c r="AM45" s="634">
        <f t="shared" si="401"/>
        <v>-4.9990596425720596E-2</v>
      </c>
      <c r="AN45" s="581">
        <f t="shared" si="402"/>
        <v>-84.999987727520178</v>
      </c>
      <c r="AO45" s="582">
        <f t="shared" si="94"/>
        <v>34.999994946625954</v>
      </c>
      <c r="AP45" s="585">
        <f t="shared" si="403"/>
        <v>-34.897426624792637</v>
      </c>
      <c r="AQ45" s="586">
        <f t="shared" si="246"/>
        <v>0.60809703324445985</v>
      </c>
      <c r="AS45" s="52">
        <f t="shared" si="406"/>
        <v>-246.86001633539254</v>
      </c>
      <c r="AT45" s="72">
        <f t="shared" si="247"/>
        <v>-1.878206172160044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5.1319999999999997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-2.8109309639882696</v>
      </c>
      <c r="C46" s="708">
        <v>-0.14141125955625355</v>
      </c>
      <c r="D46" s="709">
        <v>-0.1792055270202747</v>
      </c>
      <c r="E46" s="710">
        <v>-0.2633715830283464</v>
      </c>
      <c r="F46" s="708">
        <v>-1.3249825796334609E-2</v>
      </c>
      <c r="G46" s="711">
        <v>0.96460346846230527</v>
      </c>
      <c r="H46" s="710">
        <v>0.26250000000000001</v>
      </c>
      <c r="I46" s="708">
        <v>0.40699999999999997</v>
      </c>
      <c r="J46" s="570">
        <v>5.2140000000000004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320"/>
      <c r="M46" s="168">
        <f t="shared" si="239"/>
        <v>5.2140000000000004</v>
      </c>
      <c r="N46" s="632">
        <f t="shared" si="240"/>
        <v>-2.8109309639882696</v>
      </c>
      <c r="O46" s="629">
        <f t="shared" si="241"/>
        <v>-0.14141125955625355</v>
      </c>
      <c r="P46" s="633">
        <f t="shared" si="242"/>
        <v>-0.1792055270202747</v>
      </c>
      <c r="Q46" s="585">
        <f t="shared" si="113"/>
        <v>182.8799865897891</v>
      </c>
      <c r="R46" s="629">
        <f t="shared" si="385"/>
        <v>2.8144857485226868</v>
      </c>
      <c r="S46" s="634">
        <f t="shared" si="386"/>
        <v>-0.1792055270202747</v>
      </c>
      <c r="T46" s="635">
        <f t="shared" si="387"/>
        <v>-0.18162459872971967</v>
      </c>
      <c r="U46" s="629">
        <f t="shared" si="388"/>
        <v>2.8086193287402934</v>
      </c>
      <c r="V46" s="636">
        <f t="shared" si="389"/>
        <v>-0.1792055270202747</v>
      </c>
      <c r="W46" s="585">
        <f t="shared" si="224"/>
        <v>93.699986471395761</v>
      </c>
      <c r="X46" s="629">
        <f t="shared" si="390"/>
        <v>2.8144857485226868</v>
      </c>
      <c r="Y46" s="630">
        <f t="shared" si="223"/>
        <v>-0.1792055270202747</v>
      </c>
      <c r="Z46" s="632">
        <f t="shared" si="243"/>
        <v>0.2633715830283464</v>
      </c>
      <c r="AA46" s="629">
        <f t="shared" si="244"/>
        <v>1.3249825796334609E-2</v>
      </c>
      <c r="AB46" s="629">
        <f t="shared" si="245"/>
        <v>-0.96460346846230527</v>
      </c>
      <c r="AC46" s="636">
        <f t="shared" si="391"/>
        <v>1</v>
      </c>
      <c r="AD46" s="637">
        <f t="shared" si="392"/>
        <v>0.2633715830283464</v>
      </c>
      <c r="AE46" s="629">
        <f t="shared" si="393"/>
        <v>1.3249825796334609E-2</v>
      </c>
      <c r="AF46" s="633">
        <f t="shared" si="394"/>
        <v>-0.96460346846230527</v>
      </c>
      <c r="AG46" s="602">
        <f t="shared" si="395"/>
        <v>0.78696726887198054</v>
      </c>
      <c r="AH46" s="603">
        <f t="shared" si="396"/>
        <v>74.729785575090744</v>
      </c>
      <c r="AI46" s="585">
        <f t="shared" si="397"/>
        <v>-15.289997792402851</v>
      </c>
      <c r="AJ46" s="586">
        <f t="shared" si="398"/>
        <v>92.880035866090523</v>
      </c>
      <c r="AK46" s="635">
        <f t="shared" si="399"/>
        <v>2.2679489676026565E-7</v>
      </c>
      <c r="AL46" s="629">
        <f t="shared" si="400"/>
        <v>-0.2637046617533314</v>
      </c>
      <c r="AM46" s="634">
        <f t="shared" si="401"/>
        <v>-0.96460346846230527</v>
      </c>
      <c r="AN46" s="581">
        <f t="shared" si="402"/>
        <v>-15.289997792397459</v>
      </c>
      <c r="AO46" s="582">
        <f t="shared" si="94"/>
        <v>0</v>
      </c>
      <c r="AP46" s="585">
        <f t="shared" si="403"/>
        <v>-89.999950723698589</v>
      </c>
      <c r="AQ46" s="586">
        <f t="shared" si="246"/>
        <v>0.80994362016854737</v>
      </c>
      <c r="AS46" s="52">
        <f t="shared" si="406"/>
        <v>-266.30001352860427</v>
      </c>
      <c r="AT46" s="72">
        <f t="shared" si="247"/>
        <v>6.2944822923718113E-3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5.2140000000000004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5.1139999999999999</v>
      </c>
      <c r="II46" s="734" cm="1">
        <f t="array" ref="II46">IFERROR(ROUND(VALUE(IF($IH46&lt;1,$IH46+LARGE((IF($M$9:$M$150="",0,$M$9:$M$150)-MOD(IF($M$9:$M$150="",0,$M$9:$M$150),1)),1),$IH46)),4),"")</f>
        <v>5.1139999999999999</v>
      </c>
      <c r="IJ46" s="533">
        <f t="shared" si="112"/>
        <v>1613</v>
      </c>
      <c r="IK46" s="533" t="str">
        <f t="shared" si="382"/>
        <v>Inactive</v>
      </c>
      <c r="IL46" s="727">
        <f t="shared" si="225"/>
        <v>20.949996975194694</v>
      </c>
      <c r="IM46" s="759">
        <v>4.1942846867884298E-2</v>
      </c>
      <c r="IN46" s="5">
        <f t="shared" si="226"/>
        <v>1.1000000000000001</v>
      </c>
      <c r="IO46" s="771">
        <v>550</v>
      </c>
      <c r="IP46" s="9">
        <f t="shared" si="227"/>
        <v>-2.804108457191107</v>
      </c>
      <c r="IQ46" s="5">
        <f t="shared" si="228"/>
        <v>-0.15350046295739628</v>
      </c>
      <c r="IR46" s="5">
        <f t="shared" si="383"/>
        <v>0.314</v>
      </c>
      <c r="IS46" s="5">
        <f t="shared" si="229"/>
        <v>0.30255448376533278</v>
      </c>
      <c r="IT46" s="727">
        <f t="shared" si="230"/>
        <v>30.481341927481662</v>
      </c>
      <c r="IU46" s="9">
        <f t="shared" si="231"/>
        <v>-2.8144857485226868</v>
      </c>
      <c r="IV46" s="5">
        <f t="shared" si="232"/>
        <v>-0.1792055270202747</v>
      </c>
      <c r="IW46" s="5">
        <f t="shared" si="384"/>
        <v>0.26250000000000001</v>
      </c>
      <c r="IX46" s="5">
        <f t="shared" si="233"/>
        <v>0.26250000000000001</v>
      </c>
      <c r="IY46" s="762">
        <f t="shared" si="234"/>
        <v>15.289997792397459</v>
      </c>
    </row>
    <row r="47" spans="1:267" ht="15" customHeight="1" x14ac:dyDescent="0.25">
      <c r="A47" s="79"/>
      <c r="B47" s="707">
        <v>-3.4162884308659844</v>
      </c>
      <c r="C47" s="708">
        <v>-0.34641069498580734</v>
      </c>
      <c r="D47" s="709">
        <v>-0.67350557516708021</v>
      </c>
      <c r="E47" s="710">
        <v>-0.61579908020809637</v>
      </c>
      <c r="F47" s="708">
        <v>-6.244208310661345E-2</v>
      </c>
      <c r="G47" s="711">
        <v>0.7854250308413715</v>
      </c>
      <c r="H47" s="710">
        <v>0.26250000000000001</v>
      </c>
      <c r="I47" s="708">
        <v>0.40699999999999997</v>
      </c>
      <c r="J47" s="570">
        <v>5.22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5.22</v>
      </c>
      <c r="N47" s="632">
        <f t="shared" si="240"/>
        <v>-3.4162884308659844</v>
      </c>
      <c r="O47" s="629">
        <f t="shared" si="241"/>
        <v>-0.34641069498580734</v>
      </c>
      <c r="P47" s="633">
        <f t="shared" si="242"/>
        <v>-0.67350557516708021</v>
      </c>
      <c r="Q47" s="585">
        <f t="shared" si="113"/>
        <v>185.78998616963713</v>
      </c>
      <c r="R47" s="629">
        <f t="shared" si="385"/>
        <v>3.433806490248005</v>
      </c>
      <c r="S47" s="634">
        <f t="shared" si="386"/>
        <v>-0.67350557516708021</v>
      </c>
      <c r="T47" s="635">
        <f t="shared" si="387"/>
        <v>-0.39526643741788525</v>
      </c>
      <c r="U47" s="629">
        <f t="shared" si="388"/>
        <v>3.4109810107827183</v>
      </c>
      <c r="V47" s="636">
        <f t="shared" si="389"/>
        <v>-0.67350557516708021</v>
      </c>
      <c r="W47" s="585">
        <f t="shared" si="224"/>
        <v>96.609986051243794</v>
      </c>
      <c r="X47" s="629">
        <f t="shared" si="390"/>
        <v>3.433806490248005</v>
      </c>
      <c r="Y47" s="630">
        <f t="shared" si="223"/>
        <v>-0.67350557516708021</v>
      </c>
      <c r="Z47" s="632">
        <f t="shared" si="243"/>
        <v>0.61579908020809637</v>
      </c>
      <c r="AA47" s="629">
        <f t="shared" si="244"/>
        <v>6.244208310661345E-2</v>
      </c>
      <c r="AB47" s="629">
        <f t="shared" si="245"/>
        <v>-0.7854250308413715</v>
      </c>
      <c r="AC47" s="636">
        <f t="shared" si="391"/>
        <v>1</v>
      </c>
      <c r="AD47" s="637">
        <f t="shared" si="392"/>
        <v>0.61579908020809637</v>
      </c>
      <c r="AE47" s="629">
        <f t="shared" si="393"/>
        <v>6.244208310661345E-2</v>
      </c>
      <c r="AF47" s="633">
        <f t="shared" si="394"/>
        <v>-0.7854250308413715</v>
      </c>
      <c r="AG47" s="602">
        <f t="shared" si="395"/>
        <v>4.5455119178489243</v>
      </c>
      <c r="AH47" s="603">
        <f t="shared" si="396"/>
        <v>51.989994150583854</v>
      </c>
      <c r="AI47" s="585">
        <f t="shared" si="397"/>
        <v>-38.239994478829765</v>
      </c>
      <c r="AJ47" s="586">
        <f t="shared" si="398"/>
        <v>95.790007163655446</v>
      </c>
      <c r="AK47" s="635">
        <f t="shared" si="399"/>
        <v>2.2679489688343102E-7</v>
      </c>
      <c r="AL47" s="629">
        <f t="shared" si="400"/>
        <v>-0.61895680053439861</v>
      </c>
      <c r="AM47" s="634">
        <f t="shared" si="401"/>
        <v>-0.7854250308413715</v>
      </c>
      <c r="AN47" s="581">
        <f t="shared" si="402"/>
        <v>-38.239994478827903</v>
      </c>
      <c r="AO47" s="582">
        <f t="shared" si="94"/>
        <v>0</v>
      </c>
      <c r="AP47" s="585">
        <f t="shared" si="403"/>
        <v>-89.999979005981686</v>
      </c>
      <c r="AQ47" s="586">
        <f t="shared" si="246"/>
        <v>0.66387684224793175</v>
      </c>
      <c r="AS47" s="52">
        <f t="shared" si="406"/>
        <v>-263.39001394875618</v>
      </c>
      <c r="AT47" s="72">
        <f t="shared" si="247"/>
        <v>-0.49002639889599486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5.22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5.12</v>
      </c>
      <c r="II47" s="734" cm="1">
        <f t="array" ref="II47">IFERROR(ROUND(VALUE(IF($IH47&lt;1,$IH47+LARGE((IF($M$9:$M$150="",0,$M$9:$M$150)-MOD(IF($M$9:$M$150="",0,$M$9:$M$150),1)),1),$IH47)),4),"")</f>
        <v>5.12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17.099997531065839</v>
      </c>
      <c r="IM47" s="759">
        <v>1.55224052323175E-2</v>
      </c>
      <c r="IN47" s="5">
        <f t="shared" si="226"/>
        <v>1.32</v>
      </c>
      <c r="IO47" s="771">
        <v>660</v>
      </c>
      <c r="IP47" s="9">
        <f t="shared" si="227"/>
        <v>-3.4113102885118307</v>
      </c>
      <c r="IQ47" s="5">
        <f t="shared" si="228"/>
        <v>-0.63860192602340882</v>
      </c>
      <c r="IR47" s="5">
        <f t="shared" si="383"/>
        <v>0.314</v>
      </c>
      <c r="IS47" s="5">
        <f t="shared" si="229"/>
        <v>0.29885169246904186</v>
      </c>
      <c r="IT47" s="727">
        <f t="shared" si="230"/>
        <v>56.748531912708806</v>
      </c>
      <c r="IU47" s="9">
        <f t="shared" si="231"/>
        <v>-3.433806490248005</v>
      </c>
      <c r="IV47" s="5">
        <f t="shared" si="232"/>
        <v>-0.67350557516708021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38.239994478827903</v>
      </c>
    </row>
    <row r="48" spans="1:267" ht="15" customHeight="1" x14ac:dyDescent="0.25">
      <c r="A48" s="79"/>
      <c r="B48" s="707">
        <v>-2.2975416889468638</v>
      </c>
      <c r="C48" s="708">
        <v>1.3799570736864317</v>
      </c>
      <c r="D48" s="709">
        <v>-0.10950033025299605</v>
      </c>
      <c r="E48" s="710">
        <v>-0.59441208925315758</v>
      </c>
      <c r="F48" s="708">
        <v>-0.76740961198083035</v>
      </c>
      <c r="G48" s="711">
        <v>0.24032635225694174</v>
      </c>
      <c r="H48" s="710">
        <v>0.314</v>
      </c>
      <c r="I48" s="708">
        <v>0.52</v>
      </c>
      <c r="J48" s="570">
        <v>6.1130000000000004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6.1130000000000004</v>
      </c>
      <c r="N48" s="632">
        <f t="shared" si="240"/>
        <v>-2.2975416889468638</v>
      </c>
      <c r="O48" s="629">
        <f t="shared" si="241"/>
        <v>1.3799570736864317</v>
      </c>
      <c r="P48" s="633">
        <f t="shared" si="242"/>
        <v>-0.10950033025299605</v>
      </c>
      <c r="Q48" s="585">
        <f t="shared" si="113"/>
        <v>149.00999148001137</v>
      </c>
      <c r="R48" s="629">
        <f t="shared" si="79"/>
        <v>2.6801080832059792</v>
      </c>
      <c r="S48" s="634">
        <f t="shared" si="80"/>
        <v>-0.10950033025299605</v>
      </c>
      <c r="T48" s="635">
        <f t="shared" si="81"/>
        <v>1.3469351516075412</v>
      </c>
      <c r="U48" s="629">
        <f t="shared" si="82"/>
        <v>2.3170552507503999</v>
      </c>
      <c r="V48" s="636">
        <f t="shared" si="114"/>
        <v>-0.10950033025299605</v>
      </c>
      <c r="W48" s="585">
        <f t="shared" si="224"/>
        <v>59.829991361618028</v>
      </c>
      <c r="X48" s="629">
        <f t="shared" si="83"/>
        <v>2.6801080832059792</v>
      </c>
      <c r="Y48" s="630">
        <f t="shared" si="223"/>
        <v>-0.10950033025299605</v>
      </c>
      <c r="Z48" s="632">
        <f t="shared" si="243"/>
        <v>0.59441208925315758</v>
      </c>
      <c r="AA48" s="629">
        <f t="shared" si="244"/>
        <v>0.76740961198083035</v>
      </c>
      <c r="AB48" s="629">
        <f t="shared" si="245"/>
        <v>-0.24032635225694174</v>
      </c>
      <c r="AC48" s="636">
        <f t="shared" si="84"/>
        <v>1</v>
      </c>
      <c r="AD48" s="637">
        <f t="shared" si="115"/>
        <v>0.59441208925315758</v>
      </c>
      <c r="AE48" s="629">
        <f t="shared" si="85"/>
        <v>0.76740961198083035</v>
      </c>
      <c r="AF48" s="633">
        <f t="shared" si="86"/>
        <v>-0.24032635225694174</v>
      </c>
      <c r="AG48" s="602">
        <f t="shared" si="87"/>
        <v>72.611234642926419</v>
      </c>
      <c r="AH48" s="603">
        <f t="shared" si="88"/>
        <v>53.529267384701207</v>
      </c>
      <c r="AI48" s="585">
        <f t="shared" si="89"/>
        <v>-76.094197269577947</v>
      </c>
      <c r="AJ48" s="586">
        <f t="shared" si="90"/>
        <v>142.23972857496466</v>
      </c>
      <c r="AK48" s="635">
        <f t="shared" si="211"/>
        <v>0.9639233430406291</v>
      </c>
      <c r="AL48" s="629">
        <f t="shared" si="91"/>
        <v>-0.1144335315903961</v>
      </c>
      <c r="AM48" s="634">
        <f t="shared" si="92"/>
        <v>-0.24032635225694174</v>
      </c>
      <c r="AN48" s="581">
        <f t="shared" si="93"/>
        <v>-25.461870287260229</v>
      </c>
      <c r="AO48" s="582">
        <f t="shared" si="94"/>
        <v>15.43707997129996</v>
      </c>
      <c r="AP48" s="585">
        <f t="shared" si="95"/>
        <v>-6.7702629050467005</v>
      </c>
      <c r="AQ48" s="586">
        <f t="shared" si="246"/>
        <v>0.85054747713135082</v>
      </c>
      <c r="AS48" s="52">
        <f t="shared" si="406"/>
        <v>-300.170008638382</v>
      </c>
      <c r="AT48" s="72">
        <f t="shared" si="247"/>
        <v>9.9520508996996104E-2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6.1130000000000004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-2.8258965750756584</v>
      </c>
      <c r="C49" s="708">
        <v>1.7644454499350768</v>
      </c>
      <c r="D49" s="709">
        <v>-0.53560161537447193</v>
      </c>
      <c r="E49" s="710">
        <v>-0.7041327511613219</v>
      </c>
      <c r="F49" s="708">
        <v>-0.68859178349007211</v>
      </c>
      <c r="G49" s="711">
        <v>0.17331596710040792</v>
      </c>
      <c r="H49" s="710">
        <v>0.314</v>
      </c>
      <c r="I49" s="708">
        <v>0.52</v>
      </c>
      <c r="J49" s="570">
        <v>6.1189999999999998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6.1189999999999998</v>
      </c>
      <c r="N49" s="632">
        <f t="shared" si="240"/>
        <v>-2.8258965750756584</v>
      </c>
      <c r="O49" s="629">
        <f t="shared" si="241"/>
        <v>1.7644454499350768</v>
      </c>
      <c r="P49" s="633">
        <f t="shared" si="242"/>
        <v>-0.53560161537447193</v>
      </c>
      <c r="Q49" s="585">
        <f t="shared" si="113"/>
        <v>148.01999162294965</v>
      </c>
      <c r="R49" s="629">
        <f t="shared" si="79"/>
        <v>3.3315100478343047</v>
      </c>
      <c r="S49" s="634">
        <f t="shared" si="80"/>
        <v>-0.53560161537447193</v>
      </c>
      <c r="T49" s="635">
        <f t="shared" si="81"/>
        <v>1.723822754842852</v>
      </c>
      <c r="U49" s="629">
        <f t="shared" si="82"/>
        <v>2.8508585213417614</v>
      </c>
      <c r="V49" s="636">
        <f t="shared" si="114"/>
        <v>-0.53560161537447193</v>
      </c>
      <c r="W49" s="585">
        <f t="shared" si="224"/>
        <v>58.839991504556309</v>
      </c>
      <c r="X49" s="629">
        <f t="shared" si="83"/>
        <v>3.3315100478343047</v>
      </c>
      <c r="Y49" s="630">
        <f t="shared" si="223"/>
        <v>-0.53560161537447193</v>
      </c>
      <c r="Z49" s="632">
        <f t="shared" si="243"/>
        <v>0.7041327511613219</v>
      </c>
      <c r="AA49" s="629">
        <f t="shared" si="244"/>
        <v>0.68859178349007211</v>
      </c>
      <c r="AB49" s="629">
        <f t="shared" si="245"/>
        <v>-0.17331596710040792</v>
      </c>
      <c r="AC49" s="636">
        <f t="shared" si="84"/>
        <v>1</v>
      </c>
      <c r="AD49" s="637">
        <f t="shared" si="115"/>
        <v>0.7041327511613219</v>
      </c>
      <c r="AE49" s="629">
        <f t="shared" si="85"/>
        <v>0.68859178349007211</v>
      </c>
      <c r="AF49" s="633">
        <f t="shared" si="86"/>
        <v>-0.17331596710040792</v>
      </c>
      <c r="AG49" s="602">
        <f t="shared" si="87"/>
        <v>75.872322278269849</v>
      </c>
      <c r="AH49" s="603">
        <f t="shared" si="88"/>
        <v>45.240477149363777</v>
      </c>
      <c r="AI49" s="585">
        <f t="shared" si="89"/>
        <v>-80.019327323141013</v>
      </c>
      <c r="AJ49" s="586">
        <f t="shared" si="90"/>
        <v>134.36068125461583</v>
      </c>
      <c r="AK49" s="635">
        <f t="shared" si="211"/>
        <v>0.95701136894342886</v>
      </c>
      <c r="AL49" s="629">
        <f t="shared" si="91"/>
        <v>-0.23257432201572603</v>
      </c>
      <c r="AM49" s="634">
        <f t="shared" si="92"/>
        <v>-0.17331596710040792</v>
      </c>
      <c r="AN49" s="581">
        <f t="shared" si="93"/>
        <v>-53.306270268579652</v>
      </c>
      <c r="AO49" s="582">
        <f t="shared" si="94"/>
        <v>16.860973954410746</v>
      </c>
      <c r="AP49" s="585">
        <f t="shared" si="95"/>
        <v>-13.659310368333811</v>
      </c>
      <c r="AQ49" s="586">
        <f t="shared" si="246"/>
        <v>0.68425975486179968</v>
      </c>
      <c r="AS49" s="52">
        <f t="shared" si="406"/>
        <v>-301.16000849544366</v>
      </c>
      <c r="AT49" s="72">
        <f t="shared" si="247"/>
        <v>-0.32589327622374253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6.1189999999999998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-3.0756889169539936</v>
      </c>
      <c r="C50" s="708">
        <v>1.9594305670177599</v>
      </c>
      <c r="D50" s="709">
        <v>-1.2328037181360141</v>
      </c>
      <c r="E50" s="710">
        <v>-0.83852179667914373</v>
      </c>
      <c r="F50" s="708">
        <v>-0.52531977659271478</v>
      </c>
      <c r="G50" s="711">
        <v>0.14463861453485108</v>
      </c>
      <c r="H50" s="710">
        <v>0.314</v>
      </c>
      <c r="I50" s="708">
        <v>0.52</v>
      </c>
      <c r="J50" s="570">
        <v>6.125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6.125</v>
      </c>
      <c r="N50" s="632">
        <f t="shared" si="240"/>
        <v>-3.0756889169539936</v>
      </c>
      <c r="O50" s="629">
        <f t="shared" si="241"/>
        <v>1.9594305670177599</v>
      </c>
      <c r="P50" s="633">
        <f t="shared" si="242"/>
        <v>-1.2328037181360141</v>
      </c>
      <c r="Q50" s="585">
        <f t="shared" si="113"/>
        <v>147.49999169802837</v>
      </c>
      <c r="R50" s="629">
        <f t="shared" si="79"/>
        <v>3.646810998781973</v>
      </c>
      <c r="S50" s="634">
        <f t="shared" si="80"/>
        <v>-1.2328037181360141</v>
      </c>
      <c r="T50" s="635">
        <f t="shared" si="81"/>
        <v>1.9152130729117045</v>
      </c>
      <c r="U50" s="629">
        <f t="shared" si="82"/>
        <v>3.1034157546460444</v>
      </c>
      <c r="V50" s="636">
        <f t="shared" si="114"/>
        <v>-1.2328037181360141</v>
      </c>
      <c r="W50" s="585">
        <f t="shared" si="224"/>
        <v>58.31999157963503</v>
      </c>
      <c r="X50" s="629">
        <f t="shared" si="83"/>
        <v>3.646810998781973</v>
      </c>
      <c r="Y50" s="630">
        <f t="shared" si="223"/>
        <v>-1.2328037181360141</v>
      </c>
      <c r="Z50" s="632">
        <f t="shared" si="243"/>
        <v>0.83852179667914373</v>
      </c>
      <c r="AA50" s="629">
        <f t="shared" si="244"/>
        <v>0.52531977659271478</v>
      </c>
      <c r="AB50" s="629">
        <f t="shared" si="245"/>
        <v>-0.14463861453485108</v>
      </c>
      <c r="AC50" s="636">
        <f t="shared" si="84"/>
        <v>1</v>
      </c>
      <c r="AD50" s="637">
        <f t="shared" si="115"/>
        <v>0.83852179667914373</v>
      </c>
      <c r="AE50" s="629">
        <f t="shared" si="85"/>
        <v>0.52531977659271478</v>
      </c>
      <c r="AF50" s="633">
        <f t="shared" si="86"/>
        <v>-0.14463861453485108</v>
      </c>
      <c r="AG50" s="602">
        <f t="shared" si="87"/>
        <v>74.605936729516202</v>
      </c>
      <c r="AH50" s="603">
        <f t="shared" si="88"/>
        <v>33.015647379814283</v>
      </c>
      <c r="AI50" s="585">
        <f t="shared" si="89"/>
        <v>-81.683647277476254</v>
      </c>
      <c r="AJ50" s="586">
        <f t="shared" si="90"/>
        <v>122.06645042626023</v>
      </c>
      <c r="AK50" s="635">
        <f t="shared" si="211"/>
        <v>0.89358770041418101</v>
      </c>
      <c r="AL50" s="629">
        <f t="shared" si="91"/>
        <v>-0.42494787074879525</v>
      </c>
      <c r="AM50" s="634">
        <f t="shared" si="92"/>
        <v>-0.14463861453485108</v>
      </c>
      <c r="AN50" s="581">
        <f t="shared" si="93"/>
        <v>-71.203074007133964</v>
      </c>
      <c r="AO50" s="582">
        <f t="shared" si="94"/>
        <v>26.672403331544729</v>
      </c>
      <c r="AP50" s="585">
        <f t="shared" si="95"/>
        <v>-25.433541271768149</v>
      </c>
      <c r="AQ50" s="586">
        <f t="shared" si="246"/>
        <v>0.62510400989920911</v>
      </c>
      <c r="AS50" s="52">
        <f t="shared" si="406"/>
        <v>-301.68000842036497</v>
      </c>
      <c r="AT50" s="72">
        <f t="shared" si="247"/>
        <v>-1.0227342679263116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6.125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-3.1553715980059622</v>
      </c>
      <c r="C51" s="708">
        <v>2.0241581681285417</v>
      </c>
      <c r="D51" s="709">
        <v>-1.938705847136835</v>
      </c>
      <c r="E51" s="710">
        <v>-0.92324010014978053</v>
      </c>
      <c r="F51" s="708">
        <v>-0.38095755373062762</v>
      </c>
      <c r="G51" s="711">
        <v>4.9990596425720263E-2</v>
      </c>
      <c r="H51" s="710">
        <v>0.26600000000000001</v>
      </c>
      <c r="I51" s="708">
        <v>0.52</v>
      </c>
      <c r="J51" s="570">
        <v>6.1310000000000002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6.1310000000000002</v>
      </c>
      <c r="N51" s="632">
        <f t="shared" si="240"/>
        <v>-3.1553715980059622</v>
      </c>
      <c r="O51" s="629">
        <f t="shared" si="241"/>
        <v>2.0241581681285417</v>
      </c>
      <c r="P51" s="633">
        <f t="shared" si="242"/>
        <v>-1.938705847136835</v>
      </c>
      <c r="Q51" s="585">
        <f t="shared" si="113"/>
        <v>147.31999172401711</v>
      </c>
      <c r="R51" s="629">
        <f t="shared" si="79"/>
        <v>3.7488113064149005</v>
      </c>
      <c r="S51" s="634">
        <f t="shared" si="80"/>
        <v>-1.938705847136835</v>
      </c>
      <c r="T51" s="635">
        <f t="shared" si="81"/>
        <v>1.9787936897087404</v>
      </c>
      <c r="U51" s="629">
        <f t="shared" si="82"/>
        <v>3.1840166055900312</v>
      </c>
      <c r="V51" s="636">
        <f t="shared" si="114"/>
        <v>-1.938705847136835</v>
      </c>
      <c r="W51" s="585">
        <f t="shared" si="224"/>
        <v>58.139991605623777</v>
      </c>
      <c r="X51" s="629">
        <f t="shared" si="83"/>
        <v>3.7488113064149005</v>
      </c>
      <c r="Y51" s="630">
        <f t="shared" si="223"/>
        <v>-1.938705847136835</v>
      </c>
      <c r="Z51" s="632">
        <f t="shared" si="243"/>
        <v>0.92324010014978053</v>
      </c>
      <c r="AA51" s="629">
        <f t="shared" si="244"/>
        <v>0.38095755373062762</v>
      </c>
      <c r="AB51" s="629">
        <f t="shared" si="245"/>
        <v>-4.9990596425720263E-2</v>
      </c>
      <c r="AC51" s="636">
        <f t="shared" si="84"/>
        <v>1</v>
      </c>
      <c r="AD51" s="637">
        <f t="shared" si="115"/>
        <v>0.92324010014978053</v>
      </c>
      <c r="AE51" s="629">
        <f t="shared" si="85"/>
        <v>0.38095755373062762</v>
      </c>
      <c r="AF51" s="633">
        <f t="shared" si="86"/>
        <v>-4.9990596425720263E-2</v>
      </c>
      <c r="AG51" s="602">
        <f t="shared" si="87"/>
        <v>82.524160420368048</v>
      </c>
      <c r="AH51" s="603">
        <f t="shared" si="88"/>
        <v>22.595544229289629</v>
      </c>
      <c r="AI51" s="585">
        <f t="shared" si="89"/>
        <v>-87.134555477139386</v>
      </c>
      <c r="AJ51" s="586">
        <f t="shared" si="90"/>
        <v>112.4225650992245</v>
      </c>
      <c r="AK51" s="635">
        <f t="shared" si="211"/>
        <v>0.81915209487729235</v>
      </c>
      <c r="AL51" s="629">
        <f t="shared" si="91"/>
        <v>-0.57139372216287454</v>
      </c>
      <c r="AM51" s="634">
        <f t="shared" si="92"/>
        <v>-4.9990596425720263E-2</v>
      </c>
      <c r="AN51" s="581">
        <f t="shared" si="93"/>
        <v>-84.999987727520221</v>
      </c>
      <c r="AO51" s="582">
        <f t="shared" si="94"/>
        <v>34.999994946625911</v>
      </c>
      <c r="AP51" s="585">
        <f t="shared" si="95"/>
        <v>-34.897426624792615</v>
      </c>
      <c r="AQ51" s="586">
        <f t="shared" si="246"/>
        <v>0.60809703324445985</v>
      </c>
      <c r="AS51" s="52">
        <f t="shared" si="406"/>
        <v>-301.86000839437622</v>
      </c>
      <c r="AT51" s="72">
        <f t="shared" si="247"/>
        <v>-1.7285113969451802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6.1310000000000002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-2.1775500690450258</v>
      </c>
      <c r="C52" s="708">
        <v>2.5495840804260133</v>
      </c>
      <c r="D52" s="709">
        <v>-0.56781170098850087</v>
      </c>
      <c r="E52" s="710">
        <v>-0.36701032096752112</v>
      </c>
      <c r="F52" s="708">
        <v>0.42971361465640762</v>
      </c>
      <c r="G52" s="711">
        <v>0.82501492936930632</v>
      </c>
      <c r="H52" s="710">
        <v>0.26250000000000001</v>
      </c>
      <c r="I52" s="708">
        <v>0.40699999999999997</v>
      </c>
      <c r="J52" s="570">
        <v>6.2190000000000003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6.2190000000000003</v>
      </c>
      <c r="N52" s="632">
        <f t="shared" si="240"/>
        <v>-2.1775500690450258</v>
      </c>
      <c r="O52" s="629">
        <f t="shared" si="241"/>
        <v>2.5495840804260133</v>
      </c>
      <c r="P52" s="633">
        <f t="shared" si="242"/>
        <v>-0.56781170098850087</v>
      </c>
      <c r="Q52" s="585">
        <f t="shared" si="113"/>
        <v>130.49999415252432</v>
      </c>
      <c r="R52" s="629">
        <f t="shared" si="79"/>
        <v>3.3529245870373758</v>
      </c>
      <c r="S52" s="634">
        <f t="shared" si="80"/>
        <v>-0.56781170098850087</v>
      </c>
      <c r="T52" s="635">
        <f t="shared" si="81"/>
        <v>2.5181596013243261</v>
      </c>
      <c r="U52" s="629">
        <f t="shared" si="82"/>
        <v>2.2138146960886016</v>
      </c>
      <c r="V52" s="636">
        <f t="shared" si="114"/>
        <v>-0.56781170098850087</v>
      </c>
      <c r="W52" s="585">
        <f t="shared" si="224"/>
        <v>41.319994034130985</v>
      </c>
      <c r="X52" s="629">
        <f t="shared" si="83"/>
        <v>3.3529245870373758</v>
      </c>
      <c r="Y52" s="630">
        <f t="shared" si="223"/>
        <v>-0.56781170098850087</v>
      </c>
      <c r="Z52" s="632">
        <f t="shared" si="243"/>
        <v>0.36701032096752112</v>
      </c>
      <c r="AA52" s="629">
        <f t="shared" si="244"/>
        <v>-0.42971361465640762</v>
      </c>
      <c r="AB52" s="629">
        <f t="shared" si="245"/>
        <v>-0.82501492936930632</v>
      </c>
      <c r="AC52" s="636">
        <f t="shared" si="84"/>
        <v>1</v>
      </c>
      <c r="AD52" s="637">
        <f t="shared" si="115"/>
        <v>0.36701032096752112</v>
      </c>
      <c r="AE52" s="629">
        <f t="shared" si="85"/>
        <v>-0.42971361465640762</v>
      </c>
      <c r="AF52" s="633">
        <f t="shared" si="86"/>
        <v>-0.82501492936930632</v>
      </c>
      <c r="AG52" s="602">
        <f t="shared" si="87"/>
        <v>-27.513004454419487</v>
      </c>
      <c r="AH52" s="603">
        <f t="shared" si="88"/>
        <v>68.468646231419115</v>
      </c>
      <c r="AI52" s="585">
        <f t="shared" si="89"/>
        <v>-34.409995031813544</v>
      </c>
      <c r="AJ52" s="586">
        <f t="shared" si="90"/>
        <v>40.500017146930631</v>
      </c>
      <c r="AK52" s="635">
        <f t="shared" si="211"/>
        <v>2.2679489669608088E-7</v>
      </c>
      <c r="AL52" s="629">
        <f t="shared" si="91"/>
        <v>-0.56511093275365587</v>
      </c>
      <c r="AM52" s="634">
        <f t="shared" si="92"/>
        <v>-0.82501492936930632</v>
      </c>
      <c r="AN52" s="581">
        <f t="shared" si="93"/>
        <v>-34.409995031811398</v>
      </c>
      <c r="AO52" s="582">
        <f t="shared" si="94"/>
        <v>0</v>
      </c>
      <c r="AP52" s="585">
        <f t="shared" si="95"/>
        <v>-89.999977005593706</v>
      </c>
      <c r="AQ52" s="586">
        <f t="shared" si="246"/>
        <v>0.67988991979608415</v>
      </c>
      <c r="AS52" s="52">
        <f t="shared" si="406"/>
        <v>-318.68000596586899</v>
      </c>
      <c r="AT52" s="72">
        <f t="shared" si="247"/>
        <v>-0.34593669692775386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6.2190000000000003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0.11899999999999999</v>
      </c>
      <c r="II52" s="734" cm="1">
        <f t="array" ref="II52">IFERROR(ROUND(VALUE(IF($IH52&lt;1,$IH52+LARGE((IF($M$9:$M$150="",0,$M$9:$M$150)-MOD(IF($M$9:$M$150="",0,$M$9:$M$150),1)),1),$IH52)),4),"")</f>
        <v>6.1189999999999998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17.519997470425324</v>
      </c>
      <c r="IM52" s="759">
        <v>1.9742366091997299E-2</v>
      </c>
      <c r="IN52" s="5">
        <f t="shared" si="226"/>
        <v>1.3</v>
      </c>
      <c r="IO52" s="771">
        <v>650</v>
      </c>
      <c r="IP52" s="9">
        <f t="shared" si="227"/>
        <v>-3.3315100478343047</v>
      </c>
      <c r="IQ52" s="5">
        <f t="shared" si="228"/>
        <v>-0.53560161537447193</v>
      </c>
      <c r="IR52" s="5">
        <f t="shared" si="383"/>
        <v>0.314</v>
      </c>
      <c r="IS52" s="5">
        <f t="shared" si="229"/>
        <v>0.30050156984823667</v>
      </c>
      <c r="IT52" s="727">
        <f t="shared" si="230"/>
        <v>53.306270268579652</v>
      </c>
      <c r="IU52" s="9">
        <f t="shared" si="231"/>
        <v>-3.3529245870373758</v>
      </c>
      <c r="IV52" s="5">
        <f t="shared" si="232"/>
        <v>-0.56781170098850087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34.409995031811398</v>
      </c>
    </row>
    <row r="53" spans="1:259" ht="15" customHeight="1" x14ac:dyDescent="0.25">
      <c r="A53" s="79"/>
      <c r="B53" s="707">
        <v>-2.4276577573776259</v>
      </c>
      <c r="C53" s="708">
        <v>2.742039237125383</v>
      </c>
      <c r="D53" s="709">
        <v>-1.286279242657048</v>
      </c>
      <c r="E53" s="710">
        <v>-0.55813423545042495</v>
      </c>
      <c r="F53" s="708">
        <v>0.63041223086346465</v>
      </c>
      <c r="G53" s="711">
        <v>0.53950587985296294</v>
      </c>
      <c r="H53" s="710">
        <v>0.26250000000000001</v>
      </c>
      <c r="I53" s="708">
        <v>0.40699999999999997</v>
      </c>
      <c r="J53" s="570">
        <v>6.2249999999999996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Inactive</v>
      </c>
      <c r="L53" s="320"/>
      <c r="M53" s="168">
        <f t="shared" si="239"/>
        <v>6.2249999999999996</v>
      </c>
      <c r="N53" s="632">
        <f t="shared" si="240"/>
        <v>-2.4276577573776259</v>
      </c>
      <c r="O53" s="629">
        <f t="shared" si="241"/>
        <v>2.742039237125383</v>
      </c>
      <c r="P53" s="633">
        <f t="shared" si="242"/>
        <v>-1.286279242657048</v>
      </c>
      <c r="Q53" s="585">
        <f t="shared" si="113"/>
        <v>131.51999400525457</v>
      </c>
      <c r="R53" s="629">
        <f t="shared" ref="R53:R58" si="410">IF(M53="","",SQRT(N53^2+O53^2))</f>
        <v>3.6622808965030131</v>
      </c>
      <c r="S53" s="634">
        <f t="shared" ref="S53:S58" si="411">IF(M53="","",P53)</f>
        <v>-1.286279242657048</v>
      </c>
      <c r="T53" s="635">
        <f t="shared" ref="T53:T58" si="412">IF(M53="","",X53*COS(RADIANS(W53)))</f>
        <v>2.7070157051155337</v>
      </c>
      <c r="U53" s="629">
        <f t="shared" ref="U53:U58" si="413">IF(M53="","",X53*SIN(RADIANS(W53)))</f>
        <v>2.4666510367599148</v>
      </c>
      <c r="V53" s="636">
        <f t="shared" ref="V53:V58" si="414">IF(M53="","",Y53)</f>
        <v>-1.286279242657048</v>
      </c>
      <c r="W53" s="585">
        <f t="shared" si="224"/>
        <v>42.339993886861237</v>
      </c>
      <c r="X53" s="629">
        <f t="shared" ref="X53:X58" si="415">IF(M53="","",R53)</f>
        <v>3.6622808965030131</v>
      </c>
      <c r="Y53" s="630">
        <f t="shared" si="223"/>
        <v>-1.286279242657048</v>
      </c>
      <c r="Z53" s="632">
        <f t="shared" si="243"/>
        <v>0.55813423545042495</v>
      </c>
      <c r="AA53" s="629">
        <f t="shared" si="244"/>
        <v>-0.63041223086346465</v>
      </c>
      <c r="AB53" s="629">
        <f t="shared" si="245"/>
        <v>-0.53950587985296294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0.55813423545042495</v>
      </c>
      <c r="AE53" s="629">
        <f t="shared" ref="AE53:AE58" si="418">IF(M53="","",AA53*(1/SQRT(Z53^2+AA53^2+AB53^2)))</f>
        <v>-0.63041223086346465</v>
      </c>
      <c r="AF53" s="633">
        <f t="shared" ref="AF53:AF58" si="419">IF(M53="","",AB53*(1/SQRT(Z53^2+AA53^2+AB53^2)))</f>
        <v>-0.53950587985296294</v>
      </c>
      <c r="AG53" s="602">
        <f t="shared" ref="AG53:AG58" si="420">IF(M53="","",DEGREES(ATAN2(-AF53,AE53)))</f>
        <v>-49.443136070225179</v>
      </c>
      <c r="AH53" s="603">
        <f t="shared" ref="AH53:AH58" si="421">IF(M53="","",DEGREES(ACOS(AD53)))</f>
        <v>56.073134351521603</v>
      </c>
      <c r="AI53" s="585">
        <f t="shared" ref="AI53:AI58" si="422">IF(M53="","",DEGREES(-ACOS(-AF53)))</f>
        <v>-57.349991719686635</v>
      </c>
      <c r="AJ53" s="586">
        <f t="shared" ref="AJ53:AJ58" si="423">IF(M53="","",DEGREES(ATAN2(-AE53,AD53)))</f>
        <v>41.52000943835526</v>
      </c>
      <c r="AK53" s="635">
        <f t="shared" ref="AK53:AK58" si="424">IF(M53="","",(COS(RADIANS((90-$Q$8)-W53))*AD53)+(-SIN(RADIANS((90-$Q$8)-W53))*AE53))</f>
        <v>2.2679489652954743E-7</v>
      </c>
      <c r="AL53" s="629">
        <f t="shared" ref="AL53:AL58" si="425">IF(M53="","",(SIN(RADIANS((90-$Q$8)-W53))*AD53)+(COS(RADIANS((90-$Q$8)-W53))*AE53))</f>
        <v>-0.84198183211042577</v>
      </c>
      <c r="AM53" s="634">
        <f t="shared" ref="AM53:AM58" si="426">IF(M53="","",AF53)</f>
        <v>-0.53950587985296294</v>
      </c>
      <c r="AN53" s="581">
        <f t="shared" ref="AN53:AN58" si="427">IF(M53="","",DEGREES(ATAN2(-AM53,AL53)))</f>
        <v>-57.349991719685697</v>
      </c>
      <c r="AO53" s="582">
        <f t="shared" si="94"/>
        <v>0</v>
      </c>
      <c r="AP53" s="585">
        <f t="shared" ref="AP53:AP58" si="428">IF(M53="","",DEGREES(ATAN2(AK53,AL53)))</f>
        <v>-89.999984566899315</v>
      </c>
      <c r="AQ53" s="586">
        <f t="shared" si="246"/>
        <v>0.62246370652836935</v>
      </c>
      <c r="AS53" s="52">
        <f t="shared" si="406"/>
        <v>-317.66000611313876</v>
      </c>
      <c r="AT53" s="72">
        <f t="shared" si="247"/>
        <v>-1.0651125718273637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6.2249999999999996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0.125</v>
      </c>
      <c r="II53" s="734" cm="1">
        <f t="array" ref="II53">IFERROR(ROUND(VALUE(IF($IH53&lt;1,$IH53+LARGE((IF($M$9:$M$150="",0,$M$9:$M$150)-MOD(IF($M$9:$M$150="",0,$M$9:$M$150),1)),1),$IH53)),4),"")</f>
        <v>6.125</v>
      </c>
      <c r="IJ53" s="533">
        <f t="shared" si="112"/>
        <v>1613</v>
      </c>
      <c r="IK53" s="533" t="str">
        <f t="shared" si="382"/>
        <v>Inactive</v>
      </c>
      <c r="IL53" s="727">
        <f t="shared" si="225"/>
        <v>15.979997692773793</v>
      </c>
      <c r="IM53" s="759">
        <v>2.03716641415594E-4</v>
      </c>
      <c r="IN53" s="5">
        <f t="shared" si="226"/>
        <v>0</v>
      </c>
      <c r="IO53" s="771">
        <v>0</v>
      </c>
      <c r="IP53" s="9">
        <f t="shared" si="227"/>
        <v>-3.646810998781973</v>
      </c>
      <c r="IQ53" s="5">
        <f t="shared" si="228"/>
        <v>-1.2328037181360141</v>
      </c>
      <c r="IR53" s="5">
        <f t="shared" si="383"/>
        <v>0.314</v>
      </c>
      <c r="IS53" s="5">
        <f t="shared" si="229"/>
        <v>0.28058653793005284</v>
      </c>
      <c r="IT53" s="727">
        <f t="shared" si="230"/>
        <v>71.203074007133964</v>
      </c>
      <c r="IU53" s="9">
        <f t="shared" si="231"/>
        <v>-3.6622808965030131</v>
      </c>
      <c r="IV53" s="5">
        <f t="shared" si="232"/>
        <v>-1.286279242657048</v>
      </c>
      <c r="IW53" s="5">
        <f t="shared" si="384"/>
        <v>0.26250000000000001</v>
      </c>
      <c r="IX53" s="5">
        <f t="shared" si="233"/>
        <v>0.26250000000000001</v>
      </c>
      <c r="IY53" s="762">
        <f t="shared" si="234"/>
        <v>57.349991719685697</v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0.96583617972618152</v>
      </c>
      <c r="F156" s="170">
        <f t="shared" si="929"/>
        <v>2.79452738189527E-2</v>
      </c>
      <c r="G156" s="170">
        <f t="shared" si="929"/>
        <v>-0.25764226284350006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0.96288001137080859</v>
      </c>
      <c r="F157" s="170">
        <f t="shared" si="929"/>
        <v>-0.10575671577583916</v>
      </c>
      <c r="G157" s="170">
        <f t="shared" si="929"/>
        <v>-0.24834975492409928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0.95481756300624221</v>
      </c>
      <c r="F158" s="170">
        <f t="shared" si="929"/>
        <v>-0.23937894087535502</v>
      </c>
      <c r="G158" s="170">
        <f t="shared" si="929"/>
        <v>-0.17612820342072988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0.89076943682589782</v>
      </c>
      <c r="F159" s="170">
        <f t="shared" si="929"/>
        <v>-0.42727908660065239</v>
      </c>
      <c r="G159" s="170">
        <f t="shared" si="929"/>
        <v>-0.15479790880559438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0.7915390614585831</v>
      </c>
      <c r="F160" s="170">
        <f t="shared" si="929"/>
        <v>-0.60907048397887942</v>
      </c>
      <c r="G160" s="170">
        <f t="shared" si="929"/>
        <v>-4.9990596425720554E-2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-0.17279825151124079</v>
      </c>
      <c r="F161" s="170">
        <f t="shared" si="929"/>
        <v>-0.47865533528476689</v>
      </c>
      <c r="G161" s="170">
        <f t="shared" si="929"/>
        <v>-0.86083089760886566</v>
      </c>
      <c r="H161" s="139"/>
      <c r="I161" s="86"/>
      <c r="J161" s="79">
        <f t="shared" si="930"/>
        <v>1.218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-0.25569837909760806</v>
      </c>
      <c r="F162" s="170">
        <f t="shared" si="929"/>
        <v>-0.76243340829455752</v>
      </c>
      <c r="G162" s="170">
        <f t="shared" si="929"/>
        <v>-0.59440191524186758</v>
      </c>
      <c r="H162" s="139"/>
      <c r="I162" s="86"/>
      <c r="J162" s="79">
        <f t="shared" si="930"/>
        <v>1.224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0.48922558917338499</v>
      </c>
      <c r="F163" s="170">
        <f t="shared" si="929"/>
        <v>-0.83402084099009521</v>
      </c>
      <c r="G163" s="170">
        <f t="shared" si="929"/>
        <v>-0.25508343672635575</v>
      </c>
      <c r="H163" s="139"/>
      <c r="I163" s="86"/>
      <c r="J163" s="79">
        <f t="shared" si="930"/>
        <v>2.1110000000000002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0.36776757905797824</v>
      </c>
      <c r="F164" s="170">
        <f t="shared" si="929"/>
        <v>-0.90994108502979154</v>
      </c>
      <c r="G164" s="170">
        <f t="shared" si="929"/>
        <v>-0.19171392638157428</v>
      </c>
      <c r="H164" s="139"/>
      <c r="I164" s="86"/>
      <c r="J164" s="79">
        <f t="shared" si="930"/>
        <v>2.117</v>
      </c>
    </row>
    <row r="165" spans="5:16" x14ac:dyDescent="0.25">
      <c r="E165" s="170">
        <f t="shared" si="929"/>
        <v>0.20025299972598604</v>
      </c>
      <c r="F165" s="170">
        <f t="shared" si="929"/>
        <v>-0.96644041672527914</v>
      </c>
      <c r="G165" s="170">
        <f t="shared" si="929"/>
        <v>-0.1609088469308424</v>
      </c>
      <c r="H165" s="139"/>
      <c r="I165" s="86"/>
      <c r="J165" s="79">
        <f t="shared" si="930"/>
        <v>2.1230000000000002</v>
      </c>
    </row>
    <row r="166" spans="5:16" x14ac:dyDescent="0.25">
      <c r="E166" s="170">
        <f t="shared" si="929"/>
        <v>-4.4913944808489703E-2</v>
      </c>
      <c r="F166" s="170">
        <f t="shared" si="929"/>
        <v>-0.99773928349581431</v>
      </c>
      <c r="G166" s="170">
        <f t="shared" si="929"/>
        <v>-4.9990596425720693E-2</v>
      </c>
      <c r="H166" s="139"/>
      <c r="I166" s="86"/>
      <c r="J166" s="79">
        <f t="shared" si="930"/>
        <v>2.129</v>
      </c>
    </row>
    <row r="167" spans="5:16" x14ac:dyDescent="0.25">
      <c r="E167" s="170">
        <f t="shared" si="929"/>
        <v>-0.43547651068702969</v>
      </c>
      <c r="F167" s="170">
        <f t="shared" si="929"/>
        <v>-0.11440751133124899</v>
      </c>
      <c r="G167" s="170">
        <f t="shared" si="929"/>
        <v>-0.89290040317542663</v>
      </c>
      <c r="H167" s="139"/>
      <c r="I167" s="86"/>
      <c r="J167" s="79">
        <f t="shared" si="930"/>
        <v>2.2170000000000001</v>
      </c>
    </row>
    <row r="168" spans="5:16" x14ac:dyDescent="0.25">
      <c r="E168" s="170">
        <f t="shared" si="929"/>
        <v>-0.7318968567609857</v>
      </c>
      <c r="F168" s="170">
        <f t="shared" si="929"/>
        <v>-0.21485351510654802</v>
      </c>
      <c r="G168" s="170">
        <f t="shared" si="929"/>
        <v>-0.64665675447624438</v>
      </c>
      <c r="H168" s="139"/>
      <c r="I168" s="86"/>
      <c r="J168" s="79">
        <f t="shared" si="930"/>
        <v>2.2229999999999999</v>
      </c>
    </row>
    <row r="169" spans="5:16" x14ac:dyDescent="0.25">
      <c r="E169" s="170">
        <f t="shared" si="929"/>
        <v>-0.42495075868149662</v>
      </c>
      <c r="F169" s="170">
        <f t="shared" si="929"/>
        <v>-0.87000969481008184</v>
      </c>
      <c r="G169" s="170">
        <f t="shared" si="929"/>
        <v>-0.2499999672649757</v>
      </c>
      <c r="H169" s="139"/>
      <c r="I169" s="86"/>
      <c r="J169" s="79">
        <f t="shared" si="930"/>
        <v>3.1030000000000002</v>
      </c>
    </row>
    <row r="170" spans="5:16" x14ac:dyDescent="0.25">
      <c r="E170" s="170">
        <f t="shared" si="929"/>
        <v>-0.42495075868149662</v>
      </c>
      <c r="F170" s="170">
        <f t="shared" si="929"/>
        <v>-0.87000969481008184</v>
      </c>
      <c r="G170" s="170">
        <f t="shared" si="929"/>
        <v>-0.2499999672649757</v>
      </c>
      <c r="H170" s="139"/>
      <c r="I170" s="86"/>
      <c r="J170" s="79">
        <f t="shared" si="930"/>
        <v>3.1059999999999999</v>
      </c>
    </row>
    <row r="171" spans="5:16" x14ac:dyDescent="0.25">
      <c r="E171" s="170">
        <f t="shared" si="929"/>
        <v>-0.52882104561366983</v>
      </c>
      <c r="F171" s="170">
        <f t="shared" si="929"/>
        <v>-0.8083921148431279</v>
      </c>
      <c r="G171" s="170">
        <f t="shared" si="929"/>
        <v>-0.25855461778030614</v>
      </c>
      <c r="H171" s="139"/>
      <c r="I171" s="86"/>
      <c r="J171" s="79">
        <f t="shared" si="930"/>
        <v>3.11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-0.65241941555692884</v>
      </c>
      <c r="F172" s="170">
        <f t="shared" si="929"/>
        <v>-0.72931267235171349</v>
      </c>
      <c r="G172" s="170">
        <f t="shared" si="929"/>
        <v>-0.20603866664186549</v>
      </c>
      <c r="H172" s="139"/>
      <c r="I172" s="86"/>
      <c r="J172" s="79">
        <f t="shared" si="930"/>
        <v>3.1160000000000001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-0.76669918483393484</v>
      </c>
      <c r="F173" s="170">
        <f t="shared" si="929"/>
        <v>-0.62099102647484994</v>
      </c>
      <c r="G173" s="170">
        <f t="shared" si="929"/>
        <v>-0.16291870676104733</v>
      </c>
      <c r="H173" s="139"/>
      <c r="I173" s="86"/>
      <c r="J173" s="79">
        <f t="shared" si="930"/>
        <v>3.1219999999999999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-0.9232402729481437</v>
      </c>
      <c r="F174" s="170">
        <f t="shared" si="933"/>
        <v>-0.38095713495830213</v>
      </c>
      <c r="G174" s="170">
        <f t="shared" si="933"/>
        <v>-4.999059642572079E-2</v>
      </c>
      <c r="H174" s="139"/>
      <c r="I174" s="86"/>
      <c r="J174" s="79">
        <f t="shared" si="930"/>
        <v>3.1280000000000001</v>
      </c>
    </row>
    <row r="175" spans="5:16" x14ac:dyDescent="0.25">
      <c r="E175" s="170">
        <f t="shared" si="933"/>
        <v>-0.24639683123062422</v>
      </c>
      <c r="F175" s="170">
        <f t="shared" si="933"/>
        <v>0.30200471235099252</v>
      </c>
      <c r="G175" s="170">
        <f t="shared" si="933"/>
        <v>-0.92091354386679625</v>
      </c>
      <c r="H175" s="139"/>
      <c r="I175" s="86"/>
      <c r="J175" s="79">
        <f t="shared" si="930"/>
        <v>3.2160000000000002</v>
      </c>
    </row>
    <row r="176" spans="5:16" x14ac:dyDescent="0.25">
      <c r="E176" s="170">
        <f t="shared" si="933"/>
        <v>-0.47295626873303948</v>
      </c>
      <c r="F176" s="170">
        <f t="shared" si="933"/>
        <v>0.54006363924848289</v>
      </c>
      <c r="G176" s="170">
        <f t="shared" si="933"/>
        <v>-0.6961635105546724</v>
      </c>
      <c r="H176" s="139"/>
      <c r="I176" s="86"/>
      <c r="J176" s="79">
        <f t="shared" si="930"/>
        <v>3.222</v>
      </c>
    </row>
    <row r="177" spans="5:10" x14ac:dyDescent="0.25">
      <c r="E177" s="170">
        <f t="shared" si="933"/>
        <v>-0.96502650037823789</v>
      </c>
      <c r="F177" s="170">
        <f t="shared" si="933"/>
        <v>3.3128702514188306E-2</v>
      </c>
      <c r="G177" s="170">
        <f t="shared" si="933"/>
        <v>-0.26005065398390642</v>
      </c>
      <c r="H177" s="139"/>
      <c r="I177" s="86"/>
      <c r="J177" s="79">
        <f t="shared" si="930"/>
        <v>4.109</v>
      </c>
    </row>
    <row r="178" spans="5:10" x14ac:dyDescent="0.25">
      <c r="E178" s="170">
        <f t="shared" si="933"/>
        <v>-0.95924374225646658</v>
      </c>
      <c r="F178" s="170">
        <f t="shared" si="933"/>
        <v>0.1785141462401385</v>
      </c>
      <c r="G178" s="170">
        <f t="shared" si="933"/>
        <v>-0.21905283046325635</v>
      </c>
      <c r="H178" s="139"/>
      <c r="I178" s="86"/>
      <c r="J178" s="79">
        <f t="shared" si="930"/>
        <v>4.1150000000000002</v>
      </c>
    </row>
    <row r="179" spans="5:10" x14ac:dyDescent="0.25">
      <c r="E179" s="170">
        <f t="shared" si="933"/>
        <v>-0.93462411191907102</v>
      </c>
      <c r="F179" s="170">
        <f t="shared" si="933"/>
        <v>0.31708849595307437</v>
      </c>
      <c r="G179" s="170">
        <f t="shared" si="933"/>
        <v>-0.16103619206161415</v>
      </c>
      <c r="H179" s="139"/>
      <c r="I179" s="86"/>
      <c r="J179" s="79">
        <f t="shared" si="930"/>
        <v>4.1210000000000004</v>
      </c>
    </row>
    <row r="180" spans="5:10" x14ac:dyDescent="0.25">
      <c r="E180" s="170">
        <f t="shared" si="933"/>
        <v>-0.83820027810807241</v>
      </c>
      <c r="F180" s="170">
        <f t="shared" si="933"/>
        <v>0.53373145965482827</v>
      </c>
      <c r="G180" s="170">
        <f t="shared" si="933"/>
        <v>-0.11203134719477609</v>
      </c>
      <c r="H180" s="139"/>
      <c r="I180" s="86"/>
      <c r="J180" s="79">
        <f t="shared" si="930"/>
        <v>4.1269999999999998</v>
      </c>
    </row>
    <row r="181" spans="5:10" x14ac:dyDescent="0.25">
      <c r="E181" s="170">
        <f t="shared" si="933"/>
        <v>-0.79153878519034671</v>
      </c>
      <c r="F181" s="170">
        <f t="shared" si="933"/>
        <v>0.60907084301285608</v>
      </c>
      <c r="G181" s="170">
        <f t="shared" si="933"/>
        <v>-4.9990596425720582E-2</v>
      </c>
      <c r="H181" s="139"/>
      <c r="I181" s="86"/>
      <c r="J181" s="79">
        <f t="shared" si="930"/>
        <v>4.133</v>
      </c>
    </row>
    <row r="182" spans="5:10" x14ac:dyDescent="0.25">
      <c r="E182" s="170">
        <f t="shared" si="933"/>
        <v>0.11951445598182485</v>
      </c>
      <c r="F182" s="170">
        <f t="shared" si="933"/>
        <v>0.30496521013177647</v>
      </c>
      <c r="G182" s="170">
        <f t="shared" si="933"/>
        <v>-0.94483464977775344</v>
      </c>
      <c r="H182" s="139"/>
      <c r="I182" s="86"/>
      <c r="J182" s="79">
        <f t="shared" si="930"/>
        <v>4.2149999999999999</v>
      </c>
    </row>
    <row r="183" spans="5:10" x14ac:dyDescent="0.25">
      <c r="E183" s="170">
        <f t="shared" si="933"/>
        <v>0.21776919454494334</v>
      </c>
      <c r="F183" s="170">
        <f t="shared" si="933"/>
        <v>0.63352491316646176</v>
      </c>
      <c r="G183" s="170">
        <f t="shared" si="933"/>
        <v>-0.74244377720112509</v>
      </c>
      <c r="H183" s="139"/>
      <c r="I183" s="86"/>
      <c r="J183" s="79">
        <f t="shared" si="930"/>
        <v>4.2210000000000001</v>
      </c>
    </row>
    <row r="184" spans="5:10" x14ac:dyDescent="0.25">
      <c r="E184" s="170">
        <f t="shared" si="933"/>
        <v>-0.47273314551621665</v>
      </c>
      <c r="F184" s="170">
        <f t="shared" si="933"/>
        <v>0.83472650352623445</v>
      </c>
      <c r="G184" s="170">
        <f t="shared" si="933"/>
        <v>-0.28240934375691412</v>
      </c>
      <c r="H184" s="139"/>
      <c r="I184" s="86"/>
      <c r="J184" s="79">
        <f t="shared" si="930"/>
        <v>5.1020000000000003</v>
      </c>
    </row>
    <row r="185" spans="5:10" x14ac:dyDescent="0.25">
      <c r="E185" s="170">
        <f t="shared" si="933"/>
        <v>-0.46892874510133487</v>
      </c>
      <c r="F185" s="170">
        <f t="shared" si="933"/>
        <v>0.84711619532694493</v>
      </c>
      <c r="G185" s="170">
        <f t="shared" si="933"/>
        <v>-0.24999996726497567</v>
      </c>
      <c r="H185" s="139"/>
      <c r="I185" s="86"/>
      <c r="J185" s="79">
        <f t="shared" si="930"/>
        <v>5.1050000000000004</v>
      </c>
    </row>
    <row r="186" spans="5:10" x14ac:dyDescent="0.25">
      <c r="E186" s="170">
        <f t="shared" si="933"/>
        <v>-0.39657320352163083</v>
      </c>
      <c r="F186" s="170">
        <f t="shared" si="933"/>
        <v>0.88029126841361693</v>
      </c>
      <c r="G186" s="170">
        <f t="shared" si="933"/>
        <v>-0.2604169291796074</v>
      </c>
      <c r="H186" s="139"/>
      <c r="I186" s="86"/>
      <c r="J186" s="79">
        <f t="shared" si="930"/>
        <v>5.1079999999999997</v>
      </c>
    </row>
    <row r="187" spans="5:10" x14ac:dyDescent="0.25">
      <c r="E187" s="170">
        <f t="shared" si="933"/>
        <v>-0.26515927746955653</v>
      </c>
      <c r="F187" s="170">
        <f t="shared" si="933"/>
        <v>0.93623407395475655</v>
      </c>
      <c r="G187" s="170">
        <f t="shared" si="933"/>
        <v>-0.23055653609885404</v>
      </c>
      <c r="H187" s="139"/>
      <c r="I187" s="86"/>
      <c r="J187" s="79">
        <f t="shared" si="930"/>
        <v>5.1139999999999999</v>
      </c>
    </row>
    <row r="188" spans="5:10" x14ac:dyDescent="0.25">
      <c r="E188" s="170">
        <f t="shared" si="933"/>
        <v>-0.1337930687140387</v>
      </c>
      <c r="F188" s="170">
        <f t="shared" si="933"/>
        <v>0.97662209440842151</v>
      </c>
      <c r="G188" s="170">
        <f t="shared" si="933"/>
        <v>-0.16825189293850096</v>
      </c>
      <c r="H188" s="139"/>
      <c r="I188" s="86"/>
      <c r="J188" s="79">
        <f t="shared" si="930"/>
        <v>5.12</v>
      </c>
    </row>
    <row r="189" spans="5:10" x14ac:dyDescent="0.25">
      <c r="E189" s="170">
        <f t="shared" si="933"/>
        <v>9.0320242241522616E-2</v>
      </c>
      <c r="F189" s="170">
        <f t="shared" si="933"/>
        <v>0.98734322734705715</v>
      </c>
      <c r="G189" s="170">
        <f t="shared" si="933"/>
        <v>-0.13036719393056773</v>
      </c>
      <c r="H189" s="139"/>
      <c r="I189" s="86"/>
      <c r="J189" s="79">
        <f t="shared" si="930"/>
        <v>5.1260000000000003</v>
      </c>
    </row>
    <row r="190" spans="5:10" x14ac:dyDescent="0.25">
      <c r="E190" s="170">
        <f t="shared" si="933"/>
        <v>0.21748674271630036</v>
      </c>
      <c r="F190" s="170">
        <f t="shared" si="933"/>
        <v>0.97478226133411683</v>
      </c>
      <c r="G190" s="170">
        <f t="shared" si="933"/>
        <v>-4.9990596425720596E-2</v>
      </c>
      <c r="H190" s="139"/>
      <c r="I190" s="86"/>
      <c r="J190" s="79">
        <f t="shared" si="930"/>
        <v>5.1319999999999997</v>
      </c>
    </row>
    <row r="191" spans="5:10" x14ac:dyDescent="0.25">
      <c r="E191" s="170">
        <f t="shared" si="933"/>
        <v>0.2633715830283464</v>
      </c>
      <c r="F191" s="170">
        <f t="shared" si="933"/>
        <v>1.3249825796334609E-2</v>
      </c>
      <c r="G191" s="170">
        <f t="shared" si="933"/>
        <v>-0.96460346846230527</v>
      </c>
      <c r="H191" s="139"/>
      <c r="I191" s="86"/>
      <c r="J191" s="79">
        <f t="shared" si="930"/>
        <v>5.2140000000000004</v>
      </c>
    </row>
    <row r="192" spans="5:10" x14ac:dyDescent="0.25">
      <c r="E192" s="170">
        <f t="shared" si="933"/>
        <v>0.61579908020809637</v>
      </c>
      <c r="F192" s="170">
        <f t="shared" si="933"/>
        <v>6.244208310661345E-2</v>
      </c>
      <c r="G192" s="170">
        <f t="shared" si="933"/>
        <v>-0.7854250308413715</v>
      </c>
      <c r="H192" s="139"/>
      <c r="I192" s="86"/>
      <c r="J192" s="79">
        <f t="shared" si="930"/>
        <v>5.22</v>
      </c>
    </row>
    <row r="193" spans="5:10" x14ac:dyDescent="0.25">
      <c r="E193" s="170">
        <f t="shared" si="933"/>
        <v>0.59441208925315758</v>
      </c>
      <c r="F193" s="170">
        <f t="shared" si="933"/>
        <v>0.76740961198083035</v>
      </c>
      <c r="G193" s="170">
        <f t="shared" si="933"/>
        <v>-0.24032635225694174</v>
      </c>
      <c r="H193" s="139"/>
      <c r="I193" s="86"/>
      <c r="J193" s="79">
        <f t="shared" si="930"/>
        <v>6.1130000000000004</v>
      </c>
    </row>
    <row r="194" spans="5:10" x14ac:dyDescent="0.25">
      <c r="E194" s="170">
        <f t="shared" ref="E194:G213" si="934">E49*-1</f>
        <v>0.7041327511613219</v>
      </c>
      <c r="F194" s="170">
        <f t="shared" si="934"/>
        <v>0.68859178349007211</v>
      </c>
      <c r="G194" s="170">
        <f t="shared" si="934"/>
        <v>-0.17331596710040792</v>
      </c>
      <c r="H194" s="139"/>
      <c r="I194" s="86"/>
      <c r="J194" s="79">
        <f t="shared" si="930"/>
        <v>6.1189999999999998</v>
      </c>
    </row>
    <row r="195" spans="5:10" x14ac:dyDescent="0.25">
      <c r="E195" s="170">
        <f t="shared" si="934"/>
        <v>0.83852179667914373</v>
      </c>
      <c r="F195" s="170">
        <f t="shared" si="934"/>
        <v>0.52531977659271478</v>
      </c>
      <c r="G195" s="170">
        <f t="shared" si="934"/>
        <v>-0.14463861453485108</v>
      </c>
      <c r="H195" s="139"/>
      <c r="I195" s="86"/>
      <c r="J195" s="79">
        <f t="shared" si="930"/>
        <v>6.125</v>
      </c>
    </row>
    <row r="196" spans="5:10" x14ac:dyDescent="0.25">
      <c r="E196" s="170">
        <f t="shared" si="934"/>
        <v>0.92324010014978053</v>
      </c>
      <c r="F196" s="170">
        <f t="shared" si="934"/>
        <v>0.38095755373062762</v>
      </c>
      <c r="G196" s="170">
        <f t="shared" si="934"/>
        <v>-4.9990596425720263E-2</v>
      </c>
      <c r="H196" s="139"/>
      <c r="I196" s="86"/>
      <c r="J196" s="79">
        <f t="shared" si="930"/>
        <v>6.1310000000000002</v>
      </c>
    </row>
    <row r="197" spans="5:10" x14ac:dyDescent="0.25">
      <c r="E197" s="170">
        <f t="shared" si="934"/>
        <v>0.36701032096752112</v>
      </c>
      <c r="F197" s="170">
        <f t="shared" si="934"/>
        <v>-0.42971361465640762</v>
      </c>
      <c r="G197" s="170">
        <f t="shared" si="934"/>
        <v>-0.82501492936930632</v>
      </c>
      <c r="H197" s="139"/>
      <c r="I197" s="86"/>
      <c r="J197" s="79">
        <f t="shared" si="930"/>
        <v>6.2190000000000003</v>
      </c>
    </row>
    <row r="198" spans="5:10" x14ac:dyDescent="0.25">
      <c r="E198" s="170">
        <f t="shared" si="934"/>
        <v>0.55813423545042495</v>
      </c>
      <c r="F198" s="170">
        <f t="shared" si="934"/>
        <v>-0.63041223086346465</v>
      </c>
      <c r="G198" s="170">
        <f t="shared" si="934"/>
        <v>-0.53950587985296294</v>
      </c>
      <c r="H198" s="139"/>
      <c r="I198" s="86"/>
      <c r="J198" s="79">
        <f t="shared" si="930"/>
        <v>6.2249999999999996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BB58BE1-1BF6-4051-BBA5-2003807D3E9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B2C64C5F-C049-4DA6-B064-871154CE4C0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7.875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1.218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1.224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2.1110000000000002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2.129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2.2170000000000001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2.2229999999999999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3.1030000000000002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3.1059999999999999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3.1160000000000001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3.1219999999999999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3.1280000000000001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3.2160000000000002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3.222</v>
      </c>
      <c r="N186" s="869" t="str">
        <f>Assy.Model!K31</f>
        <v>Inactive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4.109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4.1150000000000002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4.1210000000000004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4.1269999999999998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4.133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4.2149999999999999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4.2210000000000001</v>
      </c>
      <c r="N193" s="869" t="str">
        <f>Assy.Model!K38</f>
        <v>Inactive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5.1020000000000003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5.1050000000000004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5.1079999999999997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5.1139999999999999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5.1260000000000003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5.1319999999999997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5.2140000000000004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5.22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6.1130000000000004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6.1189999999999998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6.125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6.1310000000000002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6.2190000000000003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6.2249999999999996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2023-03-30T12:29:51Z</dcterms:modified>
</cp:coreProperties>
</file>