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70\"/>
    </mc:Choice>
  </mc:AlternateContent>
  <xr:revisionPtr revIDLastSave="0" documentId="13_ncr:1_{0738020D-95A8-443D-B7C0-DD6DF692668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T10" i="1"/>
  <c r="IX10" i="1"/>
  <c r="IR10" i="1"/>
  <c r="IV10" i="1"/>
  <c r="IY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IQ10" i="1"/>
  <c r="IS10" i="1"/>
  <c r="IK10" i="1"/>
  <c r="IU10" i="1"/>
  <c r="IE10" i="1" s="1"/>
  <c r="IP10" i="1"/>
  <c r="IW10" i="1"/>
  <c r="IN10" i="1"/>
  <c r="IL10" i="1"/>
  <c r="JB10" i="1" a="1"/>
  <c r="JB10" i="1" s="1"/>
  <c r="JA23" i="1" a="1"/>
  <c r="JA23" i="1" s="1"/>
  <c r="IF85" i="1"/>
  <c r="IF129" i="1"/>
  <c r="IF73" i="1"/>
  <c r="IF138" i="1"/>
  <c r="IF10" i="1"/>
  <c r="IF150" i="1"/>
  <c r="IF148" i="1"/>
  <c r="IF127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l="1"/>
  <c r="IQ38" i="1"/>
  <c r="IQ19" i="1"/>
  <c r="IV15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Q55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15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2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IQ4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2" i="1" l="1"/>
  <c r="IV48" i="1"/>
  <c r="IU36" i="1"/>
  <c r="IE36" i="1" s="1"/>
  <c r="IP38" i="1"/>
  <c r="IV45" i="1"/>
  <c r="IQ49" i="1"/>
  <c r="IV27" i="1"/>
  <c r="IQ31" i="1"/>
  <c r="IQ64" i="1"/>
  <c r="IV55" i="1"/>
  <c r="IV43" i="1"/>
  <c r="IQ47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IP49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5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P55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IP31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48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2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43" i="1" l="1"/>
  <c r="IE43" i="1" s="1"/>
  <c r="IP47" i="1"/>
  <c r="IP19" i="1"/>
  <c r="IU15" i="1"/>
  <c r="IE15" i="1" s="1"/>
  <c r="IP54" i="1"/>
  <c r="IP52" i="1"/>
  <c r="IU48" i="1"/>
  <c r="IE48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IL47" i="1" s="1"/>
  <c r="W44" i="1"/>
  <c r="IL48" i="1" s="1"/>
  <c r="W41" i="1"/>
  <c r="W42" i="1"/>
  <c r="W39" i="1"/>
  <c r="W40" i="1"/>
  <c r="W37" i="1"/>
  <c r="W38" i="1"/>
  <c r="W35" i="1"/>
  <c r="W36" i="1"/>
  <c r="IL38" i="1" s="1"/>
  <c r="W33" i="1"/>
  <c r="W34" i="1"/>
  <c r="W31" i="1"/>
  <c r="W32" i="1"/>
  <c r="W29" i="1"/>
  <c r="W30" i="1"/>
  <c r="W27" i="1"/>
  <c r="W28" i="1"/>
  <c r="IL32" i="1" s="1"/>
  <c r="W25" i="1"/>
  <c r="W26" i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6" i="1" l="1"/>
  <c r="IL49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IT55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IF49" i="1" s="1"/>
  <c r="AK50" i="1"/>
  <c r="AL50" i="1"/>
  <c r="AN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48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IT15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X43" i="1" l="1"/>
  <c r="IF43" i="1" s="1"/>
  <c r="IS47" i="1"/>
  <c r="IY43" i="1"/>
  <c r="IT47" i="1"/>
  <c r="IY36" i="1"/>
  <c r="IT38" i="1"/>
  <c r="IY45" i="1"/>
  <c r="IT4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IS55" i="1" s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AP46" i="1"/>
  <c r="AO46" i="1"/>
  <c r="AP43" i="1"/>
  <c r="AO44" i="1"/>
  <c r="IS48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IX38" i="1" s="1"/>
  <c r="IF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IF15" i="1" s="1"/>
  <c r="AO16" i="1"/>
  <c r="AP16" i="1"/>
  <c r="AO13" i="1"/>
  <c r="AP13" i="1"/>
  <c r="AO14" i="1"/>
  <c r="IS20" i="1" s="1"/>
  <c r="AP14" i="1"/>
  <c r="AP11" i="1"/>
  <c r="AO12" i="1"/>
  <c r="IS15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2" i="1" l="1"/>
  <c r="IX48" i="1"/>
  <c r="IF48" i="1" s="1"/>
  <c r="IX36" i="1"/>
  <c r="IF36" i="1" s="1"/>
  <c r="IS38" i="1"/>
  <c r="IT29" i="1"/>
  <c r="IY47" i="1"/>
  <c r="IF47" i="1" s="1"/>
  <c r="IS46" i="1"/>
  <c r="IX45" i="1"/>
  <c r="IF45" i="1" s="1"/>
  <c r="IS49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<sst xmlns="http://schemas.openxmlformats.org/spreadsheetml/2006/main" count="734" uniqueCount="391">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</sst>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6.75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30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1.114's θ about Z Axis</v>
      </c>
      <c r="U5" s="1136"/>
      <c r="V5" s="1137"/>
      <c r="W5" s="1136" t="str">
        <f>CONCATENATE("Relative to ",M8,"'s θ about Z Axis")</f>
        <v>Relative to 1.114's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1.114's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1.1140000000000001</v>
      </c>
      <c r="N8" s="608"/>
      <c r="O8" s="609"/>
      <c r="P8" s="619"/>
      <c r="Q8" s="611">
        <f>IFERROR(INDEX(Q$9:Q$150,MATCH($M$8,$M$9:$M$150,0)),"")</f>
        <v>87.999800288793125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-0.36650110536733382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0.34250103298311552</v>
      </c>
      <c r="D9" s="704">
        <v>-0.33620101398225816</v>
      </c>
      <c r="E9" s="705">
        <v>-0.93969263802333458</v>
      </c>
      <c r="F9" s="703">
        <v>-8.8521302156295611E-2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0.34250103298311552</v>
      </c>
      <c r="P9" s="625">
        <f t="shared" ref="P9:P40" si="4">IF(M9="","",D9)</f>
        <v>-0.33620101398225816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0.34250103298311552</v>
      </c>
      <c r="S9" s="626">
        <f>IF(M9="","",P9)</f>
        <v>-0.33620101398225816</v>
      </c>
      <c r="T9" s="627">
        <f>IF(M9="","",X9*COS(RADIANS(W9)))</f>
        <v>0.34229234894182153</v>
      </c>
      <c r="U9" s="624">
        <f>IF(M9="","",X9*SIN(RADIANS(W9)))</f>
        <v>1.195430677168148E-2</v>
      </c>
      <c r="V9" s="628">
        <f>IF(M9="","",Y9)</f>
        <v>-0.33620101398225816</v>
      </c>
      <c r="W9" s="583">
        <f t="shared" ref="W9:W14" si="5">IF(M9="","",IF(Q9-$Q$8&lt;0,360+Q9-$Q$8,Q9-$Q$8))</f>
        <v>2.000199711206875</v>
      </c>
      <c r="X9" s="629">
        <f>IF(M9="","",R9)</f>
        <v>0.34250103298311552</v>
      </c>
      <c r="Y9" s="630">
        <f>IF(M9="","",S9)</f>
        <v>-0.33620101398225816</v>
      </c>
      <c r="Z9" s="623">
        <f t="shared" ref="Z9:Z40" si="6">IF(M9="","",-E9)</f>
        <v>0.93969263802333458</v>
      </c>
      <c r="AA9" s="624">
        <f t="shared" ref="AA9:AA40" si="7">IF(M9="","",-F9)</f>
        <v>8.8521302156295611E-2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8.8521302156295611E-2</v>
      </c>
      <c r="AF9" s="625">
        <f>IF(M9="","",AB9*(1/SQRT(Z9^2+AA9^2+AB9^2)))</f>
        <v>-0.33036604714967344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8.8521302156295611E-2</v>
      </c>
      <c r="AM9" s="626">
        <f>IF(M9="","",AF9)</f>
        <v>-0.33036604714967344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5.3815187622394811</v>
      </c>
      <c r="AQ9" s="584">
        <f t="shared" ref="AQ9:AQ40" si="9">IF(M9="","",DEGREES(ATAN(($AS$5*SIN(RADIANS(90)))/(($X9*2*PI())-($AS$5*COS(RADIANS(90)))))))</f>
        <v>6.6264131685611538</v>
      </c>
      <c r="AS9" s="51">
        <f>IF(M9="","",W9)</f>
        <v>2.000199711206875</v>
      </c>
      <c r="AT9" s="71">
        <f t="shared" ref="AT9:AT40" si="10">IF(M9="","",Y9+(((AS9-$AS$9)*$AS$6)*-1))</f>
        <v>-0.33620101398225816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1.152498372327111E-16</v>
      </c>
      <c r="C10" s="708">
        <v>1.0685032226057192</v>
      </c>
      <c r="D10" s="709">
        <v>-0.15020045300456628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1.152498372327111E-16</v>
      </c>
      <c r="O10" s="629">
        <f t="shared" si="3"/>
        <v>1.0685032226057192</v>
      </c>
      <c r="P10" s="633">
        <f t="shared" si="4"/>
        <v>-0.15020045300456628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1.0685032226057192</v>
      </c>
      <c r="S10" s="634">
        <f t="shared" ref="S10:S105" si="80">IF(M10="","",P10)</f>
        <v>-0.15020045300456628</v>
      </c>
      <c r="T10" s="635">
        <f t="shared" ref="T10:T105" si="81">IF(M10="","",X10*COS(RADIANS(W10)))</f>
        <v>1.0678521893265291</v>
      </c>
      <c r="U10" s="629">
        <f t="shared" ref="U10:U105" si="82">IF(M10="","",X10*SIN(RADIANS(W10)))</f>
        <v>3.7293946819099734E-2</v>
      </c>
      <c r="V10" s="636">
        <f>IF(M10="","",Y10)</f>
        <v>-0.15020045300456628</v>
      </c>
      <c r="W10" s="585">
        <f t="shared" si="5"/>
        <v>2.000199711206875</v>
      </c>
      <c r="X10" s="629">
        <f t="shared" ref="X10:X105" si="83">IF(M10="","",R10)</f>
        <v>1.0685032226057192</v>
      </c>
      <c r="Y10" s="630">
        <f>IF(M10="","",S10)</f>
        <v>-0.15020045300456628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6.6987279208207184E-2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3.9671296450865703</v>
      </c>
      <c r="AQ10" s="586">
        <f t="shared" si="9"/>
        <v>2.1325848417477609</v>
      </c>
      <c r="AS10" s="52">
        <f>IF($M10="","",IF(AND($W10&lt;($AS$9+180),$W10&gt;($AS$9-180)),$W10,IF($W10&gt;($AS$9+180),$W10-360,IF($W10&lt;($AS$9-180),$W10+360,"Error"))))</f>
        <v>2.000199711206875</v>
      </c>
      <c r="AT10" s="72">
        <f t="shared" si="10"/>
        <v>-0.15020045300456628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1.8509036293607464E-2</v>
      </c>
      <c r="C11" s="708">
        <v>1.8562133204550728</v>
      </c>
      <c r="D11" s="709">
        <v>-4.3400130894794747E-2</v>
      </c>
      <c r="E11" s="710">
        <v>-0.96319157450909376</v>
      </c>
      <c r="F11" s="708">
        <v>9.85937775369886E-2</v>
      </c>
      <c r="G11" s="711">
        <v>0.25008250203818705</v>
      </c>
      <c r="H11" s="710">
        <v>0.314</v>
      </c>
      <c r="I11" s="708">
        <v>0.52</v>
      </c>
      <c r="J11" s="570">
        <v>1.1080000000000001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1.1080000000000001</v>
      </c>
      <c r="N11" s="632">
        <f t="shared" si="2"/>
        <v>1.8509036293607464E-2</v>
      </c>
      <c r="O11" s="629">
        <f t="shared" si="3"/>
        <v>1.8562133204550728</v>
      </c>
      <c r="P11" s="633">
        <f t="shared" si="4"/>
        <v>-4.3400130894794747E-2</v>
      </c>
      <c r="Q11" s="585">
        <f t="shared" ref="Q11:Q73" si="113">IF(M11="","",IF(DEGREES(ATAN2(N11,O11))&lt;0,DEGREES(ATAN2(N11,O11))+360,IF(DEGREES(ATAN2(N11,O11))&gt;360,DEGREES(ATAN2(N11,O11))-360,DEGREES(ATAN2(N11,O11)))))</f>
        <v>89.428700082485506</v>
      </c>
      <c r="R11" s="629">
        <f t="shared" si="79"/>
        <v>1.8563055986176857</v>
      </c>
      <c r="S11" s="634">
        <f t="shared" si="80"/>
        <v>-4.3400130894794747E-2</v>
      </c>
      <c r="T11" s="635">
        <f t="shared" si="81"/>
        <v>1.8557283601678947</v>
      </c>
      <c r="U11" s="629">
        <f t="shared" si="82"/>
        <v>4.6289617928231656E-2</v>
      </c>
      <c r="V11" s="636">
        <f t="shared" ref="V11:V105" si="114">IF(M11="","",Y11)</f>
        <v>-4.3400130894794747E-2</v>
      </c>
      <c r="W11" s="585">
        <f t="shared" si="5"/>
        <v>1.4288997936923806</v>
      </c>
      <c r="X11" s="629">
        <f>IF(M11="","",R11)</f>
        <v>1.8563055986176857</v>
      </c>
      <c r="Y11" s="630">
        <f>IF(M11="","",S11)</f>
        <v>-4.3400130894794747E-2</v>
      </c>
      <c r="Z11" s="632">
        <f t="shared" si="6"/>
        <v>0.96319157450909376</v>
      </c>
      <c r="AA11" s="629">
        <f t="shared" si="7"/>
        <v>-9.85937775369886E-2</v>
      </c>
      <c r="AB11" s="629">
        <f t="shared" si="8"/>
        <v>-0.25008250203818705</v>
      </c>
      <c r="AC11" s="636">
        <f t="shared" si="84"/>
        <v>1</v>
      </c>
      <c r="AD11" s="637">
        <f t="shared" ref="AD11:AD105" si="115">IF(M11="","",Z11*(1/SQRT(Z11^2+AA11^2+AB11^2)))</f>
        <v>0.96319157450909376</v>
      </c>
      <c r="AE11" s="629">
        <f t="shared" si="85"/>
        <v>-9.85937775369886E-2</v>
      </c>
      <c r="AF11" s="633">
        <f t="shared" si="86"/>
        <v>-0.25008250203818705</v>
      </c>
      <c r="AG11" s="602">
        <f>IF(M11="","",DEGREES(ATAN2(-AF11,AE11)))</f>
        <v>-21.516590694328585</v>
      </c>
      <c r="AH11" s="603">
        <f t="shared" si="88"/>
        <v>15.593818452605124</v>
      </c>
      <c r="AI11" s="585">
        <f t="shared" si="89"/>
        <v>-75.51760571655285</v>
      </c>
      <c r="AJ11" s="586">
        <f t="shared" si="90"/>
        <v>84.155471539546525</v>
      </c>
      <c r="AK11" s="635">
        <f>IF(M11="","",(COS(RADIANS((90-$Q$8)-W11))*AD11)+(-SIN(RADIANS((90-$Q$8)-W11))*AE11))</f>
        <v>0.96412676226013461</v>
      </c>
      <c r="AL11" s="629">
        <f t="shared" si="91"/>
        <v>-8.8984990128167352E-2</v>
      </c>
      <c r="AM11" s="634">
        <f t="shared" si="92"/>
        <v>-0.25008250203818705</v>
      </c>
      <c r="AN11" s="581">
        <f>IF(M11="","",DEGREES(ATAN2(-AM11,AL11)))</f>
        <v>-19.586704759017241</v>
      </c>
      <c r="AO11" s="582">
        <f>IF(ROUND(IF(M11="",0,DEGREES(ACOS(AK11))),4)=90,0,IF(M11="","",DEGREES(ACOS(AK11))))</f>
        <v>15.393232813264961</v>
      </c>
      <c r="AP11" s="585">
        <f t="shared" si="95"/>
        <v>-5.2732285429389911</v>
      </c>
      <c r="AQ11" s="586">
        <f t="shared" si="9"/>
        <v>1.2279107509723723</v>
      </c>
      <c r="AS11" s="52">
        <f t="shared" ref="AS11:AS42" si="116">IF(G11="","",IF(AND(W11&lt;(AS10+180),W11&gt;(AS10-180)),W11,IF(W11&gt;(AS10+180),W11-360,IF(W11&lt;(AS10-180),W11+360,"Error"))))</f>
        <v>1.4288997936923806</v>
      </c>
      <c r="AT11" s="72">
        <f t="shared" si="10"/>
        <v>-4.3003394840965235E-2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9.0350127034086652E-2</v>
      </c>
      <c r="C12" s="708">
        <v>2.5870305823964932</v>
      </c>
      <c r="D12" s="709">
        <v>-0.36650110536733382</v>
      </c>
      <c r="E12" s="710">
        <v>-0.94354213553732036</v>
      </c>
      <c r="F12" s="708">
        <v>0.27375549594973014</v>
      </c>
      <c r="G12" s="711">
        <v>0.18651050078478235</v>
      </c>
      <c r="H12" s="710">
        <v>0.314</v>
      </c>
      <c r="I12" s="708">
        <v>0.52</v>
      </c>
      <c r="J12" s="570">
        <v>1.1140000000000001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1.1140000000000001</v>
      </c>
      <c r="N12" s="632">
        <f t="shared" si="2"/>
        <v>9.0350127034086652E-2</v>
      </c>
      <c r="O12" s="629">
        <f t="shared" si="3"/>
        <v>2.5870305823964932</v>
      </c>
      <c r="P12" s="633">
        <f t="shared" si="4"/>
        <v>-0.36650110536733382</v>
      </c>
      <c r="Q12" s="585">
        <f>IF(M12="","",IF(DEGREES(ATAN2(N12,O12))&lt;0,DEGREES(ATAN2(N12,O12))+360,IF(DEGREES(ATAN2(N12,O12))&gt;360,DEGREES(ATAN2(N12,O12))-360,DEGREES(ATAN2(N12,O12)))))</f>
        <v>87.999800288793125</v>
      </c>
      <c r="R12" s="629">
        <f t="shared" si="79"/>
        <v>2.588607807241146</v>
      </c>
      <c r="S12" s="634">
        <f t="shared" si="80"/>
        <v>-0.36650110536733382</v>
      </c>
      <c r="T12" s="635">
        <f>IF(M12="","",X12*COS(RADIANS(W12)))</f>
        <v>2.588607807241146</v>
      </c>
      <c r="U12" s="629">
        <f t="shared" si="82"/>
        <v>0</v>
      </c>
      <c r="V12" s="636">
        <f t="shared" si="114"/>
        <v>-0.36650110536733382</v>
      </c>
      <c r="W12" s="585">
        <f>IF(M12="","",IF(Q12-$Q$8&lt;0,360+Q12-$Q$8,Q12-$Q$8))</f>
        <v>0</v>
      </c>
      <c r="X12" s="629">
        <f t="shared" si="83"/>
        <v>2.588607807241146</v>
      </c>
      <c r="Y12" s="630">
        <f>IF(M12="","",S12)</f>
        <v>-0.36650110536733382</v>
      </c>
      <c r="Z12" s="632">
        <f t="shared" si="6"/>
        <v>0.94354213553732036</v>
      </c>
      <c r="AA12" s="629">
        <f t="shared" si="7"/>
        <v>-0.27375549594973014</v>
      </c>
      <c r="AB12" s="629">
        <f t="shared" si="8"/>
        <v>-0.18651050078478235</v>
      </c>
      <c r="AC12" s="636">
        <f t="shared" si="84"/>
        <v>1</v>
      </c>
      <c r="AD12" s="637">
        <f t="shared" si="115"/>
        <v>0.94354213553732036</v>
      </c>
      <c r="AE12" s="629">
        <f t="shared" si="85"/>
        <v>-0.27375549594973014</v>
      </c>
      <c r="AF12" s="633">
        <f t="shared" si="86"/>
        <v>-0.18651050078478235</v>
      </c>
      <c r="AG12" s="602">
        <f t="shared" si="87"/>
        <v>-55.733269595738825</v>
      </c>
      <c r="AH12" s="603">
        <f t="shared" si="88"/>
        <v>19.344816583728857</v>
      </c>
      <c r="AI12" s="585">
        <f t="shared" si="89"/>
        <v>-79.250789363203282</v>
      </c>
      <c r="AJ12" s="586">
        <f t="shared" si="90"/>
        <v>73.820656033698313</v>
      </c>
      <c r="AK12" s="635">
        <f t="shared" ref="AK12:AK105" si="211">IF(M12="","",(COS(RADIANS((90-$Q$8)-W12))*AD12)+(-SIN(RADIANS((90-$Q$8)-W12))*AE12))</f>
        <v>0.9525221230318206</v>
      </c>
      <c r="AL12" s="629">
        <f>IF(M12="","",(SIN(RADIANS((90-$Q$8)-W12))*AD12)+(COS(RADIANS((90-$Q$8)-W12))*AE12))</f>
        <v>-0.24065626572346488</v>
      </c>
      <c r="AM12" s="634">
        <f t="shared" si="92"/>
        <v>-0.18651050078478235</v>
      </c>
      <c r="AN12" s="581">
        <f>IF(M12="","",DEGREES(ATAN2(-AM12,AL12)))</f>
        <v>-52.224033850017577</v>
      </c>
      <c r="AO12" s="582">
        <f t="shared" si="94"/>
        <v>17.726243568579868</v>
      </c>
      <c r="AP12" s="585">
        <f t="shared" si="95"/>
        <v>-14.179144255094824</v>
      </c>
      <c r="AQ12" s="586">
        <f t="shared" si="9"/>
        <v>0.88060737356809893</v>
      </c>
      <c r="AS12" s="52">
        <f t="shared" si="116"/>
        <v>0</v>
      </c>
      <c r="AT12" s="72">
        <f>IF(M12="","",Y12+(((AS12-$AS$9)*$AS$6)*-1))</f>
        <v>-0.36511207779010685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1.1140000000000001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0.15984060365249769</v>
      </c>
      <c r="C13" s="708">
        <v>3.0251893657972988</v>
      </c>
      <c r="D13" s="709">
        <v>-1.0325031140293921</v>
      </c>
      <c r="E13" s="710">
        <v>-0.87535475931432161</v>
      </c>
      <c r="F13" s="708">
        <v>0.46843870861610415</v>
      </c>
      <c r="G13" s="711">
        <v>0.1196629500549059</v>
      </c>
      <c r="H13" s="710">
        <v>0.314</v>
      </c>
      <c r="I13" s="708">
        <v>0.52</v>
      </c>
      <c r="J13" s="570">
        <v>1.1200000000000001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90</v>
      </c>
      <c r="M13" s="168">
        <f t="shared" si="1"/>
        <v>1.1200000000000001</v>
      </c>
      <c r="N13" s="632">
        <f t="shared" si="2"/>
        <v>0.15984060365249769</v>
      </c>
      <c r="O13" s="629">
        <f t="shared" si="3"/>
        <v>3.0251893657972988</v>
      </c>
      <c r="P13" s="633">
        <f t="shared" si="4"/>
        <v>-1.0325031140293921</v>
      </c>
      <c r="Q13" s="585">
        <f t="shared" si="113"/>
        <v>86.975500436683717</v>
      </c>
      <c r="R13" s="629">
        <f t="shared" si="79"/>
        <v>3.0294091366979568</v>
      </c>
      <c r="S13" s="634">
        <f t="shared" si="80"/>
        <v>-1.0325031140293921</v>
      </c>
      <c r="T13" s="635">
        <f>IF(M13="","",X13*COS(RADIANS(W13)))</f>
        <v>3.0289250475759921</v>
      </c>
      <c r="U13" s="629">
        <f t="shared" si="82"/>
        <v>-5.4155089103737349E-2</v>
      </c>
      <c r="V13" s="636">
        <f t="shared" si="114"/>
        <v>-1.0325031140293921</v>
      </c>
      <c r="W13" s="585">
        <f t="shared" si="5"/>
        <v>358.97570014789062</v>
      </c>
      <c r="X13" s="629">
        <f t="shared" si="83"/>
        <v>3.0294091366979568</v>
      </c>
      <c r="Y13" s="630">
        <f>IF(M13="","",S13)</f>
        <v>-1.0325031140293921</v>
      </c>
      <c r="Z13" s="632">
        <f t="shared" si="6"/>
        <v>0.87535475931432161</v>
      </c>
      <c r="AA13" s="629">
        <f t="shared" si="7"/>
        <v>-0.46843870861610415</v>
      </c>
      <c r="AB13" s="629">
        <f t="shared" si="8"/>
        <v>-0.1196629500549059</v>
      </c>
      <c r="AC13" s="636">
        <f t="shared" si="84"/>
        <v>1</v>
      </c>
      <c r="AD13" s="637">
        <f>IF(M13="","",Z13*(1/SQRT(Z13^2+AA13^2+AB13^2)))</f>
        <v>0.87535475931432161</v>
      </c>
      <c r="AE13" s="629">
        <f t="shared" si="85"/>
        <v>-0.46843870861610415</v>
      </c>
      <c r="AF13" s="633">
        <f t="shared" si="86"/>
        <v>-0.1196629500549059</v>
      </c>
      <c r="AG13" s="602">
        <f>IF(M13="","",DEGREES(ATAN2(-AF13,AE13)))</f>
        <v>-75.670209474747566</v>
      </c>
      <c r="AH13" s="603">
        <f t="shared" si="88"/>
        <v>28.913010885743223</v>
      </c>
      <c r="AI13" s="585">
        <f t="shared" si="89"/>
        <v>-83.127349124253968</v>
      </c>
      <c r="AJ13" s="586">
        <f t="shared" si="90"/>
        <v>61.846913413714304</v>
      </c>
      <c r="AK13" s="635">
        <f t="shared" si="211"/>
        <v>0.89885166125338234</v>
      </c>
      <c r="AL13" s="629">
        <f t="shared" si="91"/>
        <v>-0.42159989260695041</v>
      </c>
      <c r="AM13" s="634">
        <f t="shared" si="92"/>
        <v>-0.1196629500549059</v>
      </c>
      <c r="AN13" s="581">
        <f t="shared" si="93"/>
        <v>-74.154435514389434</v>
      </c>
      <c r="AO13" s="582">
        <f t="shared" si="94"/>
        <v>25.992468622442615</v>
      </c>
      <c r="AP13" s="585">
        <f t="shared" si="95"/>
        <v>-25.128587022969484</v>
      </c>
      <c r="AQ13" s="586">
        <f t="shared" si="9"/>
        <v>0.75248850642160059</v>
      </c>
      <c r="AS13" s="52">
        <f t="shared" si="116"/>
        <v>-1.0242998521093796</v>
      </c>
      <c r="AT13" s="72">
        <f t="shared" si="10"/>
        <v>-1.0304027671104226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1.1200000000000001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0.17645662196591466</v>
      </c>
      <c r="C14" s="708">
        <v>3.1144145703725901</v>
      </c>
      <c r="D14" s="709">
        <v>-1.7994054270067676</v>
      </c>
      <c r="E14" s="710">
        <v>-0.83635509572550426</v>
      </c>
      <c r="F14" s="708">
        <v>0.54818806431184708</v>
      </c>
      <c r="G14" s="711">
        <v>1.1339743349348273E-7</v>
      </c>
      <c r="H14" s="710">
        <v>0.314</v>
      </c>
      <c r="I14" s="708">
        <v>0.52</v>
      </c>
      <c r="J14" s="570">
        <v>1.1259999999999999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1.1259999999999999</v>
      </c>
      <c r="N14" s="632">
        <f t="shared" si="2"/>
        <v>0.17645662196591466</v>
      </c>
      <c r="O14" s="629">
        <f t="shared" si="3"/>
        <v>3.1144145703725901</v>
      </c>
      <c r="P14" s="633">
        <f t="shared" si="4"/>
        <v>-1.7994054270067676</v>
      </c>
      <c r="Q14" s="585">
        <f t="shared" si="113"/>
        <v>86.757200468202328</v>
      </c>
      <c r="R14" s="629">
        <f t="shared" si="79"/>
        <v>3.1194094081387753</v>
      </c>
      <c r="S14" s="634">
        <f t="shared" si="80"/>
        <v>-1.7994054270067676</v>
      </c>
      <c r="T14" s="635">
        <f t="shared" si="81"/>
        <v>3.1186758362711275</v>
      </c>
      <c r="U14" s="629">
        <f t="shared" si="82"/>
        <v>-6.7646757818002057E-2</v>
      </c>
      <c r="V14" s="636">
        <f t="shared" si="114"/>
        <v>-1.7994054270067676</v>
      </c>
      <c r="W14" s="585">
        <f t="shared" si="5"/>
        <v>358.75740017940916</v>
      </c>
      <c r="X14" s="629">
        <f t="shared" si="83"/>
        <v>3.1194094081387753</v>
      </c>
      <c r="Y14" s="630">
        <f t="shared" ref="Y14:Y75" si="223">IF(M14="","",S14)</f>
        <v>-1.7994054270067676</v>
      </c>
      <c r="Z14" s="632">
        <f t="shared" si="6"/>
        <v>0.83635509572550426</v>
      </c>
      <c r="AA14" s="629">
        <f t="shared" si="7"/>
        <v>-0.54818806431184708</v>
      </c>
      <c r="AB14" s="629">
        <f t="shared" si="8"/>
        <v>-1.1339743349348273E-7</v>
      </c>
      <c r="AC14" s="636">
        <f t="shared" si="84"/>
        <v>1</v>
      </c>
      <c r="AD14" s="637">
        <f>IF(M14="","",Z14*(1/SQRT(Z14^2+AA14^2+AB14^2)))</f>
        <v>0.83635509572550426</v>
      </c>
      <c r="AE14" s="629">
        <f t="shared" si="85"/>
        <v>-0.54818806431184708</v>
      </c>
      <c r="AF14" s="633">
        <f t="shared" si="86"/>
        <v>-1.1339743349348273E-7</v>
      </c>
      <c r="AG14" s="602">
        <f t="shared" si="87"/>
        <v>-89.999988147873395</v>
      </c>
      <c r="AH14" s="603">
        <f t="shared" si="88"/>
        <v>33.242795200334122</v>
      </c>
      <c r="AI14" s="585">
        <f t="shared" si="89"/>
        <v>-89.999993502805651</v>
      </c>
      <c r="AJ14" s="586">
        <f t="shared" si="90"/>
        <v>56.757204799666439</v>
      </c>
      <c r="AK14" s="635">
        <f>IF(M14="","",(COS(RADIANS((90-$Q$8)-W14))*AD14)+(-SIN(RADIANS((90-$Q$8)-W14))*AE14))</f>
        <v>0.86602544158358596</v>
      </c>
      <c r="AL14" s="629">
        <f t="shared" si="91"/>
        <v>-0.49999993452993774</v>
      </c>
      <c r="AM14" s="634">
        <f t="shared" si="92"/>
        <v>-1.1339743349348273E-7</v>
      </c>
      <c r="AN14" s="581">
        <f t="shared" si="93"/>
        <v>-89.999987005609611</v>
      </c>
      <c r="AO14" s="582">
        <f t="shared" si="94"/>
        <v>29.999995668536499</v>
      </c>
      <c r="AP14" s="585">
        <f>IF(M14="","",DEGREES(ATAN2(AK14,AL14)))</f>
        <v>-29.999995668535856</v>
      </c>
      <c r="AQ14" s="586">
        <f t="shared" si="9"/>
        <v>0.73078032153202732</v>
      </c>
      <c r="AS14" s="52">
        <f t="shared" si="116"/>
        <v>-1.24259982059084</v>
      </c>
      <c r="AT14" s="72">
        <f t="shared" si="10"/>
        <v>-1.7971534828874636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0.9297888015158543</v>
      </c>
      <c r="C15" s="708">
        <v>2.4612386189152327</v>
      </c>
      <c r="D15" s="709">
        <v>-0.34400103750712913</v>
      </c>
      <c r="E15" s="710">
        <v>-0.75493196243267735</v>
      </c>
      <c r="F15" s="708">
        <v>0.61161420322185145</v>
      </c>
      <c r="G15" s="711">
        <v>0.23665544260558766</v>
      </c>
      <c r="H15" s="710">
        <v>0.26600000000000001</v>
      </c>
      <c r="I15" s="708">
        <v>0.315</v>
      </c>
      <c r="J15" s="570">
        <v>1.214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1308</v>
      </c>
      <c r="L15" s="1313">
        <f>IF($L14=$JH$22,$JH$29,IF($L14=$JI$22,$JI$29,""))</f>
        <v>0</v>
      </c>
      <c r="M15" s="168">
        <f t="shared" si="1"/>
        <v>1.214</v>
      </c>
      <c r="N15" s="632">
        <f t="shared" si="2"/>
        <v>0.9297888015158543</v>
      </c>
      <c r="O15" s="629">
        <f t="shared" si="3"/>
        <v>2.4612386189152327</v>
      </c>
      <c r="P15" s="633">
        <f t="shared" si="4"/>
        <v>-0.34400103750712913</v>
      </c>
      <c r="Q15" s="585">
        <f t="shared" si="113"/>
        <v>69.304802988016746</v>
      </c>
      <c r="R15" s="629">
        <f t="shared" si="79"/>
        <v>2.6310079351199325</v>
      </c>
      <c r="S15" s="634">
        <f t="shared" si="80"/>
        <v>-0.34400103750712913</v>
      </c>
      <c r="T15" s="635">
        <f t="shared" si="81"/>
        <v>2.4921913995602263</v>
      </c>
      <c r="U15" s="629">
        <f t="shared" si="82"/>
        <v>-0.84331772341276667</v>
      </c>
      <c r="V15" s="636">
        <f t="shared" si="114"/>
        <v>-0.34400103750712913</v>
      </c>
      <c r="W15" s="585">
        <f t="shared" ref="W15:W78" si="224">IF(M15="","",IF(Q15-$Q$8&lt;0,360+Q15-$Q$8,Q15-$Q$8))</f>
        <v>341.30500269922356</v>
      </c>
      <c r="X15" s="629">
        <f>IF(M15="","",R15)</f>
        <v>2.6310079351199325</v>
      </c>
      <c r="Y15" s="630">
        <f>IF(M15="","",S15)</f>
        <v>-0.34400103750712913</v>
      </c>
      <c r="Z15" s="632">
        <f t="shared" si="6"/>
        <v>0.75493196243267735</v>
      </c>
      <c r="AA15" s="629">
        <f t="shared" si="7"/>
        <v>-0.61161420322185145</v>
      </c>
      <c r="AB15" s="629">
        <f t="shared" si="8"/>
        <v>-0.23665544260558766</v>
      </c>
      <c r="AC15" s="636">
        <f t="shared" si="84"/>
        <v>1</v>
      </c>
      <c r="AD15" s="637">
        <f t="shared" si="115"/>
        <v>0.75493196243267735</v>
      </c>
      <c r="AE15" s="629">
        <f t="shared" si="85"/>
        <v>-0.61161420322185145</v>
      </c>
      <c r="AF15" s="633">
        <f t="shared" si="86"/>
        <v>-0.23665544260558766</v>
      </c>
      <c r="AG15" s="602">
        <f t="shared" si="87"/>
        <v>-68.84676088552159</v>
      </c>
      <c r="AH15" s="603">
        <f t="shared" si="88"/>
        <v>40.980574846290217</v>
      </c>
      <c r="AI15" s="585">
        <f t="shared" si="89"/>
        <v>-76.310774439579347</v>
      </c>
      <c r="AJ15" s="586">
        <f t="shared" si="90"/>
        <v>50.987059997780833</v>
      </c>
      <c r="AK15" s="635">
        <f t="shared" si="211"/>
        <v>0.92236123852126206</v>
      </c>
      <c r="AL15" s="629">
        <f t="shared" si="91"/>
        <v>-0.30535871881883003</v>
      </c>
      <c r="AM15" s="634">
        <f t="shared" si="92"/>
        <v>-0.23665544260558766</v>
      </c>
      <c r="AN15" s="581">
        <f>IF(M15="","",DEGREES(ATAN2(-AM15,AL15)))</f>
        <v>-52.224030189575309</v>
      </c>
      <c r="AO15" s="582">
        <f t="shared" si="94"/>
        <v>22.726242833848374</v>
      </c>
      <c r="AP15" s="585">
        <f t="shared" si="95"/>
        <v>-18.317742990235896</v>
      </c>
      <c r="AQ15" s="586">
        <f t="shared" si="9"/>
        <v>0.86641808650093544</v>
      </c>
      <c r="AS15" s="52">
        <f t="shared" si="116"/>
        <v>-18.694997300776436</v>
      </c>
      <c r="AT15" s="72">
        <f t="shared" si="10"/>
        <v>-0.32962937291547406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>Taper</v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1.214</v>
      </c>
      <c r="IH15" s="731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1.1140000000000001</v>
      </c>
      <c r="II15" s="734" cm="1">
        <f t="array" ref="II15">IFERROR(ROUND(VALUE(IF($IH15&lt;1,$IH15+LARGE((IF($M$9:$M$150="",0,$M$9:$M$150)-MOD(IF($M$9:$M$150="",0,$M$9:$M$150),1)),1),$IH15)),4),"")</f>
        <v>1.1140000000000001</v>
      </c>
      <c r="IJ15" s="533">
        <f t="shared" si="112"/>
        <v>1613</v>
      </c>
      <c r="IK15" s="533">
        <f t="shared" si="66"/>
        <v>1308</v>
      </c>
      <c r="IL15" s="727">
        <f t="shared" si="67"/>
        <v>18.694997300776436</v>
      </c>
      <c r="IM15" s="759">
        <v>5.5044308890019704E-3</v>
      </c>
      <c r="IN15" s="5">
        <f t="shared" si="68"/>
        <v>0.16</v>
      </c>
      <c r="IO15" s="771">
        <v>80</v>
      </c>
      <c r="IP15" s="9">
        <f t="shared" si="69"/>
        <v>-2.588607807241146</v>
      </c>
      <c r="IQ15" s="5">
        <f t="shared" si="70"/>
        <v>-0.36650110536733382</v>
      </c>
      <c r="IR15" s="5">
        <f t="shared" si="71"/>
        <v>0.314</v>
      </c>
      <c r="IS15" s="5">
        <f t="shared" si="72"/>
        <v>0.29909194663199168</v>
      </c>
      <c r="IT15" s="727">
        <f t="shared" si="73"/>
        <v>52.224033850017577</v>
      </c>
      <c r="IU15" s="9">
        <f t="shared" si="74"/>
        <v>-2.6310079351199325</v>
      </c>
      <c r="IV15" s="5">
        <f t="shared" si="75"/>
        <v>-0.34400103750712913</v>
      </c>
      <c r="IW15" s="5">
        <f t="shared" si="76"/>
        <v>0.26600000000000001</v>
      </c>
      <c r="IX15" s="5">
        <f t="shared" si="77"/>
        <v>0.24534808944665573</v>
      </c>
      <c r="IY15" s="762">
        <f t="shared" si="78"/>
        <v>52.224030189575309</v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30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1.029039436565133</v>
      </c>
      <c r="C16" s="708">
        <v>2.9046131181220827</v>
      </c>
      <c r="D16" s="709">
        <v>-1.026903097139741</v>
      </c>
      <c r="E16" s="710">
        <v>-0.64260467437292168</v>
      </c>
      <c r="F16" s="708">
        <v>0.7531875130363509</v>
      </c>
      <c r="G16" s="711">
        <v>0.14059801805213423</v>
      </c>
      <c r="H16" s="710">
        <v>0.26600000000000001</v>
      </c>
      <c r="I16" s="708">
        <v>0.315</v>
      </c>
      <c r="J16" s="570">
        <v>1.22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1308</v>
      </c>
      <c r="L16" s="320"/>
      <c r="M16" s="168">
        <f t="shared" si="1"/>
        <v>1.22</v>
      </c>
      <c r="N16" s="632">
        <f t="shared" si="2"/>
        <v>1.029039436565133</v>
      </c>
      <c r="O16" s="629">
        <f t="shared" si="3"/>
        <v>2.9046131181220827</v>
      </c>
      <c r="P16" s="633">
        <f t="shared" si="4"/>
        <v>-1.026903097139741</v>
      </c>
      <c r="Q16" s="585">
        <f>IF(M16="","",IF(DEGREES(ATAN2(N16,O16))&lt;0,DEGREES(ATAN2(N16,O16))+360,IF(DEGREES(ATAN2(N16,O16))&gt;360,DEGREES(ATAN2(N16,O16))-360,DEGREES(ATAN2(N16,O16)))))</f>
        <v>70.491902816620737</v>
      </c>
      <c r="R16" s="629">
        <f t="shared" si="79"/>
        <v>3.0815092938320299</v>
      </c>
      <c r="S16" s="634">
        <f t="shared" si="80"/>
        <v>-1.026903097139741</v>
      </c>
      <c r="T16" s="635">
        <f t="shared" si="81"/>
        <v>2.9387598960138419</v>
      </c>
      <c r="U16" s="629">
        <f t="shared" si="82"/>
        <v>-0.92703279421705953</v>
      </c>
      <c r="V16" s="636">
        <f t="shared" si="114"/>
        <v>-1.026903097139741</v>
      </c>
      <c r="W16" s="585">
        <f>IF(M16="","",IF(Q16-$Q$8&lt;0,360+Q16-$Q$8,Q16-$Q$8))</f>
        <v>342.49210252782757</v>
      </c>
      <c r="X16" s="629">
        <f t="shared" si="83"/>
        <v>3.0815092938320299</v>
      </c>
      <c r="Y16" s="630">
        <f t="shared" si="223"/>
        <v>-1.026903097139741</v>
      </c>
      <c r="Z16" s="632">
        <f t="shared" si="6"/>
        <v>0.64260467437292168</v>
      </c>
      <c r="AA16" s="629">
        <f t="shared" si="7"/>
        <v>-0.7531875130363509</v>
      </c>
      <c r="AB16" s="629">
        <f t="shared" si="8"/>
        <v>-0.14059801805213423</v>
      </c>
      <c r="AC16" s="636">
        <f t="shared" si="84"/>
        <v>1</v>
      </c>
      <c r="AD16" s="637">
        <f t="shared" si="115"/>
        <v>0.64260467437292168</v>
      </c>
      <c r="AE16" s="629">
        <f t="shared" si="85"/>
        <v>-0.7531875130363509</v>
      </c>
      <c r="AF16" s="633">
        <f t="shared" si="86"/>
        <v>-0.14059801805213423</v>
      </c>
      <c r="AG16" s="602">
        <f t="shared" si="87"/>
        <v>-79.426254904477531</v>
      </c>
      <c r="AH16" s="603">
        <f t="shared" si="88"/>
        <v>50.013681153434433</v>
      </c>
      <c r="AI16" s="585">
        <f t="shared" si="89"/>
        <v>-81.917547558029668</v>
      </c>
      <c r="AJ16" s="586">
        <f t="shared" si="90"/>
        <v>40.4701542408107</v>
      </c>
      <c r="AK16" s="635">
        <f t="shared" si="211"/>
        <v>0.85723500048511236</v>
      </c>
      <c r="AL16" s="629">
        <f t="shared" si="91"/>
        <v>-0.49535881062428</v>
      </c>
      <c r="AM16" s="634">
        <f t="shared" si="92"/>
        <v>-0.14059801805213423</v>
      </c>
      <c r="AN16" s="581">
        <f t="shared" si="93"/>
        <v>-74.154432290806966</v>
      </c>
      <c r="AO16" s="582">
        <f t="shared" si="94"/>
        <v>30.992467865164983</v>
      </c>
      <c r="AP16" s="585">
        <f t="shared" si="95"/>
        <v>-30.021748575810022</v>
      </c>
      <c r="AQ16" s="586">
        <f t="shared" si="9"/>
        <v>0.73976734567746938</v>
      </c>
      <c r="AS16" s="52">
        <f t="shared" si="116"/>
        <v>-17.507897472172431</v>
      </c>
      <c r="AT16" s="72">
        <f t="shared" si="10"/>
        <v>-1.013355807429061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1.22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1.1200000000000001</v>
      </c>
      <c r="II16" s="734" cm="1">
        <f t="array" ref="II16">IFERROR(ROUND(VALUE(IF($IH16&lt;1,$IH16+LARGE((IF($M$9:$M$150="",0,$M$9:$M$150)-MOD(IF($M$9:$M$150="",0,$M$9:$M$150),1)),1),$IH16)),4),"")</f>
        <v>1.1200000000000001</v>
      </c>
      <c r="IJ16" s="533">
        <f t="shared" si="112"/>
        <v>1613</v>
      </c>
      <c r="IK16" s="533">
        <f t="shared" si="66"/>
        <v>1308</v>
      </c>
      <c r="IL16" s="727">
        <f>IF(ISNUMBER($II16),IFERROR(IF(INDEX($W$9:$W$150,MATCH($II16,$M$9:$M$150,0))&lt;$W16,((INDEX($W$9:$W$150,MATCH($II16,$M$9:$M$150,0))+360)-$W16),INDEX($W$9:$W$150,MATCH($II16,$M$9:$M$150,0))-$W16),""),"")</f>
        <v>16.483597620063051</v>
      </c>
      <c r="IM16" s="759">
        <v>1.5368980585460199E-3</v>
      </c>
      <c r="IN16" s="5">
        <f>IF(ISNUMBER($II16),(($IO16*12)/60)/$AS$3,"")</f>
        <v>0</v>
      </c>
      <c r="IO16" s="771">
        <v>0</v>
      </c>
      <c r="IP16" s="9">
        <f>IF(ISNUMBER($II16),(INDEX($X$9:$X$150,MATCH($II16,$M$9:$M$150,0))*-1),"")</f>
        <v>-3.0294091366979568</v>
      </c>
      <c r="IQ16" s="5">
        <f>IF(ISNUMBER($II16),INDEX($Y$9:$Y$150,MATCH($II16,$M$9:$M$150,0)),"")</f>
        <v>-1.0325031140293921</v>
      </c>
      <c r="IR16" s="5">
        <f t="shared" si="71"/>
        <v>0.314</v>
      </c>
      <c r="IS16" s="5">
        <f>IF(ISNUMBER($II16),$IR16*COS(RADIANS(INDEX($AO$9:$AO$150,MATCH($II16,$M$9:$M$150,0)))),"")</f>
        <v>0.28223942163356208</v>
      </c>
      <c r="IT16" s="727">
        <f>IF(ISNUMBER($II16),(-1*INDEX($AN$9:$AN$150,MATCH($II16,$M$9:$M$150,0))),"")</f>
        <v>74.154435514389434</v>
      </c>
      <c r="IU16" s="9">
        <f>IF(ISNUMBER($II16),-$X16,"")</f>
        <v>-3.0815092938320299</v>
      </c>
      <c r="IV16" s="5">
        <f>IF(ISNUMBER($II16),$Y16,"")</f>
        <v>-1.026903097139741</v>
      </c>
      <c r="IW16" s="5">
        <f t="shared" si="76"/>
        <v>0.26600000000000001</v>
      </c>
      <c r="IX16" s="5">
        <f>IF(ISNUMBER($II16),$IW16*COS(RADIANS($AO16)),"")</f>
        <v>0.2280245101290399</v>
      </c>
      <c r="IY16" s="762">
        <f>IF(ISNUMBER($II16),(-1*$AN16),"")</f>
        <v>74.154432290806966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1.1770427741117901</v>
      </c>
      <c r="C17" s="708">
        <v>2.9056590632819645</v>
      </c>
      <c r="D17" s="709">
        <v>-1.8098054583732626</v>
      </c>
      <c r="E17" s="710">
        <v>0.37545089797896758</v>
      </c>
      <c r="F17" s="708">
        <v>0.92684228604802854</v>
      </c>
      <c r="G17" s="711">
        <v>2.2679489842109141E-7</v>
      </c>
      <c r="H17" s="710">
        <v>0.25700000000000001</v>
      </c>
      <c r="I17" s="708">
        <v>0.41499999999999992</v>
      </c>
      <c r="J17" s="570">
        <v>1.226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CPS-32193r1</v>
      </c>
      <c r="M17" s="168">
        <f t="shared" si="1"/>
        <v>1.226</v>
      </c>
      <c r="N17" s="632">
        <f t="shared" si="2"/>
        <v>1.1770427741117901</v>
      </c>
      <c r="O17" s="629">
        <f t="shared" si="3"/>
        <v>2.9056590632819645</v>
      </c>
      <c r="P17" s="633">
        <f t="shared" si="4"/>
        <v>-1.8098054583732626</v>
      </c>
      <c r="Q17" s="585">
        <f>IF(M17="","",IF(DEGREES(ATAN2(N17,O17))&lt;0,DEGREES(ATAN2(N17,O17))+360,IF(DEGREES(ATAN2(N17,O17))&gt;360,DEGREES(ATAN2(N17,O17))-360,DEGREES(ATAN2(N17,O17)))))</f>
        <v>67.947803183943293</v>
      </c>
      <c r="R17" s="629">
        <f>IF(M17="","",SQRT(N17^2+O17^2))</f>
        <v>3.1350094551885173</v>
      </c>
      <c r="S17" s="634">
        <f>IF(M17="","",P17)</f>
        <v>-1.8098054583732626</v>
      </c>
      <c r="T17" s="635">
        <f>IF(M17="","",X17*COS(RADIANS(W17)))</f>
        <v>2.9449709614444401</v>
      </c>
      <c r="U17" s="629">
        <f>IF(M17="","",X17*SIN(RADIANS(W17)))</f>
        <v>-1.0749094475212382</v>
      </c>
      <c r="V17" s="636">
        <f>IF(M17="","",Y17)</f>
        <v>-1.8098054583732626</v>
      </c>
      <c r="W17" s="585">
        <f t="shared" si="224"/>
        <v>339.94800289515013</v>
      </c>
      <c r="X17" s="629">
        <f>IF(M17="","",R17)</f>
        <v>3.1350094551885173</v>
      </c>
      <c r="Y17" s="630">
        <f t="shared" si="223"/>
        <v>-1.8098054583732626</v>
      </c>
      <c r="Z17" s="632">
        <f t="shared" si="6"/>
        <v>-0.37545089797896758</v>
      </c>
      <c r="AA17" s="629">
        <f t="shared" si="7"/>
        <v>-0.92684228604802854</v>
      </c>
      <c r="AB17" s="629">
        <f t="shared" si="8"/>
        <v>-2.2679489842109141E-7</v>
      </c>
      <c r="AC17" s="636">
        <f>IF(M17="","",SQRT(Z17^2+AA17^2+AB17^2))</f>
        <v>1</v>
      </c>
      <c r="AD17" s="637">
        <f>IF(M17="","",Z17*(1/SQRT(Z17^2+AA17^2+AB17^2)))</f>
        <v>-0.37545089797896758</v>
      </c>
      <c r="AE17" s="629">
        <f>IF(M17="","",AA17*(1/SQRT(Z17^2+AA17^2+AB17^2)))</f>
        <v>-0.92684228604802854</v>
      </c>
      <c r="AF17" s="633">
        <f>IF(M17="","",AB17*(1/SQRT(Z17^2+AA17^2+AB17^2)))</f>
        <v>-2.2679489842109141E-7</v>
      </c>
      <c r="AG17" s="602">
        <f>IF(M17="","",DEGREES(ATAN2(-AF17,AE17)))</f>
        <v>-89.999985979933498</v>
      </c>
      <c r="AH17" s="603">
        <f>IF(M17="","",DEGREES(ACOS(AD17)))</f>
        <v>112.05218382166572</v>
      </c>
      <c r="AI17" s="585">
        <f>IF(M17="","",DEGREES(-ACOS(-AF17)))</f>
        <v>-89.999987005609512</v>
      </c>
      <c r="AJ17" s="586">
        <f>IF(M17="","",DEGREES(ATAN2(-AE17,AD17)))</f>
        <v>-22.052183821666315</v>
      </c>
      <c r="AK17" s="635">
        <f>IF(M17="","",(COS(RADIANS((90-$Q$8)-W17))*AD17)+(-SIN(RADIANS((90-$Q$8)-W17))*AE17))</f>
        <v>2.267948972511924E-7</v>
      </c>
      <c r="AL17" s="629">
        <f>IF(M17="","",(SIN(RADIANS((90-$Q$8)-W17))*AD17)+(COS(RADIANS((90-$Q$8)-W17))*AE17))</f>
        <v>-0.9999999999999486</v>
      </c>
      <c r="AM17" s="634">
        <f>IF(M17="","",AF17)</f>
        <v>-2.2679489842109141E-7</v>
      </c>
      <c r="AN17" s="581">
        <f>IF(M17="","",DEGREES(ATAN2(-AM17,AL17)))</f>
        <v>-89.999987005609512</v>
      </c>
      <c r="AO17" s="582">
        <f t="shared" si="94"/>
        <v>0</v>
      </c>
      <c r="AP17" s="585">
        <f>IF(M17="","",DEGREES(ATAN2(AK17,AL17)))</f>
        <v>-89.999987005609583</v>
      </c>
      <c r="AQ17" s="586">
        <f t="shared" si="9"/>
        <v>0.72714429413256398</v>
      </c>
      <c r="AS17" s="52">
        <f t="shared" si="116"/>
        <v>-20.051997104849875</v>
      </c>
      <c r="AT17" s="72">
        <f t="shared" si="10"/>
        <v>-1.7944914328065564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>Gage</v>
      </c>
      <c r="IG17" s="847">
        <f t="shared" si="210"/>
        <v>1.226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1.1259999999999999</v>
      </c>
      <c r="II17" s="734" cm="1">
        <f t="array" ref="II17">IFERROR(ROUND(VALUE(IF($IH17&lt;1,$IH17+LARGE((IF($M$9:$M$150="",0,$M$9:$M$150)-MOD(IF($M$9:$M$150="",0,$M$9:$M$150),1)),1),$IH17)),4),"")</f>
        <v>1.1259999999999999</v>
      </c>
      <c r="IJ17" s="533">
        <f t="shared" si="112"/>
        <v>1613</v>
      </c>
      <c r="IK17" s="533" t="str">
        <f t="shared" si="66"/>
        <v>CPS-32193r1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18.809397284259035</v>
      </c>
      <c r="IM17" s="759">
        <v>3.7381402633391803E-5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-3.1194094081387753</v>
      </c>
      <c r="IQ17" s="5">
        <f t="shared" ref="IQ17:IQ80" si="228">IF(ISNUMBER($II17),INDEX($Y$9:$Y$150,MATCH($II17,$M$9:$M$150,0)),"")</f>
        <v>-1.7994054270067676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0.27193198865724599</v>
      </c>
      <c r="IT17" s="727">
        <f t="shared" ref="IT17:IT80" si="230">IF(ISNUMBER($II17),(-1*INDEX($AN$9:$AN$150,MATCH($II17,$M$9:$M$150,0))),"")</f>
        <v>89.999987005609611</v>
      </c>
      <c r="IU17" s="9">
        <f t="shared" ref="IU17:IU80" si="231">IF(ISNUMBER($II17),-$X17,"")</f>
        <v>-3.1350094551885173</v>
      </c>
      <c r="IV17" s="5">
        <f t="shared" ref="IV17:IV80" si="232">IF(ISNUMBER($II17),$Y17,"")</f>
        <v>-1.8098054583732626</v>
      </c>
      <c r="IW17" s="5">
        <f t="shared" si="76"/>
        <v>0.25700000000000001</v>
      </c>
      <c r="IX17" s="5">
        <f t="shared" ref="IX17:IX80" si="233">IF(ISNUMBER($II17),$IW17*COS(RADIANS($AO17)),"")</f>
        <v>0.25700000000000001</v>
      </c>
      <c r="IY17" s="762">
        <f t="shared" ref="IY17:IY80" si="234">IF(ISNUMBER($II17),(-1*$AN17),"")</f>
        <v>89.999987005609512</v>
      </c>
    </row>
    <row r="18" spans="1:269" ht="15" customHeight="1" x14ac:dyDescent="0.25">
      <c r="A18" s="79"/>
      <c r="B18" s="707">
        <v>1.4169018647537466</v>
      </c>
      <c r="C18" s="708">
        <v>0.97844090279075802</v>
      </c>
      <c r="D18" s="709">
        <v>-3.3400100734703751E-2</v>
      </c>
      <c r="E18" s="710">
        <v>-0.49956815751842348</v>
      </c>
      <c r="F18" s="708">
        <v>0.8275511331395452</v>
      </c>
      <c r="G18" s="711">
        <v>0.25610696599878435</v>
      </c>
      <c r="H18" s="710">
        <v>0.314</v>
      </c>
      <c r="I18" s="708">
        <v>0.52</v>
      </c>
      <c r="J18" s="570">
        <v>2.1070000000000002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2.1070000000000002</v>
      </c>
      <c r="N18" s="632">
        <f t="shared" si="2"/>
        <v>1.4169018647537466</v>
      </c>
      <c r="O18" s="629">
        <f t="shared" si="3"/>
        <v>0.97844090279075802</v>
      </c>
      <c r="P18" s="633">
        <f t="shared" si="4"/>
        <v>-3.3400100734703751E-2</v>
      </c>
      <c r="Q18" s="585">
        <f t="shared" si="113"/>
        <v>34.627000053854537</v>
      </c>
      <c r="R18" s="629">
        <f>IF(M18="","",SQRT(N18^2+O18^2))</f>
        <v>1.721905193266063</v>
      </c>
      <c r="S18" s="634">
        <f>IF(M18="","",P18)</f>
        <v>-3.3400100734703751E-2</v>
      </c>
      <c r="T18" s="635">
        <f>IF(M18="","",X18*COS(RADIANS(W18)))</f>
        <v>1.0272988417263671</v>
      </c>
      <c r="U18" s="629">
        <f>IF(M18="","",X18*SIN(RADIANS(W18)))</f>
        <v>-1.3818880505975519</v>
      </c>
      <c r="V18" s="636">
        <f>IF(M18="","",Y18)</f>
        <v>-3.3400100734703751E-2</v>
      </c>
      <c r="W18" s="585">
        <f t="shared" si="224"/>
        <v>306.62719976506139</v>
      </c>
      <c r="X18" s="629">
        <f>IF(M18="","",R18)</f>
        <v>1.721905193266063</v>
      </c>
      <c r="Y18" s="630">
        <f t="shared" si="223"/>
        <v>-3.3400100734703751E-2</v>
      </c>
      <c r="Z18" s="632">
        <f t="shared" si="6"/>
        <v>0.49956815751842348</v>
      </c>
      <c r="AA18" s="629">
        <f t="shared" si="7"/>
        <v>-0.8275511331395452</v>
      </c>
      <c r="AB18" s="629">
        <f t="shared" si="8"/>
        <v>-0.25610696599878435</v>
      </c>
      <c r="AC18" s="636">
        <f>IF(M18="","",SQRT(Z18^2+AA18^2+AB18^2))</f>
        <v>1</v>
      </c>
      <c r="AD18" s="637">
        <f>IF(M18="","",Z18*(1/SQRT(Z18^2+AA18^2+AB18^2)))</f>
        <v>0.49956815751842348</v>
      </c>
      <c r="AE18" s="629">
        <f>IF(M18="","",AA18*(1/SQRT(Z18^2+AA18^2+AB18^2)))</f>
        <v>-0.8275511331395452</v>
      </c>
      <c r="AF18" s="633">
        <f>IF(M18="","",AB18*(1/SQRT(Z18^2+AA18^2+AB18^2)))</f>
        <v>-0.25610696599878435</v>
      </c>
      <c r="AG18" s="602">
        <f>IF(M18="","",DEGREES(ATAN2(-AF18,AE18)))</f>
        <v>-72.803974305110245</v>
      </c>
      <c r="AH18" s="603">
        <f>IF(M18="","",DEGREES(ACOS(AD18)))</f>
        <v>60.028566358323133</v>
      </c>
      <c r="AI18" s="585">
        <f>IF(M18="","",DEGREES(-ACOS(-AF18)))</f>
        <v>-75.160812017846837</v>
      </c>
      <c r="AJ18" s="586">
        <f>IF(M18="","",DEGREES(ATAN2(-AE18,AD18)))</f>
        <v>31.118139090795232</v>
      </c>
      <c r="AK18" s="635">
        <f>IF(M18="","",(COS(RADIANS((90-$Q$8)-W18))*AD18)+(-SIN(RADIANS((90-$Q$8)-W18))*AE18))</f>
        <v>0.96483631576784046</v>
      </c>
      <c r="AL18" s="629">
        <f>IF(M18="","",(SIN(RADIANS((90-$Q$8)-W18))*AD18)+(COS(RADIANS((90-$Q$8)-W18))*AE18))</f>
        <v>-5.9161691510958403E-2</v>
      </c>
      <c r="AM18" s="634">
        <f>IF(M18="","",AF18)</f>
        <v>-0.25610696599878435</v>
      </c>
      <c r="AN18" s="581">
        <f>IF(M18="","",DEGREES(ATAN2(-AM18,AL18)))</f>
        <v>-13.007378366230627</v>
      </c>
      <c r="AO18" s="582">
        <f t="shared" si="94"/>
        <v>15.239324495640956</v>
      </c>
      <c r="AP18" s="585">
        <f>IF(M18="","",DEGREES(ATAN2(AK18,AL18)))</f>
        <v>-3.5088609630593117</v>
      </c>
      <c r="AQ18" s="586">
        <f t="shared" si="9"/>
        <v>1.323720386189539</v>
      </c>
      <c r="AS18" s="52">
        <f t="shared" si="116"/>
        <v>-53.372800234938609</v>
      </c>
      <c r="AT18" s="72">
        <f t="shared" si="10"/>
        <v>5.0533714501195051E-3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2.1070000000000002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2.0758858976025278</v>
      </c>
      <c r="C19" s="708">
        <v>1.360171361773606</v>
      </c>
      <c r="D19" s="709">
        <v>-0.28370085564178049</v>
      </c>
      <c r="E19" s="710">
        <v>-0.34223184049255612</v>
      </c>
      <c r="F19" s="708">
        <v>0.92167633672017701</v>
      </c>
      <c r="G19" s="711">
        <v>0.1827295752831285</v>
      </c>
      <c r="H19" s="710">
        <v>0.314</v>
      </c>
      <c r="I19" s="708">
        <v>0.52</v>
      </c>
      <c r="J19" s="570">
        <v>2.113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2.113</v>
      </c>
      <c r="N19" s="632">
        <f t="shared" si="2"/>
        <v>2.0758858976025278</v>
      </c>
      <c r="O19" s="629">
        <f t="shared" si="3"/>
        <v>1.360171361773606</v>
      </c>
      <c r="P19" s="633">
        <f t="shared" si="4"/>
        <v>-0.28370085564178049</v>
      </c>
      <c r="Q19" s="585">
        <f t="shared" si="113"/>
        <v>33.233800255007679</v>
      </c>
      <c r="R19" s="629">
        <f>IF(M19="","",SQRT(N19^2+O19^2))</f>
        <v>2.4818074851313749</v>
      </c>
      <c r="S19" s="634">
        <f>IF(M19="","",P19)</f>
        <v>-0.28370085564178049</v>
      </c>
      <c r="T19" s="635">
        <f>IF(M19="","",X19*COS(RADIANS(W19)))</f>
        <v>1.4317972210378924</v>
      </c>
      <c r="U19" s="629">
        <f>IF(M19="","",X19*SIN(RADIANS(W19)))</f>
        <v>-2.0271470373611997</v>
      </c>
      <c r="V19" s="636">
        <f>IF(M19="","",Y19)</f>
        <v>-0.28370085564178049</v>
      </c>
      <c r="W19" s="585">
        <f t="shared" si="224"/>
        <v>305.23399996621458</v>
      </c>
      <c r="X19" s="629">
        <f>IF(M19="","",R19)</f>
        <v>2.4818074851313749</v>
      </c>
      <c r="Y19" s="630">
        <f t="shared" si="223"/>
        <v>-0.28370085564178049</v>
      </c>
      <c r="Z19" s="632">
        <f t="shared" si="6"/>
        <v>0.34223184049255612</v>
      </c>
      <c r="AA19" s="629">
        <f t="shared" si="7"/>
        <v>-0.92167633672017701</v>
      </c>
      <c r="AB19" s="629">
        <f t="shared" si="8"/>
        <v>-0.1827295752831285</v>
      </c>
      <c r="AC19" s="636">
        <f>IF(M19="","",SQRT(Z19^2+AA19^2+AB19^2))</f>
        <v>1</v>
      </c>
      <c r="AD19" s="637">
        <f>IF(M19="","",Z19*(1/SQRT(Z19^2+AA19^2+AB19^2)))</f>
        <v>0.34223184049255612</v>
      </c>
      <c r="AE19" s="629">
        <f>IF(M19="","",AA19*(1/SQRT(Z19^2+AA19^2+AB19^2)))</f>
        <v>-0.92167633672017701</v>
      </c>
      <c r="AF19" s="633">
        <f>IF(M19="","",AB19*(1/SQRT(Z19^2+AA19^2+AB19^2)))</f>
        <v>-0.1827295752831285</v>
      </c>
      <c r="AG19" s="602">
        <f>IF(M19="","",DEGREES(ATAN2(-AF19,AE19)))</f>
        <v>-78.786077916060776</v>
      </c>
      <c r="AH19" s="603">
        <f>IF(M19="","",DEGREES(ACOS(AD19)))</f>
        <v>69.987091681519402</v>
      </c>
      <c r="AI19" s="585">
        <f>IF(M19="","",DEGREES(-ACOS(-AF19)))</f>
        <v>-79.47120961507747</v>
      </c>
      <c r="AJ19" s="586">
        <f>IF(M19="","",DEGREES(ATAN2(-AE19,AD19)))</f>
        <v>20.370694410855606</v>
      </c>
      <c r="AK19" s="635">
        <f>IF(M19="","",(COS(RADIANS((90-$Q$8)-W19))*AD19)+(-SIN(RADIANS((90-$Q$8)-W19))*AE19))</f>
        <v>0.95849048418455385</v>
      </c>
      <c r="AL19" s="629">
        <f>IF(M19="","",(SIN(RADIANS((90-$Q$8)-W19))*AD19)+(COS(RADIANS((90-$Q$8)-W19))*AE19))</f>
        <v>-0.21887415115656511</v>
      </c>
      <c r="AM19" s="634">
        <f>IF(M19="","",AF19)</f>
        <v>-0.1827295752831285</v>
      </c>
      <c r="AN19" s="581">
        <f>IF(M19="","",DEGREES(ATAN2(-AM19,AL19)))</f>
        <v>-50.142798592845537</v>
      </c>
      <c r="AO19" s="582">
        <f t="shared" si="94"/>
        <v>16.566291868308976</v>
      </c>
      <c r="AP19" s="585">
        <f>IF(M19="","",DEGREES(ATAN2(AK19,AL19)))</f>
        <v>-12.863105844152127</v>
      </c>
      <c r="AQ19" s="586">
        <f t="shared" si="9"/>
        <v>0.91849644108943362</v>
      </c>
      <c r="AS19" s="52">
        <f t="shared" si="116"/>
        <v>-54.766000033785417</v>
      </c>
      <c r="AT19" s="72">
        <f t="shared" si="10"/>
        <v>-0.24427988359664696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2.113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2.5289759271346641</v>
      </c>
      <c r="C20" s="708">
        <v>1.5853597508110633</v>
      </c>
      <c r="D20" s="709">
        <v>-0.90650273401224635</v>
      </c>
      <c r="E20" s="710">
        <v>-0.15682679858310913</v>
      </c>
      <c r="F20" s="708">
        <v>0.97926381150265396</v>
      </c>
      <c r="G20" s="711">
        <v>0.12824875331740138</v>
      </c>
      <c r="H20" s="710">
        <v>0.314</v>
      </c>
      <c r="I20" s="708">
        <v>0.52</v>
      </c>
      <c r="J20" s="570">
        <v>2.1190000000000002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2.1190000000000002</v>
      </c>
      <c r="N20" s="632">
        <f t="shared" si="2"/>
        <v>2.5289759271346641</v>
      </c>
      <c r="O20" s="629">
        <f t="shared" si="3"/>
        <v>1.5853597508110633</v>
      </c>
      <c r="P20" s="633">
        <f t="shared" si="4"/>
        <v>-0.90650273401224635</v>
      </c>
      <c r="Q20" s="585">
        <f t="shared" si="113"/>
        <v>32.082700421205921</v>
      </c>
      <c r="R20" s="629">
        <f>IF(M20="","",SQRT(N20^2+O20^2))</f>
        <v>2.9848090021839506</v>
      </c>
      <c r="S20" s="634">
        <f>IF(M20="","",P20)</f>
        <v>-0.90650273401224635</v>
      </c>
      <c r="T20" s="635">
        <f>IF(M20="","",X20*COS(RADIANS(W20)))</f>
        <v>1.672662596326671</v>
      </c>
      <c r="U20" s="629">
        <f>IF(M20="","",X20*SIN(RADIANS(W20)))</f>
        <v>-2.4721012556867632</v>
      </c>
      <c r="V20" s="636">
        <f>IF(M20="","",Y20)</f>
        <v>-0.90650273401224635</v>
      </c>
      <c r="W20" s="585">
        <f t="shared" si="224"/>
        <v>304.08290013241276</v>
      </c>
      <c r="X20" s="629">
        <f>IF(M20="","",R20)</f>
        <v>2.9848090021839506</v>
      </c>
      <c r="Y20" s="630">
        <f t="shared" si="223"/>
        <v>-0.90650273401224635</v>
      </c>
      <c r="Z20" s="632">
        <f t="shared" si="6"/>
        <v>0.15682679858310913</v>
      </c>
      <c r="AA20" s="629">
        <f t="shared" si="7"/>
        <v>-0.97926381150265396</v>
      </c>
      <c r="AB20" s="629">
        <f t="shared" si="8"/>
        <v>-0.12824875331740138</v>
      </c>
      <c r="AC20" s="636">
        <f>IF(M20="","",SQRT(Z20^2+AA20^2+AB20^2))</f>
        <v>1</v>
      </c>
      <c r="AD20" s="637">
        <f>IF(M20="","",Z20*(1/SQRT(Z20^2+AA20^2+AB20^2)))</f>
        <v>0.15682679858310913</v>
      </c>
      <c r="AE20" s="629">
        <f>IF(M20="","",AA20*(1/SQRT(Z20^2+AA20^2+AB20^2)))</f>
        <v>-0.97926381150265396</v>
      </c>
      <c r="AF20" s="633">
        <f>IF(M20="","",AB20*(1/SQRT(Z20^2+AA20^2+AB20^2)))</f>
        <v>-0.12824875331740138</v>
      </c>
      <c r="AG20" s="602">
        <f>IF(M20="","",DEGREES(ATAN2(-AF20,AE20)))</f>
        <v>-82.538753634373819</v>
      </c>
      <c r="AH20" s="603">
        <f>IF(M20="","",DEGREES(ACOS(AD20)))</f>
        <v>80.97724002298601</v>
      </c>
      <c r="AI20" s="585">
        <f>IF(M20="","",DEGREES(-ACOS(-AF20)))</f>
        <v>-82.631593830436671</v>
      </c>
      <c r="AJ20" s="586">
        <f>IF(M20="","",DEGREES(ATAN2(-AE20,AD20)))</f>
        <v>9.0985253146635774</v>
      </c>
      <c r="AK20" s="635">
        <f>IF(M20="","",(COS(RADIANS((90-$Q$8)-W20))*AD20)+(-SIN(RADIANS((90-$Q$8)-W20))*AE20))</f>
        <v>0.91301034603306097</v>
      </c>
      <c r="AL20" s="629">
        <f>IF(M20="","",(SIN(RADIANS((90-$Q$8)-W20))*AD20)+(COS(RADIANS((90-$Q$8)-W20))*AE20))</f>
        <v>-0.38725232770007056</v>
      </c>
      <c r="AM20" s="634">
        <f>IF(M20="","",AF20)</f>
        <v>-0.12824875331740138</v>
      </c>
      <c r="AN20" s="581">
        <f>IF(M20="","",DEGREES(ATAN2(-AM20,AL20)))</f>
        <v>-71.676358375519598</v>
      </c>
      <c r="AO20" s="582">
        <f t="shared" si="94"/>
        <v>24.075268557301555</v>
      </c>
      <c r="AP20" s="585">
        <f>IF(M20="","",DEGREES(ATAN2(AK20,AL20)))</f>
        <v>-22.984175106542345</v>
      </c>
      <c r="AQ20" s="586">
        <f t="shared" si="9"/>
        <v>0.76373114961363009</v>
      </c>
      <c r="AS20" s="52">
        <f t="shared" si="116"/>
        <v>-55.91709986758724</v>
      </c>
      <c r="AT20" s="72">
        <f t="shared" si="10"/>
        <v>-0.86628238708252825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2.1190000000000002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2.6523904224818819</v>
      </c>
      <c r="C21" s="708">
        <v>1.6418100079823756</v>
      </c>
      <c r="D21" s="709">
        <v>-1.6758050542280436</v>
      </c>
      <c r="E21" s="710">
        <v>-3.0664201794397716E-2</v>
      </c>
      <c r="F21" s="708">
        <v>0.99952974279322959</v>
      </c>
      <c r="G21" s="711">
        <v>1.133974339709957E-7</v>
      </c>
      <c r="H21" s="710">
        <v>0.314</v>
      </c>
      <c r="I21" s="708">
        <v>0.52</v>
      </c>
      <c r="J21" s="570">
        <v>2.125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2.125</v>
      </c>
      <c r="N21" s="632">
        <f t="shared" si="2"/>
        <v>2.6523904224818819</v>
      </c>
      <c r="O21" s="629">
        <f t="shared" si="3"/>
        <v>1.6418100079823756</v>
      </c>
      <c r="P21" s="633">
        <f t="shared" si="4"/>
        <v>-1.6758050542280436</v>
      </c>
      <c r="Q21" s="585">
        <f t="shared" si="113"/>
        <v>31.757200468202324</v>
      </c>
      <c r="R21" s="629">
        <f>IF(M21="","",SQRT(N21^2+O21^2))</f>
        <v>3.1194094081387753</v>
      </c>
      <c r="S21" s="634">
        <f>IF(M21="","",P21)</f>
        <v>-1.6758050542280436</v>
      </c>
      <c r="T21" s="635">
        <f>IF(M21="","",X21*COS(RADIANS(W21)))</f>
        <v>1.7333859923463737</v>
      </c>
      <c r="U21" s="629">
        <f>IF(M21="","",X21*SIN(RADIANS(W21)))</f>
        <v>-2.5934702730361265</v>
      </c>
      <c r="V21" s="636">
        <f>IF(M21="","",Y21)</f>
        <v>-1.6758050542280436</v>
      </c>
      <c r="W21" s="585">
        <f t="shared" si="224"/>
        <v>303.75740017940916</v>
      </c>
      <c r="X21" s="629">
        <f>IF(M21="","",R21)</f>
        <v>3.1194094081387753</v>
      </c>
      <c r="Y21" s="630">
        <f t="shared" si="223"/>
        <v>-1.6758050542280436</v>
      </c>
      <c r="Z21" s="632">
        <f t="shared" si="6"/>
        <v>3.0664201794397716E-2</v>
      </c>
      <c r="AA21" s="629">
        <f t="shared" si="7"/>
        <v>-0.99952974279322959</v>
      </c>
      <c r="AB21" s="629">
        <f t="shared" si="8"/>
        <v>-1.133974339709957E-7</v>
      </c>
      <c r="AC21" s="636">
        <f>IF(M21="","",SQRT(Z21^2+AA21^2+AB21^2))</f>
        <v>1</v>
      </c>
      <c r="AD21" s="637">
        <f>IF(M21="","",Z21*(1/SQRT(Z21^2+AA21^2+AB21^2)))</f>
        <v>3.0664201794397716E-2</v>
      </c>
      <c r="AE21" s="629">
        <f>IF(M21="","",AA21*(1/SQRT(Z21^2+AA21^2+AB21^2)))</f>
        <v>-0.99952974279322959</v>
      </c>
      <c r="AF21" s="633">
        <f>IF(M21="","",AB21*(1/SQRT(Z21^2+AA21^2+AB21^2)))</f>
        <v>-1.133974339709957E-7</v>
      </c>
      <c r="AG21" s="602">
        <f>IF(M21="","",DEGREES(ATAN2(-AF21,AE21)))</f>
        <v>-89.99999349974884</v>
      </c>
      <c r="AH21" s="603">
        <f>IF(M21="","",DEGREES(ACOS(AD21)))</f>
        <v>88.242795200333589</v>
      </c>
      <c r="AI21" s="585">
        <f>IF(M21="","",DEGREES(-ACOS(-AF21)))</f>
        <v>-89.999993502805637</v>
      </c>
      <c r="AJ21" s="586">
        <f>IF(M21="","",DEGREES(ATAN2(-AE21,AD21)))</f>
        <v>1.7572047996664211</v>
      </c>
      <c r="AK21" s="635">
        <f>IF(M21="","",(COS(RADIANS((90-$Q$8)-W21))*AD21)+(-SIN(RADIANS((90-$Q$8)-W21))*AE21))</f>
        <v>0.86602544158358585</v>
      </c>
      <c r="AL21" s="629">
        <f>IF(M21="","",(SIN(RADIANS((90-$Q$8)-W21))*AD21)+(COS(RADIANS((90-$Q$8)-W21))*AE21))</f>
        <v>-0.49999993452993813</v>
      </c>
      <c r="AM21" s="634">
        <f>IF(M21="","",AF21)</f>
        <v>-1.133974339709957E-7</v>
      </c>
      <c r="AN21" s="581">
        <f>IF(M21="","",DEGREES(ATAN2(-AM21,AL21)))</f>
        <v>-89.999987005609555</v>
      </c>
      <c r="AO21" s="582">
        <f>IF(ROUND(IF(M21="",0,DEGREES(ACOS(AK21))),4)=90,0,IF(M21="","",DEGREES(ACOS(AK21))))</f>
        <v>29.99999566853651</v>
      </c>
      <c r="AP21" s="585">
        <f>IF(M21="","",DEGREES(ATAN2(AK21,AL21)))</f>
        <v>-29.999995668535881</v>
      </c>
      <c r="AQ21" s="586">
        <f t="shared" si="9"/>
        <v>0.73078032153202732</v>
      </c>
      <c r="AS21" s="52">
        <f t="shared" si="116"/>
        <v>-56.24259982059084</v>
      </c>
      <c r="AT21" s="72">
        <f t="shared" si="10"/>
        <v>-1.6353586656642951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2.125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2.9369373436653685</v>
      </c>
      <c r="C22" s="708">
        <v>0.67545449954716741</v>
      </c>
      <c r="D22" s="709">
        <v>-0.90760273732985575</v>
      </c>
      <c r="E22" s="710">
        <v>0.70574747096829871</v>
      </c>
      <c r="F22" s="708">
        <v>0.16231227721249197</v>
      </c>
      <c r="G22" s="711">
        <v>0.68961962840970936</v>
      </c>
      <c r="H22" s="710">
        <v>0.25700000000000001</v>
      </c>
      <c r="I22" s="708">
        <v>0.41499999999999992</v>
      </c>
      <c r="J22" s="570">
        <v>2.2189999999999999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CPS-32193r1</v>
      </c>
      <c r="L22" s="1313">
        <f>IF($L21=$JH$22,$JH$30,IF($L21=$JI$22,$JI$30,""))</f>
        <v>0</v>
      </c>
      <c r="M22" s="168">
        <f t="shared" si="1"/>
        <v>2.2189999999999999</v>
      </c>
      <c r="N22" s="632">
        <f t="shared" si="2"/>
        <v>2.9369373436653685</v>
      </c>
      <c r="O22" s="629">
        <f t="shared" si="3"/>
        <v>0.67545449954716741</v>
      </c>
      <c r="P22" s="633">
        <f t="shared" si="4"/>
        <v>-0.90760273732985575</v>
      </c>
      <c r="Q22" s="585">
        <f t="shared" si="113"/>
        <v>12.952003183336881</v>
      </c>
      <c r="R22" s="629">
        <f t="shared" si="79"/>
        <v>3.013609089045012</v>
      </c>
      <c r="S22" s="634">
        <f t="shared" si="80"/>
        <v>-0.90760273732985575</v>
      </c>
      <c r="T22" s="635">
        <f t="shared" si="81"/>
        <v>0.77755081469151388</v>
      </c>
      <c r="U22" s="629">
        <f t="shared" si="82"/>
        <v>-2.9115725084818465</v>
      </c>
      <c r="V22" s="636">
        <f t="shared" si="114"/>
        <v>-0.90760273732985575</v>
      </c>
      <c r="W22" s="585">
        <f t="shared" si="224"/>
        <v>284.9522028945438</v>
      </c>
      <c r="X22" s="629">
        <f t="shared" si="83"/>
        <v>3.013609089045012</v>
      </c>
      <c r="Y22" s="630">
        <f t="shared" si="223"/>
        <v>-0.90760273732985575</v>
      </c>
      <c r="Z22" s="632">
        <f t="shared" si="6"/>
        <v>-0.70574747096829871</v>
      </c>
      <c r="AA22" s="629">
        <f t="shared" si="7"/>
        <v>-0.16231227721249197</v>
      </c>
      <c r="AB22" s="629">
        <f t="shared" si="8"/>
        <v>-0.68961962840970936</v>
      </c>
      <c r="AC22" s="636">
        <f t="shared" si="84"/>
        <v>1</v>
      </c>
      <c r="AD22" s="637">
        <f t="shared" si="115"/>
        <v>-0.70574747096829871</v>
      </c>
      <c r="AE22" s="629">
        <f t="shared" si="85"/>
        <v>-0.16231227721249197</v>
      </c>
      <c r="AF22" s="633">
        <f t="shared" si="86"/>
        <v>-0.68961962840970936</v>
      </c>
      <c r="AG22" s="602">
        <f t="shared" si="87"/>
        <v>-13.244364393674228</v>
      </c>
      <c r="AH22" s="603">
        <f t="shared" si="88"/>
        <v>134.88996277109206</v>
      </c>
      <c r="AI22" s="585">
        <f t="shared" si="89"/>
        <v>-46.399993300671248</v>
      </c>
      <c r="AJ22" s="586">
        <f t="shared" si="90"/>
        <v>-77.04797887286756</v>
      </c>
      <c r="AK22" s="635">
        <f t="shared" si="211"/>
        <v>2.2679489580790246E-7</v>
      </c>
      <c r="AL22" s="629">
        <f t="shared" si="91"/>
        <v>-0.72417178080342448</v>
      </c>
      <c r="AM22" s="634">
        <f t="shared" si="92"/>
        <v>-0.68961962840970936</v>
      </c>
      <c r="AN22" s="581">
        <f t="shared" si="93"/>
        <v>-46.399993300669848</v>
      </c>
      <c r="AO22" s="582">
        <f t="shared" si="94"/>
        <v>0</v>
      </c>
      <c r="AP22" s="585">
        <f t="shared" si="95"/>
        <v>-89.999982056204502</v>
      </c>
      <c r="AQ22" s="586">
        <f t="shared" si="9"/>
        <v>0.75643327033095908</v>
      </c>
      <c r="AS22" s="52">
        <f t="shared" si="116"/>
        <v>-75.047797105456198</v>
      </c>
      <c r="AT22" s="72">
        <f t="shared" si="10"/>
        <v>-0.85409718398495083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2.2189999999999999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2.1190000000000002</v>
      </c>
      <c r="II22" s="734" cm="1">
        <f t="array" ref="II22">IFERROR(ROUND(VALUE(IF($IH22&lt;1,$IH22+LARGE((IF($M$9:$M$150="",0,$M$9:$M$150)-MOD(IF($M$9:$M$150="",0,$M$9:$M$150),1)),1),$IH22)),4),"")</f>
        <v>2.1190000000000002</v>
      </c>
      <c r="IJ22" s="533">
        <f t="shared" si="112"/>
        <v>1613</v>
      </c>
      <c r="IK22" s="533" t="str">
        <f t="shared" si="66"/>
        <v>CPS-32193r1</v>
      </c>
      <c r="IL22" s="727">
        <f t="shared" si="225"/>
        <v>19.130697237868958</v>
      </c>
      <c r="IM22" s="759">
        <v>2.09172029957732E-3</v>
      </c>
      <c r="IN22" s="5">
        <f t="shared" si="226"/>
        <v>0.06</v>
      </c>
      <c r="IO22" s="771">
        <v>30</v>
      </c>
      <c r="IP22" s="9">
        <f t="shared" si="227"/>
        <v>-2.9848090021839506</v>
      </c>
      <c r="IQ22" s="5">
        <f t="shared" si="228"/>
        <v>-0.90650273401224635</v>
      </c>
      <c r="IR22" s="5">
        <f t="shared" si="71"/>
        <v>0.314</v>
      </c>
      <c r="IS22" s="5">
        <f t="shared" si="229"/>
        <v>0.28668524865438116</v>
      </c>
      <c r="IT22" s="727">
        <f t="shared" si="230"/>
        <v>71.676358375519598</v>
      </c>
      <c r="IU22" s="9">
        <f t="shared" si="231"/>
        <v>-3.013609089045012</v>
      </c>
      <c r="IV22" s="5">
        <f t="shared" si="232"/>
        <v>-0.90760273732985575</v>
      </c>
      <c r="IW22" s="5">
        <f t="shared" si="76"/>
        <v>0.25700000000000001</v>
      </c>
      <c r="IX22" s="5">
        <f t="shared" si="233"/>
        <v>0.25700000000000001</v>
      </c>
      <c r="IY22" s="762">
        <f t="shared" si="234"/>
        <v>46.399993300669848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3.0553005615020483</v>
      </c>
      <c r="C23" s="708">
        <v>0.70244057613912858</v>
      </c>
      <c r="D23" s="709">
        <v>-1.6862050855945383</v>
      </c>
      <c r="E23" s="710">
        <v>0.97457454143730149</v>
      </c>
      <c r="F23" s="708">
        <v>0.22406352488127598</v>
      </c>
      <c r="G23" s="711">
        <v>2.2679489804065805E-7</v>
      </c>
      <c r="H23" s="710">
        <v>0.25700000000000001</v>
      </c>
      <c r="I23" s="708">
        <v>0.41499999999999992</v>
      </c>
      <c r="J23" s="570">
        <v>2.2250000000000001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CPS-32193r1</v>
      </c>
      <c r="M23" s="168">
        <f t="shared" si="1"/>
        <v>2.2250000000000001</v>
      </c>
      <c r="N23" s="632">
        <f t="shared" si="2"/>
        <v>3.0553005615020483</v>
      </c>
      <c r="O23" s="629">
        <f t="shared" si="3"/>
        <v>0.70244057613912858</v>
      </c>
      <c r="P23" s="633">
        <f t="shared" si="4"/>
        <v>-1.6862050855945383</v>
      </c>
      <c r="Q23" s="585">
        <f t="shared" si="113"/>
        <v>12.947803183943281</v>
      </c>
      <c r="R23" s="629">
        <f t="shared" si="79"/>
        <v>3.1350094551885168</v>
      </c>
      <c r="S23" s="634">
        <f t="shared" si="80"/>
        <v>-1.6862050855945383</v>
      </c>
      <c r="T23" s="635">
        <f t="shared" si="81"/>
        <v>0.80865167786004355</v>
      </c>
      <c r="U23" s="629">
        <f t="shared" si="82"/>
        <v>-3.0289217137482338</v>
      </c>
      <c r="V23" s="636">
        <f t="shared" si="114"/>
        <v>-1.6862050855945383</v>
      </c>
      <c r="W23" s="585">
        <f t="shared" si="224"/>
        <v>284.94800289515013</v>
      </c>
      <c r="X23" s="629">
        <f t="shared" si="83"/>
        <v>3.1350094551885168</v>
      </c>
      <c r="Y23" s="630">
        <f t="shared" si="223"/>
        <v>-1.6862050855945383</v>
      </c>
      <c r="Z23" s="632">
        <f t="shared" si="6"/>
        <v>-0.97457454143730149</v>
      </c>
      <c r="AA23" s="629">
        <f t="shared" si="7"/>
        <v>-0.22406352488127598</v>
      </c>
      <c r="AB23" s="629">
        <f t="shared" si="8"/>
        <v>-2.2679489804065805E-7</v>
      </c>
      <c r="AC23" s="636">
        <f t="shared" si="84"/>
        <v>1</v>
      </c>
      <c r="AD23" s="637">
        <f t="shared" si="115"/>
        <v>-0.97457454143730149</v>
      </c>
      <c r="AE23" s="629">
        <f t="shared" si="85"/>
        <v>-0.22406352488127598</v>
      </c>
      <c r="AF23" s="633">
        <f t="shared" si="86"/>
        <v>-2.2679489804065805E-7</v>
      </c>
      <c r="AG23" s="602">
        <f t="shared" si="87"/>
        <v>-89.999942005775026</v>
      </c>
      <c r="AH23" s="603">
        <f t="shared" si="88"/>
        <v>167.05218382165992</v>
      </c>
      <c r="AI23" s="585">
        <f t="shared" si="89"/>
        <v>-89.999987005609526</v>
      </c>
      <c r="AJ23" s="586">
        <f t="shared" si="90"/>
        <v>-77.052183821666318</v>
      </c>
      <c r="AK23" s="635">
        <f t="shared" si="211"/>
        <v>2.2679489686261434E-7</v>
      </c>
      <c r="AL23" s="629">
        <f t="shared" si="91"/>
        <v>-0.9999999999999486</v>
      </c>
      <c r="AM23" s="634">
        <f t="shared" si="92"/>
        <v>-2.2679489804065805E-7</v>
      </c>
      <c r="AN23" s="581">
        <f t="shared" si="93"/>
        <v>-89.999987005609526</v>
      </c>
      <c r="AO23" s="582">
        <f t="shared" si="94"/>
        <v>0</v>
      </c>
      <c r="AP23" s="585">
        <f t="shared" si="95"/>
        <v>-89.999987005609597</v>
      </c>
      <c r="AQ23" s="586">
        <f t="shared" si="9"/>
        <v>0.72714429413256421</v>
      </c>
      <c r="AS23" s="52">
        <f t="shared" si="116"/>
        <v>-75.051997104849875</v>
      </c>
      <c r="AT23" s="72">
        <f t="shared" si="10"/>
        <v>-1.6326966155833877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>Gage</v>
      </c>
      <c r="IG23" s="847">
        <f t="shared" si="210"/>
        <v>2.2250000000000001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2.125</v>
      </c>
      <c r="II23" s="734" cm="1">
        <f t="array" ref="II23">IFERROR(ROUND(VALUE(IF($IH23&lt;1,$IH23+LARGE((IF($M$9:$M$150="",0,$M$9:$M$150)-MOD(IF($M$9:$M$150="",0,$M$9:$M$150),1)),1),$IH23)),4),"")</f>
        <v>2.125</v>
      </c>
      <c r="IJ23" s="533">
        <f t="shared" si="112"/>
        <v>1613</v>
      </c>
      <c r="IK23" s="533" t="str">
        <f t="shared" si="66"/>
        <v>CPS-32193r1</v>
      </c>
      <c r="IL23" s="727">
        <f t="shared" si="225"/>
        <v>18.809397284259035</v>
      </c>
      <c r="IM23" s="759">
        <v>3.7381402625100503E-5</v>
      </c>
      <c r="IN23" s="5">
        <f t="shared" si="226"/>
        <v>0</v>
      </c>
      <c r="IO23" s="771">
        <v>0</v>
      </c>
      <c r="IP23" s="9">
        <f t="shared" si="227"/>
        <v>-3.1194094081387753</v>
      </c>
      <c r="IQ23" s="5">
        <f t="shared" si="228"/>
        <v>-1.6758050542280436</v>
      </c>
      <c r="IR23" s="5">
        <f t="shared" si="71"/>
        <v>0.314</v>
      </c>
      <c r="IS23" s="5">
        <f t="shared" si="229"/>
        <v>0.27193198865724594</v>
      </c>
      <c r="IT23" s="727">
        <f t="shared" si="230"/>
        <v>89.999987005609555</v>
      </c>
      <c r="IU23" s="9">
        <f t="shared" si="231"/>
        <v>-3.1350094551885168</v>
      </c>
      <c r="IV23" s="5">
        <f t="shared" si="232"/>
        <v>-1.6862050855945383</v>
      </c>
      <c r="IW23" s="5">
        <f t="shared" si="76"/>
        <v>0.25700000000000001</v>
      </c>
      <c r="IX23" s="5">
        <f t="shared" si="233"/>
        <v>0.25700000000000001</v>
      </c>
      <c r="IY23" s="762">
        <f t="shared" si="234"/>
        <v>89.999987005609526</v>
      </c>
      <c r="JA23" s="855" cm="1">
        <f t="array" ref="JA23:JA24">IFERROR(_xlfn._xlws.SORT(_xlfn.UNIQUE(_xlfn._xlws.FILTER($IK$9:$IK$150,$IK$9:$IK$150&lt;&gt;"")),,1),"")</f>
        <v>1308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4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90</v>
      </c>
      <c r="JI23" s="801">
        <v>0</v>
      </c>
    </row>
    <row r="24" spans="1:269" ht="15" customHeight="1" x14ac:dyDescent="0.25">
      <c r="A24" s="79"/>
      <c r="B24" s="707">
        <v>0.7163783746076654</v>
      </c>
      <c r="C24" s="708">
        <v>-0.41360124742136239</v>
      </c>
      <c r="D24" s="709">
        <v>-0.2149006481403547</v>
      </c>
      <c r="E24" s="710">
        <v>0.42495023251139558</v>
      </c>
      <c r="F24" s="708">
        <v>0.87000995181435825</v>
      </c>
      <c r="G24" s="711">
        <v>0.24999996726497561</v>
      </c>
      <c r="H24" s="710">
        <v>0.314</v>
      </c>
      <c r="I24" s="708">
        <v>0.52</v>
      </c>
      <c r="J24" s="570">
        <v>3.1030000000000002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3.1030000000000002</v>
      </c>
      <c r="N24" s="632">
        <f t="shared" si="2"/>
        <v>0.7163783746076654</v>
      </c>
      <c r="O24" s="629">
        <f t="shared" si="3"/>
        <v>-0.41360124742136239</v>
      </c>
      <c r="P24" s="633">
        <f t="shared" si="4"/>
        <v>-0.2149006481403547</v>
      </c>
      <c r="Q24" s="585">
        <f t="shared" si="113"/>
        <v>330</v>
      </c>
      <c r="R24" s="629">
        <f t="shared" si="79"/>
        <v>0.82720249484272446</v>
      </c>
      <c r="S24" s="634">
        <f t="shared" si="80"/>
        <v>-0.2149006481403547</v>
      </c>
      <c r="T24" s="635">
        <f t="shared" si="81"/>
        <v>-0.38834550217845321</v>
      </c>
      <c r="U24" s="629">
        <f t="shared" si="82"/>
        <v>-0.73037780525683593</v>
      </c>
      <c r="V24" s="636">
        <f t="shared" si="114"/>
        <v>-0.2149006481403547</v>
      </c>
      <c r="W24" s="585">
        <f t="shared" si="224"/>
        <v>242.00019971120688</v>
      </c>
      <c r="X24" s="629">
        <f t="shared" si="83"/>
        <v>0.82720249484272446</v>
      </c>
      <c r="Y24" s="630">
        <f t="shared" si="223"/>
        <v>-0.2149006481403547</v>
      </c>
      <c r="Z24" s="632">
        <f t="shared" si="6"/>
        <v>-0.42495023251139558</v>
      </c>
      <c r="AA24" s="629">
        <f t="shared" si="7"/>
        <v>-0.87000995181435825</v>
      </c>
      <c r="AB24" s="629">
        <f t="shared" si="8"/>
        <v>-0.24999996726497561</v>
      </c>
      <c r="AC24" s="636">
        <f t="shared" si="84"/>
        <v>1</v>
      </c>
      <c r="AD24" s="637">
        <f t="shared" si="115"/>
        <v>-0.42495023251139558</v>
      </c>
      <c r="AE24" s="629">
        <f t="shared" si="85"/>
        <v>-0.87000995181435825</v>
      </c>
      <c r="AF24" s="633">
        <f t="shared" si="86"/>
        <v>-0.24999996726497561</v>
      </c>
      <c r="AG24" s="602">
        <f t="shared" si="87"/>
        <v>-73.967836603437476</v>
      </c>
      <c r="AH24" s="603">
        <f t="shared" si="88"/>
        <v>115.14751333388448</v>
      </c>
      <c r="AI24" s="585">
        <f t="shared" si="89"/>
        <v>-75.522489751159469</v>
      </c>
      <c r="AJ24" s="586">
        <f t="shared" si="90"/>
        <v>-26.032870354913463</v>
      </c>
      <c r="AK24" s="635">
        <f>IF(M24="","",(COS(RADIANS((90-$Q$8)-W24))*AD24)+(-SIN(RADIANS((90-$Q$8)-W24))*AE24))</f>
        <v>0.96592583607220739</v>
      </c>
      <c r="AL24" s="629">
        <f t="shared" si="91"/>
        <v>6.6987279208207184E-2</v>
      </c>
      <c r="AM24" s="634">
        <f t="shared" si="92"/>
        <v>-0.24999996726497561</v>
      </c>
      <c r="AN24" s="581">
        <f t="shared" si="93"/>
        <v>14.999997834268264</v>
      </c>
      <c r="AO24" s="582">
        <f t="shared" si="94"/>
        <v>14.999997834268255</v>
      </c>
      <c r="AP24" s="585">
        <f t="shared" si="95"/>
        <v>3.9671296450865703</v>
      </c>
      <c r="AQ24" s="586">
        <f t="shared" si="9"/>
        <v>2.7538249991569557</v>
      </c>
      <c r="AS24" s="52">
        <f t="shared" si="116"/>
        <v>-117.99980028879312</v>
      </c>
      <c r="AT24" s="72">
        <f t="shared" si="10"/>
        <v>-0.13156731480702136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3.1030000000000002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 t="str">
        <v/>
      </c>
      <c r="JG24" s="803">
        <v>2</v>
      </c>
      <c r="JH24" s="787" t="str">
        <v/>
      </c>
      <c r="JI24" s="803">
        <v>0</v>
      </c>
    </row>
    <row r="25" spans="1:269" ht="15" customHeight="1" x14ac:dyDescent="0.25">
      <c r="A25" s="79"/>
      <c r="B25" s="707">
        <v>1.371435433719512</v>
      </c>
      <c r="C25" s="708">
        <v>-0.79839316837070107</v>
      </c>
      <c r="D25" s="709">
        <v>-3.6200109179529351E-2</v>
      </c>
      <c r="E25" s="710">
        <v>0.51498805371858425</v>
      </c>
      <c r="F25" s="708">
        <v>0.81723742438526359</v>
      </c>
      <c r="G25" s="711">
        <v>0.25867024705459474</v>
      </c>
      <c r="H25" s="710">
        <v>0.314</v>
      </c>
      <c r="I25" s="708">
        <v>0.52</v>
      </c>
      <c r="J25" s="570">
        <v>3.1059999999999999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3.1059999999999999</v>
      </c>
      <c r="N25" s="632">
        <f t="shared" si="2"/>
        <v>1.371435433719512</v>
      </c>
      <c r="O25" s="629">
        <f t="shared" si="3"/>
        <v>-0.79839316837070107</v>
      </c>
      <c r="P25" s="633">
        <f t="shared" si="4"/>
        <v>-3.6200109179529351E-2</v>
      </c>
      <c r="Q25" s="585">
        <f t="shared" si="113"/>
        <v>329.79380002977155</v>
      </c>
      <c r="R25" s="629">
        <f>IF(M25="","",SQRT(N25^2+O25^2))</f>
        <v>1.5869047861048353</v>
      </c>
      <c r="S25" s="634">
        <f>IF(M25="","",P25)</f>
        <v>-3.6200109179529351E-2</v>
      </c>
      <c r="T25" s="635">
        <f>IF(M25="","",X25*COS(RADIANS(W25)))</f>
        <v>-0.75003952791329975</v>
      </c>
      <c r="U25" s="629">
        <f>IF(M25="","",X25*SIN(RADIANS(W25)))</f>
        <v>-1.3984661264149474</v>
      </c>
      <c r="V25" s="636">
        <f>IF(M25="","",Y25)</f>
        <v>-3.6200109179529351E-2</v>
      </c>
      <c r="W25" s="585">
        <f t="shared" si="224"/>
        <v>241.79399974097842</v>
      </c>
      <c r="X25" s="629">
        <f>IF(M25="","",R25)</f>
        <v>1.5869047861048353</v>
      </c>
      <c r="Y25" s="630">
        <f t="shared" si="223"/>
        <v>-3.6200109179529351E-2</v>
      </c>
      <c r="Z25" s="632">
        <f t="shared" si="6"/>
        <v>-0.51498805371858425</v>
      </c>
      <c r="AA25" s="629">
        <f t="shared" si="7"/>
        <v>-0.81723742438526359</v>
      </c>
      <c r="AB25" s="629">
        <f t="shared" si="8"/>
        <v>-0.25867024705459474</v>
      </c>
      <c r="AC25" s="636">
        <f>IF(M25="","",SQRT(Z25^2+AA25^2+AB25^2))</f>
        <v>1</v>
      </c>
      <c r="AD25" s="637">
        <f>IF(M25="","",Z25*(1/SQRT(Z25^2+AA25^2+AB25^2)))</f>
        <v>-0.51498805371858425</v>
      </c>
      <c r="AE25" s="629">
        <f>IF(M25="","",AA25*(1/SQRT(Z25^2+AA25^2+AB25^2)))</f>
        <v>-0.81723742438526359</v>
      </c>
      <c r="AF25" s="633">
        <f>IF(M25="","",AB25*(1/SQRT(Z25^2+AA25^2+AB25^2)))</f>
        <v>-0.25867024705459474</v>
      </c>
      <c r="AG25" s="602">
        <f>IF(M25="","",DEGREES(ATAN2(-AF25,AE25)))</f>
        <v>-72.436490093984105</v>
      </c>
      <c r="AH25" s="603">
        <f>IF(M25="","",DEGREES(ACOS(AD25)))</f>
        <v>120.99665648361569</v>
      </c>
      <c r="AI25" s="585">
        <f>IF(M25="","",DEGREES(-ACOS(-AF25)))</f>
        <v>-75.008826065110028</v>
      </c>
      <c r="AJ25" s="586">
        <f>IF(M25="","",DEGREES(ATAN2(-AE25,AD25)))</f>
        <v>-32.217375374139365</v>
      </c>
      <c r="AK25" s="635">
        <f>IF(M25="","",(COS(RADIANS((90-$Q$8)-W25))*AD25)+(-SIN(RADIANS((90-$Q$8)-W25))*AE25))</f>
        <v>0.96537065037489733</v>
      </c>
      <c r="AL25" s="629">
        <f>IF(M25="","",(SIN(RADIANS((90-$Q$8)-W25))*AD25)+(COS(RADIANS((90-$Q$8)-W25))*AE25))</f>
        <v>-3.3900010080565202E-2</v>
      </c>
      <c r="AM25" s="634">
        <f>IF(M25="","",AF25)</f>
        <v>-0.25867024705459474</v>
      </c>
      <c r="AN25" s="581">
        <f>IF(M25="","",DEGREES(ATAN2(-AM25,AL25)))</f>
        <v>-7.4663423913510192</v>
      </c>
      <c r="AO25" s="582">
        <f>IF(ROUND(IF(M25="",0,DEGREES(ACOS(AK25))),4)=90,0,IF(M25="","",DEGREES(ACOS(AK25))))</f>
        <v>15.122413508587272</v>
      </c>
      <c r="AP25" s="585">
        <f>IF(M25="","",DEGREES(ATAN2(AK25,AL25)))</f>
        <v>-2.0111754039108867</v>
      </c>
      <c r="AQ25" s="586">
        <f t="shared" si="9"/>
        <v>1.4362859730013759</v>
      </c>
      <c r="AS25" s="52">
        <f t="shared" si="116"/>
        <v>-118.20600025902158</v>
      </c>
      <c r="AT25" s="72">
        <f t="shared" si="10"/>
        <v>4.7276418577573746E-2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3.1059999999999999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2.0179644615509633</v>
      </c>
      <c r="C26" s="708">
        <v>-1.2377247375961653</v>
      </c>
      <c r="D26" s="709">
        <v>-0.21160063818752456</v>
      </c>
      <c r="E26" s="710">
        <v>0.66920874294288513</v>
      </c>
      <c r="F26" s="708">
        <v>0.71550744193174665</v>
      </c>
      <c r="G26" s="711">
        <v>0.20052121810195525</v>
      </c>
      <c r="H26" s="710">
        <v>0.314</v>
      </c>
      <c r="I26" s="708">
        <v>0.52</v>
      </c>
      <c r="J26" s="570">
        <v>3.1120000000000001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3.1120000000000001</v>
      </c>
      <c r="N26" s="632">
        <f t="shared" si="2"/>
        <v>2.0179644615509633</v>
      </c>
      <c r="O26" s="629">
        <f t="shared" si="3"/>
        <v>-1.2377247375961653</v>
      </c>
      <c r="P26" s="633">
        <f t="shared" si="4"/>
        <v>-0.21160063818752456</v>
      </c>
      <c r="Q26" s="585">
        <f t="shared" si="113"/>
        <v>328.47700021989391</v>
      </c>
      <c r="R26" s="629">
        <f>IF(M26="","",SQRT(N26^2+O26^2))</f>
        <v>2.3673071397983332</v>
      </c>
      <c r="S26" s="634">
        <f>IF(M26="","",P26)</f>
        <v>-0.21160063818752456</v>
      </c>
      <c r="T26" s="635">
        <f>IF(M26="","",X26*COS(RADIANS(W26)))</f>
        <v>-1.1665376249161763</v>
      </c>
      <c r="U26" s="629">
        <f>IF(M26="","",X26*SIN(RADIANS(W26)))</f>
        <v>-2.0599352086400899</v>
      </c>
      <c r="V26" s="636">
        <f>IF(M26="","",Y26)</f>
        <v>-0.21160063818752456</v>
      </c>
      <c r="W26" s="585">
        <f t="shared" si="224"/>
        <v>240.47719993110078</v>
      </c>
      <c r="X26" s="629">
        <f>IF(M26="","",R26)</f>
        <v>2.3673071397983332</v>
      </c>
      <c r="Y26" s="630">
        <f t="shared" si="223"/>
        <v>-0.21160063818752456</v>
      </c>
      <c r="Z26" s="632">
        <f t="shared" si="6"/>
        <v>-0.66920874294288513</v>
      </c>
      <c r="AA26" s="629">
        <f t="shared" si="7"/>
        <v>-0.71550744193174665</v>
      </c>
      <c r="AB26" s="629">
        <f t="shared" si="8"/>
        <v>-0.20052121810195525</v>
      </c>
      <c r="AC26" s="636">
        <f>IF(M26="","",SQRT(Z26^2+AA26^2+AB26^2))</f>
        <v>1</v>
      </c>
      <c r="AD26" s="637">
        <f>IF(M26="","",Z26*(1/SQRT(Z26^2+AA26^2+AB26^2)))</f>
        <v>-0.66920874294288513</v>
      </c>
      <c r="AE26" s="629">
        <f>IF(M26="","",AA26*(1/SQRT(Z26^2+AA26^2+AB26^2)))</f>
        <v>-0.71550744193174665</v>
      </c>
      <c r="AF26" s="633">
        <f>IF(M26="","",AB26*(1/SQRT(Z26^2+AA26^2+AB26^2)))</f>
        <v>-0.20052121810195525</v>
      </c>
      <c r="AG26" s="602">
        <f>IF(M26="","",DEGREES(ATAN2(-AF26,AE26)))</f>
        <v>-74.344452696975523</v>
      </c>
      <c r="AH26" s="603">
        <f>IF(M26="","",DEGREES(ACOS(AD26)))</f>
        <v>132.00602454364477</v>
      </c>
      <c r="AI26" s="585">
        <f>IF(M26="","",DEGREES(-ACOS(-AF26)))</f>
        <v>-78.432559904218664</v>
      </c>
      <c r="AJ26" s="586">
        <f>IF(M26="","",DEGREES(ATAN2(-AE26,AD26)))</f>
        <v>-43.084999497503233</v>
      </c>
      <c r="AK26" s="635">
        <f>IF(M26="","",(COS(RADIANS((90-$Q$8)-W26))*AD26)+(-SIN(RADIANS((90-$Q$8)-W26))*AE26))</f>
        <v>0.95980989004371797</v>
      </c>
      <c r="AL26" s="629">
        <f>IF(M26="","",(SIN(RADIANS((90-$Q$8)-W26))*AD26)+(COS(RADIANS((90-$Q$8)-W26))*AE26))</f>
        <v>-0.19635736824772909</v>
      </c>
      <c r="AM26" s="634">
        <f>IF(M26="","",AF26)</f>
        <v>-0.20052121810195525</v>
      </c>
      <c r="AN26" s="581">
        <f>IF(M26="","",DEGREES(ATAN2(-AM26,AL26)))</f>
        <v>-44.398903647945836</v>
      </c>
      <c r="AO26" s="582">
        <f t="shared" si="94"/>
        <v>16.299061316171109</v>
      </c>
      <c r="AP26" s="585">
        <f>IF(M26="","",DEGREES(ATAN2(AK26,AL26)))</f>
        <v>-11.561999717397123</v>
      </c>
      <c r="AQ26" s="586">
        <f t="shared" si="9"/>
        <v>0.96291349753596256</v>
      </c>
      <c r="AS26" s="52">
        <f t="shared" si="116"/>
        <v>-119.52280006889922</v>
      </c>
      <c r="AT26" s="72">
        <f t="shared" si="10"/>
        <v>-0.12720966611800644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3.1120000000000001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2.4604500531176394</v>
      </c>
      <c r="C27" s="708">
        <v>-1.5843150423104015</v>
      </c>
      <c r="D27" s="709">
        <v>-0.78580236997994801</v>
      </c>
      <c r="E27" s="710">
        <v>0.79772646280279569</v>
      </c>
      <c r="F27" s="708">
        <v>0.58803335684296421</v>
      </c>
      <c r="G27" s="711">
        <v>0.13360112942686991</v>
      </c>
      <c r="H27" s="710">
        <v>0.314</v>
      </c>
      <c r="I27" s="708">
        <v>0.52</v>
      </c>
      <c r="J27" s="570">
        <v>3.1179999999999999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3.1179999999999999</v>
      </c>
      <c r="N27" s="632">
        <f t="shared" si="2"/>
        <v>2.4604500531176394</v>
      </c>
      <c r="O27" s="629">
        <f t="shared" si="3"/>
        <v>-1.5843150423104015</v>
      </c>
      <c r="P27" s="633">
        <f t="shared" si="4"/>
        <v>-0.78580236997994801</v>
      </c>
      <c r="Q27" s="585">
        <f t="shared" si="113"/>
        <v>327.22200040109351</v>
      </c>
      <c r="R27" s="629">
        <f t="shared" si="79"/>
        <v>2.9264088260490202</v>
      </c>
      <c r="S27" s="634">
        <f t="shared" si="80"/>
        <v>-0.78580236997994801</v>
      </c>
      <c r="T27" s="635">
        <f t="shared" si="81"/>
        <v>-1.4974726881778617</v>
      </c>
      <c r="U27" s="629">
        <f t="shared" si="82"/>
        <v>-2.5142482306524494</v>
      </c>
      <c r="V27" s="636">
        <f t="shared" si="114"/>
        <v>-0.78580236997994801</v>
      </c>
      <c r="W27" s="585">
        <f t="shared" si="224"/>
        <v>239.22220011230038</v>
      </c>
      <c r="X27" s="629">
        <f t="shared" si="83"/>
        <v>2.9264088260490202</v>
      </c>
      <c r="Y27" s="630">
        <f t="shared" si="223"/>
        <v>-0.78580236997994801</v>
      </c>
      <c r="Z27" s="632">
        <f t="shared" si="6"/>
        <v>-0.79772646280279569</v>
      </c>
      <c r="AA27" s="629">
        <f t="shared" si="7"/>
        <v>-0.58803335684296421</v>
      </c>
      <c r="AB27" s="629">
        <f t="shared" si="8"/>
        <v>-0.13360112942686991</v>
      </c>
      <c r="AC27" s="636">
        <f t="shared" si="84"/>
        <v>1</v>
      </c>
      <c r="AD27" s="637">
        <f t="shared" si="115"/>
        <v>-0.79772646280279569</v>
      </c>
      <c r="AE27" s="629">
        <f t="shared" si="85"/>
        <v>-0.58803335684296421</v>
      </c>
      <c r="AF27" s="633">
        <f t="shared" si="86"/>
        <v>-0.13360112942686991</v>
      </c>
      <c r="AG27" s="602">
        <f t="shared" si="87"/>
        <v>-77.199700861421988</v>
      </c>
      <c r="AH27" s="603">
        <f t="shared" si="88"/>
        <v>142.91354072187445</v>
      </c>
      <c r="AI27" s="585">
        <f t="shared" si="89"/>
        <v>-82.322262238408655</v>
      </c>
      <c r="AJ27" s="586">
        <f t="shared" si="90"/>
        <v>-53.604714610930223</v>
      </c>
      <c r="AK27" s="635">
        <f t="shared" si="211"/>
        <v>0.92628094701534591</v>
      </c>
      <c r="AL27" s="629">
        <f t="shared" si="91"/>
        <v>-0.35235542483722171</v>
      </c>
      <c r="AM27" s="634">
        <f t="shared" si="92"/>
        <v>-0.13360112942686991</v>
      </c>
      <c r="AN27" s="581">
        <f t="shared" si="93"/>
        <v>-69.234985380715855</v>
      </c>
      <c r="AO27" s="582">
        <f t="shared" si="94"/>
        <v>22.13768963498163</v>
      </c>
      <c r="AP27" s="585">
        <f t="shared" si="95"/>
        <v>-20.826715012023733</v>
      </c>
      <c r="AQ27" s="586">
        <f t="shared" si="9"/>
        <v>0.7789705075083122</v>
      </c>
      <c r="AS27" s="52">
        <f t="shared" si="116"/>
        <v>-120.77779988769962</v>
      </c>
      <c r="AT27" s="72">
        <f t="shared" si="10"/>
        <v>-0.70053987025848519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3.1179999999999999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2.5782676262018982</v>
      </c>
      <c r="C28" s="708">
        <v>-1.683651310068613</v>
      </c>
      <c r="D28" s="709">
        <v>-1.5300046144939174</v>
      </c>
      <c r="E28" s="710">
        <v>0.89668927525583786</v>
      </c>
      <c r="F28" s="708">
        <v>0.44127488285496846</v>
      </c>
      <c r="G28" s="711">
        <v>3.4997448514057644E-2</v>
      </c>
      <c r="H28" s="710">
        <v>0.314</v>
      </c>
      <c r="I28" s="708">
        <v>0.52</v>
      </c>
      <c r="J28" s="570">
        <v>3.1240000000000001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3.1240000000000001</v>
      </c>
      <c r="N28" s="632">
        <f t="shared" si="2"/>
        <v>2.5782676262018982</v>
      </c>
      <c r="O28" s="629">
        <f t="shared" si="3"/>
        <v>-1.683651310068613</v>
      </c>
      <c r="P28" s="633">
        <f t="shared" si="4"/>
        <v>-1.5300046144939174</v>
      </c>
      <c r="Q28" s="585">
        <f t="shared" si="113"/>
        <v>326.8548004541106</v>
      </c>
      <c r="R28" s="629">
        <f t="shared" si="79"/>
        <v>3.0793092871968102</v>
      </c>
      <c r="S28" s="634">
        <f t="shared" si="80"/>
        <v>-1.5300046144939174</v>
      </c>
      <c r="T28" s="635">
        <f t="shared" si="81"/>
        <v>-1.5926362464610113</v>
      </c>
      <c r="U28" s="629">
        <f t="shared" si="82"/>
        <v>-2.6354611499081346</v>
      </c>
      <c r="V28" s="636">
        <f t="shared" si="114"/>
        <v>-1.5300046144939174</v>
      </c>
      <c r="W28" s="585">
        <f t="shared" si="224"/>
        <v>238.85500016531748</v>
      </c>
      <c r="X28" s="629">
        <f t="shared" si="83"/>
        <v>3.0793092871968102</v>
      </c>
      <c r="Y28" s="630">
        <f t="shared" si="223"/>
        <v>-1.5300046144939174</v>
      </c>
      <c r="Z28" s="632">
        <f t="shared" si="6"/>
        <v>-0.89668927525583786</v>
      </c>
      <c r="AA28" s="629">
        <f t="shared" si="7"/>
        <v>-0.44127488285496846</v>
      </c>
      <c r="AB28" s="629">
        <f t="shared" si="8"/>
        <v>-3.4997448514057644E-2</v>
      </c>
      <c r="AC28" s="636">
        <f t="shared" si="84"/>
        <v>1</v>
      </c>
      <c r="AD28" s="637">
        <f t="shared" si="115"/>
        <v>-0.89668927525583786</v>
      </c>
      <c r="AE28" s="629">
        <f t="shared" si="85"/>
        <v>-0.44127488285496846</v>
      </c>
      <c r="AF28" s="633">
        <f t="shared" si="86"/>
        <v>-3.4997448514057644E-2</v>
      </c>
      <c r="AG28" s="602">
        <f t="shared" si="87"/>
        <v>-85.465371624687521</v>
      </c>
      <c r="AH28" s="603">
        <f t="shared" si="88"/>
        <v>153.72624305898793</v>
      </c>
      <c r="AI28" s="585">
        <f t="shared" si="89"/>
        <v>-87.99438434408296</v>
      </c>
      <c r="AJ28" s="586">
        <f t="shared" si="90"/>
        <v>-63.797476362125927</v>
      </c>
      <c r="AK28" s="635">
        <f t="shared" si="211"/>
        <v>0.8597502137045836</v>
      </c>
      <c r="AL28" s="629">
        <f t="shared" si="91"/>
        <v>-0.50951422809616298</v>
      </c>
      <c r="AM28" s="634">
        <f t="shared" si="92"/>
        <v>-3.4997448514057644E-2</v>
      </c>
      <c r="AN28" s="581">
        <f t="shared" si="93"/>
        <v>-86.070646620756705</v>
      </c>
      <c r="AO28" s="582">
        <f t="shared" si="94"/>
        <v>30.711451539761324</v>
      </c>
      <c r="AP28" s="585">
        <f t="shared" si="95"/>
        <v>-30.65227681623653</v>
      </c>
      <c r="AQ28" s="586">
        <f t="shared" si="9"/>
        <v>0.74029581224472529</v>
      </c>
      <c r="AS28" s="52">
        <f t="shared" si="116"/>
        <v>-121.14499983468252</v>
      </c>
      <c r="AT28" s="72">
        <f t="shared" si="10"/>
        <v>-1.4444871148092719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3.1240000000000001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2.6089338248761029</v>
      </c>
      <c r="C29" s="708">
        <v>-1.7100232024747655</v>
      </c>
      <c r="D29" s="709">
        <v>-2.2449067706388202</v>
      </c>
      <c r="E29" s="710">
        <v>0.8929223376082297</v>
      </c>
      <c r="F29" s="708">
        <v>0.45021072732692852</v>
      </c>
      <c r="G29" s="711">
        <v>1.1339743219625393E-7</v>
      </c>
      <c r="H29" s="710">
        <v>0.314</v>
      </c>
      <c r="I29" s="708">
        <v>0.52</v>
      </c>
      <c r="J29" s="570">
        <v>3.13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3.13</v>
      </c>
      <c r="N29" s="632">
        <f t="shared" si="2"/>
        <v>2.6089338248761029</v>
      </c>
      <c r="O29" s="629">
        <f t="shared" si="3"/>
        <v>-1.7100232024747655</v>
      </c>
      <c r="P29" s="633">
        <f t="shared" si="4"/>
        <v>-2.2449067706388202</v>
      </c>
      <c r="Q29" s="585">
        <f t="shared" si="113"/>
        <v>326.75720046820231</v>
      </c>
      <c r="R29" s="629">
        <f>IF(M29="","",SQRT(N29^2+O29^2))</f>
        <v>3.1194094081387753</v>
      </c>
      <c r="S29" s="634">
        <f>IF(M29="","",P29)</f>
        <v>-2.2449067706388202</v>
      </c>
      <c r="T29" s="635">
        <f>IF(M29="","",X29*COS(RADIANS(W29)))</f>
        <v>-1.6179217288896053</v>
      </c>
      <c r="U29" s="629">
        <f>IF(M29="","",X29*SIN(RADIANS(W29)))</f>
        <v>-2.6670291214704753</v>
      </c>
      <c r="V29" s="636">
        <f>IF(M29="","",Y29)</f>
        <v>-2.2449067706388202</v>
      </c>
      <c r="W29" s="585">
        <f t="shared" si="224"/>
        <v>238.75740017940919</v>
      </c>
      <c r="X29" s="629">
        <f>IF(M29="","",R29)</f>
        <v>3.1194094081387753</v>
      </c>
      <c r="Y29" s="630">
        <f t="shared" si="223"/>
        <v>-2.2449067706388202</v>
      </c>
      <c r="Z29" s="632">
        <f t="shared" si="6"/>
        <v>-0.8929223376082297</v>
      </c>
      <c r="AA29" s="629">
        <f t="shared" si="7"/>
        <v>-0.45021072732692852</v>
      </c>
      <c r="AB29" s="629">
        <f t="shared" si="8"/>
        <v>-1.1339743219625393E-7</v>
      </c>
      <c r="AC29" s="636">
        <f>IF(M29="","",SQRT(Z29^2+AA29^2+AB29^2))</f>
        <v>1</v>
      </c>
      <c r="AD29" s="637">
        <f>IF(M29="","",Z29*(1/SQRT(Z29^2+AA29^2+AB29^2)))</f>
        <v>-0.8929223376082297</v>
      </c>
      <c r="AE29" s="629">
        <f>IF(M29="","",AA29*(1/SQRT(Z29^2+AA29^2+AB29^2)))</f>
        <v>-0.45021072732692852</v>
      </c>
      <c r="AF29" s="633">
        <f>IF(M29="","",AB29*(1/SQRT(Z29^2+AA29^2+AB29^2)))</f>
        <v>-1.1339743219625393E-7</v>
      </c>
      <c r="AG29" s="602">
        <f>IF(M29="","",DEGREES(ATAN2(-AF29,AE29)))</f>
        <v>-89.99998556854851</v>
      </c>
      <c r="AH29" s="603">
        <f>IF(M29="","",DEGREES(ACOS(AD29)))</f>
        <v>153.24279520033289</v>
      </c>
      <c r="AI29" s="585">
        <f>IF(M29="","",DEGREES(-ACOS(-AF29)))</f>
        <v>-89.999993502805737</v>
      </c>
      <c r="AJ29" s="586">
        <f>IF(M29="","",DEGREES(ATAN2(-AE29,AD29)))</f>
        <v>-63.242795200333617</v>
      </c>
      <c r="AK29" s="635">
        <f>IF(M29="","",(COS(RADIANS((90-$Q$8)-W29))*AD29)+(-SIN(RADIANS((90-$Q$8)-W29))*AE29))</f>
        <v>0.8660254415835853</v>
      </c>
      <c r="AL29" s="629">
        <f>IF(M29="","",(SIN(RADIANS((90-$Q$8)-W29))*AD29)+(COS(RADIANS((90-$Q$8)-W29))*AE29))</f>
        <v>-0.49999993452993896</v>
      </c>
      <c r="AM29" s="634">
        <f>IF(M29="","",AF29)</f>
        <v>-1.1339743219625393E-7</v>
      </c>
      <c r="AN29" s="581">
        <f>IF(M29="","",DEGREES(ATAN2(-AM29,AL29)))</f>
        <v>-89.999987005609754</v>
      </c>
      <c r="AO29" s="582">
        <f t="shared" si="94"/>
        <v>29.999995668536574</v>
      </c>
      <c r="AP29" s="585">
        <f>IF(M29="","",DEGREES(ATAN2(AK29,AL29)))</f>
        <v>-29.999995668535938</v>
      </c>
      <c r="AQ29" s="586">
        <f t="shared" si="9"/>
        <v>0.73078032153202732</v>
      </c>
      <c r="AS29" s="52">
        <f t="shared" si="116"/>
        <v>-121.24259982059081</v>
      </c>
      <c r="AT29" s="72">
        <f t="shared" si="10"/>
        <v>-2.1593214931861828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3.13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90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1.4775106493469976</v>
      </c>
      <c r="C30" s="708">
        <v>-1.8972557159642935</v>
      </c>
      <c r="D30" s="709">
        <v>-0.18480055735848086</v>
      </c>
      <c r="E30" s="710">
        <v>0.89123499685271945</v>
      </c>
      <c r="F30" s="708">
        <v>0.37194877888461259</v>
      </c>
      <c r="G30" s="711">
        <v>0.25952704342934801</v>
      </c>
      <c r="H30" s="710">
        <v>0.26600000000000001</v>
      </c>
      <c r="I30" s="708">
        <v>0.315</v>
      </c>
      <c r="J30" s="570">
        <v>3.2120000000000002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1308</v>
      </c>
      <c r="L30" s="320"/>
      <c r="M30" s="168">
        <f t="shared" si="1"/>
        <v>3.2120000000000002</v>
      </c>
      <c r="N30" s="632">
        <f t="shared" si="2"/>
        <v>1.4775106493469976</v>
      </c>
      <c r="O30" s="629">
        <f t="shared" si="3"/>
        <v>-1.8972557159642935</v>
      </c>
      <c r="P30" s="633">
        <f t="shared" si="4"/>
        <v>-0.18480055735848086</v>
      </c>
      <c r="Q30" s="585">
        <f t="shared" si="113"/>
        <v>307.91010318938646</v>
      </c>
      <c r="R30" s="629">
        <f>IF(M30="","",SQRT(N30^2+O30^2))</f>
        <v>2.4047072525970745</v>
      </c>
      <c r="S30" s="634">
        <f>IF(M30="","",P30)</f>
        <v>-0.18480055735848086</v>
      </c>
      <c r="T30" s="635">
        <f>IF(M30="","",X30*COS(RADIANS(W30)))</f>
        <v>-1.8445302033034721</v>
      </c>
      <c r="U30" s="629">
        <f>IF(M30="","",X30*SIN(RADIANS(W30)))</f>
        <v>-1.5428302887207725</v>
      </c>
      <c r="V30" s="636">
        <f>IF(M30="","",Y30)</f>
        <v>-0.18480055735848086</v>
      </c>
      <c r="W30" s="585">
        <f t="shared" si="224"/>
        <v>219.91030290059334</v>
      </c>
      <c r="X30" s="629">
        <f>IF(M30="","",R30)</f>
        <v>2.4047072525970745</v>
      </c>
      <c r="Y30" s="630">
        <f t="shared" si="223"/>
        <v>-0.18480055735848086</v>
      </c>
      <c r="Z30" s="632">
        <f t="shared" si="6"/>
        <v>-0.89123499685271945</v>
      </c>
      <c r="AA30" s="629">
        <f t="shared" si="7"/>
        <v>-0.37194877888461259</v>
      </c>
      <c r="AB30" s="629">
        <f t="shared" si="8"/>
        <v>-0.25952704342934801</v>
      </c>
      <c r="AC30" s="636">
        <f>IF(M30="","",SQRT(Z30^2+AA30^2+AB30^2))</f>
        <v>1</v>
      </c>
      <c r="AD30" s="637">
        <f>IF(M30="","",Z30*(1/SQRT(Z30^2+AA30^2+AB30^2)))</f>
        <v>-0.89123499685271945</v>
      </c>
      <c r="AE30" s="629">
        <f>IF(M30="","",AA30*(1/SQRT(Z30^2+AA30^2+AB30^2)))</f>
        <v>-0.37194877888461259</v>
      </c>
      <c r="AF30" s="633">
        <f>IF(M30="","",AB30*(1/SQRT(Z30^2+AA30^2+AB30^2)))</f>
        <v>-0.25952704342934801</v>
      </c>
      <c r="AG30" s="602">
        <f>IF(M30="","",DEGREES(ATAN2(-AF30,AE30)))</f>
        <v>-55.094614246521807</v>
      </c>
      <c r="AH30" s="603">
        <f>IF(M30="","",DEGREES(ACOS(AD30)))</f>
        <v>153.02884860158392</v>
      </c>
      <c r="AI30" s="585">
        <f>IF(M30="","",DEGREES(-ACOS(-AF30)))</f>
        <v>-74.957999565959881</v>
      </c>
      <c r="AJ30" s="586">
        <f>IF(M30="","",DEGREES(ATAN2(-AE30,AD30)))</f>
        <v>-67.347228828309753</v>
      </c>
      <c r="AK30" s="635">
        <f>IF(M30="","",(COS(RADIANS((90-$Q$8)-W30))*AD30)+(-SIN(RADIANS((90-$Q$8)-W30))*AE30))</f>
        <v>0.93169718328090911</v>
      </c>
      <c r="AL30" s="629">
        <f>IF(M30="","",(SIN(RADIANS((90-$Q$8)-W30))*AD30)+(COS(RADIANS((90-$Q$8)-W30))*AE30))</f>
        <v>-0.25413790035183925</v>
      </c>
      <c r="AM30" s="634">
        <f>IF(M30="","",AF30)</f>
        <v>-0.25952704342934801</v>
      </c>
      <c r="AN30" s="581">
        <f>IF(M30="","",DEGREES(ATAN2(-AM30,AL30)))</f>
        <v>-44.398900336138148</v>
      </c>
      <c r="AO30" s="582">
        <f>IF(ROUND(IF(M30="",0,DEGREES(ACOS(AK30))),4)=90,0,IF(M30="","",DEGREES(ACOS(AK30))))</f>
        <v>21.299060585746759</v>
      </c>
      <c r="AP30" s="585">
        <f>IF(M30="","",DEGREES(ATAN2(AK30,AL30)))</f>
        <v>-15.257332017696202</v>
      </c>
      <c r="AQ30" s="586">
        <f t="shared" si="9"/>
        <v>0.94794017800539987</v>
      </c>
      <c r="AS30" s="52">
        <f t="shared" si="116"/>
        <v>-140.08969709940666</v>
      </c>
      <c r="AT30" s="72">
        <f t="shared" si="10"/>
        <v>-8.6127017906665895E-2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Nose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3.2120000000000002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3.1120000000000001</v>
      </c>
      <c r="II30" s="734" cm="1">
        <f t="array" ref="II30">IFERROR(ROUND(VALUE(IF($IH30&lt;1,$IH30+LARGE((IF($M$9:$M$150="",0,$M$9:$M$150)-MOD(IF($M$9:$M$150="",0,$M$9:$M$150),1)),1),$IH30)),4),"")</f>
        <v>3.1120000000000001</v>
      </c>
      <c r="IJ30" s="533">
        <f t="shared" si="112"/>
        <v>1613</v>
      </c>
      <c r="IK30" s="533">
        <f t="shared" si="66"/>
        <v>1308</v>
      </c>
      <c r="IL30" s="727">
        <f t="shared" si="225"/>
        <v>20.566897030507448</v>
      </c>
      <c r="IM30" s="759">
        <v>7.3044045955715899E-3</v>
      </c>
      <c r="IN30" s="5">
        <f t="shared" si="226"/>
        <v>0.18</v>
      </c>
      <c r="IO30" s="771">
        <v>90</v>
      </c>
      <c r="IP30" s="9">
        <f t="shared" si="227"/>
        <v>-2.3673071397983332</v>
      </c>
      <c r="IQ30" s="5">
        <f t="shared" si="228"/>
        <v>-0.21160063818752456</v>
      </c>
      <c r="IR30" s="5">
        <f t="shared" si="71"/>
        <v>0.314</v>
      </c>
      <c r="IS30" s="5">
        <f t="shared" si="229"/>
        <v>0.30138030547372746</v>
      </c>
      <c r="IT30" s="727">
        <f t="shared" si="230"/>
        <v>44.398903647945836</v>
      </c>
      <c r="IU30" s="9">
        <f t="shared" si="231"/>
        <v>-2.4047072525970745</v>
      </c>
      <c r="IV30" s="5">
        <f t="shared" si="232"/>
        <v>-0.18480055735848086</v>
      </c>
      <c r="IW30" s="5">
        <f t="shared" si="76"/>
        <v>0.26600000000000001</v>
      </c>
      <c r="IX30" s="5">
        <f t="shared" si="233"/>
        <v>0.24783145075272184</v>
      </c>
      <c r="IY30" s="762">
        <f t="shared" si="234"/>
        <v>44.398900336138148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1.9346925850567069</v>
      </c>
      <c r="C31" s="708">
        <v>-2.2626416111137377</v>
      </c>
      <c r="D31" s="709">
        <v>-0.77590234012145798</v>
      </c>
      <c r="E31" s="710">
        <v>0.95354190621989643</v>
      </c>
      <c r="F31" s="708">
        <v>0.25417747059213208</v>
      </c>
      <c r="G31" s="711">
        <v>0.16171470720349568</v>
      </c>
      <c r="H31" s="710">
        <v>0.26600000000000001</v>
      </c>
      <c r="I31" s="708">
        <v>0.315</v>
      </c>
      <c r="J31" s="570">
        <v>3.218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1308</v>
      </c>
      <c r="L31" s="320"/>
      <c r="M31" s="168">
        <f t="shared" si="1"/>
        <v>3.218</v>
      </c>
      <c r="N31" s="632">
        <f t="shared" si="2"/>
        <v>1.9346925850567069</v>
      </c>
      <c r="O31" s="629">
        <f t="shared" si="3"/>
        <v>-2.2626416111137377</v>
      </c>
      <c r="P31" s="633">
        <f t="shared" si="4"/>
        <v>-0.77590234012145798</v>
      </c>
      <c r="Q31" s="585">
        <f t="shared" si="113"/>
        <v>310.53240281077325</v>
      </c>
      <c r="R31" s="629">
        <f>IF(M31="","",SQRT(N31^2+O31^2))</f>
        <v>2.9770089786590792</v>
      </c>
      <c r="S31" s="634">
        <f>IF(M31="","",P31)</f>
        <v>-0.77590234012145798</v>
      </c>
      <c r="T31" s="635">
        <f>IF(M31="","",X31*COS(RADIANS(W31)))</f>
        <v>-2.1937364587393913</v>
      </c>
      <c r="U31" s="629">
        <f>IF(M31="","",X31*SIN(RADIANS(W31)))</f>
        <v>-2.0124867225933016</v>
      </c>
      <c r="V31" s="636">
        <f>IF(M31="","",Y31)</f>
        <v>-0.77590234012145798</v>
      </c>
      <c r="W31" s="585">
        <f t="shared" si="224"/>
        <v>222.53260252198012</v>
      </c>
      <c r="X31" s="629">
        <f>IF(M31="","",R31)</f>
        <v>2.9770089786590792</v>
      </c>
      <c r="Y31" s="630">
        <f t="shared" si="223"/>
        <v>-0.77590234012145798</v>
      </c>
      <c r="Z31" s="632">
        <f t="shared" si="6"/>
        <v>-0.95354190621989643</v>
      </c>
      <c r="AA31" s="629">
        <f t="shared" si="7"/>
        <v>-0.25417747059213208</v>
      </c>
      <c r="AB31" s="629">
        <f t="shared" si="8"/>
        <v>-0.16171470720349568</v>
      </c>
      <c r="AC31" s="636">
        <f>IF(M31="","",SQRT(Z31^2+AA31^2+AB31^2))</f>
        <v>1</v>
      </c>
      <c r="AD31" s="637">
        <f>IF(M31="","",Z31*(1/SQRT(Z31^2+AA31^2+AB31^2)))</f>
        <v>-0.95354190621989643</v>
      </c>
      <c r="AE31" s="629">
        <f>IF(M31="","",AA31*(1/SQRT(Z31^2+AA31^2+AB31^2)))</f>
        <v>-0.25417747059213208</v>
      </c>
      <c r="AF31" s="633">
        <f>IF(M31="","",AB31*(1/SQRT(Z31^2+AA31^2+AB31^2)))</f>
        <v>-0.16171470720349568</v>
      </c>
      <c r="AG31" s="602">
        <f>IF(M31="","",DEGREES(ATAN2(-AF31,AE31)))</f>
        <v>-57.534358153952923</v>
      </c>
      <c r="AH31" s="603">
        <f>IF(M31="","",DEGREES(ACOS(AD31)))</f>
        <v>162.46667815468032</v>
      </c>
      <c r="AI31" s="585">
        <f>IF(M31="","",DEGREES(-ACOS(-AF31)))</f>
        <v>-80.693562013266899</v>
      </c>
      <c r="AJ31" s="586">
        <f>IF(M31="","",DEGREES(ATAN2(-AE31,AD31)))</f>
        <v>-75.074213597754806</v>
      </c>
      <c r="AK31" s="635">
        <f>IF(M31="","",(COS(RADIANS((90-$Q$8)-W31))*AD31)+(-SIN(RADIANS((90-$Q$8)-W31))*AE31))</f>
        <v>0.8899129567927001</v>
      </c>
      <c r="AL31" s="629">
        <f>IF(M31="","",(SIN(RADIANS((90-$Q$8)-W31))*AD31)+(COS(RADIANS((90-$Q$8)-W31))*AE31))</f>
        <v>-0.42650121079143688</v>
      </c>
      <c r="AM31" s="634">
        <f>IF(M31="","",AF31)</f>
        <v>-0.16171470720349568</v>
      </c>
      <c r="AN31" s="581">
        <f>IF(M31="","",DEGREES(ATAN2(-AM31,AL31)))</f>
        <v>-69.234981748855375</v>
      </c>
      <c r="AO31" s="582">
        <f t="shared" si="94"/>
        <v>27.13768888768595</v>
      </c>
      <c r="AP31" s="585">
        <f>IF(M31="","",DEGREES(ATAN2(AK31,AL31)))</f>
        <v>-25.606616408528051</v>
      </c>
      <c r="AQ31" s="586">
        <f t="shared" si="9"/>
        <v>0.76573195397464733</v>
      </c>
      <c r="AS31" s="52">
        <f t="shared" si="116"/>
        <v>-137.46739747801988</v>
      </c>
      <c r="AT31" s="72">
        <f t="shared" si="10"/>
        <v>-0.67904984207338381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3.218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3.1179999999999999</v>
      </c>
      <c r="II31" s="734" cm="1">
        <f t="array" ref="II31">IFERROR(ROUND(VALUE(IF($IH31&lt;1,$IH31+LARGE((IF($M$9:$M$150="",0,$M$9:$M$150)-MOD(IF($M$9:$M$150="",0,$M$9:$M$150),1)),1),$IH31)),4),"")</f>
        <v>3.1179999999999999</v>
      </c>
      <c r="IJ31" s="533">
        <f t="shared" si="112"/>
        <v>1613</v>
      </c>
      <c r="IK31" s="533">
        <f t="shared" si="66"/>
        <v>1308</v>
      </c>
      <c r="IL31" s="727">
        <f t="shared" si="225"/>
        <v>16.689597590320261</v>
      </c>
      <c r="IM31" s="759">
        <v>2.3146695618761499E-3</v>
      </c>
      <c r="IN31" s="5">
        <f t="shared" si="226"/>
        <v>0.1</v>
      </c>
      <c r="IO31" s="771">
        <v>50</v>
      </c>
      <c r="IP31" s="9">
        <f t="shared" si="227"/>
        <v>-2.9264088260490202</v>
      </c>
      <c r="IQ31" s="5">
        <f t="shared" si="228"/>
        <v>-0.78580236997994801</v>
      </c>
      <c r="IR31" s="5">
        <f t="shared" si="71"/>
        <v>0.314</v>
      </c>
      <c r="IS31" s="5">
        <f t="shared" si="229"/>
        <v>0.29085221736281863</v>
      </c>
      <c r="IT31" s="727">
        <f t="shared" si="230"/>
        <v>69.234985380715855</v>
      </c>
      <c r="IU31" s="9">
        <f t="shared" si="231"/>
        <v>-2.9770089786590792</v>
      </c>
      <c r="IV31" s="5">
        <f t="shared" si="232"/>
        <v>-0.77590234012145798</v>
      </c>
      <c r="IW31" s="5">
        <f t="shared" si="76"/>
        <v>0.26600000000000001</v>
      </c>
      <c r="IX31" s="5">
        <f t="shared" si="233"/>
        <v>0.23671684650685823</v>
      </c>
      <c r="IY31" s="762">
        <f t="shared" si="234"/>
        <v>69.234981748855375</v>
      </c>
    </row>
    <row r="32" spans="1:269" ht="15" customHeight="1" x14ac:dyDescent="0.25">
      <c r="A32" s="79"/>
      <c r="B32" s="707">
        <v>1.8936137692584258</v>
      </c>
      <c r="C32" s="708">
        <v>-2.4454682589294383</v>
      </c>
      <c r="D32" s="709">
        <v>-1.5397046437492057</v>
      </c>
      <c r="E32" s="710">
        <v>0.55488122868667777</v>
      </c>
      <c r="F32" s="708">
        <v>-0.71658949295895202</v>
      </c>
      <c r="G32" s="711">
        <v>0.42261841019055829</v>
      </c>
      <c r="H32" s="710">
        <v>0.25700000000000001</v>
      </c>
      <c r="I32" s="708">
        <v>0.41499999999999992</v>
      </c>
      <c r="J32" s="570">
        <v>3.2240000000000002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CPS-32193r1</v>
      </c>
      <c r="L32" s="320"/>
      <c r="M32" s="168">
        <f t="shared" si="1"/>
        <v>3.2240000000000002</v>
      </c>
      <c r="N32" s="632">
        <f t="shared" si="2"/>
        <v>1.8936137692584258</v>
      </c>
      <c r="O32" s="629">
        <f t="shared" si="3"/>
        <v>-2.4454682589294383</v>
      </c>
      <c r="P32" s="633">
        <f t="shared" si="4"/>
        <v>-1.5397046437492057</v>
      </c>
      <c r="Q32" s="585">
        <f t="shared" si="113"/>
        <v>307.75190321222772</v>
      </c>
      <c r="R32" s="629">
        <f t="shared" si="79"/>
        <v>3.0929093282145339</v>
      </c>
      <c r="S32" s="634">
        <f t="shared" si="80"/>
        <v>-1.5397046437492057</v>
      </c>
      <c r="T32" s="635">
        <f t="shared" si="81"/>
        <v>-2.3778854843540809</v>
      </c>
      <c r="U32" s="629">
        <f t="shared" si="82"/>
        <v>-1.9778141307652339</v>
      </c>
      <c r="V32" s="636">
        <f t="shared" si="114"/>
        <v>-1.5397046437492057</v>
      </c>
      <c r="W32" s="585">
        <f t="shared" si="224"/>
        <v>219.75210292343459</v>
      </c>
      <c r="X32" s="629">
        <f t="shared" si="83"/>
        <v>3.0929093282145339</v>
      </c>
      <c r="Y32" s="630">
        <f t="shared" si="223"/>
        <v>-1.5397046437492057</v>
      </c>
      <c r="Z32" s="632">
        <f t="shared" si="6"/>
        <v>-0.55488122868667777</v>
      </c>
      <c r="AA32" s="629">
        <f t="shared" si="7"/>
        <v>0.71658949295895202</v>
      </c>
      <c r="AB32" s="629">
        <f t="shared" si="8"/>
        <v>-0.42261841019055829</v>
      </c>
      <c r="AC32" s="636">
        <f t="shared" si="84"/>
        <v>1</v>
      </c>
      <c r="AD32" s="637">
        <f t="shared" si="115"/>
        <v>-0.55488122868667777</v>
      </c>
      <c r="AE32" s="629">
        <f t="shared" si="85"/>
        <v>0.71658949295895202</v>
      </c>
      <c r="AF32" s="633">
        <f t="shared" si="86"/>
        <v>-0.42261841019055829</v>
      </c>
      <c r="AG32" s="602">
        <f t="shared" si="87"/>
        <v>59.469442799502758</v>
      </c>
      <c r="AH32" s="603">
        <f t="shared" si="88"/>
        <v>123.70253449884406</v>
      </c>
      <c r="AI32" s="585">
        <f t="shared" si="89"/>
        <v>-64.999990615163156</v>
      </c>
      <c r="AJ32" s="586">
        <f t="shared" si="90"/>
        <v>-142.24808245004775</v>
      </c>
      <c r="AK32" s="635">
        <f t="shared" si="211"/>
        <v>2.2679489686261434E-7</v>
      </c>
      <c r="AL32" s="629">
        <f t="shared" si="91"/>
        <v>-0.90630771781330077</v>
      </c>
      <c r="AM32" s="634">
        <f t="shared" si="92"/>
        <v>-0.42261841019055829</v>
      </c>
      <c r="AN32" s="581">
        <f t="shared" si="93"/>
        <v>-64.999990615162474</v>
      </c>
      <c r="AO32" s="582">
        <f t="shared" si="94"/>
        <v>0</v>
      </c>
      <c r="AP32" s="585">
        <f t="shared" si="95"/>
        <v>-89.999985662275463</v>
      </c>
      <c r="AQ32" s="586">
        <f t="shared" si="9"/>
        <v>0.73704096729467361</v>
      </c>
      <c r="AS32" s="52">
        <f t="shared" si="116"/>
        <v>-140.24789707656541</v>
      </c>
      <c r="AT32" s="72">
        <f t="shared" si="10"/>
        <v>-1.4409212432021417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>Gage</v>
      </c>
      <c r="IG32" s="847">
        <f t="shared" si="210"/>
        <v>3.2240000000000002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3.1240000000000001</v>
      </c>
      <c r="II32" s="734" cm="1">
        <f t="array" ref="II32">IFERROR(ROUND(VALUE(IF($IH32&lt;1,$IH32+LARGE((IF($M$9:$M$150="",0,$M$9:$M$150)-MOD(IF($M$9:$M$150="",0,$M$9:$M$150),1)),1),$IH32)),4),"")</f>
        <v>3.1240000000000001</v>
      </c>
      <c r="IJ32" s="533">
        <f t="shared" si="112"/>
        <v>1613</v>
      </c>
      <c r="IK32" s="533" t="str">
        <f t="shared" si="66"/>
        <v>CPS-32193r1</v>
      </c>
      <c r="IL32" s="727">
        <f t="shared" si="225"/>
        <v>19.102897241882886</v>
      </c>
      <c r="IM32" s="759">
        <v>1.7136685212771401E-4</v>
      </c>
      <c r="IN32" s="5">
        <f t="shared" si="226"/>
        <v>0</v>
      </c>
      <c r="IO32" s="771">
        <v>0</v>
      </c>
      <c r="IP32" s="9">
        <f t="shared" si="227"/>
        <v>-3.0793092871968102</v>
      </c>
      <c r="IQ32" s="5">
        <f t="shared" si="228"/>
        <v>-1.5300046144939174</v>
      </c>
      <c r="IR32" s="5">
        <f t="shared" si="71"/>
        <v>0.314</v>
      </c>
      <c r="IS32" s="5">
        <f t="shared" si="229"/>
        <v>0.26996156710323926</v>
      </c>
      <c r="IT32" s="727">
        <f t="shared" si="230"/>
        <v>86.070646620756705</v>
      </c>
      <c r="IU32" s="9">
        <f t="shared" si="231"/>
        <v>-3.0929093282145339</v>
      </c>
      <c r="IV32" s="5">
        <f t="shared" si="232"/>
        <v>-1.5397046437492057</v>
      </c>
      <c r="IW32" s="5">
        <f t="shared" si="76"/>
        <v>0.25700000000000001</v>
      </c>
      <c r="IX32" s="5">
        <f t="shared" si="233"/>
        <v>0.25700000000000001</v>
      </c>
      <c r="IY32" s="762">
        <f t="shared" si="234"/>
        <v>64.999990615162474</v>
      </c>
    </row>
    <row r="33" spans="1:267" ht="15" customHeight="1" x14ac:dyDescent="0.25">
      <c r="A33" s="79"/>
      <c r="B33" s="707">
        <v>1.9278531764827809</v>
      </c>
      <c r="C33" s="708">
        <v>-2.4721784753627025</v>
      </c>
      <c r="D33" s="709">
        <v>-2.2553068020053151</v>
      </c>
      <c r="E33" s="710">
        <v>0.61494351602975206</v>
      </c>
      <c r="F33" s="708">
        <v>-0.78857115854747994</v>
      </c>
      <c r="G33" s="711">
        <v>2.2679489662556518E-7</v>
      </c>
      <c r="H33" s="710">
        <v>0.25700000000000001</v>
      </c>
      <c r="I33" s="708">
        <v>0.41499999999999992</v>
      </c>
      <c r="J33" s="570">
        <v>3.23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CPS-32193r1</v>
      </c>
      <c r="L33" s="320"/>
      <c r="M33" s="168">
        <f t="shared" si="1"/>
        <v>3.23</v>
      </c>
      <c r="N33" s="632">
        <f t="shared" si="2"/>
        <v>1.9278531764827809</v>
      </c>
      <c r="O33" s="629">
        <f t="shared" si="3"/>
        <v>-2.4721784753627025</v>
      </c>
      <c r="P33" s="633">
        <f t="shared" si="4"/>
        <v>-2.2553068020053151</v>
      </c>
      <c r="Q33" s="585">
        <f t="shared" si="113"/>
        <v>307.94780318394328</v>
      </c>
      <c r="R33" s="629">
        <f t="shared" si="79"/>
        <v>3.1350094551885173</v>
      </c>
      <c r="S33" s="634">
        <f t="shared" si="80"/>
        <v>-2.2553068020053151</v>
      </c>
      <c r="T33" s="635">
        <f t="shared" si="81"/>
        <v>-2.4033843690435068</v>
      </c>
      <c r="U33" s="629">
        <f t="shared" si="82"/>
        <v>-2.0129649422577502</v>
      </c>
      <c r="V33" s="636">
        <f t="shared" si="114"/>
        <v>-2.2553068020053151</v>
      </c>
      <c r="W33" s="585">
        <f t="shared" si="224"/>
        <v>219.94800289515015</v>
      </c>
      <c r="X33" s="629">
        <f t="shared" si="83"/>
        <v>3.1350094551885173</v>
      </c>
      <c r="Y33" s="630">
        <f t="shared" si="223"/>
        <v>-2.2553068020053151</v>
      </c>
      <c r="Z33" s="632">
        <f t="shared" si="6"/>
        <v>-0.61494351602975206</v>
      </c>
      <c r="AA33" s="629">
        <f t="shared" si="7"/>
        <v>0.78857115854747994</v>
      </c>
      <c r="AB33" s="629">
        <f t="shared" si="8"/>
        <v>-2.2679489662556518E-7</v>
      </c>
      <c r="AC33" s="636">
        <f t="shared" si="84"/>
        <v>1</v>
      </c>
      <c r="AD33" s="637">
        <f t="shared" si="115"/>
        <v>-0.61494351602975206</v>
      </c>
      <c r="AE33" s="629">
        <f t="shared" si="85"/>
        <v>0.78857115854747994</v>
      </c>
      <c r="AF33" s="633">
        <f t="shared" si="86"/>
        <v>-2.2679489662556518E-7</v>
      </c>
      <c r="AG33" s="602">
        <f t="shared" si="87"/>
        <v>89.999983521600754</v>
      </c>
      <c r="AH33" s="603">
        <f t="shared" si="88"/>
        <v>127.94781617833253</v>
      </c>
      <c r="AI33" s="585">
        <f t="shared" si="89"/>
        <v>-89.999987005609611</v>
      </c>
      <c r="AJ33" s="586">
        <f t="shared" si="90"/>
        <v>-142.05218382166632</v>
      </c>
      <c r="AK33" s="635">
        <f t="shared" si="211"/>
        <v>2.2679489669608088E-7</v>
      </c>
      <c r="AL33" s="629">
        <f t="shared" si="91"/>
        <v>-0.9999999999999486</v>
      </c>
      <c r="AM33" s="634">
        <f t="shared" si="92"/>
        <v>-2.2679489662556518E-7</v>
      </c>
      <c r="AN33" s="581">
        <f t="shared" si="93"/>
        <v>-89.999987005609611</v>
      </c>
      <c r="AO33" s="582">
        <f t="shared" si="94"/>
        <v>0</v>
      </c>
      <c r="AP33" s="585">
        <f t="shared" si="95"/>
        <v>-89.999987005609611</v>
      </c>
      <c r="AQ33" s="586">
        <f t="shared" si="9"/>
        <v>0.72714429413256398</v>
      </c>
      <c r="AS33" s="52">
        <f t="shared" si="116"/>
        <v>-140.05199710484985</v>
      </c>
      <c r="AT33" s="72">
        <f t="shared" si="10"/>
        <v>-2.1566594431052755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>Gage</v>
      </c>
      <c r="IG33" s="847">
        <f t="shared" si="210"/>
        <v>3.23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3.13</v>
      </c>
      <c r="II33" s="734" cm="1">
        <f t="array" ref="II33">IFERROR(ROUND(VALUE(IF($IH33&lt;1,$IH33+LARGE((IF($M$9:$M$150="",0,$M$9:$M$150)-MOD(IF($M$9:$M$150="",0,$M$9:$M$150),1)),1),$IH33)),4),"")</f>
        <v>3.13</v>
      </c>
      <c r="IJ33" s="533">
        <f t="shared" si="112"/>
        <v>1613</v>
      </c>
      <c r="IK33" s="533" t="str">
        <f t="shared" si="66"/>
        <v>CPS-32193r1</v>
      </c>
      <c r="IL33" s="727">
        <f t="shared" si="225"/>
        <v>18.809397284259035</v>
      </c>
      <c r="IM33" s="759">
        <v>3.7381402625821497E-5</v>
      </c>
      <c r="IN33" s="5">
        <f t="shared" si="226"/>
        <v>0</v>
      </c>
      <c r="IO33" s="771">
        <v>0</v>
      </c>
      <c r="IP33" s="9">
        <f t="shared" si="227"/>
        <v>-3.1194094081387753</v>
      </c>
      <c r="IQ33" s="5">
        <f t="shared" si="228"/>
        <v>-2.2449067706388202</v>
      </c>
      <c r="IR33" s="5">
        <f t="shared" si="71"/>
        <v>0.314</v>
      </c>
      <c r="IS33" s="5">
        <f t="shared" si="229"/>
        <v>0.27193198865724577</v>
      </c>
      <c r="IT33" s="727">
        <f t="shared" si="230"/>
        <v>89.999987005609754</v>
      </c>
      <c r="IU33" s="9">
        <f t="shared" si="231"/>
        <v>-3.1350094551885173</v>
      </c>
      <c r="IV33" s="5">
        <f t="shared" si="232"/>
        <v>-2.2553068020053151</v>
      </c>
      <c r="IW33" s="5">
        <f t="shared" si="76"/>
        <v>0.25700000000000001</v>
      </c>
      <c r="IX33" s="5">
        <f t="shared" si="233"/>
        <v>0.25700000000000001</v>
      </c>
      <c r="IY33" s="762">
        <f t="shared" si="234"/>
        <v>89.999987005609611</v>
      </c>
    </row>
    <row r="34" spans="1:267" ht="15" customHeight="1" x14ac:dyDescent="0.25">
      <c r="A34" s="79"/>
      <c r="B34" s="707">
        <v>-5.0015190353420093E-2</v>
      </c>
      <c r="C34" s="708">
        <v>-2.2457498987022992</v>
      </c>
      <c r="D34" s="709">
        <v>-0.15100045541737336</v>
      </c>
      <c r="E34" s="710">
        <v>0.95699961426239277</v>
      </c>
      <c r="F34" s="708">
        <v>-0.19322476017291074</v>
      </c>
      <c r="G34" s="711">
        <v>0.21636989244752342</v>
      </c>
      <c r="H34" s="710">
        <v>0.314</v>
      </c>
      <c r="I34" s="708">
        <v>0.52</v>
      </c>
      <c r="J34" s="570">
        <v>4.1109999999999998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4.1109999999999998</v>
      </c>
      <c r="N34" s="632">
        <f t="shared" si="2"/>
        <v>-5.0015190353420093E-2</v>
      </c>
      <c r="O34" s="629">
        <f t="shared" si="3"/>
        <v>-2.2457498987022992</v>
      </c>
      <c r="P34" s="633">
        <f t="shared" si="4"/>
        <v>-0.15100045541737336</v>
      </c>
      <c r="Q34" s="585">
        <f t="shared" si="113"/>
        <v>268.72417419542194</v>
      </c>
      <c r="R34" s="629">
        <f>IF(M34="","",SQRT(N34^2+O34^2))</f>
        <v>2.2463067748612335</v>
      </c>
      <c r="S34" s="634">
        <f>IF(M34="","",P34)</f>
        <v>-0.15100045541737336</v>
      </c>
      <c r="T34" s="635">
        <f>IF(M34="","",X34*COS(RADIANS(W34)))</f>
        <v>-2.246127254539759</v>
      </c>
      <c r="U34" s="629">
        <f>IF(M34="","",X34*SIN(RADIANS(W34)))</f>
        <v>-2.8398647875596428E-2</v>
      </c>
      <c r="V34" s="636">
        <f>IF(M34="","",Y34)</f>
        <v>-0.15100045541737336</v>
      </c>
      <c r="W34" s="585">
        <f t="shared" si="224"/>
        <v>180.72437390662881</v>
      </c>
      <c r="X34" s="629">
        <f>IF(M34="","",R34)</f>
        <v>2.2463067748612335</v>
      </c>
      <c r="Y34" s="630">
        <f t="shared" si="223"/>
        <v>-0.15100045541737336</v>
      </c>
      <c r="Z34" s="632">
        <f t="shared" si="6"/>
        <v>-0.95699961426239277</v>
      </c>
      <c r="AA34" s="629">
        <f t="shared" si="7"/>
        <v>0.19322476017291074</v>
      </c>
      <c r="AB34" s="629">
        <f t="shared" si="8"/>
        <v>-0.21636989244752342</v>
      </c>
      <c r="AC34" s="636">
        <f>IF(M34="","",SQRT(Z34^2+AA34^2+AB34^2))</f>
        <v>1</v>
      </c>
      <c r="AD34" s="637">
        <f>IF(M34="","",Z34*(1/SQRT(Z34^2+AA34^2+AB34^2)))</f>
        <v>-0.95699961426239277</v>
      </c>
      <c r="AE34" s="629">
        <f>IF(M34="","",AA34*(1/SQRT(Z34^2+AA34^2+AB34^2)))</f>
        <v>0.19322476017291074</v>
      </c>
      <c r="AF34" s="633">
        <f>IF(M34="","",AB34*(1/SQRT(Z34^2+AA34^2+AB34^2)))</f>
        <v>-0.21636989244752342</v>
      </c>
      <c r="AG34" s="602">
        <f>IF(M34="","",DEGREES(ATAN2(-AF34,AE34)))</f>
        <v>41.765803423960953</v>
      </c>
      <c r="AH34" s="603">
        <f>IF(M34="","",DEGREES(ACOS(AD34)))</f>
        <v>163.1367042126588</v>
      </c>
      <c r="AI34" s="585">
        <f>IF(M34="","",DEGREES(-ACOS(-AF34)))</f>
        <v>-77.50409170528566</v>
      </c>
      <c r="AJ34" s="586">
        <f>IF(M34="","",DEGREES(ATAN2(-AE34,AD34)))</f>
        <v>-101.41494520971217</v>
      </c>
      <c r="AK34" s="635">
        <f>IF(M34="","",(COS(RADIANS((90-$Q$8)-W34))*AD34)+(-SIN(RADIANS((90-$Q$8)-W34))*AE34))</f>
        <v>0.96106461686753075</v>
      </c>
      <c r="AL34" s="629">
        <f>IF(M34="","",(SIN(RADIANS((90-$Q$8)-W34))*AD34)+(COS(RADIANS((90-$Q$8)-W34))*AE34))</f>
        <v>-0.17186876344325575</v>
      </c>
      <c r="AM34" s="634">
        <f>IF(M34="","",AF34)</f>
        <v>-0.21636989244752342</v>
      </c>
      <c r="AN34" s="581">
        <f>IF(M34="","",DEGREES(ATAN2(-AM34,AL34)))</f>
        <v>-38.461115863751814</v>
      </c>
      <c r="AO34" s="582">
        <f t="shared" si="94"/>
        <v>16.040915198025406</v>
      </c>
      <c r="AP34" s="585">
        <f>IF(M34="","",DEGREES(ATAN2(AK34,AL34)))</f>
        <v>-10.139119405134124</v>
      </c>
      <c r="AQ34" s="586">
        <f t="shared" si="9"/>
        <v>1.0147715716288368</v>
      </c>
      <c r="AS34" s="52">
        <f t="shared" si="116"/>
        <v>-179.27562609337119</v>
      </c>
      <c r="AT34" s="72">
        <f t="shared" si="10"/>
        <v>-2.5114465275305253E-2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4.1109999999999998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-0.13047128201926159</v>
      </c>
      <c r="C35" s="708">
        <v>-2.8550289867453884</v>
      </c>
      <c r="D35" s="709">
        <v>-0.66970201982129207</v>
      </c>
      <c r="E35" s="710">
        <v>0.91715972474973673</v>
      </c>
      <c r="F35" s="708">
        <v>-0.37022736851057902</v>
      </c>
      <c r="G35" s="711">
        <v>0.14747791327083265</v>
      </c>
      <c r="H35" s="710">
        <v>0.314</v>
      </c>
      <c r="I35" s="708">
        <v>0.52</v>
      </c>
      <c r="J35" s="570">
        <v>4.117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4.117</v>
      </c>
      <c r="N35" s="632">
        <f t="shared" si="2"/>
        <v>-0.13047128201926159</v>
      </c>
      <c r="O35" s="629">
        <f t="shared" si="3"/>
        <v>-2.8550289867453884</v>
      </c>
      <c r="P35" s="633">
        <f t="shared" si="4"/>
        <v>-0.66970201982129207</v>
      </c>
      <c r="Q35" s="585">
        <f t="shared" si="113"/>
        <v>267.38347438899501</v>
      </c>
      <c r="R35" s="629">
        <f>IF(M35="","",SQRT(N35^2+O35^2))</f>
        <v>2.8580086197539973</v>
      </c>
      <c r="S35" s="634">
        <f>IF(M35="","",P35)</f>
        <v>-0.66970201982129207</v>
      </c>
      <c r="T35" s="635">
        <f>IF(M35="","",X35*COS(RADIANS(W35)))</f>
        <v>-2.857843269478471</v>
      </c>
      <c r="U35" s="629">
        <f>IF(M35="","",X35*SIN(RADIANS(W35)))</f>
        <v>3.0742766380928245E-2</v>
      </c>
      <c r="V35" s="636">
        <f>IF(M35="","",Y35)</f>
        <v>-0.66970201982129207</v>
      </c>
      <c r="W35" s="585">
        <f t="shared" si="224"/>
        <v>179.38367410020189</v>
      </c>
      <c r="X35" s="629">
        <f>IF(M35="","",R35)</f>
        <v>2.8580086197539973</v>
      </c>
      <c r="Y35" s="630">
        <f t="shared" si="223"/>
        <v>-0.66970201982129207</v>
      </c>
      <c r="Z35" s="632">
        <f t="shared" si="6"/>
        <v>-0.91715972474973673</v>
      </c>
      <c r="AA35" s="629">
        <f t="shared" si="7"/>
        <v>0.37022736851057902</v>
      </c>
      <c r="AB35" s="629">
        <f t="shared" si="8"/>
        <v>-0.14747791327083265</v>
      </c>
      <c r="AC35" s="636">
        <f>IF(M35="","",SQRT(Z35^2+AA35^2+AB35^2))</f>
        <v>1</v>
      </c>
      <c r="AD35" s="637">
        <f>IF(M35="","",Z35*(1/SQRT(Z35^2+AA35^2+AB35^2)))</f>
        <v>-0.91715972474973673</v>
      </c>
      <c r="AE35" s="629">
        <f>IF(M35="","",AA35*(1/SQRT(Z35^2+AA35^2+AB35^2)))</f>
        <v>0.37022736851057902</v>
      </c>
      <c r="AF35" s="633">
        <f>IF(M35="","",AB35*(1/SQRT(Z35^2+AA35^2+AB35^2)))</f>
        <v>-0.14747791327083265</v>
      </c>
      <c r="AG35" s="602">
        <f>IF(M35="","",DEGREES(ATAN2(-AF35,AE35)))</f>
        <v>68.280423523852136</v>
      </c>
      <c r="AH35" s="603">
        <f>IF(M35="","",DEGREES(ACOS(AD35)))</f>
        <v>156.51432275970487</v>
      </c>
      <c r="AI35" s="585">
        <f>IF(M35="","",DEGREES(-ACOS(-AF35)))</f>
        <v>-81.519203891050211</v>
      </c>
      <c r="AJ35" s="586">
        <f>IF(M35="","",DEGREES(ATAN2(-AE35,AD35)))</f>
        <v>-111.98231759887199</v>
      </c>
      <c r="AK35" s="635">
        <f>IF(M35="","",(COS(RADIANS((90-$Q$8)-W35))*AD35)+(-SIN(RADIANS((90-$Q$8)-W35))*AE35))</f>
        <v>0.93310482712038112</v>
      </c>
      <c r="AL35" s="629">
        <f>IF(M35="","",(SIN(RADIANS((90-$Q$8)-W35))*AD35)+(COS(RADIANS((90-$Q$8)-W35))*AE35))</f>
        <v>-0.3279720212181591</v>
      </c>
      <c r="AM35" s="634">
        <f>IF(M35="","",AF35)</f>
        <v>-0.14747791327083265</v>
      </c>
      <c r="AN35" s="581">
        <f>IF(M35="","",DEGREES(ATAN2(-AM35,AL35)))</f>
        <v>-65.788164102402249</v>
      </c>
      <c r="AO35" s="582">
        <f t="shared" si="94"/>
        <v>21.075907742265688</v>
      </c>
      <c r="AP35" s="585">
        <f>IF(M35="","",DEGREES(ATAN2(AK35,AL35)))</f>
        <v>-19.36579198786702</v>
      </c>
      <c r="AQ35" s="586">
        <f t="shared" si="9"/>
        <v>0.79761108822657822</v>
      </c>
      <c r="AS35" s="52">
        <f t="shared" si="116"/>
        <v>-180.61632589979811</v>
      </c>
      <c r="AT35" s="72">
        <f t="shared" si="10"/>
        <v>-0.54288498814698305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4.117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-0.16772267427852497</v>
      </c>
      <c r="C36" s="708">
        <v>-3.0680281635152755</v>
      </c>
      <c r="D36" s="709">
        <v>-1.4302043134962097</v>
      </c>
      <c r="E36" s="710">
        <v>0.84850151981795596</v>
      </c>
      <c r="F36" s="708">
        <v>-0.52635826177736289</v>
      </c>
      <c r="G36" s="711">
        <v>5.4700558729614795E-2</v>
      </c>
      <c r="H36" s="710">
        <v>0.314</v>
      </c>
      <c r="I36" s="708">
        <v>0.52</v>
      </c>
      <c r="J36" s="570">
        <v>4.1230000000000002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4.1230000000000002</v>
      </c>
      <c r="N36" s="632">
        <f t="shared" si="2"/>
        <v>-0.16772267427852497</v>
      </c>
      <c r="O36" s="629">
        <f t="shared" si="3"/>
        <v>-3.0680281635152755</v>
      </c>
      <c r="P36" s="633">
        <f t="shared" si="4"/>
        <v>-1.4302043134962097</v>
      </c>
      <c r="Q36" s="585">
        <f t="shared" si="113"/>
        <v>266.87087446300529</v>
      </c>
      <c r="R36" s="629">
        <f>IF(M36="","",SQRT(N36^2+O36^2))</f>
        <v>3.0726092669895491</v>
      </c>
      <c r="S36" s="634">
        <f>IF(M36="","",P36)</f>
        <v>-1.4302043134962097</v>
      </c>
      <c r="T36" s="635">
        <f>IF(M36="","",X36*COS(RADIANS(W36)))</f>
        <v>-3.0720128515993941</v>
      </c>
      <c r="U36" s="629">
        <f>IF(M36="","",X36*SIN(RADIANS(W36)))</f>
        <v>6.0537155518016632E-2</v>
      </c>
      <c r="V36" s="636">
        <f>IF(M36="","",Y36)</f>
        <v>-1.4302043134962097</v>
      </c>
      <c r="W36" s="585">
        <f t="shared" si="224"/>
        <v>178.87107417421217</v>
      </c>
      <c r="X36" s="629">
        <f>IF(M36="","",R36)</f>
        <v>3.0726092669895491</v>
      </c>
      <c r="Y36" s="630">
        <f t="shared" si="223"/>
        <v>-1.4302043134962097</v>
      </c>
      <c r="Z36" s="632">
        <f t="shared" si="6"/>
        <v>-0.84850151981795596</v>
      </c>
      <c r="AA36" s="629">
        <f t="shared" si="7"/>
        <v>0.52635826177736289</v>
      </c>
      <c r="AB36" s="629">
        <f t="shared" si="8"/>
        <v>-5.4700558729614795E-2</v>
      </c>
      <c r="AC36" s="636">
        <f>IF(M36="","",SQRT(Z36^2+AA36^2+AB36^2))</f>
        <v>1</v>
      </c>
      <c r="AD36" s="637">
        <f>IF(M36="","",Z36*(1/SQRT(Z36^2+AA36^2+AB36^2)))</f>
        <v>-0.84850151981795596</v>
      </c>
      <c r="AE36" s="629">
        <f>IF(M36="","",AA36*(1/SQRT(Z36^2+AA36^2+AB36^2)))</f>
        <v>0.52635826177736289</v>
      </c>
      <c r="AF36" s="633">
        <f>IF(M36="","",AB36*(1/SQRT(Z36^2+AA36^2+AB36^2)))</f>
        <v>-5.4700558729614795E-2</v>
      </c>
      <c r="AG36" s="602">
        <f>IF(M36="","",DEGREES(ATAN2(-AF36,AE36)))</f>
        <v>84.066966908167842</v>
      </c>
      <c r="AH36" s="603">
        <f>IF(M36="","",DEGREES(ACOS(AD36)))</f>
        <v>148.04905856126229</v>
      </c>
      <c r="AI36" s="585">
        <f>IF(M36="","",DEGREES(-ACOS(-AF36)))</f>
        <v>-86.864323783858097</v>
      </c>
      <c r="AJ36" s="586">
        <f>IF(M36="","",DEGREES(ATAN2(-AE36,AD36)))</f>
        <v>-121.81292506664195</v>
      </c>
      <c r="AK36" s="635">
        <f>IF(M36="","",(COS(RADIANS((90-$Q$8)-W36))*AD36)+(-SIN(RADIANS((90-$Q$8)-W36))*AE36))</f>
        <v>0.87596844929064444</v>
      </c>
      <c r="AL36" s="629">
        <f>IF(M36="","",(SIN(RADIANS((90-$Q$8)-W36))*AD36)+(COS(RADIANS((90-$Q$8)-W36))*AE36))</f>
        <v>-0.47925684629644227</v>
      </c>
      <c r="AM36" s="634">
        <f>IF(M36="","",AF36)</f>
        <v>-5.4700558729614795E-2</v>
      </c>
      <c r="AN36" s="581">
        <f>IF(M36="","",DEGREES(ATAN2(-AM36,AL36)))</f>
        <v>-83.488654072131141</v>
      </c>
      <c r="AO36" s="582">
        <f t="shared" si="94"/>
        <v>28.840200705561774</v>
      </c>
      <c r="AP36" s="585">
        <f>IF(M36="","",DEGREES(ATAN2(AK36,AL36)))</f>
        <v>-28.683799529647242</v>
      </c>
      <c r="AQ36" s="586">
        <f t="shared" si="9"/>
        <v>0.74190989417362108</v>
      </c>
      <c r="AS36" s="52">
        <f t="shared" si="116"/>
        <v>-181.12892582578783</v>
      </c>
      <c r="AT36" s="72">
        <f t="shared" si="10"/>
        <v>-1.3030313096510744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4.1230000000000002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-0.17645803463255766</v>
      </c>
      <c r="C37" s="708">
        <v>-3.1144144903333468</v>
      </c>
      <c r="D37" s="709">
        <v>-2.1676065375013178</v>
      </c>
      <c r="E37" s="710">
        <v>0.83635484707290741</v>
      </c>
      <c r="F37" s="708">
        <v>-0.54818844367392583</v>
      </c>
      <c r="G37" s="711">
        <v>1.1339743358786059E-7</v>
      </c>
      <c r="H37" s="710">
        <v>0.314</v>
      </c>
      <c r="I37" s="708">
        <v>0.52</v>
      </c>
      <c r="J37" s="570">
        <v>4.1289999999999996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4.1289999999999996</v>
      </c>
      <c r="N37" s="632">
        <f t="shared" si="2"/>
        <v>-0.17645803463255766</v>
      </c>
      <c r="O37" s="629">
        <f t="shared" si="3"/>
        <v>-3.1144144903333468</v>
      </c>
      <c r="P37" s="633">
        <f t="shared" si="4"/>
        <v>-2.1676065375013178</v>
      </c>
      <c r="Q37" s="585">
        <f t="shared" si="113"/>
        <v>266.75717447942156</v>
      </c>
      <c r="R37" s="629">
        <f t="shared" si="79"/>
        <v>3.1194094081387753</v>
      </c>
      <c r="S37" s="634">
        <f t="shared" si="80"/>
        <v>-2.1676065375013178</v>
      </c>
      <c r="T37" s="635">
        <f t="shared" si="81"/>
        <v>-3.1186758055869279</v>
      </c>
      <c r="U37" s="629">
        <f t="shared" si="82"/>
        <v>6.7648172417518443E-2</v>
      </c>
      <c r="V37" s="636">
        <f t="shared" si="114"/>
        <v>-2.1676065375013178</v>
      </c>
      <c r="W37" s="585">
        <f t="shared" si="224"/>
        <v>178.75737419062844</v>
      </c>
      <c r="X37" s="629">
        <f t="shared" si="83"/>
        <v>3.1194094081387753</v>
      </c>
      <c r="Y37" s="630">
        <f t="shared" si="223"/>
        <v>-2.1676065375013178</v>
      </c>
      <c r="Z37" s="632">
        <f t="shared" si="6"/>
        <v>-0.83635484707290741</v>
      </c>
      <c r="AA37" s="629">
        <f t="shared" si="7"/>
        <v>0.54818844367392583</v>
      </c>
      <c r="AB37" s="629">
        <f t="shared" si="8"/>
        <v>-1.1339743358786059E-7</v>
      </c>
      <c r="AC37" s="636">
        <f t="shared" si="84"/>
        <v>1</v>
      </c>
      <c r="AD37" s="637">
        <f t="shared" si="115"/>
        <v>-0.83635484707290741</v>
      </c>
      <c r="AE37" s="629">
        <f t="shared" si="85"/>
        <v>0.54818844367392583</v>
      </c>
      <c r="AF37" s="633">
        <f t="shared" si="86"/>
        <v>-1.1339743358786059E-7</v>
      </c>
      <c r="AG37" s="602">
        <f t="shared" si="87"/>
        <v>89.999988147881581</v>
      </c>
      <c r="AH37" s="603">
        <f t="shared" si="88"/>
        <v>146.75717881088508</v>
      </c>
      <c r="AI37" s="585">
        <f t="shared" si="89"/>
        <v>-89.999993502805637</v>
      </c>
      <c r="AJ37" s="586">
        <f t="shared" si="90"/>
        <v>-123.24282118911437</v>
      </c>
      <c r="AK37" s="635">
        <f t="shared" si="211"/>
        <v>0.86602544158358552</v>
      </c>
      <c r="AL37" s="629">
        <f t="shared" si="91"/>
        <v>-0.49999993452993879</v>
      </c>
      <c r="AM37" s="634">
        <f t="shared" si="92"/>
        <v>-1.1339743358786059E-7</v>
      </c>
      <c r="AN37" s="581">
        <f t="shared" si="93"/>
        <v>-89.999987005609597</v>
      </c>
      <c r="AO37" s="582">
        <f t="shared" si="94"/>
        <v>29.999995668536549</v>
      </c>
      <c r="AP37" s="585">
        <f t="shared" si="95"/>
        <v>-29.999995668535924</v>
      </c>
      <c r="AQ37" s="586">
        <f t="shared" si="9"/>
        <v>0.73078032153202732</v>
      </c>
      <c r="AS37" s="52">
        <f t="shared" si="116"/>
        <v>-181.24262580937156</v>
      </c>
      <c r="AT37" s="72">
        <f t="shared" si="10"/>
        <v>-2.0403545753342494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4.1289999999999996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-1.1633040058578554</v>
      </c>
      <c r="C38" s="708">
        <v>-2.8639655844819476</v>
      </c>
      <c r="D38" s="709">
        <v>-1.4386043388306864</v>
      </c>
      <c r="E38" s="710">
        <v>-0.32977719356607316</v>
      </c>
      <c r="F38" s="708">
        <v>-0.81188685780746739</v>
      </c>
      <c r="G38" s="711">
        <v>0.48175380924617722</v>
      </c>
      <c r="H38" s="710">
        <v>0.25700000000000001</v>
      </c>
      <c r="I38" s="708">
        <v>0.41499999999999992</v>
      </c>
      <c r="J38" s="570">
        <v>4.2229999999999999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CPS-32193r1</v>
      </c>
      <c r="L38" s="320"/>
      <c r="M38" s="168">
        <f t="shared" si="1"/>
        <v>4.2229999999999999</v>
      </c>
      <c r="N38" s="632">
        <f t="shared" si="2"/>
        <v>-1.1633040058578554</v>
      </c>
      <c r="O38" s="629">
        <f t="shared" si="3"/>
        <v>-2.8639655844819476</v>
      </c>
      <c r="P38" s="633">
        <f t="shared" si="4"/>
        <v>-1.4386043388306864</v>
      </c>
      <c r="Q38" s="585">
        <f t="shared" si="113"/>
        <v>247.89367720297358</v>
      </c>
      <c r="R38" s="629">
        <f t="shared" si="79"/>
        <v>3.0912093230873183</v>
      </c>
      <c r="S38" s="634">
        <f t="shared" si="80"/>
        <v>-1.4386043388306864</v>
      </c>
      <c r="T38" s="635">
        <f t="shared" si="81"/>
        <v>-2.9028233623010009</v>
      </c>
      <c r="U38" s="629">
        <f t="shared" si="82"/>
        <v>1.062634276889969</v>
      </c>
      <c r="V38" s="636">
        <f t="shared" si="114"/>
        <v>-1.4386043388306864</v>
      </c>
      <c r="W38" s="585">
        <f t="shared" si="224"/>
        <v>159.89387691418045</v>
      </c>
      <c r="X38" s="629">
        <f t="shared" si="83"/>
        <v>3.0912093230873183</v>
      </c>
      <c r="Y38" s="630">
        <f t="shared" si="223"/>
        <v>-1.4386043388306864</v>
      </c>
      <c r="Z38" s="632">
        <f t="shared" si="6"/>
        <v>0.32977719356607316</v>
      </c>
      <c r="AA38" s="629">
        <f t="shared" si="7"/>
        <v>0.81188685780746739</v>
      </c>
      <c r="AB38" s="629">
        <f t="shared" si="8"/>
        <v>-0.48175380924617722</v>
      </c>
      <c r="AC38" s="636">
        <f t="shared" si="84"/>
        <v>1</v>
      </c>
      <c r="AD38" s="637">
        <f t="shared" si="115"/>
        <v>0.32977719356607316</v>
      </c>
      <c r="AE38" s="629">
        <f t="shared" si="85"/>
        <v>0.81188685780746739</v>
      </c>
      <c r="AF38" s="633">
        <f t="shared" si="86"/>
        <v>-0.48175380924617722</v>
      </c>
      <c r="AG38" s="602">
        <f t="shared" si="87"/>
        <v>59.316142455131342</v>
      </c>
      <c r="AH38" s="603">
        <f t="shared" si="88"/>
        <v>70.744747389514231</v>
      </c>
      <c r="AI38" s="585">
        <f t="shared" si="89"/>
        <v>-61.199991163815362</v>
      </c>
      <c r="AJ38" s="586">
        <f t="shared" si="90"/>
        <v>157.89369203156244</v>
      </c>
      <c r="AK38" s="635">
        <f t="shared" si="211"/>
        <v>2.2679489658505858E-7</v>
      </c>
      <c r="AL38" s="629">
        <f t="shared" si="91"/>
        <v>-0.87630660574752406</v>
      </c>
      <c r="AM38" s="634">
        <f t="shared" si="92"/>
        <v>-0.48175380924617722</v>
      </c>
      <c r="AN38" s="581">
        <f t="shared" si="93"/>
        <v>-61.199991163814559</v>
      </c>
      <c r="AO38" s="582">
        <f t="shared" si="94"/>
        <v>0</v>
      </c>
      <c r="AP38" s="585">
        <f t="shared" si="95"/>
        <v>-89.999985171411126</v>
      </c>
      <c r="AQ38" s="586">
        <f t="shared" si="9"/>
        <v>0.73744625692644483</v>
      </c>
      <c r="AS38" s="52">
        <f t="shared" si="116"/>
        <v>-200.10612308581955</v>
      </c>
      <c r="AT38" s="72">
        <f t="shared" si="10"/>
        <v>-1.2982527257771959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>Gage</v>
      </c>
      <c r="IG38" s="847">
        <f t="shared" si="210"/>
        <v>4.2229999999999999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4.1230000000000002</v>
      </c>
      <c r="II38" s="734" cm="1">
        <f t="array" ref="II38">IFERROR(ROUND(VALUE(IF($IH38&lt;1,$IH38+LARGE((IF($M$9:$M$150="",0,$M$9:$M$150)-MOD(IF($M$9:$M$150="",0,$M$9:$M$150),1)),1),$IH38)),4),"")</f>
        <v>4.1230000000000002</v>
      </c>
      <c r="IJ38" s="533">
        <f t="shared" si="112"/>
        <v>1613</v>
      </c>
      <c r="IK38" s="533" t="str">
        <f t="shared" si="66"/>
        <v>CPS-32193r1</v>
      </c>
      <c r="IL38" s="727">
        <f t="shared" si="225"/>
        <v>18.977197260031716</v>
      </c>
      <c r="IM38" s="759">
        <v>1.59118932621336E-5</v>
      </c>
      <c r="IN38" s="5">
        <f t="shared" si="226"/>
        <v>0</v>
      </c>
      <c r="IO38" s="771">
        <v>0</v>
      </c>
      <c r="IP38" s="9">
        <f t="shared" si="227"/>
        <v>-3.0726092669895491</v>
      </c>
      <c r="IQ38" s="5">
        <f t="shared" si="228"/>
        <v>-1.4302043134962097</v>
      </c>
      <c r="IR38" s="5">
        <f t="shared" si="71"/>
        <v>0.314</v>
      </c>
      <c r="IS38" s="5">
        <f t="shared" si="229"/>
        <v>0.27505409307726236</v>
      </c>
      <c r="IT38" s="727">
        <f t="shared" si="230"/>
        <v>83.488654072131141</v>
      </c>
      <c r="IU38" s="9">
        <f t="shared" si="231"/>
        <v>-3.0912093230873183</v>
      </c>
      <c r="IV38" s="5">
        <f t="shared" si="232"/>
        <v>-1.4386043388306864</v>
      </c>
      <c r="IW38" s="5">
        <f t="shared" si="76"/>
        <v>0.25700000000000001</v>
      </c>
      <c r="IX38" s="5">
        <f t="shared" si="233"/>
        <v>0.25700000000000001</v>
      </c>
      <c r="IY38" s="762">
        <f t="shared" si="234"/>
        <v>61.199991163814559</v>
      </c>
    </row>
    <row r="39" spans="1:267" ht="15" customHeight="1" x14ac:dyDescent="0.25">
      <c r="A39" s="79"/>
      <c r="B39" s="707">
        <v>-1.1770440920889635</v>
      </c>
      <c r="C39" s="708">
        <v>-2.9056585293870767</v>
      </c>
      <c r="D39" s="709">
        <v>-2.1780065688678119</v>
      </c>
      <c r="E39" s="710">
        <v>-0.37545131838513013</v>
      </c>
      <c r="F39" s="708">
        <v>-0.92684211574723796</v>
      </c>
      <c r="G39" s="711">
        <v>2.267948966866857E-7</v>
      </c>
      <c r="H39" s="710">
        <v>0.25700000000000001</v>
      </c>
      <c r="I39" s="708">
        <v>0.41499999999999992</v>
      </c>
      <c r="J39" s="570">
        <v>4.2290000000000001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4.2290000000000001</v>
      </c>
      <c r="N39" s="632">
        <f t="shared" si="2"/>
        <v>-1.1770440920889635</v>
      </c>
      <c r="O39" s="629">
        <f t="shared" si="3"/>
        <v>-2.9056585293870767</v>
      </c>
      <c r="P39" s="633">
        <f t="shared" si="4"/>
        <v>-2.1780065688678119</v>
      </c>
      <c r="Q39" s="585">
        <f t="shared" si="113"/>
        <v>247.9477771951625</v>
      </c>
      <c r="R39" s="629">
        <f t="shared" si="79"/>
        <v>3.1350094551885168</v>
      </c>
      <c r="S39" s="634">
        <f t="shared" si="80"/>
        <v>-2.1780065688678119</v>
      </c>
      <c r="T39" s="635">
        <f t="shared" si="81"/>
        <v>-2.9449704738761833</v>
      </c>
      <c r="U39" s="629">
        <f t="shared" si="82"/>
        <v>1.0749107833298954</v>
      </c>
      <c r="V39" s="636">
        <f t="shared" si="114"/>
        <v>-2.1780065688678119</v>
      </c>
      <c r="W39" s="585">
        <f t="shared" si="224"/>
        <v>159.94797690636938</v>
      </c>
      <c r="X39" s="629">
        <f t="shared" si="83"/>
        <v>3.1350094551885168</v>
      </c>
      <c r="Y39" s="630">
        <f t="shared" si="223"/>
        <v>-2.1780065688678119</v>
      </c>
      <c r="Z39" s="632">
        <f t="shared" si="6"/>
        <v>0.37545131838513013</v>
      </c>
      <c r="AA39" s="629">
        <f t="shared" si="7"/>
        <v>0.92684211574723796</v>
      </c>
      <c r="AB39" s="629">
        <f t="shared" si="8"/>
        <v>-2.267948966866857E-7</v>
      </c>
      <c r="AC39" s="636">
        <f t="shared" si="84"/>
        <v>1</v>
      </c>
      <c r="AD39" s="637">
        <f t="shared" si="115"/>
        <v>0.37545131838513013</v>
      </c>
      <c r="AE39" s="629">
        <f t="shared" si="85"/>
        <v>0.92684211574723796</v>
      </c>
      <c r="AF39" s="633">
        <f t="shared" si="86"/>
        <v>-2.267948966866857E-7</v>
      </c>
      <c r="AG39" s="602">
        <f t="shared" si="87"/>
        <v>89.999985979931026</v>
      </c>
      <c r="AH39" s="603">
        <f t="shared" si="88"/>
        <v>67.947790189553473</v>
      </c>
      <c r="AI39" s="585">
        <f t="shared" si="89"/>
        <v>-89.999987005609611</v>
      </c>
      <c r="AJ39" s="586">
        <f t="shared" si="90"/>
        <v>157.94779018955288</v>
      </c>
      <c r="AK39" s="635">
        <f t="shared" si="211"/>
        <v>2.2679489647403628E-7</v>
      </c>
      <c r="AL39" s="629">
        <f t="shared" si="91"/>
        <v>-0.9999999999999486</v>
      </c>
      <c r="AM39" s="634">
        <f t="shared" si="92"/>
        <v>-2.267948966866857E-7</v>
      </c>
      <c r="AN39" s="581">
        <f t="shared" si="93"/>
        <v>-89.999987005609611</v>
      </c>
      <c r="AO39" s="582">
        <f t="shared" si="94"/>
        <v>0</v>
      </c>
      <c r="AP39" s="585">
        <f t="shared" si="95"/>
        <v>-89.999987005609626</v>
      </c>
      <c r="AQ39" s="586">
        <f t="shared" si="9"/>
        <v>0.72714429413256421</v>
      </c>
      <c r="AS39" s="52">
        <f t="shared" si="116"/>
        <v>-200.05202309363062</v>
      </c>
      <c r="AT39" s="72">
        <f t="shared" si="10"/>
        <v>-2.0376925252533415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>Gage</v>
      </c>
      <c r="IG39" s="847">
        <f t="shared" si="210"/>
        <v>4.2290000000000001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4.1289999999999996</v>
      </c>
      <c r="II39" s="734" cm="1">
        <f t="array" ref="II39">IFERROR(ROUND(VALUE(IF($IH39&lt;1,$IH39+LARGE((IF($M$9:$M$150="",0,$M$9:$M$150)-MOD(IF($M$9:$M$150="",0,$M$9:$M$150),1)),1),$IH39)),4),"")</f>
        <v>4.1289999999999996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18.809397284259063</v>
      </c>
      <c r="IM39" s="759">
        <v>3.7381402633290701E-5</v>
      </c>
      <c r="IN39" s="5">
        <f t="shared" si="226"/>
        <v>0</v>
      </c>
      <c r="IO39" s="771">
        <v>0</v>
      </c>
      <c r="IP39" s="9">
        <f t="shared" si="227"/>
        <v>-3.1194094081387753</v>
      </c>
      <c r="IQ39" s="5">
        <f t="shared" si="228"/>
        <v>-2.1676065375013178</v>
      </c>
      <c r="IR39" s="5">
        <f t="shared" si="71"/>
        <v>0.314</v>
      </c>
      <c r="IS39" s="5">
        <f t="shared" si="229"/>
        <v>0.27193198865724588</v>
      </c>
      <c r="IT39" s="727">
        <f t="shared" si="230"/>
        <v>89.999987005609597</v>
      </c>
      <c r="IU39" s="9">
        <f t="shared" si="231"/>
        <v>-3.1350094551885168</v>
      </c>
      <c r="IV39" s="5">
        <f t="shared" si="232"/>
        <v>-2.1780065688678119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89.999987005609611</v>
      </c>
    </row>
    <row r="40" spans="1:267" ht="15" customHeight="1" x14ac:dyDescent="0.25">
      <c r="A40" s="79"/>
      <c r="B40" s="707">
        <v>-0.53100733394289223</v>
      </c>
      <c r="C40" s="708">
        <v>-0.24761278635403949</v>
      </c>
      <c r="D40" s="709">
        <v>-0.27950084297454242</v>
      </c>
      <c r="E40" s="710">
        <v>0.4689289905900646</v>
      </c>
      <c r="F40" s="708">
        <v>-0.84711605943441681</v>
      </c>
      <c r="G40" s="711">
        <v>0.24999996726497567</v>
      </c>
      <c r="H40" s="710">
        <v>0.314</v>
      </c>
      <c r="I40" s="708">
        <v>0.52</v>
      </c>
      <c r="J40" s="570">
        <v>5.1020000000000003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5.1020000000000003</v>
      </c>
      <c r="N40" s="632">
        <f t="shared" si="2"/>
        <v>-0.53100733394289223</v>
      </c>
      <c r="O40" s="629">
        <f t="shared" si="3"/>
        <v>-0.24761278635403949</v>
      </c>
      <c r="P40" s="633">
        <f t="shared" si="4"/>
        <v>-0.27950084297454242</v>
      </c>
      <c r="Q40" s="585">
        <f t="shared" si="113"/>
        <v>205.00000000000003</v>
      </c>
      <c r="R40" s="629">
        <f t="shared" si="79"/>
        <v>0.58590176707972941</v>
      </c>
      <c r="S40" s="634">
        <f t="shared" si="80"/>
        <v>-0.27950084297454242</v>
      </c>
      <c r="T40" s="635">
        <f t="shared" si="81"/>
        <v>-0.26599565567328054</v>
      </c>
      <c r="U40" s="629">
        <f t="shared" si="82"/>
        <v>0.52204136984542804</v>
      </c>
      <c r="V40" s="636">
        <f t="shared" si="114"/>
        <v>-0.27950084297454242</v>
      </c>
      <c r="W40" s="585">
        <f t="shared" si="224"/>
        <v>117.0001997112069</v>
      </c>
      <c r="X40" s="629">
        <f t="shared" si="83"/>
        <v>0.58590176707972941</v>
      </c>
      <c r="Y40" s="630">
        <f t="shared" si="223"/>
        <v>-0.27950084297454242</v>
      </c>
      <c r="Z40" s="632">
        <f t="shared" si="6"/>
        <v>-0.4689289905900646</v>
      </c>
      <c r="AA40" s="629">
        <f t="shared" si="7"/>
        <v>0.84711605943441681</v>
      </c>
      <c r="AB40" s="629">
        <f t="shared" si="8"/>
        <v>-0.24999996726497567</v>
      </c>
      <c r="AC40" s="636">
        <f t="shared" si="84"/>
        <v>1</v>
      </c>
      <c r="AD40" s="637">
        <f t="shared" si="115"/>
        <v>-0.4689289905900646</v>
      </c>
      <c r="AE40" s="629">
        <f t="shared" si="85"/>
        <v>0.84711605943441681</v>
      </c>
      <c r="AF40" s="633">
        <f t="shared" si="86"/>
        <v>-0.24999996726497567</v>
      </c>
      <c r="AG40" s="602">
        <f t="shared" si="87"/>
        <v>73.557673426835976</v>
      </c>
      <c r="AH40" s="603">
        <f t="shared" si="88"/>
        <v>117.96479743290492</v>
      </c>
      <c r="AI40" s="585">
        <f t="shared" si="89"/>
        <v>-75.522489751159455</v>
      </c>
      <c r="AJ40" s="586">
        <f t="shared" si="90"/>
        <v>-151.03287035491343</v>
      </c>
      <c r="AK40" s="635">
        <f t="shared" si="211"/>
        <v>0.9659258360722075</v>
      </c>
      <c r="AL40" s="629">
        <f t="shared" si="91"/>
        <v>6.6987279208206907E-2</v>
      </c>
      <c r="AM40" s="634">
        <f t="shared" si="92"/>
        <v>-0.24999996726497567</v>
      </c>
      <c r="AN40" s="581">
        <f t="shared" si="93"/>
        <v>14.999997834268203</v>
      </c>
      <c r="AO40" s="582">
        <f t="shared" si="94"/>
        <v>14.99999783426823</v>
      </c>
      <c r="AP40" s="585">
        <f t="shared" si="95"/>
        <v>3.9671296450865539</v>
      </c>
      <c r="AQ40" s="586">
        <f t="shared" si="9"/>
        <v>3.8850057740333437</v>
      </c>
      <c r="AS40" s="52">
        <f t="shared" si="116"/>
        <v>-242.9998002887931</v>
      </c>
      <c r="AT40" s="72">
        <f t="shared" si="10"/>
        <v>-0.10936195408565355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5.1020000000000003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-1.2003176533093816</v>
      </c>
      <c r="C41" s="708">
        <v>-0.55971731395680124</v>
      </c>
      <c r="D41" s="709">
        <v>-8.1700246407943156E-2</v>
      </c>
      <c r="E41" s="710">
        <v>0.43883538093766761</v>
      </c>
      <c r="F41" s="708">
        <v>-0.86114894007685661</v>
      </c>
      <c r="G41" s="711">
        <v>0.25660477673223192</v>
      </c>
      <c r="H41" s="710">
        <v>0.314</v>
      </c>
      <c r="I41" s="708">
        <v>0.52</v>
      </c>
      <c r="J41" s="570">
        <v>5.1050000000000004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5.1050000000000004</v>
      </c>
      <c r="N41" s="632">
        <f t="shared" ref="N41:N72" si="240">IF(M41="","",B41)</f>
        <v>-1.2003176533093816</v>
      </c>
      <c r="O41" s="629">
        <f t="shared" ref="O41:O72" si="241">IF(M41="","",C41)</f>
        <v>-0.55971731395680124</v>
      </c>
      <c r="P41" s="633">
        <f t="shared" ref="P41:P72" si="242">IF(M41="","",D41)</f>
        <v>-8.1700246407943156E-2</v>
      </c>
      <c r="Q41" s="585">
        <f t="shared" si="113"/>
        <v>205</v>
      </c>
      <c r="R41" s="629">
        <f t="shared" si="79"/>
        <v>1.324403994402447</v>
      </c>
      <c r="S41" s="634">
        <f t="shared" si="80"/>
        <v>-8.1700246407943156E-2</v>
      </c>
      <c r="T41" s="635">
        <f t="shared" si="81"/>
        <v>-0.60127094448488227</v>
      </c>
      <c r="U41" s="629">
        <f t="shared" si="82"/>
        <v>1.1800505038799884</v>
      </c>
      <c r="V41" s="636">
        <f t="shared" si="114"/>
        <v>-8.1700246407943156E-2</v>
      </c>
      <c r="W41" s="585">
        <f t="shared" si="224"/>
        <v>117.00019971120688</v>
      </c>
      <c r="X41" s="629">
        <f t="shared" si="83"/>
        <v>1.324403994402447</v>
      </c>
      <c r="Y41" s="630">
        <f t="shared" si="223"/>
        <v>-8.1700246407943156E-2</v>
      </c>
      <c r="Z41" s="632">
        <f t="shared" ref="Z41:Z72" si="243">IF(M41="","",-E41)</f>
        <v>-0.43883538093766761</v>
      </c>
      <c r="AA41" s="629">
        <f t="shared" ref="AA41:AA72" si="244">IF(M41="","",-F41)</f>
        <v>0.86114894007685661</v>
      </c>
      <c r="AB41" s="629">
        <f t="shared" ref="AB41:AB72" si="245">IF(M41="","",-G41)</f>
        <v>-0.25660477673223192</v>
      </c>
      <c r="AC41" s="636">
        <f t="shared" si="84"/>
        <v>1</v>
      </c>
      <c r="AD41" s="637">
        <f t="shared" si="115"/>
        <v>-0.43883538093766761</v>
      </c>
      <c r="AE41" s="629">
        <f t="shared" si="85"/>
        <v>0.86114894007685661</v>
      </c>
      <c r="AF41" s="633">
        <f t="shared" si="86"/>
        <v>-0.25660477673223192</v>
      </c>
      <c r="AG41" s="602">
        <f t="shared" si="87"/>
        <v>73.407019371230547</v>
      </c>
      <c r="AH41" s="603">
        <f t="shared" si="88"/>
        <v>116.0295974477061</v>
      </c>
      <c r="AI41" s="585">
        <f t="shared" si="89"/>
        <v>-75.131303460271695</v>
      </c>
      <c r="AJ41" s="586">
        <f t="shared" si="90"/>
        <v>-152.99693223484911</v>
      </c>
      <c r="AK41" s="635">
        <f t="shared" si="211"/>
        <v>0.96592583607220739</v>
      </c>
      <c r="AL41" s="629">
        <f t="shared" si="91"/>
        <v>3.3782654815876056E-2</v>
      </c>
      <c r="AM41" s="634">
        <f t="shared" si="92"/>
        <v>-0.25660477673223192</v>
      </c>
      <c r="AN41" s="581">
        <f t="shared" si="93"/>
        <v>7.4999989171341319</v>
      </c>
      <c r="AO41" s="582">
        <f t="shared" si="94"/>
        <v>14.999997834268255</v>
      </c>
      <c r="AP41" s="585">
        <f t="shared" si="95"/>
        <v>2.003067765150893</v>
      </c>
      <c r="AQ41" s="586">
        <f t="shared" ref="AQ41:AQ72" si="246">IF(M41="","",DEGREES(ATAN(($AS$5*SIN(RADIANS(90)))/(($X41*2*PI())-($AS$5*COS(RADIANS(90)))))))</f>
        <v>1.7208050899170708</v>
      </c>
      <c r="AS41" s="52">
        <f t="shared" si="116"/>
        <v>-242.99980028879312</v>
      </c>
      <c r="AT41" s="72">
        <f t="shared" ref="AT41:AT72" si="247">IF(M41="","",Y41+(((AS41-$AS$9)*$AS$6)*-1))</f>
        <v>8.8438642480945739E-2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5.1050000000000004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-1.9370865678684255</v>
      </c>
      <c r="C42" s="708">
        <v>-0.8612193369691894</v>
      </c>
      <c r="D42" s="709">
        <v>-0.10240030883933139</v>
      </c>
      <c r="E42" s="710">
        <v>0.25816142741440512</v>
      </c>
      <c r="F42" s="708">
        <v>-0.93825678992958639</v>
      </c>
      <c r="G42" s="711">
        <v>0.23027564688083088</v>
      </c>
      <c r="H42" s="710">
        <v>0.314</v>
      </c>
      <c r="I42" s="708">
        <v>0.52</v>
      </c>
      <c r="J42" s="570">
        <v>5.1100000000000003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5.1100000000000003</v>
      </c>
      <c r="N42" s="632">
        <f t="shared" si="240"/>
        <v>-1.9370865678684255</v>
      </c>
      <c r="O42" s="629">
        <f t="shared" si="241"/>
        <v>-0.8612193369691894</v>
      </c>
      <c r="P42" s="633">
        <f t="shared" si="242"/>
        <v>-0.10240030883933139</v>
      </c>
      <c r="Q42" s="585">
        <f t="shared" si="113"/>
        <v>203.96970014875689</v>
      </c>
      <c r="R42" s="629">
        <f t="shared" ref="R42:R47" si="385">IF(M42="","",SQRT(N42^2+O42^2))</f>
        <v>2.1199063936376827</v>
      </c>
      <c r="S42" s="634">
        <f t="shared" ref="S42:S47" si="386">IF(M42="","",P42)</f>
        <v>-0.10240030883933139</v>
      </c>
      <c r="T42" s="635">
        <f t="shared" ref="T42:T47" si="387">IF(M42="","",X42*COS(RADIANS(W42)))</f>
        <v>-0.92830469476738386</v>
      </c>
      <c r="U42" s="629">
        <f t="shared" ref="U42:U47" si="388">IF(M42="","",X42*SIN(RADIANS(W42)))</f>
        <v>1.9058471899548401</v>
      </c>
      <c r="V42" s="636">
        <f t="shared" ref="V42:V47" si="389">IF(M42="","",Y42)</f>
        <v>-0.10240030883933139</v>
      </c>
      <c r="W42" s="585">
        <f t="shared" si="224"/>
        <v>115.96989985996376</v>
      </c>
      <c r="X42" s="629">
        <f t="shared" ref="X42:X47" si="390">IF(M42="","",R42)</f>
        <v>2.1199063936376827</v>
      </c>
      <c r="Y42" s="630">
        <f t="shared" si="223"/>
        <v>-0.10240030883933139</v>
      </c>
      <c r="Z42" s="632">
        <f t="shared" si="243"/>
        <v>-0.25816142741440512</v>
      </c>
      <c r="AA42" s="629">
        <f t="shared" si="244"/>
        <v>0.93825678992958639</v>
      </c>
      <c r="AB42" s="629">
        <f t="shared" si="245"/>
        <v>-0.23027564688083088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-0.25816142741440512</v>
      </c>
      <c r="AE42" s="629">
        <f t="shared" ref="AE42:AE47" si="393">IF(M42="","",AA42*(1/SQRT(Z42^2+AA42^2+AB42^2)))</f>
        <v>0.93825678992958639</v>
      </c>
      <c r="AF42" s="633">
        <f t="shared" ref="AF42:AF47" si="394">IF(M42="","",AB42*(1/SQRT(Z42^2+AA42^2+AB42^2)))</f>
        <v>-0.23027564688083088</v>
      </c>
      <c r="AG42" s="602">
        <f t="shared" ref="AG42:AG47" si="395">IF(M42="","",DEGREES(ATAN2(-AF42,AE42)))</f>
        <v>76.210500847145823</v>
      </c>
      <c r="AH42" s="603">
        <f t="shared" ref="AH42:AH47" si="396">IF(M42="","",DEGREES(ACOS(AD42)))</f>
        <v>104.96099567500895</v>
      </c>
      <c r="AI42" s="585">
        <f t="shared" ref="AI42:AI47" si="397">IF(M42="","",DEGREES(-ACOS(-AF42)))</f>
        <v>-76.68669923116758</v>
      </c>
      <c r="AJ42" s="586">
        <f t="shared" ref="AJ42:AJ47" si="398">IF(M42="","",DEGREES(ATAN2(-AE42,AD42)))</f>
        <v>-164.61575487479277</v>
      </c>
      <c r="AK42" s="635">
        <f t="shared" ref="AK42:AK47" si="399">IF(M42="","",(COS(RADIANS((90-$Q$8)-W42))*AD42)+(-SIN(RADIANS((90-$Q$8)-W42))*AE42))</f>
        <v>0.96222090015613748</v>
      </c>
      <c r="AL42" s="629">
        <f t="shared" ref="AL42:AL47" si="400">IF(M42="","",(SIN(RADIANS((90-$Q$8)-W42))*AD42)+(COS(RADIANS((90-$Q$8)-W42))*AE42))</f>
        <v>-0.14527238469966589</v>
      </c>
      <c r="AM42" s="634">
        <f t="shared" ref="AM42:AM47" si="401">IF(M42="","",AF42)</f>
        <v>-0.23027564688083088</v>
      </c>
      <c r="AN42" s="581">
        <f t="shared" ref="AN42:AN47" si="402">IF(M42="","",DEGREES(ATAN2(-AM42,AL42)))</f>
        <v>-32.246310954555028</v>
      </c>
      <c r="AO42" s="582">
        <f t="shared" si="94"/>
        <v>15.799388348605886</v>
      </c>
      <c r="AP42" s="585">
        <f t="shared" ref="AP42:AP47" si="403">IF(M42="","",DEGREES(ATAN2(AK42,AL42)))</f>
        <v>-8.5854550235496632</v>
      </c>
      <c r="AQ42" s="586">
        <f t="shared" si="246"/>
        <v>1.0752639811488034</v>
      </c>
      <c r="AS42" s="52">
        <f t="shared" si="116"/>
        <v>-244.03010014003624</v>
      </c>
      <c r="AT42" s="72">
        <f t="shared" si="247"/>
        <v>6.8454066057365218E-2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5.1100000000000003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-2.5662142929687297</v>
      </c>
      <c r="C43" s="708">
        <v>-1.0665044711348703</v>
      </c>
      <c r="D43" s="709">
        <v>-0.55970168806029119</v>
      </c>
      <c r="E43" s="710">
        <v>8.1690879843452704E-2</v>
      </c>
      <c r="F43" s="708">
        <v>-0.98374507293264402</v>
      </c>
      <c r="G43" s="711">
        <v>0.15991320030300696</v>
      </c>
      <c r="H43" s="710">
        <v>0.314</v>
      </c>
      <c r="I43" s="708">
        <v>0.52</v>
      </c>
      <c r="J43" s="570">
        <v>5.1159999999999997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5.1159999999999997</v>
      </c>
      <c r="N43" s="632">
        <f t="shared" si="240"/>
        <v>-2.5662142929687297</v>
      </c>
      <c r="O43" s="629">
        <f t="shared" si="241"/>
        <v>-1.0665044711348703</v>
      </c>
      <c r="P43" s="633">
        <f t="shared" si="242"/>
        <v>-0.55970168806029119</v>
      </c>
      <c r="Q43" s="585">
        <f t="shared" si="113"/>
        <v>202.5675003512095</v>
      </c>
      <c r="R43" s="629">
        <f t="shared" si="385"/>
        <v>2.7790083814892799</v>
      </c>
      <c r="S43" s="634">
        <f t="shared" si="386"/>
        <v>-0.55970168806029119</v>
      </c>
      <c r="T43" s="635">
        <f t="shared" si="387"/>
        <v>-1.1554231823331185</v>
      </c>
      <c r="U43" s="629">
        <f t="shared" si="388"/>
        <v>2.5274265279360497</v>
      </c>
      <c r="V43" s="636">
        <f t="shared" si="389"/>
        <v>-0.55970168806029119</v>
      </c>
      <c r="W43" s="585">
        <f t="shared" si="224"/>
        <v>114.56770006241638</v>
      </c>
      <c r="X43" s="629">
        <f t="shared" si="390"/>
        <v>2.7790083814892799</v>
      </c>
      <c r="Y43" s="630">
        <f t="shared" si="223"/>
        <v>-0.55970168806029119</v>
      </c>
      <c r="Z43" s="632">
        <f t="shared" si="243"/>
        <v>-8.1690879843452704E-2</v>
      </c>
      <c r="AA43" s="629">
        <f t="shared" si="244"/>
        <v>0.98374507293264402</v>
      </c>
      <c r="AB43" s="629">
        <f t="shared" si="245"/>
        <v>-0.15991320030300696</v>
      </c>
      <c r="AC43" s="636">
        <f t="shared" si="391"/>
        <v>1</v>
      </c>
      <c r="AD43" s="637">
        <f t="shared" si="392"/>
        <v>-8.1690879843452704E-2</v>
      </c>
      <c r="AE43" s="629">
        <f t="shared" si="393"/>
        <v>0.98374507293264402</v>
      </c>
      <c r="AF43" s="633">
        <f t="shared" si="394"/>
        <v>-0.15991320030300696</v>
      </c>
      <c r="AG43" s="602">
        <f t="shared" si="395"/>
        <v>80.767014082630197</v>
      </c>
      <c r="AH43" s="603">
        <f t="shared" si="396"/>
        <v>94.685764190887653</v>
      </c>
      <c r="AI43" s="585">
        <f t="shared" si="397"/>
        <v>-80.798141905637934</v>
      </c>
      <c r="AJ43" s="586">
        <f t="shared" si="398"/>
        <v>-175.2530097137637</v>
      </c>
      <c r="AK43" s="635">
        <f t="shared" si="399"/>
        <v>0.93976843423614354</v>
      </c>
      <c r="AL43" s="629">
        <f t="shared" si="400"/>
        <v>-0.30209776295463936</v>
      </c>
      <c r="AM43" s="634">
        <f t="shared" si="401"/>
        <v>-0.15991320030300696</v>
      </c>
      <c r="AN43" s="581">
        <f t="shared" si="402"/>
        <v>-62.105826582683939</v>
      </c>
      <c r="AO43" s="582">
        <f t="shared" si="94"/>
        <v>19.987295735720739</v>
      </c>
      <c r="AP43" s="585">
        <f t="shared" si="403"/>
        <v>-17.820510064973206</v>
      </c>
      <c r="AQ43" s="586">
        <f t="shared" si="246"/>
        <v>0.82028211564320686</v>
      </c>
      <c r="AS43" s="52">
        <f t="shared" ref="AS43:AS74" si="406">IF(G43="","",IF(AND(W43&lt;(AS42+180),W43&gt;(AS42-180)),W43,IF(W43&gt;(AS42+180),W43-360,IF(W43&lt;(AS42-180),W43+360,"Error"))))</f>
        <v>-245.43229993758362</v>
      </c>
      <c r="AT43" s="72">
        <f t="shared" si="247"/>
        <v>-0.38787356330418665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5.1159999999999997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-2.8592705859152892</v>
      </c>
      <c r="C44" s="708">
        <v>-1.1466147221450875</v>
      </c>
      <c r="D44" s="709">
        <v>-1.2970039117637986</v>
      </c>
      <c r="E44" s="710">
        <v>-0.10010522985712013</v>
      </c>
      <c r="F44" s="708">
        <v>-0.99202707974856275</v>
      </c>
      <c r="G44" s="711">
        <v>7.6558578884354758E-2</v>
      </c>
      <c r="H44" s="710">
        <v>0.314</v>
      </c>
      <c r="I44" s="708">
        <v>0.52</v>
      </c>
      <c r="J44" s="570">
        <v>5.1219999999999999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5.1219999999999999</v>
      </c>
      <c r="N44" s="632">
        <f t="shared" si="240"/>
        <v>-2.8592705859152892</v>
      </c>
      <c r="O44" s="629">
        <f t="shared" si="241"/>
        <v>-1.1466147221450875</v>
      </c>
      <c r="P44" s="633">
        <f t="shared" si="242"/>
        <v>-1.2970039117637986</v>
      </c>
      <c r="Q44" s="585">
        <f t="shared" si="113"/>
        <v>201.85160045457263</v>
      </c>
      <c r="R44" s="629">
        <f t="shared" si="385"/>
        <v>3.0806092911176219</v>
      </c>
      <c r="S44" s="634">
        <f t="shared" si="386"/>
        <v>-1.2970039117637986</v>
      </c>
      <c r="T44" s="635">
        <f t="shared" si="387"/>
        <v>-1.2457131605866596</v>
      </c>
      <c r="U44" s="629">
        <f t="shared" si="388"/>
        <v>2.8175081767514736</v>
      </c>
      <c r="V44" s="636">
        <f t="shared" si="389"/>
        <v>-1.2970039117637986</v>
      </c>
      <c r="W44" s="585">
        <f t="shared" si="224"/>
        <v>113.85180016577951</v>
      </c>
      <c r="X44" s="629">
        <f t="shared" si="390"/>
        <v>3.0806092911176219</v>
      </c>
      <c r="Y44" s="630">
        <f t="shared" si="223"/>
        <v>-1.2970039117637986</v>
      </c>
      <c r="Z44" s="632">
        <f t="shared" si="243"/>
        <v>0.10010522985712013</v>
      </c>
      <c r="AA44" s="629">
        <f t="shared" si="244"/>
        <v>0.99202707974856275</v>
      </c>
      <c r="AB44" s="629">
        <f t="shared" si="245"/>
        <v>-7.6558578884354758E-2</v>
      </c>
      <c r="AC44" s="636">
        <f t="shared" si="391"/>
        <v>1</v>
      </c>
      <c r="AD44" s="637">
        <f t="shared" si="392"/>
        <v>0.10010522985712013</v>
      </c>
      <c r="AE44" s="629">
        <f t="shared" si="393"/>
        <v>0.99202707974856275</v>
      </c>
      <c r="AF44" s="633">
        <f t="shared" si="394"/>
        <v>-7.6558578884354758E-2</v>
      </c>
      <c r="AG44" s="602">
        <f t="shared" si="395"/>
        <v>85.587009486332036</v>
      </c>
      <c r="AH44" s="603">
        <f t="shared" si="396"/>
        <v>84.254769889694998</v>
      </c>
      <c r="AI44" s="585">
        <f t="shared" si="397"/>
        <v>-85.609220181703577</v>
      </c>
      <c r="AJ44" s="586">
        <f t="shared" si="398"/>
        <v>174.23780133327907</v>
      </c>
      <c r="AK44" s="635">
        <f t="shared" si="399"/>
        <v>0.88349136876465295</v>
      </c>
      <c r="AL44" s="629">
        <f t="shared" si="400"/>
        <v>-0.46214909425159356</v>
      </c>
      <c r="AM44" s="634">
        <f t="shared" si="401"/>
        <v>-7.6558578884354758E-2</v>
      </c>
      <c r="AN44" s="581">
        <f t="shared" si="402"/>
        <v>-80.59393133018871</v>
      </c>
      <c r="AO44" s="582">
        <f t="shared" si="94"/>
        <v>27.933563429438568</v>
      </c>
      <c r="AP44" s="585">
        <f t="shared" si="403"/>
        <v>-27.613799121293564</v>
      </c>
      <c r="AQ44" s="586">
        <f t="shared" si="246"/>
        <v>0.73998344532948934</v>
      </c>
      <c r="AS44" s="52">
        <f t="shared" si="406"/>
        <v>-246.14819983422049</v>
      </c>
      <c r="AT44" s="72">
        <f t="shared" si="247"/>
        <v>-1.1246786343016963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5.1219999999999999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-2.8971919680369509</v>
      </c>
      <c r="C45" s="708">
        <v>-1.1562844615088803</v>
      </c>
      <c r="D45" s="709">
        <v>-2.041706157785772</v>
      </c>
      <c r="E45" s="710">
        <v>-0.14336817469288618</v>
      </c>
      <c r="F45" s="708">
        <v>-0.98966942283027881</v>
      </c>
      <c r="G45" s="711">
        <v>1.1339743364175565E-7</v>
      </c>
      <c r="H45" s="710">
        <v>0.314</v>
      </c>
      <c r="I45" s="708">
        <v>0.52</v>
      </c>
      <c r="J45" s="570">
        <v>5.1280000000000001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5.1280000000000001</v>
      </c>
      <c r="N45" s="632">
        <f t="shared" si="240"/>
        <v>-2.8971919680369509</v>
      </c>
      <c r="O45" s="629">
        <f t="shared" si="241"/>
        <v>-1.1562844615088803</v>
      </c>
      <c r="P45" s="633">
        <f t="shared" si="242"/>
        <v>-2.041706157785772</v>
      </c>
      <c r="Q45" s="585">
        <f t="shared" si="113"/>
        <v>201.75720046820231</v>
      </c>
      <c r="R45" s="629">
        <f t="shared" si="385"/>
        <v>3.1194094081387749</v>
      </c>
      <c r="S45" s="634">
        <f t="shared" si="386"/>
        <v>-2.041706157785772</v>
      </c>
      <c r="T45" s="635">
        <f t="shared" si="387"/>
        <v>-1.2567005774793905</v>
      </c>
      <c r="U45" s="629">
        <f t="shared" si="388"/>
        <v>2.8550689508569964</v>
      </c>
      <c r="V45" s="636">
        <f t="shared" si="389"/>
        <v>-2.041706157785772</v>
      </c>
      <c r="W45" s="585">
        <f t="shared" si="224"/>
        <v>113.75740017940919</v>
      </c>
      <c r="X45" s="629">
        <f t="shared" si="390"/>
        <v>3.1194094081387749</v>
      </c>
      <c r="Y45" s="630">
        <f t="shared" si="223"/>
        <v>-2.041706157785772</v>
      </c>
      <c r="Z45" s="632">
        <f t="shared" si="243"/>
        <v>0.14336817469288618</v>
      </c>
      <c r="AA45" s="629">
        <f t="shared" si="244"/>
        <v>0.98966942283027881</v>
      </c>
      <c r="AB45" s="629">
        <f t="shared" si="245"/>
        <v>-1.1339743364175565E-7</v>
      </c>
      <c r="AC45" s="636">
        <f t="shared" si="391"/>
        <v>1</v>
      </c>
      <c r="AD45" s="637">
        <f t="shared" si="392"/>
        <v>0.14336817469288618</v>
      </c>
      <c r="AE45" s="629">
        <f t="shared" si="393"/>
        <v>0.98966942283027881</v>
      </c>
      <c r="AF45" s="633">
        <f t="shared" si="394"/>
        <v>-1.1339743364175565E-7</v>
      </c>
      <c r="AG45" s="602">
        <f t="shared" si="395"/>
        <v>89.999993434985257</v>
      </c>
      <c r="AH45" s="603">
        <f t="shared" si="396"/>
        <v>81.757204799666468</v>
      </c>
      <c r="AI45" s="585">
        <f t="shared" si="397"/>
        <v>-89.999993502805637</v>
      </c>
      <c r="AJ45" s="586">
        <f t="shared" si="398"/>
        <v>171.75720479966643</v>
      </c>
      <c r="AK45" s="635">
        <f t="shared" si="399"/>
        <v>0.86602544158358574</v>
      </c>
      <c r="AL45" s="629">
        <f t="shared" si="400"/>
        <v>-0.49999993452993818</v>
      </c>
      <c r="AM45" s="634">
        <f t="shared" si="401"/>
        <v>-1.1339743364175565E-7</v>
      </c>
      <c r="AN45" s="581">
        <f t="shared" si="402"/>
        <v>-89.999987005609597</v>
      </c>
      <c r="AO45" s="582">
        <f t="shared" si="94"/>
        <v>29.99999566853651</v>
      </c>
      <c r="AP45" s="585">
        <f t="shared" si="403"/>
        <v>-29.999995668535888</v>
      </c>
      <c r="AQ45" s="586">
        <f t="shared" si="246"/>
        <v>0.73078032153202743</v>
      </c>
      <c r="AS45" s="52">
        <f t="shared" si="406"/>
        <v>-246.24259982059081</v>
      </c>
      <c r="AT45" s="72">
        <f t="shared" si="247"/>
        <v>-1.8693153247775791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5.1280000000000001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-2.1482974622815156</v>
      </c>
      <c r="C46" s="708">
        <v>-2.1642899898983898E-2</v>
      </c>
      <c r="D46" s="709">
        <v>-7.0200211723838501E-2</v>
      </c>
      <c r="E46" s="710">
        <v>-0.18003852568458761</v>
      </c>
      <c r="F46" s="708">
        <v>-0.93669069833612695</v>
      </c>
      <c r="G46" s="711">
        <v>0.30032759600126507</v>
      </c>
      <c r="H46" s="710">
        <v>0.26600000000000001</v>
      </c>
      <c r="I46" s="708">
        <v>0.315</v>
      </c>
      <c r="J46" s="570">
        <v>5.21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1308</v>
      </c>
      <c r="L46" s="320"/>
      <c r="M46" s="168">
        <f t="shared" si="239"/>
        <v>5.21</v>
      </c>
      <c r="N46" s="632">
        <f t="shared" si="240"/>
        <v>-2.1482974622815156</v>
      </c>
      <c r="O46" s="629">
        <f t="shared" si="241"/>
        <v>-2.1642899898983898E-2</v>
      </c>
      <c r="P46" s="633">
        <f t="shared" si="242"/>
        <v>-7.0200211723838501E-2</v>
      </c>
      <c r="Q46" s="585">
        <f t="shared" si="113"/>
        <v>180.57720352621553</v>
      </c>
      <c r="R46" s="629">
        <f t="shared" si="385"/>
        <v>2.1484064795939424</v>
      </c>
      <c r="S46" s="634">
        <f t="shared" si="386"/>
        <v>-7.0200211723838501E-2</v>
      </c>
      <c r="T46" s="635">
        <f t="shared" si="387"/>
        <v>-9.6611696779627707E-2</v>
      </c>
      <c r="U46" s="629">
        <f t="shared" si="388"/>
        <v>2.1462331144604487</v>
      </c>
      <c r="V46" s="636">
        <f t="shared" si="389"/>
        <v>-7.0200211723838501E-2</v>
      </c>
      <c r="W46" s="585">
        <f t="shared" si="224"/>
        <v>92.577403237422402</v>
      </c>
      <c r="X46" s="629">
        <f t="shared" si="390"/>
        <v>2.1484064795939424</v>
      </c>
      <c r="Y46" s="630">
        <f t="shared" si="223"/>
        <v>-7.0200211723838501E-2</v>
      </c>
      <c r="Z46" s="632">
        <f t="shared" si="243"/>
        <v>0.18003852568458761</v>
      </c>
      <c r="AA46" s="629">
        <f t="shared" si="244"/>
        <v>0.93669069833612695</v>
      </c>
      <c r="AB46" s="629">
        <f t="shared" si="245"/>
        <v>-0.30032759600126507</v>
      </c>
      <c r="AC46" s="636">
        <f t="shared" si="391"/>
        <v>1</v>
      </c>
      <c r="AD46" s="637">
        <f t="shared" si="392"/>
        <v>0.18003852568458761</v>
      </c>
      <c r="AE46" s="629">
        <f t="shared" si="393"/>
        <v>0.93669069833612695</v>
      </c>
      <c r="AF46" s="633">
        <f t="shared" si="394"/>
        <v>-0.30032759600126507</v>
      </c>
      <c r="AG46" s="602">
        <f t="shared" si="395"/>
        <v>72.222787445010241</v>
      </c>
      <c r="AH46" s="603">
        <f t="shared" si="396"/>
        <v>79.627996175037353</v>
      </c>
      <c r="AI46" s="585">
        <f t="shared" si="397"/>
        <v>-72.522719644994211</v>
      </c>
      <c r="AJ46" s="586">
        <f t="shared" si="398"/>
        <v>169.12003556200833</v>
      </c>
      <c r="AK46" s="635">
        <f t="shared" si="399"/>
        <v>0.93482947173406605</v>
      </c>
      <c r="AL46" s="629">
        <f t="shared" si="400"/>
        <v>-0.18946554794344003</v>
      </c>
      <c r="AM46" s="634">
        <f t="shared" si="401"/>
        <v>-0.30032759600126507</v>
      </c>
      <c r="AN46" s="581">
        <f t="shared" si="402"/>
        <v>-32.246308318634078</v>
      </c>
      <c r="AO46" s="582">
        <f t="shared" si="94"/>
        <v>20.799387621380372</v>
      </c>
      <c r="AP46" s="585">
        <f t="shared" si="403"/>
        <v>-11.457167964207217</v>
      </c>
      <c r="AQ46" s="586">
        <f t="shared" si="246"/>
        <v>1.061003149326843</v>
      </c>
      <c r="AS46" s="52">
        <f t="shared" si="406"/>
        <v>-267.4225967625776</v>
      </c>
      <c r="AT46" s="72">
        <f t="shared" si="247"/>
        <v>0.1168989524940674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5.21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5.1100000000000003</v>
      </c>
      <c r="II46" s="734" cm="1">
        <f t="array" ref="II46">IFERROR(ROUND(VALUE(IF($IH46&lt;1,$IH46+LARGE((IF($M$9:$M$150="",0,$M$9:$M$150)-MOD(IF($M$9:$M$150="",0,$M$9:$M$150),1)),1),$IH46)),4),"")</f>
        <v>5.1100000000000003</v>
      </c>
      <c r="IJ46" s="533">
        <f t="shared" si="112"/>
        <v>1613</v>
      </c>
      <c r="IK46" s="533">
        <f t="shared" si="382"/>
        <v>1308</v>
      </c>
      <c r="IL46" s="727">
        <f t="shared" si="225"/>
        <v>23.392496622541358</v>
      </c>
      <c r="IM46" s="759">
        <v>1.0272081176695201E-2</v>
      </c>
      <c r="IN46" s="5">
        <f t="shared" si="226"/>
        <v>0.18</v>
      </c>
      <c r="IO46" s="771">
        <v>90</v>
      </c>
      <c r="IP46" s="9">
        <f t="shared" si="227"/>
        <v>-2.1199063936376827</v>
      </c>
      <c r="IQ46" s="5">
        <f t="shared" si="228"/>
        <v>-0.10240030883933139</v>
      </c>
      <c r="IR46" s="5">
        <f t="shared" si="383"/>
        <v>0.314</v>
      </c>
      <c r="IS46" s="5">
        <f t="shared" si="229"/>
        <v>0.30213736264902719</v>
      </c>
      <c r="IT46" s="727">
        <f t="shared" si="230"/>
        <v>32.246310954555028</v>
      </c>
      <c r="IU46" s="9">
        <f t="shared" si="231"/>
        <v>-2.1484064795939424</v>
      </c>
      <c r="IV46" s="5">
        <f t="shared" si="232"/>
        <v>-7.0200211723838501E-2</v>
      </c>
      <c r="IW46" s="5">
        <f t="shared" si="384"/>
        <v>0.26600000000000001</v>
      </c>
      <c r="IX46" s="5">
        <f t="shared" si="233"/>
        <v>0.24866463948126158</v>
      </c>
      <c r="IY46" s="762">
        <f t="shared" si="234"/>
        <v>32.246308318634078</v>
      </c>
    </row>
    <row r="47" spans="1:267" ht="15" customHeight="1" x14ac:dyDescent="0.25">
      <c r="A47" s="79"/>
      <c r="B47" s="707">
        <v>-2.8154452788737725</v>
      </c>
      <c r="C47" s="708">
        <v>-0.2520892083573304</v>
      </c>
      <c r="D47" s="709">
        <v>-0.54420164131214965</v>
      </c>
      <c r="E47" s="710">
        <v>-0.29101641185775617</v>
      </c>
      <c r="F47" s="708">
        <v>-0.93608456950066754</v>
      </c>
      <c r="G47" s="711">
        <v>0.19762369992535531</v>
      </c>
      <c r="H47" s="710">
        <v>0.26600000000000001</v>
      </c>
      <c r="I47" s="708">
        <v>0.315</v>
      </c>
      <c r="J47" s="570">
        <v>5.2160000000000002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1308</v>
      </c>
      <c r="L47" s="320"/>
      <c r="M47" s="168">
        <f t="shared" si="239"/>
        <v>5.2160000000000002</v>
      </c>
      <c r="N47" s="632">
        <f t="shared" si="240"/>
        <v>-2.8154452788737725</v>
      </c>
      <c r="O47" s="629">
        <f t="shared" si="241"/>
        <v>-0.2520892083573304</v>
      </c>
      <c r="P47" s="633">
        <f t="shared" si="242"/>
        <v>-0.54420164131214965</v>
      </c>
      <c r="Q47" s="585">
        <f t="shared" si="113"/>
        <v>185.11650287082179</v>
      </c>
      <c r="R47" s="629">
        <f t="shared" si="385"/>
        <v>2.8267085253529132</v>
      </c>
      <c r="S47" s="634">
        <f t="shared" si="386"/>
        <v>-0.54420164131214965</v>
      </c>
      <c r="T47" s="635">
        <f t="shared" si="387"/>
        <v>-0.35020304256999807</v>
      </c>
      <c r="U47" s="629">
        <f t="shared" si="388"/>
        <v>2.8049311785278364</v>
      </c>
      <c r="V47" s="636">
        <f t="shared" si="389"/>
        <v>-0.54420164131214965</v>
      </c>
      <c r="W47" s="585">
        <f t="shared" si="224"/>
        <v>97.116702582028665</v>
      </c>
      <c r="X47" s="629">
        <f t="shared" si="390"/>
        <v>2.8267085253529132</v>
      </c>
      <c r="Y47" s="630">
        <f t="shared" si="223"/>
        <v>-0.54420164131214965</v>
      </c>
      <c r="Z47" s="632">
        <f t="shared" si="243"/>
        <v>0.29101641185775617</v>
      </c>
      <c r="AA47" s="629">
        <f t="shared" si="244"/>
        <v>0.93608456950066754</v>
      </c>
      <c r="AB47" s="629">
        <f t="shared" si="245"/>
        <v>-0.19762369992535531</v>
      </c>
      <c r="AC47" s="636">
        <f t="shared" si="391"/>
        <v>1</v>
      </c>
      <c r="AD47" s="637">
        <f t="shared" si="392"/>
        <v>0.29101641185775617</v>
      </c>
      <c r="AE47" s="629">
        <f t="shared" si="393"/>
        <v>0.93608456950066754</v>
      </c>
      <c r="AF47" s="633">
        <f t="shared" si="394"/>
        <v>-0.19762369992535531</v>
      </c>
      <c r="AG47" s="602">
        <f t="shared" si="395"/>
        <v>78.078918884671936</v>
      </c>
      <c r="AH47" s="603">
        <f t="shared" si="396"/>
        <v>73.081183086257028</v>
      </c>
      <c r="AI47" s="585">
        <f t="shared" si="397"/>
        <v>-78.601966240978697</v>
      </c>
      <c r="AJ47" s="586">
        <f t="shared" si="398"/>
        <v>162.73021606152901</v>
      </c>
      <c r="AK47" s="635">
        <f t="shared" si="399"/>
        <v>0.90640147788960612</v>
      </c>
      <c r="AL47" s="629">
        <f t="shared" si="400"/>
        <v>-0.37333796231745714</v>
      </c>
      <c r="AM47" s="634">
        <f t="shared" si="401"/>
        <v>-0.19762369992535531</v>
      </c>
      <c r="AN47" s="581">
        <f t="shared" si="402"/>
        <v>-62.105822890079828</v>
      </c>
      <c r="AO47" s="582">
        <f t="shared" si="94"/>
        <v>24.987294994948989</v>
      </c>
      <c r="AP47" s="585">
        <f t="shared" si="403"/>
        <v>-22.386286809292802</v>
      </c>
      <c r="AQ47" s="586">
        <f t="shared" si="246"/>
        <v>0.80644186193581535</v>
      </c>
      <c r="AS47" s="52">
        <f t="shared" si="406"/>
        <v>-262.88329741797133</v>
      </c>
      <c r="AT47" s="72">
        <f t="shared" si="247"/>
        <v>-0.36025476830577591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5.2160000000000002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5.1159999999999997</v>
      </c>
      <c r="II47" s="734" cm="1">
        <f t="array" ref="II47">IFERROR(ROUND(VALUE(IF($IH47&lt;1,$IH47+LARGE((IF($M$9:$M$150="",0,$M$9:$M$150)-MOD(IF($M$9:$M$150="",0,$M$9:$M$150),1)),1),$IH47)),4),"")</f>
        <v>5.1159999999999997</v>
      </c>
      <c r="IJ47" s="533">
        <f t="shared" si="112"/>
        <v>1613</v>
      </c>
      <c r="IK47" s="533">
        <f t="shared" si="382"/>
        <v>1308</v>
      </c>
      <c r="IL47" s="727">
        <f t="shared" si="225"/>
        <v>17.450997480387713</v>
      </c>
      <c r="IM47" s="759">
        <v>3.5680279483403699E-3</v>
      </c>
      <c r="IN47" s="5">
        <f t="shared" si="226"/>
        <v>0.14000000000000001</v>
      </c>
      <c r="IO47" s="771">
        <v>70</v>
      </c>
      <c r="IP47" s="9">
        <f t="shared" si="227"/>
        <v>-2.7790083814892799</v>
      </c>
      <c r="IQ47" s="5">
        <f t="shared" si="228"/>
        <v>-0.55970168806029119</v>
      </c>
      <c r="IR47" s="5">
        <f t="shared" si="383"/>
        <v>0.314</v>
      </c>
      <c r="IS47" s="5">
        <f t="shared" si="229"/>
        <v>0.29508728835014908</v>
      </c>
      <c r="IT47" s="727">
        <f t="shared" si="230"/>
        <v>62.105826582683939</v>
      </c>
      <c r="IU47" s="9">
        <f t="shared" si="231"/>
        <v>-2.8267085253529132</v>
      </c>
      <c r="IV47" s="5">
        <f t="shared" si="232"/>
        <v>-0.54420164131214965</v>
      </c>
      <c r="IW47" s="5">
        <f t="shared" si="384"/>
        <v>0.26600000000000001</v>
      </c>
      <c r="IX47" s="5">
        <f t="shared" si="233"/>
        <v>0.24110279311863525</v>
      </c>
      <c r="IY47" s="762">
        <f t="shared" si="234"/>
        <v>62.105822890079828</v>
      </c>
    </row>
    <row r="48" spans="1:267" ht="15" customHeight="1" x14ac:dyDescent="0.25">
      <c r="A48" s="79"/>
      <c r="B48" s="707">
        <v>-3.0971615203825733</v>
      </c>
      <c r="C48" s="708">
        <v>-0.16226674586485981</v>
      </c>
      <c r="D48" s="709">
        <v>-1.3040039328758617</v>
      </c>
      <c r="E48" s="710">
        <v>-0.8422362083301933</v>
      </c>
      <c r="F48" s="708">
        <v>-4.4126737097725167E-2</v>
      </c>
      <c r="G48" s="711">
        <v>0.53729973055147506</v>
      </c>
      <c r="H48" s="710">
        <v>0.25700000000000001</v>
      </c>
      <c r="I48" s="708">
        <v>0.41499999999999992</v>
      </c>
      <c r="J48" s="570">
        <v>5.2220000000000004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CPS-32193r1</v>
      </c>
      <c r="L48" s="320"/>
      <c r="M48" s="168">
        <f t="shared" si="239"/>
        <v>5.2220000000000004</v>
      </c>
      <c r="N48" s="632">
        <f t="shared" si="240"/>
        <v>-3.0971615203825733</v>
      </c>
      <c r="O48" s="629">
        <f t="shared" si="241"/>
        <v>-0.16226674586485981</v>
      </c>
      <c r="P48" s="633">
        <f t="shared" si="242"/>
        <v>-1.3040039328758617</v>
      </c>
      <c r="Q48" s="585">
        <f t="shared" si="113"/>
        <v>182.99910317653647</v>
      </c>
      <c r="R48" s="629">
        <f t="shared" si="79"/>
        <v>3.1014093538506109</v>
      </c>
      <c r="S48" s="634">
        <f t="shared" si="80"/>
        <v>-1.3040039328758617</v>
      </c>
      <c r="T48" s="635">
        <f t="shared" si="81"/>
        <v>-0.27026804482044353</v>
      </c>
      <c r="U48" s="629">
        <f t="shared" si="82"/>
        <v>3.0896108434722001</v>
      </c>
      <c r="V48" s="636">
        <f t="shared" si="114"/>
        <v>-1.3040039328758617</v>
      </c>
      <c r="W48" s="585">
        <f t="shared" si="224"/>
        <v>94.99930288774334</v>
      </c>
      <c r="X48" s="629">
        <f t="shared" si="83"/>
        <v>3.1014093538506109</v>
      </c>
      <c r="Y48" s="630">
        <f t="shared" si="223"/>
        <v>-1.3040039328758617</v>
      </c>
      <c r="Z48" s="632">
        <f t="shared" si="243"/>
        <v>0.8422362083301933</v>
      </c>
      <c r="AA48" s="629">
        <f t="shared" si="244"/>
        <v>4.4126737097725167E-2</v>
      </c>
      <c r="AB48" s="629">
        <f t="shared" si="245"/>
        <v>-0.53729973055147506</v>
      </c>
      <c r="AC48" s="636">
        <f t="shared" si="84"/>
        <v>1</v>
      </c>
      <c r="AD48" s="637">
        <f t="shared" si="115"/>
        <v>0.8422362083301933</v>
      </c>
      <c r="AE48" s="629">
        <f t="shared" si="85"/>
        <v>4.4126737097725167E-2</v>
      </c>
      <c r="AF48" s="633">
        <f t="shared" si="86"/>
        <v>-0.53729973055147506</v>
      </c>
      <c r="AG48" s="602">
        <f t="shared" si="87"/>
        <v>4.694985487493879</v>
      </c>
      <c r="AH48" s="603">
        <f t="shared" si="88"/>
        <v>32.622983457795463</v>
      </c>
      <c r="AI48" s="585">
        <f t="shared" si="89"/>
        <v>-57.499991698029291</v>
      </c>
      <c r="AJ48" s="586">
        <f t="shared" si="90"/>
        <v>92.999118583844265</v>
      </c>
      <c r="AK48" s="635">
        <f t="shared" si="211"/>
        <v>2.267948969042477E-7</v>
      </c>
      <c r="AL48" s="629">
        <f t="shared" si="91"/>
        <v>-0.84339136795989378</v>
      </c>
      <c r="AM48" s="634">
        <f t="shared" si="92"/>
        <v>-0.53729973055147506</v>
      </c>
      <c r="AN48" s="581">
        <f t="shared" si="93"/>
        <v>-57.49999169802836</v>
      </c>
      <c r="AO48" s="582">
        <f t="shared" si="94"/>
        <v>0</v>
      </c>
      <c r="AP48" s="585">
        <f t="shared" si="95"/>
        <v>-89.999984592692186</v>
      </c>
      <c r="AQ48" s="586">
        <f t="shared" si="246"/>
        <v>0.73502118269514505</v>
      </c>
      <c r="AS48" s="52">
        <f t="shared" si="406"/>
        <v>-265.00069711225666</v>
      </c>
      <c r="AT48" s="72">
        <f t="shared" si="247"/>
        <v>-1.118586643415123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>Gage</v>
      </c>
      <c r="IG48" s="847">
        <f t="shared" si="210"/>
        <v>5.2220000000000004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5.1219999999999999</v>
      </c>
      <c r="II48" s="734" cm="1">
        <f t="array" ref="II48">IFERROR(ROUND(VALUE(IF($IH48&lt;1,$IH48+LARGE((IF($M$9:$M$150="",0,$M$9:$M$150)-MOD(IF($M$9:$M$150="",0,$M$9:$M$150),1)),1),$IH48)),4),"")</f>
        <v>5.1219999999999999</v>
      </c>
      <c r="IJ48" s="533">
        <f t="shared" si="112"/>
        <v>1613</v>
      </c>
      <c r="IK48" s="533" t="str">
        <f t="shared" si="382"/>
        <v>CPS-32193r1</v>
      </c>
      <c r="IL48" s="727">
        <f t="shared" si="225"/>
        <v>18.852497278036168</v>
      </c>
      <c r="IM48" s="759">
        <v>5.2432106490952601E-4</v>
      </c>
      <c r="IN48" s="5">
        <f t="shared" si="226"/>
        <v>0</v>
      </c>
      <c r="IO48" s="771">
        <v>0</v>
      </c>
      <c r="IP48" s="9">
        <f t="shared" si="227"/>
        <v>-3.0806092911176219</v>
      </c>
      <c r="IQ48" s="5">
        <f t="shared" si="228"/>
        <v>-1.2970039117637986</v>
      </c>
      <c r="IR48" s="5">
        <f t="shared" si="383"/>
        <v>0.314</v>
      </c>
      <c r="IS48" s="5">
        <f t="shared" si="229"/>
        <v>0.27741628979210103</v>
      </c>
      <c r="IT48" s="727">
        <f t="shared" si="230"/>
        <v>80.59393133018871</v>
      </c>
      <c r="IU48" s="9">
        <f t="shared" si="231"/>
        <v>-3.1014093538506109</v>
      </c>
      <c r="IV48" s="5">
        <f t="shared" si="232"/>
        <v>-1.3040039328758617</v>
      </c>
      <c r="IW48" s="5">
        <f t="shared" si="384"/>
        <v>0.25700000000000001</v>
      </c>
      <c r="IX48" s="5">
        <f t="shared" si="233"/>
        <v>0.25700000000000001</v>
      </c>
      <c r="IY48" s="762">
        <f t="shared" si="234"/>
        <v>57.49999169802836</v>
      </c>
    </row>
    <row r="49" spans="1:259" ht="15" customHeight="1" x14ac:dyDescent="0.25">
      <c r="A49" s="79"/>
      <c r="B49" s="707">
        <v>-3.1308612067156374</v>
      </c>
      <c r="C49" s="708">
        <v>-0.16122155068259639</v>
      </c>
      <c r="D49" s="709">
        <v>-2.0521061891522665</v>
      </c>
      <c r="E49" s="710">
        <v>-0.99867678707303442</v>
      </c>
      <c r="F49" s="708">
        <v>-5.1426403349152688E-2</v>
      </c>
      <c r="G49" s="711">
        <v>2.2679489576940463E-7</v>
      </c>
      <c r="H49" s="710">
        <v>0.25700000000000001</v>
      </c>
      <c r="I49" s="708">
        <v>0.41499999999999992</v>
      </c>
      <c r="J49" s="570">
        <v>5.2279999999999998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CPS-32193r1</v>
      </c>
      <c r="L49" s="320"/>
      <c r="M49" s="168">
        <f t="shared" si="239"/>
        <v>5.2279999999999998</v>
      </c>
      <c r="N49" s="632">
        <f t="shared" si="240"/>
        <v>-3.1308612067156374</v>
      </c>
      <c r="O49" s="629">
        <f t="shared" si="241"/>
        <v>-0.16122155068259639</v>
      </c>
      <c r="P49" s="633">
        <f t="shared" si="242"/>
        <v>-2.0521061891522665</v>
      </c>
      <c r="Q49" s="585">
        <f t="shared" si="113"/>
        <v>182.94780318394331</v>
      </c>
      <c r="R49" s="629">
        <f t="shared" si="79"/>
        <v>3.1350094551885159</v>
      </c>
      <c r="S49" s="634">
        <f t="shared" si="80"/>
        <v>-2.0521061891522665</v>
      </c>
      <c r="T49" s="635">
        <f t="shared" si="81"/>
        <v>-0.27039970595472729</v>
      </c>
      <c r="U49" s="629">
        <f t="shared" si="82"/>
        <v>3.1233264771939857</v>
      </c>
      <c r="V49" s="636">
        <f t="shared" si="114"/>
        <v>-2.0521061891522665</v>
      </c>
      <c r="W49" s="585">
        <f t="shared" si="224"/>
        <v>94.948002895150182</v>
      </c>
      <c r="X49" s="629">
        <f t="shared" si="83"/>
        <v>3.1350094551885159</v>
      </c>
      <c r="Y49" s="630">
        <f t="shared" si="223"/>
        <v>-2.0521061891522665</v>
      </c>
      <c r="Z49" s="632">
        <f t="shared" si="243"/>
        <v>0.99867678707303442</v>
      </c>
      <c r="AA49" s="629">
        <f t="shared" si="244"/>
        <v>5.1426403349152688E-2</v>
      </c>
      <c r="AB49" s="629">
        <f t="shared" si="245"/>
        <v>-2.2679489576940463E-7</v>
      </c>
      <c r="AC49" s="636">
        <f t="shared" si="84"/>
        <v>1</v>
      </c>
      <c r="AD49" s="637">
        <f t="shared" si="115"/>
        <v>0.99867678707303442</v>
      </c>
      <c r="AE49" s="629">
        <f t="shared" si="85"/>
        <v>5.1426403349152688E-2</v>
      </c>
      <c r="AF49" s="633">
        <f t="shared" si="86"/>
        <v>-2.2679489576940463E-7</v>
      </c>
      <c r="AG49" s="602">
        <f t="shared" si="87"/>
        <v>89.999747320646676</v>
      </c>
      <c r="AH49" s="603">
        <f t="shared" si="88"/>
        <v>2.9478161783622343</v>
      </c>
      <c r="AI49" s="585">
        <f t="shared" si="89"/>
        <v>-89.999987005609654</v>
      </c>
      <c r="AJ49" s="586">
        <f t="shared" si="90"/>
        <v>92.947816178333667</v>
      </c>
      <c r="AK49" s="635">
        <f t="shared" si="211"/>
        <v>2.2679489634913619E-7</v>
      </c>
      <c r="AL49" s="629">
        <f t="shared" si="91"/>
        <v>-0.99999999999994871</v>
      </c>
      <c r="AM49" s="634">
        <f t="shared" si="92"/>
        <v>-2.2679489576940463E-7</v>
      </c>
      <c r="AN49" s="581">
        <f t="shared" si="93"/>
        <v>-89.999987005609654</v>
      </c>
      <c r="AO49" s="582">
        <f t="shared" si="94"/>
        <v>0</v>
      </c>
      <c r="AP49" s="585">
        <f t="shared" si="95"/>
        <v>-89.999987005609626</v>
      </c>
      <c r="AQ49" s="586">
        <f t="shared" si="246"/>
        <v>0.72714429413256432</v>
      </c>
      <c r="AS49" s="52">
        <f t="shared" si="406"/>
        <v>-265.05199710484982</v>
      </c>
      <c r="AT49" s="72">
        <f t="shared" si="247"/>
        <v>-1.8666532746966715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>Gage</v>
      </c>
      <c r="IG49" s="847">
        <f t="shared" si="210"/>
        <v>5.2279999999999998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5.1280000000000001</v>
      </c>
      <c r="II49" s="734" cm="1">
        <f t="array" ref="II49">IFERROR(ROUND(VALUE(IF($IH49&lt;1,$IH49+LARGE((IF($M$9:$M$150="",0,$M$9:$M$150)-MOD(IF($M$9:$M$150="",0,$M$9:$M$150),1)),1),$IH49)),4),"")</f>
        <v>5.1280000000000001</v>
      </c>
      <c r="IJ49" s="533">
        <f t="shared" si="112"/>
        <v>1613</v>
      </c>
      <c r="IK49" s="533" t="str">
        <f t="shared" si="382"/>
        <v>CPS-32193r1</v>
      </c>
      <c r="IL49" s="727">
        <f t="shared" si="225"/>
        <v>18.809397284259006</v>
      </c>
      <c r="IM49" s="759">
        <v>3.7381402618673901E-5</v>
      </c>
      <c r="IN49" s="5">
        <f t="shared" si="226"/>
        <v>0</v>
      </c>
      <c r="IO49" s="771">
        <v>0</v>
      </c>
      <c r="IP49" s="9">
        <f t="shared" si="227"/>
        <v>-3.1194094081387749</v>
      </c>
      <c r="IQ49" s="5">
        <f t="shared" si="228"/>
        <v>-2.041706157785772</v>
      </c>
      <c r="IR49" s="5">
        <f t="shared" si="383"/>
        <v>0.314</v>
      </c>
      <c r="IS49" s="5">
        <f t="shared" si="229"/>
        <v>0.27193198865724594</v>
      </c>
      <c r="IT49" s="727">
        <f t="shared" si="230"/>
        <v>89.999987005609597</v>
      </c>
      <c r="IU49" s="9">
        <f t="shared" si="231"/>
        <v>-3.1350094551885159</v>
      </c>
      <c r="IV49" s="5">
        <f t="shared" si="232"/>
        <v>-2.0521061891522665</v>
      </c>
      <c r="IW49" s="5">
        <f t="shared" si="384"/>
        <v>0.25700000000000001</v>
      </c>
      <c r="IX49" s="5">
        <f t="shared" si="233"/>
        <v>0.25700000000000001</v>
      </c>
      <c r="IY49" s="762">
        <f t="shared" si="234"/>
        <v>89.999987005609654</v>
      </c>
    </row>
    <row r="50" spans="1:259" ht="15" customHeight="1" x14ac:dyDescent="0.25">
      <c r="A50" s="79"/>
      <c r="B50" s="707">
        <v>-1.7085291189884886</v>
      </c>
      <c r="C50" s="708">
        <v>1.0181725396998134</v>
      </c>
      <c r="D50" s="709">
        <v>-6.6400200263003931E-2</v>
      </c>
      <c r="E50" s="710">
        <v>-0.59414329989525982</v>
      </c>
      <c r="F50" s="708">
        <v>-0.76725612456061765</v>
      </c>
      <c r="G50" s="711">
        <v>0.24147831893110686</v>
      </c>
      <c r="H50" s="710">
        <v>0.314</v>
      </c>
      <c r="I50" s="708">
        <v>0.52</v>
      </c>
      <c r="J50" s="570">
        <v>6.109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6.109</v>
      </c>
      <c r="N50" s="632">
        <f t="shared" si="240"/>
        <v>-1.7085291189884886</v>
      </c>
      <c r="O50" s="629">
        <f t="shared" si="241"/>
        <v>1.0181725396998134</v>
      </c>
      <c r="P50" s="633">
        <f t="shared" si="242"/>
        <v>-6.6400200263003931E-2</v>
      </c>
      <c r="Q50" s="585">
        <f t="shared" si="113"/>
        <v>149.20780011437949</v>
      </c>
      <c r="R50" s="629">
        <f t="shared" si="79"/>
        <v>1.9889059985404913</v>
      </c>
      <c r="S50" s="634">
        <f t="shared" si="80"/>
        <v>-6.6400200263003931E-2</v>
      </c>
      <c r="T50" s="635">
        <f t="shared" si="81"/>
        <v>0.95791941462945651</v>
      </c>
      <c r="U50" s="629">
        <f t="shared" si="82"/>
        <v>1.743025377355794</v>
      </c>
      <c r="V50" s="636">
        <f t="shared" si="114"/>
        <v>-6.6400200263003931E-2</v>
      </c>
      <c r="W50" s="585">
        <f t="shared" si="224"/>
        <v>61.20799982558637</v>
      </c>
      <c r="X50" s="629">
        <f t="shared" si="83"/>
        <v>1.9889059985404913</v>
      </c>
      <c r="Y50" s="630">
        <f t="shared" si="223"/>
        <v>-6.6400200263003931E-2</v>
      </c>
      <c r="Z50" s="632">
        <f t="shared" si="243"/>
        <v>0.59414329989525982</v>
      </c>
      <c r="AA50" s="629">
        <f t="shared" si="244"/>
        <v>0.76725612456061765</v>
      </c>
      <c r="AB50" s="629">
        <f t="shared" si="245"/>
        <v>-0.24147831893110686</v>
      </c>
      <c r="AC50" s="636">
        <f t="shared" si="84"/>
        <v>1</v>
      </c>
      <c r="AD50" s="637">
        <f t="shared" si="115"/>
        <v>0.59414329989525982</v>
      </c>
      <c r="AE50" s="629">
        <f t="shared" si="85"/>
        <v>0.76725612456061765</v>
      </c>
      <c r="AF50" s="633">
        <f t="shared" si="86"/>
        <v>-0.24147831893110686</v>
      </c>
      <c r="AG50" s="602">
        <f t="shared" si="87"/>
        <v>72.529660857795918</v>
      </c>
      <c r="AH50" s="603">
        <f t="shared" si="88"/>
        <v>53.548416039953302</v>
      </c>
      <c r="AI50" s="585">
        <f t="shared" si="89"/>
        <v>-76.026191626874891</v>
      </c>
      <c r="AJ50" s="586">
        <f t="shared" si="90"/>
        <v>142.24672577330824</v>
      </c>
      <c r="AK50" s="635">
        <f t="shared" si="211"/>
        <v>0.96325307708857788</v>
      </c>
      <c r="AL50" s="629">
        <f t="shared" si="91"/>
        <v>-0.11760837965720417</v>
      </c>
      <c r="AM50" s="634">
        <f t="shared" si="92"/>
        <v>-0.24147831893110686</v>
      </c>
      <c r="AN50" s="581">
        <f t="shared" si="93"/>
        <v>-25.967700465627448</v>
      </c>
      <c r="AO50" s="582">
        <f t="shared" si="94"/>
        <v>15.580704333366883</v>
      </c>
      <c r="AP50" s="585">
        <f t="shared" si="95"/>
        <v>-6.9610743410712521</v>
      </c>
      <c r="AQ50" s="586">
        <f t="shared" si="246"/>
        <v>1.1460685325602185</v>
      </c>
      <c r="AS50" s="52">
        <f t="shared" si="406"/>
        <v>-298.7920001744136</v>
      </c>
      <c r="AT50" s="72">
        <f t="shared" si="247"/>
        <v>0.14248327187978804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6.109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-2.2750881836000918</v>
      </c>
      <c r="C51" s="708">
        <v>1.434186091735201</v>
      </c>
      <c r="D51" s="709">
        <v>-0.4578013807289642</v>
      </c>
      <c r="E51" s="710">
        <v>-0.73730655818931023</v>
      </c>
      <c r="F51" s="708">
        <v>-0.65378360933163493</v>
      </c>
      <c r="G51" s="711">
        <v>0.17013533266295236</v>
      </c>
      <c r="H51" s="710">
        <v>0.314</v>
      </c>
      <c r="I51" s="708">
        <v>0.52</v>
      </c>
      <c r="J51" s="570">
        <v>6.1150000000000002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6.1150000000000002</v>
      </c>
      <c r="N51" s="632">
        <f t="shared" si="240"/>
        <v>-2.2750881836000918</v>
      </c>
      <c r="O51" s="629">
        <f t="shared" si="241"/>
        <v>1.434186091735201</v>
      </c>
      <c r="P51" s="633">
        <f t="shared" si="242"/>
        <v>-0.4578013807289642</v>
      </c>
      <c r="Q51" s="585">
        <f t="shared" si="113"/>
        <v>147.7732003215101</v>
      </c>
      <c r="R51" s="629">
        <f t="shared" si="79"/>
        <v>2.6894081112548642</v>
      </c>
      <c r="S51" s="634">
        <f t="shared" si="80"/>
        <v>-0.4578013807289642</v>
      </c>
      <c r="T51" s="635">
        <f t="shared" si="81"/>
        <v>1.3539048920276084</v>
      </c>
      <c r="U51" s="629">
        <f t="shared" si="82"/>
        <v>2.3237593533382852</v>
      </c>
      <c r="V51" s="636">
        <f t="shared" si="114"/>
        <v>-0.4578013807289642</v>
      </c>
      <c r="W51" s="585">
        <f t="shared" si="224"/>
        <v>59.773400032716978</v>
      </c>
      <c r="X51" s="629">
        <f t="shared" si="83"/>
        <v>2.6894081112548642</v>
      </c>
      <c r="Y51" s="630">
        <f t="shared" si="223"/>
        <v>-0.4578013807289642</v>
      </c>
      <c r="Z51" s="632">
        <f t="shared" si="243"/>
        <v>0.73730655818931023</v>
      </c>
      <c r="AA51" s="629">
        <f t="shared" si="244"/>
        <v>0.65378360933163493</v>
      </c>
      <c r="AB51" s="629">
        <f t="shared" si="245"/>
        <v>-0.17013533266295236</v>
      </c>
      <c r="AC51" s="636">
        <f t="shared" si="84"/>
        <v>1</v>
      </c>
      <c r="AD51" s="637">
        <f t="shared" si="115"/>
        <v>0.73730655818931023</v>
      </c>
      <c r="AE51" s="629">
        <f t="shared" si="85"/>
        <v>0.65378360933163493</v>
      </c>
      <c r="AF51" s="633">
        <f t="shared" si="86"/>
        <v>-0.17013533266295236</v>
      </c>
      <c r="AG51" s="602">
        <f t="shared" si="87"/>
        <v>75.413340426684869</v>
      </c>
      <c r="AH51" s="603">
        <f t="shared" si="88"/>
        <v>42.497521720716051</v>
      </c>
      <c r="AI51" s="585">
        <f t="shared" si="89"/>
        <v>-80.204312325886917</v>
      </c>
      <c r="AJ51" s="586">
        <f t="shared" si="90"/>
        <v>131.56400825432686</v>
      </c>
      <c r="AK51" s="635">
        <f t="shared" si="211"/>
        <v>0.94624916340222787</v>
      </c>
      <c r="AL51" s="629">
        <f t="shared" si="91"/>
        <v>-0.27507542482063085</v>
      </c>
      <c r="AM51" s="634">
        <f t="shared" si="92"/>
        <v>-0.17013533266295236</v>
      </c>
      <c r="AN51" s="581">
        <f t="shared" si="93"/>
        <v>-58.263030828228501</v>
      </c>
      <c r="AO51" s="582">
        <f t="shared" si="94"/>
        <v>18.871004175471658</v>
      </c>
      <c r="AP51" s="585">
        <f t="shared" si="95"/>
        <v>-16.209192067183235</v>
      </c>
      <c r="AQ51" s="586">
        <f t="shared" si="246"/>
        <v>0.84760669646955633</v>
      </c>
      <c r="AS51" s="52">
        <f t="shared" si="406"/>
        <v>-300.22659996728305</v>
      </c>
      <c r="AT51" s="72">
        <f t="shared" si="247"/>
        <v>-0.24792165873001287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6.1150000000000002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-2.5643914338187628</v>
      </c>
      <c r="C52" s="708">
        <v>1.6717950053626716</v>
      </c>
      <c r="D52" s="709">
        <v>-1.1643035115393907</v>
      </c>
      <c r="E52" s="710">
        <v>-0.85743854608835857</v>
      </c>
      <c r="F52" s="708">
        <v>-0.50487511476539759</v>
      </c>
      <c r="G52" s="711">
        <v>9.9500041067872011E-2</v>
      </c>
      <c r="H52" s="710">
        <v>0.314</v>
      </c>
      <c r="I52" s="708">
        <v>0.52</v>
      </c>
      <c r="J52" s="570">
        <v>6.1210000000000004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6.1210000000000004</v>
      </c>
      <c r="N52" s="632">
        <f t="shared" si="240"/>
        <v>-2.5643914338187628</v>
      </c>
      <c r="O52" s="629">
        <f t="shared" si="241"/>
        <v>1.6717950053626716</v>
      </c>
      <c r="P52" s="633">
        <f t="shared" si="242"/>
        <v>-1.1643035115393907</v>
      </c>
      <c r="Q52" s="585">
        <f t="shared" si="113"/>
        <v>146.89860044778669</v>
      </c>
      <c r="R52" s="629">
        <f t="shared" si="79"/>
        <v>3.0612092326070472</v>
      </c>
      <c r="S52" s="634">
        <f t="shared" si="80"/>
        <v>-1.1643035115393907</v>
      </c>
      <c r="T52" s="635">
        <f t="shared" si="81"/>
        <v>1.5812714862058572</v>
      </c>
      <c r="U52" s="629">
        <f t="shared" si="82"/>
        <v>2.6211795918461878</v>
      </c>
      <c r="V52" s="636">
        <f t="shared" si="114"/>
        <v>-1.1643035115393907</v>
      </c>
      <c r="W52" s="585">
        <f t="shared" si="224"/>
        <v>58.898800158993566</v>
      </c>
      <c r="X52" s="629">
        <f t="shared" si="83"/>
        <v>3.0612092326070472</v>
      </c>
      <c r="Y52" s="630">
        <f t="shared" si="223"/>
        <v>-1.1643035115393907</v>
      </c>
      <c r="Z52" s="632">
        <f t="shared" si="243"/>
        <v>0.85743854608835857</v>
      </c>
      <c r="AA52" s="629">
        <f t="shared" si="244"/>
        <v>0.50487511476539759</v>
      </c>
      <c r="AB52" s="629">
        <f t="shared" si="245"/>
        <v>-9.9500041067872011E-2</v>
      </c>
      <c r="AC52" s="636">
        <f t="shared" si="84"/>
        <v>0.99999999999999978</v>
      </c>
      <c r="AD52" s="637">
        <f t="shared" si="115"/>
        <v>0.85743854608835879</v>
      </c>
      <c r="AE52" s="629">
        <f t="shared" si="85"/>
        <v>0.5048751147653977</v>
      </c>
      <c r="AF52" s="633">
        <f t="shared" si="86"/>
        <v>-9.9500041067872039E-2</v>
      </c>
      <c r="AG52" s="602">
        <f t="shared" si="87"/>
        <v>78.8511079614685</v>
      </c>
      <c r="AH52" s="603">
        <f t="shared" si="88"/>
        <v>30.96981187567614</v>
      </c>
      <c r="AI52" s="585">
        <f t="shared" si="89"/>
        <v>-84.28961864468755</v>
      </c>
      <c r="AJ52" s="586">
        <f t="shared" si="90"/>
        <v>120.49033581872845</v>
      </c>
      <c r="AK52" s="635">
        <f t="shared" si="211"/>
        <v>0.89120301518403289</v>
      </c>
      <c r="AL52" s="629">
        <f t="shared" si="91"/>
        <v>-0.4425572590686776</v>
      </c>
      <c r="AM52" s="634">
        <f t="shared" si="92"/>
        <v>-9.9500041067872039E-2</v>
      </c>
      <c r="AN52" s="581">
        <f t="shared" si="93"/>
        <v>-77.328901033202172</v>
      </c>
      <c r="AO52" s="582">
        <f t="shared" si="94"/>
        <v>26.975191351579003</v>
      </c>
      <c r="AP52" s="585">
        <f t="shared" si="95"/>
        <v>-26.408264629058237</v>
      </c>
      <c r="AQ52" s="586">
        <f t="shared" si="246"/>
        <v>0.74467247816844573</v>
      </c>
      <c r="AS52" s="52">
        <f t="shared" si="406"/>
        <v>-301.10119984100641</v>
      </c>
      <c r="AT52" s="72">
        <f t="shared" si="247"/>
        <v>-0.95381642851702042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6.1210000000000004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-2.6089338248761029</v>
      </c>
      <c r="C53" s="708">
        <v>1.7100232024747641</v>
      </c>
      <c r="D53" s="709">
        <v>-1.9384058462320319</v>
      </c>
      <c r="E53" s="710">
        <v>-0.89292233760822948</v>
      </c>
      <c r="F53" s="708">
        <v>-0.45021072732692891</v>
      </c>
      <c r="G53" s="711">
        <v>1.1339743226839978E-7</v>
      </c>
      <c r="H53" s="710">
        <v>0.314</v>
      </c>
      <c r="I53" s="708">
        <v>0.52</v>
      </c>
      <c r="J53" s="570">
        <v>6.1269999999999998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6.1269999999999998</v>
      </c>
      <c r="N53" s="632">
        <f t="shared" si="240"/>
        <v>-2.6089338248761029</v>
      </c>
      <c r="O53" s="629">
        <f t="shared" si="241"/>
        <v>1.7100232024747641</v>
      </c>
      <c r="P53" s="633">
        <f t="shared" si="242"/>
        <v>-1.9384058462320319</v>
      </c>
      <c r="Q53" s="585">
        <f t="shared" si="113"/>
        <v>146.75720046820231</v>
      </c>
      <c r="R53" s="629">
        <f t="shared" ref="R53:R58" si="410">IF(M53="","",SQRT(N53^2+O53^2))</f>
        <v>3.1194094081387744</v>
      </c>
      <c r="S53" s="634">
        <f t="shared" ref="S53:S58" si="411">IF(M53="","",P53)</f>
        <v>-1.9384058462320319</v>
      </c>
      <c r="T53" s="635">
        <f t="shared" ref="T53:T58" si="412">IF(M53="","",X53*COS(RADIANS(W53)))</f>
        <v>1.6179217288896046</v>
      </c>
      <c r="U53" s="629">
        <f t="shared" ref="U53:U58" si="413">IF(M53="","",X53*SIN(RADIANS(W53)))</f>
        <v>2.6670291214704744</v>
      </c>
      <c r="V53" s="636">
        <f t="shared" ref="V53:V58" si="414">IF(M53="","",Y53)</f>
        <v>-1.9384058462320319</v>
      </c>
      <c r="W53" s="585">
        <f t="shared" si="224"/>
        <v>58.757400179409188</v>
      </c>
      <c r="X53" s="629">
        <f t="shared" ref="X53:X58" si="415">IF(M53="","",R53)</f>
        <v>3.1194094081387744</v>
      </c>
      <c r="Y53" s="630">
        <f t="shared" si="223"/>
        <v>-1.9384058462320319</v>
      </c>
      <c r="Z53" s="632">
        <f t="shared" si="243"/>
        <v>0.89292233760822948</v>
      </c>
      <c r="AA53" s="629">
        <f t="shared" si="244"/>
        <v>0.45021072732692891</v>
      </c>
      <c r="AB53" s="629">
        <f t="shared" si="245"/>
        <v>-1.1339743226839978E-7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0.89292233760822948</v>
      </c>
      <c r="AE53" s="629">
        <f t="shared" ref="AE53:AE58" si="418">IF(M53="","",AA53*(1/SQRT(Z53^2+AA53^2+AB53^2)))</f>
        <v>0.45021072732692891</v>
      </c>
      <c r="AF53" s="633">
        <f t="shared" ref="AF53:AF58" si="419">IF(M53="","",AB53*(1/SQRT(Z53^2+AA53^2+AB53^2)))</f>
        <v>-1.1339743226839978E-7</v>
      </c>
      <c r="AG53" s="602">
        <f t="shared" ref="AG53:AG58" si="420">IF(M53="","",DEGREES(ATAN2(-AF53,AE53)))</f>
        <v>89.99998556854851</v>
      </c>
      <c r="AH53" s="603">
        <f t="shared" ref="AH53:AH58" si="421">IF(M53="","",DEGREES(ACOS(AD53)))</f>
        <v>26.757204799667132</v>
      </c>
      <c r="AI53" s="585">
        <f t="shared" ref="AI53:AI58" si="422">IF(M53="","",DEGREES(-ACOS(-AF53)))</f>
        <v>-89.999993502805722</v>
      </c>
      <c r="AJ53" s="586">
        <f t="shared" ref="AJ53:AJ58" si="423">IF(M53="","",DEGREES(ATAN2(-AE53,AD53)))</f>
        <v>116.75720479966641</v>
      </c>
      <c r="AK53" s="635">
        <f t="shared" ref="AK53:AK58" si="424">IF(M53="","",(COS(RADIANS((90-$Q$8)-W53))*AD53)+(-SIN(RADIANS((90-$Q$8)-W53))*AE53))</f>
        <v>0.86602544158358574</v>
      </c>
      <c r="AL53" s="629">
        <f t="shared" ref="AL53:AL58" si="425">IF(M53="","",(SIN(RADIANS((90-$Q$8)-W53))*AD53)+(COS(RADIANS((90-$Q$8)-W53))*AE53))</f>
        <v>-0.49999993452993835</v>
      </c>
      <c r="AM53" s="634">
        <f t="shared" ref="AM53:AM58" si="426">IF(M53="","",AF53)</f>
        <v>-1.1339743226839978E-7</v>
      </c>
      <c r="AN53" s="581">
        <f t="shared" ref="AN53:AN58" si="427">IF(M53="","",DEGREES(ATAN2(-AM53,AL53)))</f>
        <v>-89.999987005609754</v>
      </c>
      <c r="AO53" s="582">
        <f t="shared" si="94"/>
        <v>29.99999566853651</v>
      </c>
      <c r="AP53" s="585">
        <f t="shared" ref="AP53:AP58" si="428">IF(M53="","",DEGREES(ATAN2(AK53,AL53)))</f>
        <v>-29.999995668535892</v>
      </c>
      <c r="AQ53" s="586">
        <f t="shared" si="246"/>
        <v>0.73078032153202743</v>
      </c>
      <c r="AS53" s="52">
        <f t="shared" si="406"/>
        <v>-301.24259982059084</v>
      </c>
      <c r="AT53" s="72">
        <f t="shared" si="247"/>
        <v>-1.7278205687793946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6.1269999999999998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-1.8990770456148627</v>
      </c>
      <c r="C54" s="708">
        <v>2.4300692499368566</v>
      </c>
      <c r="D54" s="709">
        <v>-1.1696035275242389</v>
      </c>
      <c r="E54" s="710">
        <v>-0.49626007074009909</v>
      </c>
      <c r="F54" s="708">
        <v>0.63501669992873055</v>
      </c>
      <c r="G54" s="711">
        <v>0.59201328785818352</v>
      </c>
      <c r="H54" s="710">
        <v>0.25700000000000001</v>
      </c>
      <c r="I54" s="708">
        <v>0.41499999999999992</v>
      </c>
      <c r="J54" s="570">
        <v>6.2210000000000001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6.2210000000000001</v>
      </c>
      <c r="N54" s="632">
        <f t="shared" si="240"/>
        <v>-1.8990770456148627</v>
      </c>
      <c r="O54" s="629">
        <f t="shared" si="241"/>
        <v>2.4300692499368566</v>
      </c>
      <c r="P54" s="633">
        <f t="shared" si="242"/>
        <v>-1.1696035275242389</v>
      </c>
      <c r="Q54" s="585">
        <f t="shared" si="113"/>
        <v>128.00730317535255</v>
      </c>
      <c r="R54" s="629">
        <f t="shared" si="410"/>
        <v>3.0841093016736538</v>
      </c>
      <c r="S54" s="634">
        <f t="shared" si="411"/>
        <v>-1.1696035275242389</v>
      </c>
      <c r="T54" s="635">
        <f t="shared" si="412"/>
        <v>2.3623051732685565</v>
      </c>
      <c r="U54" s="629">
        <f t="shared" si="413"/>
        <v>1.9827366070707846</v>
      </c>
      <c r="V54" s="636">
        <f t="shared" si="414"/>
        <v>-1.1696035275242389</v>
      </c>
      <c r="W54" s="585">
        <f t="shared" si="224"/>
        <v>40.007502886559422</v>
      </c>
      <c r="X54" s="629">
        <f t="shared" si="415"/>
        <v>3.0841093016736538</v>
      </c>
      <c r="Y54" s="630">
        <f t="shared" si="223"/>
        <v>-1.1696035275242389</v>
      </c>
      <c r="Z54" s="632">
        <f t="shared" si="243"/>
        <v>0.49626007074009909</v>
      </c>
      <c r="AA54" s="629">
        <f t="shared" si="244"/>
        <v>-0.63501669992873055</v>
      </c>
      <c r="AB54" s="629">
        <f t="shared" si="245"/>
        <v>-0.59201328785818352</v>
      </c>
      <c r="AC54" s="636">
        <f t="shared" si="416"/>
        <v>1</v>
      </c>
      <c r="AD54" s="637">
        <f t="shared" si="417"/>
        <v>0.49626007074009909</v>
      </c>
      <c r="AE54" s="629">
        <f t="shared" si="418"/>
        <v>-0.63501669992873055</v>
      </c>
      <c r="AF54" s="633">
        <f t="shared" si="419"/>
        <v>-0.59201328785818352</v>
      </c>
      <c r="AG54" s="602">
        <f t="shared" si="420"/>
        <v>-47.007209274365032</v>
      </c>
      <c r="AH54" s="603">
        <f t="shared" si="421"/>
        <v>60.247124800562887</v>
      </c>
      <c r="AI54" s="585">
        <f t="shared" si="422"/>
        <v>-53.699992246681489</v>
      </c>
      <c r="AJ54" s="586">
        <f t="shared" si="423"/>
        <v>38.007319298861269</v>
      </c>
      <c r="AK54" s="635">
        <f t="shared" si="424"/>
        <v>2.2679489669608088E-7</v>
      </c>
      <c r="AL54" s="629">
        <f t="shared" si="425"/>
        <v>-0.80592820213669913</v>
      </c>
      <c r="AM54" s="634">
        <f t="shared" si="426"/>
        <v>-0.59201328785818352</v>
      </c>
      <c r="AN54" s="581">
        <f t="shared" si="427"/>
        <v>-53.699992246680409</v>
      </c>
      <c r="AO54" s="582">
        <f t="shared" si="94"/>
        <v>0</v>
      </c>
      <c r="AP54" s="585">
        <f t="shared" si="428"/>
        <v>-89.999983876491271</v>
      </c>
      <c r="AQ54" s="586">
        <f t="shared" si="246"/>
        <v>0.73914376615082755</v>
      </c>
      <c r="AS54" s="52">
        <f t="shared" si="406"/>
        <v>-319.99249711344055</v>
      </c>
      <c r="AT54" s="72">
        <f t="shared" si="247"/>
        <v>-0.94599748806267825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6.2210000000000001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0.121</v>
      </c>
      <c r="II54" s="734" cm="1">
        <f t="array" ref="II54">IFERROR(ROUND(VALUE(IF($IH54&lt;1,$IH54+LARGE((IF($M$9:$M$150="",0,$M$9:$M$150)-MOD(IF($M$9:$M$150="",0,$M$9:$M$150),1)),1),$IH54)),4),"")</f>
        <v>6.1210000000000004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18.891297272434144</v>
      </c>
      <c r="IM54" s="759">
        <v>1.1106457736385E-3</v>
      </c>
      <c r="IN54" s="5">
        <f t="shared" si="226"/>
        <v>0</v>
      </c>
      <c r="IO54" s="771">
        <v>0</v>
      </c>
      <c r="IP54" s="9">
        <f t="shared" si="227"/>
        <v>-3.0612092326070472</v>
      </c>
      <c r="IQ54" s="5">
        <f t="shared" si="228"/>
        <v>-1.1643035115393907</v>
      </c>
      <c r="IR54" s="5">
        <f t="shared" si="383"/>
        <v>0.314</v>
      </c>
      <c r="IS54" s="5">
        <f t="shared" si="229"/>
        <v>0.27983774676778633</v>
      </c>
      <c r="IT54" s="727">
        <f t="shared" si="230"/>
        <v>77.328901033202172</v>
      </c>
      <c r="IU54" s="9">
        <f t="shared" si="231"/>
        <v>-3.0841093016736538</v>
      </c>
      <c r="IV54" s="5">
        <f t="shared" si="232"/>
        <v>-1.1696035275242389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53.699992246680409</v>
      </c>
    </row>
    <row r="55" spans="1:259" ht="15" customHeight="1" x14ac:dyDescent="0.25">
      <c r="A55" s="79"/>
      <c r="B55" s="707">
        <v>-1.9278531764827818</v>
      </c>
      <c r="C55" s="708">
        <v>2.4721784753627016</v>
      </c>
      <c r="D55" s="709">
        <v>-1.9488058775985269</v>
      </c>
      <c r="E55" s="710">
        <v>-0.61494351602975228</v>
      </c>
      <c r="F55" s="708">
        <v>0.78857115854747983</v>
      </c>
      <c r="G55" s="711">
        <v>2.2679489692928652E-7</v>
      </c>
      <c r="H55" s="710">
        <v>0.25700000000000001</v>
      </c>
      <c r="I55" s="708">
        <v>0.41499999999999992</v>
      </c>
      <c r="J55" s="570">
        <v>6.2270000000000003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CPS-32193r1</v>
      </c>
      <c r="L55" s="320"/>
      <c r="M55" s="168">
        <f t="shared" si="239"/>
        <v>6.2270000000000003</v>
      </c>
      <c r="N55" s="632">
        <f t="shared" si="240"/>
        <v>-1.9278531764827818</v>
      </c>
      <c r="O55" s="629">
        <f t="shared" si="241"/>
        <v>2.4721784753627016</v>
      </c>
      <c r="P55" s="633">
        <f t="shared" si="242"/>
        <v>-1.9488058775985269</v>
      </c>
      <c r="Q55" s="585">
        <f t="shared" si="113"/>
        <v>127.94780318394328</v>
      </c>
      <c r="R55" s="629">
        <f t="shared" si="410"/>
        <v>3.1350094551885173</v>
      </c>
      <c r="S55" s="634">
        <f t="shared" si="411"/>
        <v>-1.9488058775985269</v>
      </c>
      <c r="T55" s="635">
        <f t="shared" si="412"/>
        <v>2.4033843690435073</v>
      </c>
      <c r="U55" s="629">
        <f t="shared" si="413"/>
        <v>2.0129649422577502</v>
      </c>
      <c r="V55" s="636">
        <f t="shared" si="414"/>
        <v>-1.9488058775985269</v>
      </c>
      <c r="W55" s="585">
        <f t="shared" si="224"/>
        <v>39.948002895150154</v>
      </c>
      <c r="X55" s="629">
        <f t="shared" si="415"/>
        <v>3.1350094551885173</v>
      </c>
      <c r="Y55" s="630">
        <f t="shared" si="223"/>
        <v>-1.9488058775985269</v>
      </c>
      <c r="Z55" s="632">
        <f t="shared" si="243"/>
        <v>0.61494351602975228</v>
      </c>
      <c r="AA55" s="629">
        <f t="shared" si="244"/>
        <v>-0.78857115854747983</v>
      </c>
      <c r="AB55" s="629">
        <f t="shared" si="245"/>
        <v>-2.2679489692928652E-7</v>
      </c>
      <c r="AC55" s="636">
        <f t="shared" si="416"/>
        <v>1</v>
      </c>
      <c r="AD55" s="637">
        <f t="shared" si="417"/>
        <v>0.61494351602975228</v>
      </c>
      <c r="AE55" s="629">
        <f t="shared" si="418"/>
        <v>-0.78857115854747983</v>
      </c>
      <c r="AF55" s="633">
        <f t="shared" si="419"/>
        <v>-2.2679489692928652E-7</v>
      </c>
      <c r="AG55" s="602">
        <f t="shared" si="420"/>
        <v>-89.999983521600726</v>
      </c>
      <c r="AH55" s="603">
        <f t="shared" si="421"/>
        <v>52.052183821667462</v>
      </c>
      <c r="AI55" s="585">
        <f t="shared" si="422"/>
        <v>-89.999987005609597</v>
      </c>
      <c r="AJ55" s="586">
        <f t="shared" si="423"/>
        <v>37.947816178333674</v>
      </c>
      <c r="AK55" s="635">
        <f t="shared" si="424"/>
        <v>2.2679489675159203E-7</v>
      </c>
      <c r="AL55" s="629">
        <f t="shared" si="425"/>
        <v>-0.99999999999994871</v>
      </c>
      <c r="AM55" s="634">
        <f t="shared" si="426"/>
        <v>-2.2679489692928652E-7</v>
      </c>
      <c r="AN55" s="581">
        <f t="shared" si="427"/>
        <v>-89.999987005609597</v>
      </c>
      <c r="AO55" s="582">
        <f>IF(ROUND(IF(M55="",0,DEGREES(ACOS(AK55))),4)=90,0,IF(M55="","",DEGREES(ACOS(AK55))))</f>
        <v>0</v>
      </c>
      <c r="AP55" s="585">
        <f t="shared" si="428"/>
        <v>-89.999987005609611</v>
      </c>
      <c r="AQ55" s="586">
        <f t="shared" si="246"/>
        <v>0.72714429413256398</v>
      </c>
      <c r="AS55" s="52">
        <f t="shared" si="406"/>
        <v>-320.05199710484987</v>
      </c>
      <c r="AT55" s="72">
        <f t="shared" si="247"/>
        <v>-1.7251585186984875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>Gage</v>
      </c>
      <c r="IG55" s="847">
        <f t="shared" si="210"/>
        <v>6.2270000000000003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0.127</v>
      </c>
      <c r="II55" s="734" cm="1">
        <f t="array" ref="II55">IFERROR(ROUND(VALUE(IF($IH55&lt;1,$IH55+LARGE((IF($M$9:$M$150="",0,$M$9:$M$150)-MOD(IF($M$9:$M$150="",0,$M$9:$M$150),1)),1),$IH55)),4),"")</f>
        <v>6.1269999999999998</v>
      </c>
      <c r="IJ55" s="533">
        <f t="shared" si="112"/>
        <v>1613</v>
      </c>
      <c r="IK55" s="533" t="str">
        <f t="shared" si="382"/>
        <v>CPS-32193r1</v>
      </c>
      <c r="IL55" s="727">
        <f t="shared" si="225"/>
        <v>18.809397284259035</v>
      </c>
      <c r="IM55" s="759">
        <v>3.7381402619856603E-5</v>
      </c>
      <c r="IN55" s="5">
        <f t="shared" si="226"/>
        <v>0</v>
      </c>
      <c r="IO55" s="771">
        <v>0</v>
      </c>
      <c r="IP55" s="9">
        <f t="shared" si="227"/>
        <v>-3.1194094081387744</v>
      </c>
      <c r="IQ55" s="5">
        <f t="shared" si="228"/>
        <v>-1.9384058462320319</v>
      </c>
      <c r="IR55" s="5">
        <f t="shared" si="383"/>
        <v>0.314</v>
      </c>
      <c r="IS55" s="5">
        <f t="shared" si="229"/>
        <v>0.27193198865724594</v>
      </c>
      <c r="IT55" s="727">
        <f t="shared" si="230"/>
        <v>89.999987005609754</v>
      </c>
      <c r="IU55" s="9">
        <f t="shared" si="231"/>
        <v>-3.1350094551885173</v>
      </c>
      <c r="IV55" s="5">
        <f t="shared" si="232"/>
        <v>-1.9488058775985269</v>
      </c>
      <c r="IW55" s="5">
        <f t="shared" si="384"/>
        <v>0.25700000000000001</v>
      </c>
      <c r="IX55" s="5">
        <f t="shared" si="233"/>
        <v>0.25700000000000001</v>
      </c>
      <c r="IY55" s="762">
        <f t="shared" si="234"/>
        <v>89.999987005609597</v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8.8521302156295611E-2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0.96319157450909376</v>
      </c>
      <c r="F156" s="170">
        <f t="shared" si="929"/>
        <v>-9.85937775369886E-2</v>
      </c>
      <c r="G156" s="170">
        <f t="shared" si="929"/>
        <v>-0.25008250203818705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0.94354213553732036</v>
      </c>
      <c r="F157" s="170">
        <f t="shared" si="929"/>
        <v>-0.27375549594973014</v>
      </c>
      <c r="G157" s="170">
        <f t="shared" si="929"/>
        <v>-0.18651050078478235</v>
      </c>
      <c r="H157" s="139"/>
      <c r="I157" s="86"/>
      <c r="J157" s="79">
        <f t="shared" si="930"/>
        <v>1.1140000000000001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0.87535475931432161</v>
      </c>
      <c r="F158" s="170">
        <f t="shared" si="929"/>
        <v>-0.46843870861610415</v>
      </c>
      <c r="G158" s="170">
        <f t="shared" si="929"/>
        <v>-0.1196629500549059</v>
      </c>
      <c r="H158" s="139"/>
      <c r="I158" s="86"/>
      <c r="J158" s="79">
        <f t="shared" si="930"/>
        <v>1.1200000000000001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0.83635509572550426</v>
      </c>
      <c r="F159" s="170">
        <f t="shared" si="929"/>
        <v>-0.54818806431184708</v>
      </c>
      <c r="G159" s="170">
        <f t="shared" si="929"/>
        <v>-1.1339743349348273E-7</v>
      </c>
      <c r="H159" s="139"/>
      <c r="I159" s="86"/>
      <c r="J159" s="79">
        <f t="shared" si="930"/>
        <v>1.1259999999999999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0.75493196243267735</v>
      </c>
      <c r="F160" s="170">
        <f t="shared" si="929"/>
        <v>-0.61161420322185145</v>
      </c>
      <c r="G160" s="170">
        <f t="shared" si="929"/>
        <v>-0.23665544260558766</v>
      </c>
      <c r="H160" s="139"/>
      <c r="I160" s="86"/>
      <c r="J160" s="79">
        <f t="shared" si="930"/>
        <v>1.214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0.64260467437292168</v>
      </c>
      <c r="F161" s="170">
        <f t="shared" si="929"/>
        <v>-0.7531875130363509</v>
      </c>
      <c r="G161" s="170">
        <f t="shared" si="929"/>
        <v>-0.14059801805213423</v>
      </c>
      <c r="H161" s="139"/>
      <c r="I161" s="86"/>
      <c r="J161" s="79">
        <f t="shared" si="930"/>
        <v>1.22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-0.37545089797896758</v>
      </c>
      <c r="F162" s="170">
        <f t="shared" si="929"/>
        <v>-0.92684228604802854</v>
      </c>
      <c r="G162" s="170">
        <f t="shared" si="929"/>
        <v>-2.2679489842109141E-7</v>
      </c>
      <c r="H162" s="139"/>
      <c r="I162" s="86"/>
      <c r="J162" s="79">
        <f t="shared" si="930"/>
        <v>1.226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0.49956815751842348</v>
      </c>
      <c r="F163" s="170">
        <f t="shared" si="929"/>
        <v>-0.8275511331395452</v>
      </c>
      <c r="G163" s="170">
        <f t="shared" si="929"/>
        <v>-0.25610696599878435</v>
      </c>
      <c r="H163" s="139"/>
      <c r="I163" s="86"/>
      <c r="J163" s="79">
        <f t="shared" si="930"/>
        <v>2.1070000000000002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0.34223184049255612</v>
      </c>
      <c r="F164" s="170">
        <f t="shared" si="929"/>
        <v>-0.92167633672017701</v>
      </c>
      <c r="G164" s="170">
        <f t="shared" si="929"/>
        <v>-0.1827295752831285</v>
      </c>
      <c r="H164" s="139"/>
      <c r="I164" s="86"/>
      <c r="J164" s="79">
        <f t="shared" si="930"/>
        <v>2.113</v>
      </c>
    </row>
    <row r="165" spans="5:16" x14ac:dyDescent="0.25">
      <c r="E165" s="170">
        <f t="shared" si="929"/>
        <v>0.15682679858310913</v>
      </c>
      <c r="F165" s="170">
        <f t="shared" si="929"/>
        <v>-0.97926381150265396</v>
      </c>
      <c r="G165" s="170">
        <f t="shared" si="929"/>
        <v>-0.12824875331740138</v>
      </c>
      <c r="H165" s="139"/>
      <c r="I165" s="86"/>
      <c r="J165" s="79">
        <f t="shared" si="930"/>
        <v>2.1190000000000002</v>
      </c>
    </row>
    <row r="166" spans="5:16" x14ac:dyDescent="0.25">
      <c r="E166" s="170">
        <f t="shared" si="929"/>
        <v>3.0664201794397716E-2</v>
      </c>
      <c r="F166" s="170">
        <f t="shared" si="929"/>
        <v>-0.99952974279322959</v>
      </c>
      <c r="G166" s="170">
        <f t="shared" si="929"/>
        <v>-1.133974339709957E-7</v>
      </c>
      <c r="H166" s="139"/>
      <c r="I166" s="86"/>
      <c r="J166" s="79">
        <f t="shared" si="930"/>
        <v>2.125</v>
      </c>
    </row>
    <row r="167" spans="5:16" x14ac:dyDescent="0.25">
      <c r="E167" s="170">
        <f t="shared" si="929"/>
        <v>-0.70574747096829871</v>
      </c>
      <c r="F167" s="170">
        <f t="shared" si="929"/>
        <v>-0.16231227721249197</v>
      </c>
      <c r="G167" s="170">
        <f t="shared" si="929"/>
        <v>-0.68961962840970936</v>
      </c>
      <c r="H167" s="139"/>
      <c r="I167" s="86"/>
      <c r="J167" s="79">
        <f t="shared" si="930"/>
        <v>2.2189999999999999</v>
      </c>
    </row>
    <row r="168" spans="5:16" x14ac:dyDescent="0.25">
      <c r="E168" s="170">
        <f t="shared" si="929"/>
        <v>-0.97457454143730149</v>
      </c>
      <c r="F168" s="170">
        <f t="shared" si="929"/>
        <v>-0.22406352488127598</v>
      </c>
      <c r="G168" s="170">
        <f t="shared" si="929"/>
        <v>-2.2679489804065805E-7</v>
      </c>
      <c r="H168" s="139"/>
      <c r="I168" s="86"/>
      <c r="J168" s="79">
        <f t="shared" si="930"/>
        <v>2.2250000000000001</v>
      </c>
    </row>
    <row r="169" spans="5:16" x14ac:dyDescent="0.25">
      <c r="E169" s="170">
        <f t="shared" si="929"/>
        <v>-0.42495023251139558</v>
      </c>
      <c r="F169" s="170">
        <f t="shared" si="929"/>
        <v>-0.87000995181435825</v>
      </c>
      <c r="G169" s="170">
        <f t="shared" si="929"/>
        <v>-0.24999996726497561</v>
      </c>
      <c r="H169" s="139"/>
      <c r="I169" s="86"/>
      <c r="J169" s="79">
        <f t="shared" si="930"/>
        <v>3.1030000000000002</v>
      </c>
    </row>
    <row r="170" spans="5:16" x14ac:dyDescent="0.25">
      <c r="E170" s="170">
        <f t="shared" si="929"/>
        <v>-0.51498805371858425</v>
      </c>
      <c r="F170" s="170">
        <f t="shared" si="929"/>
        <v>-0.81723742438526359</v>
      </c>
      <c r="G170" s="170">
        <f t="shared" si="929"/>
        <v>-0.25867024705459474</v>
      </c>
      <c r="H170" s="139"/>
      <c r="I170" s="86"/>
      <c r="J170" s="79">
        <f t="shared" si="930"/>
        <v>3.1059999999999999</v>
      </c>
    </row>
    <row r="171" spans="5:16" x14ac:dyDescent="0.25">
      <c r="E171" s="170">
        <f t="shared" si="929"/>
        <v>-0.66920874294288513</v>
      </c>
      <c r="F171" s="170">
        <f t="shared" si="929"/>
        <v>-0.71550744193174665</v>
      </c>
      <c r="G171" s="170">
        <f t="shared" si="929"/>
        <v>-0.20052121810195525</v>
      </c>
      <c r="H171" s="139"/>
      <c r="I171" s="86"/>
      <c r="J171" s="79">
        <f t="shared" si="930"/>
        <v>3.1120000000000001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-0.79772646280279569</v>
      </c>
      <c r="F172" s="170">
        <f t="shared" si="929"/>
        <v>-0.58803335684296421</v>
      </c>
      <c r="G172" s="170">
        <f t="shared" si="929"/>
        <v>-0.13360112942686991</v>
      </c>
      <c r="H172" s="139"/>
      <c r="I172" s="86"/>
      <c r="J172" s="79">
        <f t="shared" si="930"/>
        <v>3.1179999999999999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-0.89668927525583786</v>
      </c>
      <c r="F173" s="170">
        <f t="shared" si="929"/>
        <v>-0.44127488285496846</v>
      </c>
      <c r="G173" s="170">
        <f t="shared" si="929"/>
        <v>-3.4997448514057644E-2</v>
      </c>
      <c r="H173" s="139"/>
      <c r="I173" s="86"/>
      <c r="J173" s="79">
        <f t="shared" si="930"/>
        <v>3.1240000000000001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-0.8929223376082297</v>
      </c>
      <c r="F174" s="170">
        <f t="shared" si="933"/>
        <v>-0.45021072732692852</v>
      </c>
      <c r="G174" s="170">
        <f t="shared" si="933"/>
        <v>-1.1339743219625393E-7</v>
      </c>
      <c r="H174" s="139"/>
      <c r="I174" s="86"/>
      <c r="J174" s="79">
        <f t="shared" si="930"/>
        <v>3.13</v>
      </c>
    </row>
    <row r="175" spans="5:16" x14ac:dyDescent="0.25">
      <c r="E175" s="170">
        <f t="shared" si="933"/>
        <v>-0.89123499685271945</v>
      </c>
      <c r="F175" s="170">
        <f t="shared" si="933"/>
        <v>-0.37194877888461259</v>
      </c>
      <c r="G175" s="170">
        <f t="shared" si="933"/>
        <v>-0.25952704342934801</v>
      </c>
      <c r="H175" s="139"/>
      <c r="I175" s="86"/>
      <c r="J175" s="79">
        <f t="shared" si="930"/>
        <v>3.2120000000000002</v>
      </c>
    </row>
    <row r="176" spans="5:16" x14ac:dyDescent="0.25">
      <c r="E176" s="170">
        <f t="shared" si="933"/>
        <v>-0.95354190621989643</v>
      </c>
      <c r="F176" s="170">
        <f t="shared" si="933"/>
        <v>-0.25417747059213208</v>
      </c>
      <c r="G176" s="170">
        <f t="shared" si="933"/>
        <v>-0.16171470720349568</v>
      </c>
      <c r="H176" s="139"/>
      <c r="I176" s="86"/>
      <c r="J176" s="79">
        <f t="shared" si="930"/>
        <v>3.218</v>
      </c>
    </row>
    <row r="177" spans="5:10" x14ac:dyDescent="0.25">
      <c r="E177" s="170">
        <f t="shared" si="933"/>
        <v>-0.55488122868667777</v>
      </c>
      <c r="F177" s="170">
        <f t="shared" si="933"/>
        <v>0.71658949295895202</v>
      </c>
      <c r="G177" s="170">
        <f t="shared" si="933"/>
        <v>-0.42261841019055829</v>
      </c>
      <c r="H177" s="139"/>
      <c r="I177" s="86"/>
      <c r="J177" s="79">
        <f t="shared" si="930"/>
        <v>3.2240000000000002</v>
      </c>
    </row>
    <row r="178" spans="5:10" x14ac:dyDescent="0.25">
      <c r="E178" s="170">
        <f t="shared" si="933"/>
        <v>-0.61494351602975206</v>
      </c>
      <c r="F178" s="170">
        <f t="shared" si="933"/>
        <v>0.78857115854747994</v>
      </c>
      <c r="G178" s="170">
        <f t="shared" si="933"/>
        <v>-2.2679489662556518E-7</v>
      </c>
      <c r="H178" s="139"/>
      <c r="I178" s="86"/>
      <c r="J178" s="79">
        <f t="shared" si="930"/>
        <v>3.23</v>
      </c>
    </row>
    <row r="179" spans="5:10" x14ac:dyDescent="0.25">
      <c r="E179" s="170">
        <f t="shared" si="933"/>
        <v>-0.95699961426239277</v>
      </c>
      <c r="F179" s="170">
        <f t="shared" si="933"/>
        <v>0.19322476017291074</v>
      </c>
      <c r="G179" s="170">
        <f t="shared" si="933"/>
        <v>-0.21636989244752342</v>
      </c>
      <c r="H179" s="139"/>
      <c r="I179" s="86"/>
      <c r="J179" s="79">
        <f t="shared" si="930"/>
        <v>4.1109999999999998</v>
      </c>
    </row>
    <row r="180" spans="5:10" x14ac:dyDescent="0.25">
      <c r="E180" s="170">
        <f t="shared" si="933"/>
        <v>-0.91715972474973673</v>
      </c>
      <c r="F180" s="170">
        <f t="shared" si="933"/>
        <v>0.37022736851057902</v>
      </c>
      <c r="G180" s="170">
        <f t="shared" si="933"/>
        <v>-0.14747791327083265</v>
      </c>
      <c r="H180" s="139"/>
      <c r="I180" s="86"/>
      <c r="J180" s="79">
        <f t="shared" si="930"/>
        <v>4.117</v>
      </c>
    </row>
    <row r="181" spans="5:10" x14ac:dyDescent="0.25">
      <c r="E181" s="170">
        <f t="shared" si="933"/>
        <v>-0.84850151981795596</v>
      </c>
      <c r="F181" s="170">
        <f t="shared" si="933"/>
        <v>0.52635826177736289</v>
      </c>
      <c r="G181" s="170">
        <f t="shared" si="933"/>
        <v>-5.4700558729614795E-2</v>
      </c>
      <c r="H181" s="139"/>
      <c r="I181" s="86"/>
      <c r="J181" s="79">
        <f t="shared" si="930"/>
        <v>4.1230000000000002</v>
      </c>
    </row>
    <row r="182" spans="5:10" x14ac:dyDescent="0.25">
      <c r="E182" s="170">
        <f t="shared" si="933"/>
        <v>-0.83635484707290741</v>
      </c>
      <c r="F182" s="170">
        <f t="shared" si="933"/>
        <v>0.54818844367392583</v>
      </c>
      <c r="G182" s="170">
        <f t="shared" si="933"/>
        <v>-1.1339743358786059E-7</v>
      </c>
      <c r="H182" s="139"/>
      <c r="I182" s="86"/>
      <c r="J182" s="79">
        <f t="shared" si="930"/>
        <v>4.1289999999999996</v>
      </c>
    </row>
    <row r="183" spans="5:10" x14ac:dyDescent="0.25">
      <c r="E183" s="170">
        <f t="shared" si="933"/>
        <v>0.32977719356607316</v>
      </c>
      <c r="F183" s="170">
        <f t="shared" si="933"/>
        <v>0.81188685780746739</v>
      </c>
      <c r="G183" s="170">
        <f t="shared" si="933"/>
        <v>-0.48175380924617722</v>
      </c>
      <c r="H183" s="139"/>
      <c r="I183" s="86"/>
      <c r="J183" s="79">
        <f t="shared" si="930"/>
        <v>4.2229999999999999</v>
      </c>
    </row>
    <row r="184" spans="5:10" x14ac:dyDescent="0.25">
      <c r="E184" s="170">
        <f t="shared" si="933"/>
        <v>0.37545131838513013</v>
      </c>
      <c r="F184" s="170">
        <f t="shared" si="933"/>
        <v>0.92684211574723796</v>
      </c>
      <c r="G184" s="170">
        <f t="shared" si="933"/>
        <v>-2.267948966866857E-7</v>
      </c>
      <c r="H184" s="139"/>
      <c r="I184" s="86"/>
      <c r="J184" s="79">
        <f t="shared" si="930"/>
        <v>4.2290000000000001</v>
      </c>
    </row>
    <row r="185" spans="5:10" x14ac:dyDescent="0.25">
      <c r="E185" s="170">
        <f t="shared" si="933"/>
        <v>-0.4689289905900646</v>
      </c>
      <c r="F185" s="170">
        <f t="shared" si="933"/>
        <v>0.84711605943441681</v>
      </c>
      <c r="G185" s="170">
        <f t="shared" si="933"/>
        <v>-0.24999996726497567</v>
      </c>
      <c r="H185" s="139"/>
      <c r="I185" s="86"/>
      <c r="J185" s="79">
        <f t="shared" si="930"/>
        <v>5.1020000000000003</v>
      </c>
    </row>
    <row r="186" spans="5:10" x14ac:dyDescent="0.25">
      <c r="E186" s="170">
        <f t="shared" si="933"/>
        <v>-0.43883538093766761</v>
      </c>
      <c r="F186" s="170">
        <f t="shared" si="933"/>
        <v>0.86114894007685661</v>
      </c>
      <c r="G186" s="170">
        <f t="shared" si="933"/>
        <v>-0.25660477673223192</v>
      </c>
      <c r="H186" s="139"/>
      <c r="I186" s="86"/>
      <c r="J186" s="79">
        <f t="shared" si="930"/>
        <v>5.1050000000000004</v>
      </c>
    </row>
    <row r="187" spans="5:10" x14ac:dyDescent="0.25">
      <c r="E187" s="170">
        <f t="shared" si="933"/>
        <v>-0.25816142741440512</v>
      </c>
      <c r="F187" s="170">
        <f t="shared" si="933"/>
        <v>0.93825678992958639</v>
      </c>
      <c r="G187" s="170">
        <f t="shared" si="933"/>
        <v>-0.23027564688083088</v>
      </c>
      <c r="H187" s="139"/>
      <c r="I187" s="86"/>
      <c r="J187" s="79">
        <f t="shared" si="930"/>
        <v>5.1100000000000003</v>
      </c>
    </row>
    <row r="188" spans="5:10" x14ac:dyDescent="0.25">
      <c r="E188" s="170">
        <f t="shared" si="933"/>
        <v>-8.1690879843452704E-2</v>
      </c>
      <c r="F188" s="170">
        <f t="shared" si="933"/>
        <v>0.98374507293264402</v>
      </c>
      <c r="G188" s="170">
        <f t="shared" si="933"/>
        <v>-0.15991320030300696</v>
      </c>
      <c r="H188" s="139"/>
      <c r="I188" s="86"/>
      <c r="J188" s="79">
        <f t="shared" si="930"/>
        <v>5.1159999999999997</v>
      </c>
    </row>
    <row r="189" spans="5:10" x14ac:dyDescent="0.25">
      <c r="E189" s="170">
        <f t="shared" si="933"/>
        <v>0.10010522985712013</v>
      </c>
      <c r="F189" s="170">
        <f t="shared" si="933"/>
        <v>0.99202707974856275</v>
      </c>
      <c r="G189" s="170">
        <f t="shared" si="933"/>
        <v>-7.6558578884354758E-2</v>
      </c>
      <c r="H189" s="139"/>
      <c r="I189" s="86"/>
      <c r="J189" s="79">
        <f t="shared" si="930"/>
        <v>5.1219999999999999</v>
      </c>
    </row>
    <row r="190" spans="5:10" x14ac:dyDescent="0.25">
      <c r="E190" s="170">
        <f t="shared" si="933"/>
        <v>0.14336817469288618</v>
      </c>
      <c r="F190" s="170">
        <f t="shared" si="933"/>
        <v>0.98966942283027881</v>
      </c>
      <c r="G190" s="170">
        <f t="shared" si="933"/>
        <v>-1.1339743364175565E-7</v>
      </c>
      <c r="H190" s="139"/>
      <c r="I190" s="86"/>
      <c r="J190" s="79">
        <f t="shared" si="930"/>
        <v>5.1280000000000001</v>
      </c>
    </row>
    <row r="191" spans="5:10" x14ac:dyDescent="0.25">
      <c r="E191" s="170">
        <f t="shared" si="933"/>
        <v>0.18003852568458761</v>
      </c>
      <c r="F191" s="170">
        <f t="shared" si="933"/>
        <v>0.93669069833612695</v>
      </c>
      <c r="G191" s="170">
        <f t="shared" si="933"/>
        <v>-0.30032759600126507</v>
      </c>
      <c r="H191" s="139"/>
      <c r="I191" s="86"/>
      <c r="J191" s="79">
        <f t="shared" si="930"/>
        <v>5.21</v>
      </c>
    </row>
    <row r="192" spans="5:10" x14ac:dyDescent="0.25">
      <c r="E192" s="170">
        <f t="shared" si="933"/>
        <v>0.29101641185775617</v>
      </c>
      <c r="F192" s="170">
        <f t="shared" si="933"/>
        <v>0.93608456950066754</v>
      </c>
      <c r="G192" s="170">
        <f t="shared" si="933"/>
        <v>-0.19762369992535531</v>
      </c>
      <c r="H192" s="139"/>
      <c r="I192" s="86"/>
      <c r="J192" s="79">
        <f t="shared" si="930"/>
        <v>5.2160000000000002</v>
      </c>
    </row>
    <row r="193" spans="5:10" x14ac:dyDescent="0.25">
      <c r="E193" s="170">
        <f t="shared" si="933"/>
        <v>0.8422362083301933</v>
      </c>
      <c r="F193" s="170">
        <f t="shared" si="933"/>
        <v>4.4126737097725167E-2</v>
      </c>
      <c r="G193" s="170">
        <f t="shared" si="933"/>
        <v>-0.53729973055147506</v>
      </c>
      <c r="H193" s="139"/>
      <c r="I193" s="86"/>
      <c r="J193" s="79">
        <f t="shared" si="930"/>
        <v>5.2220000000000004</v>
      </c>
    </row>
    <row r="194" spans="5:10" x14ac:dyDescent="0.25">
      <c r="E194" s="170">
        <f t="shared" ref="E194:G213" si="934">E49*-1</f>
        <v>0.99867678707303442</v>
      </c>
      <c r="F194" s="170">
        <f t="shared" si="934"/>
        <v>5.1426403349152688E-2</v>
      </c>
      <c r="G194" s="170">
        <f t="shared" si="934"/>
        <v>-2.2679489576940463E-7</v>
      </c>
      <c r="H194" s="139"/>
      <c r="I194" s="86"/>
      <c r="J194" s="79">
        <f t="shared" si="930"/>
        <v>5.2279999999999998</v>
      </c>
    </row>
    <row r="195" spans="5:10" x14ac:dyDescent="0.25">
      <c r="E195" s="170">
        <f t="shared" si="934"/>
        <v>0.59414329989525982</v>
      </c>
      <c r="F195" s="170">
        <f t="shared" si="934"/>
        <v>0.76725612456061765</v>
      </c>
      <c r="G195" s="170">
        <f t="shared" si="934"/>
        <v>-0.24147831893110686</v>
      </c>
      <c r="H195" s="139"/>
      <c r="I195" s="86"/>
      <c r="J195" s="79">
        <f t="shared" si="930"/>
        <v>6.109</v>
      </c>
    </row>
    <row r="196" spans="5:10" x14ac:dyDescent="0.25">
      <c r="E196" s="170">
        <f t="shared" si="934"/>
        <v>0.73730655818931023</v>
      </c>
      <c r="F196" s="170">
        <f t="shared" si="934"/>
        <v>0.65378360933163493</v>
      </c>
      <c r="G196" s="170">
        <f t="shared" si="934"/>
        <v>-0.17013533266295236</v>
      </c>
      <c r="H196" s="139"/>
      <c r="I196" s="86"/>
      <c r="J196" s="79">
        <f t="shared" si="930"/>
        <v>6.1150000000000002</v>
      </c>
    </row>
    <row r="197" spans="5:10" x14ac:dyDescent="0.25">
      <c r="E197" s="170">
        <f t="shared" si="934"/>
        <v>0.85743854608835857</v>
      </c>
      <c r="F197" s="170">
        <f t="shared" si="934"/>
        <v>0.50487511476539759</v>
      </c>
      <c r="G197" s="170">
        <f t="shared" si="934"/>
        <v>-9.9500041067872011E-2</v>
      </c>
      <c r="H197" s="139"/>
      <c r="I197" s="86"/>
      <c r="J197" s="79">
        <f t="shared" si="930"/>
        <v>6.1210000000000004</v>
      </c>
    </row>
    <row r="198" spans="5:10" x14ac:dyDescent="0.25">
      <c r="E198" s="170">
        <f t="shared" si="934"/>
        <v>0.89292233760822948</v>
      </c>
      <c r="F198" s="170">
        <f t="shared" si="934"/>
        <v>0.45021072732692891</v>
      </c>
      <c r="G198" s="170">
        <f t="shared" si="934"/>
        <v>-1.1339743226839978E-7</v>
      </c>
      <c r="H198" s="139"/>
      <c r="I198" s="86"/>
      <c r="J198" s="79">
        <f t="shared" si="930"/>
        <v>6.1269999999999998</v>
      </c>
    </row>
    <row r="199" spans="5:10" x14ac:dyDescent="0.25">
      <c r="E199" s="170">
        <f t="shared" si="934"/>
        <v>0.49626007074009909</v>
      </c>
      <c r="F199" s="170">
        <f t="shared" si="934"/>
        <v>-0.63501669992873055</v>
      </c>
      <c r="G199" s="170">
        <f t="shared" si="934"/>
        <v>-0.59201328785818352</v>
      </c>
      <c r="H199" s="139"/>
      <c r="I199" s="86"/>
      <c r="J199" s="79">
        <f t="shared" si="930"/>
        <v>6.2210000000000001</v>
      </c>
    </row>
    <row r="200" spans="5:10" x14ac:dyDescent="0.25">
      <c r="E200" s="170">
        <f t="shared" si="934"/>
        <v>0.61494351602975228</v>
      </c>
      <c r="F200" s="170">
        <f t="shared" si="934"/>
        <v>-0.78857115854747983</v>
      </c>
      <c r="G200" s="170">
        <f t="shared" si="934"/>
        <v>-2.2679489692928652E-7</v>
      </c>
      <c r="H200" s="139"/>
      <c r="I200" s="86"/>
      <c r="J200" s="79">
        <f t="shared" si="930"/>
        <v>6.2270000000000003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2420A876-4A7C-49A1-A9E0-E48E166DD6B6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0D143794-38EC-4E5F-9E41-9A88B462AF13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6.75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1.1140000000000001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1.1200000000000001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1.1259999999999999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1.214</v>
      </c>
      <c r="N170" s="869">
        <f>Assy.Model!K15</f>
        <v>1308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1.22</v>
      </c>
      <c r="N171" s="869">
        <f>Assy.Model!K16</f>
        <v>1308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1.226</v>
      </c>
      <c r="N172" s="869" t="str">
        <f>Assy.Model!K17</f>
        <v>CPS-32193r1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2.1070000000000002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2.113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2.1190000000000002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2.125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2.2189999999999999</v>
      </c>
      <c r="N177" s="869" t="str">
        <f>Assy.Model!K22</f>
        <v>CPS-32193r1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2.2250000000000001</v>
      </c>
      <c r="N178" s="869" t="str">
        <f>Assy.Model!K23</f>
        <v>CPS-32193r1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3.1030000000000002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3.1059999999999999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3.1120000000000001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3.1179999999999999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3.1240000000000001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3.13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3.2120000000000002</v>
      </c>
      <c r="N185" s="869">
        <f>Assy.Model!K30</f>
        <v>1308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3.218</v>
      </c>
      <c r="N186" s="869">
        <f>Assy.Model!K31</f>
        <v>1308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3.2240000000000002</v>
      </c>
      <c r="N187" s="869" t="str">
        <f>Assy.Model!K32</f>
        <v>CPS-32193r1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3.23</v>
      </c>
      <c r="N188" s="869" t="str">
        <f>Assy.Model!K33</f>
        <v>CPS-32193r1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4.1109999999999998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4.117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4.1230000000000002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4.1289999999999996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4.2229999999999999</v>
      </c>
      <c r="N193" s="869" t="str">
        <f>Assy.Model!K38</f>
        <v>CPS-32193r1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4.2290000000000001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5.1020000000000003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5.1050000000000004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5.1100000000000003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5.1159999999999997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5.1219999999999999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5.1280000000000001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5.21</v>
      </c>
      <c r="N201" s="869">
        <f>Assy.Model!K46</f>
        <v>1308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5.2160000000000002</v>
      </c>
      <c r="N202" s="869">
        <f>Assy.Model!K47</f>
        <v>1308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5.2220000000000004</v>
      </c>
      <c r="N203" s="869" t="str">
        <f>Assy.Model!K48</f>
        <v>CPS-32193r1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5.2279999999999998</v>
      </c>
      <c r="N204" s="869" t="str">
        <f>Assy.Model!K49</f>
        <v>CPS-32193r1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6.109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6.1150000000000002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6.1210000000000004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6.1269999999999998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6.2210000000000001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6.2270000000000003</v>
      </c>
      <c r="N210" s="869" t="str">
        <f>Assy.Model!K55</f>
        <v>CPS-32193r1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2023-03-28T18:15:50Z</dcterms:modified>
</cp:coreProperties>
</file>