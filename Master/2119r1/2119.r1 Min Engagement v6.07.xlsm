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19\"/>
    </mc:Choice>
  </mc:AlternateContent>
  <xr:revisionPtr revIDLastSave="0" documentId="13_ncr:1_{9893FDAD-5560-48C3-9E58-358B4BF8940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Q73" i="1"/>
  <c r="IP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P91" i="1"/>
  <c r="IW91" i="1"/>
  <c r="IR91" i="1"/>
  <c r="IN91" i="1"/>
  <c r="IU11" i="1"/>
  <c r="IE11" i="1" s="1"/>
  <c r="IS11" i="1"/>
  <c r="IY11" i="1"/>
  <c r="IT11" i="1"/>
  <c r="IR11" i="1"/>
  <c r="IX11" i="1"/>
  <c r="IP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P105" i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Q70" i="1"/>
  <c r="IP70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W71" i="1"/>
  <c r="IK71" i="1"/>
  <c r="IP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P104" i="1"/>
  <c r="IQ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Q72" i="1"/>
  <c r="IW72" i="1"/>
  <c r="IK72" i="1"/>
  <c r="IR72" i="1"/>
  <c r="IP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K103" i="1"/>
  <c r="IN103" i="1"/>
  <c r="IW103" i="1"/>
  <c r="IR103" i="1"/>
  <c r="IQ103" i="1"/>
  <c r="IP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Q88" i="1"/>
  <c r="IR88" i="1"/>
  <c r="IW88" i="1"/>
  <c r="IP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N11" i="1"/>
  <c r="IK11" i="1"/>
  <c r="JA23" i="1" s="1" a="1"/>
  <c r="JA23" i="1" s="1"/>
  <c r="JA9" i="1" a="1"/>
  <c r="JA9" i="1" s="1"/>
  <c r="IF129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4" i="1"/>
  <c r="IF12" i="1"/>
  <c r="IF50" i="1"/>
  <c r="IF133" i="1"/>
  <c r="IF149" i="1"/>
  <c r="IF130" i="1"/>
  <c r="IF132" i="1"/>
  <c r="IF119" i="1"/>
  <c r="IF32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Q77" i="1"/>
  <c r="IV71" i="1"/>
  <c r="IQ75" i="1"/>
  <c r="IV69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12" i="1" l="1"/>
  <c r="IV105" i="1"/>
  <c r="IQ111" i="1"/>
  <c r="IV104" i="1"/>
  <c r="AQ91" i="1"/>
  <c r="IU91" i="1"/>
  <c r="IE91" i="1" s="1"/>
  <c r="IQ98" i="1"/>
  <c r="IV89" i="1"/>
  <c r="IQ97" i="1"/>
  <c r="IV88" i="1"/>
  <c r="IQ96" i="1"/>
  <c r="IV87" i="1"/>
  <c r="AD86" i="1"/>
  <c r="AH86" i="1" s="1"/>
  <c r="IQ95" i="1"/>
  <c r="IV86" i="1"/>
  <c r="IQ94" i="1"/>
  <c r="IV85" i="1"/>
  <c r="IQ78" i="1"/>
  <c r="IV72" i="1"/>
  <c r="IQ76" i="1"/>
  <c r="IV70" i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03" i="1" l="1"/>
  <c r="IU103" i="1"/>
  <c r="IE103" i="1" s="1"/>
  <c r="AQ73" i="1"/>
  <c r="IU73" i="1"/>
  <c r="IE73" i="1" s="1"/>
  <c r="IP59" i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IL103" i="1" s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72" i="1"/>
  <c r="IL73" i="1"/>
  <c r="IL71" i="1"/>
  <c r="IL70" i="1"/>
  <c r="IL69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IT73" i="1" s="1"/>
  <c r="U65" i="1"/>
  <c r="T65" i="1"/>
  <c r="AL65" i="1"/>
  <c r="AN65" i="1" s="1"/>
  <c r="IT72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98" i="1" l="1"/>
  <c r="IT105" i="1"/>
  <c r="IT112" i="1"/>
  <c r="IY105" i="1"/>
  <c r="IT111" i="1"/>
  <c r="IY104" i="1"/>
  <c r="IY97" i="1"/>
  <c r="IT104" i="1"/>
  <c r="IY96" i="1"/>
  <c r="IT103" i="1"/>
  <c r="IY83" i="1"/>
  <c r="IT91" i="1"/>
  <c r="IY82" i="1"/>
  <c r="IT90" i="1"/>
  <c r="IT99" i="1"/>
  <c r="IY90" i="1"/>
  <c r="IT98" i="1"/>
  <c r="IY89" i="1"/>
  <c r="IS98" i="1"/>
  <c r="IX89" i="1"/>
  <c r="IY81" i="1"/>
  <c r="IT89" i="1"/>
  <c r="IT97" i="1"/>
  <c r="IY88" i="1"/>
  <c r="IT96" i="1"/>
  <c r="IY87" i="1"/>
  <c r="IT95" i="1"/>
  <c r="IY86" i="1"/>
  <c r="IT94" i="1"/>
  <c r="IY85" i="1"/>
  <c r="IS94" i="1"/>
  <c r="IX85" i="1"/>
  <c r="IY77" i="1"/>
  <c r="IT85" i="1"/>
  <c r="IT78" i="1"/>
  <c r="IY72" i="1"/>
  <c r="IY64" i="1"/>
  <c r="IT71" i="1"/>
  <c r="IS77" i="1"/>
  <c r="IX71" i="1"/>
  <c r="IT77" i="1"/>
  <c r="IY71" i="1"/>
  <c r="IF55" i="1"/>
  <c r="IY63" i="1"/>
  <c r="IT70" i="1"/>
  <c r="IY62" i="1"/>
  <c r="IT69" i="1"/>
  <c r="IT37" i="1"/>
  <c r="IT38" i="1"/>
  <c r="IT2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IS73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IS37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98" i="1" l="1"/>
  <c r="IF98" i="1" s="1"/>
  <c r="IS105" i="1"/>
  <c r="IS112" i="1"/>
  <c r="IX105" i="1"/>
  <c r="IF105" i="1"/>
  <c r="IS111" i="1"/>
  <c r="IX104" i="1"/>
  <c r="IF104" i="1" s="1"/>
  <c r="IX97" i="1"/>
  <c r="IF97" i="1" s="1"/>
  <c r="IS104" i="1"/>
  <c r="IX96" i="1"/>
  <c r="IF96" i="1" s="1"/>
  <c r="IS103" i="1"/>
  <c r="IX83" i="1"/>
  <c r="IF83" i="1" s="1"/>
  <c r="IS91" i="1"/>
  <c r="IF89" i="1"/>
  <c r="IS99" i="1"/>
  <c r="IX90" i="1"/>
  <c r="IF90" i="1" s="1"/>
  <c r="IX82" i="1"/>
  <c r="IF82" i="1" s="1"/>
  <c r="IS90" i="1"/>
  <c r="IX81" i="1"/>
  <c r="IF81" i="1" s="1"/>
  <c r="IS89" i="1"/>
  <c r="IS97" i="1"/>
  <c r="IX88" i="1"/>
  <c r="IF88" i="1" s="1"/>
  <c r="IS96" i="1"/>
  <c r="IX87" i="1"/>
  <c r="IF87" i="1" s="1"/>
  <c r="IS95" i="1"/>
  <c r="IX86" i="1"/>
  <c r="IF86" i="1" s="1"/>
  <c r="IF85" i="1"/>
  <c r="IX77" i="1"/>
  <c r="IF77" i="1" s="1"/>
  <c r="IS85" i="1"/>
  <c r="IF71" i="1"/>
  <c r="IS78" i="1"/>
  <c r="IX72" i="1"/>
  <c r="IF72" i="1" s="1"/>
  <c r="IX64" i="1"/>
  <c r="IF64" i="1" s="1"/>
  <c r="IS71" i="1"/>
  <c r="IX63" i="1"/>
  <c r="IF63" i="1" s="1"/>
  <c r="IS70" i="1"/>
  <c r="IX62" i="1"/>
  <c r="IF62" i="1" s="1"/>
  <c r="IS69" i="1"/>
  <c r="IS75" i="1"/>
  <c r="IX69" i="1"/>
  <c r="IF69" i="1" s="1"/>
  <c r="IT60" i="1"/>
  <c r="IY57" i="1"/>
  <c r="IF57" i="1" s="1"/>
  <c r="IS52" i="1"/>
  <c r="IS56" i="1"/>
  <c r="IT29" i="1"/>
  <c r="IT55" i="1"/>
  <c r="IS54" i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<sst xmlns="http://schemas.openxmlformats.org/spreadsheetml/2006/main" count="734" uniqueCount="391">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</sst>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0" fontId="26" fillId="0" borderId="0" xfId="0" applyNumberFormat="1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topLeftCell="S1" zoomScaleNormal="100" workbookViewId="0">
      <selection activeCell="AP34" sqref="AP3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58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1.111's θ about Z Axis</v>
      </c>
      <c r="U5" s="1137"/>
      <c r="V5" s="1138"/>
      <c r="W5" s="1137" t="str">
        <f>CONCATENATE("Relative to ",M8,"'s θ about Z Axis")</f>
        <v>Relative to 1.111's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89.873000018336541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-0.29840089997711439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0.34180103087190916</v>
      </c>
      <c r="D9" s="704">
        <v>-0.88120265770721573</v>
      </c>
      <c r="E9" s="705">
        <v>-0.93969263802333458</v>
      </c>
      <c r="F9" s="703">
        <v>-8.8521302156295584E-2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0.34180103087190916</v>
      </c>
      <c r="P9" s="625">
        <f t="shared" ref="P9:P40" si="4">IF(M9="","",D9)</f>
        <v>-0.88120265770721573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0.34180103087190916</v>
      </c>
      <c r="S9" s="626">
        <f>IF(M9="","",P9)</f>
        <v>-0.88120265770721573</v>
      </c>
      <c r="T9" s="627">
        <f>IF(M9="","",X9*COS(RADIANS(W9)))</f>
        <v>0.34180019120846422</v>
      </c>
      <c r="U9" s="624">
        <f>IF(M9="","",X9*SIN(RADIANS(W9)))</f>
        <v>7.5762454890101181E-4</v>
      </c>
      <c r="V9" s="628">
        <f>IF(M9="","",Y9)</f>
        <v>-0.88120265770721573</v>
      </c>
      <c r="W9" s="583">
        <f t="shared" ref="W9:W14" si="5">IF(M9="","",IF(Q9-$Q$8&lt;0,360+Q9-$Q$8,Q9-$Q$8))</f>
        <v>0.12699998166345949</v>
      </c>
      <c r="X9" s="629">
        <f>IF(M9="","",R9)</f>
        <v>0.34180103087190916</v>
      </c>
      <c r="Y9" s="630">
        <f>IF(M9="","",S9)</f>
        <v>-0.88120265770721573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-0.33036604714967344</v>
      </c>
      <c r="AG9" s="599">
        <f>IF(M9="","",DEGREES(ATAN2(-AF9,AE9)))</f>
        <v>14.999997834268264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-0.33036604714967344</v>
      </c>
      <c r="AN9" s="581">
        <f>IF(M9="","",DEGREES(ATAN2(-AM9,AL9)))</f>
        <v>14.999997834268264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6.6398628838871803</v>
      </c>
      <c r="AS9" s="51">
        <f>IF(M9="","",W9)</f>
        <v>0.12699998166345949</v>
      </c>
      <c r="AT9" s="71">
        <f t="shared" ref="AT9:AT40" si="10">IF(M9="","",Y9+(((AS9-$AS$9)*$AS$6)*-1))</f>
        <v>-0.88120265770721573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1.0550031818895966</v>
      </c>
      <c r="D10" s="709">
        <v>-0.69370209220551005</v>
      </c>
      <c r="E10" s="710">
        <v>-0.96592583607220739</v>
      </c>
      <c r="F10" s="708">
        <v>-6.6987279208207184E-2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1.0550031818895966</v>
      </c>
      <c r="P10" s="633">
        <f t="shared" si="4"/>
        <v>-0.69370209220551005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1.0550031818895966</v>
      </c>
      <c r="S10" s="634">
        <f t="shared" ref="S10:S105" si="80">IF(M10="","",P10)</f>
        <v>-0.69370209220551005</v>
      </c>
      <c r="T10" s="635">
        <f t="shared" ref="T10:T105" si="81">IF(M10="","",X10*COS(RADIANS(W10)))</f>
        <v>1.0550005901841126</v>
      </c>
      <c r="U10" s="629">
        <f t="shared" ref="U10:U105" si="82">IF(M10="","",X10*SIN(RADIANS(W10)))</f>
        <v>2.338484198626587E-3</v>
      </c>
      <c r="V10" s="636">
        <f>IF(M10="","",Y10)</f>
        <v>-0.69370209220551005</v>
      </c>
      <c r="W10" s="585">
        <f t="shared" si="5"/>
        <v>0.12699998166345949</v>
      </c>
      <c r="X10" s="629">
        <f t="shared" ref="X10:X105" si="83">IF(M10="","",R10)</f>
        <v>1.0550031818895966</v>
      </c>
      <c r="Y10" s="630">
        <f>IF(M10="","",S10)</f>
        <v>-0.69370209220551005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2.1598481602611144</v>
      </c>
      <c r="AS10" s="52">
        <f>IF($M10="","",IF(AND($W10&lt;($AS$9+180),$W10&gt;($AS$9-180)),$W10,IF($W10&gt;($AS$9+180),$W10-360,IF($W10&lt;($AS$9-180),$W10+360,"Error"))))</f>
        <v>0.12699998166345949</v>
      </c>
      <c r="AT10" s="72">
        <f t="shared" si="10"/>
        <v>-0.69370209220551005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1513</v>
      </c>
      <c r="JB10" s="787" cm="1">
        <f t="array" ref="JB10">IF($JA10="","",COUNT(IF(IF($II$9:$II$150="",$IJ$9:$IJ$150,"")=$JA10,$IG$9:$IG$150,"")))</f>
        <v>49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1.7681053326056833</v>
      </c>
      <c r="D11" s="709">
        <v>-0.50620152670380458</v>
      </c>
      <c r="E11" s="710">
        <v>-0.96592583607220739</v>
      </c>
      <c r="F11" s="708">
        <v>-6.6987279208207184E-2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1.7681053326056833</v>
      </c>
      <c r="P11" s="633">
        <f t="shared" si="4"/>
        <v>-0.50620152670380458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1.7681053326056833</v>
      </c>
      <c r="S11" s="634">
        <f t="shared" si="80"/>
        <v>-0.50620152670380458</v>
      </c>
      <c r="T11" s="635">
        <f t="shared" si="81"/>
        <v>1.7681009891038195</v>
      </c>
      <c r="U11" s="629">
        <f t="shared" si="82"/>
        <v>3.9191221910821498E-3</v>
      </c>
      <c r="V11" s="636">
        <f t="shared" ref="V11:V105" si="114">IF(M11="","",Y11)</f>
        <v>-0.50620152670380458</v>
      </c>
      <c r="W11" s="585">
        <f t="shared" si="5"/>
        <v>0.12699998166345949</v>
      </c>
      <c r="X11" s="629">
        <f>IF(M11="","",R11)</f>
        <v>1.7681053326056833</v>
      </c>
      <c r="Y11" s="630">
        <f>IF(M11="","",S11)</f>
        <v>-0.50620152670380458</v>
      </c>
      <c r="Z11" s="632">
        <f t="shared" si="6"/>
        <v>0.96592583607220739</v>
      </c>
      <c r="AA11" s="629">
        <f t="shared" si="7"/>
        <v>6.6987279208207184E-2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6.6987279208207184E-2</v>
      </c>
      <c r="AF11" s="633">
        <f t="shared" si="86"/>
        <v>-0.24999996726497561</v>
      </c>
      <c r="AG11" s="602">
        <f>IF(M11="","",DEGREES(ATAN2(-AF11,AE11)))</f>
        <v>14.999997834268264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6.6987279208207184E-2</v>
      </c>
      <c r="AM11" s="634">
        <f t="shared" si="92"/>
        <v>-0.24999996726497561</v>
      </c>
      <c r="AN11" s="581">
        <f>IF(M11="","",DEGREES(ATAN2(-AM11,AL11)))</f>
        <v>14.999997834268264</v>
      </c>
      <c r="AO11" s="582">
        <f>IF(ROUND(IF(M11="",0,DEGREES(ACOS(AK11))),4)=90,0,IF(M11="","",DEGREES(ACOS(AK11))))</f>
        <v>14.999997834268255</v>
      </c>
      <c r="AP11" s="585">
        <f t="shared" si="95"/>
        <v>3.9671296450865703</v>
      </c>
      <c r="AQ11" s="586">
        <f t="shared" si="9"/>
        <v>1.2891437403696993</v>
      </c>
      <c r="AS11" s="52">
        <f t="shared" ref="AS11:AS42" si="116">IF(G11="","",IF(AND(W11&lt;(AS10+180),W11&gt;(AS10-180)),W11,IF(W11&gt;(AS10+180),W11-360,IF(W11&lt;(AS10-180),W11+360,"Error"))))</f>
        <v>0.12699998166345949</v>
      </c>
      <c r="AT11" s="72">
        <f t="shared" si="10"/>
        <v>-0.50620152670380458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5.4680631939265072E-3</v>
      </c>
      <c r="C12" s="708">
        <v>2.4669013800238737</v>
      </c>
      <c r="D12" s="709">
        <v>-0.29840089997711439</v>
      </c>
      <c r="E12" s="710">
        <v>-0.96580934072943048</v>
      </c>
      <c r="F12" s="708">
        <v>-4.434990290149847E-2</v>
      </c>
      <c r="G12" s="711">
        <v>0.25543179808397115</v>
      </c>
      <c r="H12" s="710">
        <v>0.28999999999999998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1513</v>
      </c>
      <c r="L12" s="773" t="s">
        <v>366</v>
      </c>
      <c r="M12" s="168">
        <f t="shared" si="1"/>
        <v>1.111</v>
      </c>
      <c r="N12" s="632">
        <f t="shared" si="2"/>
        <v>5.4680631939265072E-3</v>
      </c>
      <c r="O12" s="629">
        <f t="shared" si="3"/>
        <v>2.4669013800238737</v>
      </c>
      <c r="P12" s="633">
        <f t="shared" si="4"/>
        <v>-0.29840089997711439</v>
      </c>
      <c r="Q12" s="585">
        <f>IF(M12="","",IF(DEGREES(ATAN2(N12,O12))&lt;0,DEGREES(ATAN2(N12,O12))+360,IF(DEGREES(ATAN2(N12,O12))&gt;360,DEGREES(ATAN2(N12,O12))-360,DEGREES(ATAN2(N12,O12)))))</f>
        <v>89.873000018336541</v>
      </c>
      <c r="R12" s="629">
        <f t="shared" si="79"/>
        <v>2.466907440192839</v>
      </c>
      <c r="S12" s="634">
        <f t="shared" si="80"/>
        <v>-0.29840089997711439</v>
      </c>
      <c r="T12" s="635">
        <f>IF(M12="","",X12*COS(RADIANS(W12)))</f>
        <v>2.466907440192839</v>
      </c>
      <c r="U12" s="629">
        <f t="shared" si="82"/>
        <v>0</v>
      </c>
      <c r="V12" s="636">
        <f t="shared" si="114"/>
        <v>-0.29840089997711439</v>
      </c>
      <c r="W12" s="585">
        <f>IF(M12="","",IF(Q12-$Q$8&lt;0,360+Q12-$Q$8,Q12-$Q$8))</f>
        <v>0</v>
      </c>
      <c r="X12" s="629">
        <f t="shared" si="83"/>
        <v>2.466907440192839</v>
      </c>
      <c r="Y12" s="630">
        <f>IF(M12="","",S12)</f>
        <v>-0.29840089997711439</v>
      </c>
      <c r="Z12" s="632">
        <f t="shared" si="6"/>
        <v>0.96580934072943048</v>
      </c>
      <c r="AA12" s="629">
        <f t="shared" si="7"/>
        <v>4.434990290149847E-2</v>
      </c>
      <c r="AB12" s="629">
        <f t="shared" si="8"/>
        <v>-0.25543179808397115</v>
      </c>
      <c r="AC12" s="636">
        <f t="shared" si="84"/>
        <v>1</v>
      </c>
      <c r="AD12" s="637">
        <f t="shared" si="115"/>
        <v>0.96580934072943048</v>
      </c>
      <c r="AE12" s="629">
        <f t="shared" si="85"/>
        <v>4.434990290149847E-2</v>
      </c>
      <c r="AF12" s="633">
        <f t="shared" si="86"/>
        <v>-0.25543179808397115</v>
      </c>
      <c r="AG12" s="602">
        <f t="shared" si="87"/>
        <v>9.8499082757751903</v>
      </c>
      <c r="AH12" s="603">
        <f t="shared" si="88"/>
        <v>15.025765242263464</v>
      </c>
      <c r="AI12" s="585">
        <f t="shared" si="89"/>
        <v>-75.20082728559909</v>
      </c>
      <c r="AJ12" s="586">
        <f t="shared" si="90"/>
        <v>92.629171561115712</v>
      </c>
      <c r="AK12" s="635">
        <f t="shared" ref="AK12:AK105" si="211">IF(M12="","",(COS(RADIANS((90-$Q$8)-W12))*AD12)+(-SIN(RADIANS((90-$Q$8)-W12))*AE12))</f>
        <v>0.96570866364870322</v>
      </c>
      <c r="AL12" s="629">
        <f>IF(M12="","",(SIN(RADIANS((90-$Q$8)-W12))*AD12)+(COS(RADIANS((90-$Q$8)-W12))*AE12))</f>
        <v>4.6490574113740843E-2</v>
      </c>
      <c r="AM12" s="634">
        <f t="shared" si="92"/>
        <v>-0.25543179808397115</v>
      </c>
      <c r="AN12" s="581">
        <f>IF(M12="","",DEGREES(ATAN2(-AM12,AL12)))</f>
        <v>10.315361585584359</v>
      </c>
      <c r="AO12" s="582">
        <f t="shared" si="94"/>
        <v>15.047999110108748</v>
      </c>
      <c r="AP12" s="585">
        <f t="shared" si="95"/>
        <v>2.7561715427791733</v>
      </c>
      <c r="AQ12" s="586">
        <f t="shared" si="9"/>
        <v>0.92404317226638577</v>
      </c>
      <c r="AS12" s="52">
        <f t="shared" si="116"/>
        <v>0</v>
      </c>
      <c r="AT12" s="72">
        <f>IF(M12="","",Y12+(((AS12-$AS$9)*$AS$6)*-1))</f>
        <v>-0.29831270554540368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1513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3.3958962447466351E-2</v>
      </c>
      <c r="C13" s="708">
        <v>3.1636272863966544</v>
      </c>
      <c r="D13" s="709">
        <v>-0.1152003474442479</v>
      </c>
      <c r="E13" s="710">
        <v>-0.96485087233243372</v>
      </c>
      <c r="F13" s="708">
        <v>3.194695104993768E-3</v>
      </c>
      <c r="G13" s="711">
        <v>0.26277859137024051</v>
      </c>
      <c r="H13" s="710">
        <v>0.28999999999999998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1513</v>
      </c>
      <c r="L13" s="774">
        <f>IF($L12=$JH$22,$JH$29,IF($L12=$JI$22,$JI$29,""))</f>
        <v>60</v>
      </c>
      <c r="M13" s="168">
        <f t="shared" si="1"/>
        <v>1.117</v>
      </c>
      <c r="N13" s="632">
        <f t="shared" si="2"/>
        <v>3.3958962447466351E-2</v>
      </c>
      <c r="O13" s="629">
        <f t="shared" si="3"/>
        <v>3.1636272863966544</v>
      </c>
      <c r="P13" s="633">
        <f t="shared" si="4"/>
        <v>-0.1152003474442479</v>
      </c>
      <c r="Q13" s="585">
        <f t="shared" si="113"/>
        <v>89.38500008879501</v>
      </c>
      <c r="R13" s="629">
        <f t="shared" si="79"/>
        <v>3.1638095420495791</v>
      </c>
      <c r="S13" s="634">
        <f t="shared" si="80"/>
        <v>-0.1152003474442479</v>
      </c>
      <c r="T13" s="635">
        <f>IF(M13="","",X13*COS(RADIANS(W13)))</f>
        <v>3.1636947869579042</v>
      </c>
      <c r="U13" s="629">
        <f t="shared" si="82"/>
        <v>-2.6946490297421011E-2</v>
      </c>
      <c r="V13" s="636">
        <f t="shared" si="114"/>
        <v>-0.1152003474442479</v>
      </c>
      <c r="W13" s="585">
        <f t="shared" si="5"/>
        <v>359.51200007045844</v>
      </c>
      <c r="X13" s="629">
        <f t="shared" si="83"/>
        <v>3.1638095420495791</v>
      </c>
      <c r="Y13" s="630">
        <f>IF(M13="","",S13)</f>
        <v>-0.1152003474442479</v>
      </c>
      <c r="Z13" s="632">
        <f t="shared" si="6"/>
        <v>0.96485087233243372</v>
      </c>
      <c r="AA13" s="629">
        <f t="shared" si="7"/>
        <v>-3.194695104993768E-3</v>
      </c>
      <c r="AB13" s="629">
        <f t="shared" si="8"/>
        <v>-0.26277859137024051</v>
      </c>
      <c r="AC13" s="636">
        <f t="shared" si="84"/>
        <v>1</v>
      </c>
      <c r="AD13" s="637">
        <f>IF(M13="","",Z13*(1/SQRT(Z13^2+AA13^2+AB13^2)))</f>
        <v>0.96485087233243372</v>
      </c>
      <c r="AE13" s="629">
        <f t="shared" si="85"/>
        <v>-3.194695104993768E-3</v>
      </c>
      <c r="AF13" s="633">
        <f t="shared" si="86"/>
        <v>-0.26277859137024051</v>
      </c>
      <c r="AG13" s="602">
        <f>IF(M13="","",DEGREES(ATAN2(-AF13,AE13)))</f>
        <v>-0.69653135822137879</v>
      </c>
      <c r="AH13" s="603">
        <f t="shared" si="88"/>
        <v>15.236151165194146</v>
      </c>
      <c r="AI13" s="585">
        <f t="shared" si="89"/>
        <v>-74.765001980172926</v>
      </c>
      <c r="AJ13" s="586">
        <f t="shared" si="90"/>
        <v>89.810289980878835</v>
      </c>
      <c r="AK13" s="635">
        <f t="shared" si="211"/>
        <v>0.96482958122950391</v>
      </c>
      <c r="AL13" s="629">
        <f t="shared" si="91"/>
        <v>7.1617806425821415E-3</v>
      </c>
      <c r="AM13" s="634">
        <f t="shared" si="92"/>
        <v>-0.26277859137024051</v>
      </c>
      <c r="AN13" s="581">
        <f t="shared" si="93"/>
        <v>1.5611555336277387</v>
      </c>
      <c r="AO13" s="582">
        <f t="shared" si="94"/>
        <v>15.240792406446959</v>
      </c>
      <c r="AP13" s="585">
        <f t="shared" si="95"/>
        <v>0.42528989208385648</v>
      </c>
      <c r="AQ13" s="586">
        <f t="shared" si="9"/>
        <v>0.72052581707318697</v>
      </c>
      <c r="AS13" s="52">
        <f t="shared" si="116"/>
        <v>-0.48799992954155869</v>
      </c>
      <c r="AT13" s="72">
        <f t="shared" si="10"/>
        <v>-0.11477326417257774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1513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8.8955344670924058E-2</v>
      </c>
      <c r="C14" s="708">
        <v>3.8810924059510121</v>
      </c>
      <c r="D14" s="709">
        <v>-5.7900174626926683E-2</v>
      </c>
      <c r="E14" s="710">
        <v>-0.96133099158938606</v>
      </c>
      <c r="F14" s="708">
        <v>0.10360564101326231</v>
      </c>
      <c r="G14" s="711">
        <v>0.25516386060725543</v>
      </c>
      <c r="H14" s="710">
        <v>0.28999999999999998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1513</v>
      </c>
      <c r="L14" s="776" t="s">
        <v>367</v>
      </c>
      <c r="M14" s="168">
        <f t="shared" si="1"/>
        <v>1.123</v>
      </c>
      <c r="N14" s="632">
        <f t="shared" si="2"/>
        <v>8.8955344670924058E-2</v>
      </c>
      <c r="O14" s="629">
        <f t="shared" si="3"/>
        <v>3.8810924059510121</v>
      </c>
      <c r="P14" s="633">
        <f t="shared" si="4"/>
        <v>-5.7900174626926683E-2</v>
      </c>
      <c r="Q14" s="585">
        <f t="shared" si="113"/>
        <v>88.687000189573723</v>
      </c>
      <c r="R14" s="629">
        <f t="shared" si="79"/>
        <v>3.882111708448913</v>
      </c>
      <c r="S14" s="634">
        <f t="shared" si="80"/>
        <v>-5.7900174626926683E-2</v>
      </c>
      <c r="T14" s="635">
        <f t="shared" si="81"/>
        <v>3.8812800471096569</v>
      </c>
      <c r="U14" s="629">
        <f t="shared" si="82"/>
        <v>-8.0352428616655924E-2</v>
      </c>
      <c r="V14" s="636">
        <f t="shared" si="114"/>
        <v>-5.7900174626926683E-2</v>
      </c>
      <c r="W14" s="585">
        <f t="shared" si="5"/>
        <v>358.81400017123718</v>
      </c>
      <c r="X14" s="629">
        <f t="shared" si="83"/>
        <v>3.882111708448913</v>
      </c>
      <c r="Y14" s="630">
        <f t="shared" ref="Y14:Y75" si="223">IF(M14="","",S14)</f>
        <v>-5.7900174626926683E-2</v>
      </c>
      <c r="Z14" s="632">
        <f t="shared" si="6"/>
        <v>0.96133099158938606</v>
      </c>
      <c r="AA14" s="629">
        <f t="shared" si="7"/>
        <v>-0.10360564101326231</v>
      </c>
      <c r="AB14" s="629">
        <f t="shared" si="8"/>
        <v>-0.25516386060725543</v>
      </c>
      <c r="AC14" s="636">
        <f t="shared" si="84"/>
        <v>1</v>
      </c>
      <c r="AD14" s="637">
        <f>IF(M14="","",Z14*(1/SQRT(Z14^2+AA14^2+AB14^2)))</f>
        <v>0.96133099158938606</v>
      </c>
      <c r="AE14" s="629">
        <f t="shared" si="85"/>
        <v>-0.10360564101326231</v>
      </c>
      <c r="AF14" s="633">
        <f t="shared" si="86"/>
        <v>-0.25516386060725543</v>
      </c>
      <c r="AG14" s="602">
        <f t="shared" si="87"/>
        <v>-22.09890925764115</v>
      </c>
      <c r="AH14" s="603">
        <f t="shared" si="88"/>
        <v>15.985589433671963</v>
      </c>
      <c r="AI14" s="585">
        <f t="shared" si="89"/>
        <v>-75.216705124763536</v>
      </c>
      <c r="AJ14" s="586">
        <f t="shared" si="90"/>
        <v>83.848797218276431</v>
      </c>
      <c r="AK14" s="635">
        <f>IF(M14="","",(COS(RADIANS((90-$Q$8)-W14))*AD14)+(-SIN(RADIANS((90-$Q$8)-W14))*AE14))</f>
        <v>0.96345261740639299</v>
      </c>
      <c r="AL14" s="629">
        <f t="shared" si="91"/>
        <v>-8.1550341831115758E-2</v>
      </c>
      <c r="AM14" s="634">
        <f t="shared" si="92"/>
        <v>-0.25516386060725543</v>
      </c>
      <c r="AN14" s="581">
        <f t="shared" si="93"/>
        <v>-17.723874033311521</v>
      </c>
      <c r="AO14" s="582">
        <f t="shared" si="94"/>
        <v>15.538082277694699</v>
      </c>
      <c r="AP14" s="585">
        <f>IF(M14="","",DEGREES(ATAN2(AK14,AL14)))</f>
        <v>-4.83820297129731</v>
      </c>
      <c r="AQ14" s="586">
        <f t="shared" si="9"/>
        <v>0.58721824149715141</v>
      </c>
      <c r="AS14" s="52">
        <f t="shared" si="116"/>
        <v>-1.1859998287628173</v>
      </c>
      <c r="AT14" s="72">
        <f t="shared" si="10"/>
        <v>-5.6988369203019543E-2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1513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0.16704769452085549</v>
      </c>
      <c r="C15" s="708">
        <v>4.5752652812770531</v>
      </c>
      <c r="D15" s="709">
        <v>-0.24400073590621954</v>
      </c>
      <c r="E15" s="710">
        <v>-0.95530099206121355</v>
      </c>
      <c r="F15" s="708">
        <v>0.19412276220566618</v>
      </c>
      <c r="G15" s="711">
        <v>0.22297167479414001</v>
      </c>
      <c r="H15" s="710">
        <v>0.28999999999999998</v>
      </c>
      <c r="I15" s="708">
        <v>0.52</v>
      </c>
      <c r="J15" s="570">
        <v>1.129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1513</v>
      </c>
      <c r="L15" s="873">
        <f>IF($L14=$JH$22,$JH$29,IF($L14=$JI$22,$JI$29,""))</f>
        <v>30</v>
      </c>
      <c r="M15" s="168">
        <f t="shared" si="1"/>
        <v>1.129</v>
      </c>
      <c r="N15" s="632">
        <f t="shared" si="2"/>
        <v>0.16704769452085549</v>
      </c>
      <c r="O15" s="629">
        <f t="shared" si="3"/>
        <v>4.5752652812770531</v>
      </c>
      <c r="P15" s="633">
        <f t="shared" si="4"/>
        <v>-0.24400073590621954</v>
      </c>
      <c r="Q15" s="585">
        <f t="shared" si="113"/>
        <v>87.909000301903006</v>
      </c>
      <c r="R15" s="629">
        <f t="shared" si="79"/>
        <v>4.5783138081944452</v>
      </c>
      <c r="S15" s="634">
        <f t="shared" si="80"/>
        <v>-0.24400073590621954</v>
      </c>
      <c r="T15" s="635">
        <f t="shared" si="81"/>
        <v>4.5756243139894046</v>
      </c>
      <c r="U15" s="629">
        <f t="shared" si="82"/>
        <v>-0.15690590662211792</v>
      </c>
      <c r="V15" s="636">
        <f t="shared" si="114"/>
        <v>-0.24400073590621954</v>
      </c>
      <c r="W15" s="585">
        <f t="shared" ref="W15:W78" si="224">IF(M15="","",IF(Q15-$Q$8&lt;0,360+Q15-$Q$8,Q15-$Q$8))</f>
        <v>358.03600028356647</v>
      </c>
      <c r="X15" s="629">
        <f>IF(M15="","",R15)</f>
        <v>4.5783138081944452</v>
      </c>
      <c r="Y15" s="630">
        <f>IF(M15="","",S15)</f>
        <v>-0.24400073590621954</v>
      </c>
      <c r="Z15" s="632">
        <f t="shared" si="6"/>
        <v>0.95530099206121355</v>
      </c>
      <c r="AA15" s="629">
        <f t="shared" si="7"/>
        <v>-0.19412276220566618</v>
      </c>
      <c r="AB15" s="629">
        <f t="shared" si="8"/>
        <v>-0.22297167479414001</v>
      </c>
      <c r="AC15" s="636">
        <f t="shared" si="84"/>
        <v>1</v>
      </c>
      <c r="AD15" s="637">
        <f t="shared" si="115"/>
        <v>0.95530099206121355</v>
      </c>
      <c r="AE15" s="629">
        <f t="shared" si="85"/>
        <v>-0.19412276220566618</v>
      </c>
      <c r="AF15" s="633">
        <f t="shared" si="86"/>
        <v>-0.22297167479414001</v>
      </c>
      <c r="AG15" s="602">
        <f t="shared" si="87"/>
        <v>-41.043359783261231</v>
      </c>
      <c r="AH15" s="603">
        <f t="shared" si="88"/>
        <v>17.19561472776078</v>
      </c>
      <c r="AI15" s="585">
        <f t="shared" si="89"/>
        <v>-77.116366044371503</v>
      </c>
      <c r="AJ15" s="586">
        <f t="shared" si="90"/>
        <v>78.513559210986472</v>
      </c>
      <c r="AK15" s="635">
        <f t="shared" si="211"/>
        <v>0.9617477976600648</v>
      </c>
      <c r="AL15" s="629">
        <f t="shared" si="91"/>
        <v>-0.15913769489191187</v>
      </c>
      <c r="AM15" s="634">
        <f t="shared" si="92"/>
        <v>-0.22297167479414001</v>
      </c>
      <c r="AN15" s="581">
        <f>IF(M15="","",DEGREES(ATAN2(-AM15,AL15)))</f>
        <v>-35.5159286543416</v>
      </c>
      <c r="AO15" s="582">
        <f t="shared" si="94"/>
        <v>15.898643021304011</v>
      </c>
      <c r="AP15" s="585">
        <f t="shared" si="95"/>
        <v>-9.39544109091654</v>
      </c>
      <c r="AQ15" s="586">
        <f t="shared" si="9"/>
        <v>0.49792769467205217</v>
      </c>
      <c r="AS15" s="52">
        <f t="shared" si="116"/>
        <v>-1.9639997164335341</v>
      </c>
      <c r="AT15" s="72">
        <f t="shared" si="10"/>
        <v>-0.24254865278254106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1513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0.25302705388628816</v>
      </c>
      <c r="C16" s="708">
        <v>5.1661229150051602</v>
      </c>
      <c r="D16" s="709">
        <v>-0.6521019667395318</v>
      </c>
      <c r="E16" s="710">
        <v>-0.93769317426194576</v>
      </c>
      <c r="F16" s="708">
        <v>0.2840721589438312</v>
      </c>
      <c r="G16" s="711">
        <v>0.20008628002825973</v>
      </c>
      <c r="H16" s="710">
        <v>0.28999999999999998</v>
      </c>
      <c r="I16" s="708">
        <v>0.52</v>
      </c>
      <c r="J16" s="570">
        <v>1.135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1513</v>
      </c>
      <c r="L16" s="320"/>
      <c r="M16" s="168">
        <f t="shared" si="1"/>
        <v>1.135</v>
      </c>
      <c r="N16" s="632">
        <f t="shared" si="2"/>
        <v>0.25302705388628816</v>
      </c>
      <c r="O16" s="629">
        <f t="shared" si="3"/>
        <v>5.1661229150051602</v>
      </c>
      <c r="P16" s="633">
        <f t="shared" si="4"/>
        <v>-0.6521019667395318</v>
      </c>
      <c r="Q16" s="585">
        <f>IF(M16="","",IF(DEGREES(ATAN2(N16,O16))&lt;0,DEGREES(ATAN2(N16,O16))+360,IF(DEGREES(ATAN2(N16,O16))&gt;360,DEGREES(ATAN2(N16,O16))-360,DEGREES(ATAN2(N16,O16)))))</f>
        <v>87.196000404847453</v>
      </c>
      <c r="R16" s="629">
        <f t="shared" si="79"/>
        <v>5.1723155997038486</v>
      </c>
      <c r="S16" s="634">
        <f t="shared" si="80"/>
        <v>-0.6521019667395318</v>
      </c>
      <c r="T16" s="635">
        <f t="shared" si="81"/>
        <v>5.1666710751511911</v>
      </c>
      <c r="U16" s="629">
        <f t="shared" si="82"/>
        <v>-0.24157537982132121</v>
      </c>
      <c r="V16" s="636">
        <f t="shared" si="114"/>
        <v>-0.6521019667395318</v>
      </c>
      <c r="W16" s="585">
        <f>IF(M16="","",IF(Q16-$Q$8&lt;0,360+Q16-$Q$8,Q16-$Q$8))</f>
        <v>357.3230003865109</v>
      </c>
      <c r="X16" s="629">
        <f t="shared" si="83"/>
        <v>5.1723155997038486</v>
      </c>
      <c r="Y16" s="630">
        <f t="shared" si="223"/>
        <v>-0.6521019667395318</v>
      </c>
      <c r="Z16" s="632">
        <f t="shared" si="6"/>
        <v>0.93769317426194576</v>
      </c>
      <c r="AA16" s="629">
        <f t="shared" si="7"/>
        <v>-0.2840721589438312</v>
      </c>
      <c r="AB16" s="629">
        <f t="shared" si="8"/>
        <v>-0.20008628002825973</v>
      </c>
      <c r="AC16" s="636">
        <f t="shared" si="84"/>
        <v>1</v>
      </c>
      <c r="AD16" s="637">
        <f t="shared" si="115"/>
        <v>0.93769317426194576</v>
      </c>
      <c r="AE16" s="629">
        <f t="shared" si="85"/>
        <v>-0.2840721589438312</v>
      </c>
      <c r="AF16" s="633">
        <f t="shared" si="86"/>
        <v>-0.20008628002825973</v>
      </c>
      <c r="AG16" s="602">
        <f t="shared" si="87"/>
        <v>-54.841041108220885</v>
      </c>
      <c r="AH16" s="603">
        <f t="shared" si="88"/>
        <v>20.332304840665724</v>
      </c>
      <c r="AI16" s="585">
        <f t="shared" si="89"/>
        <v>-78.457995502178107</v>
      </c>
      <c r="AJ16" s="586">
        <f t="shared" si="90"/>
        <v>73.145926657349392</v>
      </c>
      <c r="AK16" s="635">
        <f t="shared" si="211"/>
        <v>0.95046716340138304</v>
      </c>
      <c r="AL16" s="629">
        <f t="shared" si="91"/>
        <v>-0.2378605722690961</v>
      </c>
      <c r="AM16" s="634">
        <f t="shared" si="92"/>
        <v>-0.20008628002825973</v>
      </c>
      <c r="AN16" s="581">
        <f t="shared" si="93"/>
        <v>-49.929740086274862</v>
      </c>
      <c r="AO16" s="582">
        <f t="shared" si="94"/>
        <v>18.108954941437155</v>
      </c>
      <c r="AP16" s="585">
        <f t="shared" si="95"/>
        <v>-14.050073747498052</v>
      </c>
      <c r="AQ16" s="586">
        <f t="shared" si="9"/>
        <v>0.44074682233840018</v>
      </c>
      <c r="AS16" s="52">
        <f t="shared" si="116"/>
        <v>-2.6769996134891016</v>
      </c>
      <c r="AT16" s="72">
        <f t="shared" si="10"/>
        <v>-0.65015474479845359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1.135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1513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0.32523195549730277</v>
      </c>
      <c r="C17" s="708">
        <v>5.5862573821037182</v>
      </c>
      <c r="D17" s="709">
        <v>-1.2351037250728349</v>
      </c>
      <c r="E17" s="710">
        <v>-0.91246012651741304</v>
      </c>
      <c r="F17" s="708">
        <v>0.373503085244485</v>
      </c>
      <c r="G17" s="711">
        <v>0.167068736838098</v>
      </c>
      <c r="H17" s="710">
        <v>0.28999999999999998</v>
      </c>
      <c r="I17" s="708">
        <v>0.52</v>
      </c>
      <c r="J17" s="570">
        <v>1.141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1513</v>
      </c>
      <c r="M17" s="168">
        <f t="shared" si="1"/>
        <v>1.141</v>
      </c>
      <c r="N17" s="632">
        <f t="shared" si="2"/>
        <v>0.32523195549730277</v>
      </c>
      <c r="O17" s="629">
        <f t="shared" si="3"/>
        <v>5.5862573821037182</v>
      </c>
      <c r="P17" s="633">
        <f t="shared" si="4"/>
        <v>-1.2351037250728349</v>
      </c>
      <c r="Q17" s="585">
        <f>IF(M17="","",IF(DEGREES(ATAN2(N17,O17))&lt;0,DEGREES(ATAN2(N17,O17))+360,IF(DEGREES(ATAN2(N17,O17))&gt;360,DEGREES(ATAN2(N17,O17))-360,DEGREES(ATAN2(N17,O17)))))</f>
        <v>86.668000481081208</v>
      </c>
      <c r="R17" s="629">
        <f>IF(M17="","",SQRT(N17^2+O17^2))</f>
        <v>5.5957168766821006</v>
      </c>
      <c r="S17" s="634">
        <f>IF(M17="","",P17)</f>
        <v>-1.2351037250728349</v>
      </c>
      <c r="T17" s="635">
        <f>IF(M17="","",X17*COS(RADIANS(W17)))</f>
        <v>5.5869645570845465</v>
      </c>
      <c r="U17" s="629">
        <f>IF(M17="","",X17*SIN(RADIANS(W17)))</f>
        <v>-0.31284884827334813</v>
      </c>
      <c r="V17" s="636">
        <f>IF(M17="","",Y17)</f>
        <v>-1.2351037250728349</v>
      </c>
      <c r="W17" s="585">
        <f t="shared" si="224"/>
        <v>356.79500046274467</v>
      </c>
      <c r="X17" s="629">
        <f>IF(M17="","",R17)</f>
        <v>5.5957168766821006</v>
      </c>
      <c r="Y17" s="630">
        <f t="shared" si="223"/>
        <v>-1.2351037250728349</v>
      </c>
      <c r="Z17" s="632">
        <f t="shared" si="6"/>
        <v>0.91246012651741304</v>
      </c>
      <c r="AA17" s="629">
        <f t="shared" si="7"/>
        <v>-0.373503085244485</v>
      </c>
      <c r="AB17" s="629">
        <f t="shared" si="8"/>
        <v>-0.167068736838098</v>
      </c>
      <c r="AC17" s="636">
        <f>IF(M17="","",SQRT(Z17^2+AA17^2+AB17^2))</f>
        <v>1</v>
      </c>
      <c r="AD17" s="637">
        <f>IF(M17="","",Z17*(1/SQRT(Z17^2+AA17^2+AB17^2)))</f>
        <v>0.91246012651741304</v>
      </c>
      <c r="AE17" s="629">
        <f>IF(M17="","",AA17*(1/SQRT(Z17^2+AA17^2+AB17^2)))</f>
        <v>-0.373503085244485</v>
      </c>
      <c r="AF17" s="633">
        <f>IF(M17="","",AB17*(1/SQRT(Z17^2+AA17^2+AB17^2)))</f>
        <v>-0.167068736838098</v>
      </c>
      <c r="AG17" s="602">
        <f>IF(M17="","",DEGREES(ATAN2(-AF17,AE17)))</f>
        <v>-65.900928938759449</v>
      </c>
      <c r="AH17" s="603">
        <f>IF(M17="","",DEGREES(ACOS(AD17)))</f>
        <v>24.152432117863427</v>
      </c>
      <c r="AI17" s="585">
        <f>IF(M17="","",DEGREES(-ACOS(-AF17)))</f>
        <v>-80.382567262158474</v>
      </c>
      <c r="AJ17" s="586">
        <f>IF(M17="","",DEGREES(ATAN2(-AE17,AD17)))</f>
        <v>67.738931393739932</v>
      </c>
      <c r="AK17" s="635">
        <f>IF(M17="","",(COS(RADIANS((90-$Q$8)-W17))*AD17)+(-SIN(RADIANS((90-$Q$8)-W17))*AE17))</f>
        <v>0.93262621598644757</v>
      </c>
      <c r="AL17" s="629">
        <f>IF(M17="","",(SIN(RADIANS((90-$Q$8)-W17))*AD17)+(COS(RADIANS((90-$Q$8)-W17))*AE17))</f>
        <v>-0.31983805031003176</v>
      </c>
      <c r="AM17" s="634">
        <f>IF(M17="","",AF17)</f>
        <v>-0.167068736838098</v>
      </c>
      <c r="AN17" s="581">
        <f>IF(M17="","",DEGREES(ATAN2(-AM17,AL17)))</f>
        <v>-62.419496616693564</v>
      </c>
      <c r="AO17" s="582">
        <f t="shared" si="94"/>
        <v>21.15203364841021</v>
      </c>
      <c r="AP17" s="585">
        <f>IF(M17="","",DEGREES(ATAN2(AK17,AL17)))</f>
        <v>-18.929069087341276</v>
      </c>
      <c r="AQ17" s="586">
        <f t="shared" si="9"/>
        <v>0.40739877699497723</v>
      </c>
      <c r="AS17" s="52">
        <f t="shared" si="116"/>
        <v>-3.2049995372553326</v>
      </c>
      <c r="AT17" s="72">
        <f t="shared" si="10"/>
        <v>-1.2327898365180303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1513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0.36717790060211847</v>
      </c>
      <c r="C18" s="708">
        <v>5.808623999071842</v>
      </c>
      <c r="D18" s="709">
        <v>-1.9238058021982996</v>
      </c>
      <c r="E18" s="710">
        <v>-0.86225856231068654</v>
      </c>
      <c r="F18" s="708">
        <v>0.48782534684754325</v>
      </c>
      <c r="G18" s="711">
        <v>0.13614919278123555</v>
      </c>
      <c r="H18" s="710">
        <v>0.28999999999999998</v>
      </c>
      <c r="I18" s="708">
        <v>0.52</v>
      </c>
      <c r="J18" s="570">
        <v>1.147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1513</v>
      </c>
      <c r="L18" s="779" t="s">
        <v>331</v>
      </c>
      <c r="M18" s="168">
        <f t="shared" si="1"/>
        <v>1.147</v>
      </c>
      <c r="N18" s="632">
        <f t="shared" si="2"/>
        <v>0.36717790060211847</v>
      </c>
      <c r="O18" s="629">
        <f t="shared" si="3"/>
        <v>5.808623999071842</v>
      </c>
      <c r="P18" s="633">
        <f t="shared" si="4"/>
        <v>-1.9238058021982996</v>
      </c>
      <c r="Q18" s="585">
        <f t="shared" si="113"/>
        <v>86.38300052223012</v>
      </c>
      <c r="R18" s="629">
        <f>IF(M18="","",SQRT(N18^2+O18^2))</f>
        <v>5.8202175537761418</v>
      </c>
      <c r="S18" s="634">
        <f>IF(M18="","",P18)</f>
        <v>-1.9238058021982996</v>
      </c>
      <c r="T18" s="635">
        <f>IF(M18="","",X18*COS(RADIANS(W18)))</f>
        <v>5.8094236037464553</v>
      </c>
      <c r="U18" s="629">
        <f>IF(M18="","",X18*SIN(RADIANS(W18)))</f>
        <v>-0.35430180004833295</v>
      </c>
      <c r="V18" s="636">
        <f>IF(M18="","",Y18)</f>
        <v>-1.9238058021982996</v>
      </c>
      <c r="W18" s="585">
        <f t="shared" si="224"/>
        <v>356.51000050389359</v>
      </c>
      <c r="X18" s="629">
        <f>IF(M18="","",R18)</f>
        <v>5.8202175537761418</v>
      </c>
      <c r="Y18" s="630">
        <f t="shared" si="223"/>
        <v>-1.9238058021982996</v>
      </c>
      <c r="Z18" s="632">
        <f t="shared" si="6"/>
        <v>0.86225856231068654</v>
      </c>
      <c r="AA18" s="629">
        <f t="shared" si="7"/>
        <v>-0.48782534684754325</v>
      </c>
      <c r="AB18" s="629">
        <f t="shared" si="8"/>
        <v>-0.13614919278123555</v>
      </c>
      <c r="AC18" s="636">
        <f>IF(M18="","",SQRT(Z18^2+AA18^2+AB18^2))</f>
        <v>1</v>
      </c>
      <c r="AD18" s="637">
        <f>IF(M18="","",Z18*(1/SQRT(Z18^2+AA18^2+AB18^2)))</f>
        <v>0.86225856231068654</v>
      </c>
      <c r="AE18" s="629">
        <f>IF(M18="","",AA18*(1/SQRT(Z18^2+AA18^2+AB18^2)))</f>
        <v>-0.48782534684754325</v>
      </c>
      <c r="AF18" s="633">
        <f>IF(M18="","",AB18*(1/SQRT(Z18^2+AA18^2+AB18^2)))</f>
        <v>-0.13614919278123555</v>
      </c>
      <c r="AG18" s="602">
        <f>IF(M18="","",DEGREES(ATAN2(-AF18,AE18)))</f>
        <v>-74.405893833792234</v>
      </c>
      <c r="AH18" s="603">
        <f>IF(M18="","",DEGREES(ACOS(AD18)))</f>
        <v>30.428872134169698</v>
      </c>
      <c r="AI18" s="585">
        <f>IF(M18="","",DEGREES(-ACOS(-AF18)))</f>
        <v>-82.17492261868108</v>
      </c>
      <c r="AJ18" s="586">
        <f>IF(M18="","",DEGREES(ATAN2(-AE18,AD18)))</f>
        <v>60.500859517945955</v>
      </c>
      <c r="AK18" s="635">
        <f>IF(M18="","",(COS(RADIANS((90-$Q$8)-W18))*AD18)+(-SIN(RADIANS((90-$Q$8)-W18))*AE18))</f>
        <v>0.89131624672573972</v>
      </c>
      <c r="AL18" s="629">
        <f>IF(M18="","",(SIN(RADIANS((90-$Q$8)-W18))*AD18)+(COS(RADIANS((90-$Q$8)-W18))*AE18))</f>
        <v>-0.43245664017073232</v>
      </c>
      <c r="AM18" s="634">
        <f>IF(M18="","",AF18)</f>
        <v>-0.13614919278123555</v>
      </c>
      <c r="AN18" s="581">
        <f>IF(M18="","",DEGREES(ATAN2(-AM18,AL18)))</f>
        <v>-72.524570515361944</v>
      </c>
      <c r="AO18" s="582">
        <f t="shared" si="94"/>
        <v>26.960885322959925</v>
      </c>
      <c r="AP18" s="585">
        <f>IF(M18="","",DEGREES(ATAN2(AK18,AL18)))</f>
        <v>-25.882141004284186</v>
      </c>
      <c r="AQ18" s="586">
        <f t="shared" si="9"/>
        <v>0.39168486359431032</v>
      </c>
      <c r="AS18" s="52">
        <f t="shared" si="116"/>
        <v>-3.4899994961064067</v>
      </c>
      <c r="AT18" s="72">
        <f t="shared" si="10"/>
        <v>-1.9212939970054037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1.147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1513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0.38621923191627111</v>
      </c>
      <c r="C19" s="708">
        <v>5.9052013334556284</v>
      </c>
      <c r="D19" s="709">
        <v>-2.6772080744595526</v>
      </c>
      <c r="E19" s="710">
        <v>-0.7799719319909133</v>
      </c>
      <c r="F19" s="708">
        <v>0.6258144975201082</v>
      </c>
      <c r="G19" s="711">
        <v>1.3008419224102447E-7</v>
      </c>
      <c r="H19" s="710">
        <v>0.28999999999999998</v>
      </c>
      <c r="I19" s="708">
        <v>0.52</v>
      </c>
      <c r="J19" s="570">
        <v>1.153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1513</v>
      </c>
      <c r="L19" s="775" t="s">
        <v>366</v>
      </c>
      <c r="M19" s="168">
        <f t="shared" si="1"/>
        <v>1.153</v>
      </c>
      <c r="N19" s="632">
        <f t="shared" si="2"/>
        <v>0.38621923191627111</v>
      </c>
      <c r="O19" s="629">
        <f t="shared" si="3"/>
        <v>5.9052013334556284</v>
      </c>
      <c r="P19" s="633">
        <f t="shared" si="4"/>
        <v>-2.6772080744595526</v>
      </c>
      <c r="Q19" s="585">
        <f t="shared" si="113"/>
        <v>86.258000540277877</v>
      </c>
      <c r="R19" s="629">
        <f>IF(M19="","",SQRT(N19^2+O19^2))</f>
        <v>5.9178178481386299</v>
      </c>
      <c r="S19" s="634">
        <f>IF(M19="","",P19)</f>
        <v>-2.6772080744595526</v>
      </c>
      <c r="T19" s="635">
        <f>IF(M19="","",X19*COS(RADIANS(W19)))</f>
        <v>5.9060429072476355</v>
      </c>
      <c r="U19" s="629">
        <f>IF(M19="","",X19*SIN(RADIANS(W19)))</f>
        <v>-0.37312901454862385</v>
      </c>
      <c r="V19" s="636">
        <f>IF(M19="","",Y19)</f>
        <v>-2.6772080744595526</v>
      </c>
      <c r="W19" s="585">
        <f t="shared" si="224"/>
        <v>356.38500052194132</v>
      </c>
      <c r="X19" s="629">
        <f>IF(M19="","",R19)</f>
        <v>5.9178178481386299</v>
      </c>
      <c r="Y19" s="630">
        <f t="shared" si="223"/>
        <v>-2.6772080744595526</v>
      </c>
      <c r="Z19" s="632">
        <f t="shared" si="6"/>
        <v>0.7799719319909133</v>
      </c>
      <c r="AA19" s="629">
        <f t="shared" si="7"/>
        <v>-0.6258144975201082</v>
      </c>
      <c r="AB19" s="629">
        <f t="shared" si="8"/>
        <v>-1.3008419224102447E-7</v>
      </c>
      <c r="AC19" s="636">
        <f>IF(M19="","",SQRT(Z19^2+AA19^2+AB19^2))</f>
        <v>1</v>
      </c>
      <c r="AD19" s="637">
        <f>IF(M19="","",Z19*(1/SQRT(Z19^2+AA19^2+AB19^2)))</f>
        <v>0.7799719319909133</v>
      </c>
      <c r="AE19" s="629">
        <f>IF(M19="","",AA19*(1/SQRT(Z19^2+AA19^2+AB19^2)))</f>
        <v>-0.6258144975201082</v>
      </c>
      <c r="AF19" s="633">
        <f>IF(M19="","",AB19*(1/SQRT(Z19^2+AA19^2+AB19^2)))</f>
        <v>-1.3008419224102447E-7</v>
      </c>
      <c r="AG19" s="602">
        <f>IF(M19="","",DEGREES(ATAN2(-AF19,AE19)))</f>
        <v>-89.999988090280397</v>
      </c>
      <c r="AH19" s="603">
        <f>IF(M19="","",DEGREES(ACOS(AD19)))</f>
        <v>38.741994406347985</v>
      </c>
      <c r="AI19" s="585">
        <f>IF(M19="","",DEGREES(-ACOS(-AF19)))</f>
        <v>-89.999992546724798</v>
      </c>
      <c r="AJ19" s="586">
        <f>IF(M19="","",DEGREES(ATAN2(-AE19,AD19)))</f>
        <v>51.258005593652605</v>
      </c>
      <c r="AK19" s="635">
        <f>IF(M19="","",(COS(RADIANS((90-$Q$8)-W19))*AD19)+(-SIN(RADIANS((90-$Q$8)-W19))*AE19))</f>
        <v>0.81915209487729213</v>
      </c>
      <c r="AL19" s="629">
        <f>IF(M19="","",(SIN(RADIANS((90-$Q$8)-W19))*AD19)+(COS(RADIANS((90-$Q$8)-W19))*AE19))</f>
        <v>-0.57357636410344448</v>
      </c>
      <c r="AM19" s="634">
        <f>IF(M19="","",AF19)</f>
        <v>-1.3008419224102447E-7</v>
      </c>
      <c r="AN19" s="581">
        <f>IF(M19="","",DEGREES(ATAN2(-AM19,AL19)))</f>
        <v>-89.999987005609611</v>
      </c>
      <c r="AO19" s="582">
        <f t="shared" si="94"/>
        <v>34.999994946625939</v>
      </c>
      <c r="AP19" s="585">
        <f>IF(M19="","",DEGREES(ATAN2(AK19,AL19)))</f>
        <v>-34.999994946625257</v>
      </c>
      <c r="AQ19" s="586">
        <f t="shared" si="9"/>
        <v>0.38522515205170216</v>
      </c>
      <c r="AS19" s="52">
        <f t="shared" si="116"/>
        <v>-3.6149994780586781</v>
      </c>
      <c r="AT19" s="72">
        <f t="shared" si="10"/>
        <v>-2.6746094637236344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1.153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1513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1.0620522205407406</v>
      </c>
      <c r="C20" s="708">
        <v>2.2219466314138145</v>
      </c>
      <c r="D20" s="709">
        <v>-0.30242166589760855</v>
      </c>
      <c r="E20" s="710">
        <v>-0.11161623564033064</v>
      </c>
      <c r="F20" s="708">
        <v>-0.23351465724818515</v>
      </c>
      <c r="G20" s="711">
        <v>0.96592583607218252</v>
      </c>
      <c r="H20" s="710">
        <v>0.26250000000000001</v>
      </c>
      <c r="I20" s="708">
        <v>0.40699999999999997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140</v>
      </c>
      <c r="M20" s="168">
        <f t="shared" si="1"/>
        <v>1.2110000000000001</v>
      </c>
      <c r="N20" s="632">
        <f t="shared" si="2"/>
        <v>1.0620522205407406</v>
      </c>
      <c r="O20" s="629">
        <f t="shared" si="3"/>
        <v>2.2219466314138145</v>
      </c>
      <c r="P20" s="633">
        <f t="shared" si="4"/>
        <v>-0.30242166589760855</v>
      </c>
      <c r="Q20" s="585">
        <f t="shared" si="113"/>
        <v>64.453003688529904</v>
      </c>
      <c r="R20" s="629">
        <f>IF(M20="","",SQRT(N20^2+O20^2))</f>
        <v>2.4627224269102506</v>
      </c>
      <c r="S20" s="634">
        <f>IF(M20="","",P20)</f>
        <v>-0.30242166589760855</v>
      </c>
      <c r="T20" s="635">
        <f>IF(M20="","",X20*COS(RADIANS(W20)))</f>
        <v>2.2242952818701509</v>
      </c>
      <c r="U20" s="629">
        <f>IF(M20="","",X20*SIN(RADIANS(W20)))</f>
        <v>-1.0571245201284947</v>
      </c>
      <c r="V20" s="636">
        <f>IF(M20="","",Y20)</f>
        <v>-0.30242166589760855</v>
      </c>
      <c r="W20" s="585">
        <f t="shared" si="224"/>
        <v>334.58000367019338</v>
      </c>
      <c r="X20" s="629">
        <f>IF(M20="","",R20)</f>
        <v>2.4627224269102506</v>
      </c>
      <c r="Y20" s="630">
        <f t="shared" si="223"/>
        <v>-0.30242166589760855</v>
      </c>
      <c r="Z20" s="632">
        <f t="shared" si="6"/>
        <v>0.11161623564033064</v>
      </c>
      <c r="AA20" s="629">
        <f t="shared" si="7"/>
        <v>0.23351465724818515</v>
      </c>
      <c r="AB20" s="629">
        <f t="shared" si="8"/>
        <v>-0.96592583607218252</v>
      </c>
      <c r="AC20" s="636">
        <f>IF(M20="","",SQRT(Z20^2+AA20^2+AB20^2))</f>
        <v>1</v>
      </c>
      <c r="AD20" s="637">
        <f>IF(M20="","",Z20*(1/SQRT(Z20^2+AA20^2+AB20^2)))</f>
        <v>0.11161623564033064</v>
      </c>
      <c r="AE20" s="629">
        <f>IF(M20="","",AA20*(1/SQRT(Z20^2+AA20^2+AB20^2)))</f>
        <v>0.23351465724818515</v>
      </c>
      <c r="AF20" s="633">
        <f>IF(M20="","",AB20*(1/SQRT(Z20^2+AA20^2+AB20^2)))</f>
        <v>-0.96592583607218252</v>
      </c>
      <c r="AG20" s="602">
        <f>IF(M20="","",DEGREES(ATAN2(-AF20,AE20)))</f>
        <v>13.590619228847014</v>
      </c>
      <c r="AH20" s="603">
        <f>IF(M20="","",DEGREES(ACOS(AD20)))</f>
        <v>83.591507136517819</v>
      </c>
      <c r="AI20" s="585">
        <f>IF(M20="","",DEGREES(-ACOS(-AF20)))</f>
        <v>-14.999997834273763</v>
      </c>
      <c r="AJ20" s="586">
        <f>IF(M20="","",DEGREES(ATAN2(-AE20,AD20)))</f>
        <v>154.45295348205372</v>
      </c>
      <c r="AK20" s="635">
        <f>IF(M20="","",(COS(RADIANS((90-$Q$8)-W20))*AD20)+(-SIN(RADIANS((90-$Q$8)-W20))*AE20))</f>
        <v>2.2679489675159203E-7</v>
      </c>
      <c r="AL20" s="629">
        <f>IF(M20="","",(SIN(RADIANS((90-$Q$8)-W20))*AD20)+(COS(RADIANS((90-$Q$8)-W20))*AE20))</f>
        <v>0.25881900859133933</v>
      </c>
      <c r="AM20" s="634">
        <f>IF(M20="","",AF20)</f>
        <v>-0.96592583607218252</v>
      </c>
      <c r="AN20" s="581">
        <f>IF(M20="","",DEGREES(ATAN2(-AM20,AL20)))</f>
        <v>14.999997834268271</v>
      </c>
      <c r="AO20" s="582">
        <f t="shared" si="94"/>
        <v>0</v>
      </c>
      <c r="AP20" s="585">
        <f>IF(M20="","",DEGREES(ATAN2(AK20,AL20)))</f>
        <v>89.999949793523797</v>
      </c>
      <c r="AQ20" s="586">
        <f t="shared" si="9"/>
        <v>0.92561316678679817</v>
      </c>
      <c r="AS20" s="52">
        <f t="shared" si="116"/>
        <v>-25.419996329806622</v>
      </c>
      <c r="AT20" s="72">
        <f t="shared" si="10"/>
        <v>-0.28468069623686543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IFERROR(ROUND(VALUE(IF($IH20&lt;1,$IH20+LARGE((IF($M$9:$M$150="",0,$M$9:$M$150)-MOD(IF($M$9:$M$150="",0,$M$9:$M$150),1)),1),$IH20)),4),"")</f>
        <v>1.111</v>
      </c>
      <c r="IJ20" s="533">
        <f t="shared" si="112"/>
        <v>1513</v>
      </c>
      <c r="IK20" s="533" t="str">
        <f t="shared" si="66"/>
        <v>Inactive</v>
      </c>
      <c r="IL20" s="727">
        <f t="shared" si="225"/>
        <v>25.419996329806622</v>
      </c>
      <c r="IM20" s="759">
        <v>2.01004372725022E-2</v>
      </c>
      <c r="IN20" s="5">
        <f t="shared" si="226"/>
        <v>0.28000000000000003</v>
      </c>
      <c r="IO20" s="771">
        <v>140</v>
      </c>
      <c r="IP20" s="9">
        <f t="shared" si="227"/>
        <v>-2.466907440192839</v>
      </c>
      <c r="IQ20" s="5">
        <f t="shared" si="228"/>
        <v>-0.29840089997711439</v>
      </c>
      <c r="IR20" s="5">
        <f t="shared" si="71"/>
        <v>0.28999999999999998</v>
      </c>
      <c r="IS20" s="5">
        <f t="shared" si="229"/>
        <v>0.28005551245812393</v>
      </c>
      <c r="IT20" s="727">
        <f t="shared" si="230"/>
        <v>-10.315361585584359</v>
      </c>
      <c r="IU20" s="9">
        <f t="shared" si="231"/>
        <v>-2.4627224269102506</v>
      </c>
      <c r="IV20" s="5">
        <f t="shared" si="232"/>
        <v>-0.30242166589760855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-14.999997834268271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1.0863255350138357</v>
      </c>
      <c r="C21" s="708">
        <v>2.9678824754379884</v>
      </c>
      <c r="D21" s="709">
        <v>-0.11607445765955798</v>
      </c>
      <c r="E21" s="710">
        <v>-7.1464691840182157E-2</v>
      </c>
      <c r="F21" s="708">
        <v>-0.19524358299185676</v>
      </c>
      <c r="G21" s="711">
        <v>0.97814760702088821</v>
      </c>
      <c r="H21" s="710">
        <v>0.26250000000000001</v>
      </c>
      <c r="I21" s="708">
        <v>0.40699999999999997</v>
      </c>
      <c r="J21" s="570">
        <v>1.2170000000000001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1.2170000000000001</v>
      </c>
      <c r="N21" s="632">
        <f t="shared" si="2"/>
        <v>1.0863255350138357</v>
      </c>
      <c r="O21" s="629">
        <f t="shared" si="3"/>
        <v>2.9678824754379884</v>
      </c>
      <c r="P21" s="633">
        <f t="shared" si="4"/>
        <v>-0.11607445765955798</v>
      </c>
      <c r="Q21" s="585">
        <f t="shared" si="113"/>
        <v>69.896002902658054</v>
      </c>
      <c r="R21" s="629">
        <f>IF(M21="","",SQRT(N21^2+O21^2))</f>
        <v>3.1604476828504882</v>
      </c>
      <c r="S21" s="634">
        <f>IF(M21="","",P21)</f>
        <v>-0.11607445765955798</v>
      </c>
      <c r="T21" s="635">
        <f>IF(M21="","",X21*COS(RADIANS(W21)))</f>
        <v>2.9702830968431018</v>
      </c>
      <c r="U21" s="629">
        <f>IF(M21="","",X21*SIN(RADIANS(W21)))</f>
        <v>-1.079744358930933</v>
      </c>
      <c r="V21" s="636">
        <f>IF(M21="","",Y21)</f>
        <v>-0.11607445765955798</v>
      </c>
      <c r="W21" s="585">
        <f t="shared" si="224"/>
        <v>340.0230028843215</v>
      </c>
      <c r="X21" s="629">
        <f>IF(M21="","",R21)</f>
        <v>3.1604476828504882</v>
      </c>
      <c r="Y21" s="630">
        <f t="shared" si="223"/>
        <v>-0.11607445765955798</v>
      </c>
      <c r="Z21" s="632">
        <f t="shared" si="6"/>
        <v>7.1464691840182157E-2</v>
      </c>
      <c r="AA21" s="629">
        <f t="shared" si="7"/>
        <v>0.19524358299185676</v>
      </c>
      <c r="AB21" s="629">
        <f t="shared" si="8"/>
        <v>-0.97814760702088821</v>
      </c>
      <c r="AC21" s="636">
        <f>IF(M21="","",SQRT(Z21^2+AA21^2+AB21^2))</f>
        <v>1</v>
      </c>
      <c r="AD21" s="637">
        <f>IF(M21="","",Z21*(1/SQRT(Z21^2+AA21^2+AB21^2)))</f>
        <v>7.1464691840182157E-2</v>
      </c>
      <c r="AE21" s="629">
        <f>IF(M21="","",AA21*(1/SQRT(Z21^2+AA21^2+AB21^2)))</f>
        <v>0.19524358299185676</v>
      </c>
      <c r="AF21" s="633">
        <f>IF(M21="","",AB21*(1/SQRT(Z21^2+AA21^2+AB21^2)))</f>
        <v>-0.97814760702088821</v>
      </c>
      <c r="AG21" s="602">
        <f>IF(M21="","",DEGREES(ATAN2(-AF21,AE21)))</f>
        <v>11.288193660574434</v>
      </c>
      <c r="AH21" s="603">
        <f>IF(M21="","",DEGREES(ACOS(AD21)))</f>
        <v>85.90188139227206</v>
      </c>
      <c r="AI21" s="585">
        <f>IF(M21="","",DEGREES(-ACOS(-AF21)))</f>
        <v>-11.999998267421518</v>
      </c>
      <c r="AJ21" s="586">
        <f>IF(M21="","",DEGREES(ATAN2(-AE21,AD21)))</f>
        <v>159.89594040308339</v>
      </c>
      <c r="AK21" s="635">
        <f>IF(M21="","",(COS(RADIANS((90-$Q$8)-W21))*AD21)+(-SIN(RADIANS((90-$Q$8)-W21))*AE21))</f>
        <v>2.267948966822031E-7</v>
      </c>
      <c r="AL21" s="629">
        <f>IF(M21="","",(SIN(RADIANS((90-$Q$8)-W21))*AD21)+(COS(RADIANS((90-$Q$8)-W21))*AE21))</f>
        <v>0.20791166123923599</v>
      </c>
      <c r="AM21" s="634">
        <f>IF(M21="","",AF21)</f>
        <v>-0.97814760702088821</v>
      </c>
      <c r="AN21" s="581">
        <f>IF(M21="","",DEGREES(ATAN2(-AM21,AL21)))</f>
        <v>11.999998267414613</v>
      </c>
      <c r="AO21" s="582">
        <f>IF(ROUND(IF(M21="",0,DEGREES(ACOS(AK21))),4)=90,0,IF(M21="","",DEGREES(ACOS(AK21))))</f>
        <v>0</v>
      </c>
      <c r="AP21" s="585">
        <f>IF(M21="","",DEGREES(ATAN2(AK21,AL21)))</f>
        <v>89.999937500425332</v>
      </c>
      <c r="AQ21" s="586">
        <f t="shared" si="9"/>
        <v>0.72129218019862906</v>
      </c>
      <c r="AS21" s="52">
        <f t="shared" si="116"/>
        <v>-19.9769971156785</v>
      </c>
      <c r="AT21" s="72">
        <f t="shared" si="10"/>
        <v>-0.10211334856418162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1.2170000000000001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1.117</v>
      </c>
      <c r="II21" s="734" cm="1">
        <f t="array" ref="II21">IFERROR(ROUND(VALUE(IF($IH21&lt;1,$IH21+LARGE((IF($M$9:$M$150="",0,$M$9:$M$150)-MOD(IF($M$9:$M$150="",0,$M$9:$M$150),1)),1),$IH21)),4),"")</f>
        <v>1.117</v>
      </c>
      <c r="IJ21" s="533">
        <f t="shared" si="112"/>
        <v>1513</v>
      </c>
      <c r="IK21" s="533" t="str">
        <f t="shared" si="66"/>
        <v>Inactive</v>
      </c>
      <c r="IL21" s="727">
        <f t="shared" si="225"/>
        <v>19.488997186136942</v>
      </c>
      <c r="IM21" s="759">
        <v>1.78189341924373E-2</v>
      </c>
      <c r="IN21" s="5">
        <f t="shared" si="226"/>
        <v>0.32</v>
      </c>
      <c r="IO21" s="771">
        <v>160</v>
      </c>
      <c r="IP21" s="9">
        <f t="shared" si="227"/>
        <v>-3.1638095420495791</v>
      </c>
      <c r="IQ21" s="5">
        <f t="shared" si="228"/>
        <v>-0.1152003474442479</v>
      </c>
      <c r="IR21" s="5">
        <f t="shared" si="71"/>
        <v>0.28999999999999998</v>
      </c>
      <c r="IS21" s="5">
        <f t="shared" si="229"/>
        <v>0.2798005785565561</v>
      </c>
      <c r="IT21" s="727">
        <f t="shared" si="230"/>
        <v>-1.5611555336277387</v>
      </c>
      <c r="IU21" s="9">
        <f t="shared" si="231"/>
        <v>-3.1604476828504882</v>
      </c>
      <c r="IV21" s="5">
        <f t="shared" si="232"/>
        <v>-0.11607445765955798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-11.999998267414613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1.1403875747781389</v>
      </c>
      <c r="C22" s="708">
        <v>3.7114976580010293</v>
      </c>
      <c r="D22" s="709">
        <v>-5.6582628172744592E-2</v>
      </c>
      <c r="E22" s="710">
        <v>1.14794276581469E-2</v>
      </c>
      <c r="F22" s="708">
        <v>3.7361639496248593E-2</v>
      </c>
      <c r="G22" s="711">
        <v>0.99923587337264552</v>
      </c>
      <c r="H22" s="710">
        <v>0.26250000000000001</v>
      </c>
      <c r="I22" s="708">
        <v>0.40699999999999997</v>
      </c>
      <c r="J22" s="570">
        <v>1.2230000000000001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>
        <f>IF($L21=$JH$22,$JH$30,IF($L21=$JI$22,$JI$30,""))</f>
        <v>50</v>
      </c>
      <c r="M22" s="168">
        <f t="shared" si="1"/>
        <v>1.2230000000000001</v>
      </c>
      <c r="N22" s="632">
        <f t="shared" si="2"/>
        <v>1.1403875747781389</v>
      </c>
      <c r="O22" s="629">
        <f t="shared" si="3"/>
        <v>3.7114976580010293</v>
      </c>
      <c r="P22" s="633">
        <f t="shared" si="4"/>
        <v>-5.6582628172744592E-2</v>
      </c>
      <c r="Q22" s="585">
        <f t="shared" si="113"/>
        <v>72.92000246604654</v>
      </c>
      <c r="R22" s="629">
        <f t="shared" si="79"/>
        <v>3.8827437059449972</v>
      </c>
      <c r="S22" s="634">
        <f t="shared" si="80"/>
        <v>-5.6582628172744592E-2</v>
      </c>
      <c r="T22" s="635">
        <f t="shared" si="81"/>
        <v>3.7140162847319318</v>
      </c>
      <c r="U22" s="629">
        <f t="shared" si="82"/>
        <v>-1.1321579937453556</v>
      </c>
      <c r="V22" s="636">
        <f t="shared" si="114"/>
        <v>-5.6582628172744592E-2</v>
      </c>
      <c r="W22" s="585">
        <f t="shared" si="224"/>
        <v>343.04700244770999</v>
      </c>
      <c r="X22" s="629">
        <f t="shared" si="83"/>
        <v>3.8827437059449972</v>
      </c>
      <c r="Y22" s="630">
        <f t="shared" si="223"/>
        <v>-5.6582628172744592E-2</v>
      </c>
      <c r="Z22" s="632">
        <f t="shared" si="6"/>
        <v>-1.14794276581469E-2</v>
      </c>
      <c r="AA22" s="629">
        <f t="shared" si="7"/>
        <v>-3.7361639496248593E-2</v>
      </c>
      <c r="AB22" s="629">
        <f t="shared" si="8"/>
        <v>-0.99923587337264552</v>
      </c>
      <c r="AC22" s="636">
        <f t="shared" si="84"/>
        <v>1</v>
      </c>
      <c r="AD22" s="637">
        <f t="shared" si="115"/>
        <v>-1.14794276581469E-2</v>
      </c>
      <c r="AE22" s="629">
        <f t="shared" si="85"/>
        <v>-3.7361639496248593E-2</v>
      </c>
      <c r="AF22" s="633">
        <f t="shared" si="86"/>
        <v>-0.99923587337264552</v>
      </c>
      <c r="AG22" s="602">
        <f t="shared" si="87"/>
        <v>-2.1413037525791707</v>
      </c>
      <c r="AH22" s="603">
        <f t="shared" si="88"/>
        <v>90.657737202377945</v>
      </c>
      <c r="AI22" s="585">
        <f t="shared" si="89"/>
        <v>-2.2399996766217725</v>
      </c>
      <c r="AJ22" s="586">
        <f t="shared" si="90"/>
        <v>-17.07966507255648</v>
      </c>
      <c r="AK22" s="635">
        <f t="shared" si="211"/>
        <v>2.2679489668740727E-7</v>
      </c>
      <c r="AL22" s="629">
        <f t="shared" si="91"/>
        <v>-3.9085411154992797E-2</v>
      </c>
      <c r="AM22" s="634">
        <f t="shared" si="92"/>
        <v>-0.99923587337264552</v>
      </c>
      <c r="AN22" s="581">
        <f t="shared" si="93"/>
        <v>-2.2399996765840617</v>
      </c>
      <c r="AO22" s="582">
        <f t="shared" si="94"/>
        <v>0</v>
      </c>
      <c r="AP22" s="585">
        <f t="shared" si="95"/>
        <v>-89.999667538602992</v>
      </c>
      <c r="AQ22" s="586">
        <f t="shared" si="9"/>
        <v>0.587122666175935</v>
      </c>
      <c r="AS22" s="52">
        <f t="shared" si="116"/>
        <v>-16.952997552290014</v>
      </c>
      <c r="AT22" s="72">
        <f t="shared" si="10"/>
        <v>-4.4721518774165789E-2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1.2230000000000001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I22" s="734" cm="1">
        <f t="array" ref="II22">IFERROR(ROUND(VALUE(IF($IH22&lt;1,$IH22+LARGE((IF($M$9:$M$150="",0,$M$9:$M$150)-MOD(IF($M$9:$M$150="",0,$M$9:$M$150),1)),1),$IH22)),4),"")</f>
        <v>1.123</v>
      </c>
      <c r="IJ22" s="533">
        <f t="shared" si="112"/>
        <v>1513</v>
      </c>
      <c r="IK22" s="533" t="str">
        <f t="shared" si="66"/>
        <v>Inactive</v>
      </c>
      <c r="IL22" s="727">
        <f t="shared" si="225"/>
        <v>15.766997723527197</v>
      </c>
      <c r="IM22" s="759">
        <v>1.54539020541428E-2</v>
      </c>
      <c r="IN22" s="5">
        <f t="shared" si="226"/>
        <v>0.34</v>
      </c>
      <c r="IO22" s="771">
        <v>170</v>
      </c>
      <c r="IP22" s="9">
        <f t="shared" si="227"/>
        <v>-3.882111708448913</v>
      </c>
      <c r="IQ22" s="5">
        <f t="shared" si="228"/>
        <v>-5.7900174626926683E-2</v>
      </c>
      <c r="IR22" s="5">
        <f t="shared" si="71"/>
        <v>0.28999999999999998</v>
      </c>
      <c r="IS22" s="5">
        <f t="shared" si="229"/>
        <v>0.27940125904785396</v>
      </c>
      <c r="IT22" s="727">
        <f t="shared" si="230"/>
        <v>17.723874033311521</v>
      </c>
      <c r="IU22" s="9">
        <f t="shared" si="231"/>
        <v>-3.8827437059449972</v>
      </c>
      <c r="IV22" s="5">
        <f t="shared" si="232"/>
        <v>-5.6582628172744592E-2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2.2399996765840617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1.0980154427345952</v>
      </c>
      <c r="C23" s="708">
        <v>4.4555452540165392</v>
      </c>
      <c r="D23" s="709">
        <v>-0.21234466387235754</v>
      </c>
      <c r="E23" s="710">
        <v>-0.82754229181402827</v>
      </c>
      <c r="F23" s="708">
        <v>0.41326119886662238</v>
      </c>
      <c r="G23" s="711">
        <v>0.37998544284025892</v>
      </c>
      <c r="H23" s="710">
        <v>0.26600000000000001</v>
      </c>
      <c r="I23" s="708">
        <v>0.52</v>
      </c>
      <c r="J23" s="570">
        <v>1.2290000000000001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1.2290000000000001</v>
      </c>
      <c r="N23" s="632">
        <f t="shared" si="2"/>
        <v>1.0980154427345952</v>
      </c>
      <c r="O23" s="629">
        <f t="shared" si="3"/>
        <v>4.4555452540165392</v>
      </c>
      <c r="P23" s="633">
        <f t="shared" si="4"/>
        <v>-0.21234466387235754</v>
      </c>
      <c r="Q23" s="585">
        <f t="shared" si="113"/>
        <v>76.156001998826014</v>
      </c>
      <c r="R23" s="629">
        <f t="shared" si="79"/>
        <v>4.58884750488322</v>
      </c>
      <c r="S23" s="634">
        <f t="shared" si="80"/>
        <v>-0.21234466387235754</v>
      </c>
      <c r="T23" s="635">
        <f t="shared" si="81"/>
        <v>4.4579681323030629</v>
      </c>
      <c r="U23" s="629">
        <f t="shared" si="82"/>
        <v>-1.088136735177752</v>
      </c>
      <c r="V23" s="636">
        <f t="shared" si="114"/>
        <v>-0.21234466387235754</v>
      </c>
      <c r="W23" s="585">
        <f t="shared" si="224"/>
        <v>346.28300198048947</v>
      </c>
      <c r="X23" s="629">
        <f t="shared" si="83"/>
        <v>4.58884750488322</v>
      </c>
      <c r="Y23" s="630">
        <f t="shared" si="223"/>
        <v>-0.21234466387235754</v>
      </c>
      <c r="Z23" s="632">
        <f t="shared" si="6"/>
        <v>0.82754229181402827</v>
      </c>
      <c r="AA23" s="629">
        <f t="shared" si="7"/>
        <v>-0.41326119886662238</v>
      </c>
      <c r="AB23" s="629">
        <f t="shared" si="8"/>
        <v>-0.37998544284025892</v>
      </c>
      <c r="AC23" s="636">
        <f t="shared" si="84"/>
        <v>1</v>
      </c>
      <c r="AD23" s="637">
        <f t="shared" si="115"/>
        <v>0.82754229181402827</v>
      </c>
      <c r="AE23" s="629">
        <f t="shared" si="85"/>
        <v>-0.41326119886662238</v>
      </c>
      <c r="AF23" s="633">
        <f t="shared" si="86"/>
        <v>-0.37998544284025892</v>
      </c>
      <c r="AG23" s="602">
        <f t="shared" si="87"/>
        <v>-47.402081689126042</v>
      </c>
      <c r="AH23" s="603">
        <f t="shared" si="88"/>
        <v>34.152906494606178</v>
      </c>
      <c r="AI23" s="585">
        <f t="shared" si="89"/>
        <v>-67.667219043063795</v>
      </c>
      <c r="AJ23" s="586">
        <f t="shared" si="90"/>
        <v>63.463201169380589</v>
      </c>
      <c r="AK23" s="635">
        <f t="shared" si="211"/>
        <v>0.90238764845028518</v>
      </c>
      <c r="AL23" s="629">
        <f t="shared" si="91"/>
        <v>-0.20324270012440013</v>
      </c>
      <c r="AM23" s="634">
        <f t="shared" si="92"/>
        <v>-0.37998544284025892</v>
      </c>
      <c r="AN23" s="581">
        <f t="shared" si="93"/>
        <v>-28.140976632317397</v>
      </c>
      <c r="AO23" s="582">
        <f t="shared" si="94"/>
        <v>25.526290284515031</v>
      </c>
      <c r="AP23" s="585">
        <f t="shared" si="95"/>
        <v>-12.692800829445408</v>
      </c>
      <c r="AQ23" s="586">
        <f t="shared" si="9"/>
        <v>0.49678475929864213</v>
      </c>
      <c r="AS23" s="52">
        <f t="shared" si="116"/>
        <v>-13.716998019510527</v>
      </c>
      <c r="AT23" s="72">
        <f t="shared" si="10"/>
        <v>-0.20273077637154227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1.2290000000000001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</v>
      </c>
      <c r="II23" s="734" cm="1">
        <f t="array" ref="II23">IFERROR(ROUND(VALUE(IF($IH23&lt;1,$IH23+LARGE((IF($M$9:$M$150="",0,$M$9:$M$150)-MOD(IF($M$9:$M$150="",0,$M$9:$M$150),1)),1),$IH23)),4),"")</f>
        <v>1.129</v>
      </c>
      <c r="IJ23" s="533">
        <f t="shared" si="112"/>
        <v>1513</v>
      </c>
      <c r="IK23" s="533">
        <f t="shared" si="66"/>
        <v>1313</v>
      </c>
      <c r="IL23" s="727">
        <f t="shared" si="225"/>
        <v>11.752998303076993</v>
      </c>
      <c r="IM23" s="759">
        <v>4.9587000871325199E-3</v>
      </c>
      <c r="IN23" s="5">
        <f t="shared" si="226"/>
        <v>0.12</v>
      </c>
      <c r="IO23" s="771">
        <v>60</v>
      </c>
      <c r="IP23" s="9">
        <f t="shared" si="227"/>
        <v>-4.5783138081944452</v>
      </c>
      <c r="IQ23" s="5">
        <f t="shared" si="228"/>
        <v>-0.24400073590621954</v>
      </c>
      <c r="IR23" s="5">
        <f t="shared" si="71"/>
        <v>0.28999999999999998</v>
      </c>
      <c r="IS23" s="5">
        <f t="shared" si="229"/>
        <v>0.27890686132141879</v>
      </c>
      <c r="IT23" s="727">
        <f t="shared" si="230"/>
        <v>35.5159286543416</v>
      </c>
      <c r="IU23" s="9">
        <f t="shared" si="231"/>
        <v>-4.58884750488322</v>
      </c>
      <c r="IV23" s="5">
        <f t="shared" si="232"/>
        <v>-0.21234466387235754</v>
      </c>
      <c r="IW23" s="5">
        <f t="shared" si="76"/>
        <v>0.26600000000000001</v>
      </c>
      <c r="IX23" s="5">
        <f t="shared" si="233"/>
        <v>0.24003511448777587</v>
      </c>
      <c r="IY23" s="762">
        <f t="shared" si="234"/>
        <v>28.140976632317397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16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60</v>
      </c>
      <c r="JI23" s="801">
        <v>30</v>
      </c>
    </row>
    <row r="24" spans="1:269" ht="15" customHeight="1" x14ac:dyDescent="0.25">
      <c r="A24" s="79"/>
      <c r="B24" s="707">
        <v>1.1860162541647132</v>
      </c>
      <c r="C24" s="708">
        <v>5.0546227251585467</v>
      </c>
      <c r="D24" s="709">
        <v>-0.62214167504194939</v>
      </c>
      <c r="E24" s="710">
        <v>-0.78994833486785776</v>
      </c>
      <c r="F24" s="708">
        <v>0.51001751357647396</v>
      </c>
      <c r="G24" s="711">
        <v>0.34038766735116932</v>
      </c>
      <c r="H24" s="710">
        <v>0.26600000000000001</v>
      </c>
      <c r="I24" s="708">
        <v>0.52</v>
      </c>
      <c r="J24" s="570">
        <v>1.2350000000000001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1.2350000000000001</v>
      </c>
      <c r="N24" s="632">
        <f t="shared" si="2"/>
        <v>1.1860162541647132</v>
      </c>
      <c r="O24" s="629">
        <f t="shared" si="3"/>
        <v>5.0546227251585467</v>
      </c>
      <c r="P24" s="633">
        <f t="shared" si="4"/>
        <v>-0.62214167504194939</v>
      </c>
      <c r="Q24" s="585">
        <f t="shared" si="113"/>
        <v>76.795001906565844</v>
      </c>
      <c r="R24" s="629">
        <f t="shared" si="79"/>
        <v>5.1919019105557176</v>
      </c>
      <c r="S24" s="634">
        <f t="shared" si="80"/>
        <v>-0.62214167504194939</v>
      </c>
      <c r="T24" s="635">
        <f t="shared" si="81"/>
        <v>5.0572391913679651</v>
      </c>
      <c r="U24" s="629">
        <f t="shared" si="82"/>
        <v>-1.174809435663505</v>
      </c>
      <c r="V24" s="636">
        <f t="shared" si="114"/>
        <v>-0.62214167504194939</v>
      </c>
      <c r="W24" s="585">
        <f t="shared" si="224"/>
        <v>346.92200188822932</v>
      </c>
      <c r="X24" s="629">
        <f t="shared" si="83"/>
        <v>5.1919019105557176</v>
      </c>
      <c r="Y24" s="630">
        <f t="shared" si="223"/>
        <v>-0.62214167504194939</v>
      </c>
      <c r="Z24" s="632">
        <f t="shared" si="6"/>
        <v>0.78994833486785776</v>
      </c>
      <c r="AA24" s="629">
        <f t="shared" si="7"/>
        <v>-0.51001751357647396</v>
      </c>
      <c r="AB24" s="629">
        <f t="shared" si="8"/>
        <v>-0.34038766735116932</v>
      </c>
      <c r="AC24" s="636">
        <f t="shared" si="84"/>
        <v>1</v>
      </c>
      <c r="AD24" s="637">
        <f t="shared" si="115"/>
        <v>0.78994833486785776</v>
      </c>
      <c r="AE24" s="629">
        <f t="shared" si="85"/>
        <v>-0.51001751357647396</v>
      </c>
      <c r="AF24" s="633">
        <f t="shared" si="86"/>
        <v>-0.34038766735116932</v>
      </c>
      <c r="AG24" s="602">
        <f t="shared" si="87"/>
        <v>-56.28069989725148</v>
      </c>
      <c r="AH24" s="603">
        <f t="shared" si="88"/>
        <v>37.819316430165223</v>
      </c>
      <c r="AI24" s="585">
        <f t="shared" si="89"/>
        <v>-70.099505387264514</v>
      </c>
      <c r="AJ24" s="586">
        <f t="shared" si="90"/>
        <v>57.152337636322116</v>
      </c>
      <c r="AK24" s="635">
        <f>IF(M24="","",(COS(RADIANS((90-$Q$8)-W24))*AD24)+(-SIN(RADIANS((90-$Q$8)-W24))*AE24))</f>
        <v>0.88556755218868766</v>
      </c>
      <c r="AL24" s="629">
        <f t="shared" si="91"/>
        <v>-0.31607965202740607</v>
      </c>
      <c r="AM24" s="634">
        <f t="shared" si="92"/>
        <v>-0.34038766735116932</v>
      </c>
      <c r="AN24" s="581">
        <f t="shared" si="93"/>
        <v>-42.879390745843892</v>
      </c>
      <c r="AO24" s="582">
        <f t="shared" si="94"/>
        <v>27.678554426225588</v>
      </c>
      <c r="AP24" s="585">
        <f t="shared" si="95"/>
        <v>-19.642664270243749</v>
      </c>
      <c r="AQ24" s="586">
        <f t="shared" si="9"/>
        <v>0.43908418198147731</v>
      </c>
      <c r="AS24" s="52">
        <f t="shared" si="116"/>
        <v>-13.077998111770682</v>
      </c>
      <c r="AT24" s="72">
        <f t="shared" si="10"/>
        <v>-0.61297153747706457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1.2350000000000001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1.135</v>
      </c>
      <c r="II24" s="734" cm="1">
        <f t="array" ref="II24">IFERROR(ROUND(VALUE(IF($IH24&lt;1,$IH24+LARGE((IF($M$9:$M$150="",0,$M$9:$M$150)-MOD(IF($M$9:$M$150="",0,$M$9:$M$150),1)),1),$IH24)),4),"")</f>
        <v>1.135</v>
      </c>
      <c r="IJ24" s="533">
        <f t="shared" si="112"/>
        <v>1513</v>
      </c>
      <c r="IK24" s="533">
        <f t="shared" si="66"/>
        <v>1313</v>
      </c>
      <c r="IL24" s="727">
        <f t="shared" si="225"/>
        <v>10.400998498281581</v>
      </c>
      <c r="IM24" s="759">
        <v>3.8225256498191202E-3</v>
      </c>
      <c r="IN24" s="5">
        <f t="shared" si="226"/>
        <v>0.08</v>
      </c>
      <c r="IO24" s="771">
        <v>40</v>
      </c>
      <c r="IP24" s="9">
        <f t="shared" si="227"/>
        <v>-5.1723155997038486</v>
      </c>
      <c r="IQ24" s="5">
        <f t="shared" si="228"/>
        <v>-0.6521019667395318</v>
      </c>
      <c r="IR24" s="5">
        <f t="shared" si="71"/>
        <v>0.28999999999999998</v>
      </c>
      <c r="IS24" s="5">
        <f t="shared" si="229"/>
        <v>0.27563547738640104</v>
      </c>
      <c r="IT24" s="727">
        <f t="shared" si="230"/>
        <v>49.929740086274862</v>
      </c>
      <c r="IU24" s="9">
        <f t="shared" si="231"/>
        <v>-5.1919019105557176</v>
      </c>
      <c r="IV24" s="5">
        <f t="shared" si="232"/>
        <v>-0.62214167504194939</v>
      </c>
      <c r="IW24" s="5">
        <f t="shared" si="76"/>
        <v>0.26600000000000001</v>
      </c>
      <c r="IX24" s="5">
        <f t="shared" si="233"/>
        <v>0.23556096888219094</v>
      </c>
      <c r="IY24" s="762">
        <f t="shared" si="234"/>
        <v>42.879390745843892</v>
      </c>
      <c r="JA24" s="798" t="str">
        <v>Inactive</v>
      </c>
      <c r="JB24" s="856" cm="1">
        <f t="array" ref="JB24">IF($JA24="","",COUNT(IF(IF($II$9:$II$150&lt;&gt;"",$IK$9:$IK$150,"")=$JA24,$IG$9:$IG$150,"")))</f>
        <v>21</v>
      </c>
      <c r="JC24" s="5"/>
      <c r="JD24" s="5"/>
      <c r="JE24" s="10"/>
      <c r="JF24" s="247">
        <v>15</v>
      </c>
      <c r="JG24" s="803">
        <v>2</v>
      </c>
      <c r="JH24" s="787">
        <v>140</v>
      </c>
      <c r="JI24" s="803">
        <v>50</v>
      </c>
    </row>
    <row r="25" spans="1:269" ht="15" customHeight="1" x14ac:dyDescent="0.25">
      <c r="A25" s="79"/>
      <c r="B25" s="707">
        <v>1.2603791488219336</v>
      </c>
      <c r="C25" s="708">
        <v>5.48112081513717</v>
      </c>
      <c r="D25" s="709">
        <v>-1.2089372075257516</v>
      </c>
      <c r="E25" s="710">
        <v>-0.7421972572632729</v>
      </c>
      <c r="F25" s="708">
        <v>0.60773041233897829</v>
      </c>
      <c r="G25" s="711">
        <v>0.28250128712834349</v>
      </c>
      <c r="H25" s="710">
        <v>0.26600000000000001</v>
      </c>
      <c r="I25" s="708">
        <v>0.52</v>
      </c>
      <c r="J25" s="570">
        <v>1.2410000000000001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1.2410000000000001</v>
      </c>
      <c r="N25" s="632">
        <f t="shared" si="2"/>
        <v>1.2603791488219336</v>
      </c>
      <c r="O25" s="629">
        <f t="shared" si="3"/>
        <v>5.48112081513717</v>
      </c>
      <c r="P25" s="633">
        <f t="shared" si="4"/>
        <v>-1.2089372075257516</v>
      </c>
      <c r="Q25" s="585">
        <f t="shared" si="113"/>
        <v>77.050001869748399</v>
      </c>
      <c r="R25" s="629">
        <f>IF(M25="","",SQRT(N25^2+O25^2))</f>
        <v>5.6241658038250488</v>
      </c>
      <c r="S25" s="634">
        <f>IF(M25="","",P25)</f>
        <v>-1.2089372075257516</v>
      </c>
      <c r="T25" s="635">
        <f>IF(M25="","",X25*COS(RADIANS(W25)))</f>
        <v>5.483901063882648</v>
      </c>
      <c r="U25" s="629">
        <f>IF(M25="","",X25*SIN(RADIANS(W25)))</f>
        <v>-1.2482267864702405</v>
      </c>
      <c r="V25" s="636">
        <f>IF(M25="","",Y25)</f>
        <v>-1.2089372075257516</v>
      </c>
      <c r="W25" s="585">
        <f t="shared" si="224"/>
        <v>347.17700185141183</v>
      </c>
      <c r="X25" s="629">
        <f>IF(M25="","",R25)</f>
        <v>5.6241658038250488</v>
      </c>
      <c r="Y25" s="630">
        <f t="shared" si="223"/>
        <v>-1.2089372075257516</v>
      </c>
      <c r="Z25" s="632">
        <f t="shared" si="6"/>
        <v>0.7421972572632729</v>
      </c>
      <c r="AA25" s="629">
        <f t="shared" si="7"/>
        <v>-0.60773041233897829</v>
      </c>
      <c r="AB25" s="629">
        <f t="shared" si="8"/>
        <v>-0.28250128712834349</v>
      </c>
      <c r="AC25" s="636">
        <f>IF(M25="","",SQRT(Z25^2+AA25^2+AB25^2))</f>
        <v>1</v>
      </c>
      <c r="AD25" s="637">
        <f>IF(M25="","",Z25*(1/SQRT(Z25^2+AA25^2+AB25^2)))</f>
        <v>0.7421972572632729</v>
      </c>
      <c r="AE25" s="629">
        <f>IF(M25="","",AA25*(1/SQRT(Z25^2+AA25^2+AB25^2)))</f>
        <v>-0.60773041233897829</v>
      </c>
      <c r="AF25" s="633">
        <f>IF(M25="","",AB25*(1/SQRT(Z25^2+AA25^2+AB25^2)))</f>
        <v>-0.28250128712834349</v>
      </c>
      <c r="AG25" s="602">
        <f>IF(M25="","",DEGREES(ATAN2(-AF25,AE25)))</f>
        <v>-65.068809351772472</v>
      </c>
      <c r="AH25" s="603">
        <f>IF(M25="","",DEGREES(ACOS(AD25)))</f>
        <v>42.0810739341564</v>
      </c>
      <c r="AI25" s="585">
        <f>IF(M25="","",DEGREES(-ACOS(-AF25)))</f>
        <v>-73.590453776743956</v>
      </c>
      <c r="AJ25" s="586">
        <f>IF(M25="","",DEGREES(ATAN2(-AE25,AD25)))</f>
        <v>50.688491275728069</v>
      </c>
      <c r="AK25" s="635">
        <f>IF(M25="","",(COS(RADIANS((90-$Q$8)-W25))*AD25)+(-SIN(RADIANS((90-$Q$8)-W25))*AE25))</f>
        <v>0.85951299164273709</v>
      </c>
      <c r="AL25" s="629">
        <f>IF(M25="","",(SIN(RADIANS((90-$Q$8)-W25))*AD25)+(COS(RADIANS((90-$Q$8)-W25))*AE25))</f>
        <v>-0.42594652242761843</v>
      </c>
      <c r="AM25" s="634">
        <f>IF(M25="","",AF25)</f>
        <v>-0.28250128712834349</v>
      </c>
      <c r="AN25" s="581">
        <f>IF(M25="","",DEGREES(ATAN2(-AM25,AL25)))</f>
        <v>-56.446396258495376</v>
      </c>
      <c r="AO25" s="582">
        <f>IF(ROUND(IF(M25="",0,DEGREES(ACOS(AK25))),4)=90,0,IF(M25="","",DEGREES(ACOS(AK25))))</f>
        <v>30.738054478606369</v>
      </c>
      <c r="AP25" s="585">
        <f>IF(M25="","",DEGREES(ATAN2(AK25,AL25)))</f>
        <v>-26.361510594020316</v>
      </c>
      <c r="AQ25" s="586">
        <f t="shared" si="9"/>
        <v>0.40533808553577283</v>
      </c>
      <c r="AS25" s="52">
        <f t="shared" si="116"/>
        <v>-12.822998148588169</v>
      </c>
      <c r="AT25" s="72">
        <f t="shared" si="10"/>
        <v>-1.1999441532686324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1.2410000000000001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1.141</v>
      </c>
      <c r="II25" s="734" cm="1">
        <f t="array" ref="II25">IFERROR(ROUND(VALUE(IF($IH25&lt;1,$IH25+LARGE((IF($M$9:$M$150="",0,$M$9:$M$150)-MOD(IF($M$9:$M$150="",0,$M$9:$M$150),1)),1),$IH25)),4),"")</f>
        <v>1.141</v>
      </c>
      <c r="IJ25" s="533">
        <f t="shared" si="112"/>
        <v>1513</v>
      </c>
      <c r="IK25" s="533">
        <f t="shared" si="66"/>
        <v>1313</v>
      </c>
      <c r="IL25" s="727">
        <f t="shared" si="225"/>
        <v>9.6179986113328368</v>
      </c>
      <c r="IM25" s="759">
        <v>2.7127977441140502E-3</v>
      </c>
      <c r="IN25" s="5">
        <f t="shared" si="226"/>
        <v>0.06</v>
      </c>
      <c r="IO25" s="771">
        <v>30</v>
      </c>
      <c r="IP25" s="9">
        <f t="shared" si="227"/>
        <v>-5.5957168766821006</v>
      </c>
      <c r="IQ25" s="5">
        <f t="shared" si="228"/>
        <v>-1.2351037250728349</v>
      </c>
      <c r="IR25" s="5">
        <f t="shared" si="71"/>
        <v>0.28999999999999998</v>
      </c>
      <c r="IS25" s="5">
        <f t="shared" si="229"/>
        <v>0.27046160263606978</v>
      </c>
      <c r="IT25" s="727">
        <f t="shared" si="230"/>
        <v>62.419496616693564</v>
      </c>
      <c r="IU25" s="9">
        <f t="shared" si="231"/>
        <v>-5.6241658038250488</v>
      </c>
      <c r="IV25" s="5">
        <f t="shared" si="232"/>
        <v>-1.2089372075257516</v>
      </c>
      <c r="IW25" s="5">
        <f t="shared" si="76"/>
        <v>0.26600000000000001</v>
      </c>
      <c r="IX25" s="5">
        <f t="shared" si="233"/>
        <v>0.22863045577696808</v>
      </c>
      <c r="IY25" s="762">
        <f t="shared" si="234"/>
        <v>56.446396258495376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1.4182587212098683</v>
      </c>
      <c r="C26" s="708">
        <v>5.6467426049956311</v>
      </c>
      <c r="D26" s="709">
        <v>-1.9347314098372175</v>
      </c>
      <c r="E26" s="710">
        <v>0.20202299277866867</v>
      </c>
      <c r="F26" s="708">
        <v>0.8043477144758977</v>
      </c>
      <c r="G26" s="711">
        <v>0.55875886087484083</v>
      </c>
      <c r="H26" s="710">
        <v>0.25700000000000001</v>
      </c>
      <c r="I26" s="708">
        <v>0.45500000000000002</v>
      </c>
      <c r="J26" s="570">
        <v>1.2470000000000001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1314"/>
      <c r="M26" s="168">
        <f t="shared" si="1"/>
        <v>1.2470000000000001</v>
      </c>
      <c r="N26" s="632">
        <f t="shared" si="2"/>
        <v>1.4182587212098683</v>
      </c>
      <c r="O26" s="629">
        <f t="shared" si="3"/>
        <v>5.6467426049956311</v>
      </c>
      <c r="P26" s="633">
        <f t="shared" si="4"/>
        <v>-1.9347314098372175</v>
      </c>
      <c r="Q26" s="585">
        <f t="shared" si="113"/>
        <v>75.901002035643444</v>
      </c>
      <c r="R26" s="629">
        <f>IF(M26="","",SQRT(N26^2+O26^2))</f>
        <v>5.8221267460748996</v>
      </c>
      <c r="S26" s="634">
        <f>IF(M26="","",P26)</f>
        <v>-1.9347314098372175</v>
      </c>
      <c r="T26" s="635">
        <f>IF(M26="","",X26*COS(RADIANS(W26)))</f>
        <v>5.6498723973716345</v>
      </c>
      <c r="U26" s="629">
        <f>IF(M26="","",X26*SIN(RADIANS(W26)))</f>
        <v>-1.40573885938278</v>
      </c>
      <c r="V26" s="636">
        <f>IF(M26="","",Y26)</f>
        <v>-1.9347314098372175</v>
      </c>
      <c r="W26" s="585">
        <f t="shared" si="224"/>
        <v>346.0280020173069</v>
      </c>
      <c r="X26" s="629">
        <f>IF(M26="","",R26)</f>
        <v>5.8221267460748996</v>
      </c>
      <c r="Y26" s="630">
        <f t="shared" si="223"/>
        <v>-1.9347314098372175</v>
      </c>
      <c r="Z26" s="632">
        <f t="shared" si="6"/>
        <v>-0.20202299277866867</v>
      </c>
      <c r="AA26" s="629">
        <f t="shared" si="7"/>
        <v>-0.8043477144758977</v>
      </c>
      <c r="AB26" s="629">
        <f t="shared" si="8"/>
        <v>-0.55875886087484083</v>
      </c>
      <c r="AC26" s="636">
        <f>IF(M26="","",SQRT(Z26^2+AA26^2+AB26^2))</f>
        <v>1</v>
      </c>
      <c r="AD26" s="637">
        <f>IF(M26="","",Z26*(1/SQRT(Z26^2+AA26^2+AB26^2)))</f>
        <v>-0.20202299277866867</v>
      </c>
      <c r="AE26" s="629">
        <f>IF(M26="","",AA26*(1/SQRT(Z26^2+AA26^2+AB26^2)))</f>
        <v>-0.8043477144758977</v>
      </c>
      <c r="AF26" s="633">
        <f>IF(M26="","",AB26*(1/SQRT(Z26^2+AA26^2+AB26^2)))</f>
        <v>-0.55875886087484083</v>
      </c>
      <c r="AG26" s="602">
        <f>IF(M26="","",DEGREES(ATAN2(-AF26,AE26)))</f>
        <v>-55.213324255526878</v>
      </c>
      <c r="AH26" s="603">
        <f>IF(M26="","",DEGREES(ACOS(AD26)))</f>
        <v>101.65528313131934</v>
      </c>
      <c r="AI26" s="585">
        <f>IF(M26="","",DEGREES(-ACOS(-AF26)))</f>
        <v>-56.029991910271079</v>
      </c>
      <c r="AJ26" s="586">
        <f>IF(M26="","",DEGREES(ATAN2(-AE26,AD26)))</f>
        <v>-14.098982295819678</v>
      </c>
      <c r="AK26" s="635">
        <f>IF(M26="","",(COS(RADIANS((90-$Q$8)-W26))*AD26)+(-SIN(RADIANS((90-$Q$8)-W26))*AE26))</f>
        <v>2.2679489700139221E-7</v>
      </c>
      <c r="AL26" s="629">
        <f>IF(M26="","",(SIN(RADIANS((90-$Q$8)-W26))*AD26)+(COS(RADIANS((90-$Q$8)-W26))*AE26))</f>
        <v>-0.82933017272603726</v>
      </c>
      <c r="AM26" s="634">
        <f>IF(M26="","",AF26)</f>
        <v>-0.55875886087484083</v>
      </c>
      <c r="AN26" s="581">
        <f>IF(M26="","",DEGREES(ATAN2(-AM26,AL26)))</f>
        <v>-56.029991910270084</v>
      </c>
      <c r="AO26" s="582">
        <f t="shared" si="94"/>
        <v>0</v>
      </c>
      <c r="AP26" s="585">
        <f>IF(M26="","",DEGREES(ATAN2(AK26,AL26)))</f>
        <v>-89.999984331463111</v>
      </c>
      <c r="AQ26" s="586">
        <f t="shared" si="9"/>
        <v>0.39155642626012949</v>
      </c>
      <c r="AS26" s="52">
        <f t="shared" si="116"/>
        <v>-13.971997982693097</v>
      </c>
      <c r="AT26" s="72">
        <f t="shared" si="10"/>
        <v>-1.9249404390286364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1.2470000000000001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1.147</v>
      </c>
      <c r="II26" s="734" cm="1">
        <f t="array" ref="II26">IFERROR(ROUND(VALUE(IF($IH26&lt;1,$IH26+LARGE((IF($M$9:$M$150="",0,$M$9:$M$150)-MOD(IF($M$9:$M$150="",0,$M$9:$M$150),1)),1),$IH26)),4),"")</f>
        <v>1.147</v>
      </c>
      <c r="IJ26" s="533">
        <f t="shared" si="112"/>
        <v>1513</v>
      </c>
      <c r="IK26" s="533" t="str">
        <f t="shared" si="66"/>
        <v>Inactive</v>
      </c>
      <c r="IL26" s="727">
        <f t="shared" si="225"/>
        <v>10.48199848658669</v>
      </c>
      <c r="IM26" s="759">
        <v>2.0335389510784101E-3</v>
      </c>
      <c r="IN26" s="5">
        <f t="shared" si="226"/>
        <v>0.1</v>
      </c>
      <c r="IO26" s="771">
        <v>50</v>
      </c>
      <c r="IP26" s="9">
        <f t="shared" si="227"/>
        <v>-5.8202175537761418</v>
      </c>
      <c r="IQ26" s="5">
        <f t="shared" si="228"/>
        <v>-1.9238058021982996</v>
      </c>
      <c r="IR26" s="5">
        <f t="shared" si="71"/>
        <v>0.28999999999999998</v>
      </c>
      <c r="IS26" s="5">
        <f t="shared" si="229"/>
        <v>0.25848171155046451</v>
      </c>
      <c r="IT26" s="727">
        <f t="shared" si="230"/>
        <v>72.524570515361944</v>
      </c>
      <c r="IU26" s="9">
        <f t="shared" si="231"/>
        <v>-5.8221267460748996</v>
      </c>
      <c r="IV26" s="5">
        <f t="shared" si="232"/>
        <v>-1.9347314098372175</v>
      </c>
      <c r="IW26" s="5">
        <f t="shared" si="76"/>
        <v>0.25700000000000001</v>
      </c>
      <c r="IX26" s="5">
        <f t="shared" si="233"/>
        <v>0.25700000000000001</v>
      </c>
      <c r="IY26" s="762">
        <f t="shared" si="234"/>
        <v>56.029991910270084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2.1305845541511945</v>
      </c>
      <c r="C27" s="708">
        <v>0.99011267665600255</v>
      </c>
      <c r="D27" s="709">
        <v>-0.3293009931717954</v>
      </c>
      <c r="E27" s="710">
        <v>-0.45355530738487038</v>
      </c>
      <c r="F27" s="708">
        <v>0.85421808014674483</v>
      </c>
      <c r="G27" s="711">
        <v>0.25416344090648701</v>
      </c>
      <c r="H27" s="710">
        <v>0.28999999999999998</v>
      </c>
      <c r="I27" s="708">
        <v>0.52</v>
      </c>
      <c r="J27" s="570">
        <v>2.11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1513</v>
      </c>
      <c r="L27" s="320"/>
      <c r="M27" s="168">
        <f t="shared" si="1"/>
        <v>2.11</v>
      </c>
      <c r="N27" s="632">
        <f t="shared" si="2"/>
        <v>2.1305845541511945</v>
      </c>
      <c r="O27" s="629">
        <f t="shared" si="3"/>
        <v>0.99011267665600255</v>
      </c>
      <c r="P27" s="633">
        <f t="shared" si="4"/>
        <v>-0.3293009931717954</v>
      </c>
      <c r="Q27" s="585">
        <f t="shared" si="113"/>
        <v>24.924957418104608</v>
      </c>
      <c r="R27" s="629">
        <f t="shared" si="79"/>
        <v>2.3494070858117708</v>
      </c>
      <c r="S27" s="634">
        <f t="shared" si="80"/>
        <v>-0.3293009931717954</v>
      </c>
      <c r="T27" s="635">
        <f t="shared" si="81"/>
        <v>0.99483282567427145</v>
      </c>
      <c r="U27" s="629">
        <f t="shared" si="82"/>
        <v>-2.1283846700781091</v>
      </c>
      <c r="V27" s="636">
        <f t="shared" si="114"/>
        <v>-0.3293009931717954</v>
      </c>
      <c r="W27" s="585">
        <f t="shared" si="224"/>
        <v>295.05195739976807</v>
      </c>
      <c r="X27" s="629">
        <f t="shared" si="83"/>
        <v>2.3494070858117708</v>
      </c>
      <c r="Y27" s="630">
        <f t="shared" si="223"/>
        <v>-0.3293009931717954</v>
      </c>
      <c r="Z27" s="632">
        <f t="shared" si="6"/>
        <v>0.45355530738487038</v>
      </c>
      <c r="AA27" s="629">
        <f t="shared" si="7"/>
        <v>-0.85421808014674483</v>
      </c>
      <c r="AB27" s="629">
        <f t="shared" si="8"/>
        <v>-0.25416344090648701</v>
      </c>
      <c r="AC27" s="636">
        <f t="shared" si="84"/>
        <v>1</v>
      </c>
      <c r="AD27" s="637">
        <f t="shared" si="115"/>
        <v>0.45355530738487038</v>
      </c>
      <c r="AE27" s="629">
        <f t="shared" si="85"/>
        <v>-0.85421808014674483</v>
      </c>
      <c r="AF27" s="633">
        <f t="shared" si="86"/>
        <v>-0.25416344090648701</v>
      </c>
      <c r="AG27" s="602">
        <f t="shared" si="87"/>
        <v>-73.43019027895977</v>
      </c>
      <c r="AH27" s="603">
        <f t="shared" si="88"/>
        <v>63.02798137116023</v>
      </c>
      <c r="AI27" s="585">
        <f t="shared" si="89"/>
        <v>-75.275979240299819</v>
      </c>
      <c r="AJ27" s="586">
        <f t="shared" si="90"/>
        <v>27.966497321641086</v>
      </c>
      <c r="AK27" s="635">
        <f t="shared" si="211"/>
        <v>0.96579886923244895</v>
      </c>
      <c r="AL27" s="629">
        <f t="shared" si="91"/>
        <v>5.1317535949202298E-2</v>
      </c>
      <c r="AM27" s="634">
        <f t="shared" si="92"/>
        <v>-0.25416344090648701</v>
      </c>
      <c r="AN27" s="581">
        <f t="shared" si="93"/>
        <v>11.414988709307147</v>
      </c>
      <c r="AO27" s="582">
        <f t="shared" si="94"/>
        <v>15.028079300578733</v>
      </c>
      <c r="AP27" s="585">
        <f t="shared" si="95"/>
        <v>3.0415399035364605</v>
      </c>
      <c r="AQ27" s="586">
        <f t="shared" si="9"/>
        <v>0.97024850610811375</v>
      </c>
      <c r="AS27" s="52">
        <f t="shared" si="116"/>
        <v>-64.948042600231929</v>
      </c>
      <c r="AT27" s="72">
        <f t="shared" si="10"/>
        <v>-0.28410999137881249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1513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2.7734221562368084</v>
      </c>
      <c r="C28" s="708">
        <v>1.2628667073770907</v>
      </c>
      <c r="D28" s="709">
        <v>-0.14580043973412626</v>
      </c>
      <c r="E28" s="710">
        <v>-0.42256077566457539</v>
      </c>
      <c r="F28" s="708">
        <v>0.86793318953108212</v>
      </c>
      <c r="G28" s="711">
        <v>0.26102561058286022</v>
      </c>
      <c r="H28" s="710">
        <v>0.28999999999999998</v>
      </c>
      <c r="I28" s="708">
        <v>0.52</v>
      </c>
      <c r="J28" s="570">
        <v>2.1160000000000001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1513</v>
      </c>
      <c r="L28" s="843"/>
      <c r="M28" s="168">
        <f t="shared" si="1"/>
        <v>2.1160000000000001</v>
      </c>
      <c r="N28" s="632">
        <f t="shared" si="2"/>
        <v>2.7734221562368084</v>
      </c>
      <c r="O28" s="629">
        <f t="shared" si="3"/>
        <v>1.2628667073770907</v>
      </c>
      <c r="P28" s="633">
        <f t="shared" si="4"/>
        <v>-0.14580043973412626</v>
      </c>
      <c r="Q28" s="585">
        <f t="shared" si="113"/>
        <v>24.481957482065887</v>
      </c>
      <c r="R28" s="629">
        <f t="shared" si="79"/>
        <v>3.0474091909861207</v>
      </c>
      <c r="S28" s="634">
        <f t="shared" si="80"/>
        <v>-0.14580043973412626</v>
      </c>
      <c r="T28" s="635">
        <f t="shared" si="81"/>
        <v>1.2690110783336761</v>
      </c>
      <c r="U28" s="629">
        <f t="shared" si="82"/>
        <v>-2.7706161156632803</v>
      </c>
      <c r="V28" s="636">
        <f t="shared" si="114"/>
        <v>-0.14580043973412626</v>
      </c>
      <c r="W28" s="585">
        <f t="shared" si="224"/>
        <v>294.60895746372933</v>
      </c>
      <c r="X28" s="629">
        <f t="shared" si="83"/>
        <v>3.0474091909861207</v>
      </c>
      <c r="Y28" s="630">
        <f t="shared" si="223"/>
        <v>-0.14580043973412626</v>
      </c>
      <c r="Z28" s="632">
        <f t="shared" si="6"/>
        <v>0.42256077566457539</v>
      </c>
      <c r="AA28" s="629">
        <f t="shared" si="7"/>
        <v>-0.86793318953108212</v>
      </c>
      <c r="AB28" s="629">
        <f t="shared" si="8"/>
        <v>-0.26102561058286022</v>
      </c>
      <c r="AC28" s="636">
        <f t="shared" si="84"/>
        <v>1</v>
      </c>
      <c r="AD28" s="637">
        <f t="shared" si="115"/>
        <v>0.42256077566457539</v>
      </c>
      <c r="AE28" s="629">
        <f t="shared" si="85"/>
        <v>-0.86793318953108212</v>
      </c>
      <c r="AF28" s="633">
        <f t="shared" si="86"/>
        <v>-0.26102561058286022</v>
      </c>
      <c r="AG28" s="602">
        <f t="shared" si="87"/>
        <v>-73.261660828648004</v>
      </c>
      <c r="AH28" s="603">
        <f t="shared" si="88"/>
        <v>65.003634152639762</v>
      </c>
      <c r="AI28" s="585">
        <f t="shared" si="89"/>
        <v>-74.86907305629282</v>
      </c>
      <c r="AJ28" s="586">
        <f t="shared" si="90"/>
        <v>25.959535289979186</v>
      </c>
      <c r="AK28" s="635">
        <f t="shared" si="211"/>
        <v>0.96501089584802324</v>
      </c>
      <c r="AL28" s="629">
        <f t="shared" si="91"/>
        <v>2.4891796127249399E-2</v>
      </c>
      <c r="AM28" s="634">
        <f t="shared" si="92"/>
        <v>-0.26102561058286022</v>
      </c>
      <c r="AN28" s="581">
        <f t="shared" si="93"/>
        <v>5.44733947983676</v>
      </c>
      <c r="AO28" s="582">
        <f t="shared" si="94"/>
        <v>15.201223410287023</v>
      </c>
      <c r="AP28" s="585">
        <f t="shared" si="95"/>
        <v>1.4775778079133315</v>
      </c>
      <c r="AQ28" s="586">
        <f t="shared" si="9"/>
        <v>0.74804430828139457</v>
      </c>
      <c r="AS28" s="52">
        <f t="shared" si="116"/>
        <v>-65.391042536270675</v>
      </c>
      <c r="AT28" s="72">
        <f t="shared" si="10"/>
        <v>-0.100301799096672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2.1160000000000001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1513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3.4414707709590768</v>
      </c>
      <c r="C29" s="708">
        <v>1.5187992553837404</v>
      </c>
      <c r="D29" s="709">
        <v>-5.0400152006858455E-2</v>
      </c>
      <c r="E29" s="710">
        <v>-0.32719438787480498</v>
      </c>
      <c r="F29" s="708">
        <v>0.90899025099115416</v>
      </c>
      <c r="G29" s="711">
        <v>0.25822578520796585</v>
      </c>
      <c r="H29" s="710">
        <v>0.28999999999999998</v>
      </c>
      <c r="I29" s="708">
        <v>0.52</v>
      </c>
      <c r="J29" s="570">
        <v>2.1219999999999999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1513</v>
      </c>
      <c r="L29" s="320"/>
      <c r="M29" s="168">
        <f t="shared" si="1"/>
        <v>2.1219999999999999</v>
      </c>
      <c r="N29" s="632">
        <f t="shared" si="2"/>
        <v>3.4414707709590768</v>
      </c>
      <c r="O29" s="629">
        <f t="shared" si="3"/>
        <v>1.5187992553837404</v>
      </c>
      <c r="P29" s="633">
        <f t="shared" si="4"/>
        <v>-5.0400152006858455E-2</v>
      </c>
      <c r="Q29" s="585">
        <f t="shared" si="113"/>
        <v>23.812957578657521</v>
      </c>
      <c r="R29" s="629">
        <f>IF(M29="","",SQRT(N29^2+O29^2))</f>
        <v>3.7617113453214173</v>
      </c>
      <c r="S29" s="634">
        <f>IF(M29="","",P29)</f>
        <v>-5.0400152006858455E-2</v>
      </c>
      <c r="T29" s="635">
        <f>IF(M29="","",X29*COS(RADIANS(W29)))</f>
        <v>1.5264237714758668</v>
      </c>
      <c r="U29" s="629">
        <f>IF(M29="","",X29*SIN(RADIANS(W29)))</f>
        <v>-3.438095797879003</v>
      </c>
      <c r="V29" s="636">
        <f>IF(M29="","",Y29)</f>
        <v>-5.0400152006858455E-2</v>
      </c>
      <c r="W29" s="585">
        <f t="shared" si="224"/>
        <v>293.93995756032098</v>
      </c>
      <c r="X29" s="629">
        <f>IF(M29="","",R29)</f>
        <v>3.7617113453214173</v>
      </c>
      <c r="Y29" s="630">
        <f t="shared" si="223"/>
        <v>-5.0400152006858455E-2</v>
      </c>
      <c r="Z29" s="632">
        <f t="shared" si="6"/>
        <v>0.32719438787480498</v>
      </c>
      <c r="AA29" s="629">
        <f t="shared" si="7"/>
        <v>-0.90899025099115416</v>
      </c>
      <c r="AB29" s="629">
        <f t="shared" si="8"/>
        <v>-0.25822578520796585</v>
      </c>
      <c r="AC29" s="636">
        <f>IF(M29="","",SQRT(Z29^2+AA29^2+AB29^2))</f>
        <v>1</v>
      </c>
      <c r="AD29" s="637">
        <f>IF(M29="","",Z29*(1/SQRT(Z29^2+AA29^2+AB29^2)))</f>
        <v>0.32719438787480498</v>
      </c>
      <c r="AE29" s="629">
        <f>IF(M29="","",AA29*(1/SQRT(Z29^2+AA29^2+AB29^2)))</f>
        <v>-0.90899025099115416</v>
      </c>
      <c r="AF29" s="633">
        <f>IF(M29="","",AB29*(1/SQRT(Z29^2+AA29^2+AB29^2)))</f>
        <v>-0.25822578520796585</v>
      </c>
      <c r="AG29" s="602">
        <f>IF(M29="","",DEGREES(ATAN2(-AF29,AE29)))</f>
        <v>-74.141221742154301</v>
      </c>
      <c r="AH29" s="603">
        <f>IF(M29="","",DEGREES(ACOS(AD29)))</f>
        <v>70.901425559866553</v>
      </c>
      <c r="AI29" s="585">
        <f>IF(M29="","",DEGREES(-ACOS(-AF29)))</f>
        <v>-75.035187477952633</v>
      </c>
      <c r="AJ29" s="586">
        <f>IF(M29="","",DEGREES(ATAN2(-AE29,AD29)))</f>
        <v>19.796526976875338</v>
      </c>
      <c r="AK29" s="635">
        <f>IF(M29="","",(COS(RADIANS((90-$Q$8)-W29))*AD29)+(-SIN(RADIANS((90-$Q$8)-W29))*AE29))</f>
        <v>0.96371189593045481</v>
      </c>
      <c r="AL29" s="629">
        <f>IF(M29="","",(SIN(RADIANS((90-$Q$8)-W29))*AD29)+(COS(RADIANS((90-$Q$8)-W29))*AE29))</f>
        <v>-6.7667019262400374E-2</v>
      </c>
      <c r="AM29" s="634">
        <f>IF(M29="","",AF29)</f>
        <v>-0.25822578520796585</v>
      </c>
      <c r="AN29" s="581">
        <f>IF(M29="","",DEGREES(ATAN2(-AM29,AL29)))</f>
        <v>-14.683962683488543</v>
      </c>
      <c r="AO29" s="582">
        <f t="shared" si="94"/>
        <v>15.482529114461691</v>
      </c>
      <c r="AP29" s="585">
        <f>IF(M29="","",DEGREES(ATAN2(AK29,AL29)))</f>
        <v>-4.0164306017821598</v>
      </c>
      <c r="AQ29" s="586">
        <f t="shared" si="9"/>
        <v>0.60601184152480947</v>
      </c>
      <c r="AS29" s="52">
        <f t="shared" si="116"/>
        <v>-66.060042439679023</v>
      </c>
      <c r="AT29" s="72">
        <f t="shared" si="10"/>
        <v>-4.4369281031483992E-3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2.1219999999999999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1513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60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30</v>
      </c>
    </row>
    <row r="30" spans="1:269" ht="15" customHeight="1" x14ac:dyDescent="0.25">
      <c r="A30" s="79"/>
      <c r="B30" s="707">
        <v>4.1110264491567463</v>
      </c>
      <c r="C30" s="708">
        <v>1.7482423184760845</v>
      </c>
      <c r="D30" s="709">
        <v>-0.19670059324898953</v>
      </c>
      <c r="E30" s="710">
        <v>-0.2411425306728856</v>
      </c>
      <c r="F30" s="708">
        <v>0.94287222661650161</v>
      </c>
      <c r="G30" s="711">
        <v>0.2298744095716545</v>
      </c>
      <c r="H30" s="710">
        <v>0.28999999999999998</v>
      </c>
      <c r="I30" s="708">
        <v>0.52</v>
      </c>
      <c r="J30" s="570">
        <v>2.1280000000000001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1513</v>
      </c>
      <c r="L30" s="320"/>
      <c r="M30" s="168">
        <f t="shared" si="1"/>
        <v>2.1280000000000001</v>
      </c>
      <c r="N30" s="632">
        <f t="shared" si="2"/>
        <v>4.1110264491567463</v>
      </c>
      <c r="O30" s="629">
        <f t="shared" si="3"/>
        <v>1.7482423184760845</v>
      </c>
      <c r="P30" s="633">
        <f t="shared" si="4"/>
        <v>-0.19670059324898953</v>
      </c>
      <c r="Q30" s="585">
        <f t="shared" si="113"/>
        <v>23.037957690553661</v>
      </c>
      <c r="R30" s="629">
        <f>IF(M30="","",SQRT(N30^2+O30^2))</f>
        <v>4.4673134734174367</v>
      </c>
      <c r="S30" s="634">
        <f>IF(M30="","",P30)</f>
        <v>-0.19670059324898953</v>
      </c>
      <c r="T30" s="635">
        <f>IF(M30="","",X30*COS(RADIANS(W30)))</f>
        <v>1.7573503852831187</v>
      </c>
      <c r="U30" s="629">
        <f>IF(M30="","",X30*SIN(RADIANS(W30)))</f>
        <v>-4.1071412555599105</v>
      </c>
      <c r="V30" s="636">
        <f>IF(M30="","",Y30)</f>
        <v>-0.19670059324898953</v>
      </c>
      <c r="W30" s="585">
        <f t="shared" si="224"/>
        <v>293.1649576722171</v>
      </c>
      <c r="X30" s="629">
        <f>IF(M30="","",R30)</f>
        <v>4.4673134734174367</v>
      </c>
      <c r="Y30" s="630">
        <f t="shared" si="223"/>
        <v>-0.19670059324898953</v>
      </c>
      <c r="Z30" s="632">
        <f t="shared" si="6"/>
        <v>0.2411425306728856</v>
      </c>
      <c r="AA30" s="629">
        <f t="shared" si="7"/>
        <v>-0.94287222661650161</v>
      </c>
      <c r="AB30" s="629">
        <f t="shared" si="8"/>
        <v>-0.2298744095716545</v>
      </c>
      <c r="AC30" s="636">
        <f>IF(M30="","",SQRT(Z30^2+AA30^2+AB30^2))</f>
        <v>1</v>
      </c>
      <c r="AD30" s="637">
        <f>IF(M30="","",Z30*(1/SQRT(Z30^2+AA30^2+AB30^2)))</f>
        <v>0.2411425306728856</v>
      </c>
      <c r="AE30" s="629">
        <f>IF(M30="","",AA30*(1/SQRT(Z30^2+AA30^2+AB30^2)))</f>
        <v>-0.94287222661650161</v>
      </c>
      <c r="AF30" s="633">
        <f>IF(M30="","",AB30*(1/SQRT(Z30^2+AA30^2+AB30^2)))</f>
        <v>-0.2298744095716545</v>
      </c>
      <c r="AG30" s="602">
        <f>IF(M30="","",DEGREES(ATAN2(-AF30,AE30)))</f>
        <v>-76.298454963476672</v>
      </c>
      <c r="AH30" s="603">
        <f>IF(M30="","",DEGREES(ACOS(AD30)))</f>
        <v>76.046016749444163</v>
      </c>
      <c r="AI30" s="585">
        <f>IF(M30="","",DEGREES(-ACOS(-AF30)))</f>
        <v>-76.710322170866846</v>
      </c>
      <c r="AJ30" s="586">
        <f>IF(M30="","",DEGREES(ATAN2(-AE30,AD30)))</f>
        <v>14.346061544190052</v>
      </c>
      <c r="AK30" s="635">
        <f>IF(M30="","",(COS(RADIANS((90-$Q$8)-W30))*AD30)+(-SIN(RADIANS((90-$Q$8)-W30))*AE30))</f>
        <v>0.96204313045773038</v>
      </c>
      <c r="AL30" s="629">
        <f>IF(M30="","",(SIN(RADIANS((90-$Q$8)-W30))*AD30)+(COS(RADIANS((90-$Q$8)-W30))*AE30))</f>
        <v>-0.14707403225305782</v>
      </c>
      <c r="AM30" s="634">
        <f>IF(M30="","",AF30)</f>
        <v>-0.2298744095716545</v>
      </c>
      <c r="AN30" s="581">
        <f>IF(M30="","",DEGREES(ATAN2(-AM30,AL30)))</f>
        <v>-32.611181056223465</v>
      </c>
      <c r="AO30" s="582">
        <f>IF(ROUND(IF(M30="",0,DEGREES(ACOS(AK30))),4)=90,0,IF(M30="","",DEGREES(ACOS(AK30))))</f>
        <v>15.836754679464056</v>
      </c>
      <c r="AP30" s="585">
        <f>IF(M30="","",DEGREES(ATAN2(AK30,AL30)))</f>
        <v>-8.6918961463636037</v>
      </c>
      <c r="AQ30" s="586">
        <f t="shared" si="9"/>
        <v>0.51029916888701388</v>
      </c>
      <c r="AS30" s="52">
        <f t="shared" si="116"/>
        <v>-66.835042327782901</v>
      </c>
      <c r="AT30" s="72">
        <f t="shared" si="10"/>
        <v>-0.15019917497854068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2.1280000000000001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1513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140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50</v>
      </c>
    </row>
    <row r="31" spans="1:269" ht="15" customHeight="1" x14ac:dyDescent="0.25">
      <c r="A31" s="79"/>
      <c r="B31" s="707">
        <v>4.7031508573842382</v>
      </c>
      <c r="C31" s="708">
        <v>1.9293781750003571</v>
      </c>
      <c r="D31" s="709">
        <v>-0.57030172002998769</v>
      </c>
      <c r="E31" s="710">
        <v>-0.15909764300014856</v>
      </c>
      <c r="F31" s="708">
        <v>0.96768660567842879</v>
      </c>
      <c r="G31" s="711">
        <v>0.19562866145419081</v>
      </c>
      <c r="H31" s="710">
        <v>0.28999999999999998</v>
      </c>
      <c r="I31" s="708">
        <v>0.52</v>
      </c>
      <c r="J31" s="570">
        <v>2.1339999999999999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1513</v>
      </c>
      <c r="L31" s="320"/>
      <c r="M31" s="168">
        <f t="shared" si="1"/>
        <v>2.1339999999999999</v>
      </c>
      <c r="N31" s="632">
        <f t="shared" si="2"/>
        <v>4.7031508573842382</v>
      </c>
      <c r="O31" s="629">
        <f t="shared" si="3"/>
        <v>1.9293781750003571</v>
      </c>
      <c r="P31" s="633">
        <f t="shared" si="4"/>
        <v>-0.57030172002998769</v>
      </c>
      <c r="Q31" s="585">
        <f t="shared" si="113"/>
        <v>22.30495779638575</v>
      </c>
      <c r="R31" s="629">
        <f>IF(M31="","",SQRT(N31^2+O31^2))</f>
        <v>5.083515331882241</v>
      </c>
      <c r="S31" s="634">
        <f>IF(M31="","",P31)</f>
        <v>-0.57030172002998769</v>
      </c>
      <c r="T31" s="635">
        <f>IF(M31="","",X31*COS(RADIANS(W31)))</f>
        <v>1.9397982796715716</v>
      </c>
      <c r="U31" s="629">
        <f>IF(M31="","",X31*SIN(RADIANS(W31)))</f>
        <v>-4.6988627095995286</v>
      </c>
      <c r="V31" s="636">
        <f>IF(M31="","",Y31)</f>
        <v>-0.57030172002998769</v>
      </c>
      <c r="W31" s="585">
        <f t="shared" si="224"/>
        <v>292.4319577780492</v>
      </c>
      <c r="X31" s="629">
        <f>IF(M31="","",R31)</f>
        <v>5.083515331882241</v>
      </c>
      <c r="Y31" s="630">
        <f t="shared" si="223"/>
        <v>-0.57030172002998769</v>
      </c>
      <c r="Z31" s="632">
        <f t="shared" si="6"/>
        <v>0.15909764300014856</v>
      </c>
      <c r="AA31" s="629">
        <f t="shared" si="7"/>
        <v>-0.96768660567842879</v>
      </c>
      <c r="AB31" s="629">
        <f t="shared" si="8"/>
        <v>-0.19562866145419081</v>
      </c>
      <c r="AC31" s="636">
        <f>IF(M31="","",SQRT(Z31^2+AA31^2+AB31^2))</f>
        <v>1</v>
      </c>
      <c r="AD31" s="637">
        <f>IF(M31="","",Z31*(1/SQRT(Z31^2+AA31^2+AB31^2)))</f>
        <v>0.15909764300014856</v>
      </c>
      <c r="AE31" s="629">
        <f>IF(M31="","",AA31*(1/SQRT(Z31^2+AA31^2+AB31^2)))</f>
        <v>-0.96768660567842879</v>
      </c>
      <c r="AF31" s="633">
        <f>IF(M31="","",AB31*(1/SQRT(Z31^2+AA31^2+AB31^2)))</f>
        <v>-0.19562866145419081</v>
      </c>
      <c r="AG31" s="602">
        <f>IF(M31="","",DEGREES(ATAN2(-AF31,AE31)))</f>
        <v>-78.571053488387591</v>
      </c>
      <c r="AH31" s="603">
        <f>IF(M31="","",DEGREES(ACOS(AD31)))</f>
        <v>80.845475913290656</v>
      </c>
      <c r="AI31" s="585">
        <f>IF(M31="","",DEGREES(-ACOS(-AF31)))</f>
        <v>-78.718549422687119</v>
      </c>
      <c r="AJ31" s="586">
        <f>IF(M31="","",DEGREES(ATAN2(-AE31,AD31)))</f>
        <v>9.3364900197376119</v>
      </c>
      <c r="AK31" s="635">
        <f>IF(M31="","",(COS(RADIANS((90-$Q$8)-W31))*AD31)+(-SIN(RADIANS((90-$Q$8)-W31))*AE31))</f>
        <v>0.95566459272887472</v>
      </c>
      <c r="AL31" s="629">
        <f>IF(M31="","",(SIN(RADIANS((90-$Q$8)-W31))*AD31)+(COS(RADIANS((90-$Q$8)-W31))*AE31))</f>
        <v>-0.22007865189971457</v>
      </c>
      <c r="AM31" s="634">
        <f>IF(M31="","",AF31)</f>
        <v>-0.19562866145419081</v>
      </c>
      <c r="AN31" s="581">
        <f>IF(M31="","",DEGREES(ATAN2(-AM31,AL31)))</f>
        <v>-48.365996286140849</v>
      </c>
      <c r="AO31" s="582">
        <f t="shared" si="94"/>
        <v>17.125006186417782</v>
      </c>
      <c r="AP31" s="585">
        <f>IF(M31="","",DEGREES(ATAN2(AK31,AL31)))</f>
        <v>-12.968467776648101</v>
      </c>
      <c r="AQ31" s="586">
        <f t="shared" si="9"/>
        <v>0.44844559939441814</v>
      </c>
      <c r="AS31" s="52">
        <f t="shared" si="116"/>
        <v>-67.568042221950805</v>
      </c>
      <c r="AT31" s="72">
        <f t="shared" si="10"/>
        <v>-0.52329127405525555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2.1339999999999999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1513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5.1453299558518006</v>
      </c>
      <c r="C32" s="708">
        <v>2.0517332236919588</v>
      </c>
      <c r="D32" s="709">
        <v>-1.1285034035662653</v>
      </c>
      <c r="E32" s="710">
        <v>-6.7790078386757546E-2</v>
      </c>
      <c r="F32" s="708">
        <v>0.98343093822003391</v>
      </c>
      <c r="G32" s="711">
        <v>0.16813118397246041</v>
      </c>
      <c r="H32" s="710">
        <v>0.28999999999999998</v>
      </c>
      <c r="I32" s="708">
        <v>0.52</v>
      </c>
      <c r="J32" s="570">
        <v>2.14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1513</v>
      </c>
      <c r="L32" s="320"/>
      <c r="M32" s="168">
        <f t="shared" si="1"/>
        <v>2.14</v>
      </c>
      <c r="N32" s="632">
        <f t="shared" si="2"/>
        <v>5.1453299558518006</v>
      </c>
      <c r="O32" s="629">
        <f t="shared" si="3"/>
        <v>2.0517332236919588</v>
      </c>
      <c r="P32" s="633">
        <f t="shared" si="4"/>
        <v>-1.1285034035662653</v>
      </c>
      <c r="Q32" s="585">
        <f t="shared" si="113"/>
        <v>21.739957877961647</v>
      </c>
      <c r="R32" s="629">
        <f t="shared" si="79"/>
        <v>5.5393167065791866</v>
      </c>
      <c r="S32" s="634">
        <f t="shared" si="80"/>
        <v>-1.1285034035662653</v>
      </c>
      <c r="T32" s="635">
        <f t="shared" si="81"/>
        <v>2.0631331469497165</v>
      </c>
      <c r="U32" s="629">
        <f t="shared" si="82"/>
        <v>-5.140769513773658</v>
      </c>
      <c r="V32" s="636">
        <f t="shared" si="114"/>
        <v>-1.1285034035662653</v>
      </c>
      <c r="W32" s="585">
        <f t="shared" si="224"/>
        <v>291.86695785962513</v>
      </c>
      <c r="X32" s="629">
        <f t="shared" si="83"/>
        <v>5.5393167065791866</v>
      </c>
      <c r="Y32" s="630">
        <f t="shared" si="223"/>
        <v>-1.1285034035662653</v>
      </c>
      <c r="Z32" s="632">
        <f t="shared" si="6"/>
        <v>6.7790078386757546E-2</v>
      </c>
      <c r="AA32" s="629">
        <f t="shared" si="7"/>
        <v>-0.98343093822003391</v>
      </c>
      <c r="AB32" s="629">
        <f t="shared" si="8"/>
        <v>-0.16813118397246041</v>
      </c>
      <c r="AC32" s="636">
        <f t="shared" si="84"/>
        <v>1</v>
      </c>
      <c r="AD32" s="637">
        <f t="shared" si="115"/>
        <v>6.7790078386757546E-2</v>
      </c>
      <c r="AE32" s="629">
        <f t="shared" si="85"/>
        <v>-0.98343093822003391</v>
      </c>
      <c r="AF32" s="633">
        <f t="shared" si="86"/>
        <v>-0.16813118397246041</v>
      </c>
      <c r="AG32" s="602">
        <f t="shared" si="87"/>
        <v>-80.298287346643264</v>
      </c>
      <c r="AH32" s="603">
        <f t="shared" si="88"/>
        <v>86.112933564403903</v>
      </c>
      <c r="AI32" s="585">
        <f t="shared" si="89"/>
        <v>-80.320820114188663</v>
      </c>
      <c r="AJ32" s="586">
        <f t="shared" si="90"/>
        <v>3.9432874989716962</v>
      </c>
      <c r="AK32" s="635">
        <f t="shared" si="211"/>
        <v>0.93859298852195905</v>
      </c>
      <c r="AL32" s="629">
        <f t="shared" si="91"/>
        <v>-0.30128907526400062</v>
      </c>
      <c r="AM32" s="634">
        <f t="shared" si="92"/>
        <v>-0.16813118397246041</v>
      </c>
      <c r="AN32" s="581">
        <f t="shared" si="93"/>
        <v>-60.836760022950557</v>
      </c>
      <c r="AO32" s="582">
        <f t="shared" si="94"/>
        <v>20.183406019638511</v>
      </c>
      <c r="AP32" s="585">
        <f t="shared" si="95"/>
        <v>-17.796670378989958</v>
      </c>
      <c r="AQ32" s="586">
        <f t="shared" si="9"/>
        <v>0.4115466846182772</v>
      </c>
      <c r="AS32" s="52">
        <f t="shared" si="116"/>
        <v>-68.133042140374869</v>
      </c>
      <c r="AT32" s="72">
        <f t="shared" si="10"/>
        <v>-1.0811005965370721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2.14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1513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5.3945232157473892</v>
      </c>
      <c r="C33" s="708">
        <v>2.1158239469507278</v>
      </c>
      <c r="D33" s="709">
        <v>-1.8047054429916161</v>
      </c>
      <c r="E33" s="710">
        <v>5.7037401833956398E-2</v>
      </c>
      <c r="F33" s="708">
        <v>0.98788660554666685</v>
      </c>
      <c r="G33" s="711">
        <v>0.14431489657521901</v>
      </c>
      <c r="H33" s="710">
        <v>0.28999999999999998</v>
      </c>
      <c r="I33" s="708">
        <v>0.52</v>
      </c>
      <c r="J33" s="570">
        <v>2.1459999999999999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1513</v>
      </c>
      <c r="L33" s="320"/>
      <c r="M33" s="168">
        <f t="shared" si="1"/>
        <v>2.1459999999999999</v>
      </c>
      <c r="N33" s="632">
        <f t="shared" si="2"/>
        <v>5.3945232157473892</v>
      </c>
      <c r="O33" s="629">
        <f t="shared" si="3"/>
        <v>2.1158239469507278</v>
      </c>
      <c r="P33" s="633">
        <f t="shared" si="4"/>
        <v>-1.8047054429916161</v>
      </c>
      <c r="Q33" s="585">
        <f t="shared" si="113"/>
        <v>21.415957924741452</v>
      </c>
      <c r="R33" s="629">
        <f t="shared" si="79"/>
        <v>5.7946174765663097</v>
      </c>
      <c r="S33" s="634">
        <f t="shared" si="80"/>
        <v>-1.8047054429916161</v>
      </c>
      <c r="T33" s="635">
        <f t="shared" si="81"/>
        <v>2.1277760660751852</v>
      </c>
      <c r="U33" s="629">
        <f t="shared" si="82"/>
        <v>-5.3898201001856565</v>
      </c>
      <c r="V33" s="636">
        <f t="shared" si="114"/>
        <v>-1.8047054429916161</v>
      </c>
      <c r="W33" s="585">
        <f t="shared" si="224"/>
        <v>291.54295790640492</v>
      </c>
      <c r="X33" s="629">
        <f t="shared" si="83"/>
        <v>5.7946174765663097</v>
      </c>
      <c r="Y33" s="630">
        <f t="shared" si="223"/>
        <v>-1.8047054429916161</v>
      </c>
      <c r="Z33" s="632">
        <f t="shared" si="6"/>
        <v>-5.7037401833956398E-2</v>
      </c>
      <c r="AA33" s="629">
        <f t="shared" si="7"/>
        <v>-0.98788660554666685</v>
      </c>
      <c r="AB33" s="629">
        <f t="shared" si="8"/>
        <v>-0.14431489657521901</v>
      </c>
      <c r="AC33" s="636">
        <f t="shared" si="84"/>
        <v>1</v>
      </c>
      <c r="AD33" s="637">
        <f t="shared" si="115"/>
        <v>-5.7037401833956398E-2</v>
      </c>
      <c r="AE33" s="629">
        <f t="shared" si="85"/>
        <v>-0.98788660554666685</v>
      </c>
      <c r="AF33" s="633">
        <f t="shared" si="86"/>
        <v>-0.14431489657521901</v>
      </c>
      <c r="AG33" s="602">
        <f t="shared" si="87"/>
        <v>-81.688765803799939</v>
      </c>
      <c r="AH33" s="603">
        <f t="shared" si="88"/>
        <v>93.269776945004793</v>
      </c>
      <c r="AI33" s="585">
        <f t="shared" si="89"/>
        <v>-81.702391612317996</v>
      </c>
      <c r="AJ33" s="586">
        <f t="shared" si="90"/>
        <v>-3.3044058816262982</v>
      </c>
      <c r="AK33" s="635">
        <f t="shared" si="211"/>
        <v>0.89885072630568486</v>
      </c>
      <c r="AL33" s="629">
        <f t="shared" si="91"/>
        <v>-0.41381225507013075</v>
      </c>
      <c r="AM33" s="634">
        <f t="shared" si="92"/>
        <v>-0.14431489657521901</v>
      </c>
      <c r="AN33" s="581">
        <f t="shared" si="93"/>
        <v>-70.774045008706068</v>
      </c>
      <c r="AO33" s="582">
        <f t="shared" si="94"/>
        <v>25.992590854213006</v>
      </c>
      <c r="AP33" s="585">
        <f t="shared" si="95"/>
        <v>-24.72036380636774</v>
      </c>
      <c r="AQ33" s="586">
        <f t="shared" si="9"/>
        <v>0.39341523636132392</v>
      </c>
      <c r="AS33" s="52">
        <f t="shared" si="116"/>
        <v>-68.457042093595078</v>
      </c>
      <c r="AT33" s="72">
        <f t="shared" si="10"/>
        <v>-1.7570776359949087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1513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5.5151548479841885</v>
      </c>
      <c r="C34" s="708">
        <v>2.1456083255115832</v>
      </c>
      <c r="D34" s="709">
        <v>-2.553107700172824</v>
      </c>
      <c r="E34" s="710">
        <v>0.23755089234242904</v>
      </c>
      <c r="F34" s="708">
        <v>0.97137509415637113</v>
      </c>
      <c r="G34" s="711">
        <v>1.3008419244423063E-7</v>
      </c>
      <c r="H34" s="710">
        <v>0.28999999999999998</v>
      </c>
      <c r="I34" s="708">
        <v>0.52</v>
      </c>
      <c r="J34" s="570">
        <v>2.1520000000000001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1513</v>
      </c>
      <c r="L34" s="320"/>
      <c r="M34" s="168">
        <f t="shared" si="1"/>
        <v>2.1520000000000001</v>
      </c>
      <c r="N34" s="632">
        <f t="shared" si="2"/>
        <v>5.5151548479841885</v>
      </c>
      <c r="O34" s="629">
        <f t="shared" si="3"/>
        <v>2.1456083255115832</v>
      </c>
      <c r="P34" s="633">
        <f t="shared" si="4"/>
        <v>-2.553107700172824</v>
      </c>
      <c r="Q34" s="585">
        <f t="shared" si="113"/>
        <v>21.257957947553823</v>
      </c>
      <c r="R34" s="629">
        <f>IF(M34="","",SQRT(N34^2+O34^2))</f>
        <v>5.917817848138629</v>
      </c>
      <c r="S34" s="634">
        <f>IF(M34="","",P34)</f>
        <v>-2.553107700172824</v>
      </c>
      <c r="T34" s="635">
        <f>IF(M34="","",X34*COS(RADIANS(W34)))</f>
        <v>2.1578277594445088</v>
      </c>
      <c r="U34" s="629">
        <f>IF(M34="","",X34*SIN(RADIANS(W34)))</f>
        <v>-5.5103854170392479</v>
      </c>
      <c r="V34" s="636">
        <f>IF(M34="","",Y34)</f>
        <v>-2.553107700172824</v>
      </c>
      <c r="W34" s="585">
        <f t="shared" si="224"/>
        <v>291.38495792921731</v>
      </c>
      <c r="X34" s="629">
        <f>IF(M34="","",R34)</f>
        <v>5.917817848138629</v>
      </c>
      <c r="Y34" s="630">
        <f t="shared" si="223"/>
        <v>-2.553107700172824</v>
      </c>
      <c r="Z34" s="632">
        <f t="shared" si="6"/>
        <v>-0.23755089234242904</v>
      </c>
      <c r="AA34" s="629">
        <f t="shared" si="7"/>
        <v>-0.97137509415637113</v>
      </c>
      <c r="AB34" s="629">
        <f t="shared" si="8"/>
        <v>-1.3008419244423063E-7</v>
      </c>
      <c r="AC34" s="636">
        <f>IF(M34="","",SQRT(Z34^2+AA34^2+AB34^2))</f>
        <v>1</v>
      </c>
      <c r="AD34" s="637">
        <f>IF(M34="","",Z34*(1/SQRT(Z34^2+AA34^2+AB34^2)))</f>
        <v>-0.23755089234242904</v>
      </c>
      <c r="AE34" s="629">
        <f>IF(M34="","",AA34*(1/SQRT(Z34^2+AA34^2+AB34^2)))</f>
        <v>-0.97137509415637113</v>
      </c>
      <c r="AF34" s="633">
        <f>IF(M34="","",AB34*(1/SQRT(Z34^2+AA34^2+AB34^2)))</f>
        <v>-1.3008419244423063E-7</v>
      </c>
      <c r="AG34" s="602">
        <f>IF(M34="","",DEGREES(ATAN2(-AF34,AE34)))</f>
        <v>-89.999992327088421</v>
      </c>
      <c r="AH34" s="603">
        <f>IF(M34="","",DEGREES(ACOS(AD34)))</f>
        <v>103.74203699907133</v>
      </c>
      <c r="AI34" s="585">
        <f>IF(M34="","",DEGREES(-ACOS(-AF34)))</f>
        <v>-89.999992546724783</v>
      </c>
      <c r="AJ34" s="586">
        <f>IF(M34="","",DEGREES(ATAN2(-AE34,AD34)))</f>
        <v>-13.742036999071445</v>
      </c>
      <c r="AK34" s="635">
        <f>IF(M34="","",(COS(RADIANS((90-$Q$8)-W34))*AD34)+(-SIN(RADIANS((90-$Q$8)-W34))*AE34))</f>
        <v>0.8191520948772919</v>
      </c>
      <c r="AL34" s="629">
        <f>IF(M34="","",(SIN(RADIANS((90-$Q$8)-W34))*AD34)+(COS(RADIANS((90-$Q$8)-W34))*AE34))</f>
        <v>-0.5735763641034447</v>
      </c>
      <c r="AM34" s="634">
        <f>IF(M34="","",AF34)</f>
        <v>-1.3008419244423063E-7</v>
      </c>
      <c r="AN34" s="581">
        <f>IF(M34="","",DEGREES(ATAN2(-AM34,AL34)))</f>
        <v>-89.999987005609583</v>
      </c>
      <c r="AO34" s="582">
        <f t="shared" si="94"/>
        <v>34.999994946625968</v>
      </c>
      <c r="AP34" s="585">
        <f>IF(M34="","",DEGREES(ATAN2(AK34,AL34)))</f>
        <v>-34.999994946625279</v>
      </c>
      <c r="AQ34" s="586">
        <f t="shared" si="9"/>
        <v>0.38522515205170221</v>
      </c>
      <c r="AS34" s="52">
        <f t="shared" si="116"/>
        <v>-68.615042070782692</v>
      </c>
      <c r="AT34" s="72">
        <f t="shared" si="10"/>
        <v>-2.5053701709697362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2.1520000000000001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1513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5.5151548479841885</v>
      </c>
      <c r="C35" s="708">
        <v>2.1456083255115832</v>
      </c>
      <c r="D35" s="709">
        <v>-3.2977099458931964</v>
      </c>
      <c r="E35" s="710">
        <v>0.23755089234242904</v>
      </c>
      <c r="F35" s="708">
        <v>0.97137509415637113</v>
      </c>
      <c r="G35" s="711">
        <v>1.3008419244423063E-7</v>
      </c>
      <c r="H35" s="710">
        <v>0.28999999999999998</v>
      </c>
      <c r="I35" s="708">
        <v>0.52</v>
      </c>
      <c r="J35" s="570">
        <v>2.1579999999999999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1513</v>
      </c>
      <c r="L35" s="320"/>
      <c r="M35" s="168">
        <f t="shared" si="1"/>
        <v>2.1579999999999999</v>
      </c>
      <c r="N35" s="632">
        <f t="shared" si="2"/>
        <v>5.5151548479841885</v>
      </c>
      <c r="O35" s="629">
        <f t="shared" si="3"/>
        <v>2.1456083255115832</v>
      </c>
      <c r="P35" s="633">
        <f t="shared" si="4"/>
        <v>-3.2977099458931964</v>
      </c>
      <c r="Q35" s="585">
        <f t="shared" si="113"/>
        <v>21.257957947553823</v>
      </c>
      <c r="R35" s="629">
        <f>IF(M35="","",SQRT(N35^2+O35^2))</f>
        <v>5.917817848138629</v>
      </c>
      <c r="S35" s="634">
        <f>IF(M35="","",P35)</f>
        <v>-3.2977099458931964</v>
      </c>
      <c r="T35" s="635">
        <f>IF(M35="","",X35*COS(RADIANS(W35)))</f>
        <v>2.1578277594445088</v>
      </c>
      <c r="U35" s="629">
        <f>IF(M35="","",X35*SIN(RADIANS(W35)))</f>
        <v>-5.5103854170392479</v>
      </c>
      <c r="V35" s="636">
        <f>IF(M35="","",Y35)</f>
        <v>-3.2977099458931964</v>
      </c>
      <c r="W35" s="585">
        <f t="shared" si="224"/>
        <v>291.38495792921731</v>
      </c>
      <c r="X35" s="629">
        <f>IF(M35="","",R35)</f>
        <v>5.917817848138629</v>
      </c>
      <c r="Y35" s="630">
        <f t="shared" si="223"/>
        <v>-3.2977099458931964</v>
      </c>
      <c r="Z35" s="632">
        <f t="shared" si="6"/>
        <v>-0.23755089234242904</v>
      </c>
      <c r="AA35" s="629">
        <f t="shared" si="7"/>
        <v>-0.97137509415637113</v>
      </c>
      <c r="AB35" s="629">
        <f t="shared" si="8"/>
        <v>-1.3008419244423063E-7</v>
      </c>
      <c r="AC35" s="636">
        <f>IF(M35="","",SQRT(Z35^2+AA35^2+AB35^2))</f>
        <v>1</v>
      </c>
      <c r="AD35" s="637">
        <f>IF(M35="","",Z35*(1/SQRT(Z35^2+AA35^2+AB35^2)))</f>
        <v>-0.23755089234242904</v>
      </c>
      <c r="AE35" s="629">
        <f>IF(M35="","",AA35*(1/SQRT(Z35^2+AA35^2+AB35^2)))</f>
        <v>-0.97137509415637113</v>
      </c>
      <c r="AF35" s="633">
        <f>IF(M35="","",AB35*(1/SQRT(Z35^2+AA35^2+AB35^2)))</f>
        <v>-1.3008419244423063E-7</v>
      </c>
      <c r="AG35" s="602">
        <f>IF(M35="","",DEGREES(ATAN2(-AF35,AE35)))</f>
        <v>-89.999992327088421</v>
      </c>
      <c r="AH35" s="603">
        <f>IF(M35="","",DEGREES(ACOS(AD35)))</f>
        <v>103.74203699907133</v>
      </c>
      <c r="AI35" s="585">
        <f>IF(M35="","",DEGREES(-ACOS(-AF35)))</f>
        <v>-89.999992546724783</v>
      </c>
      <c r="AJ35" s="586">
        <f>IF(M35="","",DEGREES(ATAN2(-AE35,AD35)))</f>
        <v>-13.742036999071445</v>
      </c>
      <c r="AK35" s="635">
        <f>IF(M35="","",(COS(RADIANS((90-$Q$8)-W35))*AD35)+(-SIN(RADIANS((90-$Q$8)-W35))*AE35))</f>
        <v>0.8191520948772919</v>
      </c>
      <c r="AL35" s="629">
        <f>IF(M35="","",(SIN(RADIANS((90-$Q$8)-W35))*AD35)+(COS(RADIANS((90-$Q$8)-W35))*AE35))</f>
        <v>-0.5735763641034447</v>
      </c>
      <c r="AM35" s="634">
        <f>IF(M35="","",AF35)</f>
        <v>-1.3008419244423063E-7</v>
      </c>
      <c r="AN35" s="581">
        <f>IF(M35="","",DEGREES(ATAN2(-AM35,AL35)))</f>
        <v>-89.999987005609583</v>
      </c>
      <c r="AO35" s="582">
        <f t="shared" si="94"/>
        <v>34.999994946625968</v>
      </c>
      <c r="AP35" s="585">
        <f>IF(M35="","",DEGREES(ATAN2(AK35,AL35)))</f>
        <v>-34.999994946625279</v>
      </c>
      <c r="AQ35" s="586">
        <f t="shared" si="9"/>
        <v>0.38522515205170221</v>
      </c>
      <c r="AS35" s="52">
        <f t="shared" si="116"/>
        <v>-68.615042070782692</v>
      </c>
      <c r="AT35" s="72">
        <f t="shared" si="10"/>
        <v>-3.2499724166901087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1513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3.0350088384041327</v>
      </c>
      <c r="C36" s="708">
        <v>0.22346083900347669</v>
      </c>
      <c r="D36" s="709">
        <v>-0.14726100071082002</v>
      </c>
      <c r="E36" s="710">
        <v>-0.2581203300948578</v>
      </c>
      <c r="F36" s="708">
        <v>-1.9004588918913018E-2</v>
      </c>
      <c r="G36" s="711">
        <v>0.96592583607218252</v>
      </c>
      <c r="H36" s="710">
        <v>0.26250000000000001</v>
      </c>
      <c r="I36" s="708">
        <v>0.40699999999999997</v>
      </c>
      <c r="J36" s="570">
        <v>2.2160000000000002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2.2160000000000002</v>
      </c>
      <c r="N36" s="632">
        <f t="shared" si="2"/>
        <v>3.0350088384041327</v>
      </c>
      <c r="O36" s="629">
        <f t="shared" si="3"/>
        <v>0.22346083900347669</v>
      </c>
      <c r="P36" s="633">
        <f t="shared" si="4"/>
        <v>-0.14726100071082002</v>
      </c>
      <c r="Q36" s="585">
        <f t="shared" si="113"/>
        <v>4.2109604088357449</v>
      </c>
      <c r="R36" s="629">
        <f>IF(M36="","",SQRT(N36^2+O36^2))</f>
        <v>3.0432241777035323</v>
      </c>
      <c r="S36" s="634">
        <f>IF(M36="","",P36)</f>
        <v>-0.14726100071082002</v>
      </c>
      <c r="T36" s="635">
        <f>IF(M36="","",X36*COS(RADIANS(W36)))</f>
        <v>0.23018758749906562</v>
      </c>
      <c r="U36" s="629">
        <f>IF(M36="","",X36*SIN(RADIANS(W36)))</f>
        <v>-3.0345060669441248</v>
      </c>
      <c r="V36" s="636">
        <f>IF(M36="","",Y36)</f>
        <v>-0.14726100071082002</v>
      </c>
      <c r="W36" s="585">
        <f t="shared" si="224"/>
        <v>274.33796039049918</v>
      </c>
      <c r="X36" s="629">
        <f>IF(M36="","",R36)</f>
        <v>3.0432241777035323</v>
      </c>
      <c r="Y36" s="630">
        <f t="shared" si="223"/>
        <v>-0.14726100071082002</v>
      </c>
      <c r="Z36" s="632">
        <f t="shared" si="6"/>
        <v>0.2581203300948578</v>
      </c>
      <c r="AA36" s="629">
        <f t="shared" si="7"/>
        <v>1.9004588918913018E-2</v>
      </c>
      <c r="AB36" s="629">
        <f t="shared" si="8"/>
        <v>-0.96592583607218252</v>
      </c>
      <c r="AC36" s="636">
        <f>IF(M36="","",SQRT(Z36^2+AA36^2+AB36^2))</f>
        <v>1</v>
      </c>
      <c r="AD36" s="637">
        <f>IF(M36="","",Z36*(1/SQRT(Z36^2+AA36^2+AB36^2)))</f>
        <v>0.2581203300948578</v>
      </c>
      <c r="AE36" s="629">
        <f>IF(M36="","",AA36*(1/SQRT(Z36^2+AA36^2+AB36^2)))</f>
        <v>1.9004588918913018E-2</v>
      </c>
      <c r="AF36" s="633">
        <f>IF(M36="","",AB36*(1/SQRT(Z36^2+AA36^2+AB36^2)))</f>
        <v>-0.96592583607218252</v>
      </c>
      <c r="AG36" s="602">
        <f>IF(M36="","",DEGREES(ATAN2(-AF36,AE36)))</f>
        <v>1.1271489220170618</v>
      </c>
      <c r="AH36" s="603">
        <f>IF(M36="","",DEGREES(ACOS(AD36)))</f>
        <v>75.041441635003508</v>
      </c>
      <c r="AI36" s="585">
        <f>IF(M36="","",DEGREES(-ACOS(-AF36)))</f>
        <v>-14.999997834273763</v>
      </c>
      <c r="AJ36" s="586">
        <f>IF(M36="","",DEGREES(ATAN2(-AE36,AD36)))</f>
        <v>94.210910202359543</v>
      </c>
      <c r="AK36" s="635">
        <f>IF(M36="","",(COS(RADIANS((90-$Q$8)-W36))*AD36)+(-SIN(RADIANS((90-$Q$8)-W36))*AE36))</f>
        <v>2.2679489666485586E-7</v>
      </c>
      <c r="AL36" s="629">
        <f>IF(M36="","",(SIN(RADIANS((90-$Q$8)-W36))*AD36)+(COS(RADIANS((90-$Q$8)-W36))*AE36))</f>
        <v>0.25881900859133933</v>
      </c>
      <c r="AM36" s="634">
        <f>IF(M36="","",AF36)</f>
        <v>-0.96592583607218252</v>
      </c>
      <c r="AN36" s="581">
        <f>IF(M36="","",DEGREES(ATAN2(-AM36,AL36)))</f>
        <v>14.999997834268271</v>
      </c>
      <c r="AO36" s="582">
        <f t="shared" si="94"/>
        <v>0</v>
      </c>
      <c r="AP36" s="585">
        <f>IF(M36="","",DEGREES(ATAN2(AK36,AL36)))</f>
        <v>89.999949793523797</v>
      </c>
      <c r="AQ36" s="586">
        <f t="shared" si="9"/>
        <v>0.74907289464689797</v>
      </c>
      <c r="AS36" s="52">
        <f t="shared" si="116"/>
        <v>-85.662039609500823</v>
      </c>
      <c r="AT36" s="72">
        <f t="shared" si="10"/>
        <v>-8.7685278772511477E-2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2.2160000000000002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2.1160000000000001</v>
      </c>
      <c r="II36" s="734" cm="1">
        <f t="array" ref="II36">IFERROR(ROUND(VALUE(IF($IH36&lt;1,$IH36+LARGE((IF($M$9:$M$150="",0,$M$9:$M$150)-MOD(IF($M$9:$M$150="",0,$M$9:$M$150),1)),1),$IH36)),4),"")</f>
        <v>2.1160000000000001</v>
      </c>
      <c r="IJ36" s="533">
        <f t="shared" si="112"/>
        <v>1513</v>
      </c>
      <c r="IK36" s="533" t="str">
        <f t="shared" si="66"/>
        <v>Inactive</v>
      </c>
      <c r="IL36" s="727">
        <f t="shared" si="225"/>
        <v>20.270997073230149</v>
      </c>
      <c r="IM36" s="759">
        <v>1.7936556204981101E-2</v>
      </c>
      <c r="IN36" s="5">
        <f t="shared" si="226"/>
        <v>0.3</v>
      </c>
      <c r="IO36" s="771">
        <v>150</v>
      </c>
      <c r="IP36" s="9">
        <f t="shared" si="227"/>
        <v>-3.0474091909861207</v>
      </c>
      <c r="IQ36" s="5">
        <f t="shared" si="228"/>
        <v>-0.14580043973412626</v>
      </c>
      <c r="IR36" s="5">
        <f t="shared" si="71"/>
        <v>0.28999999999999998</v>
      </c>
      <c r="IS36" s="5">
        <f t="shared" si="229"/>
        <v>0.27985315979592673</v>
      </c>
      <c r="IT36" s="727">
        <f t="shared" si="230"/>
        <v>-5.44733947983676</v>
      </c>
      <c r="IU36" s="9">
        <f t="shared" si="231"/>
        <v>-3.0432241777035323</v>
      </c>
      <c r="IV36" s="5">
        <f t="shared" si="232"/>
        <v>-0.14726100071082002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-14.999997834268271</v>
      </c>
    </row>
    <row r="37" spans="1:267" ht="15" customHeight="1" x14ac:dyDescent="0.25">
      <c r="A37" s="79"/>
      <c r="B37" s="707">
        <v>3.7292893338414141</v>
      </c>
      <c r="C37" s="708">
        <v>0.49282178322039372</v>
      </c>
      <c r="D37" s="709">
        <v>-4.932781177717304E-2</v>
      </c>
      <c r="E37" s="710">
        <v>-2.9712398171801211E-8</v>
      </c>
      <c r="F37" s="708">
        <v>2.2484016225350603E-7</v>
      </c>
      <c r="G37" s="711">
        <v>0.99999999999997435</v>
      </c>
      <c r="H37" s="710">
        <v>0.26250000000000001</v>
      </c>
      <c r="I37" s="708">
        <v>0.40699999999999997</v>
      </c>
      <c r="J37" s="570">
        <v>2.222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2.222</v>
      </c>
      <c r="N37" s="632">
        <f t="shared" si="2"/>
        <v>3.7292893338414141</v>
      </c>
      <c r="O37" s="629">
        <f t="shared" si="3"/>
        <v>0.49282178322039372</v>
      </c>
      <c r="P37" s="633">
        <f t="shared" si="4"/>
        <v>-4.932781177717304E-2</v>
      </c>
      <c r="Q37" s="585">
        <f t="shared" si="113"/>
        <v>7.5279599299202724</v>
      </c>
      <c r="R37" s="629">
        <f t="shared" si="79"/>
        <v>3.7617113453214173</v>
      </c>
      <c r="S37" s="634">
        <f t="shared" si="80"/>
        <v>-4.932781177717304E-2</v>
      </c>
      <c r="T37" s="635">
        <f t="shared" si="81"/>
        <v>0.50108678855882194</v>
      </c>
      <c r="U37" s="629">
        <f t="shared" si="82"/>
        <v>-3.7281878005073286</v>
      </c>
      <c r="V37" s="636">
        <f t="shared" si="114"/>
        <v>-4.932781177717304E-2</v>
      </c>
      <c r="W37" s="585">
        <f t="shared" si="224"/>
        <v>277.65495991158372</v>
      </c>
      <c r="X37" s="629">
        <f t="shared" si="83"/>
        <v>3.7617113453214173</v>
      </c>
      <c r="Y37" s="630">
        <f t="shared" si="223"/>
        <v>-4.932781177717304E-2</v>
      </c>
      <c r="Z37" s="632">
        <f t="shared" si="6"/>
        <v>2.9712398171801211E-8</v>
      </c>
      <c r="AA37" s="629">
        <f t="shared" si="7"/>
        <v>-2.2484016225350603E-7</v>
      </c>
      <c r="AB37" s="629">
        <f t="shared" si="8"/>
        <v>-0.99999999999997435</v>
      </c>
      <c r="AC37" s="636">
        <f t="shared" si="84"/>
        <v>1</v>
      </c>
      <c r="AD37" s="637">
        <f t="shared" si="115"/>
        <v>2.9712398171801211E-8</v>
      </c>
      <c r="AE37" s="629">
        <f t="shared" si="85"/>
        <v>-2.2484016225350603E-7</v>
      </c>
      <c r="AF37" s="633">
        <f t="shared" si="86"/>
        <v>-0.99999999999997435</v>
      </c>
      <c r="AG37" s="602">
        <f t="shared" si="87"/>
        <v>-1.288239236216265E-5</v>
      </c>
      <c r="AH37" s="603">
        <f t="shared" si="88"/>
        <v>89.999998297604989</v>
      </c>
      <c r="AI37" s="585">
        <f t="shared" si="89"/>
        <v>-1.2976235990044085E-5</v>
      </c>
      <c r="AJ37" s="586">
        <f t="shared" si="90"/>
        <v>7.5279599221037703</v>
      </c>
      <c r="AK37" s="635">
        <f t="shared" si="211"/>
        <v>2.2679489669589697E-7</v>
      </c>
      <c r="AL37" s="629">
        <f t="shared" si="91"/>
        <v>-3.0940204430345819E-17</v>
      </c>
      <c r="AM37" s="634">
        <f t="shared" si="92"/>
        <v>-0.99999999999997435</v>
      </c>
      <c r="AN37" s="581">
        <f t="shared" si="93"/>
        <v>-1.7727431311308324E-15</v>
      </c>
      <c r="AO37" s="582">
        <f t="shared" si="94"/>
        <v>0</v>
      </c>
      <c r="AP37" s="585">
        <f t="shared" si="95"/>
        <v>-7.8165036204840595E-9</v>
      </c>
      <c r="AQ37" s="586">
        <f t="shared" si="9"/>
        <v>0.60601184152480947</v>
      </c>
      <c r="AS37" s="52">
        <f t="shared" si="116"/>
        <v>-82.345040088416283</v>
      </c>
      <c r="AT37" s="72">
        <f t="shared" si="10"/>
        <v>7.9444382714934508E-3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2.1219999999999999</v>
      </c>
      <c r="II37" s="734" cm="1">
        <f t="array" ref="II37">IFERROR(ROUND(VALUE(IF($IH37&lt;1,$IH37+LARGE((IF($M$9:$M$150="",0,$M$9:$M$150)-MOD(IF($M$9:$M$150="",0,$M$9:$M$150),1)),1),$IH37)),4),"")</f>
        <v>2.1219999999999999</v>
      </c>
      <c r="IJ37" s="533">
        <f t="shared" si="112"/>
        <v>1513</v>
      </c>
      <c r="IK37" s="533" t="str">
        <f t="shared" si="66"/>
        <v>Inactive</v>
      </c>
      <c r="IL37" s="727">
        <f t="shared" si="225"/>
        <v>16.28499764873726</v>
      </c>
      <c r="IM37" s="759">
        <v>1.5960304609654499E-2</v>
      </c>
      <c r="IN37" s="5">
        <f t="shared" si="226"/>
        <v>0.34</v>
      </c>
      <c r="IO37" s="771">
        <v>170</v>
      </c>
      <c r="IP37" s="9">
        <f t="shared" si="227"/>
        <v>-3.7617113453214173</v>
      </c>
      <c r="IQ37" s="5">
        <f t="shared" si="228"/>
        <v>-5.0400152006858455E-2</v>
      </c>
      <c r="IR37" s="5">
        <f t="shared" si="71"/>
        <v>0.28999999999999998</v>
      </c>
      <c r="IS37" s="5">
        <f t="shared" si="229"/>
        <v>0.27947644981983188</v>
      </c>
      <c r="IT37" s="727">
        <f t="shared" si="230"/>
        <v>14.683962683488543</v>
      </c>
      <c r="IU37" s="9">
        <f t="shared" si="231"/>
        <v>-3.7617113453214173</v>
      </c>
      <c r="IV37" s="5">
        <f t="shared" si="232"/>
        <v>-4.932781177717304E-2</v>
      </c>
      <c r="IW37" s="5">
        <f t="shared" si="76"/>
        <v>0.26250000000000001</v>
      </c>
      <c r="IX37" s="5">
        <f t="shared" si="233"/>
        <v>0.26250000000000001</v>
      </c>
      <c r="IY37" s="762">
        <f t="shared" si="234"/>
        <v>1.7727431311308324E-15</v>
      </c>
    </row>
    <row r="38" spans="1:267" ht="15" customHeight="1" x14ac:dyDescent="0.25">
      <c r="A38" s="79"/>
      <c r="B38" s="707">
        <v>4.3942645493624557</v>
      </c>
      <c r="C38" s="708">
        <v>0.85343896489694304</v>
      </c>
      <c r="D38" s="709">
        <v>-0.16480764577668688</v>
      </c>
      <c r="E38" s="710">
        <v>9.5295258939974703E-3</v>
      </c>
      <c r="F38" s="708">
        <v>0.92138225424626408</v>
      </c>
      <c r="G38" s="711">
        <v>0.38854076967071122</v>
      </c>
      <c r="H38" s="710">
        <v>0.26600000000000001</v>
      </c>
      <c r="I38" s="708">
        <v>0.52</v>
      </c>
      <c r="J38" s="570">
        <v>2.2280000000000002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2.2280000000000002</v>
      </c>
      <c r="N38" s="632">
        <f t="shared" si="2"/>
        <v>4.3942645493624557</v>
      </c>
      <c r="O38" s="629">
        <f t="shared" si="3"/>
        <v>0.85343896489694304</v>
      </c>
      <c r="P38" s="633">
        <f t="shared" si="4"/>
        <v>-0.16480764577668688</v>
      </c>
      <c r="Q38" s="585">
        <f t="shared" si="113"/>
        <v>10.990959429925002</v>
      </c>
      <c r="R38" s="629">
        <f t="shared" si="79"/>
        <v>4.4763734201458201</v>
      </c>
      <c r="S38" s="634">
        <f t="shared" si="80"/>
        <v>-0.16480764577668688</v>
      </c>
      <c r="T38" s="635">
        <f t="shared" si="81"/>
        <v>0.8631770458119431</v>
      </c>
      <c r="U38" s="629">
        <f t="shared" si="82"/>
        <v>-4.3923620506706129</v>
      </c>
      <c r="V38" s="636">
        <f t="shared" si="114"/>
        <v>-0.16480764577668688</v>
      </c>
      <c r="W38" s="585">
        <f t="shared" si="224"/>
        <v>281.11795941158846</v>
      </c>
      <c r="X38" s="629">
        <f t="shared" si="83"/>
        <v>4.4763734201458201</v>
      </c>
      <c r="Y38" s="630">
        <f t="shared" si="223"/>
        <v>-0.16480764577668688</v>
      </c>
      <c r="Z38" s="632">
        <f t="shared" si="6"/>
        <v>-9.5295258939974703E-3</v>
      </c>
      <c r="AA38" s="629">
        <f t="shared" si="7"/>
        <v>-0.92138225424626408</v>
      </c>
      <c r="AB38" s="629">
        <f t="shared" si="8"/>
        <v>-0.38854076967071122</v>
      </c>
      <c r="AC38" s="636">
        <f t="shared" si="84"/>
        <v>1</v>
      </c>
      <c r="AD38" s="637">
        <f t="shared" si="115"/>
        <v>-9.5295258939974703E-3</v>
      </c>
      <c r="AE38" s="629">
        <f t="shared" si="85"/>
        <v>-0.92138225424626408</v>
      </c>
      <c r="AF38" s="633">
        <f t="shared" si="86"/>
        <v>-0.38854076967071122</v>
      </c>
      <c r="AG38" s="602">
        <f t="shared" si="87"/>
        <v>-67.135170658148937</v>
      </c>
      <c r="AH38" s="603">
        <f t="shared" si="88"/>
        <v>90.546009878728455</v>
      </c>
      <c r="AI38" s="585">
        <f t="shared" si="89"/>
        <v>-67.13626774266379</v>
      </c>
      <c r="AJ38" s="586">
        <f t="shared" si="90"/>
        <v>-0.59256855076353177</v>
      </c>
      <c r="AK38" s="635">
        <f t="shared" si="211"/>
        <v>0.90266475297752624</v>
      </c>
      <c r="AL38" s="629">
        <f t="shared" si="91"/>
        <v>-0.1850200368492915</v>
      </c>
      <c r="AM38" s="634">
        <f t="shared" si="92"/>
        <v>-0.38854076967071122</v>
      </c>
      <c r="AN38" s="581">
        <f t="shared" si="93"/>
        <v>-25.463419916760614</v>
      </c>
      <c r="AO38" s="582">
        <f t="shared" si="94"/>
        <v>25.489421646907779</v>
      </c>
      <c r="AP38" s="585">
        <f t="shared" si="95"/>
        <v>-11.583527980688542</v>
      </c>
      <c r="AQ38" s="586">
        <f t="shared" si="9"/>
        <v>0.50926640439087945</v>
      </c>
      <c r="AS38" s="52">
        <f t="shared" si="116"/>
        <v>-78.882040588411542</v>
      </c>
      <c r="AT38" s="72">
        <f t="shared" si="10"/>
        <v>-0.10994025649191258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2.2280000000000002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2.1280000000000001</v>
      </c>
      <c r="II38" s="734" cm="1">
        <f t="array" ref="II38">IFERROR(ROUND(VALUE(IF($IH38&lt;1,$IH38+LARGE((IF($M$9:$M$150="",0,$M$9:$M$150)-MOD(IF($M$9:$M$150="",0,$M$9:$M$150),1)),1),$IH38)),4),"")</f>
        <v>2.1280000000000001</v>
      </c>
      <c r="IJ38" s="533">
        <f t="shared" si="112"/>
        <v>1513</v>
      </c>
      <c r="IK38" s="533">
        <f t="shared" si="66"/>
        <v>1313</v>
      </c>
      <c r="IL38" s="727">
        <f t="shared" si="225"/>
        <v>12.046998260628641</v>
      </c>
      <c r="IM38" s="759">
        <v>5.1200965336072202E-3</v>
      </c>
      <c r="IN38" s="5">
        <f t="shared" si="226"/>
        <v>0.12</v>
      </c>
      <c r="IO38" s="771">
        <v>60</v>
      </c>
      <c r="IP38" s="9">
        <f t="shared" si="227"/>
        <v>-4.4673134734174367</v>
      </c>
      <c r="IQ38" s="5">
        <f t="shared" si="228"/>
        <v>-0.19670059324898953</v>
      </c>
      <c r="IR38" s="5">
        <f t="shared" si="71"/>
        <v>0.28999999999999998</v>
      </c>
      <c r="IS38" s="5">
        <f t="shared" si="229"/>
        <v>0.27899250783274177</v>
      </c>
      <c r="IT38" s="727">
        <f t="shared" si="230"/>
        <v>32.611181056223465</v>
      </c>
      <c r="IU38" s="9">
        <f t="shared" si="231"/>
        <v>-4.4763734201458201</v>
      </c>
      <c r="IV38" s="5">
        <f t="shared" si="232"/>
        <v>-0.16480764577668688</v>
      </c>
      <c r="IW38" s="5">
        <f t="shared" si="76"/>
        <v>0.26600000000000001</v>
      </c>
      <c r="IX38" s="5">
        <f t="shared" si="233"/>
        <v>0.24010882429202202</v>
      </c>
      <c r="IY38" s="762">
        <f t="shared" si="234"/>
        <v>25.463419916760614</v>
      </c>
    </row>
    <row r="39" spans="1:267" ht="15" customHeight="1" x14ac:dyDescent="0.25">
      <c r="A39" s="79"/>
      <c r="B39" s="707">
        <v>4.9950384192031905</v>
      </c>
      <c r="C39" s="708">
        <v>1.0364193996747062</v>
      </c>
      <c r="D39" s="709">
        <v>-0.54025481575477396</v>
      </c>
      <c r="E39" s="710">
        <v>0.1056219779628909</v>
      </c>
      <c r="F39" s="708">
        <v>0.93450827627651079</v>
      </c>
      <c r="G39" s="711">
        <v>0.3399092222077994</v>
      </c>
      <c r="H39" s="710">
        <v>0.26600000000000001</v>
      </c>
      <c r="I39" s="708">
        <v>0.52</v>
      </c>
      <c r="J39" s="570">
        <v>2.234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2.234</v>
      </c>
      <c r="N39" s="632">
        <f t="shared" si="2"/>
        <v>4.9950384192031905</v>
      </c>
      <c r="O39" s="629">
        <f t="shared" si="3"/>
        <v>1.0364193996747062</v>
      </c>
      <c r="P39" s="633">
        <f t="shared" si="4"/>
        <v>-0.54025481575477396</v>
      </c>
      <c r="Q39" s="585">
        <f t="shared" si="113"/>
        <v>11.72195932438167</v>
      </c>
      <c r="R39" s="629">
        <f t="shared" si="79"/>
        <v>5.1014286216057148</v>
      </c>
      <c r="S39" s="634">
        <f t="shared" si="80"/>
        <v>-0.54025481575477396</v>
      </c>
      <c r="T39" s="635">
        <f t="shared" si="81"/>
        <v>1.0474886860251804</v>
      </c>
      <c r="U39" s="629">
        <f t="shared" si="82"/>
        <v>-4.9927288564458641</v>
      </c>
      <c r="V39" s="636">
        <f t="shared" si="114"/>
        <v>-0.54025481575477396</v>
      </c>
      <c r="W39" s="585">
        <f t="shared" si="224"/>
        <v>281.84895930604512</v>
      </c>
      <c r="X39" s="629">
        <f t="shared" si="83"/>
        <v>5.1014286216057148</v>
      </c>
      <c r="Y39" s="630">
        <f t="shared" si="223"/>
        <v>-0.54025481575477396</v>
      </c>
      <c r="Z39" s="632">
        <f t="shared" si="6"/>
        <v>-0.1056219779628909</v>
      </c>
      <c r="AA39" s="629">
        <f t="shared" si="7"/>
        <v>-0.93450827627651079</v>
      </c>
      <c r="AB39" s="629">
        <f t="shared" si="8"/>
        <v>-0.3399092222077994</v>
      </c>
      <c r="AC39" s="636">
        <f t="shared" si="84"/>
        <v>1</v>
      </c>
      <c r="AD39" s="637">
        <f t="shared" si="115"/>
        <v>-0.1056219779628909</v>
      </c>
      <c r="AE39" s="629">
        <f t="shared" si="85"/>
        <v>-0.93450827627651079</v>
      </c>
      <c r="AF39" s="633">
        <f t="shared" si="86"/>
        <v>-0.3399092222077994</v>
      </c>
      <c r="AG39" s="602">
        <f t="shared" si="87"/>
        <v>-70.012126688725971</v>
      </c>
      <c r="AH39" s="603">
        <f t="shared" si="88"/>
        <v>96.063002544777902</v>
      </c>
      <c r="AI39" s="585">
        <f t="shared" si="89"/>
        <v>-70.128656505151625</v>
      </c>
      <c r="AJ39" s="586">
        <f t="shared" si="90"/>
        <v>-6.4484396951213565</v>
      </c>
      <c r="AK39" s="635">
        <f t="shared" si="211"/>
        <v>0.89356068940487543</v>
      </c>
      <c r="AL39" s="629">
        <f t="shared" si="91"/>
        <v>-0.29327634580438389</v>
      </c>
      <c r="AM39" s="634">
        <f t="shared" si="92"/>
        <v>-0.3399092222077994</v>
      </c>
      <c r="AN39" s="581">
        <f t="shared" si="93"/>
        <v>-40.78788267740557</v>
      </c>
      <c r="AO39" s="582">
        <f t="shared" si="94"/>
        <v>26.675850788167491</v>
      </c>
      <c r="AP39" s="585">
        <f t="shared" si="95"/>
        <v>-18.170399019503037</v>
      </c>
      <c r="AQ39" s="586">
        <f t="shared" si="9"/>
        <v>0.44687097977280421</v>
      </c>
      <c r="AS39" s="52">
        <f t="shared" si="116"/>
        <v>-78.151040693954883</v>
      </c>
      <c r="AT39" s="72">
        <f t="shared" si="10"/>
        <v>-0.48589506528559456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2.234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2.1339999999999999</v>
      </c>
      <c r="II39" s="734" cm="1">
        <f t="array" ref="II39">IFERROR(ROUND(VALUE(IF($IH39&lt;1,$IH39+LARGE((IF($M$9:$M$150="",0,$M$9:$M$150)-MOD(IF($M$9:$M$150="",0,$M$9:$M$150),1)),1),$IH39)),4),"")</f>
        <v>2.1339999999999999</v>
      </c>
      <c r="IJ39" s="533">
        <f t="shared" si="112"/>
        <v>1513</v>
      </c>
      <c r="IK39" s="533">
        <f t="shared" si="66"/>
        <v>1313</v>
      </c>
      <c r="IL39" s="727">
        <f t="shared" si="225"/>
        <v>10.582998472004078</v>
      </c>
      <c r="IM39" s="759">
        <v>4.0372487116030501E-3</v>
      </c>
      <c r="IN39" s="5">
        <f t="shared" si="226"/>
        <v>0.1</v>
      </c>
      <c r="IO39" s="771">
        <v>50</v>
      </c>
      <c r="IP39" s="9">
        <f t="shared" si="227"/>
        <v>-5.083515331882241</v>
      </c>
      <c r="IQ39" s="5">
        <f t="shared" si="228"/>
        <v>-0.57030172002998769</v>
      </c>
      <c r="IR39" s="5">
        <f t="shared" si="71"/>
        <v>0.28999999999999998</v>
      </c>
      <c r="IS39" s="5">
        <f t="shared" si="229"/>
        <v>0.27714273189137367</v>
      </c>
      <c r="IT39" s="727">
        <f t="shared" si="230"/>
        <v>48.365996286140849</v>
      </c>
      <c r="IU39" s="9">
        <f t="shared" si="231"/>
        <v>-5.1014286216057148</v>
      </c>
      <c r="IV39" s="5">
        <f t="shared" si="232"/>
        <v>-0.54025481575477396</v>
      </c>
      <c r="IW39" s="5">
        <f t="shared" si="76"/>
        <v>0.26600000000000001</v>
      </c>
      <c r="IX39" s="5">
        <f t="shared" si="233"/>
        <v>0.23768714338169689</v>
      </c>
      <c r="IY39" s="762">
        <f t="shared" si="234"/>
        <v>40.78788267740557</v>
      </c>
    </row>
    <row r="40" spans="1:267" ht="15" customHeight="1" x14ac:dyDescent="0.25">
      <c r="A40" s="79"/>
      <c r="B40" s="707">
        <v>5.4440271426016782</v>
      </c>
      <c r="C40" s="708">
        <v>1.1595432763155675</v>
      </c>
      <c r="D40" s="709">
        <v>-1.1017441172158069</v>
      </c>
      <c r="E40" s="710">
        <v>0.2138926278864243</v>
      </c>
      <c r="F40" s="708">
        <v>0.93324660821614214</v>
      </c>
      <c r="G40" s="711">
        <v>0.28861862723827497</v>
      </c>
      <c r="H40" s="710">
        <v>0.26600000000000001</v>
      </c>
      <c r="I40" s="708">
        <v>0.52</v>
      </c>
      <c r="J40" s="570">
        <v>2.2400000000000002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2.2400000000000002</v>
      </c>
      <c r="N40" s="632">
        <f t="shared" si="2"/>
        <v>5.4440271426016782</v>
      </c>
      <c r="O40" s="629">
        <f t="shared" si="3"/>
        <v>1.1595432763155675</v>
      </c>
      <c r="P40" s="633">
        <f t="shared" si="4"/>
        <v>-1.1017441172158069</v>
      </c>
      <c r="Q40" s="585">
        <f t="shared" si="113"/>
        <v>12.023959280778277</v>
      </c>
      <c r="R40" s="629">
        <f t="shared" si="79"/>
        <v>5.5661451776819861</v>
      </c>
      <c r="S40" s="634">
        <f t="shared" si="80"/>
        <v>-1.1017441172158069</v>
      </c>
      <c r="T40" s="635">
        <f t="shared" si="81"/>
        <v>1.1716074733470931</v>
      </c>
      <c r="U40" s="629">
        <f t="shared" si="82"/>
        <v>-5.4414435646645885</v>
      </c>
      <c r="V40" s="636">
        <f t="shared" si="114"/>
        <v>-1.1017441172158069</v>
      </c>
      <c r="W40" s="585">
        <f t="shared" si="224"/>
        <v>282.15095926244175</v>
      </c>
      <c r="X40" s="629">
        <f t="shared" si="83"/>
        <v>5.5661451776819861</v>
      </c>
      <c r="Y40" s="630">
        <f t="shared" si="223"/>
        <v>-1.1017441172158069</v>
      </c>
      <c r="Z40" s="632">
        <f t="shared" si="6"/>
        <v>-0.2138926278864243</v>
      </c>
      <c r="AA40" s="629">
        <f t="shared" si="7"/>
        <v>-0.93324660821614214</v>
      </c>
      <c r="AB40" s="629">
        <f t="shared" si="8"/>
        <v>-0.28861862723827497</v>
      </c>
      <c r="AC40" s="636">
        <f t="shared" si="84"/>
        <v>1</v>
      </c>
      <c r="AD40" s="637">
        <f t="shared" si="115"/>
        <v>-0.2138926278864243</v>
      </c>
      <c r="AE40" s="629">
        <f t="shared" si="85"/>
        <v>-0.93324660821614214</v>
      </c>
      <c r="AF40" s="633">
        <f t="shared" si="86"/>
        <v>-0.28861862723827497</v>
      </c>
      <c r="AG40" s="602">
        <f t="shared" si="87"/>
        <v>-72.815097634773849</v>
      </c>
      <c r="AH40" s="603">
        <f t="shared" si="88"/>
        <v>102.35056833255399</v>
      </c>
      <c r="AI40" s="585">
        <f t="shared" si="89"/>
        <v>-73.224726686377835</v>
      </c>
      <c r="AJ40" s="586">
        <f t="shared" si="90"/>
        <v>-12.908786055094808</v>
      </c>
      <c r="AK40" s="635">
        <f t="shared" si="211"/>
        <v>0.86821344989837157</v>
      </c>
      <c r="AL40" s="629">
        <f t="shared" si="91"/>
        <v>-0.40361453569793754</v>
      </c>
      <c r="AM40" s="634">
        <f t="shared" si="92"/>
        <v>-0.28861862723827497</v>
      </c>
      <c r="AN40" s="581">
        <f t="shared" si="93"/>
        <v>-54.432016350541204</v>
      </c>
      <c r="AO40" s="582">
        <f t="shared" si="94"/>
        <v>29.748310074712506</v>
      </c>
      <c r="AP40" s="585">
        <f t="shared" si="95"/>
        <v>-24.932745335873062</v>
      </c>
      <c r="AQ40" s="586">
        <f t="shared" si="9"/>
        <v>0.4095631231117457</v>
      </c>
      <c r="AS40" s="52">
        <f t="shared" si="116"/>
        <v>-77.849040737558255</v>
      </c>
      <c r="AT40" s="72">
        <f t="shared" si="10"/>
        <v>-1.0475940889385695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2.2400000000000002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</v>
      </c>
      <c r="II40" s="734" cm="1">
        <f t="array" ref="II40">IFERROR(ROUND(VALUE(IF($IH40&lt;1,$IH40+LARGE((IF($M$9:$M$150="",0,$M$9:$M$150)-MOD(IF($M$9:$M$150="",0,$M$9:$M$150),1)),1),$IH40)),4),"")</f>
        <v>2.14</v>
      </c>
      <c r="IJ40" s="533">
        <f t="shared" si="112"/>
        <v>1513</v>
      </c>
      <c r="IK40" s="533">
        <f t="shared" si="66"/>
        <v>1313</v>
      </c>
      <c r="IL40" s="727">
        <f t="shared" si="225"/>
        <v>9.7159985971833862</v>
      </c>
      <c r="IM40" s="759">
        <v>2.92156297577442E-3</v>
      </c>
      <c r="IN40" s="5">
        <f t="shared" si="226"/>
        <v>0.06</v>
      </c>
      <c r="IO40" s="771">
        <v>30</v>
      </c>
      <c r="IP40" s="9">
        <f t="shared" si="227"/>
        <v>-5.5393167065791866</v>
      </c>
      <c r="IQ40" s="5">
        <f t="shared" si="228"/>
        <v>-1.1285034035662653</v>
      </c>
      <c r="IR40" s="5">
        <f t="shared" si="71"/>
        <v>0.28999999999999998</v>
      </c>
      <c r="IS40" s="5">
        <f t="shared" si="229"/>
        <v>0.27219196667136808</v>
      </c>
      <c r="IT40" s="727">
        <f t="shared" si="230"/>
        <v>60.836760022950557</v>
      </c>
      <c r="IU40" s="9">
        <f t="shared" si="231"/>
        <v>-5.5661451776819861</v>
      </c>
      <c r="IV40" s="5">
        <f t="shared" si="232"/>
        <v>-1.1017441172158069</v>
      </c>
      <c r="IW40" s="5">
        <f t="shared" si="76"/>
        <v>0.26600000000000001</v>
      </c>
      <c r="IX40" s="5">
        <f t="shared" si="233"/>
        <v>0.23094477767296684</v>
      </c>
      <c r="IY40" s="762">
        <f t="shared" si="234"/>
        <v>54.432016350541204</v>
      </c>
    </row>
    <row r="41" spans="1:267" ht="15" customHeight="1" x14ac:dyDescent="0.25">
      <c r="A41" s="79"/>
      <c r="B41" s="707">
        <v>5.693846834022966</v>
      </c>
      <c r="C41" s="708">
        <v>1.0952212085911577</v>
      </c>
      <c r="D41" s="709">
        <v>-1.8142997108109462</v>
      </c>
      <c r="E41" s="710">
        <v>0.79233240065173849</v>
      </c>
      <c r="F41" s="708">
        <v>0.15240672778024328</v>
      </c>
      <c r="G41" s="711">
        <v>0.59074660913522969</v>
      </c>
      <c r="H41" s="710">
        <v>0.25700000000000001</v>
      </c>
      <c r="I41" s="708">
        <v>0.45500000000000002</v>
      </c>
      <c r="J41" s="570">
        <v>2.246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2.246</v>
      </c>
      <c r="N41" s="632">
        <f t="shared" ref="N41:N72" si="240">IF(M41="","",B41)</f>
        <v>5.693846834022966</v>
      </c>
      <c r="O41" s="629">
        <f t="shared" ref="O41:O72" si="241">IF(M41="","",C41)</f>
        <v>1.0952212085911577</v>
      </c>
      <c r="P41" s="633">
        <f t="shared" ref="P41:P72" si="242">IF(M41="","",D41)</f>
        <v>-1.8142997108109462</v>
      </c>
      <c r="Q41" s="585">
        <f t="shared" si="113"/>
        <v>10.887959444796358</v>
      </c>
      <c r="R41" s="629">
        <f t="shared" si="79"/>
        <v>5.7982239750686784</v>
      </c>
      <c r="S41" s="634">
        <f t="shared" si="80"/>
        <v>-1.8142997108109462</v>
      </c>
      <c r="T41" s="635">
        <f t="shared" si="81"/>
        <v>1.1078393054732045</v>
      </c>
      <c r="U41" s="629">
        <f t="shared" si="82"/>
        <v>-5.6914052164917823</v>
      </c>
      <c r="V41" s="636">
        <f t="shared" si="114"/>
        <v>-1.8142997108109462</v>
      </c>
      <c r="W41" s="585">
        <f t="shared" si="224"/>
        <v>281.01495942645982</v>
      </c>
      <c r="X41" s="629">
        <f t="shared" si="83"/>
        <v>5.7982239750686784</v>
      </c>
      <c r="Y41" s="630">
        <f t="shared" si="223"/>
        <v>-1.8142997108109462</v>
      </c>
      <c r="Z41" s="632">
        <f t="shared" ref="Z41:Z72" si="243">IF(M41="","",-E41)</f>
        <v>-0.79233240065173849</v>
      </c>
      <c r="AA41" s="629">
        <f t="shared" ref="AA41:AA72" si="244">IF(M41="","",-F41)</f>
        <v>-0.15240672778024328</v>
      </c>
      <c r="AB41" s="629">
        <f t="shared" ref="AB41:AB72" si="245">IF(M41="","",-G41)</f>
        <v>-0.59074660913522969</v>
      </c>
      <c r="AC41" s="636">
        <f t="shared" si="84"/>
        <v>1</v>
      </c>
      <c r="AD41" s="637">
        <f t="shared" si="115"/>
        <v>-0.79233240065173849</v>
      </c>
      <c r="AE41" s="629">
        <f t="shared" si="85"/>
        <v>-0.15240672778024328</v>
      </c>
      <c r="AF41" s="633">
        <f t="shared" si="86"/>
        <v>-0.59074660913522969</v>
      </c>
      <c r="AG41" s="602">
        <f t="shared" si="87"/>
        <v>-14.466292066596553</v>
      </c>
      <c r="AH41" s="603">
        <f t="shared" si="88"/>
        <v>142.40401531349534</v>
      </c>
      <c r="AI41" s="585">
        <f t="shared" si="89"/>
        <v>-53.789992233687101</v>
      </c>
      <c r="AJ41" s="586">
        <f t="shared" si="90"/>
        <v>-79.112024450257977</v>
      </c>
      <c r="AK41" s="635">
        <f t="shared" si="211"/>
        <v>2.2679489661281416E-7</v>
      </c>
      <c r="AL41" s="629">
        <f t="shared" si="91"/>
        <v>-0.80685713964442096</v>
      </c>
      <c r="AM41" s="634">
        <f t="shared" si="92"/>
        <v>-0.59074660913522969</v>
      </c>
      <c r="AN41" s="581">
        <f t="shared" si="93"/>
        <v>-53.789992233686021</v>
      </c>
      <c r="AO41" s="582">
        <f t="shared" si="94"/>
        <v>0</v>
      </c>
      <c r="AP41" s="585">
        <f t="shared" si="95"/>
        <v>-89.999983895054342</v>
      </c>
      <c r="AQ41" s="586">
        <f t="shared" ref="AQ41:AQ72" si="246">IF(M41="","",DEGREES(ATAN(($AS$5*SIN(RADIANS(90)))/(($X41*2*PI())-($AS$5*COS(RADIANS(90)))))))</f>
        <v>0.3931705395520661</v>
      </c>
      <c r="AS41" s="52">
        <f t="shared" si="116"/>
        <v>-78.985040573540175</v>
      </c>
      <c r="AT41" s="72">
        <f t="shared" ref="AT41:AT72" si="247">IF(M41="","",Y41+(((AS41-$AS$9)*$AS$6)*-1))</f>
        <v>-1.7593607937587215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2.246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2.1459999999999999</v>
      </c>
      <c r="II41" s="734" cm="1">
        <f t="array" ref="II41">IFERROR(ROUND(VALUE(IF($IH41&lt;1,$IH41+LARGE((IF($M$9:$M$150="",0,$M$9:$M$150)-MOD(IF($M$9:$M$150="",0,$M$9:$M$150),1)),1),$IH41)),4),"")</f>
        <v>2.1459999999999999</v>
      </c>
      <c r="IJ41" s="533">
        <f t="shared" si="112"/>
        <v>1513</v>
      </c>
      <c r="IK41" s="533" t="str">
        <f t="shared" ref="IK41:IK72" si="382">IF(ISNUMBER($II41),INDEX($K$9:$K$150,MATCH($IG41,$M$9:$M$150,0)),"")</f>
        <v>Inactive</v>
      </c>
      <c r="IL41" s="727">
        <f t="shared" si="225"/>
        <v>10.527998479945097</v>
      </c>
      <c r="IM41" s="759">
        <v>2.57799409064836E-3</v>
      </c>
      <c r="IN41" s="5">
        <f t="shared" si="226"/>
        <v>0.16</v>
      </c>
      <c r="IO41" s="771">
        <v>80</v>
      </c>
      <c r="IP41" s="9">
        <f t="shared" si="227"/>
        <v>-5.7946174765663097</v>
      </c>
      <c r="IQ41" s="5">
        <f t="shared" si="228"/>
        <v>-1.8047054429916161</v>
      </c>
      <c r="IR41" s="5">
        <f t="shared" ref="IR41:IR72" si="383">IF(ISNUMBER($II41),INDEX($H$9:$H$150,MATCH($II41,$M$9:$M$150,0)),"")</f>
        <v>0.28999999999999998</v>
      </c>
      <c r="IS41" s="5">
        <f t="shared" si="229"/>
        <v>0.2606667106286486</v>
      </c>
      <c r="IT41" s="727">
        <f t="shared" si="230"/>
        <v>70.774045008706068</v>
      </c>
      <c r="IU41" s="9">
        <f t="shared" si="231"/>
        <v>-5.7982239750686784</v>
      </c>
      <c r="IV41" s="5">
        <f t="shared" si="232"/>
        <v>-1.8142997108109462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53.789992233686021</v>
      </c>
    </row>
    <row r="42" spans="1:267" ht="15" customHeight="1" x14ac:dyDescent="0.25">
      <c r="A42" s="79"/>
      <c r="B42" s="707">
        <v>0.66941279196814318</v>
      </c>
      <c r="C42" s="708">
        <v>-0.46872847388737371</v>
      </c>
      <c r="D42" s="709">
        <v>-0.75620228070607864</v>
      </c>
      <c r="E42" s="710">
        <v>0.49291910292465535</v>
      </c>
      <c r="F42" s="708">
        <v>0.82833824509633847</v>
      </c>
      <c r="G42" s="711">
        <v>0.266245205933687</v>
      </c>
      <c r="H42" s="710">
        <v>0.314</v>
      </c>
      <c r="I42" s="708">
        <v>0.52</v>
      </c>
      <c r="J42" s="570">
        <v>3.1030000000000002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3.1030000000000002</v>
      </c>
      <c r="N42" s="632">
        <f t="shared" si="240"/>
        <v>0.66941279196814318</v>
      </c>
      <c r="O42" s="629">
        <f t="shared" si="241"/>
        <v>-0.46872847388737371</v>
      </c>
      <c r="P42" s="633">
        <f t="shared" si="242"/>
        <v>-0.75620228070607864</v>
      </c>
      <c r="Q42" s="585">
        <f t="shared" si="113"/>
        <v>324.9999660702029</v>
      </c>
      <c r="R42" s="629">
        <f t="shared" ref="R42:R47" si="385">IF(M42="","",SQRT(N42^2+O42^2))</f>
        <v>0.81720246468263358</v>
      </c>
      <c r="S42" s="634">
        <f t="shared" ref="S42:S47" si="386">IF(M42="","",P42)</f>
        <v>-0.75620228070607864</v>
      </c>
      <c r="T42" s="635">
        <f t="shared" ref="T42:T47" si="387">IF(M42="","",X42*COS(RADIANS(W42)))</f>
        <v>-0.46724352477117659</v>
      </c>
      <c r="U42" s="629">
        <f t="shared" ref="U42:U47" si="388">IF(M42="","",X42*SIN(RADIANS(W42)))</f>
        <v>-0.6704501151038591</v>
      </c>
      <c r="V42" s="636">
        <f t="shared" ref="V42:V47" si="389">IF(M42="","",Y42)</f>
        <v>-0.75620228070607864</v>
      </c>
      <c r="W42" s="585">
        <f t="shared" si="224"/>
        <v>235.12696605186636</v>
      </c>
      <c r="X42" s="629">
        <f t="shared" ref="X42:X47" si="390">IF(M42="","",R42)</f>
        <v>0.81720246468263358</v>
      </c>
      <c r="Y42" s="630">
        <f t="shared" si="223"/>
        <v>-0.75620228070607864</v>
      </c>
      <c r="Z42" s="632">
        <f t="shared" si="243"/>
        <v>-0.49291910292465535</v>
      </c>
      <c r="AA42" s="629">
        <f t="shared" si="244"/>
        <v>-0.82833824509633847</v>
      </c>
      <c r="AB42" s="629">
        <f t="shared" si="245"/>
        <v>-0.266245205933687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-0.49291910292465535</v>
      </c>
      <c r="AE42" s="629">
        <f t="shared" ref="AE42:AE47" si="393">IF(M42="","",AA42*(1/SQRT(Z42^2+AA42^2+AB42^2)))</f>
        <v>-0.82833824509633847</v>
      </c>
      <c r="AF42" s="633">
        <f t="shared" ref="AF42:AF47" si="394">IF(M42="","",AB42*(1/SQRT(Z42^2+AA42^2+AB42^2)))</f>
        <v>-0.266245205933687</v>
      </c>
      <c r="AG42" s="602">
        <f t="shared" ref="AG42:AG47" si="395">IF(M42="","",DEGREES(ATAN2(-AF42,AE42)))</f>
        <v>-72.181510615443372</v>
      </c>
      <c r="AH42" s="603">
        <f t="shared" ref="AH42:AH47" si="396">IF(M42="","",DEGREES(ACOS(AD42)))</f>
        <v>119.53262699187665</v>
      </c>
      <c r="AI42" s="585">
        <f t="shared" ref="AI42:AI47" si="397">IF(M42="","",DEGREES(-ACOS(-AF42)))</f>
        <v>-74.55904373138371</v>
      </c>
      <c r="AJ42" s="586">
        <f t="shared" ref="AJ42:AJ47" si="398">IF(M42="","",DEGREES(ATAN2(-AE42,AD42)))</f>
        <v>-30.755600544035591</v>
      </c>
      <c r="AK42" s="635">
        <f t="shared" ref="AK42:AK47" si="399">IF(M42="","",(COS(RADIANS((90-$Q$8)-W42))*AD42)+(-SIN(RADIANS((90-$Q$8)-W42))*AE42))</f>
        <v>0.96126170705176617</v>
      </c>
      <c r="AL42" s="629">
        <f t="shared" ref="AL42:AL47" si="400">IF(M42="","",(SIN(RADIANS((90-$Q$8)-W42))*AD42)+(COS(RADIANS((90-$Q$8)-W42))*AE42))</f>
        <v>7.1340177132195703E-2</v>
      </c>
      <c r="AM42" s="634">
        <f t="shared" ref="AM42:AM47" si="401">IF(M42="","",AF42)</f>
        <v>-0.266245205933687</v>
      </c>
      <c r="AN42" s="581">
        <f t="shared" ref="AN42:AN47" si="402">IF(M42="","",DEGREES(ATAN2(-AM42,AL42)))</f>
        <v>14.99999783426825</v>
      </c>
      <c r="AO42" s="582">
        <f t="shared" si="94"/>
        <v>15.99999768988615</v>
      </c>
      <c r="AP42" s="585">
        <f t="shared" ref="AP42:AP47" si="403">IF(M42="","",DEGREES(ATAN2(AK42,AL42)))</f>
        <v>4.2444333857615266</v>
      </c>
      <c r="AQ42" s="586">
        <f t="shared" si="246"/>
        <v>2.7874704707299767</v>
      </c>
      <c r="AS42" s="52">
        <f t="shared" si="116"/>
        <v>-124.87303394813364</v>
      </c>
      <c r="AT42" s="72">
        <f t="shared" si="247"/>
        <v>-0.669396701588164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3.1030000000000002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1.2536335497161606</v>
      </c>
      <c r="C43" s="708">
        <v>-0.87780476803381879</v>
      </c>
      <c r="D43" s="709">
        <v>-0.56870171520437307</v>
      </c>
      <c r="E43" s="710">
        <v>0.49916002344389954</v>
      </c>
      <c r="F43" s="708">
        <v>0.82966215254342945</v>
      </c>
      <c r="G43" s="711">
        <v>0.24999996726497567</v>
      </c>
      <c r="H43" s="710">
        <v>0.314</v>
      </c>
      <c r="I43" s="708">
        <v>0.52</v>
      </c>
      <c r="J43" s="570">
        <v>3.1059999999999999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3.1059999999999999</v>
      </c>
      <c r="N43" s="632">
        <f t="shared" si="240"/>
        <v>1.2536335497161606</v>
      </c>
      <c r="O43" s="629">
        <f t="shared" si="241"/>
        <v>-0.87780476803381879</v>
      </c>
      <c r="P43" s="633">
        <f t="shared" si="242"/>
        <v>-0.56870171520437307</v>
      </c>
      <c r="Q43" s="585">
        <f t="shared" si="113"/>
        <v>324.9999660702029</v>
      </c>
      <c r="R43" s="629">
        <f t="shared" si="385"/>
        <v>1.5304046157003213</v>
      </c>
      <c r="S43" s="634">
        <f t="shared" si="386"/>
        <v>-0.56870171520437307</v>
      </c>
      <c r="T43" s="635">
        <f t="shared" si="387"/>
        <v>-0.87502385010989814</v>
      </c>
      <c r="U43" s="629">
        <f t="shared" si="388"/>
        <v>-1.2555761822747749</v>
      </c>
      <c r="V43" s="636">
        <f t="shared" si="389"/>
        <v>-0.56870171520437307</v>
      </c>
      <c r="W43" s="585">
        <f t="shared" si="224"/>
        <v>235.12696605186636</v>
      </c>
      <c r="X43" s="629">
        <f t="shared" si="390"/>
        <v>1.5304046157003213</v>
      </c>
      <c r="Y43" s="630">
        <f t="shared" si="223"/>
        <v>-0.56870171520437307</v>
      </c>
      <c r="Z43" s="632">
        <f t="shared" si="243"/>
        <v>-0.49916002344389954</v>
      </c>
      <c r="AA43" s="629">
        <f t="shared" si="244"/>
        <v>-0.82966215254342945</v>
      </c>
      <c r="AB43" s="629">
        <f t="shared" si="245"/>
        <v>-0.24999996726497567</v>
      </c>
      <c r="AC43" s="636">
        <f t="shared" si="391"/>
        <v>1</v>
      </c>
      <c r="AD43" s="637">
        <f t="shared" si="392"/>
        <v>-0.49916002344389954</v>
      </c>
      <c r="AE43" s="629">
        <f t="shared" si="393"/>
        <v>-0.82966215254342945</v>
      </c>
      <c r="AF43" s="633">
        <f t="shared" si="394"/>
        <v>-0.24999996726497567</v>
      </c>
      <c r="AG43" s="602">
        <f t="shared" si="395"/>
        <v>-73.231004817230939</v>
      </c>
      <c r="AH43" s="603">
        <f t="shared" si="396"/>
        <v>119.94444314080609</v>
      </c>
      <c r="AI43" s="585">
        <f t="shared" si="397"/>
        <v>-75.522489751159455</v>
      </c>
      <c r="AJ43" s="586">
        <f t="shared" si="398"/>
        <v>-31.032904284710558</v>
      </c>
      <c r="AK43" s="635">
        <f t="shared" si="399"/>
        <v>0.96592583607220739</v>
      </c>
      <c r="AL43" s="629">
        <f t="shared" si="400"/>
        <v>6.6987279208207073E-2</v>
      </c>
      <c r="AM43" s="634">
        <f t="shared" si="401"/>
        <v>-0.24999996726497567</v>
      </c>
      <c r="AN43" s="581">
        <f t="shared" si="402"/>
        <v>14.999997834268239</v>
      </c>
      <c r="AO43" s="582">
        <f t="shared" si="94"/>
        <v>14.999997834268255</v>
      </c>
      <c r="AP43" s="585">
        <f t="shared" si="403"/>
        <v>3.9671296450865641</v>
      </c>
      <c r="AQ43" s="586">
        <f t="shared" si="246"/>
        <v>1.4892879729031008</v>
      </c>
      <c r="AS43" s="52">
        <f t="shared" ref="AS43:AS74" si="406">IF(G43="","",IF(AND(W43&lt;(AS42+180),W43&gt;(AS42-180)),W43,IF(W43&gt;(AS42+180),W43-360,IF(W43&lt;(AS42-180),W43+360,"Error"))))</f>
        <v>-124.87303394813364</v>
      </c>
      <c r="AT43" s="72">
        <f t="shared" si="247"/>
        <v>-0.48189613608645843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3.1059999999999999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1.8323782499843104</v>
      </c>
      <c r="C44" s="708">
        <v>-1.2847632344373223</v>
      </c>
      <c r="D44" s="709">
        <v>-0.38260115392508026</v>
      </c>
      <c r="E44" s="710">
        <v>0.50858013640087074</v>
      </c>
      <c r="F44" s="708">
        <v>0.82303370847532531</v>
      </c>
      <c r="G44" s="711">
        <v>0.25290662223798149</v>
      </c>
      <c r="H44" s="710">
        <v>0.314</v>
      </c>
      <c r="I44" s="708">
        <v>0.52</v>
      </c>
      <c r="J44" s="570">
        <v>3.109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3.109</v>
      </c>
      <c r="N44" s="632">
        <f t="shared" si="240"/>
        <v>1.8323782499843104</v>
      </c>
      <c r="O44" s="629">
        <f t="shared" si="241"/>
        <v>-1.2847632344373223</v>
      </c>
      <c r="P44" s="633">
        <f t="shared" si="242"/>
        <v>-0.38260115392508026</v>
      </c>
      <c r="Q44" s="585">
        <f t="shared" si="113"/>
        <v>324.96396607540066</v>
      </c>
      <c r="R44" s="629">
        <f t="shared" si="385"/>
        <v>2.2379067495267568</v>
      </c>
      <c r="S44" s="634">
        <f t="shared" si="386"/>
        <v>-0.38260115392508026</v>
      </c>
      <c r="T44" s="635">
        <f t="shared" si="387"/>
        <v>-1.2806984909512076</v>
      </c>
      <c r="U44" s="629">
        <f t="shared" si="388"/>
        <v>-1.8352215111132266</v>
      </c>
      <c r="V44" s="636">
        <f t="shared" si="389"/>
        <v>-0.38260115392508026</v>
      </c>
      <c r="W44" s="585">
        <f t="shared" si="224"/>
        <v>235.09096605706412</v>
      </c>
      <c r="X44" s="629">
        <f t="shared" si="390"/>
        <v>2.2379067495267568</v>
      </c>
      <c r="Y44" s="630">
        <f t="shared" si="223"/>
        <v>-0.38260115392508026</v>
      </c>
      <c r="Z44" s="632">
        <f t="shared" si="243"/>
        <v>-0.50858013640087074</v>
      </c>
      <c r="AA44" s="629">
        <f t="shared" si="244"/>
        <v>-0.82303370847532531</v>
      </c>
      <c r="AB44" s="629">
        <f t="shared" si="245"/>
        <v>-0.25290662223798149</v>
      </c>
      <c r="AC44" s="636">
        <f t="shared" si="391"/>
        <v>1</v>
      </c>
      <c r="AD44" s="637">
        <f t="shared" si="392"/>
        <v>-0.50858013640087074</v>
      </c>
      <c r="AE44" s="629">
        <f t="shared" si="393"/>
        <v>-0.82303370847532531</v>
      </c>
      <c r="AF44" s="633">
        <f t="shared" si="394"/>
        <v>-0.25290662223798149</v>
      </c>
      <c r="AG44" s="602">
        <f t="shared" si="395"/>
        <v>-72.918547039457565</v>
      </c>
      <c r="AH44" s="603">
        <f t="shared" si="396"/>
        <v>120.5692995421839</v>
      </c>
      <c r="AI44" s="585">
        <f t="shared" si="397"/>
        <v>-75.350421978459082</v>
      </c>
      <c r="AJ44" s="586">
        <f t="shared" si="398"/>
        <v>-31.713309828277588</v>
      </c>
      <c r="AK44" s="635">
        <f t="shared" si="399"/>
        <v>0.96586425144128984</v>
      </c>
      <c r="AL44" s="629">
        <f t="shared" si="400"/>
        <v>5.6075736427905365E-2</v>
      </c>
      <c r="AM44" s="634">
        <f t="shared" si="401"/>
        <v>-0.25290662223798149</v>
      </c>
      <c r="AN44" s="581">
        <f t="shared" si="402"/>
        <v>12.50166013507299</v>
      </c>
      <c r="AO44" s="582">
        <f t="shared" si="94"/>
        <v>15.013625017859047</v>
      </c>
      <c r="AP44" s="585">
        <f t="shared" si="403"/>
        <v>3.3227240963217515</v>
      </c>
      <c r="AQ44" s="586">
        <f t="shared" si="246"/>
        <v>1.0185797349486643</v>
      </c>
      <c r="AS44" s="52">
        <f t="shared" si="406"/>
        <v>-124.90903394293588</v>
      </c>
      <c r="AT44" s="72">
        <f t="shared" si="247"/>
        <v>-0.29577057481077518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2.3886491672655574</v>
      </c>
      <c r="C45" s="708">
        <v>-1.6990958407443661</v>
      </c>
      <c r="D45" s="709">
        <v>-0.17630053172240359</v>
      </c>
      <c r="E45" s="710">
        <v>0.53583929801056274</v>
      </c>
      <c r="F45" s="708">
        <v>0.803298298338186</v>
      </c>
      <c r="G45" s="711">
        <v>0.25997709628835031</v>
      </c>
      <c r="H45" s="710">
        <v>0.28999999999999998</v>
      </c>
      <c r="I45" s="708">
        <v>0.52</v>
      </c>
      <c r="J45" s="570">
        <v>3.1150000000000002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1513</v>
      </c>
      <c r="L45" s="320"/>
      <c r="M45" s="168">
        <f t="shared" si="239"/>
        <v>3.1150000000000002</v>
      </c>
      <c r="N45" s="632">
        <f t="shared" si="240"/>
        <v>2.3886491672655574</v>
      </c>
      <c r="O45" s="629">
        <f t="shared" si="241"/>
        <v>-1.6990958407443661</v>
      </c>
      <c r="P45" s="633">
        <f t="shared" si="242"/>
        <v>-0.17630053172240359</v>
      </c>
      <c r="Q45" s="585">
        <f t="shared" si="113"/>
        <v>324.5749661315653</v>
      </c>
      <c r="R45" s="629">
        <f t="shared" si="385"/>
        <v>2.9313088408274632</v>
      </c>
      <c r="S45" s="634">
        <f t="shared" si="386"/>
        <v>-0.17630053172240359</v>
      </c>
      <c r="T45" s="635">
        <f t="shared" si="387"/>
        <v>-1.6937970682044492</v>
      </c>
      <c r="U45" s="629">
        <f t="shared" si="388"/>
        <v>-2.3924094574414432</v>
      </c>
      <c r="V45" s="636">
        <f t="shared" si="389"/>
        <v>-0.17630053172240359</v>
      </c>
      <c r="W45" s="585">
        <f t="shared" si="224"/>
        <v>234.70196611322876</v>
      </c>
      <c r="X45" s="629">
        <f t="shared" si="390"/>
        <v>2.9313088408274632</v>
      </c>
      <c r="Y45" s="630">
        <f t="shared" si="223"/>
        <v>-0.17630053172240359</v>
      </c>
      <c r="Z45" s="632">
        <f t="shared" si="243"/>
        <v>-0.53583929801056274</v>
      </c>
      <c r="AA45" s="629">
        <f t="shared" si="244"/>
        <v>-0.803298298338186</v>
      </c>
      <c r="AB45" s="629">
        <f t="shared" si="245"/>
        <v>-0.25997709628835031</v>
      </c>
      <c r="AC45" s="636">
        <f t="shared" si="391"/>
        <v>1</v>
      </c>
      <c r="AD45" s="637">
        <f t="shared" si="392"/>
        <v>-0.53583929801056274</v>
      </c>
      <c r="AE45" s="629">
        <f t="shared" si="393"/>
        <v>-0.803298298338186</v>
      </c>
      <c r="AF45" s="633">
        <f t="shared" si="394"/>
        <v>-0.25997709628835031</v>
      </c>
      <c r="AG45" s="602">
        <f t="shared" si="395"/>
        <v>-72.066497255403917</v>
      </c>
      <c r="AH45" s="603">
        <f t="shared" si="396"/>
        <v>122.4008484550663</v>
      </c>
      <c r="AI45" s="585">
        <f t="shared" si="397"/>
        <v>-74.931296875525888</v>
      </c>
      <c r="AJ45" s="586">
        <f t="shared" si="398"/>
        <v>-33.705229190393872</v>
      </c>
      <c r="AK45" s="635">
        <f t="shared" si="399"/>
        <v>0.96517981815584619</v>
      </c>
      <c r="AL45" s="629">
        <f t="shared" si="400"/>
        <v>2.8979786578328171E-2</v>
      </c>
      <c r="AM45" s="634">
        <f t="shared" si="401"/>
        <v>-0.25997709628835031</v>
      </c>
      <c r="AN45" s="581">
        <f t="shared" si="402"/>
        <v>6.3605333980871546</v>
      </c>
      <c r="AO45" s="582">
        <f t="shared" si="94"/>
        <v>15.164268126831175</v>
      </c>
      <c r="AP45" s="585">
        <f t="shared" si="403"/>
        <v>1.7198046780408272</v>
      </c>
      <c r="AQ45" s="586">
        <f t="shared" si="246"/>
        <v>0.77766853011565462</v>
      </c>
      <c r="AS45" s="52">
        <f t="shared" si="406"/>
        <v>-125.29803388677124</v>
      </c>
      <c r="AT45" s="72">
        <f t="shared" si="247"/>
        <v>-8.9199813758212829E-2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3.1150000000000002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1513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2.9432461088378732</v>
      </c>
      <c r="C46" s="708">
        <v>-2.1434232686706274</v>
      </c>
      <c r="D46" s="709">
        <v>-4.9700149895652086E-2</v>
      </c>
      <c r="E46" s="710">
        <v>0.61901853172322541</v>
      </c>
      <c r="F46" s="708">
        <v>0.74168804411843237</v>
      </c>
      <c r="G46" s="711">
        <v>0.25829228133065973</v>
      </c>
      <c r="H46" s="710">
        <v>0.28999999999999998</v>
      </c>
      <c r="I46" s="708">
        <v>0.52</v>
      </c>
      <c r="J46" s="570">
        <v>3.121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1513</v>
      </c>
      <c r="L46" s="320"/>
      <c r="M46" s="168">
        <f t="shared" si="239"/>
        <v>3.121</v>
      </c>
      <c r="N46" s="632">
        <f t="shared" si="240"/>
        <v>2.9432461088378732</v>
      </c>
      <c r="O46" s="629">
        <f t="shared" si="241"/>
        <v>-2.1434232686706274</v>
      </c>
      <c r="P46" s="633">
        <f t="shared" si="242"/>
        <v>-4.9700149895652086E-2</v>
      </c>
      <c r="Q46" s="585">
        <f t="shared" si="113"/>
        <v>323.93596622382546</v>
      </c>
      <c r="R46" s="629">
        <f t="shared" si="385"/>
        <v>3.6410109812891194</v>
      </c>
      <c r="S46" s="634">
        <f t="shared" si="386"/>
        <v>-4.9700149895652086E-2</v>
      </c>
      <c r="T46" s="635">
        <f t="shared" si="387"/>
        <v>-2.1368941038697309</v>
      </c>
      <c r="U46" s="629">
        <f t="shared" si="388"/>
        <v>-2.9479899176752178</v>
      </c>
      <c r="V46" s="636">
        <f t="shared" si="389"/>
        <v>-4.9700149895652086E-2</v>
      </c>
      <c r="W46" s="585">
        <f t="shared" si="224"/>
        <v>234.06296620548892</v>
      </c>
      <c r="X46" s="629">
        <f t="shared" si="390"/>
        <v>3.6410109812891194</v>
      </c>
      <c r="Y46" s="630">
        <f t="shared" si="223"/>
        <v>-4.9700149895652086E-2</v>
      </c>
      <c r="Z46" s="632">
        <f t="shared" si="243"/>
        <v>-0.61901853172322541</v>
      </c>
      <c r="AA46" s="629">
        <f t="shared" si="244"/>
        <v>-0.74168804411843237</v>
      </c>
      <c r="AB46" s="629">
        <f t="shared" si="245"/>
        <v>-0.25829228133065973</v>
      </c>
      <c r="AC46" s="636">
        <f t="shared" si="391"/>
        <v>1</v>
      </c>
      <c r="AD46" s="637">
        <f t="shared" si="392"/>
        <v>-0.61901853172322541</v>
      </c>
      <c r="AE46" s="629">
        <f t="shared" si="393"/>
        <v>-0.74168804411843237</v>
      </c>
      <c r="AF46" s="633">
        <f t="shared" si="394"/>
        <v>-0.25829228133065973</v>
      </c>
      <c r="AG46" s="602">
        <f t="shared" si="395"/>
        <v>-70.799367706075017</v>
      </c>
      <c r="AH46" s="603">
        <f t="shared" si="396"/>
        <v>128.24449783177656</v>
      </c>
      <c r="AI46" s="585">
        <f t="shared" si="397"/>
        <v>-75.031243742324577</v>
      </c>
      <c r="AJ46" s="586">
        <f t="shared" si="398"/>
        <v>-39.848634453083839</v>
      </c>
      <c r="AK46" s="635">
        <f t="shared" si="399"/>
        <v>0.96396006287637648</v>
      </c>
      <c r="AL46" s="629">
        <f t="shared" si="400"/>
        <v>-6.3765935924879169E-2</v>
      </c>
      <c r="AM46" s="634">
        <f t="shared" si="401"/>
        <v>-0.25829228133065973</v>
      </c>
      <c r="AN46" s="581">
        <f t="shared" si="402"/>
        <v>-13.867609013017537</v>
      </c>
      <c r="AO46" s="582">
        <f t="shared" si="94"/>
        <v>15.429173977415211</v>
      </c>
      <c r="AP46" s="585">
        <f t="shared" si="403"/>
        <v>-3.7846006769093177</v>
      </c>
      <c r="AQ46" s="586">
        <f t="shared" si="246"/>
        <v>0.6260997019813066</v>
      </c>
      <c r="AS46" s="52">
        <f t="shared" si="406"/>
        <v>-125.93703379451108</v>
      </c>
      <c r="AT46" s="72">
        <f t="shared" si="247"/>
        <v>3.7844318004469128E-2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1513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3.4847760775812748</v>
      </c>
      <c r="C47" s="708">
        <v>-2.6099855305460151</v>
      </c>
      <c r="D47" s="709">
        <v>-0.15570046959261641</v>
      </c>
      <c r="E47" s="710">
        <v>0.68465138700358541</v>
      </c>
      <c r="F47" s="708">
        <v>0.68954106877290389</v>
      </c>
      <c r="G47" s="711">
        <v>0.23618973887446551</v>
      </c>
      <c r="H47" s="710">
        <v>0.28999999999999998</v>
      </c>
      <c r="I47" s="708">
        <v>0.52</v>
      </c>
      <c r="J47" s="570">
        <v>3.1269999999999998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1513</v>
      </c>
      <c r="L47" s="320"/>
      <c r="M47" s="168">
        <f t="shared" si="239"/>
        <v>3.1269999999999998</v>
      </c>
      <c r="N47" s="632">
        <f t="shared" si="240"/>
        <v>3.4847760775812748</v>
      </c>
      <c r="O47" s="629">
        <f t="shared" si="241"/>
        <v>-2.6099855305460151</v>
      </c>
      <c r="P47" s="633">
        <f t="shared" si="242"/>
        <v>-0.15570046959261641</v>
      </c>
      <c r="Q47" s="585">
        <f t="shared" si="113"/>
        <v>323.16796633471091</v>
      </c>
      <c r="R47" s="629">
        <f t="shared" si="385"/>
        <v>4.3538131311004031</v>
      </c>
      <c r="S47" s="634">
        <f t="shared" si="386"/>
        <v>-0.15570046959261641</v>
      </c>
      <c r="T47" s="635">
        <f t="shared" si="387"/>
        <v>-2.6022548826702607</v>
      </c>
      <c r="U47" s="629">
        <f t="shared" si="388"/>
        <v>-3.490552722157493</v>
      </c>
      <c r="V47" s="636">
        <f t="shared" si="389"/>
        <v>-0.15570046959261641</v>
      </c>
      <c r="W47" s="585">
        <f t="shared" si="224"/>
        <v>233.29496631637437</v>
      </c>
      <c r="X47" s="629">
        <f t="shared" si="390"/>
        <v>4.3538131311004031</v>
      </c>
      <c r="Y47" s="630">
        <f t="shared" si="223"/>
        <v>-0.15570046959261641</v>
      </c>
      <c r="Z47" s="632">
        <f t="shared" si="243"/>
        <v>-0.68465138700358541</v>
      </c>
      <c r="AA47" s="629">
        <f t="shared" si="244"/>
        <v>-0.68954106877290389</v>
      </c>
      <c r="AB47" s="629">
        <f t="shared" si="245"/>
        <v>-0.23618973887446551</v>
      </c>
      <c r="AC47" s="636">
        <f t="shared" si="391"/>
        <v>1</v>
      </c>
      <c r="AD47" s="637">
        <f t="shared" si="392"/>
        <v>-0.68465138700358541</v>
      </c>
      <c r="AE47" s="629">
        <f t="shared" si="393"/>
        <v>-0.68954106877290389</v>
      </c>
      <c r="AF47" s="633">
        <f t="shared" si="394"/>
        <v>-0.23618973887446551</v>
      </c>
      <c r="AG47" s="602">
        <f t="shared" si="395"/>
        <v>-71.092037608910388</v>
      </c>
      <c r="AH47" s="603">
        <f t="shared" si="396"/>
        <v>133.20819687794895</v>
      </c>
      <c r="AI47" s="585">
        <f t="shared" si="397"/>
        <v>-76.338235819303335</v>
      </c>
      <c r="AJ47" s="586">
        <f t="shared" si="398"/>
        <v>-44.796129759685456</v>
      </c>
      <c r="AK47" s="635">
        <f t="shared" si="399"/>
        <v>0.96233492535273357</v>
      </c>
      <c r="AL47" s="629">
        <f t="shared" si="400"/>
        <v>-0.13463245781296784</v>
      </c>
      <c r="AM47" s="634">
        <f t="shared" si="401"/>
        <v>-0.23618973887446551</v>
      </c>
      <c r="AN47" s="581">
        <f t="shared" si="402"/>
        <v>-29.683928703518006</v>
      </c>
      <c r="AO47" s="582">
        <f t="shared" si="94"/>
        <v>15.775375401223785</v>
      </c>
      <c r="AP47" s="585">
        <f t="shared" si="403"/>
        <v>-7.9640960943963819</v>
      </c>
      <c r="AQ47" s="586">
        <f t="shared" si="246"/>
        <v>0.52360151901963015</v>
      </c>
      <c r="AS47" s="52">
        <f t="shared" si="406"/>
        <v>-126.70503368362563</v>
      </c>
      <c r="AT47" s="72">
        <f t="shared" si="247"/>
        <v>-6.7622668436165642E-2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3.1269999999999998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1513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3.9547033819035975</v>
      </c>
      <c r="C48" s="708">
        <v>-3.0434466335526755</v>
      </c>
      <c r="D48" s="709">
        <v>-0.49380148930529177</v>
      </c>
      <c r="E48" s="710">
        <v>0.7493075275037081</v>
      </c>
      <c r="F48" s="708">
        <v>0.62960070717505479</v>
      </c>
      <c r="G48" s="711">
        <v>0.20528316723723569</v>
      </c>
      <c r="H48" s="710">
        <v>0.28999999999999998</v>
      </c>
      <c r="I48" s="708">
        <v>0.52</v>
      </c>
      <c r="J48" s="570">
        <v>3.133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1513</v>
      </c>
      <c r="L48" s="320"/>
      <c r="M48" s="168">
        <f t="shared" si="239"/>
        <v>3.133</v>
      </c>
      <c r="N48" s="632">
        <f t="shared" si="240"/>
        <v>3.9547033819035975</v>
      </c>
      <c r="O48" s="629">
        <f t="shared" si="241"/>
        <v>-3.0434466335526755</v>
      </c>
      <c r="P48" s="633">
        <f t="shared" si="242"/>
        <v>-0.49380148930529177</v>
      </c>
      <c r="Q48" s="585">
        <f t="shared" si="113"/>
        <v>322.4189664428531</v>
      </c>
      <c r="R48" s="629">
        <f t="shared" si="79"/>
        <v>4.990215050488592</v>
      </c>
      <c r="S48" s="634">
        <f t="shared" si="80"/>
        <v>-0.49380148930529177</v>
      </c>
      <c r="T48" s="635">
        <f t="shared" si="81"/>
        <v>-3.0346732959504243</v>
      </c>
      <c r="U48" s="629">
        <f t="shared" si="82"/>
        <v>-3.9614396672129502</v>
      </c>
      <c r="V48" s="636">
        <f t="shared" si="114"/>
        <v>-0.49380148930529177</v>
      </c>
      <c r="W48" s="585">
        <f t="shared" si="224"/>
        <v>232.54596642451656</v>
      </c>
      <c r="X48" s="629">
        <f t="shared" si="83"/>
        <v>4.990215050488592</v>
      </c>
      <c r="Y48" s="630">
        <f t="shared" si="223"/>
        <v>-0.49380148930529177</v>
      </c>
      <c r="Z48" s="632">
        <f t="shared" si="243"/>
        <v>-0.7493075275037081</v>
      </c>
      <c r="AA48" s="629">
        <f t="shared" si="244"/>
        <v>-0.62960070717505479</v>
      </c>
      <c r="AB48" s="629">
        <f t="shared" si="245"/>
        <v>-0.20528316723723569</v>
      </c>
      <c r="AC48" s="636">
        <f t="shared" si="84"/>
        <v>1</v>
      </c>
      <c r="AD48" s="637">
        <f t="shared" si="115"/>
        <v>-0.7493075275037081</v>
      </c>
      <c r="AE48" s="629">
        <f t="shared" si="85"/>
        <v>-0.62960070717505479</v>
      </c>
      <c r="AF48" s="633">
        <f t="shared" si="86"/>
        <v>-0.20528316723723569</v>
      </c>
      <c r="AG48" s="602">
        <f t="shared" si="87"/>
        <v>-71.941289296830249</v>
      </c>
      <c r="AH48" s="603">
        <f t="shared" si="88"/>
        <v>138.53042934305441</v>
      </c>
      <c r="AI48" s="585">
        <f t="shared" si="89"/>
        <v>-78.153924112565136</v>
      </c>
      <c r="AJ48" s="586">
        <f t="shared" si="90"/>
        <v>-49.961565117544545</v>
      </c>
      <c r="AK48" s="635">
        <f t="shared" si="211"/>
        <v>0.95594307454222027</v>
      </c>
      <c r="AL48" s="629">
        <f t="shared" si="91"/>
        <v>-0.20983722139748345</v>
      </c>
      <c r="AM48" s="634">
        <f t="shared" si="92"/>
        <v>-0.20528316723723569</v>
      </c>
      <c r="AN48" s="581">
        <f t="shared" si="93"/>
        <v>-45.62853481384797</v>
      </c>
      <c r="AO48" s="582">
        <f t="shared" si="94"/>
        <v>17.070735532408822</v>
      </c>
      <c r="AP48" s="585">
        <f t="shared" si="95"/>
        <v>-12.380531560397619</v>
      </c>
      <c r="AQ48" s="586">
        <f t="shared" si="246"/>
        <v>0.45682967568265959</v>
      </c>
      <c r="AS48" s="52">
        <f t="shared" si="406"/>
        <v>-127.45403357548344</v>
      </c>
      <c r="AT48" s="72">
        <f t="shared" si="247"/>
        <v>-0.40520354933505087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1513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4.3052130628130314</v>
      </c>
      <c r="C49" s="708">
        <v>-3.3856831555385649</v>
      </c>
      <c r="D49" s="709">
        <v>-1.0251030917109245</v>
      </c>
      <c r="E49" s="710">
        <v>0.80617815778838764</v>
      </c>
      <c r="F49" s="708">
        <v>0.56732310214979131</v>
      </c>
      <c r="G49" s="711">
        <v>0.16799189168545917</v>
      </c>
      <c r="H49" s="710">
        <v>0.28999999999999998</v>
      </c>
      <c r="I49" s="708">
        <v>0.52</v>
      </c>
      <c r="J49" s="570">
        <v>3.1389999999999998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1513</v>
      </c>
      <c r="L49" s="320"/>
      <c r="M49" s="168">
        <f t="shared" si="239"/>
        <v>3.1389999999999998</v>
      </c>
      <c r="N49" s="632">
        <f t="shared" si="240"/>
        <v>4.3052130628130314</v>
      </c>
      <c r="O49" s="629">
        <f t="shared" si="241"/>
        <v>-3.3856831555385649</v>
      </c>
      <c r="P49" s="633">
        <f t="shared" si="242"/>
        <v>-1.0251030917109245</v>
      </c>
      <c r="Q49" s="585">
        <f t="shared" si="113"/>
        <v>321.81796652962674</v>
      </c>
      <c r="R49" s="629">
        <f t="shared" si="79"/>
        <v>5.4770165186818209</v>
      </c>
      <c r="S49" s="634">
        <f t="shared" si="80"/>
        <v>-1.0251030917109245</v>
      </c>
      <c r="T49" s="635">
        <f t="shared" si="81"/>
        <v>-3.3761320493564391</v>
      </c>
      <c r="U49" s="629">
        <f t="shared" si="82"/>
        <v>-4.3127070769090992</v>
      </c>
      <c r="V49" s="636">
        <f t="shared" si="114"/>
        <v>-1.0251030917109245</v>
      </c>
      <c r="W49" s="585">
        <f t="shared" si="224"/>
        <v>231.9449665112902</v>
      </c>
      <c r="X49" s="629">
        <f t="shared" si="83"/>
        <v>5.4770165186818209</v>
      </c>
      <c r="Y49" s="630">
        <f t="shared" si="223"/>
        <v>-1.0251030917109245</v>
      </c>
      <c r="Z49" s="632">
        <f t="shared" si="243"/>
        <v>-0.80617815778838764</v>
      </c>
      <c r="AA49" s="629">
        <f t="shared" si="244"/>
        <v>-0.56732310214979131</v>
      </c>
      <c r="AB49" s="629">
        <f t="shared" si="245"/>
        <v>-0.16799189168545917</v>
      </c>
      <c r="AC49" s="636">
        <f t="shared" si="84"/>
        <v>1</v>
      </c>
      <c r="AD49" s="637">
        <f t="shared" si="115"/>
        <v>-0.80617815778838764</v>
      </c>
      <c r="AE49" s="629">
        <f t="shared" si="85"/>
        <v>-0.56732310214979131</v>
      </c>
      <c r="AF49" s="633">
        <f t="shared" si="86"/>
        <v>-0.16799189168545917</v>
      </c>
      <c r="AG49" s="602">
        <f t="shared" si="87"/>
        <v>-73.505280069031173</v>
      </c>
      <c r="AH49" s="603">
        <f t="shared" si="88"/>
        <v>143.72419022123907</v>
      </c>
      <c r="AI49" s="585">
        <f t="shared" si="89"/>
        <v>-80.328916127964277</v>
      </c>
      <c r="AJ49" s="586">
        <f t="shared" si="90"/>
        <v>-54.865210570187962</v>
      </c>
      <c r="AK49" s="635">
        <f t="shared" si="211"/>
        <v>0.94429341627088914</v>
      </c>
      <c r="AL49" s="629">
        <f t="shared" si="91"/>
        <v>-0.28299941398418882</v>
      </c>
      <c r="AM49" s="634">
        <f t="shared" si="92"/>
        <v>-0.16799189168545917</v>
      </c>
      <c r="AN49" s="581">
        <f t="shared" si="93"/>
        <v>-59.306117190407129</v>
      </c>
      <c r="AO49" s="582">
        <f t="shared" si="94"/>
        <v>19.214447169270546</v>
      </c>
      <c r="AP49" s="585">
        <f t="shared" si="95"/>
        <v>-16.683177099814717</v>
      </c>
      <c r="AQ49" s="586">
        <f t="shared" si="246"/>
        <v>0.41622779863672349</v>
      </c>
      <c r="AS49" s="52">
        <f t="shared" si="406"/>
        <v>-128.0550334887098</v>
      </c>
      <c r="AT49" s="72">
        <f t="shared" si="247"/>
        <v>-0.93608779068983194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3.1389999999999998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1513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4.5083955370839037</v>
      </c>
      <c r="C50" s="708">
        <v>-3.5920575545582092</v>
      </c>
      <c r="D50" s="709">
        <v>-1.6872050886105474</v>
      </c>
      <c r="E50" s="710">
        <v>0.87359521666042161</v>
      </c>
      <c r="F50" s="708">
        <v>0.46253936999973827</v>
      </c>
      <c r="G50" s="711">
        <v>0.1512902132600662</v>
      </c>
      <c r="H50" s="710">
        <v>0.28999999999999998</v>
      </c>
      <c r="I50" s="708">
        <v>0.52</v>
      </c>
      <c r="J50" s="570">
        <v>3.145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1513</v>
      </c>
      <c r="L50" s="320"/>
      <c r="M50" s="168">
        <f t="shared" si="239"/>
        <v>3.145</v>
      </c>
      <c r="N50" s="632">
        <f t="shared" si="240"/>
        <v>4.5083955370839037</v>
      </c>
      <c r="O50" s="629">
        <f t="shared" si="241"/>
        <v>-3.5920575545582092</v>
      </c>
      <c r="P50" s="633">
        <f t="shared" si="242"/>
        <v>-1.6872050886105474</v>
      </c>
      <c r="Q50" s="585">
        <f t="shared" si="113"/>
        <v>321.45396658218186</v>
      </c>
      <c r="R50" s="629">
        <f t="shared" si="79"/>
        <v>5.7644173854828358</v>
      </c>
      <c r="S50" s="634">
        <f t="shared" si="80"/>
        <v>-1.6872050886105474</v>
      </c>
      <c r="T50" s="635">
        <f t="shared" si="81"/>
        <v>-3.5820555740324336</v>
      </c>
      <c r="U50" s="629">
        <f t="shared" si="82"/>
        <v>-4.5163464945240799</v>
      </c>
      <c r="V50" s="636">
        <f t="shared" si="114"/>
        <v>-1.6872050886105474</v>
      </c>
      <c r="W50" s="585">
        <f t="shared" si="224"/>
        <v>231.58096656384532</v>
      </c>
      <c r="X50" s="629">
        <f t="shared" si="83"/>
        <v>5.7644173854828358</v>
      </c>
      <c r="Y50" s="630">
        <f t="shared" si="223"/>
        <v>-1.6872050886105474</v>
      </c>
      <c r="Z50" s="632">
        <f t="shared" si="243"/>
        <v>-0.87359521666042161</v>
      </c>
      <c r="AA50" s="629">
        <f t="shared" si="244"/>
        <v>-0.46253936999973827</v>
      </c>
      <c r="AB50" s="629">
        <f t="shared" si="245"/>
        <v>-0.1512902132600662</v>
      </c>
      <c r="AC50" s="636">
        <f t="shared" si="84"/>
        <v>1</v>
      </c>
      <c r="AD50" s="637">
        <f t="shared" si="115"/>
        <v>-0.87359521666042161</v>
      </c>
      <c r="AE50" s="629">
        <f t="shared" si="85"/>
        <v>-0.46253936999973827</v>
      </c>
      <c r="AF50" s="633">
        <f t="shared" si="86"/>
        <v>-0.1512902132600662</v>
      </c>
      <c r="AG50" s="602">
        <f t="shared" si="87"/>
        <v>-71.88779710968987</v>
      </c>
      <c r="AH50" s="603">
        <f t="shared" si="88"/>
        <v>150.87915347069287</v>
      </c>
      <c r="AI50" s="585">
        <f t="shared" si="89"/>
        <v>-81.298296297592259</v>
      </c>
      <c r="AJ50" s="586">
        <f t="shared" si="90"/>
        <v>-62.100281103136375</v>
      </c>
      <c r="AK50" s="635">
        <f t="shared" si="211"/>
        <v>0.90613055574668322</v>
      </c>
      <c r="AL50" s="629">
        <f t="shared" si="91"/>
        <v>-0.39501732533387812</v>
      </c>
      <c r="AM50" s="634">
        <f t="shared" si="92"/>
        <v>-0.1512902132600662</v>
      </c>
      <c r="AN50" s="581">
        <f t="shared" si="93"/>
        <v>-69.04334006383354</v>
      </c>
      <c r="AO50" s="582">
        <f t="shared" si="94"/>
        <v>25.024017048137239</v>
      </c>
      <c r="AP50" s="585">
        <f t="shared" si="95"/>
        <v>-23.554247685318241</v>
      </c>
      <c r="AQ50" s="586">
        <f t="shared" si="246"/>
        <v>0.39547629453897343</v>
      </c>
      <c r="AS50" s="52">
        <f t="shared" si="406"/>
        <v>-128.41903343615468</v>
      </c>
      <c r="AT50" s="72">
        <f t="shared" si="247"/>
        <v>-1.5979370098481738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3.145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1513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4.5850651294657947</v>
      </c>
      <c r="C51" s="708">
        <v>-3.6713638218931415</v>
      </c>
      <c r="D51" s="709">
        <v>-2.4159072863763762</v>
      </c>
      <c r="E51" s="710">
        <v>0.93036867649207788</v>
      </c>
      <c r="F51" s="708">
        <v>0.3550291007151728</v>
      </c>
      <c r="G51" s="711">
        <v>9.1479306117586923E-2</v>
      </c>
      <c r="H51" s="710">
        <v>0.28999999999999998</v>
      </c>
      <c r="I51" s="708">
        <v>0.52</v>
      </c>
      <c r="J51" s="570">
        <v>3.1509999999999998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1513</v>
      </c>
      <c r="L51" s="320"/>
      <c r="M51" s="168">
        <f t="shared" si="239"/>
        <v>3.1509999999999998</v>
      </c>
      <c r="N51" s="632">
        <f t="shared" si="240"/>
        <v>4.5850651294657947</v>
      </c>
      <c r="O51" s="629">
        <f t="shared" si="241"/>
        <v>-3.6713638218931415</v>
      </c>
      <c r="P51" s="633">
        <f t="shared" si="242"/>
        <v>-2.4159072863763762</v>
      </c>
      <c r="Q51" s="585">
        <f t="shared" si="113"/>
        <v>321.31496660225099</v>
      </c>
      <c r="R51" s="629">
        <f t="shared" si="79"/>
        <v>5.8738177154342299</v>
      </c>
      <c r="S51" s="634">
        <f t="shared" si="80"/>
        <v>-2.4159072863763762</v>
      </c>
      <c r="T51" s="635">
        <f t="shared" si="81"/>
        <v>-3.6611917033318866</v>
      </c>
      <c r="U51" s="629">
        <f t="shared" si="82"/>
        <v>-4.5931916861375113</v>
      </c>
      <c r="V51" s="636">
        <f t="shared" si="114"/>
        <v>-2.4159072863763762</v>
      </c>
      <c r="W51" s="585">
        <f t="shared" si="224"/>
        <v>231.44196658391445</v>
      </c>
      <c r="X51" s="629">
        <f t="shared" si="83"/>
        <v>5.8738177154342299</v>
      </c>
      <c r="Y51" s="630">
        <f t="shared" si="223"/>
        <v>-2.4159072863763762</v>
      </c>
      <c r="Z51" s="632">
        <f t="shared" si="243"/>
        <v>-0.93036867649207788</v>
      </c>
      <c r="AA51" s="629">
        <f t="shared" si="244"/>
        <v>-0.3550291007151728</v>
      </c>
      <c r="AB51" s="629">
        <f t="shared" si="245"/>
        <v>-9.1479306117586923E-2</v>
      </c>
      <c r="AC51" s="636">
        <f t="shared" si="84"/>
        <v>1</v>
      </c>
      <c r="AD51" s="637">
        <f t="shared" si="115"/>
        <v>-0.93036867649207788</v>
      </c>
      <c r="AE51" s="629">
        <f t="shared" si="85"/>
        <v>-0.3550291007151728</v>
      </c>
      <c r="AF51" s="633">
        <f t="shared" si="86"/>
        <v>-9.1479306117586923E-2</v>
      </c>
      <c r="AG51" s="602">
        <f t="shared" si="87"/>
        <v>-75.551058384401685</v>
      </c>
      <c r="AH51" s="603">
        <f t="shared" si="88"/>
        <v>158.49235800140207</v>
      </c>
      <c r="AI51" s="585">
        <f t="shared" si="89"/>
        <v>-84.751283799019347</v>
      </c>
      <c r="AJ51" s="586">
        <f t="shared" si="90"/>
        <v>-69.113123385003689</v>
      </c>
      <c r="AK51" s="635">
        <f t="shared" si="211"/>
        <v>0.85864997755680328</v>
      </c>
      <c r="AL51" s="629">
        <f t="shared" si="91"/>
        <v>-0.50433297789649456</v>
      </c>
      <c r="AM51" s="634">
        <f t="shared" si="92"/>
        <v>-9.1479306117586923E-2</v>
      </c>
      <c r="AN51" s="581">
        <f t="shared" si="93"/>
        <v>-79.719085056649092</v>
      </c>
      <c r="AO51" s="582">
        <f t="shared" si="94"/>
        <v>30.834661292777881</v>
      </c>
      <c r="AP51" s="585">
        <f t="shared" si="95"/>
        <v>-30.42808998725469</v>
      </c>
      <c r="AQ51" s="586">
        <f t="shared" si="246"/>
        <v>0.38811074402459811</v>
      </c>
      <c r="AS51" s="52">
        <f t="shared" si="406"/>
        <v>-128.55803341608555</v>
      </c>
      <c r="AT51" s="72">
        <f t="shared" si="247"/>
        <v>-2.3265426798501614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3.1509999999999998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1513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4.6157293004070219</v>
      </c>
      <c r="C52" s="708">
        <v>-3.7034593435208949</v>
      </c>
      <c r="D52" s="709">
        <v>-3.1736095716064674</v>
      </c>
      <c r="E52" s="710">
        <v>0.96001091198475352</v>
      </c>
      <c r="F52" s="708">
        <v>0.27996258476836677</v>
      </c>
      <c r="G52" s="711">
        <v>1.3008419270998415E-7</v>
      </c>
      <c r="H52" s="710">
        <v>0.28999999999999998</v>
      </c>
      <c r="I52" s="708">
        <v>0.52</v>
      </c>
      <c r="J52" s="570">
        <v>3.157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1513</v>
      </c>
      <c r="L52" s="320"/>
      <c r="M52" s="168">
        <f t="shared" si="239"/>
        <v>3.157</v>
      </c>
      <c r="N52" s="632">
        <f t="shared" si="240"/>
        <v>4.6157293004070219</v>
      </c>
      <c r="O52" s="629">
        <f t="shared" si="241"/>
        <v>-3.7034593435208949</v>
      </c>
      <c r="P52" s="633">
        <f t="shared" si="242"/>
        <v>-3.1736095716064674</v>
      </c>
      <c r="Q52" s="585">
        <f t="shared" si="113"/>
        <v>321.25796661048076</v>
      </c>
      <c r="R52" s="629">
        <f t="shared" si="79"/>
        <v>5.917817848138629</v>
      </c>
      <c r="S52" s="634">
        <f t="shared" si="80"/>
        <v>-3.1736095716064674</v>
      </c>
      <c r="T52" s="635">
        <f t="shared" si="81"/>
        <v>-3.6932191769550653</v>
      </c>
      <c r="U52" s="629">
        <f t="shared" si="82"/>
        <v>-4.6239269235920526</v>
      </c>
      <c r="V52" s="636">
        <f t="shared" si="114"/>
        <v>-3.1736095716064674</v>
      </c>
      <c r="W52" s="585">
        <f t="shared" si="224"/>
        <v>231.38496659214422</v>
      </c>
      <c r="X52" s="629">
        <f t="shared" si="83"/>
        <v>5.917817848138629</v>
      </c>
      <c r="Y52" s="630">
        <f t="shared" si="223"/>
        <v>-3.1736095716064674</v>
      </c>
      <c r="Z52" s="632">
        <f t="shared" si="243"/>
        <v>-0.96001091198475352</v>
      </c>
      <c r="AA52" s="629">
        <f t="shared" si="244"/>
        <v>-0.27996258476836677</v>
      </c>
      <c r="AB52" s="629">
        <f t="shared" si="245"/>
        <v>-1.3008419270998415E-7</v>
      </c>
      <c r="AC52" s="636">
        <f t="shared" si="84"/>
        <v>1</v>
      </c>
      <c r="AD52" s="637">
        <f t="shared" si="115"/>
        <v>-0.96001091198475352</v>
      </c>
      <c r="AE52" s="629">
        <f t="shared" si="85"/>
        <v>-0.27996258476836677</v>
      </c>
      <c r="AF52" s="633">
        <f t="shared" si="86"/>
        <v>-1.3008419270998415E-7</v>
      </c>
      <c r="AG52" s="602">
        <f t="shared" si="87"/>
        <v>-89.999973377602487</v>
      </c>
      <c r="AH52" s="603">
        <f t="shared" si="88"/>
        <v>163.74202833614288</v>
      </c>
      <c r="AI52" s="585">
        <f t="shared" si="89"/>
        <v>-89.999992546724769</v>
      </c>
      <c r="AJ52" s="586">
        <f t="shared" si="90"/>
        <v>-73.742028336144514</v>
      </c>
      <c r="AK52" s="635">
        <f t="shared" si="211"/>
        <v>0.8191520948772919</v>
      </c>
      <c r="AL52" s="629">
        <f t="shared" si="91"/>
        <v>-0.57357636410344459</v>
      </c>
      <c r="AM52" s="634">
        <f t="shared" si="92"/>
        <v>-1.3008419270998415E-7</v>
      </c>
      <c r="AN52" s="581">
        <f t="shared" si="93"/>
        <v>-89.999987005609555</v>
      </c>
      <c r="AO52" s="582">
        <f t="shared" si="94"/>
        <v>34.999994946625968</v>
      </c>
      <c r="AP52" s="585">
        <f t="shared" si="95"/>
        <v>-34.999994946625272</v>
      </c>
      <c r="AQ52" s="586">
        <f t="shared" si="246"/>
        <v>0.38522515205170221</v>
      </c>
      <c r="AS52" s="52">
        <f t="shared" si="406"/>
        <v>-128.61503340785578</v>
      </c>
      <c r="AT52" s="72">
        <f t="shared" si="247"/>
        <v>-3.0842053817526347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1513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1.6136690210839655</v>
      </c>
      <c r="C53" s="708">
        <v>-2.4421560540176133</v>
      </c>
      <c r="D53" s="709">
        <v>-0.17818323563894725</v>
      </c>
      <c r="E53" s="710">
        <v>-0.14268192497796747</v>
      </c>
      <c r="F53" s="708">
        <v>0.21593783247230419</v>
      </c>
      <c r="G53" s="711">
        <v>0.96592583607218252</v>
      </c>
      <c r="H53" s="710">
        <v>0.26250000000000001</v>
      </c>
      <c r="I53" s="708">
        <v>0.40699999999999997</v>
      </c>
      <c r="J53" s="570">
        <v>3.2149999999999999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3.2149999999999999</v>
      </c>
      <c r="N53" s="632">
        <f t="shared" si="240"/>
        <v>1.6136690210839655</v>
      </c>
      <c r="O53" s="629">
        <f t="shared" si="241"/>
        <v>-2.4421560540176133</v>
      </c>
      <c r="P53" s="633">
        <f t="shared" si="242"/>
        <v>-0.17818323563894725</v>
      </c>
      <c r="Q53" s="585">
        <f t="shared" si="113"/>
        <v>303.45496918091555</v>
      </c>
      <c r="R53" s="629">
        <f t="shared" ref="R53:R58" si="410">IF(M53="","",SQRT(N53^2+O53^2))</f>
        <v>2.9271238275448757</v>
      </c>
      <c r="S53" s="634">
        <f t="shared" ref="S53:S58" si="411">IF(M53="","",P53)</f>
        <v>-0.17818323563894725</v>
      </c>
      <c r="T53" s="635">
        <f t="shared" ref="T53:T58" si="412">IF(M53="","",X53*COS(RADIANS(W53)))</f>
        <v>-2.4385732507410531</v>
      </c>
      <c r="U53" s="629">
        <f t="shared" ref="U53:U58" si="413">IF(M53="","",X53*SIN(RADIANS(W53)))</f>
        <v>-1.6190782570806068</v>
      </c>
      <c r="V53" s="636">
        <f t="shared" ref="V53:V58" si="414">IF(M53="","",Y53)</f>
        <v>-0.17818323563894725</v>
      </c>
      <c r="W53" s="585">
        <f t="shared" si="224"/>
        <v>213.58196916257901</v>
      </c>
      <c r="X53" s="629">
        <f t="shared" ref="X53:X58" si="415">IF(M53="","",R53)</f>
        <v>2.9271238275448757</v>
      </c>
      <c r="Y53" s="630">
        <f t="shared" si="223"/>
        <v>-0.17818323563894725</v>
      </c>
      <c r="Z53" s="632">
        <f t="shared" si="243"/>
        <v>0.14268192497796747</v>
      </c>
      <c r="AA53" s="629">
        <f t="shared" si="244"/>
        <v>-0.21593783247230419</v>
      </c>
      <c r="AB53" s="629">
        <f t="shared" si="245"/>
        <v>-0.96592583607218252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0.14268192497796747</v>
      </c>
      <c r="AE53" s="629">
        <f t="shared" ref="AE53:AE58" si="418">IF(M53="","",AA53*(1/SQRT(Z53^2+AA53^2+AB53^2)))</f>
        <v>-0.21593783247230419</v>
      </c>
      <c r="AF53" s="633">
        <f t="shared" ref="AF53:AF58" si="419">IF(M53="","",AB53*(1/SQRT(Z53^2+AA53^2+AB53^2)))</f>
        <v>-0.96592583607218252</v>
      </c>
      <c r="AG53" s="602">
        <f t="shared" ref="AG53:AG58" si="420">IF(M53="","",DEGREES(ATAN2(-AF53,AE53)))</f>
        <v>-12.601572090069151</v>
      </c>
      <c r="AH53" s="603">
        <f t="shared" ref="AH53:AH58" si="421">IF(M53="","",DEGREES(ACOS(AD53)))</f>
        <v>81.796932450101778</v>
      </c>
      <c r="AI53" s="585">
        <f t="shared" ref="AI53:AI58" si="422">IF(M53="","",DEGREES(-ACOS(-AF53)))</f>
        <v>-14.999997834273763</v>
      </c>
      <c r="AJ53" s="586">
        <f t="shared" ref="AJ53:AJ58" si="423">IF(M53="","",DEGREES(ATAN2(-AE53,AD53)))</f>
        <v>33.454918974439352</v>
      </c>
      <c r="AK53" s="635">
        <f t="shared" ref="AK53:AK58" si="424">IF(M53="","",(COS(RADIANS((90-$Q$8)-W53))*AD53)+(-SIN(RADIANS((90-$Q$8)-W53))*AE53))</f>
        <v>2.2679489669608088E-7</v>
      </c>
      <c r="AL53" s="629">
        <f t="shared" ref="AL53:AL58" si="425">IF(M53="","",(SIN(RADIANS((90-$Q$8)-W53))*AD53)+(COS(RADIANS((90-$Q$8)-W53))*AE53))</f>
        <v>0.25881900859133938</v>
      </c>
      <c r="AM53" s="634">
        <f t="shared" ref="AM53:AM58" si="426">IF(M53="","",AF53)</f>
        <v>-0.96592583607218252</v>
      </c>
      <c r="AN53" s="581">
        <f t="shared" ref="AN53:AN58" si="427">IF(M53="","",DEGREES(ATAN2(-AM53,AL53)))</f>
        <v>14.999997834268274</v>
      </c>
      <c r="AO53" s="582">
        <f t="shared" si="94"/>
        <v>0</v>
      </c>
      <c r="AP53" s="585">
        <f t="shared" ref="AP53:AP58" si="428">IF(M53="","",DEGREES(ATAN2(AK53,AL53)))</f>
        <v>89.999949793523797</v>
      </c>
      <c r="AQ53" s="586">
        <f t="shared" si="246"/>
        <v>0.77878025369415671</v>
      </c>
      <c r="AS53" s="52">
        <f t="shared" si="406"/>
        <v>-146.41803083742099</v>
      </c>
      <c r="AT53" s="72">
        <f t="shared" si="247"/>
        <v>-7.6415853125694155E-2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3.2149999999999999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3.1150000000000002</v>
      </c>
      <c r="II53" s="734" cm="1">
        <f t="array" ref="II53">IFERROR(ROUND(VALUE(IF($IH53&lt;1,$IH53+LARGE((IF($M$9:$M$150="",0,$M$9:$M$150)-MOD(IF($M$9:$M$150="",0,$M$9:$M$150),1)),1),$IH53)),4),"")</f>
        <v>3.1150000000000002</v>
      </c>
      <c r="IJ53" s="533">
        <f t="shared" si="112"/>
        <v>1513</v>
      </c>
      <c r="IK53" s="533" t="str">
        <f t="shared" si="382"/>
        <v>Inactive</v>
      </c>
      <c r="IL53" s="727">
        <f t="shared" si="225"/>
        <v>21.11999695064975</v>
      </c>
      <c r="IM53" s="759">
        <v>1.83157445595711E-2</v>
      </c>
      <c r="IN53" s="5">
        <f t="shared" si="226"/>
        <v>0.3</v>
      </c>
      <c r="IO53" s="771">
        <v>150</v>
      </c>
      <c r="IP53" s="9">
        <f t="shared" si="227"/>
        <v>-2.9313088408274632</v>
      </c>
      <c r="IQ53" s="5">
        <f t="shared" si="228"/>
        <v>-0.17630053172240359</v>
      </c>
      <c r="IR53" s="5">
        <f t="shared" si="383"/>
        <v>0.28999999999999998</v>
      </c>
      <c r="IS53" s="5">
        <f t="shared" si="229"/>
        <v>0.27990214726519536</v>
      </c>
      <c r="IT53" s="727">
        <f t="shared" si="230"/>
        <v>-6.3605333980871546</v>
      </c>
      <c r="IU53" s="9">
        <f t="shared" si="231"/>
        <v>-2.9271238275448757</v>
      </c>
      <c r="IV53" s="5">
        <f t="shared" si="232"/>
        <v>-0.17818323563894725</v>
      </c>
      <c r="IW53" s="5">
        <f t="shared" si="384"/>
        <v>0.26250000000000001</v>
      </c>
      <c r="IX53" s="5">
        <f t="shared" si="233"/>
        <v>0.26250000000000001</v>
      </c>
      <c r="IY53" s="762">
        <f t="shared" si="234"/>
        <v>-14.999997834268274</v>
      </c>
    </row>
    <row r="54" spans="1:259" ht="15" customHeight="1" x14ac:dyDescent="0.25">
      <c r="A54" s="79"/>
      <c r="B54" s="707">
        <v>2.1960318873839682</v>
      </c>
      <c r="C54" s="708">
        <v>-2.9042046958609453</v>
      </c>
      <c r="D54" s="709">
        <v>-4.8904266055314699E-2</v>
      </c>
      <c r="E54" s="710">
        <v>1.8089997727628259E-7</v>
      </c>
      <c r="F54" s="708">
        <v>1.3678860838390882E-7</v>
      </c>
      <c r="G54" s="711">
        <v>0.99999999999997435</v>
      </c>
      <c r="H54" s="710">
        <v>0.26250000000000001</v>
      </c>
      <c r="I54" s="708">
        <v>0.40699999999999997</v>
      </c>
      <c r="J54" s="570">
        <v>3.2210000000000001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3.2210000000000001</v>
      </c>
      <c r="N54" s="632">
        <f t="shared" si="240"/>
        <v>2.1960318873839682</v>
      </c>
      <c r="O54" s="629">
        <f t="shared" si="241"/>
        <v>-2.9042046958609453</v>
      </c>
      <c r="P54" s="633">
        <f t="shared" si="242"/>
        <v>-4.8904266055314699E-2</v>
      </c>
      <c r="Q54" s="585">
        <f t="shared" si="113"/>
        <v>307.09496865536465</v>
      </c>
      <c r="R54" s="629">
        <f t="shared" si="410"/>
        <v>3.6410109812891198</v>
      </c>
      <c r="S54" s="634">
        <f t="shared" si="411"/>
        <v>-4.8904266055314699E-2</v>
      </c>
      <c r="T54" s="635">
        <f t="shared" si="412"/>
        <v>-2.8993299117846041</v>
      </c>
      <c r="U54" s="629">
        <f t="shared" si="413"/>
        <v>-2.2024638540732147</v>
      </c>
      <c r="V54" s="636">
        <f t="shared" si="414"/>
        <v>-4.8904266055314699E-2</v>
      </c>
      <c r="W54" s="585">
        <f t="shared" si="224"/>
        <v>217.22196863702811</v>
      </c>
      <c r="X54" s="629">
        <f t="shared" si="415"/>
        <v>3.6410109812891198</v>
      </c>
      <c r="Y54" s="630">
        <f t="shared" si="223"/>
        <v>-4.8904266055314699E-2</v>
      </c>
      <c r="Z54" s="632">
        <f t="shared" si="243"/>
        <v>-1.8089997727628259E-7</v>
      </c>
      <c r="AA54" s="629">
        <f t="shared" si="244"/>
        <v>-1.3678860838390882E-7</v>
      </c>
      <c r="AB54" s="629">
        <f t="shared" si="245"/>
        <v>-0.99999999999997435</v>
      </c>
      <c r="AC54" s="636">
        <f t="shared" si="416"/>
        <v>1</v>
      </c>
      <c r="AD54" s="637">
        <f t="shared" si="417"/>
        <v>-1.8089997727628259E-7</v>
      </c>
      <c r="AE54" s="629">
        <f t="shared" si="418"/>
        <v>-1.3678860838390882E-7</v>
      </c>
      <c r="AF54" s="633">
        <f t="shared" si="419"/>
        <v>-0.99999999999997435</v>
      </c>
      <c r="AG54" s="602">
        <f t="shared" si="420"/>
        <v>-7.8374099458659562E-6</v>
      </c>
      <c r="AH54" s="603">
        <f t="shared" si="421"/>
        <v>90.000010364805206</v>
      </c>
      <c r="AI54" s="585">
        <f t="shared" si="422"/>
        <v>-1.2976235990044085E-5</v>
      </c>
      <c r="AJ54" s="586">
        <f t="shared" si="423"/>
        <v>-52.905031324993757</v>
      </c>
      <c r="AK54" s="635">
        <f t="shared" si="424"/>
        <v>2.2679489668457251E-7</v>
      </c>
      <c r="AL54" s="629">
        <f t="shared" si="425"/>
        <v>7.7747698390594135E-17</v>
      </c>
      <c r="AM54" s="634">
        <f t="shared" si="426"/>
        <v>-0.99999999999997435</v>
      </c>
      <c r="AN54" s="581">
        <f t="shared" si="427"/>
        <v>4.4546149846372217E-15</v>
      </c>
      <c r="AO54" s="582">
        <f t="shared" si="94"/>
        <v>0</v>
      </c>
      <c r="AP54" s="585">
        <f t="shared" si="428"/>
        <v>1.9641601507606268E-8</v>
      </c>
      <c r="AQ54" s="586">
        <f t="shared" si="246"/>
        <v>0.62609970198130649</v>
      </c>
      <c r="AS54" s="52">
        <f t="shared" si="406"/>
        <v>-142.77803136297189</v>
      </c>
      <c r="AT54" s="72">
        <f t="shared" si="247"/>
        <v>5.033533904512652E-2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3.2210000000000001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3.121</v>
      </c>
      <c r="II54" s="734" cm="1">
        <f t="array" ref="II54">IFERROR(ROUND(VALUE(IF($IH54&lt;1,$IH54+LARGE((IF($M$9:$M$150="",0,$M$9:$M$150)-MOD(IF($M$9:$M$150="",0,$M$9:$M$150),1)),1),$IH54)),4),"")</f>
        <v>3.121</v>
      </c>
      <c r="IJ54" s="533">
        <f t="shared" si="112"/>
        <v>1513</v>
      </c>
      <c r="IK54" s="533" t="str">
        <f t="shared" si="382"/>
        <v>Inactive</v>
      </c>
      <c r="IL54" s="727">
        <f t="shared" si="225"/>
        <v>16.840997568460807</v>
      </c>
      <c r="IM54" s="759">
        <v>1.62817434049023E-2</v>
      </c>
      <c r="IN54" s="5">
        <f t="shared" si="226"/>
        <v>0.32</v>
      </c>
      <c r="IO54" s="771">
        <v>160</v>
      </c>
      <c r="IP54" s="9">
        <f t="shared" si="227"/>
        <v>-3.6410109812891194</v>
      </c>
      <c r="IQ54" s="5">
        <f t="shared" si="228"/>
        <v>-4.9700149895652086E-2</v>
      </c>
      <c r="IR54" s="5">
        <f t="shared" si="383"/>
        <v>0.28999999999999998</v>
      </c>
      <c r="IS54" s="5">
        <f t="shared" si="229"/>
        <v>0.27954841823414917</v>
      </c>
      <c r="IT54" s="727">
        <f t="shared" si="230"/>
        <v>13.867609013017537</v>
      </c>
      <c r="IU54" s="9">
        <f t="shared" si="231"/>
        <v>-3.6410109812891198</v>
      </c>
      <c r="IV54" s="5">
        <f t="shared" si="232"/>
        <v>-4.8904266055314699E-2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-4.4546149846372217E-15</v>
      </c>
    </row>
    <row r="55" spans="1:259" ht="15" customHeight="1" x14ac:dyDescent="0.25">
      <c r="A55" s="79"/>
      <c r="B55" s="707">
        <v>2.7502440887078223</v>
      </c>
      <c r="C55" s="708">
        <v>-3.3792348652068034</v>
      </c>
      <c r="D55" s="709">
        <v>-0.15381389506206636</v>
      </c>
      <c r="E55" s="710">
        <v>0.12271488420929166</v>
      </c>
      <c r="F55" s="708">
        <v>-0.15077986305541563</v>
      </c>
      <c r="G55" s="711">
        <v>0.98092124561072203</v>
      </c>
      <c r="H55" s="710">
        <v>0.26250000000000001</v>
      </c>
      <c r="I55" s="708">
        <v>0.40699999999999997</v>
      </c>
      <c r="J55" s="570">
        <v>3.2269999999999999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3.2269999999999999</v>
      </c>
      <c r="N55" s="632">
        <f t="shared" si="240"/>
        <v>2.7502440887078223</v>
      </c>
      <c r="O55" s="629">
        <f t="shared" si="241"/>
        <v>-3.3792348652068034</v>
      </c>
      <c r="P55" s="633">
        <f t="shared" si="242"/>
        <v>-0.15381389506206636</v>
      </c>
      <c r="Q55" s="585">
        <f t="shared" si="113"/>
        <v>309.14096835995883</v>
      </c>
      <c r="R55" s="629">
        <f t="shared" si="410"/>
        <v>4.3569566008512828</v>
      </c>
      <c r="S55" s="634">
        <f t="shared" si="411"/>
        <v>-0.15381389506206636</v>
      </c>
      <c r="T55" s="635">
        <f t="shared" si="412"/>
        <v>-3.3731304662477362</v>
      </c>
      <c r="U55" s="629">
        <f t="shared" si="413"/>
        <v>-2.7577276296568694</v>
      </c>
      <c r="V55" s="636">
        <f t="shared" si="414"/>
        <v>-0.15381389506206636</v>
      </c>
      <c r="W55" s="585">
        <f t="shared" si="224"/>
        <v>219.26796834162229</v>
      </c>
      <c r="X55" s="629">
        <f t="shared" si="415"/>
        <v>4.3569566008512828</v>
      </c>
      <c r="Y55" s="630">
        <f t="shared" si="223"/>
        <v>-0.15381389506206636</v>
      </c>
      <c r="Z55" s="632">
        <f t="shared" si="243"/>
        <v>-0.12271488420929166</v>
      </c>
      <c r="AA55" s="629">
        <f t="shared" si="244"/>
        <v>0.15077986305541563</v>
      </c>
      <c r="AB55" s="629">
        <f t="shared" si="245"/>
        <v>-0.98092124561072203</v>
      </c>
      <c r="AC55" s="636">
        <f t="shared" si="416"/>
        <v>1</v>
      </c>
      <c r="AD55" s="637">
        <f t="shared" si="417"/>
        <v>-0.12271488420929166</v>
      </c>
      <c r="AE55" s="629">
        <f t="shared" si="418"/>
        <v>0.15077986305541563</v>
      </c>
      <c r="AF55" s="633">
        <f t="shared" si="419"/>
        <v>-0.98092124561072203</v>
      </c>
      <c r="AG55" s="602">
        <f t="shared" si="420"/>
        <v>8.7386817174979328</v>
      </c>
      <c r="AH55" s="603">
        <f t="shared" si="421"/>
        <v>97.048812298780717</v>
      </c>
      <c r="AI55" s="585">
        <f t="shared" si="422"/>
        <v>-11.20999838148389</v>
      </c>
      <c r="AJ55" s="586">
        <f t="shared" si="423"/>
        <v>-140.85896479837038</v>
      </c>
      <c r="AK55" s="635">
        <f t="shared" si="424"/>
        <v>2.2679489682098097E-7</v>
      </c>
      <c r="AL55" s="629">
        <f t="shared" si="425"/>
        <v>-0.19440552952387521</v>
      </c>
      <c r="AM55" s="634">
        <f t="shared" si="426"/>
        <v>-0.98092124561072203</v>
      </c>
      <c r="AN55" s="581">
        <f t="shared" si="427"/>
        <v>-11.20999838147649</v>
      </c>
      <c r="AO55" s="582">
        <f>IF(ROUND(IF(M55="",0,DEGREES(ACOS(AK55))),4)=90,0,IF(M55="","",DEGREES(ACOS(AK55))))</f>
        <v>0</v>
      </c>
      <c r="AP55" s="585">
        <f t="shared" si="428"/>
        <v>-89.999933158329227</v>
      </c>
      <c r="AQ55" s="586">
        <f t="shared" si="246"/>
        <v>0.52322377047861113</v>
      </c>
      <c r="AS55" s="52">
        <f t="shared" si="406"/>
        <v>-140.73203165837771</v>
      </c>
      <c r="AT55" s="72">
        <f t="shared" si="247"/>
        <v>-5.5995123089815538E-2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3.2269999999999999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3.1269999999999998</v>
      </c>
      <c r="II55" s="734" cm="1">
        <f t="array" ref="II55">IFERROR(ROUND(VALUE(IF($IH55&lt;1,$IH55+LARGE((IF($M$9:$M$150="",0,$M$9:$M$150)-MOD(IF($M$9:$M$150="",0,$M$9:$M$150),1)),1),$IH55)),4),"")</f>
        <v>3.1269999999999998</v>
      </c>
      <c r="IJ55" s="533">
        <f t="shared" si="112"/>
        <v>1513</v>
      </c>
      <c r="IK55" s="533" t="str">
        <f t="shared" si="382"/>
        <v>Inactive</v>
      </c>
      <c r="IL55" s="727">
        <f t="shared" si="225"/>
        <v>14.026997974752078</v>
      </c>
      <c r="IM55" s="759">
        <v>1.33360515268693E-2</v>
      </c>
      <c r="IN55" s="5">
        <f t="shared" si="226"/>
        <v>0.34</v>
      </c>
      <c r="IO55" s="771">
        <v>170</v>
      </c>
      <c r="IP55" s="9">
        <f t="shared" si="227"/>
        <v>-4.3538131311004031</v>
      </c>
      <c r="IQ55" s="5">
        <f t="shared" si="228"/>
        <v>-0.15570046959261641</v>
      </c>
      <c r="IR55" s="5">
        <f t="shared" si="383"/>
        <v>0.28999999999999998</v>
      </c>
      <c r="IS55" s="5">
        <f t="shared" si="229"/>
        <v>0.2790771283522927</v>
      </c>
      <c r="IT55" s="727">
        <f t="shared" si="230"/>
        <v>29.683928703518006</v>
      </c>
      <c r="IU55" s="9">
        <f t="shared" si="231"/>
        <v>-4.3569566008512828</v>
      </c>
      <c r="IV55" s="5">
        <f t="shared" si="232"/>
        <v>-0.15381389506206636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11.20999838147649</v>
      </c>
    </row>
    <row r="56" spans="1:259" ht="15" customHeight="1" x14ac:dyDescent="0.25">
      <c r="A56" s="79"/>
      <c r="B56" s="707">
        <v>3.3265826416361555</v>
      </c>
      <c r="C56" s="708">
        <v>-3.7418229682975808</v>
      </c>
      <c r="D56" s="709">
        <v>-0.46317986750437723</v>
      </c>
      <c r="E56" s="710">
        <v>0.85228786929507627</v>
      </c>
      <c r="F56" s="708">
        <v>0.3865872871109699</v>
      </c>
      <c r="G56" s="711">
        <v>0.35235728642478747</v>
      </c>
      <c r="H56" s="710">
        <v>0.26600000000000001</v>
      </c>
      <c r="I56" s="708">
        <v>0.52</v>
      </c>
      <c r="J56" s="570">
        <v>3.2330000000000001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3.2330000000000001</v>
      </c>
      <c r="N56" s="632">
        <f t="shared" si="240"/>
        <v>3.3265826416361555</v>
      </c>
      <c r="O56" s="629">
        <f t="shared" si="241"/>
        <v>-3.7418229682975808</v>
      </c>
      <c r="P56" s="633">
        <f t="shared" si="242"/>
        <v>-0.46317986750437723</v>
      </c>
      <c r="Q56" s="585">
        <f t="shared" si="113"/>
        <v>311.63796799943668</v>
      </c>
      <c r="R56" s="629">
        <f t="shared" si="410"/>
        <v>5.0067345843088491</v>
      </c>
      <c r="S56" s="634">
        <f t="shared" si="411"/>
        <v>-0.46317986750437723</v>
      </c>
      <c r="T56" s="635">
        <f t="shared" si="412"/>
        <v>-3.7344401861603309</v>
      </c>
      <c r="U56" s="629">
        <f t="shared" si="413"/>
        <v>-3.3348684672270208</v>
      </c>
      <c r="V56" s="636">
        <f t="shared" si="414"/>
        <v>-0.46317986750437723</v>
      </c>
      <c r="W56" s="585">
        <f t="shared" si="224"/>
        <v>221.76496798110014</v>
      </c>
      <c r="X56" s="629">
        <f t="shared" si="415"/>
        <v>5.0067345843088491</v>
      </c>
      <c r="Y56" s="630">
        <f t="shared" si="223"/>
        <v>-0.46317986750437723</v>
      </c>
      <c r="Z56" s="632">
        <f t="shared" si="243"/>
        <v>-0.85228786929507627</v>
      </c>
      <c r="AA56" s="629">
        <f t="shared" si="244"/>
        <v>-0.3865872871109699</v>
      </c>
      <c r="AB56" s="629">
        <f t="shared" si="245"/>
        <v>-0.35235728642478747</v>
      </c>
      <c r="AC56" s="636">
        <f t="shared" si="416"/>
        <v>1</v>
      </c>
      <c r="AD56" s="637">
        <f t="shared" si="417"/>
        <v>-0.85228786929507627</v>
      </c>
      <c r="AE56" s="629">
        <f t="shared" si="418"/>
        <v>-0.3865872871109699</v>
      </c>
      <c r="AF56" s="633">
        <f t="shared" si="419"/>
        <v>-0.35235728642478747</v>
      </c>
      <c r="AG56" s="602">
        <f t="shared" si="420"/>
        <v>-47.652206453793795</v>
      </c>
      <c r="AH56" s="603">
        <f t="shared" si="421"/>
        <v>148.46138950313937</v>
      </c>
      <c r="AI56" s="585">
        <f t="shared" si="422"/>
        <v>-69.368434760922298</v>
      </c>
      <c r="AJ56" s="586">
        <f t="shared" si="423"/>
        <v>-65.601540868360431</v>
      </c>
      <c r="AK56" s="635">
        <f t="shared" si="424"/>
        <v>0.8938210740659932</v>
      </c>
      <c r="AL56" s="629">
        <f t="shared" si="425"/>
        <v>-0.27735938826525247</v>
      </c>
      <c r="AM56" s="634">
        <f t="shared" si="426"/>
        <v>-0.35235728642478747</v>
      </c>
      <c r="AN56" s="581">
        <f t="shared" si="427"/>
        <v>-38.208187989375212</v>
      </c>
      <c r="AO56" s="582">
        <f t="shared" ref="AO56:AO119" si="461">IF(ROUND(IF(M56="",0,DEGREES(ACOS(AK56))),4)=90,0,IF(M56="","",DEGREES(ACOS(AK56))))</f>
        <v>26.642600278548322</v>
      </c>
      <c r="AP56" s="585">
        <f t="shared" si="428"/>
        <v>-17.239508867797127</v>
      </c>
      <c r="AQ56" s="586">
        <f t="shared" si="246"/>
        <v>0.45532244678886979</v>
      </c>
      <c r="AS56" s="52">
        <f t="shared" si="406"/>
        <v>-138.23503201889986</v>
      </c>
      <c r="AT56" s="72">
        <f t="shared" si="247"/>
        <v>-0.36709512305954162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3.2330000000000001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3.133</v>
      </c>
      <c r="II56" s="734" cm="1">
        <f t="array" ref="II56">IFERROR(ROUND(VALUE(IF($IH56&lt;1,$IH56+LARGE((IF($M$9:$M$150="",0,$M$9:$M$150)-MOD(IF($M$9:$M$150="",0,$M$9:$M$150),1)),1),$IH56)),4),"")</f>
        <v>3.133</v>
      </c>
      <c r="IJ56" s="533">
        <f t="shared" si="112"/>
        <v>1513</v>
      </c>
      <c r="IK56" s="533">
        <f t="shared" si="382"/>
        <v>1313</v>
      </c>
      <c r="IL56" s="727">
        <f t="shared" si="225"/>
        <v>10.780998443416422</v>
      </c>
      <c r="IM56" s="759">
        <v>4.2089233202294001E-3</v>
      </c>
      <c r="IN56" s="5">
        <f t="shared" si="226"/>
        <v>0.1</v>
      </c>
      <c r="IO56" s="771">
        <v>50</v>
      </c>
      <c r="IP56" s="9">
        <f t="shared" si="227"/>
        <v>-4.990215050488592</v>
      </c>
      <c r="IQ56" s="5">
        <f t="shared" si="228"/>
        <v>-0.49380148930529177</v>
      </c>
      <c r="IR56" s="5">
        <f t="shared" si="383"/>
        <v>0.28999999999999998</v>
      </c>
      <c r="IS56" s="5">
        <f t="shared" si="229"/>
        <v>0.27722349161724386</v>
      </c>
      <c r="IT56" s="727">
        <f t="shared" si="230"/>
        <v>45.62853481384797</v>
      </c>
      <c r="IU56" s="9">
        <f t="shared" si="231"/>
        <v>-5.0067345843088491</v>
      </c>
      <c r="IV56" s="5">
        <f t="shared" si="232"/>
        <v>-0.46317986750437723</v>
      </c>
      <c r="IW56" s="5">
        <f t="shared" si="384"/>
        <v>0.26600000000000001</v>
      </c>
      <c r="IX56" s="5">
        <f t="shared" si="233"/>
        <v>0.23775640570155421</v>
      </c>
      <c r="IY56" s="762">
        <f t="shared" si="234"/>
        <v>38.208187989375212</v>
      </c>
    </row>
    <row r="57" spans="1:259" ht="15" customHeight="1" x14ac:dyDescent="0.25">
      <c r="A57" s="79"/>
      <c r="B57" s="707">
        <v>3.6811995507532238</v>
      </c>
      <c r="C57" s="708">
        <v>-4.0893955114765337</v>
      </c>
      <c r="D57" s="709">
        <v>-0.99784966041618306</v>
      </c>
      <c r="E57" s="710">
        <v>0.90666967520006736</v>
      </c>
      <c r="F57" s="708">
        <v>0.3031323945261668</v>
      </c>
      <c r="G57" s="711">
        <v>0.29336129850652876</v>
      </c>
      <c r="H57" s="710">
        <v>0.26600000000000001</v>
      </c>
      <c r="I57" s="708">
        <v>0.52</v>
      </c>
      <c r="J57" s="570">
        <v>3.2389999999999999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3.2389999999999999</v>
      </c>
      <c r="N57" s="632">
        <f t="shared" si="240"/>
        <v>3.6811995507532238</v>
      </c>
      <c r="O57" s="629">
        <f t="shared" si="241"/>
        <v>-4.0893955114765337</v>
      </c>
      <c r="P57" s="633">
        <f t="shared" si="242"/>
        <v>-0.99784966041618306</v>
      </c>
      <c r="Q57" s="585">
        <f t="shared" si="113"/>
        <v>311.99296794818105</v>
      </c>
      <c r="R57" s="629">
        <f t="shared" si="410"/>
        <v>5.5022164426483764</v>
      </c>
      <c r="S57" s="634">
        <f t="shared" si="411"/>
        <v>-0.99784966041618306</v>
      </c>
      <c r="T57" s="635">
        <f t="shared" si="412"/>
        <v>-4.0812258437085527</v>
      </c>
      <c r="U57" s="629">
        <f t="shared" si="413"/>
        <v>-3.69025492268428</v>
      </c>
      <c r="V57" s="636">
        <f t="shared" si="414"/>
        <v>-0.99784966041618306</v>
      </c>
      <c r="W57" s="585">
        <f t="shared" si="224"/>
        <v>222.11996792984451</v>
      </c>
      <c r="X57" s="629">
        <f t="shared" si="415"/>
        <v>5.5022164426483764</v>
      </c>
      <c r="Y57" s="630">
        <f t="shared" si="223"/>
        <v>-0.99784966041618306</v>
      </c>
      <c r="Z57" s="632">
        <f t="shared" si="243"/>
        <v>-0.90666967520006736</v>
      </c>
      <c r="AA57" s="629">
        <f t="shared" si="244"/>
        <v>-0.3031323945261668</v>
      </c>
      <c r="AB57" s="629">
        <f t="shared" si="245"/>
        <v>-0.29336129850652876</v>
      </c>
      <c r="AC57" s="636">
        <f t="shared" si="416"/>
        <v>1</v>
      </c>
      <c r="AD57" s="637">
        <f t="shared" si="417"/>
        <v>-0.90666967520006736</v>
      </c>
      <c r="AE57" s="629">
        <f t="shared" si="418"/>
        <v>-0.3031323945261668</v>
      </c>
      <c r="AF57" s="633">
        <f t="shared" si="419"/>
        <v>-0.29336129850652876</v>
      </c>
      <c r="AG57" s="602">
        <f t="shared" si="420"/>
        <v>-45.938471777503352</v>
      </c>
      <c r="AH57" s="603">
        <f t="shared" si="421"/>
        <v>155.04910753237908</v>
      </c>
      <c r="AI57" s="585">
        <f t="shared" si="422"/>
        <v>-72.940700358370648</v>
      </c>
      <c r="AJ57" s="586">
        <f t="shared" si="423"/>
        <v>-71.513358366669337</v>
      </c>
      <c r="AK57" s="635">
        <f t="shared" si="424"/>
        <v>0.87666884517937427</v>
      </c>
      <c r="AL57" s="629">
        <f t="shared" si="425"/>
        <v>-0.38130156625750378</v>
      </c>
      <c r="AM57" s="634">
        <f t="shared" si="426"/>
        <v>-0.29336129850652876</v>
      </c>
      <c r="AN57" s="581">
        <f t="shared" si="427"/>
        <v>-52.426461421290341</v>
      </c>
      <c r="AO57" s="582">
        <f t="shared" si="461"/>
        <v>28.756897593185712</v>
      </c>
      <c r="AP57" s="585">
        <f t="shared" si="428"/>
        <v>-23.506326314850369</v>
      </c>
      <c r="AQ57" s="586">
        <f t="shared" si="246"/>
        <v>0.41432155912439783</v>
      </c>
      <c r="AS57" s="52">
        <f t="shared" si="406"/>
        <v>-137.88003207015549</v>
      </c>
      <c r="AT57" s="72">
        <f t="shared" si="247"/>
        <v>-0.90201144371353104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3.2389999999999999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3.1389999999999998</v>
      </c>
      <c r="II57" s="734" cm="1">
        <f t="array" ref="II57">IFERROR(ROUND(VALUE(IF($IH57&lt;1,$IH57+LARGE((IF($M$9:$M$150="",0,$M$9:$M$150)-MOD(IF($M$9:$M$150="",0,$M$9:$M$150),1)),1),$IH57)),4),"")</f>
        <v>3.1389999999999998</v>
      </c>
      <c r="IJ57" s="533">
        <f t="shared" si="112"/>
        <v>1513</v>
      </c>
      <c r="IK57" s="533">
        <f t="shared" si="382"/>
        <v>1313</v>
      </c>
      <c r="IL57" s="727">
        <f t="shared" si="225"/>
        <v>9.8249985814456977</v>
      </c>
      <c r="IM57" s="759">
        <v>3.12941188186405E-3</v>
      </c>
      <c r="IN57" s="5">
        <f t="shared" si="226"/>
        <v>0.06</v>
      </c>
      <c r="IO57" s="771">
        <v>30</v>
      </c>
      <c r="IP57" s="9">
        <f t="shared" si="227"/>
        <v>-5.4770165186818209</v>
      </c>
      <c r="IQ57" s="5">
        <f t="shared" si="228"/>
        <v>-1.0251030917109245</v>
      </c>
      <c r="IR57" s="5">
        <f t="shared" si="383"/>
        <v>0.28999999999999998</v>
      </c>
      <c r="IS57" s="5">
        <f t="shared" si="229"/>
        <v>0.27384509071855784</v>
      </c>
      <c r="IT57" s="727">
        <f t="shared" si="230"/>
        <v>59.306117190407129</v>
      </c>
      <c r="IU57" s="9">
        <f t="shared" si="231"/>
        <v>-5.5022164426483764</v>
      </c>
      <c r="IV57" s="5">
        <f t="shared" si="232"/>
        <v>-0.99784966041618306</v>
      </c>
      <c r="IW57" s="5">
        <f t="shared" si="384"/>
        <v>0.26600000000000001</v>
      </c>
      <c r="IX57" s="5">
        <f t="shared" si="233"/>
        <v>0.23319391281771359</v>
      </c>
      <c r="IY57" s="762">
        <f t="shared" si="234"/>
        <v>52.426461421290341</v>
      </c>
    </row>
    <row r="58" spans="1:259" ht="15" customHeight="1" x14ac:dyDescent="0.25">
      <c r="A58" s="79"/>
      <c r="B58" s="707">
        <v>3.8838523442064492</v>
      </c>
      <c r="C58" s="708">
        <v>-4.2960878583936184</v>
      </c>
      <c r="D58" s="709">
        <v>-1.6703990520770782</v>
      </c>
      <c r="E58" s="710">
        <v>0.95069473230582302</v>
      </c>
      <c r="F58" s="708">
        <v>0.22929546859995995</v>
      </c>
      <c r="G58" s="711">
        <v>0.20881358683161447</v>
      </c>
      <c r="H58" s="710">
        <v>0.26600000000000001</v>
      </c>
      <c r="I58" s="708">
        <v>0.52</v>
      </c>
      <c r="J58" s="570">
        <v>3.2450000000000001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3.2450000000000001</v>
      </c>
      <c r="N58" s="632">
        <f t="shared" si="240"/>
        <v>3.8838523442064492</v>
      </c>
      <c r="O58" s="629">
        <f t="shared" si="241"/>
        <v>-4.2960878583936184</v>
      </c>
      <c r="P58" s="633">
        <f t="shared" si="242"/>
        <v>-1.6703990520770782</v>
      </c>
      <c r="Q58" s="585">
        <f t="shared" si="113"/>
        <v>312.11496793056642</v>
      </c>
      <c r="R58" s="629">
        <f t="shared" si="410"/>
        <v>5.7914315949197741</v>
      </c>
      <c r="S58" s="634">
        <f t="shared" si="411"/>
        <v>-1.6703990520770782</v>
      </c>
      <c r="T58" s="635">
        <f t="shared" si="412"/>
        <v>-4.2874684895734232</v>
      </c>
      <c r="U58" s="629">
        <f t="shared" si="413"/>
        <v>-3.8933653655353213</v>
      </c>
      <c r="V58" s="636">
        <f t="shared" si="414"/>
        <v>-1.6703990520770782</v>
      </c>
      <c r="W58" s="585">
        <f t="shared" si="224"/>
        <v>222.24196791222988</v>
      </c>
      <c r="X58" s="629">
        <f t="shared" si="415"/>
        <v>5.7914315949197741</v>
      </c>
      <c r="Y58" s="630">
        <f t="shared" si="223"/>
        <v>-1.6703990520770782</v>
      </c>
      <c r="Z58" s="632">
        <f t="shared" si="243"/>
        <v>-0.95069473230582302</v>
      </c>
      <c r="AA58" s="629">
        <f t="shared" si="244"/>
        <v>-0.22929546859995995</v>
      </c>
      <c r="AB58" s="629">
        <f t="shared" si="245"/>
        <v>-0.20881358683161447</v>
      </c>
      <c r="AC58" s="636">
        <f t="shared" si="416"/>
        <v>1</v>
      </c>
      <c r="AD58" s="637">
        <f t="shared" si="417"/>
        <v>-0.95069473230582302</v>
      </c>
      <c r="AE58" s="629">
        <f t="shared" si="418"/>
        <v>-0.22929546859995995</v>
      </c>
      <c r="AF58" s="633">
        <f t="shared" si="419"/>
        <v>-0.20881358683161447</v>
      </c>
      <c r="AG58" s="602">
        <f t="shared" si="420"/>
        <v>-47.676665833197127</v>
      </c>
      <c r="AH58" s="603">
        <f t="shared" si="421"/>
        <v>161.93304093406491</v>
      </c>
      <c r="AI58" s="585">
        <f t="shared" si="422"/>
        <v>-77.947165532867601</v>
      </c>
      <c r="AJ58" s="586">
        <f t="shared" si="423"/>
        <v>-76.439963296606507</v>
      </c>
      <c r="AK58" s="635">
        <f t="shared" si="424"/>
        <v>0.85899621849968566</v>
      </c>
      <c r="AL58" s="629">
        <f t="shared" si="425"/>
        <v>-0.46746377673329514</v>
      </c>
      <c r="AM58" s="634">
        <f t="shared" si="426"/>
        <v>-0.20881358683161447</v>
      </c>
      <c r="AN58" s="581">
        <f t="shared" si="427"/>
        <v>-65.92993815140197</v>
      </c>
      <c r="AO58" s="582">
        <f t="shared" si="461"/>
        <v>30.795935503476386</v>
      </c>
      <c r="AP58" s="585">
        <f t="shared" si="428"/>
        <v>-28.554931227172926</v>
      </c>
      <c r="AQ58" s="586">
        <f t="shared" si="246"/>
        <v>0.39363164830244879</v>
      </c>
      <c r="AS58" s="52">
        <f t="shared" si="406"/>
        <v>-137.75803208777012</v>
      </c>
      <c r="AT58" s="72">
        <f t="shared" si="247"/>
        <v>-1.574645557584416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3.2450000000000001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3.145</v>
      </c>
      <c r="II58" s="734" cm="1">
        <f t="array" ref="II58">IFERROR(ROUND(VALUE(IF($IH58&lt;1,$IH58+LARGE((IF($M$9:$M$150="",0,$M$9:$M$150)-MOD(IF($M$9:$M$150="",0,$M$9:$M$150),1)),1),$IH58)),4),"")</f>
        <v>3.145</v>
      </c>
      <c r="IJ58" s="533">
        <f t="shared" si="112"/>
        <v>1513</v>
      </c>
      <c r="IK58" s="533">
        <f t="shared" si="382"/>
        <v>1313</v>
      </c>
      <c r="IL58" s="727">
        <f t="shared" si="225"/>
        <v>9.3389986516154408</v>
      </c>
      <c r="IM58" s="759">
        <v>2.7483780012978799E-3</v>
      </c>
      <c r="IN58" s="5">
        <f t="shared" si="226"/>
        <v>0.08</v>
      </c>
      <c r="IO58" s="771">
        <v>40</v>
      </c>
      <c r="IP58" s="9">
        <f t="shared" si="227"/>
        <v>-5.7644173854828358</v>
      </c>
      <c r="IQ58" s="5">
        <f t="shared" si="228"/>
        <v>-1.6872050886105474</v>
      </c>
      <c r="IR58" s="5">
        <f t="shared" si="383"/>
        <v>0.28999999999999998</v>
      </c>
      <c r="IS58" s="5">
        <f t="shared" si="229"/>
        <v>0.26277786116653817</v>
      </c>
      <c r="IT58" s="727">
        <f t="shared" si="230"/>
        <v>69.04334006383354</v>
      </c>
      <c r="IU58" s="9">
        <f t="shared" si="231"/>
        <v>-5.7914315949197741</v>
      </c>
      <c r="IV58" s="5">
        <f t="shared" si="232"/>
        <v>-1.6703990520770782</v>
      </c>
      <c r="IW58" s="5">
        <f t="shared" si="384"/>
        <v>0.26600000000000001</v>
      </c>
      <c r="IX58" s="5">
        <f t="shared" si="233"/>
        <v>0.22849299412091639</v>
      </c>
      <c r="IY58" s="762">
        <f t="shared" si="234"/>
        <v>65.92993815140197</v>
      </c>
    </row>
    <row r="59" spans="1:259" ht="15" customHeight="1" x14ac:dyDescent="0.25">
      <c r="A59" s="79"/>
      <c r="B59" s="707">
        <v>3.8330583835056364</v>
      </c>
      <c r="C59" s="708">
        <v>-4.4206414614026102</v>
      </c>
      <c r="D59" s="709">
        <v>-2.4310944061729729</v>
      </c>
      <c r="E59" s="710">
        <v>0.59373114356553747</v>
      </c>
      <c r="F59" s="708">
        <v>-0.68474594451399584</v>
      </c>
      <c r="G59" s="711">
        <v>0.42261841019055846</v>
      </c>
      <c r="H59" s="710">
        <v>0.25700000000000001</v>
      </c>
      <c r="I59" s="708">
        <v>0.45500000000000002</v>
      </c>
      <c r="J59" s="570">
        <v>3.2509999999999999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Inactive</v>
      </c>
      <c r="L59" s="320"/>
      <c r="M59" s="168">
        <f t="shared" si="239"/>
        <v>3.2509999999999999</v>
      </c>
      <c r="N59" s="632">
        <f t="shared" si="240"/>
        <v>3.8330583835056364</v>
      </c>
      <c r="O59" s="629">
        <f t="shared" si="241"/>
        <v>-4.4206414614026102</v>
      </c>
      <c r="P59" s="633">
        <f t="shared" si="242"/>
        <v>-2.4310944061729729</v>
      </c>
      <c r="Q59" s="585">
        <f t="shared" si="113"/>
        <v>310.92796810194801</v>
      </c>
      <c r="R59" s="629">
        <f t="shared" si="79"/>
        <v>5.8510176466692227</v>
      </c>
      <c r="S59" s="634">
        <f t="shared" si="80"/>
        <v>-2.4310944061729729</v>
      </c>
      <c r="T59" s="635">
        <f t="shared" si="81"/>
        <v>-4.4121343747728954</v>
      </c>
      <c r="U59" s="629">
        <f t="shared" si="82"/>
        <v>-3.8428476108976843</v>
      </c>
      <c r="V59" s="636">
        <f t="shared" si="114"/>
        <v>-2.4310944061729729</v>
      </c>
      <c r="W59" s="585">
        <f t="shared" si="224"/>
        <v>221.05496808361147</v>
      </c>
      <c r="X59" s="629">
        <f t="shared" si="83"/>
        <v>5.8510176466692227</v>
      </c>
      <c r="Y59" s="630">
        <f t="shared" si="223"/>
        <v>-2.4310944061729729</v>
      </c>
      <c r="Z59" s="632">
        <f t="shared" si="243"/>
        <v>-0.59373114356553747</v>
      </c>
      <c r="AA59" s="629">
        <f t="shared" si="244"/>
        <v>0.68474594451399584</v>
      </c>
      <c r="AB59" s="629">
        <f t="shared" si="245"/>
        <v>-0.42261841019055846</v>
      </c>
      <c r="AC59" s="636">
        <f t="shared" si="84"/>
        <v>1.0000000000000002</v>
      </c>
      <c r="AD59" s="637">
        <f t="shared" si="115"/>
        <v>-0.59373114356553736</v>
      </c>
      <c r="AE59" s="629">
        <f t="shared" si="85"/>
        <v>0.68474594451399573</v>
      </c>
      <c r="AF59" s="633">
        <f t="shared" si="86"/>
        <v>-0.42261841019055835</v>
      </c>
      <c r="AG59" s="602">
        <f t="shared" si="87"/>
        <v>58.317526567786054</v>
      </c>
      <c r="AH59" s="603">
        <f t="shared" si="88"/>
        <v>126.42223096496588</v>
      </c>
      <c r="AI59" s="585">
        <f t="shared" si="89"/>
        <v>-64.999990615163156</v>
      </c>
      <c r="AJ59" s="586">
        <f t="shared" si="90"/>
        <v>-139.07201756032745</v>
      </c>
      <c r="AK59" s="635">
        <f t="shared" si="211"/>
        <v>2.2679489708465894E-7</v>
      </c>
      <c r="AL59" s="629">
        <f t="shared" si="91"/>
        <v>-0.90630771781330066</v>
      </c>
      <c r="AM59" s="634">
        <f t="shared" si="92"/>
        <v>-0.42261841019055835</v>
      </c>
      <c r="AN59" s="581">
        <f t="shared" si="93"/>
        <v>-64.999990615162474</v>
      </c>
      <c r="AO59" s="582">
        <f t="shared" si="461"/>
        <v>0</v>
      </c>
      <c r="AP59" s="585">
        <f t="shared" si="95"/>
        <v>-89.999985662275449</v>
      </c>
      <c r="AQ59" s="586">
        <f t="shared" si="246"/>
        <v>0.38962307571086696</v>
      </c>
      <c r="AS59" s="52">
        <f t="shared" si="406"/>
        <v>-138.94503191638853</v>
      </c>
      <c r="AT59" s="72">
        <f t="shared" si="247"/>
        <v>-2.3345166062437701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>Gage</v>
      </c>
      <c r="IG59" s="847">
        <f t="shared" si="210"/>
        <v>3.2509999999999999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3.1509999999999998</v>
      </c>
      <c r="II59" s="734" cm="1">
        <f t="array" ref="II59">IFERROR(ROUND(VALUE(IF($IH59&lt;1,$IH59+LARGE((IF($M$9:$M$150="",0,$M$9:$M$150)-MOD(IF($M$9:$M$150="",0,$M$9:$M$150),1)),1),$IH59)),4),"")</f>
        <v>3.1509999999999998</v>
      </c>
      <c r="IJ59" s="533">
        <f t="shared" si="112"/>
        <v>1513</v>
      </c>
      <c r="IK59" s="533" t="str">
        <f>IF(ISNUMBER($II59),INDEX($K$9:$K$150,MATCH($IG59,$M$9:$M$150,0)),"")</f>
        <v>Inactive</v>
      </c>
      <c r="IL59" s="727">
        <f t="shared" si="225"/>
        <v>10.38699850030298</v>
      </c>
      <c r="IM59" s="759">
        <v>1.6224479459128902E-2</v>
      </c>
      <c r="IN59" s="5">
        <f t="shared" si="226"/>
        <v>1.54</v>
      </c>
      <c r="IO59" s="771">
        <v>770</v>
      </c>
      <c r="IP59" s="9">
        <f t="shared" si="227"/>
        <v>-5.8738177154342299</v>
      </c>
      <c r="IQ59" s="5">
        <f t="shared" si="228"/>
        <v>-2.4159072863763762</v>
      </c>
      <c r="IR59" s="5">
        <f t="shared" si="383"/>
        <v>0.28999999999999998</v>
      </c>
      <c r="IS59" s="5">
        <f t="shared" si="229"/>
        <v>0.24900849349147297</v>
      </c>
      <c r="IT59" s="727">
        <f t="shared" si="230"/>
        <v>79.719085056649092</v>
      </c>
      <c r="IU59" s="9">
        <f t="shared" si="231"/>
        <v>-5.8510176466692227</v>
      </c>
      <c r="IV59" s="5">
        <f t="shared" si="232"/>
        <v>-2.4310944061729729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64.999990615162474</v>
      </c>
    </row>
    <row r="60" spans="1:259" ht="15" customHeight="1" x14ac:dyDescent="0.25">
      <c r="A60" s="79"/>
      <c r="B60" s="707">
        <v>-0.50525195276234947</v>
      </c>
      <c r="C60" s="708">
        <v>-2.7694980249430725</v>
      </c>
      <c r="D60" s="709">
        <v>-0.20680062371068114</v>
      </c>
      <c r="E60" s="710">
        <v>0.95561378884019044</v>
      </c>
      <c r="F60" s="708">
        <v>-0.1406208701558514</v>
      </c>
      <c r="G60" s="711">
        <v>0.25889777414088988</v>
      </c>
      <c r="H60" s="710">
        <v>0.28999999999999998</v>
      </c>
      <c r="I60" s="708">
        <v>0.52</v>
      </c>
      <c r="J60" s="570">
        <v>4.1139999999999999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1513</v>
      </c>
      <c r="L60" s="320"/>
      <c r="M60" s="168">
        <f t="shared" si="239"/>
        <v>4.1139999999999999</v>
      </c>
      <c r="N60" s="632">
        <f t="shared" si="240"/>
        <v>-0.50525195276234947</v>
      </c>
      <c r="O60" s="629">
        <f t="shared" si="241"/>
        <v>-2.7694980249430725</v>
      </c>
      <c r="P60" s="633">
        <f t="shared" si="242"/>
        <v>-0.20680062371068114</v>
      </c>
      <c r="Q60" s="585">
        <f t="shared" si="113"/>
        <v>259.66097550398592</v>
      </c>
      <c r="R60" s="629">
        <f t="shared" si="79"/>
        <v>2.815208490668808</v>
      </c>
      <c r="S60" s="634">
        <f t="shared" si="80"/>
        <v>-0.20680062371068114</v>
      </c>
      <c r="T60" s="635">
        <f t="shared" si="81"/>
        <v>-2.770611145741948</v>
      </c>
      <c r="U60" s="629">
        <f t="shared" si="82"/>
        <v>0.49911193636722118</v>
      </c>
      <c r="V60" s="636">
        <f t="shared" si="114"/>
        <v>-0.20680062371068114</v>
      </c>
      <c r="W60" s="585">
        <f t="shared" si="224"/>
        <v>169.78797548564938</v>
      </c>
      <c r="X60" s="629">
        <f t="shared" si="83"/>
        <v>2.815208490668808</v>
      </c>
      <c r="Y60" s="630">
        <f t="shared" si="223"/>
        <v>-0.20680062371068114</v>
      </c>
      <c r="Z60" s="632">
        <f t="shared" si="243"/>
        <v>-0.95561378884019044</v>
      </c>
      <c r="AA60" s="629">
        <f t="shared" si="244"/>
        <v>0.1406208701558514</v>
      </c>
      <c r="AB60" s="629">
        <f t="shared" si="245"/>
        <v>-0.25889777414088988</v>
      </c>
      <c r="AC60" s="636">
        <f t="shared" si="84"/>
        <v>1</v>
      </c>
      <c r="AD60" s="637">
        <f t="shared" si="115"/>
        <v>-0.95561378884019044</v>
      </c>
      <c r="AE60" s="629">
        <f t="shared" si="85"/>
        <v>0.1406208701558514</v>
      </c>
      <c r="AF60" s="633">
        <f t="shared" si="86"/>
        <v>-0.25889777414088988</v>
      </c>
      <c r="AG60" s="602">
        <f t="shared" si="87"/>
        <v>28.508690203857437</v>
      </c>
      <c r="AH60" s="603">
        <f t="shared" si="88"/>
        <v>162.86511111590809</v>
      </c>
      <c r="AI60" s="585">
        <f t="shared" si="89"/>
        <v>-74.995329982112139</v>
      </c>
      <c r="AJ60" s="586">
        <f t="shared" si="90"/>
        <v>-98.371134543694268</v>
      </c>
      <c r="AK60" s="635">
        <f t="shared" si="211"/>
        <v>0.96533506454473461</v>
      </c>
      <c r="AL60" s="629">
        <f t="shared" si="91"/>
        <v>3.316859516630058E-2</v>
      </c>
      <c r="AM60" s="634">
        <f t="shared" si="92"/>
        <v>-0.25889777414088988</v>
      </c>
      <c r="AN60" s="581">
        <f t="shared" si="93"/>
        <v>7.3006587293869991</v>
      </c>
      <c r="AO60" s="582">
        <f t="shared" si="461"/>
        <v>15.130227011342386</v>
      </c>
      <c r="AP60" s="585">
        <f t="shared" si="95"/>
        <v>1.9678899523198037</v>
      </c>
      <c r="AQ60" s="586">
        <f t="shared" si="246"/>
        <v>0.80973571285357193</v>
      </c>
      <c r="AS60" s="52">
        <f t="shared" si="406"/>
        <v>-190.21202451435062</v>
      </c>
      <c r="AT60" s="72">
        <f t="shared" si="247"/>
        <v>-7.4620745588449139E-2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4.1139999999999999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1513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-0.66836857318135878</v>
      </c>
      <c r="C61" s="708">
        <v>-3.4564835397913702</v>
      </c>
      <c r="D61" s="709">
        <v>-5.5900168594908477E-2</v>
      </c>
      <c r="E61" s="710">
        <v>0.93789244751866896</v>
      </c>
      <c r="F61" s="708">
        <v>-0.22840367408547119</v>
      </c>
      <c r="G61" s="711">
        <v>0.26113122860297433</v>
      </c>
      <c r="H61" s="710">
        <v>0.28999999999999998</v>
      </c>
      <c r="I61" s="708">
        <v>0.52</v>
      </c>
      <c r="J61" s="570">
        <v>4.12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1513</v>
      </c>
      <c r="L61" s="320"/>
      <c r="M61" s="168">
        <f t="shared" si="239"/>
        <v>4.12</v>
      </c>
      <c r="N61" s="632">
        <f t="shared" si="240"/>
        <v>-0.66836857318135878</v>
      </c>
      <c r="O61" s="629">
        <f t="shared" si="241"/>
        <v>-3.4564835397913702</v>
      </c>
      <c r="P61" s="633">
        <f t="shared" si="242"/>
        <v>-5.5900168594908477E-2</v>
      </c>
      <c r="Q61" s="585">
        <f t="shared" si="113"/>
        <v>259.05597559133707</v>
      </c>
      <c r="R61" s="629">
        <f t="shared" si="79"/>
        <v>3.5205106178600238</v>
      </c>
      <c r="S61" s="634">
        <f t="shared" si="80"/>
        <v>-5.5900168594908477E-2</v>
      </c>
      <c r="T61" s="635">
        <f t="shared" si="81"/>
        <v>-3.457956531708906</v>
      </c>
      <c r="U61" s="629">
        <f t="shared" si="82"/>
        <v>0.66070540733134664</v>
      </c>
      <c r="V61" s="636">
        <f t="shared" si="114"/>
        <v>-5.5900168594908477E-2</v>
      </c>
      <c r="W61" s="585">
        <f t="shared" si="224"/>
        <v>169.18297557300053</v>
      </c>
      <c r="X61" s="629">
        <f t="shared" si="83"/>
        <v>3.5205106178600238</v>
      </c>
      <c r="Y61" s="630">
        <f t="shared" si="223"/>
        <v>-5.5900168594908477E-2</v>
      </c>
      <c r="Z61" s="632">
        <f t="shared" si="243"/>
        <v>-0.93789244751866896</v>
      </c>
      <c r="AA61" s="629">
        <f t="shared" si="244"/>
        <v>0.22840367408547119</v>
      </c>
      <c r="AB61" s="629">
        <f t="shared" si="245"/>
        <v>-0.26113122860297433</v>
      </c>
      <c r="AC61" s="636">
        <f t="shared" si="84"/>
        <v>1</v>
      </c>
      <c r="AD61" s="637">
        <f t="shared" si="115"/>
        <v>-0.93789244751866896</v>
      </c>
      <c r="AE61" s="629">
        <f t="shared" si="85"/>
        <v>0.22840367408547119</v>
      </c>
      <c r="AF61" s="633">
        <f t="shared" si="86"/>
        <v>-0.26113122860297433</v>
      </c>
      <c r="AG61" s="602">
        <f t="shared" si="87"/>
        <v>41.17521746093108</v>
      </c>
      <c r="AH61" s="603">
        <f t="shared" si="88"/>
        <v>159.70058015797949</v>
      </c>
      <c r="AI61" s="585">
        <f t="shared" si="89"/>
        <v>-74.862804169421423</v>
      </c>
      <c r="AJ61" s="586">
        <f t="shared" si="90"/>
        <v>-103.6867447995712</v>
      </c>
      <c r="AK61" s="635">
        <f t="shared" si="211"/>
        <v>0.96419753074460746</v>
      </c>
      <c r="AL61" s="629">
        <f t="shared" si="91"/>
        <v>-4.6190942340496532E-2</v>
      </c>
      <c r="AM61" s="634">
        <f t="shared" si="92"/>
        <v>-0.26113122860297433</v>
      </c>
      <c r="AN61" s="581">
        <f t="shared" si="93"/>
        <v>-10.031163607504308</v>
      </c>
      <c r="AO61" s="582">
        <f t="shared" si="461"/>
        <v>15.377950013730782</v>
      </c>
      <c r="AP61" s="585">
        <f t="shared" si="95"/>
        <v>-2.7427203909082629</v>
      </c>
      <c r="AQ61" s="586">
        <f t="shared" si="246"/>
        <v>0.64752810603039246</v>
      </c>
      <c r="AS61" s="52">
        <f t="shared" si="406"/>
        <v>-190.81702442699947</v>
      </c>
      <c r="AT61" s="72">
        <f t="shared" si="247"/>
        <v>7.6699848355551881E-2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1513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-0.85952990112076744</v>
      </c>
      <c r="C62" s="708">
        <v>-4.1501392673499282</v>
      </c>
      <c r="D62" s="709">
        <v>-0.12120036554030247</v>
      </c>
      <c r="E62" s="710">
        <v>0.91791333789054785</v>
      </c>
      <c r="F62" s="708">
        <v>-0.31451600041194611</v>
      </c>
      <c r="G62" s="711">
        <v>0.24189830426752826</v>
      </c>
      <c r="H62" s="710">
        <v>0.28999999999999998</v>
      </c>
      <c r="I62" s="708">
        <v>0.52</v>
      </c>
      <c r="J62" s="570">
        <v>4.1260000000000003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1513</v>
      </c>
      <c r="L62" s="320"/>
      <c r="M62" s="168">
        <f t="shared" si="239"/>
        <v>4.1260000000000003</v>
      </c>
      <c r="N62" s="632">
        <f t="shared" si="240"/>
        <v>-0.85952990112076744</v>
      </c>
      <c r="O62" s="629">
        <f t="shared" si="241"/>
        <v>-4.1501392673499282</v>
      </c>
      <c r="P62" s="633">
        <f t="shared" si="242"/>
        <v>-0.12120036554030247</v>
      </c>
      <c r="Q62" s="585">
        <f t="shared" si="113"/>
        <v>258.29897570063434</v>
      </c>
      <c r="R62" s="629">
        <f t="shared" si="79"/>
        <v>4.2382127824497529</v>
      </c>
      <c r="S62" s="634">
        <f t="shared" si="80"/>
        <v>-0.12120036554030247</v>
      </c>
      <c r="T62" s="635">
        <f t="shared" si="81"/>
        <v>-4.1520342769457654</v>
      </c>
      <c r="U62" s="629">
        <f t="shared" si="82"/>
        <v>0.85032873195484249</v>
      </c>
      <c r="V62" s="636">
        <f t="shared" si="114"/>
        <v>-0.12120036554030247</v>
      </c>
      <c r="W62" s="585">
        <f t="shared" si="224"/>
        <v>168.4259756822978</v>
      </c>
      <c r="X62" s="629">
        <f t="shared" si="83"/>
        <v>4.2382127824497529</v>
      </c>
      <c r="Y62" s="630">
        <f t="shared" si="223"/>
        <v>-0.12120036554030247</v>
      </c>
      <c r="Z62" s="632">
        <f t="shared" si="243"/>
        <v>-0.91791333789054785</v>
      </c>
      <c r="AA62" s="629">
        <f t="shared" si="244"/>
        <v>0.31451600041194611</v>
      </c>
      <c r="AB62" s="629">
        <f t="shared" si="245"/>
        <v>-0.24189830426752826</v>
      </c>
      <c r="AC62" s="636">
        <f t="shared" si="84"/>
        <v>1</v>
      </c>
      <c r="AD62" s="637">
        <f t="shared" si="115"/>
        <v>-0.91791333789054785</v>
      </c>
      <c r="AE62" s="629">
        <f t="shared" si="85"/>
        <v>0.31451600041194611</v>
      </c>
      <c r="AF62" s="633">
        <f t="shared" si="86"/>
        <v>-0.24189830426752826</v>
      </c>
      <c r="AG62" s="602">
        <f t="shared" si="87"/>
        <v>52.435652080554618</v>
      </c>
      <c r="AH62" s="603">
        <f t="shared" si="88"/>
        <v>156.62290769466745</v>
      </c>
      <c r="AI62" s="585">
        <f t="shared" si="89"/>
        <v>-76.001393059488208</v>
      </c>
      <c r="AJ62" s="586">
        <f t="shared" si="90"/>
        <v>-108.91363242663761</v>
      </c>
      <c r="AK62" s="635">
        <f t="shared" si="211"/>
        <v>0.96262370573583955</v>
      </c>
      <c r="AL62" s="629">
        <f t="shared" si="91"/>
        <v>-0.12182286956025165</v>
      </c>
      <c r="AM62" s="634">
        <f t="shared" si="92"/>
        <v>-0.24189830426752826</v>
      </c>
      <c r="AN62" s="581">
        <f t="shared" si="93"/>
        <v>-26.730370107240965</v>
      </c>
      <c r="AO62" s="582">
        <f t="shared" si="461"/>
        <v>15.714400206695187</v>
      </c>
      <c r="AP62" s="585">
        <f t="shared" si="95"/>
        <v>-7.212608127271948</v>
      </c>
      <c r="AQ62" s="586">
        <f t="shared" si="246"/>
        <v>0.53788230486792732</v>
      </c>
      <c r="AS62" s="52">
        <f t="shared" si="406"/>
        <v>-191.5740243177022</v>
      </c>
      <c r="AT62" s="72">
        <f t="shared" si="247"/>
        <v>1.1925345778701468E-2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4.1260000000000003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1513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-1.0559777881568497</v>
      </c>
      <c r="C63" s="708">
        <v>-4.7774018669863638</v>
      </c>
      <c r="D63" s="709">
        <v>-0.42270127486704528</v>
      </c>
      <c r="E63" s="710">
        <v>0.89073875008829417</v>
      </c>
      <c r="F63" s="708">
        <v>-0.4007042991769042</v>
      </c>
      <c r="G63" s="711">
        <v>0.21452399332543115</v>
      </c>
      <c r="H63" s="710">
        <v>0.28999999999999998</v>
      </c>
      <c r="I63" s="708">
        <v>0.52</v>
      </c>
      <c r="J63" s="570">
        <v>4.1319999999999997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1513</v>
      </c>
      <c r="L63" s="320"/>
      <c r="M63" s="168">
        <f t="shared" si="239"/>
        <v>4.1319999999999997</v>
      </c>
      <c r="N63" s="632">
        <f t="shared" si="240"/>
        <v>-1.0559777881568497</v>
      </c>
      <c r="O63" s="629">
        <f t="shared" si="241"/>
        <v>-4.7774018669863638</v>
      </c>
      <c r="P63" s="633">
        <f t="shared" si="242"/>
        <v>-0.42270127486704528</v>
      </c>
      <c r="Q63" s="585">
        <f t="shared" si="113"/>
        <v>257.53597581079794</v>
      </c>
      <c r="R63" s="629">
        <f t="shared" si="79"/>
        <v>4.892714756427706</v>
      </c>
      <c r="S63" s="634">
        <f t="shared" si="80"/>
        <v>-0.42270127486704528</v>
      </c>
      <c r="T63" s="635">
        <f t="shared" si="81"/>
        <v>-4.779730775368126</v>
      </c>
      <c r="U63" s="629">
        <f t="shared" si="82"/>
        <v>1.0453857674391023</v>
      </c>
      <c r="V63" s="636">
        <f t="shared" si="114"/>
        <v>-0.42270127486704528</v>
      </c>
      <c r="W63" s="585">
        <f t="shared" si="224"/>
        <v>167.6629757924614</v>
      </c>
      <c r="X63" s="629">
        <f t="shared" si="83"/>
        <v>4.892714756427706</v>
      </c>
      <c r="Y63" s="630">
        <f t="shared" si="223"/>
        <v>-0.42270127486704528</v>
      </c>
      <c r="Z63" s="632">
        <f t="shared" si="243"/>
        <v>-0.89073875008829417</v>
      </c>
      <c r="AA63" s="629">
        <f t="shared" si="244"/>
        <v>0.4007042991769042</v>
      </c>
      <c r="AB63" s="629">
        <f t="shared" si="245"/>
        <v>-0.21452399332543115</v>
      </c>
      <c r="AC63" s="636">
        <f t="shared" si="84"/>
        <v>1</v>
      </c>
      <c r="AD63" s="637">
        <f t="shared" si="115"/>
        <v>-0.89073875008829417</v>
      </c>
      <c r="AE63" s="629">
        <f t="shared" si="85"/>
        <v>0.4007042991769042</v>
      </c>
      <c r="AF63" s="633">
        <f t="shared" si="86"/>
        <v>-0.21452399332543115</v>
      </c>
      <c r="AG63" s="602">
        <f t="shared" si="87"/>
        <v>61.836858033882415</v>
      </c>
      <c r="AH63" s="603">
        <f t="shared" si="88"/>
        <v>152.96622515917676</v>
      </c>
      <c r="AI63" s="585">
        <f t="shared" si="89"/>
        <v>-77.612397453620204</v>
      </c>
      <c r="AJ63" s="586">
        <f t="shared" si="90"/>
        <v>-114.22089059746345</v>
      </c>
      <c r="AK63" s="635">
        <f t="shared" si="211"/>
        <v>0.95622819643682067</v>
      </c>
      <c r="AL63" s="629">
        <f t="shared" si="91"/>
        <v>-0.19901530751903368</v>
      </c>
      <c r="AM63" s="634">
        <f t="shared" si="92"/>
        <v>-0.21452399332543115</v>
      </c>
      <c r="AN63" s="581">
        <f t="shared" si="93"/>
        <v>-42.852281470571036</v>
      </c>
      <c r="AO63" s="582">
        <f t="shared" si="461"/>
        <v>17.014996871434779</v>
      </c>
      <c r="AP63" s="585">
        <f t="shared" si="95"/>
        <v>-11.756866408261379</v>
      </c>
      <c r="AQ63" s="586">
        <f t="shared" si="246"/>
        <v>0.46593281891944094</v>
      </c>
      <c r="AS63" s="52">
        <f t="shared" si="406"/>
        <v>-192.3370242075386</v>
      </c>
      <c r="AT63" s="72">
        <f t="shared" si="247"/>
        <v>-0.28904570251343276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4.1319999999999997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1513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-1.2256643283586415</v>
      </c>
      <c r="C64" s="708">
        <v>-5.2682181654123976</v>
      </c>
      <c r="D64" s="709">
        <v>-0.92550279131641866</v>
      </c>
      <c r="E64" s="710">
        <v>0.85770002087534036</v>
      </c>
      <c r="F64" s="708">
        <v>-0.48156786638695792</v>
      </c>
      <c r="G64" s="711">
        <v>0.18011958320503024</v>
      </c>
      <c r="H64" s="710">
        <v>0.28999999999999998</v>
      </c>
      <c r="I64" s="708">
        <v>0.52</v>
      </c>
      <c r="J64" s="570">
        <v>4.1379999999999999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1513</v>
      </c>
      <c r="L64" s="320"/>
      <c r="M64" s="168">
        <f t="shared" si="239"/>
        <v>4.1379999999999999</v>
      </c>
      <c r="N64" s="632">
        <f t="shared" si="240"/>
        <v>-1.2256643283586415</v>
      </c>
      <c r="O64" s="629">
        <f t="shared" si="241"/>
        <v>-5.2682181654123976</v>
      </c>
      <c r="P64" s="633">
        <f t="shared" si="242"/>
        <v>-0.92550279131641866</v>
      </c>
      <c r="Q64" s="585">
        <f t="shared" si="113"/>
        <v>256.90297590219177</v>
      </c>
      <c r="R64" s="629">
        <f t="shared" si="79"/>
        <v>5.4089163132916012</v>
      </c>
      <c r="S64" s="634">
        <f t="shared" si="80"/>
        <v>-0.92550279131641866</v>
      </c>
      <c r="T64" s="635">
        <f t="shared" si="81"/>
        <v>-5.2709219894801764</v>
      </c>
      <c r="U64" s="629">
        <f t="shared" si="82"/>
        <v>1.2139839640647412</v>
      </c>
      <c r="V64" s="636">
        <f t="shared" si="114"/>
        <v>-0.92550279131641866</v>
      </c>
      <c r="W64" s="585">
        <f t="shared" si="224"/>
        <v>167.02997588385523</v>
      </c>
      <c r="X64" s="629">
        <f t="shared" si="83"/>
        <v>5.4089163132916012</v>
      </c>
      <c r="Y64" s="630">
        <f t="shared" si="223"/>
        <v>-0.92550279131641866</v>
      </c>
      <c r="Z64" s="632">
        <f t="shared" si="243"/>
        <v>-0.85770002087534036</v>
      </c>
      <c r="AA64" s="629">
        <f t="shared" si="244"/>
        <v>0.48156786638695792</v>
      </c>
      <c r="AB64" s="629">
        <f t="shared" si="245"/>
        <v>-0.18011958320503024</v>
      </c>
      <c r="AC64" s="636">
        <f t="shared" si="84"/>
        <v>1</v>
      </c>
      <c r="AD64" s="637">
        <f t="shared" si="115"/>
        <v>-0.85770002087534036</v>
      </c>
      <c r="AE64" s="629">
        <f t="shared" si="85"/>
        <v>0.48156786638695792</v>
      </c>
      <c r="AF64" s="633">
        <f t="shared" si="86"/>
        <v>-0.18011958320503024</v>
      </c>
      <c r="AG64" s="602">
        <f t="shared" si="87"/>
        <v>69.492825308461448</v>
      </c>
      <c r="AH64" s="603">
        <f t="shared" si="88"/>
        <v>149.0593139438331</v>
      </c>
      <c r="AI64" s="585">
        <f t="shared" si="89"/>
        <v>-79.623274735792876</v>
      </c>
      <c r="AJ64" s="586">
        <f t="shared" si="90"/>
        <v>-119.31265155078783</v>
      </c>
      <c r="AK64" s="635">
        <f t="shared" si="211"/>
        <v>0.94451292829401823</v>
      </c>
      <c r="AL64" s="629">
        <f t="shared" si="91"/>
        <v>-0.27468575505749293</v>
      </c>
      <c r="AM64" s="634">
        <f t="shared" si="92"/>
        <v>-0.18011958320503024</v>
      </c>
      <c r="AN64" s="581">
        <f t="shared" si="93"/>
        <v>-56.745957742632029</v>
      </c>
      <c r="AO64" s="582">
        <f t="shared" si="461"/>
        <v>19.176194390739429</v>
      </c>
      <c r="AP64" s="585">
        <f t="shared" si="95"/>
        <v>-16.215627452979604</v>
      </c>
      <c r="AQ64" s="586">
        <f t="shared" si="246"/>
        <v>0.42146806873536619</v>
      </c>
      <c r="AS64" s="52">
        <f t="shared" si="406"/>
        <v>-192.97002411614477</v>
      </c>
      <c r="AT64" s="72">
        <f t="shared" si="247"/>
        <v>-0.7914076356929407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4.1379999999999999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1513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-1.3376288194511332</v>
      </c>
      <c r="C65" s="708">
        <v>-5.5711863553250964</v>
      </c>
      <c r="D65" s="709">
        <v>-1.5713047390550929</v>
      </c>
      <c r="E65" s="710">
        <v>0.80009178631381273</v>
      </c>
      <c r="F65" s="708">
        <v>-0.57895993564806447</v>
      </c>
      <c r="G65" s="711">
        <v>0.15703033588310694</v>
      </c>
      <c r="H65" s="710">
        <v>0.28999999999999998</v>
      </c>
      <c r="I65" s="708">
        <v>0.52</v>
      </c>
      <c r="J65" s="570">
        <v>4.1440000000000001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1513</v>
      </c>
      <c r="L65" s="320"/>
      <c r="M65" s="168">
        <f t="shared" si="239"/>
        <v>4.1440000000000001</v>
      </c>
      <c r="N65" s="632">
        <f t="shared" si="240"/>
        <v>-1.3376288194511332</v>
      </c>
      <c r="O65" s="629">
        <f t="shared" si="241"/>
        <v>-5.5711863553250964</v>
      </c>
      <c r="P65" s="633">
        <f t="shared" si="242"/>
        <v>-1.5713047390550929</v>
      </c>
      <c r="Q65" s="585">
        <f t="shared" si="113"/>
        <v>256.49897596052216</v>
      </c>
      <c r="R65" s="629">
        <f t="shared" si="79"/>
        <v>5.7295172802241172</v>
      </c>
      <c r="S65" s="634">
        <f t="shared" si="80"/>
        <v>-1.5713047390550929</v>
      </c>
      <c r="T65" s="635">
        <f t="shared" si="81"/>
        <v>-5.5741376118114596</v>
      </c>
      <c r="U65" s="629">
        <f t="shared" si="82"/>
        <v>1.3252766311135227</v>
      </c>
      <c r="V65" s="636">
        <f t="shared" si="114"/>
        <v>-1.5713047390550929</v>
      </c>
      <c r="W65" s="585">
        <f t="shared" si="224"/>
        <v>166.62597594218562</v>
      </c>
      <c r="X65" s="629">
        <f t="shared" si="83"/>
        <v>5.7295172802241172</v>
      </c>
      <c r="Y65" s="630">
        <f t="shared" si="223"/>
        <v>-1.5713047390550929</v>
      </c>
      <c r="Z65" s="632">
        <f t="shared" si="243"/>
        <v>-0.80009178631381273</v>
      </c>
      <c r="AA65" s="629">
        <f t="shared" si="244"/>
        <v>0.57895993564806447</v>
      </c>
      <c r="AB65" s="629">
        <f t="shared" si="245"/>
        <v>-0.15703033588310694</v>
      </c>
      <c r="AC65" s="636">
        <f t="shared" si="84"/>
        <v>1</v>
      </c>
      <c r="AD65" s="637">
        <f t="shared" si="115"/>
        <v>-0.80009178631381273</v>
      </c>
      <c r="AE65" s="629">
        <f t="shared" si="85"/>
        <v>0.57895993564806447</v>
      </c>
      <c r="AF65" s="633">
        <f t="shared" si="86"/>
        <v>-0.15703033588310694</v>
      </c>
      <c r="AG65" s="602">
        <f t="shared" si="87"/>
        <v>74.824849067575954</v>
      </c>
      <c r="AH65" s="603">
        <f t="shared" si="88"/>
        <v>143.1388681955948</v>
      </c>
      <c r="AI65" s="585">
        <f t="shared" si="89"/>
        <v>-80.965431891428494</v>
      </c>
      <c r="AJ65" s="586">
        <f t="shared" si="90"/>
        <v>-125.8901344399402</v>
      </c>
      <c r="AK65" s="635">
        <f t="shared" si="211"/>
        <v>0.91314742276943939</v>
      </c>
      <c r="AL65" s="629">
        <f t="shared" si="91"/>
        <v>-0.37616918786892872</v>
      </c>
      <c r="AM65" s="634">
        <f t="shared" si="92"/>
        <v>-0.15703033588310694</v>
      </c>
      <c r="AN65" s="581">
        <f t="shared" si="93"/>
        <v>-67.342096774802812</v>
      </c>
      <c r="AO65" s="582">
        <f t="shared" si="461"/>
        <v>24.056008510587379</v>
      </c>
      <c r="AP65" s="585">
        <f t="shared" si="95"/>
        <v>-22.389110400462371</v>
      </c>
      <c r="AQ65" s="586">
        <f t="shared" si="246"/>
        <v>0.39788517494575804</v>
      </c>
      <c r="AS65" s="52">
        <f t="shared" si="406"/>
        <v>-193.37402405781438</v>
      </c>
      <c r="AT65" s="72">
        <f t="shared" si="247"/>
        <v>-1.4369290279165667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4.1440000000000001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1513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-1.3875600205643672</v>
      </c>
      <c r="C66" s="708">
        <v>-5.7015028979739633</v>
      </c>
      <c r="D66" s="709">
        <v>-2.2907069087720369</v>
      </c>
      <c r="E66" s="710">
        <v>0.72745944085354108</v>
      </c>
      <c r="F66" s="708">
        <v>-0.67816383581840411</v>
      </c>
      <c r="G66" s="711">
        <v>0.10438665480377243</v>
      </c>
      <c r="H66" s="710">
        <v>0.28999999999999998</v>
      </c>
      <c r="I66" s="708">
        <v>0.52</v>
      </c>
      <c r="J66" s="570">
        <v>4.1500000000000004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1513</v>
      </c>
      <c r="L66" s="320"/>
      <c r="M66" s="168">
        <f t="shared" si="239"/>
        <v>4.1500000000000004</v>
      </c>
      <c r="N66" s="632">
        <f t="shared" si="240"/>
        <v>-1.3875600205643672</v>
      </c>
      <c r="O66" s="629">
        <f t="shared" si="241"/>
        <v>-5.7015028979739633</v>
      </c>
      <c r="P66" s="633">
        <f t="shared" si="242"/>
        <v>-2.2907069087720369</v>
      </c>
      <c r="Q66" s="585">
        <f t="shared" si="113"/>
        <v>256.3219759860778</v>
      </c>
      <c r="R66" s="629">
        <f t="shared" si="79"/>
        <v>5.8679176976397764</v>
      </c>
      <c r="S66" s="634">
        <f t="shared" si="80"/>
        <v>-2.2907069087720369</v>
      </c>
      <c r="T66" s="635">
        <f t="shared" si="81"/>
        <v>-5.7045645101300746</v>
      </c>
      <c r="U66" s="629">
        <f t="shared" si="82"/>
        <v>1.3749188543468727</v>
      </c>
      <c r="V66" s="636">
        <f t="shared" si="114"/>
        <v>-2.2907069087720369</v>
      </c>
      <c r="W66" s="585">
        <f t="shared" si="224"/>
        <v>166.44897596774126</v>
      </c>
      <c r="X66" s="629">
        <f t="shared" si="83"/>
        <v>5.8679176976397764</v>
      </c>
      <c r="Y66" s="630">
        <f t="shared" si="223"/>
        <v>-2.2907069087720369</v>
      </c>
      <c r="Z66" s="632">
        <f t="shared" si="243"/>
        <v>-0.72745944085354108</v>
      </c>
      <c r="AA66" s="629">
        <f t="shared" si="244"/>
        <v>0.67816383581840411</v>
      </c>
      <c r="AB66" s="629">
        <f t="shared" si="245"/>
        <v>-0.10438665480377243</v>
      </c>
      <c r="AC66" s="636">
        <f t="shared" si="84"/>
        <v>1</v>
      </c>
      <c r="AD66" s="637">
        <f t="shared" si="115"/>
        <v>-0.72745944085354108</v>
      </c>
      <c r="AE66" s="629">
        <f t="shared" si="85"/>
        <v>0.67816383581840411</v>
      </c>
      <c r="AF66" s="633">
        <f t="shared" si="86"/>
        <v>-0.10438665480377243</v>
      </c>
      <c r="AG66" s="602">
        <f t="shared" si="87"/>
        <v>81.249401055052203</v>
      </c>
      <c r="AH66" s="603">
        <f t="shared" si="88"/>
        <v>136.67383070652721</v>
      </c>
      <c r="AI66" s="585">
        <f t="shared" si="89"/>
        <v>-84.008169720206212</v>
      </c>
      <c r="AJ66" s="586">
        <f t="shared" si="90"/>
        <v>-132.99144402897775</v>
      </c>
      <c r="AK66" s="635">
        <f t="shared" si="211"/>
        <v>0.86719095228720444</v>
      </c>
      <c r="AL66" s="629">
        <f t="shared" si="91"/>
        <v>-0.48691198236446132</v>
      </c>
      <c r="AM66" s="634">
        <f t="shared" si="92"/>
        <v>-0.10438665480377243</v>
      </c>
      <c r="AN66" s="581">
        <f t="shared" si="93"/>
        <v>-77.899800812161942</v>
      </c>
      <c r="AO66" s="582">
        <f t="shared" si="461"/>
        <v>29.866167130116935</v>
      </c>
      <c r="AP66" s="585">
        <f t="shared" si="95"/>
        <v>-29.313420015055563</v>
      </c>
      <c r="AQ66" s="586">
        <f t="shared" si="246"/>
        <v>0.38850096595047479</v>
      </c>
      <c r="AS66" s="52">
        <f t="shared" si="406"/>
        <v>-193.55102403225874</v>
      </c>
      <c r="AT66" s="72">
        <f t="shared" si="247"/>
        <v>-2.1562082809845911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4.1500000000000004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1513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-1.4057816068328142</v>
      </c>
      <c r="C67" s="708">
        <v>-5.7484211882601874</v>
      </c>
      <c r="D67" s="709">
        <v>-3.0495091973197397</v>
      </c>
      <c r="E67" s="710">
        <v>0.65945053666313225</v>
      </c>
      <c r="F67" s="708">
        <v>-0.75174795622914081</v>
      </c>
      <c r="G67" s="711">
        <v>1.3008419206952758E-7</v>
      </c>
      <c r="H67" s="710">
        <v>0.28999999999999998</v>
      </c>
      <c r="I67" s="708">
        <v>0.52</v>
      </c>
      <c r="J67" s="570">
        <v>4.1559999999999997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1513</v>
      </c>
      <c r="L67" s="320"/>
      <c r="M67" s="168">
        <f t="shared" si="239"/>
        <v>4.1559999999999997</v>
      </c>
      <c r="N67" s="632">
        <f t="shared" si="240"/>
        <v>-1.4057816068328142</v>
      </c>
      <c r="O67" s="629">
        <f t="shared" si="241"/>
        <v>-5.7484211882601874</v>
      </c>
      <c r="P67" s="633">
        <f t="shared" si="242"/>
        <v>-3.0495091973197397</v>
      </c>
      <c r="Q67" s="585">
        <f t="shared" si="113"/>
        <v>256.25797599531825</v>
      </c>
      <c r="R67" s="629">
        <f>IF(M67="","",SQRT(N67^2+O67^2))</f>
        <v>5.917817848138629</v>
      </c>
      <c r="S67" s="634">
        <f>IF(M67="","",P67)</f>
        <v>-3.0495091973197397</v>
      </c>
      <c r="T67" s="635">
        <f>IF(M67="","",X67*COS(RADIANS(W67)))</f>
        <v>-5.7515230745063688</v>
      </c>
      <c r="U67" s="629">
        <f>IF(M67="","",X67*SIN(RADIANS(W67)))</f>
        <v>1.39303639836471</v>
      </c>
      <c r="V67" s="636">
        <f>IF(M67="","",Y67)</f>
        <v>-3.0495091973197397</v>
      </c>
      <c r="W67" s="585">
        <f t="shared" si="224"/>
        <v>166.38497597698171</v>
      </c>
      <c r="X67" s="629">
        <f>IF(M67="","",R67)</f>
        <v>5.917817848138629</v>
      </c>
      <c r="Y67" s="630">
        <f t="shared" si="223"/>
        <v>-3.0495091973197397</v>
      </c>
      <c r="Z67" s="632">
        <f t="shared" si="243"/>
        <v>-0.65945053666313225</v>
      </c>
      <c r="AA67" s="629">
        <f t="shared" si="244"/>
        <v>0.75174795622914081</v>
      </c>
      <c r="AB67" s="629">
        <f t="shared" si="245"/>
        <v>-1.3008419206952758E-7</v>
      </c>
      <c r="AC67" s="636">
        <f>IF(M67="","",SQRT(Z67^2+AA67^2+AB67^2))</f>
        <v>1</v>
      </c>
      <c r="AD67" s="637">
        <f>IF(M67="","",Z67*(1/SQRT(Z67^2+AA67^2+AB67^2)))</f>
        <v>-0.65945053666313225</v>
      </c>
      <c r="AE67" s="629">
        <f>IF(M67="","",AA67*(1/SQRT(Z67^2+AA67^2+AB67^2)))</f>
        <v>0.75174795622914081</v>
      </c>
      <c r="AF67" s="633">
        <f>IF(M67="","",AB67*(1/SQRT(Z67^2+AA67^2+AB67^2)))</f>
        <v>-1.3008419206952758E-7</v>
      </c>
      <c r="AG67" s="602">
        <f>IF(M67="","",DEGREES(ATAN2(-AF67,AE67)))</f>
        <v>89.999990085406779</v>
      </c>
      <c r="AH67" s="603">
        <f>IF(M67="","",DEGREES(ACOS(AD67)))</f>
        <v>131.25798104869259</v>
      </c>
      <c r="AI67" s="585">
        <f>IF(M67="","",DEGREES(-ACOS(-AF67)))</f>
        <v>-89.999992546724812</v>
      </c>
      <c r="AJ67" s="586">
        <f>IF(M67="","",DEGREES(ATAN2(-AE67,AD67)))</f>
        <v>-138.74201895130702</v>
      </c>
      <c r="AK67" s="635">
        <f>IF(M67="","",(COS(RADIANS((90-$Q$8)-W67))*AD67)+(-SIN(RADIANS((90-$Q$8)-W67))*AE67))</f>
        <v>0.81915209487729213</v>
      </c>
      <c r="AL67" s="629">
        <f>IF(M67="","",(SIN(RADIANS((90-$Q$8)-W67))*AD67)+(COS(RADIANS((90-$Q$8)-W67))*AE67))</f>
        <v>-0.57357636410344459</v>
      </c>
      <c r="AM67" s="634">
        <f>IF(M67="","",AF67)</f>
        <v>-1.3008419206952758E-7</v>
      </c>
      <c r="AN67" s="581">
        <f>IF(M67="","",DEGREES(ATAN2(-AM67,AL67)))</f>
        <v>-89.999987005609626</v>
      </c>
      <c r="AO67" s="582">
        <f t="shared" si="461"/>
        <v>34.999994946625939</v>
      </c>
      <c r="AP67" s="585">
        <f>IF(M67="","",DEGREES(ATAN2(AK67,AL67)))</f>
        <v>-34.999994946625264</v>
      </c>
      <c r="AQ67" s="586">
        <f t="shared" si="246"/>
        <v>0.38522515205170221</v>
      </c>
      <c r="AS67" s="52">
        <f t="shared" si="406"/>
        <v>-193.61502402301829</v>
      </c>
      <c r="AT67" s="72">
        <f t="shared" si="247"/>
        <v>-2.9149661250942662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4.1559999999999997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1513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-1.6730660213693851</v>
      </c>
      <c r="C68" s="708">
        <v>-3.0965928569680918</v>
      </c>
      <c r="D68" s="709">
        <v>-5.5423287259393786E-2</v>
      </c>
      <c r="E68" s="710">
        <v>2.4877997074844876E-2</v>
      </c>
      <c r="F68" s="708">
        <v>4.6044943123445099E-2</v>
      </c>
      <c r="G68" s="711">
        <v>0.99862953515019914</v>
      </c>
      <c r="H68" s="710">
        <v>0.26250000000000001</v>
      </c>
      <c r="I68" s="708">
        <v>0.40699999999999997</v>
      </c>
      <c r="J68" s="570">
        <v>4.22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4.22</v>
      </c>
      <c r="N68" s="632">
        <f t="shared" si="240"/>
        <v>-1.6730660213693851</v>
      </c>
      <c r="O68" s="629">
        <f t="shared" si="241"/>
        <v>-3.0965928569680918</v>
      </c>
      <c r="P68" s="633">
        <f t="shared" si="242"/>
        <v>-5.5423287259393786E-2</v>
      </c>
      <c r="Q68" s="585">
        <f t="shared" si="113"/>
        <v>241.6179781090724</v>
      </c>
      <c r="R68" s="629">
        <f>IF(M68="","",SQRT(N68^2+O68^2))</f>
        <v>3.5196643637833698</v>
      </c>
      <c r="S68" s="634">
        <f>IF(M68="","",P68)</f>
        <v>-5.5423287259393786E-2</v>
      </c>
      <c r="T68" s="635">
        <f>IF(M68="","",X68*COS(RADIANS(W68)))</f>
        <v>-3.100293711206795</v>
      </c>
      <c r="U68" s="629">
        <f>IF(M68="","",X68*SIN(RADIANS(W68)))</f>
        <v>1.6661981088508622</v>
      </c>
      <c r="V68" s="636">
        <f>IF(M68="","",Y68)</f>
        <v>-5.5423287259393786E-2</v>
      </c>
      <c r="W68" s="585">
        <f t="shared" si="224"/>
        <v>151.74497809073586</v>
      </c>
      <c r="X68" s="629">
        <f>IF(M68="","",R68)</f>
        <v>3.5196643637833698</v>
      </c>
      <c r="Y68" s="630">
        <f t="shared" si="223"/>
        <v>-5.5423287259393786E-2</v>
      </c>
      <c r="Z68" s="632">
        <f t="shared" si="243"/>
        <v>-2.4877997074844876E-2</v>
      </c>
      <c r="AA68" s="629">
        <f t="shared" si="244"/>
        <v>-4.6044943123445099E-2</v>
      </c>
      <c r="AB68" s="629">
        <f t="shared" si="245"/>
        <v>-0.99862953515019914</v>
      </c>
      <c r="AC68" s="636">
        <f>IF(M68="","",SQRT(Z68^2+AA68^2+AB68^2))</f>
        <v>1</v>
      </c>
      <c r="AD68" s="637">
        <f>IF(M68="","",Z68*(1/SQRT(Z68^2+AA68^2+AB68^2)))</f>
        <v>-2.4877997074844876E-2</v>
      </c>
      <c r="AE68" s="629">
        <f>IF(M68="","",AA68*(1/SQRT(Z68^2+AA68^2+AB68^2)))</f>
        <v>-4.6044943123445099E-2</v>
      </c>
      <c r="AF68" s="633">
        <f>IF(M68="","",AB68*(1/SQRT(Z68^2+AA68^2+AB68^2)))</f>
        <v>-0.99862953515019914</v>
      </c>
      <c r="AG68" s="602">
        <f>IF(M68="","",DEGREES(ATAN2(-AF68,AE68)))</f>
        <v>-2.6399316679870282</v>
      </c>
      <c r="AH68" s="603">
        <f>IF(M68="","",DEGREES(ACOS(AD68)))</f>
        <v>91.425551310041399</v>
      </c>
      <c r="AI68" s="585">
        <f>IF(M68="","",DEGREES(-ACOS(-AF68)))</f>
        <v>-2.9999995668817112</v>
      </c>
      <c r="AJ68" s="586">
        <f>IF(M68="","",DEGREES(ATAN2(-AE68,AD68)))</f>
        <v>-28.382270178972817</v>
      </c>
      <c r="AK68" s="635">
        <f>IF(M68="","",(COS(RADIANS((90-$Q$8)-W68))*AD68)+(-SIN(RADIANS((90-$Q$8)-W68))*AE68))</f>
        <v>2.2679489668567254E-7</v>
      </c>
      <c r="AL68" s="629">
        <f>IF(M68="","",(SIN(RADIANS((90-$Q$8)-W68))*AD68)+(COS(RADIANS((90-$Q$8)-W68))*AE68))</f>
        <v>5.2335948693473099E-2</v>
      </c>
      <c r="AM68" s="634">
        <f>IF(M68="","",AF68)</f>
        <v>-0.99862953515019914</v>
      </c>
      <c r="AN68" s="581">
        <f>IF(M68="","",DEGREES(ATAN2(-AM68,AL68)))</f>
        <v>2.9999995668536541</v>
      </c>
      <c r="AO68" s="582">
        <f t="shared" si="461"/>
        <v>0</v>
      </c>
      <c r="AP68" s="585">
        <f>IF(M68="","",DEGREES(ATAN2(AK68,AL68)))</f>
        <v>89.999751711954801</v>
      </c>
      <c r="AQ68" s="586">
        <f t="shared" si="246"/>
        <v>0.64768378184709097</v>
      </c>
      <c r="AS68" s="52">
        <f t="shared" si="406"/>
        <v>-208.25502190926414</v>
      </c>
      <c r="AT68" s="72">
        <f t="shared" si="247"/>
        <v>8.9286450164861489E-2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</v>
      </c>
      <c r="II68" s="734" cm="1">
        <f t="array" ref="II68">IFERROR(ROUND(VALUE(IF($IH68&lt;1,$IH68+LARGE((IF($M$9:$M$150="",0,$M$9:$M$150)-MOD(IF($M$9:$M$150="",0,$M$9:$M$150),1)),1),$IH68)),4),"")</f>
        <v>4.12</v>
      </c>
      <c r="IJ68" s="533">
        <f t="shared" si="112"/>
        <v>1513</v>
      </c>
      <c r="IK68" s="533" t="str">
        <f t="shared" si="382"/>
        <v>Inactive</v>
      </c>
      <c r="IL68" s="727">
        <f t="shared" si="225"/>
        <v>17.437997482264677</v>
      </c>
      <c r="IM68" s="759">
        <v>1.67833778019645E-2</v>
      </c>
      <c r="IN68" s="5">
        <f t="shared" si="226"/>
        <v>0.32</v>
      </c>
      <c r="IO68" s="771">
        <v>160</v>
      </c>
      <c r="IP68" s="9">
        <f t="shared" si="227"/>
        <v>-3.5205106178600238</v>
      </c>
      <c r="IQ68" s="5">
        <f t="shared" si="228"/>
        <v>-5.5900168594908477E-2</v>
      </c>
      <c r="IR68" s="5">
        <f t="shared" si="383"/>
        <v>0.28999999999999998</v>
      </c>
      <c r="IS68" s="5">
        <f t="shared" si="229"/>
        <v>0.27961728391593615</v>
      </c>
      <c r="IT68" s="727">
        <f t="shared" si="230"/>
        <v>10.031163607504308</v>
      </c>
      <c r="IU68" s="9">
        <f t="shared" si="231"/>
        <v>-3.5196643637833698</v>
      </c>
      <c r="IV68" s="5">
        <f t="shared" si="232"/>
        <v>-5.5423287259393786E-2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-2.9999995668536541</v>
      </c>
    </row>
    <row r="69" spans="1:259" ht="15" customHeight="1" x14ac:dyDescent="0.25">
      <c r="A69" s="79"/>
      <c r="B69" s="707">
        <v>-1.8667962947135845</v>
      </c>
      <c r="C69" s="708">
        <v>-3.807741547565755</v>
      </c>
      <c r="D69" s="709">
        <v>-0.11939646714484062</v>
      </c>
      <c r="E69" s="710">
        <v>-6.8635505648719272E-2</v>
      </c>
      <c r="F69" s="708">
        <v>-0.13999772177270109</v>
      </c>
      <c r="G69" s="711">
        <v>0.98777011761988331</v>
      </c>
      <c r="H69" s="710">
        <v>0.26250000000000001</v>
      </c>
      <c r="I69" s="708">
        <v>0.40699999999999997</v>
      </c>
      <c r="J69" s="570">
        <v>4.226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4.226</v>
      </c>
      <c r="N69" s="632">
        <f t="shared" si="240"/>
        <v>-1.8667962947135845</v>
      </c>
      <c r="O69" s="629">
        <f t="shared" si="241"/>
        <v>-3.807741547565755</v>
      </c>
      <c r="P69" s="633">
        <f t="shared" si="242"/>
        <v>-0.11939646714484062</v>
      </c>
      <c r="Q69" s="585">
        <f t="shared" si="113"/>
        <v>243.88297778204694</v>
      </c>
      <c r="R69" s="629">
        <f t="shared" si="79"/>
        <v>4.2407339104233852</v>
      </c>
      <c r="S69" s="634">
        <f t="shared" si="80"/>
        <v>-0.11939646714484062</v>
      </c>
      <c r="T69" s="635">
        <f t="shared" si="81"/>
        <v>-3.8118700707468798</v>
      </c>
      <c r="U69" s="629">
        <f t="shared" si="82"/>
        <v>1.8583515982609407</v>
      </c>
      <c r="V69" s="636">
        <f t="shared" si="114"/>
        <v>-0.11939646714484062</v>
      </c>
      <c r="W69" s="585">
        <f t="shared" si="224"/>
        <v>154.0099777637104</v>
      </c>
      <c r="X69" s="629">
        <f t="shared" si="83"/>
        <v>4.2407339104233852</v>
      </c>
      <c r="Y69" s="630">
        <f t="shared" si="223"/>
        <v>-0.11939646714484062</v>
      </c>
      <c r="Z69" s="632">
        <f t="shared" si="243"/>
        <v>6.8635505648719272E-2</v>
      </c>
      <c r="AA69" s="629">
        <f t="shared" si="244"/>
        <v>0.13999772177270109</v>
      </c>
      <c r="AB69" s="629">
        <f t="shared" si="245"/>
        <v>-0.98777011761988331</v>
      </c>
      <c r="AC69" s="636">
        <f t="shared" si="84"/>
        <v>1</v>
      </c>
      <c r="AD69" s="637">
        <f t="shared" si="115"/>
        <v>6.8635505648719272E-2</v>
      </c>
      <c r="AE69" s="629">
        <f t="shared" si="85"/>
        <v>0.13999772177270109</v>
      </c>
      <c r="AF69" s="633">
        <f t="shared" si="86"/>
        <v>-0.98777011761988331</v>
      </c>
      <c r="AG69" s="602">
        <f t="shared" si="87"/>
        <v>8.0668639187337536</v>
      </c>
      <c r="AH69" s="603">
        <f t="shared" si="88"/>
        <v>86.064381060198343</v>
      </c>
      <c r="AI69" s="585">
        <f t="shared" si="89"/>
        <v>-8.9699987049017356</v>
      </c>
      <c r="AJ69" s="586">
        <f t="shared" si="90"/>
        <v>153.8830611236196</v>
      </c>
      <c r="AK69" s="635">
        <f t="shared" si="211"/>
        <v>2.2679489670995867E-7</v>
      </c>
      <c r="AL69" s="629">
        <f t="shared" si="91"/>
        <v>-0.15591726888690219</v>
      </c>
      <c r="AM69" s="634">
        <f t="shared" si="92"/>
        <v>-0.98777011761988331</v>
      </c>
      <c r="AN69" s="581">
        <f t="shared" si="93"/>
        <v>-8.9699987048924186</v>
      </c>
      <c r="AO69" s="582">
        <f t="shared" si="461"/>
        <v>0</v>
      </c>
      <c r="AP69" s="585">
        <f t="shared" si="95"/>
        <v>-89.999916658427324</v>
      </c>
      <c r="AQ69" s="586">
        <f t="shared" si="246"/>
        <v>0.53756255112912754</v>
      </c>
      <c r="AS69" s="52">
        <f t="shared" si="406"/>
        <v>-205.9900222362896</v>
      </c>
      <c r="AT69" s="72">
        <f t="shared" si="247"/>
        <v>2.3740353839849015E-2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Nose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4.226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4.1260000000000003</v>
      </c>
      <c r="II69" s="734" cm="1">
        <f t="array" ref="II69">IFERROR(ROUND(VALUE(IF($IH69&lt;1,$IH69+LARGE((IF($M$9:$M$150="",0,$M$9:$M$150)-MOD(IF($M$9:$M$150="",0,$M$9:$M$150),1)),1),$IH69)),4),"")</f>
        <v>4.1260000000000003</v>
      </c>
      <c r="IJ69" s="533">
        <f t="shared" si="112"/>
        <v>1513</v>
      </c>
      <c r="IK69" s="533" t="str">
        <f t="shared" si="382"/>
        <v>Inactive</v>
      </c>
      <c r="IL69" s="727">
        <f t="shared" si="225"/>
        <v>14.415997918587408</v>
      </c>
      <c r="IM69" s="759">
        <v>1.38832018258912E-2</v>
      </c>
      <c r="IN69" s="5">
        <f t="shared" si="226"/>
        <v>0.34</v>
      </c>
      <c r="IO69" s="771">
        <v>170</v>
      </c>
      <c r="IP69" s="9">
        <f t="shared" si="227"/>
        <v>-4.2382127824497529</v>
      </c>
      <c r="IQ69" s="5">
        <f t="shared" si="228"/>
        <v>-0.12120036554030247</v>
      </c>
      <c r="IR69" s="5">
        <f t="shared" si="383"/>
        <v>0.28999999999999998</v>
      </c>
      <c r="IS69" s="5">
        <f t="shared" si="229"/>
        <v>0.27916087466339345</v>
      </c>
      <c r="IT69" s="727">
        <f t="shared" si="230"/>
        <v>26.730370107240965</v>
      </c>
      <c r="IU69" s="9">
        <f t="shared" si="231"/>
        <v>-4.2407339104233852</v>
      </c>
      <c r="IV69" s="5">
        <f t="shared" si="232"/>
        <v>-0.11939646714484062</v>
      </c>
      <c r="IW69" s="5">
        <f t="shared" si="384"/>
        <v>0.26250000000000001</v>
      </c>
      <c r="IX69" s="5">
        <f t="shared" si="233"/>
        <v>0.26250000000000001</v>
      </c>
      <c r="IY69" s="762">
        <f t="shared" si="234"/>
        <v>8.9699987048924186</v>
      </c>
    </row>
    <row r="70" spans="1:259" ht="15" customHeight="1" x14ac:dyDescent="0.25">
      <c r="A70" s="79"/>
      <c r="B70" s="707">
        <v>-1.9537648314294782</v>
      </c>
      <c r="C70" s="708">
        <v>-4.5021540603844867</v>
      </c>
      <c r="D70" s="709">
        <v>-0.39156524605344162</v>
      </c>
      <c r="E70" s="710">
        <v>0.71639217050198323</v>
      </c>
      <c r="F70" s="708">
        <v>-0.59510923377539016</v>
      </c>
      <c r="G70" s="711">
        <v>0.36418025470737092</v>
      </c>
      <c r="H70" s="710">
        <v>0.26600000000000001</v>
      </c>
      <c r="I70" s="708">
        <v>0.52</v>
      </c>
      <c r="J70" s="570">
        <v>4.2320000000000002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4.2320000000000002</v>
      </c>
      <c r="N70" s="632">
        <f t="shared" si="240"/>
        <v>-1.9537648314294782</v>
      </c>
      <c r="O70" s="629">
        <f t="shared" si="241"/>
        <v>-4.5021540603844867</v>
      </c>
      <c r="P70" s="633">
        <f t="shared" si="242"/>
        <v>-0.39156524605344162</v>
      </c>
      <c r="Q70" s="585">
        <f t="shared" si="113"/>
        <v>246.54097739827927</v>
      </c>
      <c r="R70" s="629">
        <f t="shared" si="79"/>
        <v>4.9078089001067653</v>
      </c>
      <c r="S70" s="634">
        <f t="shared" si="80"/>
        <v>-0.39156524605344162</v>
      </c>
      <c r="T70" s="635">
        <f t="shared" si="81"/>
        <v>-4.5064736491847786</v>
      </c>
      <c r="U70" s="629">
        <f t="shared" si="82"/>
        <v>1.9437807101549303</v>
      </c>
      <c r="V70" s="636">
        <f t="shared" si="114"/>
        <v>-0.39156524605344162</v>
      </c>
      <c r="W70" s="585">
        <f t="shared" si="224"/>
        <v>156.66797737994273</v>
      </c>
      <c r="X70" s="629">
        <f t="shared" si="83"/>
        <v>4.9078089001067653</v>
      </c>
      <c r="Y70" s="630">
        <f t="shared" si="223"/>
        <v>-0.39156524605344162</v>
      </c>
      <c r="Z70" s="632">
        <f t="shared" si="243"/>
        <v>-0.71639217050198323</v>
      </c>
      <c r="AA70" s="629">
        <f t="shared" si="244"/>
        <v>0.59510923377539016</v>
      </c>
      <c r="AB70" s="629">
        <f t="shared" si="245"/>
        <v>-0.36418025470737092</v>
      </c>
      <c r="AC70" s="636">
        <f t="shared" si="84"/>
        <v>1</v>
      </c>
      <c r="AD70" s="637">
        <f t="shared" si="115"/>
        <v>-0.71639217050198323</v>
      </c>
      <c r="AE70" s="629">
        <f t="shared" si="85"/>
        <v>0.59510923377539016</v>
      </c>
      <c r="AF70" s="633">
        <f t="shared" si="86"/>
        <v>-0.36418025470737092</v>
      </c>
      <c r="AG70" s="602">
        <f t="shared" si="87"/>
        <v>58.5352306740267</v>
      </c>
      <c r="AH70" s="603">
        <f t="shared" si="88"/>
        <v>135.75740906357962</v>
      </c>
      <c r="AI70" s="585">
        <f t="shared" si="89"/>
        <v>-68.642857112032274</v>
      </c>
      <c r="AJ70" s="586">
        <f t="shared" si="90"/>
        <v>-129.71651926137542</v>
      </c>
      <c r="AK70" s="635">
        <f t="shared" si="211"/>
        <v>0.89408766730240918</v>
      </c>
      <c r="AL70" s="629">
        <f t="shared" si="91"/>
        <v>-0.26072971686980967</v>
      </c>
      <c r="AM70" s="634">
        <f t="shared" si="92"/>
        <v>-0.36418025470737092</v>
      </c>
      <c r="AN70" s="581">
        <f t="shared" si="93"/>
        <v>-35.600235336675411</v>
      </c>
      <c r="AO70" s="582">
        <f t="shared" si="461"/>
        <v>26.608517052139977</v>
      </c>
      <c r="AP70" s="585">
        <f t="shared" si="95"/>
        <v>-16.257496659654695</v>
      </c>
      <c r="AQ70" s="586">
        <f t="shared" si="246"/>
        <v>0.46449988857671598</v>
      </c>
      <c r="AS70" s="52">
        <f t="shared" si="406"/>
        <v>-203.33202262005727</v>
      </c>
      <c r="AT70" s="72">
        <f t="shared" si="247"/>
        <v>-0.25027425813558002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4.2320000000000002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4.1319999999999997</v>
      </c>
      <c r="II70" s="734" cm="1">
        <f t="array" ref="II70">IFERROR(ROUND(VALUE(IF($IH70&lt;1,$IH70+LARGE((IF($M$9:$M$150="",0,$M$9:$M$150)-MOD(IF($M$9:$M$150="",0,$M$9:$M$150),1)),1),$IH70)),4),"")</f>
        <v>4.1319999999999997</v>
      </c>
      <c r="IJ70" s="533">
        <f t="shared" si="112"/>
        <v>1513</v>
      </c>
      <c r="IK70" s="533">
        <f t="shared" si="382"/>
        <v>1313</v>
      </c>
      <c r="IL70" s="727">
        <f t="shared" si="225"/>
        <v>10.994998412518669</v>
      </c>
      <c r="IM70" s="759">
        <v>4.3661715557061498E-3</v>
      </c>
      <c r="IN70" s="5">
        <f t="shared" si="226"/>
        <v>0.1</v>
      </c>
      <c r="IO70" s="771">
        <v>50</v>
      </c>
      <c r="IP70" s="9">
        <f t="shared" si="227"/>
        <v>-4.892714756427706</v>
      </c>
      <c r="IQ70" s="5">
        <f t="shared" si="228"/>
        <v>-0.42270127486704528</v>
      </c>
      <c r="IR70" s="5">
        <f t="shared" si="383"/>
        <v>0.28999999999999998</v>
      </c>
      <c r="IS70" s="5">
        <f t="shared" si="229"/>
        <v>0.27730617696667798</v>
      </c>
      <c r="IT70" s="727">
        <f t="shared" si="230"/>
        <v>42.852281470571036</v>
      </c>
      <c r="IU70" s="9">
        <f t="shared" si="231"/>
        <v>-4.9078089001067653</v>
      </c>
      <c r="IV70" s="5">
        <f t="shared" si="232"/>
        <v>-0.39156524605344162</v>
      </c>
      <c r="IW70" s="5">
        <f t="shared" si="384"/>
        <v>0.26600000000000001</v>
      </c>
      <c r="IX70" s="5">
        <f t="shared" si="233"/>
        <v>0.23782731950244088</v>
      </c>
      <c r="IY70" s="762">
        <f t="shared" si="234"/>
        <v>35.600235336675411</v>
      </c>
    </row>
    <row r="71" spans="1:259" ht="15" customHeight="1" x14ac:dyDescent="0.25">
      <c r="A71" s="79"/>
      <c r="B71" s="707">
        <v>-2.126709091985989</v>
      </c>
      <c r="C71" s="708">
        <v>-4.9992867398430523</v>
      </c>
      <c r="D71" s="709">
        <v>-0.8973501270166756</v>
      </c>
      <c r="E71" s="710">
        <v>0.66282738906901595</v>
      </c>
      <c r="F71" s="708">
        <v>-0.68191991689147879</v>
      </c>
      <c r="G71" s="711">
        <v>0.30926538643480661</v>
      </c>
      <c r="H71" s="710">
        <v>0.26600000000000001</v>
      </c>
      <c r="I71" s="708">
        <v>0.52</v>
      </c>
      <c r="J71" s="570">
        <v>4.2380000000000004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4.2380000000000004</v>
      </c>
      <c r="N71" s="632">
        <f t="shared" si="240"/>
        <v>-2.126709091985989</v>
      </c>
      <c r="O71" s="629">
        <f t="shared" si="241"/>
        <v>-4.9992867398430523</v>
      </c>
      <c r="P71" s="633">
        <f t="shared" si="242"/>
        <v>-0.8973501270166756</v>
      </c>
      <c r="Q71" s="585">
        <f t="shared" si="113"/>
        <v>246.95497733850507</v>
      </c>
      <c r="R71" s="629">
        <f t="shared" si="79"/>
        <v>5.4328408286187111</v>
      </c>
      <c r="S71" s="634">
        <f t="shared" si="80"/>
        <v>-0.8973501270166756</v>
      </c>
      <c r="T71" s="635">
        <f t="shared" si="81"/>
        <v>-5.003988449764857</v>
      </c>
      <c r="U71" s="629">
        <f t="shared" si="82"/>
        <v>2.1156226184568809</v>
      </c>
      <c r="V71" s="636">
        <f t="shared" si="114"/>
        <v>-0.8973501270166756</v>
      </c>
      <c r="W71" s="585">
        <f t="shared" si="224"/>
        <v>157.08197732016853</v>
      </c>
      <c r="X71" s="629">
        <f t="shared" si="83"/>
        <v>5.4328408286187111</v>
      </c>
      <c r="Y71" s="630">
        <f t="shared" si="223"/>
        <v>-0.8973501270166756</v>
      </c>
      <c r="Z71" s="632">
        <f t="shared" si="243"/>
        <v>-0.66282738906901595</v>
      </c>
      <c r="AA71" s="629">
        <f t="shared" si="244"/>
        <v>0.68191991689147879</v>
      </c>
      <c r="AB71" s="629">
        <f t="shared" si="245"/>
        <v>-0.30926538643480661</v>
      </c>
      <c r="AC71" s="636">
        <f t="shared" si="84"/>
        <v>1</v>
      </c>
      <c r="AD71" s="637">
        <f t="shared" si="115"/>
        <v>-0.66282738906901595</v>
      </c>
      <c r="AE71" s="629">
        <f t="shared" si="85"/>
        <v>0.68191991689147879</v>
      </c>
      <c r="AF71" s="633">
        <f t="shared" si="86"/>
        <v>-0.30926538643480661</v>
      </c>
      <c r="AG71" s="602">
        <f t="shared" si="87"/>
        <v>65.60468332123385</v>
      </c>
      <c r="AH71" s="603">
        <f t="shared" si="88"/>
        <v>131.51586370306032</v>
      </c>
      <c r="AI71" s="585">
        <f t="shared" si="89"/>
        <v>-71.985035147201231</v>
      </c>
      <c r="AJ71" s="586">
        <f t="shared" si="90"/>
        <v>-135.81342254014282</v>
      </c>
      <c r="AK71" s="635">
        <f t="shared" si="211"/>
        <v>0.87687263708187357</v>
      </c>
      <c r="AL71" s="629">
        <f t="shared" si="91"/>
        <v>-0.36803437215892049</v>
      </c>
      <c r="AM71" s="634">
        <f t="shared" si="92"/>
        <v>-0.30926538643480661</v>
      </c>
      <c r="AN71" s="581">
        <f t="shared" si="93"/>
        <v>-49.959107459205534</v>
      </c>
      <c r="AO71" s="582">
        <f t="shared" si="461"/>
        <v>28.732617683810922</v>
      </c>
      <c r="AP71" s="585">
        <f t="shared" si="95"/>
        <v>-22.768399878647916</v>
      </c>
      <c r="AQ71" s="586">
        <f t="shared" si="246"/>
        <v>0.41961212297081801</v>
      </c>
      <c r="AS71" s="52">
        <f t="shared" si="406"/>
        <v>-202.91802267983147</v>
      </c>
      <c r="AT71" s="72">
        <f t="shared" si="247"/>
        <v>-0.75634663905730415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4.2380000000000004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4.1379999999999999</v>
      </c>
      <c r="II71" s="734" cm="1">
        <f t="array" ref="II71">IFERROR(ROUND(VALUE(IF($IH71&lt;1,$IH71+LARGE((IF($M$9:$M$150="",0,$M$9:$M$150)-MOD(IF($M$9:$M$150="",0,$M$9:$M$150),1)),1),$IH71)),4),"")</f>
        <v>4.1379999999999999</v>
      </c>
      <c r="IJ71" s="533">
        <f t="shared" si="112"/>
        <v>1513</v>
      </c>
      <c r="IK71" s="533">
        <f t="shared" si="382"/>
        <v>1313</v>
      </c>
      <c r="IL71" s="727">
        <f t="shared" si="225"/>
        <v>9.9479985636866957</v>
      </c>
      <c r="IM71" s="759">
        <v>3.2835503550213501E-3</v>
      </c>
      <c r="IN71" s="5">
        <f t="shared" si="226"/>
        <v>0.08</v>
      </c>
      <c r="IO71" s="771">
        <v>40</v>
      </c>
      <c r="IP71" s="9">
        <f t="shared" si="227"/>
        <v>-5.4089163132916012</v>
      </c>
      <c r="IQ71" s="5">
        <f t="shared" si="228"/>
        <v>-0.92550279131641866</v>
      </c>
      <c r="IR71" s="5">
        <f t="shared" si="383"/>
        <v>0.28999999999999998</v>
      </c>
      <c r="IS71" s="5">
        <f t="shared" si="229"/>
        <v>0.27390874920526526</v>
      </c>
      <c r="IT71" s="727">
        <f t="shared" si="230"/>
        <v>56.745957742632029</v>
      </c>
      <c r="IU71" s="9">
        <f t="shared" si="231"/>
        <v>-5.4328408286187111</v>
      </c>
      <c r="IV71" s="5">
        <f t="shared" si="232"/>
        <v>-0.8973501270166756</v>
      </c>
      <c r="IW71" s="5">
        <f t="shared" si="384"/>
        <v>0.26600000000000001</v>
      </c>
      <c r="IX71" s="5">
        <f t="shared" si="233"/>
        <v>0.23324812146377841</v>
      </c>
      <c r="IY71" s="762">
        <f t="shared" si="234"/>
        <v>49.959107459205534</v>
      </c>
    </row>
    <row r="72" spans="1:259" ht="15" customHeight="1" x14ac:dyDescent="0.25">
      <c r="A72" s="79"/>
      <c r="B72" s="707">
        <v>-2.2399868241968912</v>
      </c>
      <c r="C72" s="708">
        <v>-5.3035603107071152</v>
      </c>
      <c r="D72" s="709">
        <v>-1.5521785607570864</v>
      </c>
      <c r="E72" s="710">
        <v>0.61307405842990514</v>
      </c>
      <c r="F72" s="708">
        <v>-0.75650027644074891</v>
      </c>
      <c r="G72" s="711">
        <v>0.22770052838181085</v>
      </c>
      <c r="H72" s="710">
        <v>0.26600000000000001</v>
      </c>
      <c r="I72" s="708">
        <v>0.52</v>
      </c>
      <c r="J72" s="570">
        <v>4.2439999999999998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4.2439999999999998</v>
      </c>
      <c r="N72" s="632">
        <f t="shared" si="240"/>
        <v>-2.2399868241968912</v>
      </c>
      <c r="O72" s="629">
        <f t="shared" si="241"/>
        <v>-5.3035603107071152</v>
      </c>
      <c r="P72" s="633">
        <f t="shared" si="242"/>
        <v>-1.5521785607570864</v>
      </c>
      <c r="Q72" s="585">
        <f t="shared" si="113"/>
        <v>247.10297731713649</v>
      </c>
      <c r="R72" s="629">
        <f t="shared" si="79"/>
        <v>5.7571948848274559</v>
      </c>
      <c r="S72" s="634">
        <f t="shared" si="80"/>
        <v>-1.5521785607570864</v>
      </c>
      <c r="T72" s="635">
        <f t="shared" si="81"/>
        <v>-5.3085123607263549</v>
      </c>
      <c r="U72" s="629">
        <f t="shared" si="82"/>
        <v>2.2282256299349332</v>
      </c>
      <c r="V72" s="636">
        <f t="shared" si="114"/>
        <v>-1.5521785607570864</v>
      </c>
      <c r="W72" s="585">
        <f t="shared" si="224"/>
        <v>157.22997729879995</v>
      </c>
      <c r="X72" s="629">
        <f t="shared" si="83"/>
        <v>5.7571948848274559</v>
      </c>
      <c r="Y72" s="630">
        <f t="shared" si="223"/>
        <v>-1.5521785607570864</v>
      </c>
      <c r="Z72" s="632">
        <f t="shared" si="243"/>
        <v>-0.61307405842990514</v>
      </c>
      <c r="AA72" s="629">
        <f t="shared" si="244"/>
        <v>0.75650027644074891</v>
      </c>
      <c r="AB72" s="629">
        <f t="shared" si="245"/>
        <v>-0.22770052838181085</v>
      </c>
      <c r="AC72" s="636">
        <f t="shared" si="84"/>
        <v>1</v>
      </c>
      <c r="AD72" s="637">
        <f t="shared" si="115"/>
        <v>-0.61307405842990514</v>
      </c>
      <c r="AE72" s="629">
        <f t="shared" si="85"/>
        <v>0.75650027644074891</v>
      </c>
      <c r="AF72" s="633">
        <f t="shared" si="86"/>
        <v>-0.22770052838181085</v>
      </c>
      <c r="AG72" s="602">
        <f t="shared" si="87"/>
        <v>73.248625793676567</v>
      </c>
      <c r="AH72" s="603">
        <f t="shared" si="88"/>
        <v>127.81211085583917</v>
      </c>
      <c r="AI72" s="585">
        <f t="shared" si="89"/>
        <v>-76.838270057421184</v>
      </c>
      <c r="AJ72" s="586">
        <f t="shared" si="90"/>
        <v>-140.97840642698333</v>
      </c>
      <c r="AK72" s="635">
        <f t="shared" si="211"/>
        <v>0.85910343396162392</v>
      </c>
      <c r="AL72" s="629">
        <f t="shared" si="91"/>
        <v>-0.4583598576773385</v>
      </c>
      <c r="AM72" s="634">
        <f t="shared" si="92"/>
        <v>-0.22770052838181085</v>
      </c>
      <c r="AN72" s="581">
        <f t="shared" si="93"/>
        <v>-63.583081843093744</v>
      </c>
      <c r="AO72" s="582">
        <f t="shared" si="461"/>
        <v>30.783934937242737</v>
      </c>
      <c r="AP72" s="585">
        <f t="shared" si="95"/>
        <v>-28.081383744119826</v>
      </c>
      <c r="AQ72" s="586">
        <f t="shared" si="246"/>
        <v>0.39597241060969096</v>
      </c>
      <c r="AS72" s="52">
        <f t="shared" si="406"/>
        <v>-202.77002270120005</v>
      </c>
      <c r="AT72" s="72">
        <f t="shared" si="247"/>
        <v>-1.4112778505606534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4.2439999999999998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4.1440000000000001</v>
      </c>
      <c r="II72" s="734" cm="1">
        <f t="array" ref="II72">IFERROR(ROUND(VALUE(IF($IH72&lt;1,$IH72+LARGE((IF($M$9:$M$150="",0,$M$9:$M$150)-MOD(IF($M$9:$M$150="",0,$M$9:$M$150),1)),1),$IH72)),4),"")</f>
        <v>4.1440000000000001</v>
      </c>
      <c r="IJ72" s="533">
        <f t="shared" si="112"/>
        <v>1513</v>
      </c>
      <c r="IK72" s="533">
        <f t="shared" si="382"/>
        <v>1313</v>
      </c>
      <c r="IL72" s="727">
        <f t="shared" si="225"/>
        <v>9.395998643385667</v>
      </c>
      <c r="IM72" s="759">
        <v>2.8957537445694201E-3</v>
      </c>
      <c r="IN72" s="5">
        <f t="shared" si="226"/>
        <v>0.08</v>
      </c>
      <c r="IO72" s="771">
        <v>40</v>
      </c>
      <c r="IP72" s="9">
        <f t="shared" si="227"/>
        <v>-5.7295172802241172</v>
      </c>
      <c r="IQ72" s="5">
        <f t="shared" si="228"/>
        <v>-1.5713047390550929</v>
      </c>
      <c r="IR72" s="5">
        <f t="shared" si="383"/>
        <v>0.28999999999999998</v>
      </c>
      <c r="IS72" s="5">
        <f t="shared" si="229"/>
        <v>0.26481275260313741</v>
      </c>
      <c r="IT72" s="727">
        <f t="shared" si="230"/>
        <v>67.342096774802812</v>
      </c>
      <c r="IU72" s="9">
        <f t="shared" si="231"/>
        <v>-5.7571948848274559</v>
      </c>
      <c r="IV72" s="5">
        <f t="shared" si="232"/>
        <v>-1.5521785607570864</v>
      </c>
      <c r="IW72" s="5">
        <f t="shared" si="384"/>
        <v>0.26600000000000001</v>
      </c>
      <c r="IX72" s="5">
        <f t="shared" si="233"/>
        <v>0.22852151343379201</v>
      </c>
      <c r="IY72" s="762">
        <f t="shared" si="234"/>
        <v>63.583081843093744</v>
      </c>
    </row>
    <row r="73" spans="1:259" ht="15" customHeight="1" x14ac:dyDescent="0.25">
      <c r="A73" s="79"/>
      <c r="B73" s="707">
        <v>-2.3868201462597356</v>
      </c>
      <c r="C73" s="708">
        <v>-5.3420498959709564</v>
      </c>
      <c r="D73" s="709">
        <v>-2.3050151315247285</v>
      </c>
      <c r="E73" s="710">
        <v>-0.36269132579847807</v>
      </c>
      <c r="F73" s="708">
        <v>-0.81175638192448374</v>
      </c>
      <c r="G73" s="711">
        <v>0.45771888599380961</v>
      </c>
      <c r="H73" s="710">
        <v>0.25700000000000001</v>
      </c>
      <c r="I73" s="708">
        <v>0.45500000000000002</v>
      </c>
      <c r="J73" s="570">
        <v>4.25</v>
      </c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Inactive</v>
      </c>
      <c r="L73" s="320"/>
      <c r="M73" s="168">
        <f t="shared" ref="M73:M104" si="464">IF(J73="","",VALUE(J73))</f>
        <v>4.25</v>
      </c>
      <c r="N73" s="632">
        <f t="shared" ref="N73:N104" si="465">IF(M73="","",B73)</f>
        <v>-2.3868201462597356</v>
      </c>
      <c r="O73" s="629">
        <f t="shared" ref="O73:O104" si="466">IF(M73="","",C73)</f>
        <v>-5.3420498959709564</v>
      </c>
      <c r="P73" s="633">
        <f t="shared" ref="P73:P104" si="467">IF(M73="","",D73)</f>
        <v>-2.3050151315247285</v>
      </c>
      <c r="Q73" s="585">
        <f t="shared" si="113"/>
        <v>245.92497748721865</v>
      </c>
      <c r="R73" s="629">
        <f>IF(M73="","",SQRT(N73^2+O73^2))</f>
        <v>5.8510176466692227</v>
      </c>
      <c r="S73" s="634">
        <f>IF(M73="","",P73)</f>
        <v>-2.3050151315247285</v>
      </c>
      <c r="T73" s="635">
        <f>IF(M73="","",X73*COS(RADIANS(W73)))</f>
        <v>-5.3473273171887854</v>
      </c>
      <c r="U73" s="629">
        <f>IF(M73="","",X73*SIN(RADIANS(W73)))</f>
        <v>2.3749732765825455</v>
      </c>
      <c r="V73" s="636">
        <f>IF(M73="","",Y73)</f>
        <v>-2.3050151315247285</v>
      </c>
      <c r="W73" s="585">
        <f t="shared" si="224"/>
        <v>156.05197746888211</v>
      </c>
      <c r="X73" s="629">
        <f>IF(M73="","",R73)</f>
        <v>5.8510176466692227</v>
      </c>
      <c r="Y73" s="630">
        <f t="shared" si="223"/>
        <v>-2.3050151315247285</v>
      </c>
      <c r="Z73" s="632">
        <f t="shared" ref="Z73:Z104" si="468">IF(M73="","",-E73)</f>
        <v>0.36269132579847807</v>
      </c>
      <c r="AA73" s="629">
        <f t="shared" ref="AA73:AA104" si="469">IF(M73="","",-F73)</f>
        <v>0.81175638192448374</v>
      </c>
      <c r="AB73" s="629">
        <f t="shared" ref="AB73:AB104" si="470">IF(M73="","",-G73)</f>
        <v>-0.45771888599380961</v>
      </c>
      <c r="AC73" s="636">
        <f>IF(M73="","",SQRT(Z73^2+AA73^2+AB73^2))</f>
        <v>1</v>
      </c>
      <c r="AD73" s="637">
        <f>IF(M73="","",Z73*(1/SQRT(Z73^2+AA73^2+AB73^2)))</f>
        <v>0.36269132579847807</v>
      </c>
      <c r="AE73" s="629">
        <f>IF(M73="","",AA73*(1/SQRT(Z73^2+AA73^2+AB73^2)))</f>
        <v>0.81175638192448374</v>
      </c>
      <c r="AF73" s="633">
        <f>IF(M73="","",AB73*(1/SQRT(Z73^2+AA73^2+AB73^2)))</f>
        <v>-0.45771888599380961</v>
      </c>
      <c r="AG73" s="602">
        <f>IF(M73="","",DEGREES(ATAN2(-AF73,AE73)))</f>
        <v>60.582984191722211</v>
      </c>
      <c r="AH73" s="603">
        <f>IF(M73="","",DEGREES(ACOS(AD73)))</f>
        <v>68.734428165044676</v>
      </c>
      <c r="AI73" s="585">
        <f>IF(M73="","",DEGREES(-ACOS(-AF73)))</f>
        <v>-62.759990938579143</v>
      </c>
      <c r="AJ73" s="586">
        <f>IF(M73="","",DEGREES(ATAN2(-AE73,AD73)))</f>
        <v>155.92499210248653</v>
      </c>
      <c r="AK73" s="635">
        <f>IF(M73="","",(COS(RADIANS((90-$Q$8)-W73))*AD73)+(-SIN(RADIANS((90-$Q$8)-W73))*AE73))</f>
        <v>2.2679489619648052E-7</v>
      </c>
      <c r="AL73" s="629">
        <f>IF(M73="","",(SIN(RADIANS((90-$Q$8)-W73))*AD73)+(COS(RADIANS((90-$Q$8)-W73))*AE73))</f>
        <v>-0.88909696962959828</v>
      </c>
      <c r="AM73" s="634">
        <f>IF(M73="","",AF73)</f>
        <v>-0.45771888599380961</v>
      </c>
      <c r="AN73" s="581">
        <f>IF(M73="","",DEGREES(ATAN2(-AM73,AL73)))</f>
        <v>-62.759990938578404</v>
      </c>
      <c r="AO73" s="582">
        <f t="shared" si="461"/>
        <v>0</v>
      </c>
      <c r="AP73" s="585">
        <f>IF(M73="","",DEGREES(ATAN2(AK73,AL73)))</f>
        <v>-89.999985384732142</v>
      </c>
      <c r="AQ73" s="586">
        <f t="shared" ref="AQ73:AQ104" si="471">IF(M73="","",DEGREES(ATAN(($AS$5*SIN(RADIANS(90)))/(($X73*2*PI())-($AS$5*COS(RADIANS(90)))))))</f>
        <v>0.38962307571086696</v>
      </c>
      <c r="AS73" s="52">
        <f t="shared" si="406"/>
        <v>-203.94802253111789</v>
      </c>
      <c r="AT73" s="72">
        <f t="shared" ref="AT73:AT104" si="472">IF(M73="","",Y73+(((AS73-$AS$9)*$AS$6)*-1))</f>
        <v>-2.1632963658908526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>Gage</v>
      </c>
      <c r="IG73" s="847">
        <f t="shared" si="210"/>
        <v>4.25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4.1500000000000004</v>
      </c>
      <c r="II73" s="734" cm="1">
        <f t="array" ref="II73">IFERROR(ROUND(VALUE(IF($IH73&lt;1,$IH73+LARGE((IF($M$9:$M$150="",0,$M$9:$M$150)-MOD(IF($M$9:$M$150="",0,$M$9:$M$150),1)),1),$IH73)),4),"")</f>
        <v>4.1500000000000004</v>
      </c>
      <c r="IJ73" s="533">
        <f t="shared" si="112"/>
        <v>1513</v>
      </c>
      <c r="IK73" s="533" t="str">
        <f t="shared" ref="IK73:IK104" si="517">IF(ISNUMBER($II73),INDEX($K$9:$K$150,MATCH($IG73,$M$9:$M$150,0)),"")</f>
        <v>Inactive</v>
      </c>
      <c r="IL73" s="727">
        <f t="shared" si="225"/>
        <v>10.396998498859148</v>
      </c>
      <c r="IM73" s="759">
        <v>1.3167633527035E-2</v>
      </c>
      <c r="IN73" s="5">
        <f t="shared" si="226"/>
        <v>1.28</v>
      </c>
      <c r="IO73" s="771">
        <v>640</v>
      </c>
      <c r="IP73" s="9">
        <f t="shared" si="227"/>
        <v>-5.8679176976397764</v>
      </c>
      <c r="IQ73" s="5">
        <f t="shared" si="228"/>
        <v>-2.2907069087720369</v>
      </c>
      <c r="IR73" s="5">
        <f t="shared" ref="IR73:IR104" si="518">IF(ISNUMBER($II73),INDEX($H$9:$H$150,MATCH($II73,$M$9:$M$150,0)),"")</f>
        <v>0.28999999999999998</v>
      </c>
      <c r="IS73" s="5">
        <f t="shared" si="229"/>
        <v>0.25148537616328925</v>
      </c>
      <c r="IT73" s="727">
        <f t="shared" si="230"/>
        <v>77.899800812161942</v>
      </c>
      <c r="IU73" s="9">
        <f t="shared" si="231"/>
        <v>-5.8510176466692227</v>
      </c>
      <c r="IV73" s="5">
        <f t="shared" si="232"/>
        <v>-2.3050151315247285</v>
      </c>
      <c r="IW73" s="5">
        <f t="shared" ref="IW73:IW104" si="519">IF(ISNUMBER($II73),$H73,"")</f>
        <v>0.25700000000000001</v>
      </c>
      <c r="IX73" s="5">
        <f t="shared" si="233"/>
        <v>0.25700000000000001</v>
      </c>
      <c r="IY73" s="762">
        <f t="shared" si="234"/>
        <v>62.759990938578404</v>
      </c>
    </row>
    <row r="74" spans="1:259" ht="15" customHeight="1" x14ac:dyDescent="0.25">
      <c r="A74" s="79"/>
      <c r="B74" s="707">
        <v>-0.52520701758461519</v>
      </c>
      <c r="C74" s="708">
        <v>-0.24490786911976908</v>
      </c>
      <c r="D74" s="709">
        <v>-0.81870246920664713</v>
      </c>
      <c r="E74" s="710">
        <v>0.4735944187439165</v>
      </c>
      <c r="F74" s="708">
        <v>-0.83146955959349167</v>
      </c>
      <c r="G74" s="711">
        <v>0.29045946017304541</v>
      </c>
      <c r="H74" s="710">
        <v>0.314</v>
      </c>
      <c r="I74" s="708">
        <v>0.52</v>
      </c>
      <c r="J74" s="570">
        <v>5.1020000000000003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5.1020000000000003</v>
      </c>
      <c r="N74" s="632">
        <f t="shared" si="465"/>
        <v>-0.52520701758461519</v>
      </c>
      <c r="O74" s="629">
        <f t="shared" si="466"/>
        <v>-0.24490786911976908</v>
      </c>
      <c r="P74" s="633">
        <f t="shared" si="467"/>
        <v>-0.81870246920664713</v>
      </c>
      <c r="Q74" s="585">
        <f t="shared" ref="Q74:Q129" si="520">IF(M74="","",IF(DEGREES(ATAN2(N74,O74))&lt;0,DEGREES(ATAN2(N74,O74))+360,IF(DEGREES(ATAN2(N74,O74))&gt;360,DEGREES(ATAN2(N74,O74))-360,DEGREES(ATAN2(N74,O74)))))</f>
        <v>204.99998339605673</v>
      </c>
      <c r="R74" s="629">
        <f>IF(M74="","",SQRT(N74^2+O74^2))</f>
        <v>0.57950174777727137</v>
      </c>
      <c r="S74" s="634">
        <f>IF(M74="","",P74)</f>
        <v>-0.81870246920664713</v>
      </c>
      <c r="T74" s="635">
        <f>IF(M74="","",X74*COS(RADIANS(W74)))</f>
        <v>-0.24607142350864161</v>
      </c>
      <c r="U74" s="629">
        <f>IF(M74="","",X74*SIN(RADIANS(W74)))</f>
        <v>0.52466287290920732</v>
      </c>
      <c r="V74" s="636">
        <f>IF(M74="","",Y74)</f>
        <v>-0.81870246920664713</v>
      </c>
      <c r="W74" s="585">
        <f t="shared" si="224"/>
        <v>115.12698337772019</v>
      </c>
      <c r="X74" s="629">
        <f>IF(M74="","",R74)</f>
        <v>0.57950174777727137</v>
      </c>
      <c r="Y74" s="630">
        <f t="shared" si="223"/>
        <v>-0.81870246920664713</v>
      </c>
      <c r="Z74" s="632">
        <f t="shared" si="468"/>
        <v>-0.4735944187439165</v>
      </c>
      <c r="AA74" s="629">
        <f t="shared" si="469"/>
        <v>0.83146955959349167</v>
      </c>
      <c r="AB74" s="629">
        <f t="shared" si="470"/>
        <v>-0.29045946017304541</v>
      </c>
      <c r="AC74" s="636">
        <f>IF(M74="","",SQRT(Z74^2+AA74^2+AB74^2))</f>
        <v>1</v>
      </c>
      <c r="AD74" s="637">
        <f>IF(M74="","",Z74*(1/SQRT(Z74^2+AA74^2+AB74^2)))</f>
        <v>-0.4735944187439165</v>
      </c>
      <c r="AE74" s="629">
        <f>IF(M74="","",AA74*(1/SQRT(Z74^2+AA74^2+AB74^2)))</f>
        <v>0.83146955959349167</v>
      </c>
      <c r="AF74" s="633">
        <f>IF(M74="","",AB74*(1/SQRT(Z74^2+AA74^2+AB74^2)))</f>
        <v>-0.29045946017304541</v>
      </c>
      <c r="AG74" s="602">
        <f>IF(M74="","",DEGREES(ATAN2(-AF74,AE74)))</f>
        <v>70.744024694262023</v>
      </c>
      <c r="AH74" s="603">
        <f>IF(M74="","",DEGREES(ACOS(AD74)))</f>
        <v>118.26787216468571</v>
      </c>
      <c r="AI74" s="585">
        <f>IF(M74="","",DEGREES(-ACOS(-AF74)))</f>
        <v>-73.114534769632428</v>
      </c>
      <c r="AJ74" s="586">
        <f>IF(M74="","",DEGREES(ATAN2(-AE74,AD74)))</f>
        <v>-150.33471465516058</v>
      </c>
      <c r="AK74" s="635">
        <f>IF(M74="","",(COS(RADIANS((90-$Q$8)-W74))*AD74)+(-SIN(RADIANS((90-$Q$8)-W74))*AE74))</f>
        <v>0.95371696400905348</v>
      </c>
      <c r="AL74" s="629">
        <f>IF(M74="","",(SIN(RADIANS((90-$Q$8)-W74))*AD74)+(COS(RADIANS((90-$Q$8)-W74))*AE74))</f>
        <v>7.7828366019961071E-2</v>
      </c>
      <c r="AM74" s="634">
        <f>IF(M74="","",AF74)</f>
        <v>-0.29045946017304541</v>
      </c>
      <c r="AN74" s="581">
        <f>IF(M74="","",DEGREES(ATAN2(-AM74,AL74)))</f>
        <v>14.999997834268179</v>
      </c>
      <c r="AO74" s="582">
        <f t="shared" si="461"/>
        <v>17.499997473312952</v>
      </c>
      <c r="AP74" s="585">
        <f>IF(M74="","",DEGREES(ATAN2(AK74,AL74)))</f>
        <v>4.665301948782675</v>
      </c>
      <c r="AQ74" s="586">
        <f t="shared" si="471"/>
        <v>3.9277782237337076</v>
      </c>
      <c r="AS74" s="52">
        <f t="shared" si="406"/>
        <v>-244.87301662227981</v>
      </c>
      <c r="AT74" s="72">
        <f t="shared" si="472"/>
        <v>-0.64856356878724208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5.1020000000000003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-1.1715877681305125</v>
      </c>
      <c r="C75" s="708">
        <v>-0.54631993513567811</v>
      </c>
      <c r="D75" s="709">
        <v>-0.63120190370494156</v>
      </c>
      <c r="E75" s="710">
        <v>0.46892874510133481</v>
      </c>
      <c r="F75" s="708">
        <v>-0.84711619532694493</v>
      </c>
      <c r="G75" s="711">
        <v>0.24999996726497567</v>
      </c>
      <c r="H75" s="710">
        <v>0.314</v>
      </c>
      <c r="I75" s="708">
        <v>0.52</v>
      </c>
      <c r="J75" s="570">
        <v>5.1050000000000004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5.1050000000000004</v>
      </c>
      <c r="N75" s="632">
        <f t="shared" si="465"/>
        <v>-1.1715877681305125</v>
      </c>
      <c r="O75" s="629">
        <f t="shared" si="466"/>
        <v>-0.54631993513567811</v>
      </c>
      <c r="P75" s="633">
        <f t="shared" si="467"/>
        <v>-0.63120190370494156</v>
      </c>
      <c r="Q75" s="585">
        <f t="shared" si="520"/>
        <v>204.99998339605673</v>
      </c>
      <c r="R75" s="629">
        <f>IF(M75="","",SQRT(N75^2+O75^2))</f>
        <v>1.2927038987949588</v>
      </c>
      <c r="S75" s="634">
        <f>IF(M75="","",P75)</f>
        <v>-0.63120190370494156</v>
      </c>
      <c r="T75" s="635">
        <f>IF(M75="","",X75*COS(RADIANS(W75)))</f>
        <v>-0.54891549468441936</v>
      </c>
      <c r="U75" s="629">
        <f>IF(M75="","",X75*SIN(RADIANS(W75)))</f>
        <v>1.1703739358235241</v>
      </c>
      <c r="V75" s="636">
        <f>IF(M75="","",Y75)</f>
        <v>-0.63120190370494156</v>
      </c>
      <c r="W75" s="585">
        <f t="shared" si="224"/>
        <v>115.12698337772019</v>
      </c>
      <c r="X75" s="629">
        <f>IF(M75="","",R75)</f>
        <v>1.2927038987949588</v>
      </c>
      <c r="Y75" s="630">
        <f t="shared" si="223"/>
        <v>-0.63120190370494156</v>
      </c>
      <c r="Z75" s="632">
        <f t="shared" si="468"/>
        <v>-0.46892874510133481</v>
      </c>
      <c r="AA75" s="629">
        <f t="shared" si="469"/>
        <v>0.84711619532694493</v>
      </c>
      <c r="AB75" s="629">
        <f t="shared" si="470"/>
        <v>-0.24999996726497567</v>
      </c>
      <c r="AC75" s="636">
        <f>IF(M75="","",SQRT(Z75^2+AA75^2+AB75^2))</f>
        <v>1</v>
      </c>
      <c r="AD75" s="637">
        <f>IF(M75="","",Z75*(1/SQRT(Z75^2+AA75^2+AB75^2)))</f>
        <v>-0.46892874510133481</v>
      </c>
      <c r="AE75" s="629">
        <f>IF(M75="","",AA75*(1/SQRT(Z75^2+AA75^2+AB75^2)))</f>
        <v>0.84711619532694493</v>
      </c>
      <c r="AF75" s="633">
        <f>IF(M75="","",AB75*(1/SQRT(Z75^2+AA75^2+AB75^2)))</f>
        <v>-0.24999996726497567</v>
      </c>
      <c r="AG75" s="602">
        <f>IF(M75="","",DEGREES(ATAN2(-AF75,AE75)))</f>
        <v>73.557675922032189</v>
      </c>
      <c r="AH75" s="603">
        <f>IF(M75="","",DEGREES(ACOS(AD75)))</f>
        <v>117.96478150797752</v>
      </c>
      <c r="AI75" s="585">
        <f>IF(M75="","",DEGREES(-ACOS(-AF75)))</f>
        <v>-75.522489751159455</v>
      </c>
      <c r="AJ75" s="586">
        <f>IF(M75="","",DEGREES(ATAN2(-AE75,AD75)))</f>
        <v>-151.03288695885672</v>
      </c>
      <c r="AK75" s="635">
        <f>IF(M75="","",(COS(RADIANS((90-$Q$8)-W75))*AD75)+(-SIN(RADIANS((90-$Q$8)-W75))*AE75))</f>
        <v>0.9659258360722075</v>
      </c>
      <c r="AL75" s="629">
        <f>IF(M75="","",(SIN(RADIANS((90-$Q$8)-W75))*AD75)+(COS(RADIANS((90-$Q$8)-W75))*AE75))</f>
        <v>6.6987279208206796E-2</v>
      </c>
      <c r="AM75" s="634">
        <f>IF(M75="","",AF75)</f>
        <v>-0.24999996726497567</v>
      </c>
      <c r="AN75" s="581">
        <f>IF(M75="","",DEGREES(ATAN2(-AM75,AL75)))</f>
        <v>14.999997834268179</v>
      </c>
      <c r="AO75" s="582">
        <f t="shared" si="461"/>
        <v>14.99999783426823</v>
      </c>
      <c r="AP75" s="585">
        <f>IF(M75="","",DEGREES(ATAN2(AK75,AL75)))</f>
        <v>3.9671296450865472</v>
      </c>
      <c r="AQ75" s="586">
        <f t="shared" si="471"/>
        <v>1.76297690750733</v>
      </c>
      <c r="AS75" s="52">
        <f t="shared" ref="AS75:AS106" si="543">IF(G75="","",IF(AND(W75&lt;(AS74+180),W75&gt;(AS74-180)),W75,IF(W75&gt;(AS74+180),W75-360,IF(W75&lt;(AS74-180),W75+360,"Error"))))</f>
        <v>-244.87301662227981</v>
      </c>
      <c r="AT75" s="72">
        <f t="shared" si="472"/>
        <v>-0.46106300328553651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5.1050000000000004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-1.8153402178118796</v>
      </c>
      <c r="C76" s="708">
        <v>-0.84650640525780407</v>
      </c>
      <c r="D76" s="709">
        <v>-0.44440134031444239</v>
      </c>
      <c r="E76" s="710">
        <v>0.46892874510133487</v>
      </c>
      <c r="F76" s="708">
        <v>-0.84711619532694482</v>
      </c>
      <c r="G76" s="711">
        <v>0.24999996726497561</v>
      </c>
      <c r="H76" s="710">
        <v>0.314</v>
      </c>
      <c r="I76" s="708">
        <v>0.52</v>
      </c>
      <c r="J76" s="570">
        <v>5.1079999999999997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5.1079999999999997</v>
      </c>
      <c r="N76" s="632">
        <f t="shared" si="465"/>
        <v>-1.8153402178118796</v>
      </c>
      <c r="O76" s="629">
        <f t="shared" si="466"/>
        <v>-0.84650640525780407</v>
      </c>
      <c r="P76" s="633">
        <f t="shared" si="467"/>
        <v>-0.44440134031444239</v>
      </c>
      <c r="Q76" s="585">
        <f t="shared" si="520"/>
        <v>204.99998339605673</v>
      </c>
      <c r="R76" s="629">
        <f t="shared" si="79"/>
        <v>2.0030060410662198</v>
      </c>
      <c r="S76" s="634">
        <f t="shared" si="80"/>
        <v>-0.44440134031444239</v>
      </c>
      <c r="T76" s="635">
        <f t="shared" si="81"/>
        <v>-0.8505281471748215</v>
      </c>
      <c r="U76" s="629">
        <f t="shared" si="82"/>
        <v>1.8134594209441623</v>
      </c>
      <c r="V76" s="636">
        <f t="shared" si="114"/>
        <v>-0.44440134031444239</v>
      </c>
      <c r="W76" s="585">
        <f t="shared" si="224"/>
        <v>115.12698337772019</v>
      </c>
      <c r="X76" s="629">
        <f t="shared" si="83"/>
        <v>2.0030060410662198</v>
      </c>
      <c r="Y76" s="630">
        <f t="shared" ref="Y76:Y129" si="644">IF(M76="","",S76)</f>
        <v>-0.44440134031444239</v>
      </c>
      <c r="Z76" s="632">
        <f t="shared" si="468"/>
        <v>-0.46892874510133487</v>
      </c>
      <c r="AA76" s="629">
        <f t="shared" si="469"/>
        <v>0.84711619532694482</v>
      </c>
      <c r="AB76" s="629">
        <f t="shared" si="470"/>
        <v>-0.24999996726497561</v>
      </c>
      <c r="AC76" s="636">
        <f t="shared" si="84"/>
        <v>1</v>
      </c>
      <c r="AD76" s="637">
        <f t="shared" si="115"/>
        <v>-0.46892874510133487</v>
      </c>
      <c r="AE76" s="629">
        <f t="shared" si="85"/>
        <v>0.84711619532694482</v>
      </c>
      <c r="AF76" s="633">
        <f t="shared" si="86"/>
        <v>-0.24999996726497561</v>
      </c>
      <c r="AG76" s="602">
        <f t="shared" si="87"/>
        <v>73.557675922032189</v>
      </c>
      <c r="AH76" s="603">
        <f t="shared" si="88"/>
        <v>117.96478150797752</v>
      </c>
      <c r="AI76" s="585">
        <f t="shared" si="89"/>
        <v>-75.522489751159469</v>
      </c>
      <c r="AJ76" s="586">
        <f t="shared" si="90"/>
        <v>-151.03288695885672</v>
      </c>
      <c r="AK76" s="635">
        <f t="shared" si="211"/>
        <v>0.9659258360722075</v>
      </c>
      <c r="AL76" s="629">
        <f t="shared" si="91"/>
        <v>6.6987279208206907E-2</v>
      </c>
      <c r="AM76" s="634">
        <f t="shared" si="92"/>
        <v>-0.24999996726497561</v>
      </c>
      <c r="AN76" s="581">
        <f t="shared" si="93"/>
        <v>14.999997834268207</v>
      </c>
      <c r="AO76" s="582">
        <f t="shared" si="461"/>
        <v>14.99999783426823</v>
      </c>
      <c r="AP76" s="585">
        <f t="shared" si="95"/>
        <v>3.9671296450865539</v>
      </c>
      <c r="AQ76" s="586">
        <f t="shared" si="471"/>
        <v>1.1380029800514575</v>
      </c>
      <c r="AS76" s="52">
        <f t="shared" si="543"/>
        <v>-244.87301662227981</v>
      </c>
      <c r="AT76" s="72">
        <f t="shared" si="472"/>
        <v>-0.27426243989503735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5.1079999999999997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-2.4513741460754792</v>
      </c>
      <c r="C77" s="708">
        <v>-1.1295793686682163</v>
      </c>
      <c r="D77" s="709">
        <v>-0.23740071600055948</v>
      </c>
      <c r="E77" s="710">
        <v>0.43808796729930471</v>
      </c>
      <c r="F77" s="708">
        <v>-0.86117762051676672</v>
      </c>
      <c r="G77" s="711">
        <v>0.25778292966882671</v>
      </c>
      <c r="H77" s="710">
        <v>0.28999999999999998</v>
      </c>
      <c r="I77" s="708">
        <v>0.52</v>
      </c>
      <c r="J77" s="570">
        <v>5.1130000000000004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1513</v>
      </c>
      <c r="L77" s="320"/>
      <c r="M77" s="168">
        <f t="shared" si="464"/>
        <v>5.1130000000000004</v>
      </c>
      <c r="N77" s="632">
        <f t="shared" si="465"/>
        <v>-2.4513741460754792</v>
      </c>
      <c r="O77" s="629">
        <f t="shared" si="466"/>
        <v>-1.1295793686682163</v>
      </c>
      <c r="P77" s="633">
        <f t="shared" si="467"/>
        <v>-0.23740071600055948</v>
      </c>
      <c r="Q77" s="585">
        <f t="shared" si="520"/>
        <v>204.73998343359608</v>
      </c>
      <c r="R77" s="629">
        <f t="shared" si="79"/>
        <v>2.6991081405101522</v>
      </c>
      <c r="S77" s="634">
        <f t="shared" si="80"/>
        <v>-0.23740071600055948</v>
      </c>
      <c r="T77" s="635">
        <f t="shared" si="81"/>
        <v>-1.1350102263820412</v>
      </c>
      <c r="U77" s="629">
        <f t="shared" si="82"/>
        <v>2.4488643368256149</v>
      </c>
      <c r="V77" s="636">
        <f t="shared" si="114"/>
        <v>-0.23740071600055948</v>
      </c>
      <c r="W77" s="585">
        <f t="shared" si="224"/>
        <v>114.86698341525954</v>
      </c>
      <c r="X77" s="629">
        <f t="shared" si="83"/>
        <v>2.6991081405101522</v>
      </c>
      <c r="Y77" s="630">
        <f t="shared" si="644"/>
        <v>-0.23740071600055948</v>
      </c>
      <c r="Z77" s="632">
        <f t="shared" si="468"/>
        <v>-0.43808796729930471</v>
      </c>
      <c r="AA77" s="629">
        <f t="shared" si="469"/>
        <v>0.86117762051676672</v>
      </c>
      <c r="AB77" s="629">
        <f t="shared" si="470"/>
        <v>-0.25778292966882671</v>
      </c>
      <c r="AC77" s="636">
        <f t="shared" si="84"/>
        <v>1</v>
      </c>
      <c r="AD77" s="637">
        <f t="shared" si="115"/>
        <v>-0.43808796729930471</v>
      </c>
      <c r="AE77" s="629">
        <f t="shared" si="85"/>
        <v>0.86117762051676672</v>
      </c>
      <c r="AF77" s="633">
        <f t="shared" si="86"/>
        <v>-0.25778292966882671</v>
      </c>
      <c r="AG77" s="602">
        <f t="shared" si="87"/>
        <v>73.335575776900797</v>
      </c>
      <c r="AH77" s="603">
        <f t="shared" si="88"/>
        <v>115.98194943156929</v>
      </c>
      <c r="AI77" s="585">
        <f t="shared" si="89"/>
        <v>-75.061450395366762</v>
      </c>
      <c r="AJ77" s="586">
        <f t="shared" si="90"/>
        <v>-153.03719419156837</v>
      </c>
      <c r="AK77" s="635">
        <f t="shared" si="211"/>
        <v>0.96547583423024808</v>
      </c>
      <c r="AL77" s="629">
        <f t="shared" si="91"/>
        <v>3.7474987508515023E-2</v>
      </c>
      <c r="AM77" s="634">
        <f t="shared" si="92"/>
        <v>-0.25778292966882671</v>
      </c>
      <c r="AN77" s="581">
        <f t="shared" si="93"/>
        <v>8.271384770314107</v>
      </c>
      <c r="AO77" s="582">
        <f t="shared" si="461"/>
        <v>15.09929543378219</v>
      </c>
      <c r="AP77" s="585">
        <f t="shared" si="95"/>
        <v>2.2228223748355629</v>
      </c>
      <c r="AQ77" s="586">
        <f t="shared" si="471"/>
        <v>0.84456101757084134</v>
      </c>
      <c r="AS77" s="52">
        <f t="shared" si="543"/>
        <v>-245.13301658474046</v>
      </c>
      <c r="AT77" s="72">
        <f t="shared" si="472"/>
        <v>-6.7081260051667868E-2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5.1130000000000004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1513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-3.1024705862124691</v>
      </c>
      <c r="C78" s="708">
        <v>-1.3924174577097059</v>
      </c>
      <c r="D78" s="709">
        <v>-6.8900207803026747E-2</v>
      </c>
      <c r="E78" s="710">
        <v>0.36906581155301382</v>
      </c>
      <c r="F78" s="708">
        <v>-0.89146923794257504</v>
      </c>
      <c r="G78" s="711">
        <v>0.26281747381937848</v>
      </c>
      <c r="H78" s="710">
        <v>0.28999999999999998</v>
      </c>
      <c r="I78" s="708">
        <v>0.52</v>
      </c>
      <c r="J78" s="570">
        <v>5.1189999999999998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1513</v>
      </c>
      <c r="L78" s="320"/>
      <c r="M78" s="168">
        <f t="shared" si="464"/>
        <v>5.1189999999999998</v>
      </c>
      <c r="N78" s="632">
        <f t="shared" si="465"/>
        <v>-3.1024705862124691</v>
      </c>
      <c r="O78" s="629">
        <f t="shared" si="466"/>
        <v>-1.3924174577097059</v>
      </c>
      <c r="P78" s="633">
        <f t="shared" si="467"/>
        <v>-6.8900207803026747E-2</v>
      </c>
      <c r="Q78" s="585">
        <f t="shared" si="520"/>
        <v>204.1709835157495</v>
      </c>
      <c r="R78" s="629">
        <f>IF(M78="","",SQRT(N78^2+O78^2))</f>
        <v>3.4006102562405331</v>
      </c>
      <c r="S78" s="634">
        <f>IF(M78="","",P78)</f>
        <v>-6.8900207803026747E-2</v>
      </c>
      <c r="T78" s="635">
        <f>IF(M78="","",X78*COS(RADIANS(W78)))</f>
        <v>-1.399290867980955</v>
      </c>
      <c r="U78" s="629">
        <f>IF(M78="","",X78*SIN(RADIANS(W78)))</f>
        <v>3.0993765795129526</v>
      </c>
      <c r="V78" s="636">
        <f>IF(M78="","",Y78)</f>
        <v>-6.8900207803026747E-2</v>
      </c>
      <c r="W78" s="585">
        <f t="shared" si="224"/>
        <v>114.29798349741296</v>
      </c>
      <c r="X78" s="629">
        <f>IF(M78="","",R78)</f>
        <v>3.4006102562405331</v>
      </c>
      <c r="Y78" s="630">
        <f t="shared" si="644"/>
        <v>-6.8900207803026747E-2</v>
      </c>
      <c r="Z78" s="632">
        <f t="shared" si="468"/>
        <v>-0.36906581155301382</v>
      </c>
      <c r="AA78" s="629">
        <f t="shared" si="469"/>
        <v>0.89146923794257504</v>
      </c>
      <c r="AB78" s="629">
        <f t="shared" si="470"/>
        <v>-0.26281747381937848</v>
      </c>
      <c r="AC78" s="636">
        <f>IF(M78="","",SQRT(Z78^2+AA78^2+AB78^2))</f>
        <v>1</v>
      </c>
      <c r="AD78" s="637">
        <f>IF(M78="","",Z78*(1/SQRT(Z78^2+AA78^2+AB78^2)))</f>
        <v>-0.36906581155301382</v>
      </c>
      <c r="AE78" s="629">
        <f>IF(M78="","",AA78*(1/SQRT(Z78^2+AA78^2+AB78^2)))</f>
        <v>0.89146923794257504</v>
      </c>
      <c r="AF78" s="633">
        <f>IF(M78="","",AB78*(1/SQRT(Z78^2+AA78^2+AB78^2)))</f>
        <v>-0.26281747381937848</v>
      </c>
      <c r="AG78" s="602">
        <f>IF(M78="","",DEGREES(ATAN2(-AF78,AE78)))</f>
        <v>73.573753272134027</v>
      </c>
      <c r="AH78" s="603">
        <f>IF(M78="","",DEGREES(ACOS(AD78)))</f>
        <v>111.65801499934209</v>
      </c>
      <c r="AI78" s="585">
        <f>IF(M78="","",DEGREES(-ACOS(-AF78)))</f>
        <v>-74.762693022062507</v>
      </c>
      <c r="AJ78" s="586">
        <f>IF(M78="","",DEGREES(ATAN2(-AE78,AD78)))</f>
        <v>-157.51057964470255</v>
      </c>
      <c r="AK78" s="635">
        <f>IF(M78="","",(COS(RADIANS((90-$Q$8)-W78))*AD78)+(-SIN(RADIANS((90-$Q$8)-W78))*AE78))</f>
        <v>0.96443006435734402</v>
      </c>
      <c r="AL78" s="629">
        <f>IF(M78="","",(SIN(RADIANS((90-$Q$8)-W78))*AD78)+(COS(RADIANS((90-$Q$8)-W78))*AE78))</f>
        <v>-2.8313007944930413E-2</v>
      </c>
      <c r="AM78" s="634">
        <f>IF(M78="","",AF78)</f>
        <v>-0.26281747381937848</v>
      </c>
      <c r="AN78" s="581">
        <f>IF(M78="","",DEGREES(ATAN2(-AM78,AL78)))</f>
        <v>-6.1486918616241546</v>
      </c>
      <c r="AO78" s="582">
        <f t="shared" si="461"/>
        <v>15.327628541351524</v>
      </c>
      <c r="AP78" s="585">
        <f>IF(M78="","",DEGREES(ATAN2(AK78,AL78)))</f>
        <v>-1.6815631604520642</v>
      </c>
      <c r="AQ78" s="586">
        <f t="shared" si="471"/>
        <v>0.67035691727475244</v>
      </c>
      <c r="AS78" s="52">
        <f t="shared" si="543"/>
        <v>-245.70201650258704</v>
      </c>
      <c r="AT78" s="72">
        <f t="shared" si="472"/>
        <v>0.10181438697770279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5.1189999999999998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1513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-3.7810663081479876</v>
      </c>
      <c r="C79" s="708">
        <v>-1.6384848620598085</v>
      </c>
      <c r="D79" s="709">
        <v>-9.3400281695249596E-2</v>
      </c>
      <c r="E79" s="710">
        <v>0.28317368103699675</v>
      </c>
      <c r="F79" s="708">
        <v>-0.92671837138174806</v>
      </c>
      <c r="G79" s="711">
        <v>0.24699337341620689</v>
      </c>
      <c r="H79" s="710">
        <v>0.28999999999999998</v>
      </c>
      <c r="I79" s="708">
        <v>0.52</v>
      </c>
      <c r="J79" s="570">
        <v>5.125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1513</v>
      </c>
      <c r="L79" s="320"/>
      <c r="M79" s="168">
        <f>IF(J79="","",VALUE(J79))</f>
        <v>5.125</v>
      </c>
      <c r="N79" s="632">
        <f t="shared" si="465"/>
        <v>-3.7810663081479876</v>
      </c>
      <c r="O79" s="629">
        <f t="shared" si="466"/>
        <v>-1.6384848620598085</v>
      </c>
      <c r="P79" s="633">
        <f t="shared" si="467"/>
        <v>-9.3400281695249596E-2</v>
      </c>
      <c r="Q79" s="585">
        <f t="shared" si="520"/>
        <v>203.42898362288102</v>
      </c>
      <c r="R79" s="629">
        <f>IF(M79="","",SQRT(N79^2+O79^2))</f>
        <v>4.1208124283702849</v>
      </c>
      <c r="S79" s="634">
        <f>IF(M79="","",P79)</f>
        <v>-9.3400281695249596E-2</v>
      </c>
      <c r="T79" s="635">
        <f>IF(M79="","",X79*COS(RADIANS(W79)))</f>
        <v>-1.6468618200605718</v>
      </c>
      <c r="U79" s="629">
        <f>IF(M79="","",X79*SIN(RADIANS(W79)))</f>
        <v>3.7774252097742171</v>
      </c>
      <c r="V79" s="636">
        <f>IF(M79="","",Y79)</f>
        <v>-9.3400281695249596E-2</v>
      </c>
      <c r="W79" s="585">
        <f t="shared" ref="W79:W129" si="645">IF(M79="","",IF(Q79-$Q$8&lt;0,360+Q79-$Q$8,Q79-$Q$8))</f>
        <v>113.55598360454448</v>
      </c>
      <c r="X79" s="629">
        <f>IF(M79="","",R79)</f>
        <v>4.1208124283702849</v>
      </c>
      <c r="Y79" s="630">
        <f t="shared" si="644"/>
        <v>-9.3400281695249596E-2</v>
      </c>
      <c r="Z79" s="632">
        <f t="shared" si="468"/>
        <v>-0.28317368103699675</v>
      </c>
      <c r="AA79" s="629">
        <f t="shared" si="469"/>
        <v>0.92671837138174806</v>
      </c>
      <c r="AB79" s="629">
        <f t="shared" si="470"/>
        <v>-0.24699337341620689</v>
      </c>
      <c r="AC79" s="636">
        <f>IF(M79="","",SQRT(Z79^2+AA79^2+AB79^2))</f>
        <v>1</v>
      </c>
      <c r="AD79" s="637">
        <f>IF(M79="","",Z79*(1/SQRT(Z79^2+AA79^2+AB79^2)))</f>
        <v>-0.28317368103699675</v>
      </c>
      <c r="AE79" s="629">
        <f>IF(M79="","",AA79*(1/SQRT(Z79^2+AA79^2+AB79^2)))</f>
        <v>0.92671837138174806</v>
      </c>
      <c r="AF79" s="633">
        <f>IF(M79="","",AB79*(1/SQRT(Z79^2+AA79^2+AB79^2)))</f>
        <v>-0.24699337341620689</v>
      </c>
      <c r="AG79" s="602">
        <f>IF(M79="","",DEGREES(ATAN2(-AF79,AE79)))</f>
        <v>75.076174993762464</v>
      </c>
      <c r="AH79" s="603">
        <f>IF(M79="","",DEGREES(ACOS(AD79)))</f>
        <v>106.44971159605781</v>
      </c>
      <c r="AI79" s="585">
        <f>IF(M79="","",DEGREES(-ACOS(-AF79)))</f>
        <v>-75.700333439606581</v>
      </c>
      <c r="AJ79" s="586">
        <f>IF(M79="","",DEGREES(ATAN2(-AE79,AD79)))</f>
        <v>-163.00862626779718</v>
      </c>
      <c r="AK79" s="635">
        <f>IF(M79="","",(COS(RADIANS((90-$Q$8)-W79))*AD79)+(-SIN(RADIANS((90-$Q$8)-W79))*AE79))</f>
        <v>0.96290706501665213</v>
      </c>
      <c r="AL79" s="629">
        <f>IF(M79="","",(SIN(RADIANS((90-$Q$8)-W79))*AD79)+(COS(RADIANS((90-$Q$8)-W79))*AE79))</f>
        <v>-0.10864740047281024</v>
      </c>
      <c r="AM79" s="634">
        <f>IF(M79="","",AF79)</f>
        <v>-0.24699337341620689</v>
      </c>
      <c r="AN79" s="581">
        <f>IF(M79="","",DEGREES(ATAN2(-AM79,AL79)))</f>
        <v>-23.743725264898252</v>
      </c>
      <c r="AO79" s="582">
        <f t="shared" si="461"/>
        <v>15.65434464634518</v>
      </c>
      <c r="AP79" s="585">
        <f>IF(M79="","",DEGREES(ATAN2(AK79,AL79)))</f>
        <v>-6.4376098906781909</v>
      </c>
      <c r="AQ79" s="586">
        <f t="shared" si="471"/>
        <v>0.55320542475921564</v>
      </c>
      <c r="AS79" s="52">
        <f t="shared" si="543"/>
        <v>-246.44401639545552</v>
      </c>
      <c r="AT79" s="72">
        <f t="shared" si="472"/>
        <v>7.78295907888608E-2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5.125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1513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-4.4216170836375648</v>
      </c>
      <c r="C80" s="708">
        <v>-1.8457938146052864</v>
      </c>
      <c r="D80" s="709">
        <v>-0.35720107731844924</v>
      </c>
      <c r="E80" s="710">
        <v>0.19526232939094956</v>
      </c>
      <c r="F80" s="708">
        <v>-0.95500446282558982</v>
      </c>
      <c r="G80" s="711">
        <v>0.22324672159748926</v>
      </c>
      <c r="H80" s="710">
        <v>0.28999999999999998</v>
      </c>
      <c r="I80" s="708">
        <v>0.52</v>
      </c>
      <c r="J80" s="570">
        <v>5.1310000000000002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1513</v>
      </c>
      <c r="L80" s="320"/>
      <c r="M80" s="168">
        <f t="shared" si="464"/>
        <v>5.1310000000000002</v>
      </c>
      <c r="N80" s="632">
        <f t="shared" si="465"/>
        <v>-4.4216170836375648</v>
      </c>
      <c r="O80" s="629">
        <f t="shared" si="466"/>
        <v>-1.8457938146052864</v>
      </c>
      <c r="P80" s="633">
        <f t="shared" si="467"/>
        <v>-0.35720107731844924</v>
      </c>
      <c r="Q80" s="585">
        <f t="shared" si="520"/>
        <v>202.65798373419963</v>
      </c>
      <c r="R80" s="629">
        <f t="shared" si="79"/>
        <v>4.7914144509059851</v>
      </c>
      <c r="S80" s="634">
        <f t="shared" si="80"/>
        <v>-0.35720107731844924</v>
      </c>
      <c r="T80" s="635">
        <f t="shared" si="81"/>
        <v>-1.8555900864136816</v>
      </c>
      <c r="U80" s="629">
        <f t="shared" si="82"/>
        <v>4.4175148977172638</v>
      </c>
      <c r="V80" s="636">
        <f t="shared" si="114"/>
        <v>-0.35720107731844924</v>
      </c>
      <c r="W80" s="585">
        <f t="shared" si="645"/>
        <v>112.78498371586309</v>
      </c>
      <c r="X80" s="629">
        <f t="shared" si="83"/>
        <v>4.7914144509059851</v>
      </c>
      <c r="Y80" s="630">
        <f t="shared" si="644"/>
        <v>-0.35720107731844924</v>
      </c>
      <c r="Z80" s="632">
        <f t="shared" si="468"/>
        <v>-0.19526232939094956</v>
      </c>
      <c r="AA80" s="629">
        <f t="shared" si="469"/>
        <v>0.95500446282558982</v>
      </c>
      <c r="AB80" s="629">
        <f t="shared" si="470"/>
        <v>-0.22324672159748926</v>
      </c>
      <c r="AC80" s="636">
        <f t="shared" si="84"/>
        <v>1</v>
      </c>
      <c r="AD80" s="637">
        <f t="shared" si="115"/>
        <v>-0.19526232939094956</v>
      </c>
      <c r="AE80" s="629">
        <f t="shared" si="85"/>
        <v>0.95500446282558982</v>
      </c>
      <c r="AF80" s="633">
        <f t="shared" si="86"/>
        <v>-0.22324672159748926</v>
      </c>
      <c r="AG80" s="602">
        <f t="shared" si="87"/>
        <v>76.842518407854797</v>
      </c>
      <c r="AH80" s="603">
        <f t="shared" si="88"/>
        <v>101.26004854862255</v>
      </c>
      <c r="AI80" s="585">
        <f t="shared" si="89"/>
        <v>-77.10019952116366</v>
      </c>
      <c r="AJ80" s="586">
        <f t="shared" si="90"/>
        <v>-168.44444693621344</v>
      </c>
      <c r="AK80" s="635">
        <f t="shared" si="211"/>
        <v>0.95651880974904746</v>
      </c>
      <c r="AL80" s="629">
        <f t="shared" si="91"/>
        <v>-0.18770367042825375</v>
      </c>
      <c r="AM80" s="634">
        <f t="shared" si="92"/>
        <v>-0.22324672159748926</v>
      </c>
      <c r="AN80" s="581">
        <f t="shared" si="93"/>
        <v>-40.056796141952368</v>
      </c>
      <c r="AO80" s="582">
        <f t="shared" si="461"/>
        <v>16.958001751304252</v>
      </c>
      <c r="AP80" s="585">
        <f t="shared" si="95"/>
        <v>-11.102430670413071</v>
      </c>
      <c r="AQ80" s="586">
        <f t="shared" si="471"/>
        <v>0.47578314393368237</v>
      </c>
      <c r="AS80" s="52">
        <f t="shared" si="543"/>
        <v>-247.21501628413691</v>
      </c>
      <c r="AT80" s="72">
        <f t="shared" si="472"/>
        <v>-0.18543578824497675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5.1310000000000002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1513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-4.946901176675941</v>
      </c>
      <c r="C81" s="708">
        <v>-1.99817403796383</v>
      </c>
      <c r="D81" s="709">
        <v>-0.82990250298594903</v>
      </c>
      <c r="E81" s="710">
        <v>0.11789623303432435</v>
      </c>
      <c r="F81" s="708">
        <v>-0.97690892915601113</v>
      </c>
      <c r="G81" s="711">
        <v>0.1781836759402278</v>
      </c>
      <c r="H81" s="710">
        <v>0.28999999999999998</v>
      </c>
      <c r="I81" s="708">
        <v>0.52</v>
      </c>
      <c r="J81" s="570">
        <v>5.1369999999999996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1513</v>
      </c>
      <c r="L81" s="320"/>
      <c r="M81" s="168">
        <f t="shared" si="464"/>
        <v>5.1369999999999996</v>
      </c>
      <c r="N81" s="632">
        <f t="shared" si="465"/>
        <v>-4.946901176675941</v>
      </c>
      <c r="O81" s="629">
        <f t="shared" si="466"/>
        <v>-1.99817403796383</v>
      </c>
      <c r="P81" s="633">
        <f t="shared" si="467"/>
        <v>-0.82990250298594903</v>
      </c>
      <c r="Q81" s="585">
        <f t="shared" si="520"/>
        <v>201.99498382992496</v>
      </c>
      <c r="R81" s="629">
        <f t="shared" si="79"/>
        <v>5.3352160910117306</v>
      </c>
      <c r="S81" s="634">
        <f t="shared" si="80"/>
        <v>-0.82990250298594903</v>
      </c>
      <c r="T81" s="635">
        <f t="shared" si="81"/>
        <v>-2.0091342623059973</v>
      </c>
      <c r="U81" s="629">
        <f t="shared" si="82"/>
        <v>4.9424599395259268</v>
      </c>
      <c r="V81" s="636">
        <f t="shared" si="114"/>
        <v>-0.82990250298594903</v>
      </c>
      <c r="W81" s="585">
        <f t="shared" si="645"/>
        <v>112.12198381158842</v>
      </c>
      <c r="X81" s="629">
        <f t="shared" si="83"/>
        <v>5.3352160910117306</v>
      </c>
      <c r="Y81" s="630">
        <f t="shared" si="644"/>
        <v>-0.82990250298594903</v>
      </c>
      <c r="Z81" s="632">
        <f t="shared" si="468"/>
        <v>-0.11789623303432435</v>
      </c>
      <c r="AA81" s="629">
        <f t="shared" si="469"/>
        <v>0.97690892915601113</v>
      </c>
      <c r="AB81" s="629">
        <f t="shared" si="470"/>
        <v>-0.1781836759402278</v>
      </c>
      <c r="AC81" s="636">
        <f t="shared" si="84"/>
        <v>1</v>
      </c>
      <c r="AD81" s="637">
        <f t="shared" si="115"/>
        <v>-0.11789623303432435</v>
      </c>
      <c r="AE81" s="629">
        <f t="shared" si="85"/>
        <v>0.97690892915601113</v>
      </c>
      <c r="AF81" s="633">
        <f t="shared" si="86"/>
        <v>-0.1781836759402278</v>
      </c>
      <c r="AG81" s="602">
        <f t="shared" si="87"/>
        <v>79.663144006177845</v>
      </c>
      <c r="AH81" s="603">
        <f t="shared" si="88"/>
        <v>96.770703712859131</v>
      </c>
      <c r="AI81" s="585">
        <f t="shared" si="89"/>
        <v>-79.736018092545962</v>
      </c>
      <c r="AJ81" s="586">
        <f t="shared" si="90"/>
        <v>-173.11865609683525</v>
      </c>
      <c r="AK81" s="635">
        <f t="shared" si="211"/>
        <v>0.94996135802419224</v>
      </c>
      <c r="AL81" s="629">
        <f t="shared" si="91"/>
        <v>-0.25656187536198821</v>
      </c>
      <c r="AM81" s="634">
        <f t="shared" si="92"/>
        <v>-0.1781836759402278</v>
      </c>
      <c r="AN81" s="581">
        <f t="shared" si="93"/>
        <v>-55.219802238609795</v>
      </c>
      <c r="AO81" s="582">
        <f t="shared" si="461"/>
        <v>18.201961549960885</v>
      </c>
      <c r="AP81" s="585">
        <f t="shared" si="95"/>
        <v>-15.113639926760193</v>
      </c>
      <c r="AQ81" s="586">
        <f t="shared" si="471"/>
        <v>0.42728997847070277</v>
      </c>
      <c r="AS81" s="52">
        <f t="shared" si="543"/>
        <v>-247.87801618841158</v>
      </c>
      <c r="AT81" s="72">
        <f t="shared" si="472"/>
        <v>-0.65767679731228579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5.1369999999999996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1513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-5.29240013490982</v>
      </c>
      <c r="C82" s="708">
        <v>-2.0899603159844307</v>
      </c>
      <c r="D82" s="709">
        <v>-1.4572043949284552</v>
      </c>
      <c r="E82" s="710">
        <v>5.5361694867292486E-3</v>
      </c>
      <c r="F82" s="708">
        <v>-0.9868464545475969</v>
      </c>
      <c r="G82" s="711">
        <v>0.16156554699022921</v>
      </c>
      <c r="H82" s="710">
        <v>0.28999999999999998</v>
      </c>
      <c r="I82" s="708">
        <v>0.52</v>
      </c>
      <c r="J82" s="570">
        <v>5.1429999999999998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1513</v>
      </c>
      <c r="L82" s="320"/>
      <c r="M82" s="168">
        <f t="shared" si="464"/>
        <v>5.1429999999999998</v>
      </c>
      <c r="N82" s="632">
        <f t="shared" si="465"/>
        <v>-5.29240013490982</v>
      </c>
      <c r="O82" s="629">
        <f t="shared" si="466"/>
        <v>-2.0899603159844307</v>
      </c>
      <c r="P82" s="633">
        <f t="shared" si="467"/>
        <v>-1.4572043949284552</v>
      </c>
      <c r="Q82" s="585">
        <f t="shared" si="520"/>
        <v>201.54898389431938</v>
      </c>
      <c r="R82" s="629">
        <f t="shared" si="79"/>
        <v>5.6901171613933599</v>
      </c>
      <c r="S82" s="634">
        <f t="shared" si="80"/>
        <v>-1.4572043949284552</v>
      </c>
      <c r="T82" s="635">
        <f t="shared" si="81"/>
        <v>-2.1016861360947785</v>
      </c>
      <c r="U82" s="629">
        <f t="shared" si="82"/>
        <v>5.287754598667588</v>
      </c>
      <c r="V82" s="636">
        <f t="shared" si="114"/>
        <v>-1.4572043949284552</v>
      </c>
      <c r="W82" s="585">
        <f t="shared" si="645"/>
        <v>111.67598387598284</v>
      </c>
      <c r="X82" s="629">
        <f t="shared" si="83"/>
        <v>5.6901171613933599</v>
      </c>
      <c r="Y82" s="630">
        <f t="shared" si="644"/>
        <v>-1.4572043949284552</v>
      </c>
      <c r="Z82" s="632">
        <f t="shared" si="468"/>
        <v>-5.5361694867292486E-3</v>
      </c>
      <c r="AA82" s="629">
        <f t="shared" si="469"/>
        <v>0.9868464545475969</v>
      </c>
      <c r="AB82" s="629">
        <f t="shared" si="470"/>
        <v>-0.16156554699022921</v>
      </c>
      <c r="AC82" s="636">
        <f t="shared" si="84"/>
        <v>1</v>
      </c>
      <c r="AD82" s="637">
        <f t="shared" si="115"/>
        <v>-5.5361694867292486E-3</v>
      </c>
      <c r="AE82" s="629">
        <f t="shared" si="85"/>
        <v>0.9868464545475969</v>
      </c>
      <c r="AF82" s="633">
        <f t="shared" si="86"/>
        <v>-0.16156554699022921</v>
      </c>
      <c r="AG82" s="602">
        <f t="shared" si="87"/>
        <v>80.702078394742045</v>
      </c>
      <c r="AH82" s="603">
        <f t="shared" si="88"/>
        <v>90.317200766596272</v>
      </c>
      <c r="AI82" s="585">
        <f t="shared" si="89"/>
        <v>-80.702222146710383</v>
      </c>
      <c r="AJ82" s="586">
        <f t="shared" si="90"/>
        <v>-179.678576320292</v>
      </c>
      <c r="AK82" s="635">
        <f t="shared" si="211"/>
        <v>0.91990314702607145</v>
      </c>
      <c r="AL82" s="629">
        <f t="shared" si="91"/>
        <v>-0.35731607033168522</v>
      </c>
      <c r="AM82" s="634">
        <f t="shared" si="92"/>
        <v>-0.16156554699022921</v>
      </c>
      <c r="AN82" s="581">
        <f t="shared" si="93"/>
        <v>-65.669218546192425</v>
      </c>
      <c r="AO82" s="582">
        <f t="shared" si="461"/>
        <v>23.088073202572165</v>
      </c>
      <c r="AP82" s="585">
        <f t="shared" si="95"/>
        <v>-21.22756021461138</v>
      </c>
      <c r="AQ82" s="586">
        <f t="shared" si="471"/>
        <v>0.40064016460292845</v>
      </c>
      <c r="AS82" s="52">
        <f t="shared" si="543"/>
        <v>-248.32401612401716</v>
      </c>
      <c r="AT82" s="72">
        <f t="shared" si="472"/>
        <v>-1.2846689670772882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5.1429999999999998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1513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-5.4555947079327343</v>
      </c>
      <c r="C83" s="708">
        <v>-2.1309956142960154</v>
      </c>
      <c r="D83" s="709">
        <v>-2.1669065353901109</v>
      </c>
      <c r="E83" s="710">
        <v>-0.11840192701831376</v>
      </c>
      <c r="F83" s="708">
        <v>-0.9861509724307127</v>
      </c>
      <c r="G83" s="711">
        <v>0.1161345911100978</v>
      </c>
      <c r="H83" s="710">
        <v>0.28999999999999998</v>
      </c>
      <c r="I83" s="708">
        <v>0.52</v>
      </c>
      <c r="J83" s="570">
        <v>5.149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1513</v>
      </c>
      <c r="L83" s="320"/>
      <c r="M83" s="168">
        <f t="shared" si="464"/>
        <v>5.149</v>
      </c>
      <c r="N83" s="632">
        <f t="shared" si="465"/>
        <v>-5.4555947079327343</v>
      </c>
      <c r="O83" s="629">
        <f t="shared" si="466"/>
        <v>-2.1309956142960154</v>
      </c>
      <c r="P83" s="633">
        <f t="shared" si="467"/>
        <v>-2.1669065353901109</v>
      </c>
      <c r="Q83" s="585">
        <f t="shared" si="520"/>
        <v>201.33598392507278</v>
      </c>
      <c r="R83" s="629">
        <f t="shared" si="79"/>
        <v>5.8570176647652774</v>
      </c>
      <c r="S83" s="634">
        <f t="shared" si="80"/>
        <v>-2.1669065353901109</v>
      </c>
      <c r="T83" s="635">
        <f t="shared" si="81"/>
        <v>-2.1430830651440309</v>
      </c>
      <c r="U83" s="629">
        <f t="shared" si="82"/>
        <v>5.4508578133414343</v>
      </c>
      <c r="V83" s="636">
        <f t="shared" si="114"/>
        <v>-2.1669065353901109</v>
      </c>
      <c r="W83" s="585">
        <f t="shared" si="645"/>
        <v>111.46298390673624</v>
      </c>
      <c r="X83" s="629">
        <f t="shared" si="83"/>
        <v>5.8570176647652774</v>
      </c>
      <c r="Y83" s="630">
        <f t="shared" si="644"/>
        <v>-2.1669065353901109</v>
      </c>
      <c r="Z83" s="632">
        <f t="shared" si="468"/>
        <v>0.11840192701831376</v>
      </c>
      <c r="AA83" s="629">
        <f t="shared" si="469"/>
        <v>0.9861509724307127</v>
      </c>
      <c r="AB83" s="629">
        <f t="shared" si="470"/>
        <v>-0.1161345911100978</v>
      </c>
      <c r="AC83" s="636">
        <f t="shared" si="84"/>
        <v>1</v>
      </c>
      <c r="AD83" s="637">
        <f t="shared" si="115"/>
        <v>0.11840192701831376</v>
      </c>
      <c r="AE83" s="629">
        <f t="shared" si="85"/>
        <v>0.9861509724307127</v>
      </c>
      <c r="AF83" s="633">
        <f t="shared" si="86"/>
        <v>-0.1161345911100978</v>
      </c>
      <c r="AG83" s="602">
        <f t="shared" si="87"/>
        <v>83.283468100352991</v>
      </c>
      <c r="AH83" s="603">
        <f t="shared" si="88"/>
        <v>83.200117785746443</v>
      </c>
      <c r="AI83" s="585">
        <f t="shared" si="89"/>
        <v>-83.330929155953726</v>
      </c>
      <c r="AJ83" s="586">
        <f t="shared" si="90"/>
        <v>173.15357183776834</v>
      </c>
      <c r="AK83" s="635">
        <f t="shared" si="211"/>
        <v>0.8754841341973294</v>
      </c>
      <c r="AL83" s="629">
        <f t="shared" si="91"/>
        <v>-0.4690845206532005</v>
      </c>
      <c r="AM83" s="634">
        <f t="shared" si="92"/>
        <v>-0.1161345911100978</v>
      </c>
      <c r="AN83" s="581">
        <f t="shared" si="93"/>
        <v>-76.094486110163118</v>
      </c>
      <c r="AO83" s="582">
        <f t="shared" si="461"/>
        <v>28.897675373698153</v>
      </c>
      <c r="AP83" s="585">
        <f t="shared" si="95"/>
        <v>-28.182412087304421</v>
      </c>
      <c r="AQ83" s="586">
        <f t="shared" si="471"/>
        <v>0.38922395218404582</v>
      </c>
      <c r="AS83" s="52">
        <f t="shared" si="543"/>
        <v>-248.53701609326376</v>
      </c>
      <c r="AT83" s="72">
        <f t="shared" si="472"/>
        <v>-1.9942231908936336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5.149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1513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-5.5151538747575852</v>
      </c>
      <c r="C84" s="708">
        <v>-2.1456108271293091</v>
      </c>
      <c r="D84" s="709">
        <v>-2.9254088230330102</v>
      </c>
      <c r="E84" s="710">
        <v>-0.2375504517365766</v>
      </c>
      <c r="F84" s="708">
        <v>-0.97137520190693127</v>
      </c>
      <c r="G84" s="711">
        <v>1.3008419218705799E-7</v>
      </c>
      <c r="H84" s="710">
        <v>0.28999999999999998</v>
      </c>
      <c r="I84" s="708">
        <v>0.52</v>
      </c>
      <c r="J84" s="570">
        <v>5.1550000000000002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1513</v>
      </c>
      <c r="L84" s="320"/>
      <c r="M84" s="168">
        <f t="shared" si="464"/>
        <v>5.1550000000000002</v>
      </c>
      <c r="N84" s="632">
        <f t="shared" si="465"/>
        <v>-5.5151538747575852</v>
      </c>
      <c r="O84" s="629">
        <f t="shared" si="466"/>
        <v>-2.1456108271293091</v>
      </c>
      <c r="P84" s="633">
        <f t="shared" si="467"/>
        <v>-2.9254088230330102</v>
      </c>
      <c r="Q84" s="585">
        <f t="shared" si="520"/>
        <v>201.2579839363346</v>
      </c>
      <c r="R84" s="629">
        <f t="shared" si="79"/>
        <v>5.9178178481386299</v>
      </c>
      <c r="S84" s="634">
        <f t="shared" si="80"/>
        <v>-2.9254088230330102</v>
      </c>
      <c r="T84" s="635">
        <f t="shared" si="81"/>
        <v>-2.1578302588988674</v>
      </c>
      <c r="U84" s="629">
        <f t="shared" si="82"/>
        <v>5.5103844382700355</v>
      </c>
      <c r="V84" s="636">
        <f t="shared" si="114"/>
        <v>-2.9254088230330102</v>
      </c>
      <c r="W84" s="585">
        <f t="shared" si="645"/>
        <v>111.38498391799806</v>
      </c>
      <c r="X84" s="629">
        <f t="shared" si="83"/>
        <v>5.9178178481386299</v>
      </c>
      <c r="Y84" s="630">
        <f t="shared" si="644"/>
        <v>-2.9254088230330102</v>
      </c>
      <c r="Z84" s="632">
        <f t="shared" si="468"/>
        <v>0.2375504517365766</v>
      </c>
      <c r="AA84" s="629">
        <f t="shared" si="469"/>
        <v>0.97137520190693127</v>
      </c>
      <c r="AB84" s="629">
        <f t="shared" si="470"/>
        <v>-1.3008419218705799E-7</v>
      </c>
      <c r="AC84" s="636">
        <f t="shared" si="84"/>
        <v>1</v>
      </c>
      <c r="AD84" s="637">
        <f t="shared" si="115"/>
        <v>0.2375504517365766</v>
      </c>
      <c r="AE84" s="629">
        <f t="shared" si="85"/>
        <v>0.97137520190693127</v>
      </c>
      <c r="AF84" s="633">
        <f t="shared" si="86"/>
        <v>-1.3008419218705799E-7</v>
      </c>
      <c r="AG84" s="602">
        <f t="shared" si="87"/>
        <v>89.999992327089288</v>
      </c>
      <c r="AH84" s="603">
        <f t="shared" si="88"/>
        <v>76.257988989709446</v>
      </c>
      <c r="AI84" s="585">
        <f t="shared" si="89"/>
        <v>-89.999992546724812</v>
      </c>
      <c r="AJ84" s="586">
        <f t="shared" si="90"/>
        <v>166.25798898970933</v>
      </c>
      <c r="AK84" s="635">
        <f t="shared" si="211"/>
        <v>0.81915209487729201</v>
      </c>
      <c r="AL84" s="629">
        <f t="shared" si="91"/>
        <v>-0.57357636410344459</v>
      </c>
      <c r="AM84" s="634">
        <f t="shared" si="92"/>
        <v>-1.3008419218705799E-7</v>
      </c>
      <c r="AN84" s="581">
        <f t="shared" si="93"/>
        <v>-89.999987005609611</v>
      </c>
      <c r="AO84" s="582">
        <f t="shared" si="461"/>
        <v>34.999994946625954</v>
      </c>
      <c r="AP84" s="585">
        <f t="shared" si="95"/>
        <v>-34.999994946625264</v>
      </c>
      <c r="AQ84" s="586">
        <f t="shared" si="471"/>
        <v>0.38522515205170216</v>
      </c>
      <c r="AS84" s="52">
        <f t="shared" si="543"/>
        <v>-248.61501608200194</v>
      </c>
      <c r="AT84" s="72">
        <f t="shared" si="472"/>
        <v>-2.7526713118776871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5.1550000000000002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1513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-2.6937675016621019</v>
      </c>
      <c r="C85" s="708">
        <v>-7.8913298341349136E-2</v>
      </c>
      <c r="D85" s="709">
        <v>-0.2402490283849337</v>
      </c>
      <c r="E85" s="710">
        <v>0.25870802955709493</v>
      </c>
      <c r="F85" s="708">
        <v>7.5785652296766516E-3</v>
      </c>
      <c r="G85" s="711">
        <v>0.96592583607218263</v>
      </c>
      <c r="H85" s="710">
        <v>0.26250000000000001</v>
      </c>
      <c r="I85" s="708">
        <v>0.40699999999999997</v>
      </c>
      <c r="J85" s="570">
        <v>5.2130000000000001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Inactive</v>
      </c>
      <c r="L85" s="320"/>
      <c r="M85" s="168">
        <f t="shared" si="464"/>
        <v>5.2130000000000001</v>
      </c>
      <c r="N85" s="632">
        <f t="shared" si="465"/>
        <v>-2.6937675016621019</v>
      </c>
      <c r="O85" s="629">
        <f t="shared" si="466"/>
        <v>-7.8913298341349136E-2</v>
      </c>
      <c r="P85" s="633">
        <f t="shared" si="467"/>
        <v>-0.2402490283849337</v>
      </c>
      <c r="Q85" s="585">
        <f t="shared" si="520"/>
        <v>181.67798676333641</v>
      </c>
      <c r="R85" s="629">
        <f t="shared" si="79"/>
        <v>2.6949231272275638</v>
      </c>
      <c r="S85" s="634">
        <f t="shared" si="80"/>
        <v>-0.2402490283849337</v>
      </c>
      <c r="T85" s="635">
        <f t="shared" si="81"/>
        <v>-8.4884017980412091E-2</v>
      </c>
      <c r="U85" s="629">
        <f t="shared" si="82"/>
        <v>2.6935859676567762</v>
      </c>
      <c r="V85" s="636">
        <f t="shared" si="114"/>
        <v>-0.2402490283849337</v>
      </c>
      <c r="W85" s="585">
        <f t="shared" si="645"/>
        <v>91.804986744999866</v>
      </c>
      <c r="X85" s="629">
        <f t="shared" si="83"/>
        <v>2.6949231272275638</v>
      </c>
      <c r="Y85" s="630">
        <f t="shared" si="644"/>
        <v>-0.2402490283849337</v>
      </c>
      <c r="Z85" s="632">
        <f t="shared" si="468"/>
        <v>-0.25870802955709493</v>
      </c>
      <c r="AA85" s="629">
        <f t="shared" si="469"/>
        <v>-7.5785652296766516E-3</v>
      </c>
      <c r="AB85" s="629">
        <f t="shared" si="470"/>
        <v>-0.96592583607218263</v>
      </c>
      <c r="AC85" s="636">
        <f t="shared" si="84"/>
        <v>1</v>
      </c>
      <c r="AD85" s="637">
        <f t="shared" si="115"/>
        <v>-0.25870802955709493</v>
      </c>
      <c r="AE85" s="629">
        <f t="shared" si="85"/>
        <v>-7.5785652296766516E-3</v>
      </c>
      <c r="AF85" s="633">
        <f t="shared" si="86"/>
        <v>-0.96592583607218263</v>
      </c>
      <c r="AG85" s="602">
        <f t="shared" si="87"/>
        <v>-0.44952819005189276</v>
      </c>
      <c r="AH85" s="603">
        <f t="shared" si="88"/>
        <v>104.99341499718182</v>
      </c>
      <c r="AI85" s="585">
        <f t="shared" si="89"/>
        <v>-14.999997834273739</v>
      </c>
      <c r="AJ85" s="586">
        <f t="shared" si="90"/>
        <v>-88.322063443139797</v>
      </c>
      <c r="AK85" s="635">
        <f t="shared" si="211"/>
        <v>2.2679489663016139E-7</v>
      </c>
      <c r="AL85" s="629">
        <f t="shared" si="91"/>
        <v>0.25881900859133922</v>
      </c>
      <c r="AM85" s="634">
        <f t="shared" si="92"/>
        <v>-0.96592583607218263</v>
      </c>
      <c r="AN85" s="581">
        <f t="shared" si="93"/>
        <v>14.999997834268262</v>
      </c>
      <c r="AO85" s="582">
        <f t="shared" si="461"/>
        <v>0</v>
      </c>
      <c r="AP85" s="585">
        <f t="shared" si="95"/>
        <v>89.999949793523811</v>
      </c>
      <c r="AQ85" s="586">
        <f t="shared" si="471"/>
        <v>0.84587236700770818</v>
      </c>
      <c r="AS85" s="52">
        <f t="shared" si="543"/>
        <v>-268.19501325500016</v>
      </c>
      <c r="AT85" s="72">
        <f t="shared" si="472"/>
        <v>-5.3914296970583947E-2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5.2130000000000001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5.1130000000000004</v>
      </c>
      <c r="II85" s="734" cm="1">
        <f t="array" ref="II85">IFERROR(ROUND(VALUE(IF($IH85&lt;1,$IH85+LARGE((IF($M$9:$M$150="",0,$M$9:$M$150)-MOD(IF($M$9:$M$150="",0,$M$9:$M$150),1)),1),$IH85)),4),"")</f>
        <v>5.1130000000000004</v>
      </c>
      <c r="IJ85" s="533">
        <f t="shared" si="542"/>
        <v>1513</v>
      </c>
      <c r="IK85" s="533" t="str">
        <f t="shared" si="517"/>
        <v>Inactive</v>
      </c>
      <c r="IL85" s="727">
        <f t="shared" si="647"/>
        <v>23.061996670259674</v>
      </c>
      <c r="IM85" s="759">
        <v>1.9158629206756501E-2</v>
      </c>
      <c r="IN85" s="5">
        <f t="shared" si="648"/>
        <v>0.3</v>
      </c>
      <c r="IO85" s="771">
        <v>150</v>
      </c>
      <c r="IP85" s="9">
        <f t="shared" si="649"/>
        <v>-2.6991081405101522</v>
      </c>
      <c r="IQ85" s="5">
        <f t="shared" si="650"/>
        <v>-0.23740071600055948</v>
      </c>
      <c r="IR85" s="5">
        <f t="shared" si="518"/>
        <v>0.28999999999999998</v>
      </c>
      <c r="IS85" s="5">
        <f t="shared" si="651"/>
        <v>0.27998799192677193</v>
      </c>
      <c r="IT85" s="727">
        <f t="shared" si="652"/>
        <v>-8.271384770314107</v>
      </c>
      <c r="IU85" s="9">
        <f t="shared" si="653"/>
        <v>-2.6949231272275638</v>
      </c>
      <c r="IV85" s="5">
        <f t="shared" si="654"/>
        <v>-0.2402490283849337</v>
      </c>
      <c r="IW85" s="5">
        <f t="shared" si="519"/>
        <v>0.26250000000000001</v>
      </c>
      <c r="IX85" s="5">
        <f t="shared" si="655"/>
        <v>0.26250000000000001</v>
      </c>
      <c r="IY85" s="762">
        <f t="shared" si="656"/>
        <v>-14.999997834268262</v>
      </c>
    </row>
    <row r="86" spans="1:259" ht="15" customHeight="1" x14ac:dyDescent="0.25">
      <c r="A86" s="79"/>
      <c r="B86" s="707">
        <v>-3.3797067859928833</v>
      </c>
      <c r="C86" s="708">
        <v>-0.36088733244773324</v>
      </c>
      <c r="D86" s="709">
        <v>-6.8806974291825168E-2</v>
      </c>
      <c r="E86" s="710">
        <v>0.10393759801204502</v>
      </c>
      <c r="F86" s="708">
        <v>1.1098297575790091E-2</v>
      </c>
      <c r="G86" s="711">
        <v>0.99452189694868243</v>
      </c>
      <c r="H86" s="710">
        <v>0.26250000000000001</v>
      </c>
      <c r="I86" s="708">
        <v>0.40699999999999997</v>
      </c>
      <c r="J86" s="570">
        <v>5.2190000000000003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Inactive</v>
      </c>
      <c r="L86" s="320"/>
      <c r="M86" s="168">
        <f t="shared" si="464"/>
        <v>5.2190000000000003</v>
      </c>
      <c r="N86" s="632">
        <f t="shared" si="465"/>
        <v>-3.3797067859928833</v>
      </c>
      <c r="O86" s="629">
        <f t="shared" si="466"/>
        <v>-0.36088733244773324</v>
      </c>
      <c r="P86" s="633">
        <f t="shared" si="467"/>
        <v>-6.8806974291825168E-2</v>
      </c>
      <c r="Q86" s="585">
        <f t="shared" si="520"/>
        <v>186.0949861256006</v>
      </c>
      <c r="R86" s="629">
        <f t="shared" si="79"/>
        <v>3.3989200676108267</v>
      </c>
      <c r="S86" s="634">
        <f t="shared" si="80"/>
        <v>-6.8806974291825168E-2</v>
      </c>
      <c r="T86" s="635">
        <f t="shared" si="81"/>
        <v>-0.36837778909943958</v>
      </c>
      <c r="U86" s="629">
        <f t="shared" si="82"/>
        <v>3.3788985528579865</v>
      </c>
      <c r="V86" s="636">
        <f t="shared" si="114"/>
        <v>-6.8806974291825168E-2</v>
      </c>
      <c r="W86" s="585">
        <f t="shared" si="645"/>
        <v>96.221986107264058</v>
      </c>
      <c r="X86" s="629">
        <f t="shared" si="83"/>
        <v>3.3989200676108267</v>
      </c>
      <c r="Y86" s="630">
        <f t="shared" si="644"/>
        <v>-6.8806974291825168E-2</v>
      </c>
      <c r="Z86" s="632">
        <f t="shared" si="468"/>
        <v>-0.10393759801204502</v>
      </c>
      <c r="AA86" s="629">
        <f t="shared" si="469"/>
        <v>-1.1098297575790091E-2</v>
      </c>
      <c r="AB86" s="629">
        <f t="shared" si="470"/>
        <v>-0.99452189694868243</v>
      </c>
      <c r="AC86" s="636">
        <f t="shared" si="84"/>
        <v>1</v>
      </c>
      <c r="AD86" s="637">
        <f t="shared" si="115"/>
        <v>-0.10393759801204502</v>
      </c>
      <c r="AE86" s="629">
        <f t="shared" si="85"/>
        <v>-1.1098297575790091E-2</v>
      </c>
      <c r="AF86" s="633">
        <f t="shared" si="86"/>
        <v>-0.99452189694868243</v>
      </c>
      <c r="AG86" s="602">
        <f t="shared" si="87"/>
        <v>-0.63936170593525365</v>
      </c>
      <c r="AH86" s="603">
        <f t="shared" si="88"/>
        <v>95.965960497580525</v>
      </c>
      <c r="AI86" s="585">
        <f t="shared" si="89"/>
        <v>-5.999999133721337</v>
      </c>
      <c r="AJ86" s="586">
        <f t="shared" si="90"/>
        <v>-83.905138188790502</v>
      </c>
      <c r="AK86" s="635">
        <f t="shared" si="211"/>
        <v>2.2679489666832531E-7</v>
      </c>
      <c r="AL86" s="629">
        <f t="shared" si="91"/>
        <v>0.10452844823081808</v>
      </c>
      <c r="AM86" s="634">
        <f t="shared" si="92"/>
        <v>-0.99452189694868243</v>
      </c>
      <c r="AN86" s="581">
        <f t="shared" si="93"/>
        <v>5.9999991337073082</v>
      </c>
      <c r="AO86" s="582">
        <f t="shared" si="461"/>
        <v>0</v>
      </c>
      <c r="AP86" s="585">
        <f t="shared" si="95"/>
        <v>89.999875685608899</v>
      </c>
      <c r="AQ86" s="586">
        <f t="shared" si="471"/>
        <v>0.67069023672429717</v>
      </c>
      <c r="AS86" s="52">
        <f t="shared" si="543"/>
        <v>-263.77801389273594</v>
      </c>
      <c r="AT86" s="72">
        <f t="shared" si="472"/>
        <v>0.11446039645428555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5.2190000000000003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5.1189999999999998</v>
      </c>
      <c r="II86" s="734" cm="1">
        <f t="array" ref="II86">IFERROR(ROUND(VALUE(IF($IH86&lt;1,$IH86+LARGE((IF($M$9:$M$150="",0,$M$9:$M$150)-MOD(IF($M$9:$M$150="",0,$M$9:$M$150),1)),1),$IH86)),4),"")</f>
        <v>5.1189999999999998</v>
      </c>
      <c r="IJ86" s="533">
        <f t="shared" si="542"/>
        <v>1513</v>
      </c>
      <c r="IK86" s="533" t="str">
        <f t="shared" si="517"/>
        <v>Inactive</v>
      </c>
      <c r="IL86" s="727">
        <f t="shared" si="647"/>
        <v>18.075997390148899</v>
      </c>
      <c r="IM86" s="759">
        <v>1.7221707880737101E-2</v>
      </c>
      <c r="IN86" s="5">
        <f t="shared" si="648"/>
        <v>0.32</v>
      </c>
      <c r="IO86" s="771">
        <v>160</v>
      </c>
      <c r="IP86" s="9">
        <f t="shared" si="649"/>
        <v>-3.4006102562405331</v>
      </c>
      <c r="IQ86" s="5">
        <f t="shared" si="650"/>
        <v>-6.8900207803026747E-2</v>
      </c>
      <c r="IR86" s="5">
        <f t="shared" si="518"/>
        <v>0.28999999999999998</v>
      </c>
      <c r="IS86" s="5">
        <f t="shared" si="651"/>
        <v>0.27968471866362976</v>
      </c>
      <c r="IT86" s="727">
        <f t="shared" si="652"/>
        <v>6.1486918616241546</v>
      </c>
      <c r="IU86" s="9">
        <f t="shared" si="653"/>
        <v>-3.3989200676108267</v>
      </c>
      <c r="IV86" s="5">
        <f t="shared" si="654"/>
        <v>-6.8806974291825168E-2</v>
      </c>
      <c r="IW86" s="5">
        <f t="shared" si="519"/>
        <v>0.26250000000000001</v>
      </c>
      <c r="IX86" s="5">
        <f t="shared" si="655"/>
        <v>0.26250000000000001</v>
      </c>
      <c r="IY86" s="762">
        <f t="shared" si="656"/>
        <v>-5.9999991337073082</v>
      </c>
    </row>
    <row r="87" spans="1:259" ht="15" customHeight="1" x14ac:dyDescent="0.25">
      <c r="A87" s="79"/>
      <c r="B87" s="707">
        <v>-4.0764043762725874</v>
      </c>
      <c r="C87" s="708">
        <v>-0.61613329830738894</v>
      </c>
      <c r="D87" s="709">
        <v>-9.1717557549279197E-2</v>
      </c>
      <c r="E87" s="710">
        <v>-0.11570319314174002</v>
      </c>
      <c r="F87" s="708">
        <v>-1.7488334925363315E-2</v>
      </c>
      <c r="G87" s="711">
        <v>0.99312986524338476</v>
      </c>
      <c r="H87" s="710">
        <v>0.26250000000000001</v>
      </c>
      <c r="I87" s="708">
        <v>0.40699999999999997</v>
      </c>
      <c r="J87" s="570">
        <v>5.2249999999999996</v>
      </c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Inactive</v>
      </c>
      <c r="L87" s="320"/>
      <c r="M87" s="168">
        <f t="shared" si="464"/>
        <v>5.2249999999999996</v>
      </c>
      <c r="N87" s="632">
        <f t="shared" si="465"/>
        <v>-4.0764043762725874</v>
      </c>
      <c r="O87" s="629">
        <f t="shared" si="466"/>
        <v>-0.61613329830738894</v>
      </c>
      <c r="P87" s="633">
        <f t="shared" si="467"/>
        <v>-9.1717557549279197E-2</v>
      </c>
      <c r="Q87" s="585">
        <f t="shared" si="520"/>
        <v>188.59498576464534</v>
      </c>
      <c r="R87" s="629">
        <f t="shared" si="79"/>
        <v>4.1227045589245712</v>
      </c>
      <c r="S87" s="634">
        <f t="shared" si="80"/>
        <v>-9.1717557549279197E-2</v>
      </c>
      <c r="T87" s="635">
        <f t="shared" si="81"/>
        <v>-0.62516740412686889</v>
      </c>
      <c r="U87" s="629">
        <f t="shared" si="82"/>
        <v>4.0750286621071412</v>
      </c>
      <c r="V87" s="636">
        <f t="shared" si="114"/>
        <v>-9.1717557549279197E-2</v>
      </c>
      <c r="W87" s="585">
        <f t="shared" si="645"/>
        <v>98.721985746308803</v>
      </c>
      <c r="X87" s="629">
        <f t="shared" si="83"/>
        <v>4.1227045589245712</v>
      </c>
      <c r="Y87" s="630">
        <f t="shared" si="644"/>
        <v>-9.1717557549279197E-2</v>
      </c>
      <c r="Z87" s="632">
        <f t="shared" si="468"/>
        <v>0.11570319314174002</v>
      </c>
      <c r="AA87" s="629">
        <f t="shared" si="469"/>
        <v>1.7488334925363315E-2</v>
      </c>
      <c r="AB87" s="629">
        <f t="shared" si="470"/>
        <v>-0.99312986524338476</v>
      </c>
      <c r="AC87" s="636">
        <f t="shared" si="84"/>
        <v>1</v>
      </c>
      <c r="AD87" s="637">
        <f t="shared" si="115"/>
        <v>0.11570319314174002</v>
      </c>
      <c r="AE87" s="629">
        <f t="shared" si="85"/>
        <v>1.7488334925363315E-2</v>
      </c>
      <c r="AF87" s="633">
        <f t="shared" si="86"/>
        <v>-0.99312986524338476</v>
      </c>
      <c r="AG87" s="602">
        <f t="shared" si="87"/>
        <v>1.0088350638680643</v>
      </c>
      <c r="AH87" s="603">
        <f t="shared" si="88"/>
        <v>83.355814196994942</v>
      </c>
      <c r="AI87" s="585">
        <f t="shared" si="89"/>
        <v>-6.7199990297646721</v>
      </c>
      <c r="AJ87" s="586">
        <f t="shared" si="90"/>
        <v>98.595096811301104</v>
      </c>
      <c r="AK87" s="635">
        <f t="shared" si="211"/>
        <v>2.2679489666832531E-7</v>
      </c>
      <c r="AL87" s="629">
        <f t="shared" si="91"/>
        <v>-0.11701739512399445</v>
      </c>
      <c r="AM87" s="634">
        <f t="shared" si="92"/>
        <v>-0.99312986524338476</v>
      </c>
      <c r="AN87" s="581">
        <f t="shared" si="93"/>
        <v>-6.7199990297521808</v>
      </c>
      <c r="AO87" s="582">
        <f t="shared" si="461"/>
        <v>0</v>
      </c>
      <c r="AP87" s="585">
        <f t="shared" si="95"/>
        <v>-89.999888953344239</v>
      </c>
      <c r="AQ87" s="586">
        <f t="shared" si="471"/>
        <v>0.55295154484518549</v>
      </c>
      <c r="AS87" s="52">
        <f t="shared" si="543"/>
        <v>-261.2780142536912</v>
      </c>
      <c r="AT87" s="72">
        <f t="shared" si="472"/>
        <v>8.9813702336383763E-2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5.2249999999999996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5.125</v>
      </c>
      <c r="II87" s="734" cm="1">
        <f t="array" ref="II87">IFERROR(ROUND(VALUE(IF($IH87&lt;1,$IH87+LARGE((IF($M$9:$M$150="",0,$M$9:$M$150)-MOD(IF($M$9:$M$150="",0,$M$9:$M$150),1)),1),$IH87)),4),"")</f>
        <v>5.125</v>
      </c>
      <c r="IJ87" s="533">
        <f t="shared" si="542"/>
        <v>1513</v>
      </c>
      <c r="IK87" s="533" t="str">
        <f t="shared" si="517"/>
        <v>Inactive</v>
      </c>
      <c r="IL87" s="727">
        <f t="shared" si="647"/>
        <v>14.833997858235676</v>
      </c>
      <c r="IM87" s="759">
        <v>1.4420727945976399E-2</v>
      </c>
      <c r="IN87" s="5">
        <f t="shared" si="648"/>
        <v>0.34</v>
      </c>
      <c r="IO87" s="771">
        <v>170</v>
      </c>
      <c r="IP87" s="9">
        <f t="shared" si="649"/>
        <v>-4.1208124283702849</v>
      </c>
      <c r="IQ87" s="5">
        <f t="shared" si="650"/>
        <v>-9.3400281695249596E-2</v>
      </c>
      <c r="IR87" s="5">
        <f t="shared" si="518"/>
        <v>0.28999999999999998</v>
      </c>
      <c r="IS87" s="5">
        <f t="shared" si="651"/>
        <v>0.27924304885482909</v>
      </c>
      <c r="IT87" s="727">
        <f t="shared" si="652"/>
        <v>23.743725264898252</v>
      </c>
      <c r="IU87" s="9">
        <f t="shared" si="653"/>
        <v>-4.1227045589245712</v>
      </c>
      <c r="IV87" s="5">
        <f t="shared" si="654"/>
        <v>-9.1717557549279197E-2</v>
      </c>
      <c r="IW87" s="5">
        <f t="shared" si="519"/>
        <v>0.26250000000000001</v>
      </c>
      <c r="IX87" s="5">
        <f t="shared" si="655"/>
        <v>0.26250000000000001</v>
      </c>
      <c r="IY87" s="762">
        <f t="shared" si="656"/>
        <v>6.7199990297521808</v>
      </c>
    </row>
    <row r="88" spans="1:259" ht="15" customHeight="1" x14ac:dyDescent="0.25">
      <c r="A88" s="79"/>
      <c r="B88" s="707">
        <v>-4.70978702581733</v>
      </c>
      <c r="C88" s="708">
        <v>-0.95213940371349726</v>
      </c>
      <c r="D88" s="709">
        <v>-0.3256194072966872</v>
      </c>
      <c r="E88" s="710">
        <v>-6.148920036491598E-2</v>
      </c>
      <c r="F88" s="708">
        <v>-0.92488313396774113</v>
      </c>
      <c r="G88" s="711">
        <v>0.37524694101417072</v>
      </c>
      <c r="H88" s="710">
        <v>0.26600000000000001</v>
      </c>
      <c r="I88" s="708">
        <v>0.52</v>
      </c>
      <c r="J88" s="570">
        <v>5.2309999999999999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5.2309999999999999</v>
      </c>
      <c r="N88" s="632">
        <f t="shared" si="465"/>
        <v>-4.70978702581733</v>
      </c>
      <c r="O88" s="629">
        <f t="shared" si="466"/>
        <v>-0.95213940371349726</v>
      </c>
      <c r="P88" s="633">
        <f t="shared" si="467"/>
        <v>-0.3256194072966872</v>
      </c>
      <c r="Q88" s="585">
        <f t="shared" si="520"/>
        <v>191.42898535546641</v>
      </c>
      <c r="R88" s="629">
        <f t="shared" si="79"/>
        <v>4.8050664170915622</v>
      </c>
      <c r="S88" s="634">
        <f t="shared" si="80"/>
        <v>-0.3256194072966872</v>
      </c>
      <c r="T88" s="635">
        <f t="shared" si="81"/>
        <v>-0.96257661856069254</v>
      </c>
      <c r="U88" s="629">
        <f t="shared" si="82"/>
        <v>4.7076649759792177</v>
      </c>
      <c r="V88" s="636">
        <f t="shared" si="114"/>
        <v>-0.3256194072966872</v>
      </c>
      <c r="W88" s="585">
        <f t="shared" si="645"/>
        <v>101.55598533712987</v>
      </c>
      <c r="X88" s="629">
        <f t="shared" si="83"/>
        <v>4.8050664170915622</v>
      </c>
      <c r="Y88" s="630">
        <f t="shared" si="644"/>
        <v>-0.3256194072966872</v>
      </c>
      <c r="Z88" s="632">
        <f t="shared" si="468"/>
        <v>6.148920036491598E-2</v>
      </c>
      <c r="AA88" s="629">
        <f t="shared" si="469"/>
        <v>0.92488313396774113</v>
      </c>
      <c r="AB88" s="629">
        <f t="shared" si="470"/>
        <v>-0.37524694101417072</v>
      </c>
      <c r="AC88" s="636">
        <f t="shared" si="84"/>
        <v>1</v>
      </c>
      <c r="AD88" s="637">
        <f t="shared" si="115"/>
        <v>6.148920036491598E-2</v>
      </c>
      <c r="AE88" s="629">
        <f t="shared" si="85"/>
        <v>0.92488313396774113</v>
      </c>
      <c r="AF88" s="633">
        <f t="shared" si="86"/>
        <v>-0.37524694101417072</v>
      </c>
      <c r="AG88" s="602">
        <f t="shared" si="87"/>
        <v>67.916442978881065</v>
      </c>
      <c r="AH88" s="603">
        <f t="shared" si="88"/>
        <v>86.474704471273782</v>
      </c>
      <c r="AI88" s="585">
        <f t="shared" si="89"/>
        <v>-67.960423881665861</v>
      </c>
      <c r="AJ88" s="586">
        <f t="shared" si="90"/>
        <v>176.19639002971616</v>
      </c>
      <c r="AK88" s="635">
        <f t="shared" si="211"/>
        <v>0.89435939509644835</v>
      </c>
      <c r="AL88" s="629">
        <f t="shared" si="91"/>
        <v>-0.24353850960828036</v>
      </c>
      <c r="AM88" s="634">
        <f t="shared" si="92"/>
        <v>-0.37524694101417072</v>
      </c>
      <c r="AN88" s="581">
        <f t="shared" si="93"/>
        <v>-32.983919537828307</v>
      </c>
      <c r="AO88" s="582">
        <f t="shared" si="461"/>
        <v>26.573735686015137</v>
      </c>
      <c r="AP88" s="585">
        <f t="shared" si="95"/>
        <v>-15.232595325750228</v>
      </c>
      <c r="AQ88" s="586">
        <f t="shared" si="471"/>
        <v>0.47443142940843763</v>
      </c>
      <c r="AS88" s="52">
        <f t="shared" si="543"/>
        <v>-258.44401466287013</v>
      </c>
      <c r="AT88" s="72">
        <f t="shared" si="472"/>
        <v>-0.14605620268242775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5.2309999999999999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5.1310000000000002</v>
      </c>
      <c r="II88" s="734" cm="1">
        <f t="array" ref="II88">IFERROR(ROUND(VALUE(IF($IH88&lt;1,$IH88+LARGE((IF($M$9:$M$150="",0,$M$9:$M$150)-MOD(IF($M$9:$M$150="",0,$M$9:$M$150),1)),1),$IH88)),4),"")</f>
        <v>5.1310000000000002</v>
      </c>
      <c r="IJ88" s="533">
        <f t="shared" si="542"/>
        <v>1513</v>
      </c>
      <c r="IK88" s="533">
        <f t="shared" si="517"/>
        <v>1313</v>
      </c>
      <c r="IL88" s="727">
        <f t="shared" si="647"/>
        <v>11.228998378733223</v>
      </c>
      <c r="IM88" s="759">
        <v>4.5440366454816703E-3</v>
      </c>
      <c r="IN88" s="5">
        <f t="shared" si="648"/>
        <v>0.1</v>
      </c>
      <c r="IO88" s="771">
        <v>50</v>
      </c>
      <c r="IP88" s="9">
        <f t="shared" si="649"/>
        <v>-4.7914144509059851</v>
      </c>
      <c r="IQ88" s="5">
        <f t="shared" si="650"/>
        <v>-0.35720107731844924</v>
      </c>
      <c r="IR88" s="5">
        <f t="shared" si="518"/>
        <v>0.28999999999999998</v>
      </c>
      <c r="IS88" s="5">
        <f t="shared" si="651"/>
        <v>0.27739045482722374</v>
      </c>
      <c r="IT88" s="727">
        <f t="shared" si="652"/>
        <v>40.056796141952368</v>
      </c>
      <c r="IU88" s="9">
        <f t="shared" si="653"/>
        <v>-4.8050664170915622</v>
      </c>
      <c r="IV88" s="5">
        <f t="shared" si="654"/>
        <v>-0.3256194072966872</v>
      </c>
      <c r="IW88" s="5">
        <f t="shared" si="519"/>
        <v>0.26600000000000001</v>
      </c>
      <c r="IX88" s="5">
        <f t="shared" si="655"/>
        <v>0.23789959909565528</v>
      </c>
      <c r="IY88" s="762">
        <f t="shared" si="656"/>
        <v>32.983919537828307</v>
      </c>
    </row>
    <row r="89" spans="1:259" ht="15" customHeight="1" x14ac:dyDescent="0.25">
      <c r="A89" s="79"/>
      <c r="B89" s="707">
        <v>-5.2421563153066737</v>
      </c>
      <c r="C89" s="708">
        <v>-1.1056497908340388</v>
      </c>
      <c r="D89" s="709">
        <v>-0.80142233683399544</v>
      </c>
      <c r="E89" s="710">
        <v>-0.15535567082061461</v>
      </c>
      <c r="F89" s="708">
        <v>-0.9373357613689961</v>
      </c>
      <c r="G89" s="711">
        <v>0.31187543347093127</v>
      </c>
      <c r="H89" s="710">
        <v>0.26600000000000001</v>
      </c>
      <c r="I89" s="708">
        <v>0.52</v>
      </c>
      <c r="J89" s="570">
        <v>5.2370000000000001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5.2370000000000001</v>
      </c>
      <c r="N89" s="632">
        <f t="shared" si="465"/>
        <v>-5.2421563153066737</v>
      </c>
      <c r="O89" s="629">
        <f t="shared" si="466"/>
        <v>-1.1056497908340388</v>
      </c>
      <c r="P89" s="633">
        <f t="shared" si="467"/>
        <v>-0.80142233683399544</v>
      </c>
      <c r="Q89" s="585">
        <f t="shared" si="520"/>
        <v>191.90998528601861</v>
      </c>
      <c r="R89" s="629">
        <f t="shared" si="79"/>
        <v>5.3574867516477349</v>
      </c>
      <c r="S89" s="634">
        <f t="shared" si="80"/>
        <v>-0.80142233683399544</v>
      </c>
      <c r="T89" s="635">
        <f t="shared" si="81"/>
        <v>-1.117266660244326</v>
      </c>
      <c r="U89" s="629">
        <f t="shared" si="82"/>
        <v>5.2396926917508706</v>
      </c>
      <c r="V89" s="636">
        <f t="shared" si="114"/>
        <v>-0.80142233683399544</v>
      </c>
      <c r="W89" s="585">
        <f t="shared" si="645"/>
        <v>102.03698526768207</v>
      </c>
      <c r="X89" s="629">
        <f t="shared" si="83"/>
        <v>5.3574867516477349</v>
      </c>
      <c r="Y89" s="630">
        <f t="shared" si="644"/>
        <v>-0.80142233683399544</v>
      </c>
      <c r="Z89" s="632">
        <f t="shared" si="468"/>
        <v>0.15535567082061461</v>
      </c>
      <c r="AA89" s="629">
        <f t="shared" si="469"/>
        <v>0.9373357613689961</v>
      </c>
      <c r="AB89" s="629">
        <f t="shared" si="470"/>
        <v>-0.31187543347093127</v>
      </c>
      <c r="AC89" s="636">
        <f t="shared" si="84"/>
        <v>1</v>
      </c>
      <c r="AD89" s="637">
        <f t="shared" si="115"/>
        <v>0.15535567082061461</v>
      </c>
      <c r="AE89" s="629">
        <f t="shared" si="85"/>
        <v>0.9373357613689961</v>
      </c>
      <c r="AF89" s="633">
        <f t="shared" si="86"/>
        <v>-0.31187543347093127</v>
      </c>
      <c r="AG89" s="602">
        <f t="shared" si="87"/>
        <v>71.596404751175058</v>
      </c>
      <c r="AH89" s="603">
        <f t="shared" si="88"/>
        <v>81.062575429924991</v>
      </c>
      <c r="AI89" s="585">
        <f t="shared" si="89"/>
        <v>-71.827710774879307</v>
      </c>
      <c r="AJ89" s="586">
        <f t="shared" si="90"/>
        <v>170.58924698578775</v>
      </c>
      <c r="AK89" s="635">
        <f t="shared" si="211"/>
        <v>0.88509628411440766</v>
      </c>
      <c r="AL89" s="629">
        <f t="shared" si="91"/>
        <v>-0.34545373329027229</v>
      </c>
      <c r="AM89" s="634">
        <f t="shared" si="92"/>
        <v>-0.31187543347093127</v>
      </c>
      <c r="AN89" s="581">
        <f t="shared" si="93"/>
        <v>-47.924294446937189</v>
      </c>
      <c r="AO89" s="582">
        <f t="shared" si="461"/>
        <v>27.73662761706677</v>
      </c>
      <c r="AP89" s="585">
        <f t="shared" si="95"/>
        <v>-21.320738300230833</v>
      </c>
      <c r="AQ89" s="586">
        <f t="shared" si="471"/>
        <v>0.42551383231930123</v>
      </c>
      <c r="AS89" s="52">
        <f t="shared" si="543"/>
        <v>-257.9630147323179</v>
      </c>
      <c r="AT89" s="72">
        <f t="shared" si="472"/>
        <v>-0.62219315994928615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5.2370000000000001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5.1369999999999996</v>
      </c>
      <c r="II89" s="734" cm="1">
        <f t="array" ref="II89">IFERROR(ROUND(VALUE(IF($IH89&lt;1,$IH89+LARGE((IF($M$9:$M$150="",0,$M$9:$M$150)-MOD(IF($M$9:$M$150="",0,$M$9:$M$150),1)),1),$IH89)),4),"")</f>
        <v>5.1369999999999996</v>
      </c>
      <c r="IJ89" s="533">
        <f t="shared" si="542"/>
        <v>1513</v>
      </c>
      <c r="IK89" s="533">
        <f t="shared" si="517"/>
        <v>1313</v>
      </c>
      <c r="IL89" s="727">
        <f t="shared" si="647"/>
        <v>10.084998543906352</v>
      </c>
      <c r="IM89" s="759">
        <v>3.4947561370742199E-3</v>
      </c>
      <c r="IN89" s="5">
        <f t="shared" si="648"/>
        <v>0.08</v>
      </c>
      <c r="IO89" s="771">
        <v>40</v>
      </c>
      <c r="IP89" s="9">
        <f t="shared" si="649"/>
        <v>-5.3352160910117306</v>
      </c>
      <c r="IQ89" s="5">
        <f t="shared" si="650"/>
        <v>-0.82990250298594903</v>
      </c>
      <c r="IR89" s="5">
        <f t="shared" si="518"/>
        <v>0.28999999999999998</v>
      </c>
      <c r="IS89" s="5">
        <f t="shared" si="651"/>
        <v>0.27548879382701574</v>
      </c>
      <c r="IT89" s="727">
        <f t="shared" si="652"/>
        <v>55.219802238609795</v>
      </c>
      <c r="IU89" s="9">
        <f t="shared" si="653"/>
        <v>-5.3574867516477349</v>
      </c>
      <c r="IV89" s="5">
        <f t="shared" si="654"/>
        <v>-0.80142233683399544</v>
      </c>
      <c r="IW89" s="5">
        <f t="shared" si="519"/>
        <v>0.26600000000000001</v>
      </c>
      <c r="IX89" s="5">
        <f t="shared" si="655"/>
        <v>0.23543561157443246</v>
      </c>
      <c r="IY89" s="762">
        <f t="shared" si="656"/>
        <v>47.924294446937189</v>
      </c>
    </row>
    <row r="90" spans="1:259" ht="15" customHeight="1" x14ac:dyDescent="0.25">
      <c r="A90" s="79"/>
      <c r="B90" s="707">
        <v>-5.5914435342972642</v>
      </c>
      <c r="C90" s="708">
        <v>-1.1975773536679641</v>
      </c>
      <c r="D90" s="709">
        <v>-1.4357340146687585</v>
      </c>
      <c r="E90" s="710">
        <v>-0.25851437778474373</v>
      </c>
      <c r="F90" s="708">
        <v>-0.93408039729881787</v>
      </c>
      <c r="G90" s="711">
        <v>0.24630088887507026</v>
      </c>
      <c r="H90" s="710">
        <v>0.26600000000000001</v>
      </c>
      <c r="I90" s="708">
        <v>0.52</v>
      </c>
      <c r="J90" s="570">
        <v>5.2430000000000003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5.2430000000000003</v>
      </c>
      <c r="N90" s="632">
        <f t="shared" si="465"/>
        <v>-5.5914435342972642</v>
      </c>
      <c r="O90" s="629">
        <f t="shared" si="466"/>
        <v>-1.1975773536679641</v>
      </c>
      <c r="P90" s="633">
        <f t="shared" si="467"/>
        <v>-1.4357340146687585</v>
      </c>
      <c r="Q90" s="585">
        <f t="shared" si="520"/>
        <v>192.08898526017421</v>
      </c>
      <c r="R90" s="629">
        <f t="shared" si="79"/>
        <v>5.7182543066265463</v>
      </c>
      <c r="S90" s="634">
        <f t="shared" si="80"/>
        <v>-1.4357340146687585</v>
      </c>
      <c r="T90" s="635">
        <f t="shared" si="81"/>
        <v>-1.2099682154294034</v>
      </c>
      <c r="U90" s="629">
        <f t="shared" si="82"/>
        <v>5.5887752891759419</v>
      </c>
      <c r="V90" s="636">
        <f t="shared" si="114"/>
        <v>-1.4357340146687585</v>
      </c>
      <c r="W90" s="585">
        <f t="shared" si="645"/>
        <v>102.21598524183767</v>
      </c>
      <c r="X90" s="629">
        <f t="shared" si="83"/>
        <v>5.7182543066265463</v>
      </c>
      <c r="Y90" s="630">
        <f t="shared" si="644"/>
        <v>-1.4357340146687585</v>
      </c>
      <c r="Z90" s="632">
        <f t="shared" si="468"/>
        <v>0.25851437778474373</v>
      </c>
      <c r="AA90" s="629">
        <f t="shared" si="469"/>
        <v>0.93408039729881787</v>
      </c>
      <c r="AB90" s="629">
        <f t="shared" si="470"/>
        <v>-0.24630088887507026</v>
      </c>
      <c r="AC90" s="636">
        <f t="shared" si="84"/>
        <v>1</v>
      </c>
      <c r="AD90" s="637">
        <f t="shared" si="115"/>
        <v>0.25851437778474373</v>
      </c>
      <c r="AE90" s="629">
        <f t="shared" si="85"/>
        <v>0.93408039729881787</v>
      </c>
      <c r="AF90" s="633">
        <f t="shared" si="86"/>
        <v>-0.24630088887507026</v>
      </c>
      <c r="AG90" s="602">
        <f t="shared" si="87"/>
        <v>75.228316417639974</v>
      </c>
      <c r="AH90" s="603">
        <f t="shared" si="88"/>
        <v>75.01807117450042</v>
      </c>
      <c r="AI90" s="585">
        <f t="shared" si="89"/>
        <v>-75.741274749354176</v>
      </c>
      <c r="AJ90" s="586">
        <f t="shared" si="90"/>
        <v>164.53013792072625</v>
      </c>
      <c r="AK90" s="635">
        <f t="shared" si="211"/>
        <v>0.85922496099273293</v>
      </c>
      <c r="AL90" s="629">
        <f t="shared" si="91"/>
        <v>-0.44840644347108494</v>
      </c>
      <c r="AM90" s="634">
        <f t="shared" si="92"/>
        <v>-0.24630088887507026</v>
      </c>
      <c r="AN90" s="581">
        <f t="shared" si="93"/>
        <v>-61.220868628143243</v>
      </c>
      <c r="AO90" s="582">
        <f t="shared" si="461"/>
        <v>30.770327381558847</v>
      </c>
      <c r="AP90" s="585">
        <f t="shared" si="95"/>
        <v>-27.558847339447944</v>
      </c>
      <c r="AQ90" s="586">
        <f t="shared" si="471"/>
        <v>0.39866884518496987</v>
      </c>
      <c r="AS90" s="52">
        <f t="shared" si="543"/>
        <v>-257.78401475816236</v>
      </c>
      <c r="AT90" s="72">
        <f t="shared" si="472"/>
        <v>-1.2566291433216572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5.2430000000000003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5.1429999999999998</v>
      </c>
      <c r="II90" s="734" cm="1">
        <f t="array" ref="II90">IFERROR(ROUND(VALUE(IF($IH90&lt;1,$IH90+LARGE((IF($M$9:$M$150="",0,$M$9:$M$150)-MOD(IF($M$9:$M$150="",0,$M$9:$M$150),1)),1),$IH90)),4),"")</f>
        <v>5.1429999999999998</v>
      </c>
      <c r="IJ90" s="533">
        <f t="shared" si="542"/>
        <v>1513</v>
      </c>
      <c r="IK90" s="533">
        <f t="shared" si="517"/>
        <v>1313</v>
      </c>
      <c r="IL90" s="727">
        <f t="shared" si="647"/>
        <v>9.4599986341451654</v>
      </c>
      <c r="IM90" s="759">
        <v>2.94164714589364E-3</v>
      </c>
      <c r="IN90" s="5">
        <f t="shared" si="648"/>
        <v>0.08</v>
      </c>
      <c r="IO90" s="771">
        <v>40</v>
      </c>
      <c r="IP90" s="9">
        <f t="shared" si="649"/>
        <v>-5.6901171613933599</v>
      </c>
      <c r="IQ90" s="5">
        <f t="shared" si="650"/>
        <v>-1.4572043949284552</v>
      </c>
      <c r="IR90" s="5">
        <f t="shared" si="518"/>
        <v>0.28999999999999998</v>
      </c>
      <c r="IS90" s="5">
        <f t="shared" si="651"/>
        <v>0.26677191263756073</v>
      </c>
      <c r="IT90" s="727">
        <f t="shared" si="652"/>
        <v>65.669218546192425</v>
      </c>
      <c r="IU90" s="9">
        <f t="shared" si="653"/>
        <v>-5.7182543066265463</v>
      </c>
      <c r="IV90" s="5">
        <f t="shared" si="654"/>
        <v>-1.4357340146687585</v>
      </c>
      <c r="IW90" s="5">
        <f t="shared" si="519"/>
        <v>0.26600000000000001</v>
      </c>
      <c r="IX90" s="5">
        <f t="shared" si="655"/>
        <v>0.22855383962406697</v>
      </c>
      <c r="IY90" s="762">
        <f t="shared" si="656"/>
        <v>61.220868628143243</v>
      </c>
    </row>
    <row r="91" spans="1:259" ht="15" customHeight="1" x14ac:dyDescent="0.25">
      <c r="A91" s="79"/>
      <c r="B91" s="707">
        <v>-5.7450908258517863</v>
      </c>
      <c r="C91" s="708">
        <v>-1.1083045178777746</v>
      </c>
      <c r="D91" s="709">
        <v>-2.1802030638715446</v>
      </c>
      <c r="E91" s="710">
        <v>-0.85476738447873768</v>
      </c>
      <c r="F91" s="708">
        <v>-0.1648962409211068</v>
      </c>
      <c r="G91" s="711">
        <v>0.49211985141982051</v>
      </c>
      <c r="H91" s="710">
        <v>0.25700000000000001</v>
      </c>
      <c r="I91" s="708">
        <v>0.45500000000000002</v>
      </c>
      <c r="J91" s="570">
        <v>5.2489999999999997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Inactive</v>
      </c>
      <c r="L91" s="320"/>
      <c r="M91" s="168">
        <f t="shared" si="464"/>
        <v>5.2489999999999997</v>
      </c>
      <c r="N91" s="632">
        <f t="shared" si="465"/>
        <v>-5.7450908258517863</v>
      </c>
      <c r="O91" s="629">
        <f t="shared" si="466"/>
        <v>-1.1083045178777746</v>
      </c>
      <c r="P91" s="633">
        <f t="shared" si="467"/>
        <v>-2.1802030638715446</v>
      </c>
      <c r="Q91" s="585">
        <f t="shared" si="520"/>
        <v>190.9189854291013</v>
      </c>
      <c r="R91" s="629">
        <f t="shared" si="79"/>
        <v>5.8510176466692219</v>
      </c>
      <c r="S91" s="634">
        <f t="shared" si="80"/>
        <v>-2.1802030638715446</v>
      </c>
      <c r="T91" s="635">
        <f t="shared" si="81"/>
        <v>-1.1210361683103118</v>
      </c>
      <c r="U91" s="629">
        <f t="shared" si="82"/>
        <v>5.7426200824166296</v>
      </c>
      <c r="V91" s="636">
        <f t="shared" si="114"/>
        <v>-2.1802030638715446</v>
      </c>
      <c r="W91" s="585">
        <f t="shared" si="645"/>
        <v>101.04598541076476</v>
      </c>
      <c r="X91" s="629">
        <f t="shared" si="83"/>
        <v>5.8510176466692219</v>
      </c>
      <c r="Y91" s="630">
        <f t="shared" si="644"/>
        <v>-2.1802030638715446</v>
      </c>
      <c r="Z91" s="632">
        <f t="shared" si="468"/>
        <v>0.85476738447873768</v>
      </c>
      <c r="AA91" s="629">
        <f t="shared" si="469"/>
        <v>0.1648962409211068</v>
      </c>
      <c r="AB91" s="629">
        <f t="shared" si="470"/>
        <v>-0.49211985141982051</v>
      </c>
      <c r="AC91" s="636">
        <f t="shared" si="84"/>
        <v>1</v>
      </c>
      <c r="AD91" s="637">
        <f t="shared" si="115"/>
        <v>0.85476738447873768</v>
      </c>
      <c r="AE91" s="629">
        <f t="shared" si="85"/>
        <v>0.1648962409211068</v>
      </c>
      <c r="AF91" s="633">
        <f t="shared" si="86"/>
        <v>-0.49211985141982051</v>
      </c>
      <c r="AG91" s="602">
        <f t="shared" si="87"/>
        <v>18.524627327841799</v>
      </c>
      <c r="AH91" s="603">
        <f t="shared" si="88"/>
        <v>31.265954080435613</v>
      </c>
      <c r="AI91" s="585">
        <f t="shared" si="89"/>
        <v>-60.51999126199528</v>
      </c>
      <c r="AJ91" s="586">
        <f t="shared" si="90"/>
        <v>100.91900035613237</v>
      </c>
      <c r="AK91" s="635">
        <f t="shared" si="211"/>
        <v>2.2679489650179185E-7</v>
      </c>
      <c r="AL91" s="629">
        <f t="shared" si="91"/>
        <v>-0.87052745610835414</v>
      </c>
      <c r="AM91" s="634">
        <f t="shared" si="92"/>
        <v>-0.49211985141982051</v>
      </c>
      <c r="AN91" s="581">
        <f t="shared" si="93"/>
        <v>-60.519991261994456</v>
      </c>
      <c r="AO91" s="582">
        <f t="shared" si="461"/>
        <v>0</v>
      </c>
      <c r="AP91" s="585">
        <f t="shared" si="95"/>
        <v>-89.99998507296894</v>
      </c>
      <c r="AQ91" s="586">
        <f t="shared" si="471"/>
        <v>0.38962307571086702</v>
      </c>
      <c r="AS91" s="52">
        <f t="shared" si="543"/>
        <v>-258.95401458923527</v>
      </c>
      <c r="AT91" s="72">
        <f t="shared" si="472"/>
        <v>-2.0002856926417536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5.2489999999999997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5.149</v>
      </c>
      <c r="II91" s="734" cm="1">
        <f t="array" ref="II91">IFERROR(ROUND(VALUE(IF($IH91&lt;1,$IH91+LARGE((IF($M$9:$M$150="",0,$M$9:$M$150)-MOD(IF($M$9:$M$150="",0,$M$9:$M$150),1)),1),$IH91)),4),"")</f>
        <v>5.149</v>
      </c>
      <c r="IJ91" s="533">
        <f t="shared" si="542"/>
        <v>1513</v>
      </c>
      <c r="IK91" s="533" t="str">
        <f t="shared" si="517"/>
        <v>Inactive</v>
      </c>
      <c r="IL91" s="727">
        <f t="shared" si="647"/>
        <v>10.416998495971484</v>
      </c>
      <c r="IM91" s="759">
        <v>4.97680568041495E-3</v>
      </c>
      <c r="IN91" s="5">
        <f t="shared" si="648"/>
        <v>0.6</v>
      </c>
      <c r="IO91" s="771">
        <v>300</v>
      </c>
      <c r="IP91" s="9">
        <f t="shared" si="649"/>
        <v>-5.8570176647652774</v>
      </c>
      <c r="IQ91" s="5">
        <f t="shared" si="650"/>
        <v>-2.1669065353901109</v>
      </c>
      <c r="IR91" s="5">
        <f t="shared" si="518"/>
        <v>0.28999999999999998</v>
      </c>
      <c r="IS91" s="5">
        <f t="shared" si="651"/>
        <v>0.25389039891722553</v>
      </c>
      <c r="IT91" s="727">
        <f t="shared" si="652"/>
        <v>76.094486110163118</v>
      </c>
      <c r="IU91" s="9">
        <f t="shared" si="653"/>
        <v>-5.8510176466692219</v>
      </c>
      <c r="IV91" s="5">
        <f t="shared" si="654"/>
        <v>-2.1802030638715446</v>
      </c>
      <c r="IW91" s="5">
        <f t="shared" si="519"/>
        <v>0.25700000000000001</v>
      </c>
      <c r="IX91" s="5">
        <f t="shared" si="655"/>
        <v>0.25700000000000001</v>
      </c>
      <c r="IY91" s="762">
        <f t="shared" si="656"/>
        <v>60.519991261994456</v>
      </c>
    </row>
    <row r="92" spans="1:259" ht="15" customHeight="1" x14ac:dyDescent="0.25">
      <c r="A92" s="79"/>
      <c r="B92" s="707">
        <v>-2.1109772476278348</v>
      </c>
      <c r="C92" s="708">
        <v>1.4885242037045048</v>
      </c>
      <c r="D92" s="709">
        <v>-0.26790080798883692</v>
      </c>
      <c r="E92" s="710">
        <v>-0.52219638986714267</v>
      </c>
      <c r="F92" s="708">
        <v>-0.8132976839229048</v>
      </c>
      <c r="G92" s="711">
        <v>0.25662776103797136</v>
      </c>
      <c r="H92" s="710">
        <v>0.28999999999999998</v>
      </c>
      <c r="I92" s="708">
        <v>0.52</v>
      </c>
      <c r="J92" s="570">
        <v>6.1120000000000001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1513</v>
      </c>
      <c r="L92" s="320"/>
      <c r="M92" s="168">
        <f t="shared" si="464"/>
        <v>6.1120000000000001</v>
      </c>
      <c r="N92" s="632">
        <f t="shared" si="465"/>
        <v>-2.1109772476278348</v>
      </c>
      <c r="O92" s="629">
        <f t="shared" si="466"/>
        <v>1.4885242037045048</v>
      </c>
      <c r="P92" s="633">
        <f t="shared" si="467"/>
        <v>-0.26790080798883692</v>
      </c>
      <c r="Q92" s="585">
        <f t="shared" si="520"/>
        <v>144.81099208627185</v>
      </c>
      <c r="R92" s="629">
        <f t="shared" si="79"/>
        <v>2.5830077903514961</v>
      </c>
      <c r="S92" s="634">
        <f t="shared" si="80"/>
        <v>-0.26790080798883692</v>
      </c>
      <c r="T92" s="635">
        <f t="shared" si="81"/>
        <v>1.4838414265921827</v>
      </c>
      <c r="U92" s="629">
        <f t="shared" si="82"/>
        <v>2.1142714739941497</v>
      </c>
      <c r="V92" s="636">
        <f t="shared" si="114"/>
        <v>-0.26790080798883692</v>
      </c>
      <c r="W92" s="585">
        <f t="shared" si="645"/>
        <v>54.937992067935312</v>
      </c>
      <c r="X92" s="629">
        <f t="shared" si="83"/>
        <v>2.5830077903514961</v>
      </c>
      <c r="Y92" s="630">
        <f t="shared" si="644"/>
        <v>-0.26790080798883692</v>
      </c>
      <c r="Z92" s="632">
        <f t="shared" si="468"/>
        <v>0.52219638986714267</v>
      </c>
      <c r="AA92" s="629">
        <f t="shared" si="469"/>
        <v>0.8132976839229048</v>
      </c>
      <c r="AB92" s="629">
        <f t="shared" si="470"/>
        <v>-0.25662776103797136</v>
      </c>
      <c r="AC92" s="636">
        <f t="shared" si="84"/>
        <v>1</v>
      </c>
      <c r="AD92" s="637">
        <f t="shared" si="115"/>
        <v>0.52219638986714267</v>
      </c>
      <c r="AE92" s="629">
        <f t="shared" si="85"/>
        <v>0.8132976839229048</v>
      </c>
      <c r="AF92" s="633">
        <f t="shared" si="86"/>
        <v>-0.25662776103797136</v>
      </c>
      <c r="AG92" s="602">
        <f t="shared" si="87"/>
        <v>72.487442366841577</v>
      </c>
      <c r="AH92" s="603">
        <f t="shared" si="88"/>
        <v>58.520303364753808</v>
      </c>
      <c r="AI92" s="585">
        <f t="shared" si="89"/>
        <v>-75.129940930008246</v>
      </c>
      <c r="AJ92" s="586">
        <f t="shared" si="90"/>
        <v>147.29658001734535</v>
      </c>
      <c r="AK92" s="635">
        <f t="shared" si="211"/>
        <v>0.96560098696977481</v>
      </c>
      <c r="AL92" s="629">
        <f t="shared" si="91"/>
        <v>4.1915703830840645E-2</v>
      </c>
      <c r="AM92" s="634">
        <f t="shared" si="92"/>
        <v>-0.25662776103797136</v>
      </c>
      <c r="AN92" s="581">
        <f t="shared" si="93"/>
        <v>9.2763625894700699</v>
      </c>
      <c r="AO92" s="582">
        <f t="shared" si="461"/>
        <v>15.071743330964374</v>
      </c>
      <c r="AP92" s="585">
        <f t="shared" si="95"/>
        <v>2.4855879310735052</v>
      </c>
      <c r="AQ92" s="586">
        <f t="shared" si="471"/>
        <v>0.88251624782283999</v>
      </c>
      <c r="AS92" s="52">
        <f t="shared" si="543"/>
        <v>-305.06200793206472</v>
      </c>
      <c r="AT92" s="73">
        <f t="shared" si="472"/>
        <v>-5.596399693763679E-2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6.1120000000000001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1513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-2.6641912814314836</v>
      </c>
      <c r="C93" s="708">
        <v>1.9158267197937229</v>
      </c>
      <c r="D93" s="709">
        <v>-8.8700267520006842E-2</v>
      </c>
      <c r="E93" s="710">
        <v>-0.57182713008192643</v>
      </c>
      <c r="F93" s="708">
        <v>-0.77694507138475877</v>
      </c>
      <c r="G93" s="711">
        <v>0.26338202169700148</v>
      </c>
      <c r="H93" s="710">
        <v>0.28999999999999998</v>
      </c>
      <c r="I93" s="708">
        <v>0.52</v>
      </c>
      <c r="J93" s="570">
        <v>6.1180000000000003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1513</v>
      </c>
      <c r="L93" s="320"/>
      <c r="M93" s="168">
        <f t="shared" si="464"/>
        <v>6.1180000000000003</v>
      </c>
      <c r="N93" s="632">
        <f t="shared" si="465"/>
        <v>-2.6641912814314836</v>
      </c>
      <c r="O93" s="629">
        <f t="shared" si="466"/>
        <v>1.9158267197937229</v>
      </c>
      <c r="P93" s="633">
        <f t="shared" si="467"/>
        <v>-8.8700267520006842E-2</v>
      </c>
      <c r="Q93" s="585">
        <f t="shared" si="520"/>
        <v>144.27999216293875</v>
      </c>
      <c r="R93" s="629">
        <f t="shared" si="79"/>
        <v>3.2815098970338497</v>
      </c>
      <c r="S93" s="634">
        <f t="shared" si="80"/>
        <v>-8.8700267520006842E-2</v>
      </c>
      <c r="T93" s="635">
        <f t="shared" si="81"/>
        <v>1.9099166575499349</v>
      </c>
      <c r="U93" s="629">
        <f t="shared" si="82"/>
        <v>2.6684312930155034</v>
      </c>
      <c r="V93" s="636">
        <f t="shared" si="114"/>
        <v>-8.8700267520006842E-2</v>
      </c>
      <c r="W93" s="585">
        <f t="shared" si="645"/>
        <v>54.406992144602214</v>
      </c>
      <c r="X93" s="629">
        <f t="shared" si="83"/>
        <v>3.2815098970338497</v>
      </c>
      <c r="Y93" s="630">
        <f t="shared" si="644"/>
        <v>-8.8700267520006842E-2</v>
      </c>
      <c r="Z93" s="632">
        <f t="shared" si="468"/>
        <v>0.57182713008192643</v>
      </c>
      <c r="AA93" s="629">
        <f t="shared" si="469"/>
        <v>0.77694507138475877</v>
      </c>
      <c r="AB93" s="629">
        <f t="shared" si="470"/>
        <v>-0.26338202169700148</v>
      </c>
      <c r="AC93" s="636">
        <f t="shared" si="84"/>
        <v>1</v>
      </c>
      <c r="AD93" s="637">
        <f t="shared" si="115"/>
        <v>0.57182713008192643</v>
      </c>
      <c r="AE93" s="629">
        <f t="shared" si="85"/>
        <v>0.77694507138475877</v>
      </c>
      <c r="AF93" s="633">
        <f t="shared" si="86"/>
        <v>-0.26338202169700148</v>
      </c>
      <c r="AG93" s="602">
        <f t="shared" si="87"/>
        <v>71.273497067434349</v>
      </c>
      <c r="AH93" s="603">
        <f t="shared" si="88"/>
        <v>55.122264382338024</v>
      </c>
      <c r="AI93" s="585">
        <f t="shared" si="89"/>
        <v>-74.729165593777168</v>
      </c>
      <c r="AJ93" s="586">
        <f t="shared" si="90"/>
        <v>143.64714420750278</v>
      </c>
      <c r="AK93" s="635">
        <f t="shared" si="211"/>
        <v>0.96463276953989907</v>
      </c>
      <c r="AL93" s="629">
        <f t="shared" si="91"/>
        <v>-1.0655072809896804E-2</v>
      </c>
      <c r="AM93" s="634">
        <f t="shared" si="92"/>
        <v>-0.26338202169700148</v>
      </c>
      <c r="AN93" s="581">
        <f t="shared" si="93"/>
        <v>-2.316627321802788</v>
      </c>
      <c r="AO93" s="582">
        <f t="shared" si="461"/>
        <v>15.283630178785181</v>
      </c>
      <c r="AP93" s="585">
        <f t="shared" si="95"/>
        <v>-0.63284795543599059</v>
      </c>
      <c r="AQ93" s="586">
        <f t="shared" si="471"/>
        <v>0.69468476172617111</v>
      </c>
      <c r="AS93" s="52">
        <f t="shared" si="543"/>
        <v>-305.59300785539779</v>
      </c>
      <c r="AT93" s="73">
        <f t="shared" si="472"/>
        <v>0.12360529347795238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6.1180000000000003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1513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-3.2194941257155025</v>
      </c>
      <c r="C94" s="708">
        <v>2.3771744116611533</v>
      </c>
      <c r="D94" s="709">
        <v>-7.2300218057457677E-2</v>
      </c>
      <c r="E94" s="710">
        <v>-0.64872883751644339</v>
      </c>
      <c r="F94" s="708">
        <v>-0.71829071546200085</v>
      </c>
      <c r="G94" s="711">
        <v>0.25141468424825758</v>
      </c>
      <c r="H94" s="710">
        <v>0.28999999999999998</v>
      </c>
      <c r="I94" s="708">
        <v>0.52</v>
      </c>
      <c r="J94" s="570">
        <v>6.1239999999999997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1513</v>
      </c>
      <c r="L94" s="320"/>
      <c r="M94" s="168">
        <f t="shared" si="464"/>
        <v>6.1239999999999997</v>
      </c>
      <c r="N94" s="632">
        <f t="shared" si="465"/>
        <v>-3.2194941257155025</v>
      </c>
      <c r="O94" s="629">
        <f t="shared" si="466"/>
        <v>2.3771744116611533</v>
      </c>
      <c r="P94" s="633">
        <f t="shared" si="467"/>
        <v>-7.2300218057457677E-2</v>
      </c>
      <c r="Q94" s="585">
        <f t="shared" si="520"/>
        <v>143.55899226703826</v>
      </c>
      <c r="R94" s="629">
        <f t="shared" si="79"/>
        <v>4.0020120700684023</v>
      </c>
      <c r="S94" s="634">
        <f t="shared" si="80"/>
        <v>-7.2300218057457677E-2</v>
      </c>
      <c r="T94" s="635">
        <f t="shared" si="81"/>
        <v>2.370032350664693</v>
      </c>
      <c r="U94" s="629">
        <f t="shared" si="82"/>
        <v>3.2247553807654881</v>
      </c>
      <c r="V94" s="636">
        <f t="shared" si="114"/>
        <v>-7.2300218057457677E-2</v>
      </c>
      <c r="W94" s="585">
        <f t="shared" si="645"/>
        <v>53.685992248701723</v>
      </c>
      <c r="X94" s="629">
        <f t="shared" si="83"/>
        <v>4.0020120700684023</v>
      </c>
      <c r="Y94" s="630">
        <f t="shared" si="644"/>
        <v>-7.2300218057457677E-2</v>
      </c>
      <c r="Z94" s="632">
        <f t="shared" si="468"/>
        <v>0.64872883751644339</v>
      </c>
      <c r="AA94" s="629">
        <f t="shared" si="469"/>
        <v>0.71829071546200085</v>
      </c>
      <c r="AB94" s="629">
        <f t="shared" si="470"/>
        <v>-0.25141468424825758</v>
      </c>
      <c r="AC94" s="636">
        <f t="shared" si="84"/>
        <v>1</v>
      </c>
      <c r="AD94" s="637">
        <f t="shared" si="115"/>
        <v>0.64872883751644339</v>
      </c>
      <c r="AE94" s="629">
        <f t="shared" si="85"/>
        <v>0.71829071546200085</v>
      </c>
      <c r="AF94" s="633">
        <f t="shared" si="86"/>
        <v>-0.25141468424825758</v>
      </c>
      <c r="AG94" s="602">
        <f t="shared" si="87"/>
        <v>70.709034684633366</v>
      </c>
      <c r="AH94" s="603">
        <f t="shared" si="88"/>
        <v>49.554169906086159</v>
      </c>
      <c r="AI94" s="585">
        <f t="shared" si="89"/>
        <v>-75.438758292714169</v>
      </c>
      <c r="AJ94" s="586">
        <f t="shared" si="90"/>
        <v>137.91302877771918</v>
      </c>
      <c r="AK94" s="635">
        <f t="shared" si="211"/>
        <v>0.96318408444250103</v>
      </c>
      <c r="AL94" s="629">
        <f t="shared" si="91"/>
        <v>-9.522119522989636E-2</v>
      </c>
      <c r="AM94" s="634">
        <f t="shared" si="92"/>
        <v>-0.25141468424825758</v>
      </c>
      <c r="AN94" s="581">
        <f t="shared" si="93"/>
        <v>-20.743760466622522</v>
      </c>
      <c r="AO94" s="582">
        <f t="shared" si="461"/>
        <v>15.59541481567693</v>
      </c>
      <c r="AP94" s="585">
        <f t="shared" si="95"/>
        <v>-5.6459634893190751</v>
      </c>
      <c r="AQ94" s="586">
        <f t="shared" si="471"/>
        <v>0.56962634839218795</v>
      </c>
      <c r="AS94" s="52">
        <f t="shared" si="543"/>
        <v>-306.31400775129828</v>
      </c>
      <c r="AT94" s="73">
        <f t="shared" si="472"/>
        <v>0.14050603731265465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6.1239999999999997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1513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-3.7319783655068157</v>
      </c>
      <c r="C95" s="708">
        <v>2.8345749093741031</v>
      </c>
      <c r="D95" s="709">
        <v>-0.29760089756430708</v>
      </c>
      <c r="E95" s="710">
        <v>-0.71752128786351843</v>
      </c>
      <c r="F95" s="708">
        <v>-0.66235624132621596</v>
      </c>
      <c r="G95" s="711">
        <v>0.21551661429895735</v>
      </c>
      <c r="H95" s="710">
        <v>0.28999999999999998</v>
      </c>
      <c r="I95" s="708">
        <v>0.52</v>
      </c>
      <c r="J95" s="570">
        <v>6.13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1513</v>
      </c>
      <c r="L95" s="320"/>
      <c r="M95" s="168">
        <f t="shared" si="464"/>
        <v>6.13</v>
      </c>
      <c r="N95" s="632">
        <f t="shared" si="465"/>
        <v>-3.7319783655068157</v>
      </c>
      <c r="O95" s="629">
        <f t="shared" si="466"/>
        <v>2.8345749093741031</v>
      </c>
      <c r="P95" s="633">
        <f t="shared" si="467"/>
        <v>-0.29760089756430708</v>
      </c>
      <c r="Q95" s="585">
        <f t="shared" si="520"/>
        <v>142.78199237922317</v>
      </c>
      <c r="R95" s="629">
        <f t="shared" si="79"/>
        <v>4.6864141342250285</v>
      </c>
      <c r="S95" s="634">
        <f t="shared" si="80"/>
        <v>-0.29760089756430708</v>
      </c>
      <c r="T95" s="635">
        <f t="shared" si="81"/>
        <v>2.8262957695851152</v>
      </c>
      <c r="U95" s="629">
        <f t="shared" si="82"/>
        <v>3.7382522199939112</v>
      </c>
      <c r="V95" s="636">
        <f t="shared" si="114"/>
        <v>-0.29760089756430708</v>
      </c>
      <c r="W95" s="585">
        <f t="shared" si="645"/>
        <v>52.908992360886629</v>
      </c>
      <c r="X95" s="629">
        <f t="shared" si="83"/>
        <v>4.6864141342250285</v>
      </c>
      <c r="Y95" s="630">
        <f t="shared" si="644"/>
        <v>-0.29760089756430708</v>
      </c>
      <c r="Z95" s="632">
        <f t="shared" si="468"/>
        <v>0.71752128786351843</v>
      </c>
      <c r="AA95" s="629">
        <f t="shared" si="469"/>
        <v>0.66235624132621596</v>
      </c>
      <c r="AB95" s="629">
        <f t="shared" si="470"/>
        <v>-0.21551661429895735</v>
      </c>
      <c r="AC95" s="636">
        <f t="shared" si="84"/>
        <v>1</v>
      </c>
      <c r="AD95" s="637">
        <f t="shared" si="115"/>
        <v>0.71752128786351843</v>
      </c>
      <c r="AE95" s="629">
        <f t="shared" si="85"/>
        <v>0.66235624132621596</v>
      </c>
      <c r="AF95" s="633">
        <f t="shared" si="86"/>
        <v>-0.21551661429895735</v>
      </c>
      <c r="AG95" s="602">
        <f t="shared" si="87"/>
        <v>71.976215438218219</v>
      </c>
      <c r="AH95" s="603">
        <f t="shared" si="88"/>
        <v>44.149789259588211</v>
      </c>
      <c r="AI95" s="585">
        <f t="shared" si="89"/>
        <v>-77.554162313917061</v>
      </c>
      <c r="AJ95" s="586">
        <f t="shared" si="90"/>
        <v>132.71063590428417</v>
      </c>
      <c r="AK95" s="635">
        <f t="shared" si="211"/>
        <v>0.96145301575074527</v>
      </c>
      <c r="AL95" s="629">
        <f t="shared" si="91"/>
        <v>-0.17076500655846233</v>
      </c>
      <c r="AM95" s="634">
        <f t="shared" si="92"/>
        <v>-0.21551661429895735</v>
      </c>
      <c r="AN95" s="581">
        <f t="shared" si="93"/>
        <v>-38.391613418139713</v>
      </c>
      <c r="AO95" s="582">
        <f t="shared" si="461"/>
        <v>15.960182762545257</v>
      </c>
      <c r="AP95" s="585">
        <f t="shared" si="95"/>
        <v>-10.071356474938995</v>
      </c>
      <c r="AQ95" s="586">
        <f t="shared" si="471"/>
        <v>0.48644268127996215</v>
      </c>
      <c r="AS95" s="52">
        <f t="shared" si="543"/>
        <v>-307.0910076391134</v>
      </c>
      <c r="AT95" s="73">
        <f t="shared" si="472"/>
        <v>-8.4255058938767585E-2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6.13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1513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-4.1472802478776272</v>
      </c>
      <c r="C96" s="708">
        <v>3.229384290011684</v>
      </c>
      <c r="D96" s="709">
        <v>-0.73870222792591955</v>
      </c>
      <c r="E96" s="710">
        <v>-0.77908325504944997</v>
      </c>
      <c r="F96" s="708">
        <v>-0.59765344517717189</v>
      </c>
      <c r="G96" s="711">
        <v>0.1893136053468186</v>
      </c>
      <c r="H96" s="710">
        <v>0.28999999999999998</v>
      </c>
      <c r="I96" s="708">
        <v>0.52</v>
      </c>
      <c r="J96" s="570">
        <v>6.1360000000000001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1513</v>
      </c>
      <c r="L96" s="320"/>
      <c r="M96" s="168">
        <f t="shared" si="464"/>
        <v>6.1360000000000001</v>
      </c>
      <c r="N96" s="632">
        <f t="shared" si="465"/>
        <v>-4.1472802478776272</v>
      </c>
      <c r="O96" s="629">
        <f t="shared" si="466"/>
        <v>3.229384290011684</v>
      </c>
      <c r="P96" s="633">
        <f t="shared" si="467"/>
        <v>-0.73870222792591955</v>
      </c>
      <c r="Q96" s="585">
        <f t="shared" si="520"/>
        <v>142.09299247870246</v>
      </c>
      <c r="R96" s="629">
        <f t="shared" si="79"/>
        <v>5.2563158530486147</v>
      </c>
      <c r="S96" s="634">
        <f t="shared" si="80"/>
        <v>-0.73870222792591955</v>
      </c>
      <c r="T96" s="635">
        <f t="shared" si="81"/>
        <v>3.2201836363013072</v>
      </c>
      <c r="U96" s="629">
        <f t="shared" si="82"/>
        <v>4.1544282031956552</v>
      </c>
      <c r="V96" s="636">
        <f t="shared" si="114"/>
        <v>-0.73870222792591955</v>
      </c>
      <c r="W96" s="585">
        <f t="shared" si="645"/>
        <v>52.219992460365916</v>
      </c>
      <c r="X96" s="629">
        <f t="shared" si="83"/>
        <v>5.2563158530486147</v>
      </c>
      <c r="Y96" s="630">
        <f t="shared" si="644"/>
        <v>-0.73870222792591955</v>
      </c>
      <c r="Z96" s="632">
        <f t="shared" si="468"/>
        <v>0.77908325504944997</v>
      </c>
      <c r="AA96" s="629">
        <f t="shared" si="469"/>
        <v>0.59765344517717189</v>
      </c>
      <c r="AB96" s="629">
        <f t="shared" si="470"/>
        <v>-0.1893136053468186</v>
      </c>
      <c r="AC96" s="636">
        <f t="shared" si="84"/>
        <v>1</v>
      </c>
      <c r="AD96" s="637">
        <f t="shared" si="115"/>
        <v>0.77908325504944997</v>
      </c>
      <c r="AE96" s="629">
        <f t="shared" si="85"/>
        <v>0.59765344517717189</v>
      </c>
      <c r="AF96" s="633">
        <f t="shared" si="86"/>
        <v>-0.1893136053468186</v>
      </c>
      <c r="AG96" s="602">
        <f t="shared" si="87"/>
        <v>72.423802701597154</v>
      </c>
      <c r="AH96" s="603">
        <f t="shared" si="88"/>
        <v>38.823284432859715</v>
      </c>
      <c r="AI96" s="585">
        <f t="shared" si="89"/>
        <v>-79.087270289835743</v>
      </c>
      <c r="AJ96" s="586">
        <f t="shared" si="90"/>
        <v>127.49267820378161</v>
      </c>
      <c r="AK96" s="635">
        <f t="shared" si="211"/>
        <v>0.9502084144791908</v>
      </c>
      <c r="AL96" s="629">
        <f t="shared" si="91"/>
        <v>-0.24751631841866795</v>
      </c>
      <c r="AM96" s="634">
        <f t="shared" si="92"/>
        <v>-0.1893136053468186</v>
      </c>
      <c r="AN96" s="581">
        <f t="shared" si="93"/>
        <v>-52.589323899377654</v>
      </c>
      <c r="AO96" s="582">
        <f t="shared" si="461"/>
        <v>18.156590756532569</v>
      </c>
      <c r="AP96" s="585">
        <f t="shared" si="95"/>
        <v>-14.600314274920851</v>
      </c>
      <c r="AQ96" s="586">
        <f t="shared" si="471"/>
        <v>0.43370359661186331</v>
      </c>
      <c r="AS96" s="52">
        <f t="shared" si="543"/>
        <v>-307.78000753963408</v>
      </c>
      <c r="AT96" s="73">
        <f t="shared" si="472"/>
        <v>-0.52487791714724064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6.1360000000000001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1513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-4.4249738016866429</v>
      </c>
      <c r="C97" s="708">
        <v>3.5065632665639401</v>
      </c>
      <c r="D97" s="709">
        <v>-1.3449040562306338</v>
      </c>
      <c r="E97" s="710">
        <v>-0.84068336825442813</v>
      </c>
      <c r="F97" s="708">
        <v>-0.51580930234572753</v>
      </c>
      <c r="G97" s="711">
        <v>0.16490069118716144</v>
      </c>
      <c r="H97" s="710">
        <v>0.28999999999999998</v>
      </c>
      <c r="I97" s="708">
        <v>0.52</v>
      </c>
      <c r="J97" s="570">
        <v>6.1420000000000003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1513</v>
      </c>
      <c r="L97" s="320"/>
      <c r="M97" s="168">
        <f t="shared" si="464"/>
        <v>6.1420000000000003</v>
      </c>
      <c r="N97" s="632">
        <f t="shared" si="465"/>
        <v>-4.4249738016866429</v>
      </c>
      <c r="O97" s="629">
        <f t="shared" si="466"/>
        <v>3.5065632665639401</v>
      </c>
      <c r="P97" s="633">
        <f t="shared" si="467"/>
        <v>-1.3449040562306338</v>
      </c>
      <c r="Q97" s="585">
        <f t="shared" si="520"/>
        <v>141.60499254916093</v>
      </c>
      <c r="R97" s="629">
        <f t="shared" si="79"/>
        <v>5.6459170280857576</v>
      </c>
      <c r="S97" s="634">
        <f t="shared" si="80"/>
        <v>-1.3449040562306338</v>
      </c>
      <c r="T97" s="635">
        <f t="shared" si="81"/>
        <v>3.4967464058457778</v>
      </c>
      <c r="U97" s="629">
        <f t="shared" si="82"/>
        <v>4.4327354603262012</v>
      </c>
      <c r="V97" s="636">
        <f t="shared" si="114"/>
        <v>-1.3449040562306338</v>
      </c>
      <c r="W97" s="585">
        <f t="shared" si="645"/>
        <v>51.731992530824385</v>
      </c>
      <c r="X97" s="629">
        <f t="shared" si="83"/>
        <v>5.6459170280857576</v>
      </c>
      <c r="Y97" s="630">
        <f t="shared" si="644"/>
        <v>-1.3449040562306338</v>
      </c>
      <c r="Z97" s="632">
        <f t="shared" si="468"/>
        <v>0.84068336825442813</v>
      </c>
      <c r="AA97" s="629">
        <f t="shared" si="469"/>
        <v>0.51580930234572753</v>
      </c>
      <c r="AB97" s="629">
        <f t="shared" si="470"/>
        <v>-0.16490069118716144</v>
      </c>
      <c r="AC97" s="636">
        <f t="shared" si="84"/>
        <v>1</v>
      </c>
      <c r="AD97" s="637">
        <f t="shared" si="115"/>
        <v>0.84068336825442813</v>
      </c>
      <c r="AE97" s="629">
        <f t="shared" si="85"/>
        <v>0.51580930234572753</v>
      </c>
      <c r="AF97" s="633">
        <f t="shared" si="86"/>
        <v>-0.16490069118716144</v>
      </c>
      <c r="AG97" s="602">
        <f t="shared" si="87"/>
        <v>72.271278872694438</v>
      </c>
      <c r="AH97" s="603">
        <f t="shared" si="88"/>
        <v>32.787647875767654</v>
      </c>
      <c r="AI97" s="585">
        <f t="shared" si="89"/>
        <v>-80.508534531832609</v>
      </c>
      <c r="AJ97" s="586">
        <f t="shared" si="90"/>
        <v>121.53159426556023</v>
      </c>
      <c r="AK97" s="635">
        <f t="shared" si="211"/>
        <v>0.92639548924644366</v>
      </c>
      <c r="AL97" s="629">
        <f t="shared" si="91"/>
        <v>-0.33852497625705386</v>
      </c>
      <c r="AM97" s="634">
        <f t="shared" si="92"/>
        <v>-0.16490069118716144</v>
      </c>
      <c r="AN97" s="581">
        <f t="shared" si="93"/>
        <v>-64.028578901488032</v>
      </c>
      <c r="AO97" s="582">
        <f t="shared" si="461"/>
        <v>22.120267518138576</v>
      </c>
      <c r="AP97" s="585">
        <f t="shared" si="95"/>
        <v>-20.073398283600703</v>
      </c>
      <c r="AQ97" s="586">
        <f t="shared" si="471"/>
        <v>0.40377654874981289</v>
      </c>
      <c r="AS97" s="52">
        <f t="shared" si="543"/>
        <v>-308.26800746917559</v>
      </c>
      <c r="AT97" s="73">
        <f t="shared" si="472"/>
        <v>-1.1307408566119956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6.1420000000000003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1513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-4.5621382295705111</v>
      </c>
      <c r="C98" s="708">
        <v>3.6475171789398413</v>
      </c>
      <c r="D98" s="709">
        <v>-2.0446061665321982</v>
      </c>
      <c r="E98" s="710">
        <v>-0.90392658983830976</v>
      </c>
      <c r="F98" s="708">
        <v>-0.40849246217442026</v>
      </c>
      <c r="G98" s="711">
        <v>0.12669107517881451</v>
      </c>
      <c r="H98" s="710">
        <v>0.28999999999999998</v>
      </c>
      <c r="I98" s="708">
        <v>0.52</v>
      </c>
      <c r="J98" s="570">
        <v>6.1479999999999997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1513</v>
      </c>
      <c r="L98" s="320"/>
      <c r="M98" s="168">
        <f t="shared" si="464"/>
        <v>6.1479999999999997</v>
      </c>
      <c r="N98" s="632">
        <f t="shared" si="465"/>
        <v>-4.5621382295705111</v>
      </c>
      <c r="O98" s="629">
        <f t="shared" si="466"/>
        <v>3.6475171789398413</v>
      </c>
      <c r="P98" s="633">
        <f t="shared" si="467"/>
        <v>-2.0446061665321982</v>
      </c>
      <c r="Q98" s="585">
        <f t="shared" si="520"/>
        <v>141.35699258496768</v>
      </c>
      <c r="R98" s="629">
        <f t="shared" si="79"/>
        <v>5.8410176165091316</v>
      </c>
      <c r="S98" s="634">
        <f t="shared" si="80"/>
        <v>-2.0446061665321982</v>
      </c>
      <c r="T98" s="635">
        <f t="shared" si="81"/>
        <v>3.6373959379470411</v>
      </c>
      <c r="U98" s="629">
        <f t="shared" si="82"/>
        <v>4.5702119849057752</v>
      </c>
      <c r="V98" s="636">
        <f t="shared" si="114"/>
        <v>-2.0446061665321982</v>
      </c>
      <c r="W98" s="585">
        <f t="shared" si="645"/>
        <v>51.483992566631144</v>
      </c>
      <c r="X98" s="629">
        <f t="shared" si="83"/>
        <v>5.8410176165091316</v>
      </c>
      <c r="Y98" s="630">
        <f t="shared" si="644"/>
        <v>-2.0446061665321982</v>
      </c>
      <c r="Z98" s="632">
        <f t="shared" si="468"/>
        <v>0.90392658983830976</v>
      </c>
      <c r="AA98" s="629">
        <f t="shared" si="469"/>
        <v>0.40849246217442026</v>
      </c>
      <c r="AB98" s="629">
        <f t="shared" si="470"/>
        <v>-0.12669107517881451</v>
      </c>
      <c r="AC98" s="636">
        <f t="shared" si="84"/>
        <v>1</v>
      </c>
      <c r="AD98" s="637">
        <f t="shared" si="115"/>
        <v>0.90392658983830976</v>
      </c>
      <c r="AE98" s="629">
        <f t="shared" si="85"/>
        <v>0.40849246217442026</v>
      </c>
      <c r="AF98" s="633">
        <f t="shared" si="86"/>
        <v>-0.12669107517881451</v>
      </c>
      <c r="AG98" s="602">
        <f t="shared" si="87"/>
        <v>72.769089479870942</v>
      </c>
      <c r="AH98" s="603">
        <f t="shared" si="88"/>
        <v>25.320901436081861</v>
      </c>
      <c r="AI98" s="585">
        <f t="shared" si="89"/>
        <v>-82.721576260535159</v>
      </c>
      <c r="AJ98" s="586">
        <f t="shared" si="90"/>
        <v>114.31863363057124</v>
      </c>
      <c r="AK98" s="635">
        <f t="shared" si="211"/>
        <v>0.88352530020228259</v>
      </c>
      <c r="AL98" s="629">
        <f t="shared" si="91"/>
        <v>-0.45092395741688251</v>
      </c>
      <c r="AM98" s="634">
        <f t="shared" si="92"/>
        <v>-0.12669107517881451</v>
      </c>
      <c r="AN98" s="581">
        <f t="shared" si="93"/>
        <v>-74.30682234816075</v>
      </c>
      <c r="AO98" s="582">
        <f t="shared" si="461"/>
        <v>27.929412993704119</v>
      </c>
      <c r="AP98" s="585">
        <f t="shared" si="95"/>
        <v>-27.038358954396436</v>
      </c>
      <c r="AQ98" s="586">
        <f t="shared" si="471"/>
        <v>0.39029010367431993</v>
      </c>
      <c r="AS98" s="52">
        <f t="shared" si="543"/>
        <v>-308.51600743336883</v>
      </c>
      <c r="AT98" s="73">
        <f t="shared" si="472"/>
        <v>-1.8302707447162034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6.1479999999999997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1513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-4.6157309802579043</v>
      </c>
      <c r="C99" s="708">
        <v>3.7034572498728169</v>
      </c>
      <c r="D99" s="709">
        <v>-2.8013084487462816</v>
      </c>
      <c r="E99" s="710">
        <v>-0.96001078499648396</v>
      </c>
      <c r="F99" s="708">
        <v>-0.27996302021948877</v>
      </c>
      <c r="G99" s="711">
        <v>1.3008419254950841E-7</v>
      </c>
      <c r="H99" s="710">
        <v>0.28999999999999998</v>
      </c>
      <c r="I99" s="708">
        <v>0.52</v>
      </c>
      <c r="J99" s="570">
        <v>6.1539999999999999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1513</v>
      </c>
      <c r="L99" s="320"/>
      <c r="M99" s="168">
        <f t="shared" si="464"/>
        <v>6.1539999999999999</v>
      </c>
      <c r="N99" s="632">
        <f t="shared" si="465"/>
        <v>-4.6157309802579043</v>
      </c>
      <c r="O99" s="629">
        <f t="shared" si="466"/>
        <v>3.7034572498728169</v>
      </c>
      <c r="P99" s="633">
        <f t="shared" si="467"/>
        <v>-2.8013084487462816</v>
      </c>
      <c r="Q99" s="585">
        <f t="shared" si="520"/>
        <v>141.25799259926151</v>
      </c>
      <c r="R99" s="629">
        <f t="shared" si="79"/>
        <v>5.917817848138629</v>
      </c>
      <c r="S99" s="634">
        <f t="shared" si="80"/>
        <v>-2.8013084487462816</v>
      </c>
      <c r="T99" s="635">
        <f t="shared" si="81"/>
        <v>3.6932170795886297</v>
      </c>
      <c r="U99" s="629">
        <f t="shared" si="82"/>
        <v>4.6239285987980985</v>
      </c>
      <c r="V99" s="636">
        <f t="shared" si="114"/>
        <v>-2.8013084487462816</v>
      </c>
      <c r="W99" s="585">
        <f t="shared" si="645"/>
        <v>51.384992580924973</v>
      </c>
      <c r="X99" s="629">
        <f t="shared" si="83"/>
        <v>5.917817848138629</v>
      </c>
      <c r="Y99" s="630">
        <f t="shared" si="644"/>
        <v>-2.8013084487462816</v>
      </c>
      <c r="Z99" s="632">
        <f t="shared" si="468"/>
        <v>0.96001078499648396</v>
      </c>
      <c r="AA99" s="629">
        <f t="shared" si="469"/>
        <v>0.27996302021948877</v>
      </c>
      <c r="AB99" s="629">
        <f t="shared" si="470"/>
        <v>-1.3008419254950841E-7</v>
      </c>
      <c r="AC99" s="636">
        <f t="shared" si="84"/>
        <v>1</v>
      </c>
      <c r="AD99" s="637">
        <f t="shared" si="115"/>
        <v>0.96001078499648396</v>
      </c>
      <c r="AE99" s="629">
        <f t="shared" si="85"/>
        <v>0.27996302021948877</v>
      </c>
      <c r="AF99" s="633">
        <f t="shared" si="86"/>
        <v>-1.3008419254950841E-7</v>
      </c>
      <c r="AG99" s="602">
        <f t="shared" si="87"/>
        <v>89.999973377643911</v>
      </c>
      <c r="AH99" s="603">
        <f t="shared" si="88"/>
        <v>16.257997652637901</v>
      </c>
      <c r="AI99" s="585">
        <f t="shared" si="89"/>
        <v>-89.999992546724783</v>
      </c>
      <c r="AJ99" s="586">
        <f t="shared" si="90"/>
        <v>106.25799765263626</v>
      </c>
      <c r="AK99" s="635">
        <f t="shared" si="211"/>
        <v>0.81915209487729213</v>
      </c>
      <c r="AL99" s="629">
        <f t="shared" si="91"/>
        <v>-0.57357636410344437</v>
      </c>
      <c r="AM99" s="634">
        <f t="shared" si="92"/>
        <v>-1.3008419254950841E-7</v>
      </c>
      <c r="AN99" s="581">
        <f t="shared" si="93"/>
        <v>-89.999987005609583</v>
      </c>
      <c r="AO99" s="582">
        <f t="shared" si="461"/>
        <v>34.999994946625939</v>
      </c>
      <c r="AP99" s="585">
        <f t="shared" si="95"/>
        <v>-34.99999494662525</v>
      </c>
      <c r="AQ99" s="586">
        <f t="shared" si="471"/>
        <v>0.38522515205170221</v>
      </c>
      <c r="AS99" s="52">
        <f t="shared" si="543"/>
        <v>-308.61500741907503</v>
      </c>
      <c r="AT99" s="73">
        <f t="shared" si="472"/>
        <v>-2.5869042769402131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6.1539999999999999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1513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-1.9051382369663148</v>
      </c>
      <c r="C100" s="708">
        <v>2.6687376799764921</v>
      </c>
      <c r="D100" s="709">
        <v>-8.9056636773666029E-2</v>
      </c>
      <c r="E100" s="710">
        <v>9.0890641615707993E-2</v>
      </c>
      <c r="F100" s="708">
        <v>-0.12732095707624536</v>
      </c>
      <c r="G100" s="711">
        <v>0.98768834414296591</v>
      </c>
      <c r="H100" s="710">
        <v>0.26250000000000001</v>
      </c>
      <c r="I100" s="708">
        <v>0.40699999999999997</v>
      </c>
      <c r="J100" s="570">
        <v>6.218</v>
      </c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Inactive</v>
      </c>
      <c r="L100" s="320"/>
      <c r="M100" s="168">
        <f t="shared" si="464"/>
        <v>6.218</v>
      </c>
      <c r="N100" s="632">
        <f t="shared" si="465"/>
        <v>-1.9051382369663148</v>
      </c>
      <c r="O100" s="629">
        <f t="shared" si="466"/>
        <v>2.6687376799764921</v>
      </c>
      <c r="P100" s="633">
        <f t="shared" si="467"/>
        <v>-8.9056636773666029E-2</v>
      </c>
      <c r="Q100" s="585">
        <f t="shared" si="520"/>
        <v>125.5219948712585</v>
      </c>
      <c r="R100" s="629">
        <f t="shared" si="79"/>
        <v>3.2789804065406414</v>
      </c>
      <c r="S100" s="634">
        <f t="shared" si="80"/>
        <v>-8.9056636773666029E-2</v>
      </c>
      <c r="T100" s="635">
        <f t="shared" si="81"/>
        <v>2.6645082593244775</v>
      </c>
      <c r="U100" s="629">
        <f t="shared" si="82"/>
        <v>1.9110489900756269</v>
      </c>
      <c r="V100" s="636">
        <f t="shared" si="114"/>
        <v>-8.9056636773666029E-2</v>
      </c>
      <c r="W100" s="585">
        <f t="shared" si="645"/>
        <v>35.648994852921959</v>
      </c>
      <c r="X100" s="629">
        <f t="shared" si="83"/>
        <v>3.2789804065406414</v>
      </c>
      <c r="Y100" s="630">
        <f t="shared" si="644"/>
        <v>-8.9056636773666029E-2</v>
      </c>
      <c r="Z100" s="632">
        <f t="shared" si="468"/>
        <v>-9.0890641615707993E-2</v>
      </c>
      <c r="AA100" s="629">
        <f t="shared" si="469"/>
        <v>0.12732095707624536</v>
      </c>
      <c r="AB100" s="629">
        <f t="shared" si="470"/>
        <v>-0.98768834414296591</v>
      </c>
      <c r="AC100" s="636">
        <f t="shared" si="84"/>
        <v>1</v>
      </c>
      <c r="AD100" s="637">
        <f t="shared" si="115"/>
        <v>-9.0890641615707993E-2</v>
      </c>
      <c r="AE100" s="629">
        <f t="shared" si="85"/>
        <v>0.12732095707624536</v>
      </c>
      <c r="AF100" s="633">
        <f t="shared" si="86"/>
        <v>-0.98768834414296591</v>
      </c>
      <c r="AG100" s="602">
        <f t="shared" si="87"/>
        <v>7.3453779781300756</v>
      </c>
      <c r="AH100" s="603">
        <f t="shared" si="88"/>
        <v>95.214847109399329</v>
      </c>
      <c r="AI100" s="585">
        <f t="shared" si="89"/>
        <v>-8.9999987005702629</v>
      </c>
      <c r="AJ100" s="586">
        <f t="shared" si="90"/>
        <v>-144.47808819478615</v>
      </c>
      <c r="AK100" s="635">
        <f t="shared" si="211"/>
        <v>2.267948966822031E-7</v>
      </c>
      <c r="AL100" s="629">
        <f t="shared" si="91"/>
        <v>0.1564344426399594</v>
      </c>
      <c r="AM100" s="634">
        <f t="shared" si="92"/>
        <v>-0.98768834414296591</v>
      </c>
      <c r="AN100" s="581">
        <f t="shared" si="93"/>
        <v>8.9999987005609672</v>
      </c>
      <c r="AO100" s="582">
        <f t="shared" si="461"/>
        <v>0</v>
      </c>
      <c r="AP100" s="585">
        <f t="shared" si="95"/>
        <v>89.999916933955362</v>
      </c>
      <c r="AQ100" s="586">
        <f t="shared" si="471"/>
        <v>0.69522060698228827</v>
      </c>
      <c r="AS100" s="52">
        <f t="shared" si="543"/>
        <v>-324.35100514707801</v>
      </c>
      <c r="AT100" s="73">
        <f t="shared" si="472"/>
        <v>0.13627531123240444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Nose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6.218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0.11799999999999999</v>
      </c>
      <c r="II100" s="734" cm="1">
        <f t="array" ref="II100">IFERROR(ROUND(VALUE(IF($IH100&lt;1,$IH100+LARGE((IF($M$9:$M$150="",0,$M$9:$M$150)-MOD(IF($M$9:$M$150="",0,$M$9:$M$150),1)),1),$IH100)),4),"")</f>
        <v>6.1180000000000003</v>
      </c>
      <c r="IJ100" s="533">
        <f t="shared" si="542"/>
        <v>1513</v>
      </c>
      <c r="IK100" s="533" t="str">
        <f t="shared" si="517"/>
        <v>Inactive</v>
      </c>
      <c r="IL100" s="727">
        <f t="shared" si="647"/>
        <v>18.757997291680255</v>
      </c>
      <c r="IM100" s="759">
        <v>1.75501686241019E-2</v>
      </c>
      <c r="IN100" s="5">
        <f t="shared" si="648"/>
        <v>0.32</v>
      </c>
      <c r="IO100" s="771">
        <v>160</v>
      </c>
      <c r="IP100" s="9">
        <f t="shared" si="649"/>
        <v>-3.2815098970338497</v>
      </c>
      <c r="IQ100" s="5">
        <f t="shared" si="650"/>
        <v>-8.8700267520006842E-2</v>
      </c>
      <c r="IR100" s="5">
        <f t="shared" si="518"/>
        <v>0.28999999999999998</v>
      </c>
      <c r="IS100" s="5">
        <f t="shared" si="651"/>
        <v>0.27974350316657071</v>
      </c>
      <c r="IT100" s="727">
        <f t="shared" si="652"/>
        <v>2.316627321802788</v>
      </c>
      <c r="IU100" s="9">
        <f t="shared" si="653"/>
        <v>-3.2789804065406414</v>
      </c>
      <c r="IV100" s="5">
        <f t="shared" si="654"/>
        <v>-8.9056636773666029E-2</v>
      </c>
      <c r="IW100" s="5">
        <f t="shared" si="519"/>
        <v>0.26250000000000001</v>
      </c>
      <c r="IX100" s="5">
        <f t="shared" si="655"/>
        <v>0.26250000000000001</v>
      </c>
      <c r="IY100" s="762">
        <f t="shared" si="656"/>
        <v>-8.9999987005609672</v>
      </c>
    </row>
    <row r="101" spans="1:259" ht="15" customHeight="1" x14ac:dyDescent="0.25">
      <c r="A101" s="79"/>
      <c r="B101" s="707">
        <v>-2.4797746111050438</v>
      </c>
      <c r="C101" s="708">
        <v>3.1427582468363937</v>
      </c>
      <c r="D101" s="709">
        <v>-7.0779560653297602E-2</v>
      </c>
      <c r="E101" s="710">
        <v>-4.8385036138909203E-2</v>
      </c>
      <c r="F101" s="708">
        <v>6.1320719530598471E-2</v>
      </c>
      <c r="G101" s="711">
        <v>0.99694466126966452</v>
      </c>
      <c r="H101" s="710">
        <v>0.26250000000000001</v>
      </c>
      <c r="I101" s="708">
        <v>0.40699999999999997</v>
      </c>
      <c r="J101" s="570">
        <v>6.2240000000000002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Inactive</v>
      </c>
      <c r="L101" s="320"/>
      <c r="M101" s="168">
        <f t="shared" si="464"/>
        <v>6.2240000000000002</v>
      </c>
      <c r="N101" s="632">
        <f t="shared" si="465"/>
        <v>-2.4797746111050438</v>
      </c>
      <c r="O101" s="629">
        <f t="shared" si="466"/>
        <v>3.1427582468363937</v>
      </c>
      <c r="P101" s="633">
        <f t="shared" si="467"/>
        <v>-7.0779560653297602E-2</v>
      </c>
      <c r="Q101" s="585">
        <f t="shared" si="520"/>
        <v>128.27499447377451</v>
      </c>
      <c r="R101" s="629">
        <f t="shared" si="79"/>
        <v>4.0032750992080643</v>
      </c>
      <c r="S101" s="634">
        <f t="shared" si="80"/>
        <v>-7.0779560653297602E-2</v>
      </c>
      <c r="T101" s="635">
        <f t="shared" si="81"/>
        <v>3.1372539422544818</v>
      </c>
      <c r="U101" s="629">
        <f t="shared" si="82"/>
        <v>2.4867346504498729</v>
      </c>
      <c r="V101" s="636">
        <f t="shared" si="114"/>
        <v>-7.0779560653297602E-2</v>
      </c>
      <c r="W101" s="585">
        <f t="shared" si="645"/>
        <v>38.401994455437972</v>
      </c>
      <c r="X101" s="629">
        <f t="shared" si="83"/>
        <v>4.0032750992080643</v>
      </c>
      <c r="Y101" s="630">
        <f t="shared" si="644"/>
        <v>-7.0779560653297602E-2</v>
      </c>
      <c r="Z101" s="632">
        <f t="shared" si="468"/>
        <v>4.8385036138909203E-2</v>
      </c>
      <c r="AA101" s="629">
        <f t="shared" si="469"/>
        <v>-6.1320719530598471E-2</v>
      </c>
      <c r="AB101" s="629">
        <f t="shared" si="470"/>
        <v>-0.99694466126966452</v>
      </c>
      <c r="AC101" s="636">
        <f t="shared" si="84"/>
        <v>1</v>
      </c>
      <c r="AD101" s="637">
        <f t="shared" si="115"/>
        <v>4.8385036138909203E-2</v>
      </c>
      <c r="AE101" s="629">
        <f t="shared" si="85"/>
        <v>-6.1320719530598471E-2</v>
      </c>
      <c r="AF101" s="633">
        <f t="shared" si="86"/>
        <v>-0.99694466126966452</v>
      </c>
      <c r="AG101" s="602">
        <f t="shared" si="87"/>
        <v>-3.5197517019431004</v>
      </c>
      <c r="AH101" s="603">
        <f t="shared" si="88"/>
        <v>87.226658802071796</v>
      </c>
      <c r="AI101" s="585">
        <f t="shared" si="89"/>
        <v>-4.4799993531869307</v>
      </c>
      <c r="AJ101" s="586">
        <f t="shared" si="90"/>
        <v>38.275160831591471</v>
      </c>
      <c r="AK101" s="635">
        <f t="shared" si="211"/>
        <v>2.2679489670995867E-7</v>
      </c>
      <c r="AL101" s="629">
        <f t="shared" si="91"/>
        <v>-7.8111089903178499E-2</v>
      </c>
      <c r="AM101" s="634">
        <f t="shared" si="92"/>
        <v>-0.99694466126966452</v>
      </c>
      <c r="AN101" s="581">
        <f t="shared" si="93"/>
        <v>-4.4799993531681324</v>
      </c>
      <c r="AO101" s="582">
        <f t="shared" si="461"/>
        <v>0</v>
      </c>
      <c r="AP101" s="585">
        <f t="shared" si="95"/>
        <v>-89.999833642183049</v>
      </c>
      <c r="AQ101" s="586">
        <f t="shared" si="471"/>
        <v>0.56944664370670472</v>
      </c>
      <c r="AS101" s="52">
        <f t="shared" si="543"/>
        <v>-321.59800554456206</v>
      </c>
      <c r="AT101" s="73">
        <f t="shared" si="472"/>
        <v>0.1526405820732479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Nose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6.2240000000000002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0.124</v>
      </c>
      <c r="II101" s="734" cm="1">
        <f t="array" ref="II101">IFERROR(ROUND(VALUE(IF($IH101&lt;1,$IH101+LARGE((IF($M$9:$M$150="",0,$M$9:$M$150)-MOD(IF($M$9:$M$150="",0,$M$9:$M$150),1)),1),$IH101)),4),"")</f>
        <v>6.1239999999999997</v>
      </c>
      <c r="IJ101" s="533">
        <f t="shared" si="542"/>
        <v>1513</v>
      </c>
      <c r="IK101" s="533" t="str">
        <f t="shared" si="517"/>
        <v>Inactive</v>
      </c>
      <c r="IL101" s="727">
        <f t="shared" si="647"/>
        <v>15.283997793263751</v>
      </c>
      <c r="IM101" s="759">
        <v>1.4967257793294801E-2</v>
      </c>
      <c r="IN101" s="5">
        <f t="shared" si="648"/>
        <v>0.34</v>
      </c>
      <c r="IO101" s="771">
        <v>170</v>
      </c>
      <c r="IP101" s="9">
        <f t="shared" si="649"/>
        <v>-4.0020120700684023</v>
      </c>
      <c r="IQ101" s="5">
        <f t="shared" si="650"/>
        <v>-7.2300218057457677E-2</v>
      </c>
      <c r="IR101" s="5">
        <f t="shared" si="518"/>
        <v>0.28999999999999998</v>
      </c>
      <c r="IS101" s="5">
        <f t="shared" si="651"/>
        <v>0.27932338448832528</v>
      </c>
      <c r="IT101" s="727">
        <f t="shared" si="652"/>
        <v>20.743760466622522</v>
      </c>
      <c r="IU101" s="9">
        <f t="shared" si="653"/>
        <v>-4.0032750992080643</v>
      </c>
      <c r="IV101" s="5">
        <f t="shared" si="654"/>
        <v>-7.0779560653297602E-2</v>
      </c>
      <c r="IW101" s="5">
        <f t="shared" si="519"/>
        <v>0.26250000000000001</v>
      </c>
      <c r="IX101" s="5">
        <f t="shared" si="655"/>
        <v>0.26250000000000001</v>
      </c>
      <c r="IY101" s="762">
        <f t="shared" si="656"/>
        <v>4.4799993531681324</v>
      </c>
    </row>
    <row r="102" spans="1:259" ht="15" customHeight="1" x14ac:dyDescent="0.25">
      <c r="A102" s="79"/>
      <c r="B102" s="707">
        <v>-3.1010166931649228</v>
      </c>
      <c r="C102" s="708">
        <v>3.529689724140475</v>
      </c>
      <c r="D102" s="709">
        <v>-0.26624994931639123</v>
      </c>
      <c r="E102" s="710">
        <v>-0.82354879636218059</v>
      </c>
      <c r="F102" s="708">
        <v>-0.42941137118448014</v>
      </c>
      <c r="G102" s="711">
        <v>0.37063898109598314</v>
      </c>
      <c r="H102" s="710">
        <v>0.26600000000000001</v>
      </c>
      <c r="I102" s="708">
        <v>0.52</v>
      </c>
      <c r="J102" s="570">
        <v>6.23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6.23</v>
      </c>
      <c r="N102" s="632">
        <f t="shared" si="465"/>
        <v>-3.1010166931649228</v>
      </c>
      <c r="O102" s="629">
        <f t="shared" si="466"/>
        <v>3.529689724140475</v>
      </c>
      <c r="P102" s="633">
        <f t="shared" si="467"/>
        <v>-0.26624994931639123</v>
      </c>
      <c r="Q102" s="585">
        <f t="shared" si="520"/>
        <v>131.30099403687424</v>
      </c>
      <c r="R102" s="629">
        <f t="shared" si="79"/>
        <v>4.6984054827132979</v>
      </c>
      <c r="S102" s="634">
        <f t="shared" si="80"/>
        <v>-0.26624994931639123</v>
      </c>
      <c r="T102" s="635">
        <f t="shared" si="81"/>
        <v>3.5228074449421758</v>
      </c>
      <c r="U102" s="629">
        <f t="shared" si="82"/>
        <v>3.1088328655381834</v>
      </c>
      <c r="V102" s="636">
        <f t="shared" si="114"/>
        <v>-0.26624994931639123</v>
      </c>
      <c r="W102" s="585">
        <f t="shared" si="645"/>
        <v>41.427994018537703</v>
      </c>
      <c r="X102" s="629">
        <f t="shared" si="83"/>
        <v>4.6984054827132979</v>
      </c>
      <c r="Y102" s="630">
        <f t="shared" si="644"/>
        <v>-0.26624994931639123</v>
      </c>
      <c r="Z102" s="632">
        <f t="shared" si="468"/>
        <v>0.82354879636218059</v>
      </c>
      <c r="AA102" s="629">
        <f t="shared" si="469"/>
        <v>0.42941137118448014</v>
      </c>
      <c r="AB102" s="629">
        <f t="shared" si="470"/>
        <v>-0.37063898109598314</v>
      </c>
      <c r="AC102" s="636">
        <f t="shared" si="84"/>
        <v>1</v>
      </c>
      <c r="AD102" s="637">
        <f t="shared" si="115"/>
        <v>0.82354879636218059</v>
      </c>
      <c r="AE102" s="629">
        <f t="shared" si="85"/>
        <v>0.42941137118448014</v>
      </c>
      <c r="AF102" s="633">
        <f t="shared" si="86"/>
        <v>-0.37063898109598314</v>
      </c>
      <c r="AG102" s="602">
        <f t="shared" si="87"/>
        <v>49.201450602250631</v>
      </c>
      <c r="AH102" s="603">
        <f t="shared" si="88"/>
        <v>34.558363847840148</v>
      </c>
      <c r="AI102" s="585">
        <f t="shared" si="89"/>
        <v>-68.244969705953366</v>
      </c>
      <c r="AJ102" s="586">
        <f t="shared" si="90"/>
        <v>117.5382489344195</v>
      </c>
      <c r="AK102" s="635">
        <f t="shared" si="211"/>
        <v>0.90211106080994563</v>
      </c>
      <c r="AL102" s="629">
        <f t="shared" si="91"/>
        <v>-0.22095786851000915</v>
      </c>
      <c r="AM102" s="634">
        <f t="shared" si="92"/>
        <v>-0.37063898109598314</v>
      </c>
      <c r="AN102" s="581">
        <f t="shared" si="93"/>
        <v>-30.801447617931377</v>
      </c>
      <c r="AO102" s="582">
        <f t="shared" si="461"/>
        <v>25.563040675802348</v>
      </c>
      <c r="AP102" s="585">
        <f t="shared" si="95"/>
        <v>-13.762745102454746</v>
      </c>
      <c r="AQ102" s="586">
        <f t="shared" si="471"/>
        <v>0.48520123362156276</v>
      </c>
      <c r="AS102" s="52">
        <f t="shared" si="543"/>
        <v>-318.57200598146233</v>
      </c>
      <c r="AT102" s="73">
        <f t="shared" si="472"/>
        <v>-4.4931195175331645E-2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6.23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0.13</v>
      </c>
      <c r="II102" s="734" cm="1">
        <f t="array" ref="II102">IFERROR(ROUND(VALUE(IF($IH102&lt;1,$IH102+LARGE((IF($M$9:$M$150="",0,$M$9:$M$150)-MOD(IF($M$9:$M$150="",0,$M$9:$M$150),1)),1),$IH102)),4),"")</f>
        <v>6.13</v>
      </c>
      <c r="IJ102" s="533">
        <f t="shared" si="542"/>
        <v>1513</v>
      </c>
      <c r="IK102" s="533">
        <f t="shared" si="517"/>
        <v>1313</v>
      </c>
      <c r="IL102" s="727">
        <f t="shared" si="647"/>
        <v>11.480998342348926</v>
      </c>
      <c r="IM102" s="759">
        <v>4.7702170727204297E-3</v>
      </c>
      <c r="IN102" s="5">
        <f t="shared" si="648"/>
        <v>0.1</v>
      </c>
      <c r="IO102" s="771">
        <v>50</v>
      </c>
      <c r="IP102" s="9">
        <f t="shared" si="649"/>
        <v>-4.6864141342250285</v>
      </c>
      <c r="IQ102" s="5">
        <f t="shared" si="650"/>
        <v>-0.29760089756430708</v>
      </c>
      <c r="IR102" s="5">
        <f t="shared" si="518"/>
        <v>0.28999999999999998</v>
      </c>
      <c r="IS102" s="5">
        <f t="shared" si="651"/>
        <v>0.27882137456771611</v>
      </c>
      <c r="IT102" s="727">
        <f t="shared" si="652"/>
        <v>38.391613418139713</v>
      </c>
      <c r="IU102" s="9">
        <f t="shared" si="653"/>
        <v>-4.6984054827132979</v>
      </c>
      <c r="IV102" s="5">
        <f t="shared" si="654"/>
        <v>-0.26624994931639123</v>
      </c>
      <c r="IW102" s="5">
        <f t="shared" si="519"/>
        <v>0.26600000000000001</v>
      </c>
      <c r="IX102" s="5">
        <f t="shared" si="655"/>
        <v>0.23996154217544555</v>
      </c>
      <c r="IY102" s="762">
        <f t="shared" si="656"/>
        <v>30.801447617931377</v>
      </c>
    </row>
    <row r="103" spans="1:259" ht="15" customHeight="1" x14ac:dyDescent="0.25">
      <c r="A103" s="79"/>
      <c r="B103" s="707">
        <v>-3.5213769787149922</v>
      </c>
      <c r="C103" s="708">
        <v>3.9305700479695354</v>
      </c>
      <c r="D103" s="709">
        <v>-0.70945227867731264</v>
      </c>
      <c r="E103" s="710">
        <v>-0.88036105735389747</v>
      </c>
      <c r="F103" s="708">
        <v>-0.34412034852248141</v>
      </c>
      <c r="G103" s="711">
        <v>0.32641322648981869</v>
      </c>
      <c r="H103" s="710">
        <v>0.26600000000000001</v>
      </c>
      <c r="I103" s="708">
        <v>0.52</v>
      </c>
      <c r="J103" s="570">
        <v>6.2359999999999998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1313</v>
      </c>
      <c r="L103" s="320"/>
      <c r="M103" s="168">
        <f t="shared" si="464"/>
        <v>6.2359999999999998</v>
      </c>
      <c r="N103" s="632">
        <f t="shared" si="465"/>
        <v>-3.5213769787149922</v>
      </c>
      <c r="O103" s="629">
        <f t="shared" si="466"/>
        <v>3.9305700479695354</v>
      </c>
      <c r="P103" s="633">
        <f t="shared" si="467"/>
        <v>-0.70945227867731264</v>
      </c>
      <c r="Q103" s="585">
        <f t="shared" si="520"/>
        <v>131.85699395659779</v>
      </c>
      <c r="R103" s="629">
        <f t="shared" si="79"/>
        <v>5.2772603430396687</v>
      </c>
      <c r="S103" s="634">
        <f t="shared" si="80"/>
        <v>-0.70945227867731264</v>
      </c>
      <c r="T103" s="635">
        <f t="shared" si="81"/>
        <v>3.9227550276514793</v>
      </c>
      <c r="U103" s="629">
        <f t="shared" si="82"/>
        <v>3.5300806961391413</v>
      </c>
      <c r="V103" s="636">
        <f t="shared" si="114"/>
        <v>-0.70945227867731264</v>
      </c>
      <c r="W103" s="585">
        <f t="shared" si="645"/>
        <v>41.98399393826125</v>
      </c>
      <c r="X103" s="629">
        <f t="shared" si="83"/>
        <v>5.2772603430396687</v>
      </c>
      <c r="Y103" s="630">
        <f t="shared" si="644"/>
        <v>-0.70945227867731264</v>
      </c>
      <c r="Z103" s="632">
        <f t="shared" si="468"/>
        <v>0.88036105735389747</v>
      </c>
      <c r="AA103" s="629">
        <f t="shared" si="469"/>
        <v>0.34412034852248141</v>
      </c>
      <c r="AB103" s="629">
        <f t="shared" si="470"/>
        <v>-0.32641322648981869</v>
      </c>
      <c r="AC103" s="636">
        <f t="shared" si="84"/>
        <v>1</v>
      </c>
      <c r="AD103" s="637">
        <f t="shared" si="115"/>
        <v>0.88036105735389747</v>
      </c>
      <c r="AE103" s="629">
        <f t="shared" si="85"/>
        <v>0.34412034852248141</v>
      </c>
      <c r="AF103" s="633">
        <f t="shared" si="86"/>
        <v>-0.32641322648981869</v>
      </c>
      <c r="AG103" s="602">
        <f t="shared" si="87"/>
        <v>46.512687303649869</v>
      </c>
      <c r="AH103" s="603">
        <f t="shared" si="88"/>
        <v>28.314051734826201</v>
      </c>
      <c r="AI103" s="585">
        <f t="shared" si="89"/>
        <v>-70.948783110887859</v>
      </c>
      <c r="AJ103" s="586">
        <f t="shared" si="90"/>
        <v>111.3498064168282</v>
      </c>
      <c r="AK103" s="635">
        <f t="shared" si="211"/>
        <v>0.88532647110931928</v>
      </c>
      <c r="AL103" s="629">
        <f t="shared" si="91"/>
        <v>-0.3311365958718942</v>
      </c>
      <c r="AM103" s="634">
        <f t="shared" si="92"/>
        <v>-0.32641322648981869</v>
      </c>
      <c r="AN103" s="581">
        <f t="shared" si="93"/>
        <v>-45.411564974741715</v>
      </c>
      <c r="AO103" s="582">
        <f t="shared" si="461"/>
        <v>27.708276248996171</v>
      </c>
      <c r="AP103" s="585">
        <f t="shared" si="95"/>
        <v>-20.507187539769578</v>
      </c>
      <c r="AQ103" s="586">
        <f t="shared" si="471"/>
        <v>0.43198237098940384</v>
      </c>
      <c r="AS103" s="52">
        <f t="shared" si="543"/>
        <v>-318.01600606173872</v>
      </c>
      <c r="AT103" s="73">
        <f t="shared" si="472"/>
        <v>-0.48851963559161671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6.2359999999999998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0.13600000000000001</v>
      </c>
      <c r="II103" s="734" cm="1">
        <f t="array" ref="II103">IFERROR(ROUND(VALUE(IF($IH103&lt;1,$IH103+LARGE((IF($M$9:$M$150="",0,$M$9:$M$150)-MOD(IF($M$9:$M$150="",0,$M$9:$M$150),1)),1),$IH103)),4),"")</f>
        <v>6.1360000000000001</v>
      </c>
      <c r="IJ103" s="533">
        <f t="shared" si="542"/>
        <v>1513</v>
      </c>
      <c r="IK103" s="533">
        <f t="shared" si="517"/>
        <v>1313</v>
      </c>
      <c r="IL103" s="727">
        <f t="shared" si="647"/>
        <v>10.235998522104666</v>
      </c>
      <c r="IM103" s="759">
        <v>3.6559227867981898E-3</v>
      </c>
      <c r="IN103" s="5">
        <f t="shared" si="648"/>
        <v>0.08</v>
      </c>
      <c r="IO103" s="771">
        <v>40</v>
      </c>
      <c r="IP103" s="9">
        <f t="shared" si="649"/>
        <v>-5.2563158530486147</v>
      </c>
      <c r="IQ103" s="5">
        <f t="shared" si="650"/>
        <v>-0.73870222792591955</v>
      </c>
      <c r="IR103" s="5">
        <f t="shared" si="518"/>
        <v>0.28999999999999998</v>
      </c>
      <c r="IS103" s="5">
        <f t="shared" si="651"/>
        <v>0.27556044019896531</v>
      </c>
      <c r="IT103" s="727">
        <f t="shared" si="652"/>
        <v>52.589323899377654</v>
      </c>
      <c r="IU103" s="9">
        <f t="shared" si="653"/>
        <v>-5.2772603430396687</v>
      </c>
      <c r="IV103" s="5">
        <f t="shared" si="654"/>
        <v>-0.70945227867731264</v>
      </c>
      <c r="IW103" s="5">
        <f t="shared" si="519"/>
        <v>0.26600000000000001</v>
      </c>
      <c r="IX103" s="5">
        <f t="shared" si="655"/>
        <v>0.23549684131507895</v>
      </c>
      <c r="IY103" s="762">
        <f t="shared" si="656"/>
        <v>45.411564974741715</v>
      </c>
    </row>
    <row r="104" spans="1:259" ht="15" customHeight="1" x14ac:dyDescent="0.25">
      <c r="A104" s="79"/>
      <c r="B104" s="707">
        <v>-3.8021505280033083</v>
      </c>
      <c r="C104" s="708">
        <v>4.2120604231159771</v>
      </c>
      <c r="D104" s="709">
        <v>-1.3210814490436755</v>
      </c>
      <c r="E104" s="710">
        <v>-0.93113141855251802</v>
      </c>
      <c r="F104" s="708">
        <v>-0.25098850604038803</v>
      </c>
      <c r="G104" s="711">
        <v>0.2645733380747004</v>
      </c>
      <c r="H104" s="710">
        <v>0.26600000000000001</v>
      </c>
      <c r="I104" s="708">
        <v>0.52</v>
      </c>
      <c r="J104" s="570">
        <v>6.242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1313</v>
      </c>
      <c r="L104" s="320"/>
      <c r="M104" s="168">
        <f t="shared" si="464"/>
        <v>6.242</v>
      </c>
      <c r="N104" s="632">
        <f t="shared" si="465"/>
        <v>-3.8021505280033083</v>
      </c>
      <c r="O104" s="629">
        <f t="shared" si="466"/>
        <v>4.2120604231159771</v>
      </c>
      <c r="P104" s="633">
        <f t="shared" si="467"/>
        <v>-1.3210814490436755</v>
      </c>
      <c r="Q104" s="585">
        <f t="shared" si="520"/>
        <v>132.07199392555563</v>
      </c>
      <c r="R104" s="629">
        <f t="shared" si="79"/>
        <v>5.6743106758068667</v>
      </c>
      <c r="S104" s="634">
        <f t="shared" si="80"/>
        <v>-1.3210814490436755</v>
      </c>
      <c r="T104" s="635">
        <f t="shared" si="81"/>
        <v>4.2036223581855117</v>
      </c>
      <c r="U104" s="629">
        <f t="shared" si="82"/>
        <v>3.8114774976823171</v>
      </c>
      <c r="V104" s="636">
        <f t="shared" si="114"/>
        <v>-1.3210814490436755</v>
      </c>
      <c r="W104" s="585">
        <f t="shared" si="645"/>
        <v>42.198993907219091</v>
      </c>
      <c r="X104" s="629">
        <f t="shared" si="83"/>
        <v>5.6743106758068667</v>
      </c>
      <c r="Y104" s="630">
        <f t="shared" si="644"/>
        <v>-1.3210814490436755</v>
      </c>
      <c r="Z104" s="632">
        <f t="shared" si="468"/>
        <v>0.93113141855251802</v>
      </c>
      <c r="AA104" s="629">
        <f t="shared" si="469"/>
        <v>0.25098850604038803</v>
      </c>
      <c r="AB104" s="629">
        <f t="shared" si="470"/>
        <v>-0.2645733380747004</v>
      </c>
      <c r="AC104" s="636">
        <f t="shared" si="84"/>
        <v>1</v>
      </c>
      <c r="AD104" s="637">
        <f t="shared" si="115"/>
        <v>0.93113141855251802</v>
      </c>
      <c r="AE104" s="629">
        <f t="shared" si="85"/>
        <v>0.25098850604038803</v>
      </c>
      <c r="AF104" s="633">
        <f t="shared" si="86"/>
        <v>-0.2645733380747004</v>
      </c>
      <c r="AG104" s="602">
        <f t="shared" si="87"/>
        <v>43.490630197022647</v>
      </c>
      <c r="AH104" s="603">
        <f t="shared" si="88"/>
        <v>21.388125139780069</v>
      </c>
      <c r="AI104" s="585">
        <f t="shared" si="89"/>
        <v>-74.658397974801304</v>
      </c>
      <c r="AJ104" s="586">
        <f t="shared" si="90"/>
        <v>105.08565775386052</v>
      </c>
      <c r="AK104" s="635">
        <f t="shared" si="211"/>
        <v>0.85936039744170922</v>
      </c>
      <c r="AL104" s="629">
        <f t="shared" si="91"/>
        <v>-0.43760787937243323</v>
      </c>
      <c r="AM104" s="634">
        <f t="shared" si="92"/>
        <v>-0.2645733380747004</v>
      </c>
      <c r="AN104" s="581">
        <f t="shared" si="93"/>
        <v>-58.843262662831044</v>
      </c>
      <c r="AO104" s="582">
        <f t="shared" si="461"/>
        <v>30.755155970467229</v>
      </c>
      <c r="AP104" s="585">
        <f t="shared" si="95"/>
        <v>-26.986336171695108</v>
      </c>
      <c r="AQ104" s="586">
        <f t="shared" si="471"/>
        <v>0.40175616019476523</v>
      </c>
      <c r="AS104" s="52">
        <f t="shared" si="543"/>
        <v>-317.80100609278088</v>
      </c>
      <c r="AT104" s="73">
        <f t="shared" si="472"/>
        <v>-1.1002981114919781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6.242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0.14199999999999999</v>
      </c>
      <c r="II104" s="734" cm="1">
        <f t="array" ref="II104">IFERROR(ROUND(VALUE(IF($IH104&lt;1,$IH104+LARGE((IF($M$9:$M$150="",0,$M$9:$M$150)-MOD(IF($M$9:$M$150="",0,$M$9:$M$150),1)),1),$IH104)),4),"")</f>
        <v>6.1420000000000003</v>
      </c>
      <c r="IJ104" s="533">
        <f t="shared" si="542"/>
        <v>1513</v>
      </c>
      <c r="IK104" s="533">
        <f t="shared" si="517"/>
        <v>1313</v>
      </c>
      <c r="IL104" s="727">
        <f t="shared" si="647"/>
        <v>9.5329986236052946</v>
      </c>
      <c r="IM104" s="759">
        <v>2.8700576581459402E-3</v>
      </c>
      <c r="IN104" s="5">
        <f t="shared" si="648"/>
        <v>0.06</v>
      </c>
      <c r="IO104" s="771">
        <v>30</v>
      </c>
      <c r="IP104" s="9">
        <f t="shared" si="649"/>
        <v>-5.6459170280857576</v>
      </c>
      <c r="IQ104" s="5">
        <f t="shared" si="650"/>
        <v>-1.3449040562306338</v>
      </c>
      <c r="IR104" s="5">
        <f t="shared" si="518"/>
        <v>0.28999999999999998</v>
      </c>
      <c r="IS104" s="5">
        <f t="shared" si="651"/>
        <v>0.26865469188146862</v>
      </c>
      <c r="IT104" s="727">
        <f t="shared" si="652"/>
        <v>64.028578901488032</v>
      </c>
      <c r="IU104" s="9">
        <f t="shared" si="653"/>
        <v>-5.6743106758068667</v>
      </c>
      <c r="IV104" s="5">
        <f t="shared" si="654"/>
        <v>-1.3210814490436755</v>
      </c>
      <c r="IW104" s="5">
        <f t="shared" si="519"/>
        <v>0.26600000000000001</v>
      </c>
      <c r="IX104" s="5">
        <f t="shared" si="655"/>
        <v>0.22858986571949466</v>
      </c>
      <c r="IY104" s="762">
        <f t="shared" si="656"/>
        <v>58.843262662831044</v>
      </c>
    </row>
    <row r="105" spans="1:259" ht="15" customHeight="1" x14ac:dyDescent="0.25">
      <c r="A105" s="79"/>
      <c r="B105" s="707">
        <v>-3.8253076060485718</v>
      </c>
      <c r="C105" s="708">
        <v>4.4141883575570198</v>
      </c>
      <c r="D105" s="709">
        <v>-2.0567705710940407</v>
      </c>
      <c r="E105" s="710">
        <v>-0.55707533028857714</v>
      </c>
      <c r="F105" s="708">
        <v>0.64283303874181896</v>
      </c>
      <c r="G105" s="711">
        <v>0.52576873308122063</v>
      </c>
      <c r="H105" s="710">
        <v>0.25700000000000001</v>
      </c>
      <c r="I105" s="708">
        <v>0.45500000000000002</v>
      </c>
      <c r="J105" s="570">
        <v>6.2480000000000002</v>
      </c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Inactive</v>
      </c>
      <c r="L105" s="320"/>
      <c r="M105" s="168">
        <f t="shared" ref="M105:M136" si="660">IF(J105="","",VALUE(J105))</f>
        <v>6.2480000000000002</v>
      </c>
      <c r="N105" s="632">
        <f t="shared" ref="N105:N136" si="661">IF(M105="","",B105)</f>
        <v>-3.8253076060485718</v>
      </c>
      <c r="O105" s="629">
        <f t="shared" ref="O105:O136" si="662">IF(M105="","",C105)</f>
        <v>4.4141883575570198</v>
      </c>
      <c r="P105" s="633">
        <f t="shared" ref="P105:P136" si="663">IF(M105="","",D105)</f>
        <v>-2.0567705710940407</v>
      </c>
      <c r="Q105" s="585">
        <f t="shared" si="520"/>
        <v>130.91199409303891</v>
      </c>
      <c r="R105" s="629">
        <f t="shared" si="79"/>
        <v>5.8410647263050421</v>
      </c>
      <c r="S105" s="634">
        <f t="shared" si="80"/>
        <v>-2.0567705710940407</v>
      </c>
      <c r="T105" s="635">
        <f t="shared" si="81"/>
        <v>4.405698466889806</v>
      </c>
      <c r="U105" s="629">
        <f t="shared" si="82"/>
        <v>3.8350825487503926</v>
      </c>
      <c r="V105" s="636">
        <f t="shared" si="114"/>
        <v>-2.0567705710940407</v>
      </c>
      <c r="W105" s="585">
        <f t="shared" si="645"/>
        <v>41.038994074702373</v>
      </c>
      <c r="X105" s="629">
        <f t="shared" si="83"/>
        <v>5.8410647263050421</v>
      </c>
      <c r="Y105" s="630">
        <f t="shared" si="644"/>
        <v>-2.0567705710940407</v>
      </c>
      <c r="Z105" s="632">
        <f t="shared" ref="Z105:Z136" si="664">IF(M105="","",-E105)</f>
        <v>0.55707533028857714</v>
      </c>
      <c r="AA105" s="629">
        <f t="shared" ref="AA105:AA136" si="665">IF(M105="","",-F105)</f>
        <v>-0.64283303874181896</v>
      </c>
      <c r="AB105" s="629">
        <f t="shared" ref="AB105:AB136" si="666">IF(M105="","",-G105)</f>
        <v>-0.52576873308122063</v>
      </c>
      <c r="AC105" s="636">
        <f t="shared" si="84"/>
        <v>1</v>
      </c>
      <c r="AD105" s="637">
        <f t="shared" si="115"/>
        <v>0.55707533028857714</v>
      </c>
      <c r="AE105" s="629">
        <f t="shared" si="85"/>
        <v>-0.64283303874181896</v>
      </c>
      <c r="AF105" s="633">
        <f t="shared" si="86"/>
        <v>-0.52576873308122063</v>
      </c>
      <c r="AG105" s="602">
        <f t="shared" si="87"/>
        <v>-50.720502159689282</v>
      </c>
      <c r="AH105" s="603">
        <f t="shared" si="88"/>
        <v>56.146222324869129</v>
      </c>
      <c r="AI105" s="585">
        <f t="shared" si="89"/>
        <v>-58.279991585411217</v>
      </c>
      <c r="AJ105" s="586">
        <f t="shared" si="90"/>
        <v>40.912009369278557</v>
      </c>
      <c r="AK105" s="635">
        <f t="shared" si="211"/>
        <v>2.2679489664056973E-7</v>
      </c>
      <c r="AL105" s="629">
        <f t="shared" si="91"/>
        <v>-0.85062755616904195</v>
      </c>
      <c r="AM105" s="634">
        <f t="shared" si="92"/>
        <v>-0.52576873308122063</v>
      </c>
      <c r="AN105" s="581">
        <f t="shared" si="93"/>
        <v>-58.279991585410301</v>
      </c>
      <c r="AO105" s="582">
        <f t="shared" si="461"/>
        <v>0</v>
      </c>
      <c r="AP105" s="585">
        <f t="shared" si="95"/>
        <v>-89.999984723760363</v>
      </c>
      <c r="AQ105" s="586">
        <f t="shared" ref="AQ105:AQ136" si="667">IF(M105="","",DEGREES(ATAN(($AS$5*SIN(RADIANS(90)))/(($X105*2*PI())-($AS$5*COS(RADIANS(90)))))))</f>
        <v>0.39028695597450275</v>
      </c>
      <c r="AS105" s="52">
        <f t="shared" si="543"/>
        <v>-318.96100592529763</v>
      </c>
      <c r="AT105" s="73">
        <f t="shared" ref="AT105:AT136" si="668">IF(M105="","",Y105+(((AS105-$AS$9)*$AS$6)*-1))</f>
        <v>-1.8351816781030954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>Gage</v>
      </c>
      <c r="IG105" s="847">
        <f t="shared" si="643"/>
        <v>6.2480000000000002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0.14799999999999999</v>
      </c>
      <c r="II105" s="734" cm="1">
        <f t="array" ref="II105">IFERROR(ROUND(VALUE(IF($IH105&lt;1,$IH105+LARGE((IF($M$9:$M$150="",0,$M$9:$M$150)-MOD(IF($M$9:$M$150="",0,$M$9:$M$150),1)),1),$IH105)),4),"")</f>
        <v>6.1479999999999997</v>
      </c>
      <c r="IJ105" s="533">
        <f t="shared" si="542"/>
        <v>1513</v>
      </c>
      <c r="IK105" s="533" t="str">
        <f t="shared" ref="IK105:IK136" si="713">IF(ISNUMBER($II105),INDEX($K$9:$K$150,MATCH($IG105,$M$9:$M$150,0)),"")</f>
        <v>Inactive</v>
      </c>
      <c r="IL105" s="727">
        <f t="shared" si="647"/>
        <v>10.444998491928772</v>
      </c>
      <c r="IM105" s="759">
        <v>1.50428442198251E-3</v>
      </c>
      <c r="IN105" s="5">
        <f t="shared" si="648"/>
        <v>0</v>
      </c>
      <c r="IO105" s="771">
        <v>0</v>
      </c>
      <c r="IP105" s="9">
        <f t="shared" si="649"/>
        <v>-5.8410176165091316</v>
      </c>
      <c r="IQ105" s="5">
        <f t="shared" si="650"/>
        <v>-2.0446061665321982</v>
      </c>
      <c r="IR105" s="5">
        <f t="shared" ref="IR105:IR136" si="714">IF(ISNUMBER($II105),INDEX($H$9:$H$150,MATCH($II105,$M$9:$M$150,0)),"")</f>
        <v>0.28999999999999998</v>
      </c>
      <c r="IS105" s="5">
        <f t="shared" si="651"/>
        <v>0.25622233705866193</v>
      </c>
      <c r="IT105" s="727">
        <f t="shared" si="652"/>
        <v>74.30682234816075</v>
      </c>
      <c r="IU105" s="9">
        <f t="shared" si="653"/>
        <v>-5.8410647263050421</v>
      </c>
      <c r="IV105" s="5">
        <f t="shared" si="654"/>
        <v>-2.0567705710940407</v>
      </c>
      <c r="IW105" s="5">
        <f t="shared" ref="IW105:IW136" si="715">IF(ISNUMBER($II105),$H105,"")</f>
        <v>0.25700000000000001</v>
      </c>
      <c r="IX105" s="5">
        <f t="shared" si="655"/>
        <v>0.25700000000000001</v>
      </c>
      <c r="IY105" s="762">
        <f t="shared" si="656"/>
        <v>58.279991585410301</v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6.6987279208207184E-2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0.96580934072943048</v>
      </c>
      <c r="F157" s="170">
        <f t="shared" si="929"/>
        <v>4.434990290149847E-2</v>
      </c>
      <c r="G157" s="170">
        <f t="shared" si="929"/>
        <v>-0.25543179808397115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0.96485087233243372</v>
      </c>
      <c r="F158" s="170">
        <f t="shared" si="929"/>
        <v>-3.194695104993768E-3</v>
      </c>
      <c r="G158" s="170">
        <f t="shared" si="929"/>
        <v>-0.26277859137024051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0.96133099158938606</v>
      </c>
      <c r="F159" s="170">
        <f t="shared" si="929"/>
        <v>-0.10360564101326231</v>
      </c>
      <c r="G159" s="170">
        <f t="shared" si="929"/>
        <v>-0.25516386060725543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0.95530099206121355</v>
      </c>
      <c r="F160" s="170">
        <f t="shared" si="929"/>
        <v>-0.19412276220566618</v>
      </c>
      <c r="G160" s="170">
        <f t="shared" si="929"/>
        <v>-0.22297167479414001</v>
      </c>
      <c r="H160" s="139"/>
      <c r="I160" s="86"/>
      <c r="J160" s="79">
        <f t="shared" si="930"/>
        <v>1.129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0.93769317426194576</v>
      </c>
      <c r="F161" s="170">
        <f t="shared" si="929"/>
        <v>-0.2840721589438312</v>
      </c>
      <c r="G161" s="170">
        <f t="shared" si="929"/>
        <v>-0.20008628002825973</v>
      </c>
      <c r="H161" s="139"/>
      <c r="I161" s="86"/>
      <c r="J161" s="79">
        <f t="shared" si="930"/>
        <v>1.135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0.91246012651741304</v>
      </c>
      <c r="F162" s="170">
        <f t="shared" si="929"/>
        <v>-0.373503085244485</v>
      </c>
      <c r="G162" s="170">
        <f t="shared" si="929"/>
        <v>-0.167068736838098</v>
      </c>
      <c r="H162" s="139"/>
      <c r="I162" s="86"/>
      <c r="J162" s="79">
        <f t="shared" si="930"/>
        <v>1.141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0.86225856231068654</v>
      </c>
      <c r="F163" s="170">
        <f t="shared" si="929"/>
        <v>-0.48782534684754325</v>
      </c>
      <c r="G163" s="170">
        <f t="shared" si="929"/>
        <v>-0.13614919278123555</v>
      </c>
      <c r="H163" s="139"/>
      <c r="I163" s="86"/>
      <c r="J163" s="79">
        <f t="shared" si="930"/>
        <v>1.147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0.7799719319909133</v>
      </c>
      <c r="F164" s="170">
        <f t="shared" si="929"/>
        <v>-0.6258144975201082</v>
      </c>
      <c r="G164" s="170">
        <f t="shared" si="929"/>
        <v>-1.3008419224102447E-7</v>
      </c>
      <c r="H164" s="139"/>
      <c r="I164" s="86"/>
      <c r="J164" s="79">
        <f t="shared" si="930"/>
        <v>1.153</v>
      </c>
    </row>
    <row r="165" spans="5:16" x14ac:dyDescent="0.25">
      <c r="E165" s="170">
        <f t="shared" si="929"/>
        <v>0.11161623564033064</v>
      </c>
      <c r="F165" s="170">
        <f t="shared" si="929"/>
        <v>0.23351465724818515</v>
      </c>
      <c r="G165" s="170">
        <f t="shared" si="929"/>
        <v>-0.96592583607218252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7.1464691840182157E-2</v>
      </c>
      <c r="F166" s="170">
        <f t="shared" si="929"/>
        <v>0.19524358299185676</v>
      </c>
      <c r="G166" s="170">
        <f t="shared" si="929"/>
        <v>-0.97814760702088821</v>
      </c>
      <c r="H166" s="139"/>
      <c r="I166" s="86"/>
      <c r="J166" s="79">
        <f t="shared" si="930"/>
        <v>1.2170000000000001</v>
      </c>
    </row>
    <row r="167" spans="5:16" x14ac:dyDescent="0.25">
      <c r="E167" s="170">
        <f t="shared" si="929"/>
        <v>-1.14794276581469E-2</v>
      </c>
      <c r="F167" s="170">
        <f t="shared" si="929"/>
        <v>-3.7361639496248593E-2</v>
      </c>
      <c r="G167" s="170">
        <f t="shared" si="929"/>
        <v>-0.99923587337264552</v>
      </c>
      <c r="H167" s="139"/>
      <c r="I167" s="86"/>
      <c r="J167" s="79">
        <f t="shared" si="930"/>
        <v>1.2230000000000001</v>
      </c>
    </row>
    <row r="168" spans="5:16" x14ac:dyDescent="0.25">
      <c r="E168" s="170">
        <f t="shared" si="929"/>
        <v>0.82754229181402827</v>
      </c>
      <c r="F168" s="170">
        <f t="shared" si="929"/>
        <v>-0.41326119886662238</v>
      </c>
      <c r="G168" s="170">
        <f t="shared" si="929"/>
        <v>-0.37998544284025892</v>
      </c>
      <c r="H168" s="139"/>
      <c r="I168" s="86"/>
      <c r="J168" s="79">
        <f t="shared" si="930"/>
        <v>1.2290000000000001</v>
      </c>
    </row>
    <row r="169" spans="5:16" x14ac:dyDescent="0.25">
      <c r="E169" s="170">
        <f t="shared" si="929"/>
        <v>0.78994833486785776</v>
      </c>
      <c r="F169" s="170">
        <f t="shared" si="929"/>
        <v>-0.51001751357647396</v>
      </c>
      <c r="G169" s="170">
        <f t="shared" si="929"/>
        <v>-0.34038766735116932</v>
      </c>
      <c r="H169" s="139"/>
      <c r="I169" s="86"/>
      <c r="J169" s="79">
        <f t="shared" si="930"/>
        <v>1.2350000000000001</v>
      </c>
    </row>
    <row r="170" spans="5:16" x14ac:dyDescent="0.25">
      <c r="E170" s="170">
        <f t="shared" si="929"/>
        <v>0.7421972572632729</v>
      </c>
      <c r="F170" s="170">
        <f t="shared" si="929"/>
        <v>-0.60773041233897829</v>
      </c>
      <c r="G170" s="170">
        <f t="shared" si="929"/>
        <v>-0.28250128712834349</v>
      </c>
      <c r="H170" s="139"/>
      <c r="I170" s="86"/>
      <c r="J170" s="79">
        <f t="shared" si="930"/>
        <v>1.2410000000000001</v>
      </c>
    </row>
    <row r="171" spans="5:16" x14ac:dyDescent="0.25">
      <c r="E171" s="170">
        <f t="shared" si="929"/>
        <v>-0.20202299277866867</v>
      </c>
      <c r="F171" s="170">
        <f t="shared" si="929"/>
        <v>-0.8043477144758977</v>
      </c>
      <c r="G171" s="170">
        <f t="shared" si="929"/>
        <v>-0.55875886087484083</v>
      </c>
      <c r="H171" s="139"/>
      <c r="I171" s="86"/>
      <c r="J171" s="79">
        <f t="shared" si="930"/>
        <v>1.2470000000000001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0.45355530738487038</v>
      </c>
      <c r="F172" s="170">
        <f t="shared" si="929"/>
        <v>-0.85421808014674483</v>
      </c>
      <c r="G172" s="170">
        <f t="shared" si="929"/>
        <v>-0.25416344090648701</v>
      </c>
      <c r="H172" s="139"/>
      <c r="I172" s="86"/>
      <c r="J172" s="79">
        <f t="shared" si="930"/>
        <v>2.11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0.42256077566457539</v>
      </c>
      <c r="F173" s="170">
        <f t="shared" si="929"/>
        <v>-0.86793318953108212</v>
      </c>
      <c r="G173" s="170">
        <f t="shared" si="929"/>
        <v>-0.26102561058286022</v>
      </c>
      <c r="H173" s="139"/>
      <c r="I173" s="86"/>
      <c r="J173" s="79">
        <f t="shared" si="930"/>
        <v>2.1160000000000001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0.32719438787480498</v>
      </c>
      <c r="F174" s="170">
        <f t="shared" si="933"/>
        <v>-0.90899025099115416</v>
      </c>
      <c r="G174" s="170">
        <f t="shared" si="933"/>
        <v>-0.25822578520796585</v>
      </c>
      <c r="H174" s="139"/>
      <c r="I174" s="86"/>
      <c r="J174" s="79">
        <f t="shared" si="930"/>
        <v>2.1219999999999999</v>
      </c>
    </row>
    <row r="175" spans="5:16" x14ac:dyDescent="0.25">
      <c r="E175" s="170">
        <f t="shared" si="933"/>
        <v>0.2411425306728856</v>
      </c>
      <c r="F175" s="170">
        <f t="shared" si="933"/>
        <v>-0.94287222661650161</v>
      </c>
      <c r="G175" s="170">
        <f t="shared" si="933"/>
        <v>-0.2298744095716545</v>
      </c>
      <c r="H175" s="139"/>
      <c r="I175" s="86"/>
      <c r="J175" s="79">
        <f t="shared" si="930"/>
        <v>2.1280000000000001</v>
      </c>
    </row>
    <row r="176" spans="5:16" x14ac:dyDescent="0.25">
      <c r="E176" s="170">
        <f t="shared" si="933"/>
        <v>0.15909764300014856</v>
      </c>
      <c r="F176" s="170">
        <f t="shared" si="933"/>
        <v>-0.96768660567842879</v>
      </c>
      <c r="G176" s="170">
        <f t="shared" si="933"/>
        <v>-0.19562866145419081</v>
      </c>
      <c r="H176" s="139"/>
      <c r="I176" s="86"/>
      <c r="J176" s="79">
        <f t="shared" si="930"/>
        <v>2.1339999999999999</v>
      </c>
    </row>
    <row r="177" spans="5:10" x14ac:dyDescent="0.25">
      <c r="E177" s="170">
        <f t="shared" si="933"/>
        <v>6.7790078386757546E-2</v>
      </c>
      <c r="F177" s="170">
        <f t="shared" si="933"/>
        <v>-0.98343093822003391</v>
      </c>
      <c r="G177" s="170">
        <f t="shared" si="933"/>
        <v>-0.16813118397246041</v>
      </c>
      <c r="H177" s="139"/>
      <c r="I177" s="86"/>
      <c r="J177" s="79">
        <f t="shared" si="930"/>
        <v>2.14</v>
      </c>
    </row>
    <row r="178" spans="5:10" x14ac:dyDescent="0.25">
      <c r="E178" s="170">
        <f t="shared" si="933"/>
        <v>-5.7037401833956398E-2</v>
      </c>
      <c r="F178" s="170">
        <f t="shared" si="933"/>
        <v>-0.98788660554666685</v>
      </c>
      <c r="G178" s="170">
        <f t="shared" si="933"/>
        <v>-0.14431489657521901</v>
      </c>
      <c r="H178" s="139"/>
      <c r="I178" s="86"/>
      <c r="J178" s="79">
        <f t="shared" si="930"/>
        <v>2.1459999999999999</v>
      </c>
    </row>
    <row r="179" spans="5:10" x14ac:dyDescent="0.25">
      <c r="E179" s="170">
        <f t="shared" si="933"/>
        <v>-0.23755089234242904</v>
      </c>
      <c r="F179" s="170">
        <f t="shared" si="933"/>
        <v>-0.97137509415637113</v>
      </c>
      <c r="G179" s="170">
        <f t="shared" si="933"/>
        <v>-1.3008419244423063E-7</v>
      </c>
      <c r="H179" s="139"/>
      <c r="I179" s="86"/>
      <c r="J179" s="79">
        <f t="shared" si="930"/>
        <v>2.1520000000000001</v>
      </c>
    </row>
    <row r="180" spans="5:10" x14ac:dyDescent="0.25">
      <c r="E180" s="170">
        <f t="shared" si="933"/>
        <v>-0.23755089234242904</v>
      </c>
      <c r="F180" s="170">
        <f t="shared" si="933"/>
        <v>-0.97137509415637113</v>
      </c>
      <c r="G180" s="170">
        <f t="shared" si="933"/>
        <v>-1.3008419244423063E-7</v>
      </c>
      <c r="H180" s="139"/>
      <c r="I180" s="86"/>
      <c r="J180" s="79">
        <f t="shared" si="930"/>
        <v>2.1579999999999999</v>
      </c>
    </row>
    <row r="181" spans="5:10" x14ac:dyDescent="0.25">
      <c r="E181" s="170">
        <f t="shared" si="933"/>
        <v>0.2581203300948578</v>
      </c>
      <c r="F181" s="170">
        <f t="shared" si="933"/>
        <v>1.9004588918913018E-2</v>
      </c>
      <c r="G181" s="170">
        <f t="shared" si="933"/>
        <v>-0.96592583607218252</v>
      </c>
      <c r="H181" s="139"/>
      <c r="I181" s="86"/>
      <c r="J181" s="79">
        <f t="shared" si="930"/>
        <v>2.2160000000000002</v>
      </c>
    </row>
    <row r="182" spans="5:10" x14ac:dyDescent="0.25">
      <c r="E182" s="170">
        <f t="shared" si="933"/>
        <v>2.9712398171801211E-8</v>
      </c>
      <c r="F182" s="170">
        <f t="shared" si="933"/>
        <v>-2.2484016225350603E-7</v>
      </c>
      <c r="G182" s="170">
        <f t="shared" si="933"/>
        <v>-0.99999999999997435</v>
      </c>
      <c r="H182" s="139"/>
      <c r="I182" s="86"/>
      <c r="J182" s="79">
        <f t="shared" si="930"/>
        <v>2.222</v>
      </c>
    </row>
    <row r="183" spans="5:10" x14ac:dyDescent="0.25">
      <c r="E183" s="170">
        <f t="shared" si="933"/>
        <v>-9.5295258939974703E-3</v>
      </c>
      <c r="F183" s="170">
        <f t="shared" si="933"/>
        <v>-0.92138225424626408</v>
      </c>
      <c r="G183" s="170">
        <f t="shared" si="933"/>
        <v>-0.38854076967071122</v>
      </c>
      <c r="H183" s="139"/>
      <c r="I183" s="86"/>
      <c r="J183" s="79">
        <f t="shared" si="930"/>
        <v>2.2280000000000002</v>
      </c>
    </row>
    <row r="184" spans="5:10" x14ac:dyDescent="0.25">
      <c r="E184" s="170">
        <f t="shared" si="933"/>
        <v>-0.1056219779628909</v>
      </c>
      <c r="F184" s="170">
        <f t="shared" si="933"/>
        <v>-0.93450827627651079</v>
      </c>
      <c r="G184" s="170">
        <f t="shared" si="933"/>
        <v>-0.3399092222077994</v>
      </c>
      <c r="H184" s="139"/>
      <c r="I184" s="86"/>
      <c r="J184" s="79">
        <f t="shared" si="930"/>
        <v>2.234</v>
      </c>
    </row>
    <row r="185" spans="5:10" x14ac:dyDescent="0.25">
      <c r="E185" s="170">
        <f t="shared" si="933"/>
        <v>-0.2138926278864243</v>
      </c>
      <c r="F185" s="170">
        <f t="shared" si="933"/>
        <v>-0.93324660821614214</v>
      </c>
      <c r="G185" s="170">
        <f t="shared" si="933"/>
        <v>-0.28861862723827497</v>
      </c>
      <c r="H185" s="139"/>
      <c r="I185" s="86"/>
      <c r="J185" s="79">
        <f t="shared" si="930"/>
        <v>2.2400000000000002</v>
      </c>
    </row>
    <row r="186" spans="5:10" x14ac:dyDescent="0.25">
      <c r="E186" s="170">
        <f t="shared" si="933"/>
        <v>-0.79233240065173849</v>
      </c>
      <c r="F186" s="170">
        <f t="shared" si="933"/>
        <v>-0.15240672778024328</v>
      </c>
      <c r="G186" s="170">
        <f t="shared" si="933"/>
        <v>-0.59074660913522969</v>
      </c>
      <c r="H186" s="139"/>
      <c r="I186" s="86"/>
      <c r="J186" s="79">
        <f t="shared" si="930"/>
        <v>2.246</v>
      </c>
    </row>
    <row r="187" spans="5:10" x14ac:dyDescent="0.25">
      <c r="E187" s="170">
        <f t="shared" si="933"/>
        <v>-0.49291910292465535</v>
      </c>
      <c r="F187" s="170">
        <f t="shared" si="933"/>
        <v>-0.82833824509633847</v>
      </c>
      <c r="G187" s="170">
        <f t="shared" si="933"/>
        <v>-0.266245205933687</v>
      </c>
      <c r="H187" s="139"/>
      <c r="I187" s="86"/>
      <c r="J187" s="79">
        <f t="shared" si="930"/>
        <v>3.1030000000000002</v>
      </c>
    </row>
    <row r="188" spans="5:10" x14ac:dyDescent="0.25">
      <c r="E188" s="170">
        <f t="shared" si="933"/>
        <v>-0.49916002344389954</v>
      </c>
      <c r="F188" s="170">
        <f t="shared" si="933"/>
        <v>-0.82966215254342945</v>
      </c>
      <c r="G188" s="170">
        <f t="shared" si="933"/>
        <v>-0.24999996726497567</v>
      </c>
      <c r="H188" s="139"/>
      <c r="I188" s="86"/>
      <c r="J188" s="79">
        <f t="shared" si="930"/>
        <v>3.1059999999999999</v>
      </c>
    </row>
    <row r="189" spans="5:10" x14ac:dyDescent="0.25">
      <c r="E189" s="170">
        <f t="shared" si="933"/>
        <v>-0.50858013640087074</v>
      </c>
      <c r="F189" s="170">
        <f t="shared" si="933"/>
        <v>-0.82303370847532531</v>
      </c>
      <c r="G189" s="170">
        <f t="shared" si="933"/>
        <v>-0.25290662223798149</v>
      </c>
      <c r="H189" s="139"/>
      <c r="I189" s="86"/>
      <c r="J189" s="79">
        <f t="shared" si="930"/>
        <v>3.109</v>
      </c>
    </row>
    <row r="190" spans="5:10" x14ac:dyDescent="0.25">
      <c r="E190" s="170">
        <f t="shared" si="933"/>
        <v>-0.53583929801056274</v>
      </c>
      <c r="F190" s="170">
        <f t="shared" si="933"/>
        <v>-0.803298298338186</v>
      </c>
      <c r="G190" s="170">
        <f t="shared" si="933"/>
        <v>-0.25997709628835031</v>
      </c>
      <c r="H190" s="139"/>
      <c r="I190" s="86"/>
      <c r="J190" s="79">
        <f t="shared" si="930"/>
        <v>3.1150000000000002</v>
      </c>
    </row>
    <row r="191" spans="5:10" x14ac:dyDescent="0.25">
      <c r="E191" s="170">
        <f t="shared" si="933"/>
        <v>-0.61901853172322541</v>
      </c>
      <c r="F191" s="170">
        <f t="shared" si="933"/>
        <v>-0.74168804411843237</v>
      </c>
      <c r="G191" s="170">
        <f t="shared" si="933"/>
        <v>-0.25829228133065973</v>
      </c>
      <c r="H191" s="139"/>
      <c r="I191" s="86"/>
      <c r="J191" s="79">
        <f t="shared" si="930"/>
        <v>3.121</v>
      </c>
    </row>
    <row r="192" spans="5:10" x14ac:dyDescent="0.25">
      <c r="E192" s="170">
        <f t="shared" si="933"/>
        <v>-0.68465138700358541</v>
      </c>
      <c r="F192" s="170">
        <f t="shared" si="933"/>
        <v>-0.68954106877290389</v>
      </c>
      <c r="G192" s="170">
        <f t="shared" si="933"/>
        <v>-0.23618973887446551</v>
      </c>
      <c r="H192" s="139"/>
      <c r="I192" s="86"/>
      <c r="J192" s="79">
        <f t="shared" si="930"/>
        <v>3.1269999999999998</v>
      </c>
    </row>
    <row r="193" spans="5:10" x14ac:dyDescent="0.25">
      <c r="E193" s="170">
        <f t="shared" si="933"/>
        <v>-0.7493075275037081</v>
      </c>
      <c r="F193" s="170">
        <f t="shared" si="933"/>
        <v>-0.62960070717505479</v>
      </c>
      <c r="G193" s="170">
        <f t="shared" si="933"/>
        <v>-0.20528316723723569</v>
      </c>
      <c r="H193" s="139"/>
      <c r="I193" s="86"/>
      <c r="J193" s="79">
        <f t="shared" si="930"/>
        <v>3.133</v>
      </c>
    </row>
    <row r="194" spans="5:10" x14ac:dyDescent="0.25">
      <c r="E194" s="170">
        <f t="shared" ref="E194:G213" si="934">E49*-1</f>
        <v>-0.80617815778838764</v>
      </c>
      <c r="F194" s="170">
        <f t="shared" si="934"/>
        <v>-0.56732310214979131</v>
      </c>
      <c r="G194" s="170">
        <f t="shared" si="934"/>
        <v>-0.16799189168545917</v>
      </c>
      <c r="H194" s="139"/>
      <c r="I194" s="86"/>
      <c r="J194" s="79">
        <f t="shared" si="930"/>
        <v>3.1389999999999998</v>
      </c>
    </row>
    <row r="195" spans="5:10" x14ac:dyDescent="0.25">
      <c r="E195" s="170">
        <f t="shared" si="934"/>
        <v>-0.87359521666042161</v>
      </c>
      <c r="F195" s="170">
        <f t="shared" si="934"/>
        <v>-0.46253936999973827</v>
      </c>
      <c r="G195" s="170">
        <f t="shared" si="934"/>
        <v>-0.1512902132600662</v>
      </c>
      <c r="H195" s="139"/>
      <c r="I195" s="86"/>
      <c r="J195" s="79">
        <f t="shared" si="930"/>
        <v>3.145</v>
      </c>
    </row>
    <row r="196" spans="5:10" x14ac:dyDescent="0.25">
      <c r="E196" s="170">
        <f t="shared" si="934"/>
        <v>-0.93036867649207788</v>
      </c>
      <c r="F196" s="170">
        <f t="shared" si="934"/>
        <v>-0.3550291007151728</v>
      </c>
      <c r="G196" s="170">
        <f t="shared" si="934"/>
        <v>-9.1479306117586923E-2</v>
      </c>
      <c r="H196" s="139"/>
      <c r="I196" s="86"/>
      <c r="J196" s="79">
        <f t="shared" si="930"/>
        <v>3.1509999999999998</v>
      </c>
    </row>
    <row r="197" spans="5:10" x14ac:dyDescent="0.25">
      <c r="E197" s="170">
        <f t="shared" si="934"/>
        <v>-0.96001091198475352</v>
      </c>
      <c r="F197" s="170">
        <f t="shared" si="934"/>
        <v>-0.27996258476836677</v>
      </c>
      <c r="G197" s="170">
        <f t="shared" si="934"/>
        <v>-1.3008419270998415E-7</v>
      </c>
      <c r="H197" s="139"/>
      <c r="I197" s="86"/>
      <c r="J197" s="79">
        <f t="shared" si="930"/>
        <v>3.157</v>
      </c>
    </row>
    <row r="198" spans="5:10" x14ac:dyDescent="0.25">
      <c r="E198" s="170">
        <f t="shared" si="934"/>
        <v>0.14268192497796747</v>
      </c>
      <c r="F198" s="170">
        <f t="shared" si="934"/>
        <v>-0.21593783247230419</v>
      </c>
      <c r="G198" s="170">
        <f t="shared" si="934"/>
        <v>-0.96592583607218252</v>
      </c>
      <c r="H198" s="139"/>
      <c r="I198" s="86"/>
      <c r="J198" s="79">
        <f t="shared" si="930"/>
        <v>3.2149999999999999</v>
      </c>
    </row>
    <row r="199" spans="5:10" x14ac:dyDescent="0.25">
      <c r="E199" s="170">
        <f t="shared" si="934"/>
        <v>-1.8089997727628259E-7</v>
      </c>
      <c r="F199" s="170">
        <f t="shared" si="934"/>
        <v>-1.3678860838390882E-7</v>
      </c>
      <c r="G199" s="170">
        <f t="shared" si="934"/>
        <v>-0.99999999999997435</v>
      </c>
      <c r="H199" s="139"/>
      <c r="I199" s="86"/>
      <c r="J199" s="79">
        <f t="shared" si="930"/>
        <v>3.2210000000000001</v>
      </c>
    </row>
    <row r="200" spans="5:10" x14ac:dyDescent="0.25">
      <c r="E200" s="170">
        <f t="shared" si="934"/>
        <v>-0.12271488420929166</v>
      </c>
      <c r="F200" s="170">
        <f t="shared" si="934"/>
        <v>0.15077986305541563</v>
      </c>
      <c r="G200" s="170">
        <f t="shared" si="934"/>
        <v>-0.98092124561072203</v>
      </c>
      <c r="H200" s="139"/>
      <c r="I200" s="86"/>
      <c r="J200" s="79">
        <f t="shared" si="930"/>
        <v>3.2269999999999999</v>
      </c>
    </row>
    <row r="201" spans="5:10" x14ac:dyDescent="0.25">
      <c r="E201" s="170">
        <f t="shared" si="934"/>
        <v>-0.85228786929507627</v>
      </c>
      <c r="F201" s="170">
        <f t="shared" si="934"/>
        <v>-0.3865872871109699</v>
      </c>
      <c r="G201" s="170">
        <f t="shared" si="934"/>
        <v>-0.35235728642478747</v>
      </c>
      <c r="H201" s="139"/>
      <c r="I201" s="86"/>
      <c r="J201" s="79">
        <f t="shared" si="930"/>
        <v>3.2330000000000001</v>
      </c>
    </row>
    <row r="202" spans="5:10" x14ac:dyDescent="0.25">
      <c r="E202" s="170">
        <f t="shared" si="934"/>
        <v>-0.90666967520006736</v>
      </c>
      <c r="F202" s="170">
        <f t="shared" si="934"/>
        <v>-0.3031323945261668</v>
      </c>
      <c r="G202" s="170">
        <f t="shared" si="934"/>
        <v>-0.29336129850652876</v>
      </c>
      <c r="H202" s="139"/>
      <c r="I202" s="86"/>
      <c r="J202" s="79">
        <f t="shared" si="930"/>
        <v>3.2389999999999999</v>
      </c>
    </row>
    <row r="203" spans="5:10" x14ac:dyDescent="0.25">
      <c r="E203" s="170">
        <f t="shared" si="934"/>
        <v>-0.95069473230582302</v>
      </c>
      <c r="F203" s="170">
        <f t="shared" si="934"/>
        <v>-0.22929546859995995</v>
      </c>
      <c r="G203" s="170">
        <f t="shared" si="934"/>
        <v>-0.20881358683161447</v>
      </c>
      <c r="H203" s="139"/>
      <c r="I203" s="86"/>
      <c r="J203" s="79">
        <f t="shared" si="930"/>
        <v>3.2450000000000001</v>
      </c>
    </row>
    <row r="204" spans="5:10" x14ac:dyDescent="0.25">
      <c r="E204" s="170">
        <f t="shared" si="934"/>
        <v>-0.59373114356553747</v>
      </c>
      <c r="F204" s="170">
        <f t="shared" si="934"/>
        <v>0.68474594451399584</v>
      </c>
      <c r="G204" s="170">
        <f t="shared" si="934"/>
        <v>-0.42261841019055846</v>
      </c>
      <c r="H204" s="139"/>
      <c r="I204" s="86"/>
      <c r="J204" s="79">
        <f t="shared" si="930"/>
        <v>3.2509999999999999</v>
      </c>
    </row>
    <row r="205" spans="5:10" x14ac:dyDescent="0.25">
      <c r="E205" s="170">
        <f t="shared" si="934"/>
        <v>-0.95561378884019044</v>
      </c>
      <c r="F205" s="170">
        <f t="shared" si="934"/>
        <v>0.1406208701558514</v>
      </c>
      <c r="G205" s="170">
        <f t="shared" si="934"/>
        <v>-0.25889777414088988</v>
      </c>
      <c r="H205" s="139"/>
      <c r="I205" s="86"/>
      <c r="J205" s="79">
        <f t="shared" si="930"/>
        <v>4.1139999999999999</v>
      </c>
    </row>
    <row r="206" spans="5:10" x14ac:dyDescent="0.25">
      <c r="E206" s="170">
        <f t="shared" si="934"/>
        <v>-0.93789244751866896</v>
      </c>
      <c r="F206" s="170">
        <f t="shared" si="934"/>
        <v>0.22840367408547119</v>
      </c>
      <c r="G206" s="170">
        <f t="shared" si="934"/>
        <v>-0.26113122860297433</v>
      </c>
      <c r="H206" s="139"/>
      <c r="I206" s="86"/>
      <c r="J206" s="79">
        <f t="shared" si="930"/>
        <v>4.12</v>
      </c>
    </row>
    <row r="207" spans="5:10" x14ac:dyDescent="0.25">
      <c r="E207" s="170">
        <f t="shared" si="934"/>
        <v>-0.91791333789054785</v>
      </c>
      <c r="F207" s="170">
        <f t="shared" si="934"/>
        <v>0.31451600041194611</v>
      </c>
      <c r="G207" s="170">
        <f t="shared" si="934"/>
        <v>-0.24189830426752826</v>
      </c>
      <c r="H207" s="139"/>
      <c r="I207" s="86"/>
      <c r="J207" s="79">
        <f t="shared" si="930"/>
        <v>4.1260000000000003</v>
      </c>
    </row>
    <row r="208" spans="5:10" x14ac:dyDescent="0.25">
      <c r="E208" s="170">
        <f t="shared" si="934"/>
        <v>-0.89073875008829417</v>
      </c>
      <c r="F208" s="170">
        <f t="shared" si="934"/>
        <v>0.4007042991769042</v>
      </c>
      <c r="G208" s="170">
        <f t="shared" si="934"/>
        <v>-0.21452399332543115</v>
      </c>
      <c r="H208" s="139"/>
      <c r="I208" s="86"/>
      <c r="J208" s="79">
        <f t="shared" si="930"/>
        <v>4.1319999999999997</v>
      </c>
    </row>
    <row r="209" spans="5:10" x14ac:dyDescent="0.25">
      <c r="E209" s="170">
        <f t="shared" si="934"/>
        <v>-0.85770002087534036</v>
      </c>
      <c r="F209" s="170">
        <f t="shared" si="934"/>
        <v>0.48156786638695792</v>
      </c>
      <c r="G209" s="170">
        <f t="shared" si="934"/>
        <v>-0.18011958320503024</v>
      </c>
      <c r="H209" s="139"/>
      <c r="I209" s="86"/>
      <c r="J209" s="79">
        <f t="shared" si="930"/>
        <v>4.1379999999999999</v>
      </c>
    </row>
    <row r="210" spans="5:10" x14ac:dyDescent="0.25">
      <c r="E210" s="170">
        <f t="shared" si="934"/>
        <v>-0.80009178631381273</v>
      </c>
      <c r="F210" s="170">
        <f t="shared" si="934"/>
        <v>0.57895993564806447</v>
      </c>
      <c r="G210" s="170">
        <f t="shared" si="934"/>
        <v>-0.15703033588310694</v>
      </c>
      <c r="H210" s="139"/>
      <c r="I210" s="86"/>
      <c r="J210" s="79">
        <f t="shared" si="930"/>
        <v>4.1440000000000001</v>
      </c>
    </row>
    <row r="211" spans="5:10" x14ac:dyDescent="0.25">
      <c r="E211" s="170">
        <f t="shared" si="934"/>
        <v>-0.72745944085354108</v>
      </c>
      <c r="F211" s="170">
        <f t="shared" si="934"/>
        <v>0.67816383581840411</v>
      </c>
      <c r="G211" s="170">
        <f t="shared" si="934"/>
        <v>-0.10438665480377243</v>
      </c>
      <c r="H211" s="139"/>
      <c r="I211" s="86"/>
      <c r="J211" s="79">
        <f t="shared" si="930"/>
        <v>4.1500000000000004</v>
      </c>
    </row>
    <row r="212" spans="5:10" x14ac:dyDescent="0.25">
      <c r="E212" s="170">
        <f t="shared" si="934"/>
        <v>-0.65945053666313225</v>
      </c>
      <c r="F212" s="170">
        <f t="shared" si="934"/>
        <v>0.75174795622914081</v>
      </c>
      <c r="G212" s="170">
        <f t="shared" si="934"/>
        <v>-1.3008419206952758E-7</v>
      </c>
      <c r="H212" s="139"/>
      <c r="I212" s="86"/>
      <c r="J212" s="79">
        <f t="shared" si="930"/>
        <v>4.1559999999999997</v>
      </c>
    </row>
    <row r="213" spans="5:10" x14ac:dyDescent="0.25">
      <c r="E213" s="170">
        <f t="shared" si="934"/>
        <v>-2.4877997074844876E-2</v>
      </c>
      <c r="F213" s="170">
        <f t="shared" si="934"/>
        <v>-4.6044943123445099E-2</v>
      </c>
      <c r="G213" s="170">
        <f t="shared" si="934"/>
        <v>-0.99862953515019914</v>
      </c>
      <c r="H213" s="139"/>
      <c r="I213" s="86"/>
      <c r="J213" s="79">
        <f t="shared" si="930"/>
        <v>4.22</v>
      </c>
    </row>
    <row r="214" spans="5:10" x14ac:dyDescent="0.25">
      <c r="E214" s="170">
        <f t="shared" ref="E214:G233" si="935">E69*-1</f>
        <v>6.8635505648719272E-2</v>
      </c>
      <c r="F214" s="170">
        <f t="shared" si="935"/>
        <v>0.13999772177270109</v>
      </c>
      <c r="G214" s="170">
        <f t="shared" si="935"/>
        <v>-0.98777011761988331</v>
      </c>
      <c r="H214" s="139"/>
      <c r="I214" s="86"/>
      <c r="J214" s="79">
        <f t="shared" si="930"/>
        <v>4.226</v>
      </c>
    </row>
    <row r="215" spans="5:10" x14ac:dyDescent="0.25">
      <c r="E215" s="170">
        <f t="shared" si="935"/>
        <v>-0.71639217050198323</v>
      </c>
      <c r="F215" s="170">
        <f t="shared" si="935"/>
        <v>0.59510923377539016</v>
      </c>
      <c r="G215" s="170">
        <f t="shared" si="935"/>
        <v>-0.36418025470737092</v>
      </c>
      <c r="H215" s="139"/>
      <c r="I215" s="86"/>
      <c r="J215" s="79">
        <f t="shared" si="930"/>
        <v>4.2320000000000002</v>
      </c>
    </row>
    <row r="216" spans="5:10" x14ac:dyDescent="0.25">
      <c r="E216" s="170">
        <f t="shared" si="935"/>
        <v>-0.66282738906901595</v>
      </c>
      <c r="F216" s="170">
        <f t="shared" si="935"/>
        <v>0.68191991689147879</v>
      </c>
      <c r="G216" s="170">
        <f t="shared" si="935"/>
        <v>-0.30926538643480661</v>
      </c>
      <c r="H216" s="139"/>
      <c r="I216" s="86"/>
      <c r="J216" s="79">
        <f t="shared" si="930"/>
        <v>4.2380000000000004</v>
      </c>
    </row>
    <row r="217" spans="5:10" x14ac:dyDescent="0.25">
      <c r="E217" s="170">
        <f t="shared" si="935"/>
        <v>-0.61307405842990514</v>
      </c>
      <c r="F217" s="170">
        <f t="shared" si="935"/>
        <v>0.75650027644074891</v>
      </c>
      <c r="G217" s="170">
        <f t="shared" si="935"/>
        <v>-0.22770052838181085</v>
      </c>
      <c r="H217" s="139"/>
      <c r="I217" s="86"/>
      <c r="J217" s="79">
        <f t="shared" si="930"/>
        <v>4.2439999999999998</v>
      </c>
    </row>
    <row r="218" spans="5:10" x14ac:dyDescent="0.25">
      <c r="E218" s="170">
        <f t="shared" si="935"/>
        <v>0.36269132579847807</v>
      </c>
      <c r="F218" s="170">
        <f t="shared" si="935"/>
        <v>0.81175638192448374</v>
      </c>
      <c r="G218" s="170">
        <f t="shared" si="935"/>
        <v>-0.45771888599380961</v>
      </c>
      <c r="H218" s="139"/>
      <c r="I218" s="86"/>
      <c r="J218" s="79">
        <f t="shared" si="930"/>
        <v>4.25</v>
      </c>
    </row>
    <row r="219" spans="5:10" x14ac:dyDescent="0.25">
      <c r="E219" s="170">
        <f t="shared" si="935"/>
        <v>-0.4735944187439165</v>
      </c>
      <c r="F219" s="170">
        <f t="shared" si="935"/>
        <v>0.83146955959349167</v>
      </c>
      <c r="G219" s="170">
        <f t="shared" si="935"/>
        <v>-0.29045946017304541</v>
      </c>
      <c r="H219" s="139"/>
      <c r="I219" s="86"/>
      <c r="J219" s="79">
        <f t="shared" ref="J219:J282" si="936">J74</f>
        <v>5.1020000000000003</v>
      </c>
    </row>
    <row r="220" spans="5:10" x14ac:dyDescent="0.25">
      <c r="E220" s="170">
        <f t="shared" si="935"/>
        <v>-0.46892874510133481</v>
      </c>
      <c r="F220" s="170">
        <f t="shared" si="935"/>
        <v>0.84711619532694493</v>
      </c>
      <c r="G220" s="170">
        <f t="shared" si="935"/>
        <v>-0.24999996726497567</v>
      </c>
      <c r="H220" s="139"/>
      <c r="I220" s="86"/>
      <c r="J220" s="79">
        <f t="shared" si="936"/>
        <v>5.1050000000000004</v>
      </c>
    </row>
    <row r="221" spans="5:10" x14ac:dyDescent="0.25">
      <c r="E221" s="170">
        <f t="shared" si="935"/>
        <v>-0.46892874510133487</v>
      </c>
      <c r="F221" s="170">
        <f t="shared" si="935"/>
        <v>0.84711619532694482</v>
      </c>
      <c r="G221" s="170">
        <f t="shared" si="935"/>
        <v>-0.24999996726497561</v>
      </c>
      <c r="H221" s="139"/>
      <c r="I221" s="86"/>
      <c r="J221" s="79">
        <f t="shared" si="936"/>
        <v>5.1079999999999997</v>
      </c>
    </row>
    <row r="222" spans="5:10" x14ac:dyDescent="0.25">
      <c r="E222" s="170">
        <f t="shared" si="935"/>
        <v>-0.43808796729930471</v>
      </c>
      <c r="F222" s="170">
        <f t="shared" si="935"/>
        <v>0.86117762051676672</v>
      </c>
      <c r="G222" s="170">
        <f t="shared" si="935"/>
        <v>-0.25778292966882671</v>
      </c>
      <c r="H222" s="139"/>
      <c r="I222" s="86"/>
      <c r="J222" s="79">
        <f t="shared" si="936"/>
        <v>5.1130000000000004</v>
      </c>
    </row>
    <row r="223" spans="5:10" x14ac:dyDescent="0.25">
      <c r="E223" s="170">
        <f t="shared" si="935"/>
        <v>-0.36906581155301382</v>
      </c>
      <c r="F223" s="170">
        <f t="shared" si="935"/>
        <v>0.89146923794257504</v>
      </c>
      <c r="G223" s="170">
        <f t="shared" si="935"/>
        <v>-0.26281747381937848</v>
      </c>
      <c r="H223" s="139"/>
      <c r="I223" s="86"/>
      <c r="J223" s="79">
        <f t="shared" si="936"/>
        <v>5.1189999999999998</v>
      </c>
    </row>
    <row r="224" spans="5:10" x14ac:dyDescent="0.25">
      <c r="E224" s="170">
        <f t="shared" si="935"/>
        <v>-0.28317368103699675</v>
      </c>
      <c r="F224" s="170">
        <f t="shared" si="935"/>
        <v>0.92671837138174806</v>
      </c>
      <c r="G224" s="170">
        <f t="shared" si="935"/>
        <v>-0.24699337341620689</v>
      </c>
      <c r="H224" s="139"/>
      <c r="I224" s="86"/>
      <c r="J224" s="79">
        <f t="shared" si="936"/>
        <v>5.125</v>
      </c>
    </row>
    <row r="225" spans="5:10" x14ac:dyDescent="0.25">
      <c r="E225" s="170">
        <f t="shared" si="935"/>
        <v>-0.19526232939094956</v>
      </c>
      <c r="F225" s="170">
        <f t="shared" si="935"/>
        <v>0.95500446282558982</v>
      </c>
      <c r="G225" s="170">
        <f t="shared" si="935"/>
        <v>-0.22324672159748926</v>
      </c>
      <c r="H225" s="139"/>
      <c r="I225" s="86"/>
      <c r="J225" s="79">
        <f t="shared" si="936"/>
        <v>5.1310000000000002</v>
      </c>
    </row>
    <row r="226" spans="5:10" x14ac:dyDescent="0.25">
      <c r="E226" s="170">
        <f t="shared" si="935"/>
        <v>-0.11789623303432435</v>
      </c>
      <c r="F226" s="170">
        <f t="shared" si="935"/>
        <v>0.97690892915601113</v>
      </c>
      <c r="G226" s="170">
        <f t="shared" si="935"/>
        <v>-0.1781836759402278</v>
      </c>
      <c r="H226" s="139"/>
      <c r="I226" s="86"/>
      <c r="J226" s="79">
        <f t="shared" si="936"/>
        <v>5.1369999999999996</v>
      </c>
    </row>
    <row r="227" spans="5:10" x14ac:dyDescent="0.25">
      <c r="E227" s="170">
        <f t="shared" si="935"/>
        <v>-5.5361694867292486E-3</v>
      </c>
      <c r="F227" s="170">
        <f t="shared" si="935"/>
        <v>0.9868464545475969</v>
      </c>
      <c r="G227" s="170">
        <f t="shared" si="935"/>
        <v>-0.16156554699022921</v>
      </c>
      <c r="H227" s="139"/>
      <c r="I227" s="86"/>
      <c r="J227" s="79">
        <f t="shared" si="936"/>
        <v>5.1429999999999998</v>
      </c>
    </row>
    <row r="228" spans="5:10" x14ac:dyDescent="0.25">
      <c r="E228" s="170">
        <f t="shared" si="935"/>
        <v>0.11840192701831376</v>
      </c>
      <c r="F228" s="170">
        <f t="shared" si="935"/>
        <v>0.9861509724307127</v>
      </c>
      <c r="G228" s="170">
        <f t="shared" si="935"/>
        <v>-0.1161345911100978</v>
      </c>
      <c r="H228" s="139"/>
      <c r="I228" s="86"/>
      <c r="J228" s="79">
        <f t="shared" si="936"/>
        <v>5.149</v>
      </c>
    </row>
    <row r="229" spans="5:10" x14ac:dyDescent="0.25">
      <c r="E229" s="170">
        <f t="shared" si="935"/>
        <v>0.2375504517365766</v>
      </c>
      <c r="F229" s="170">
        <f t="shared" si="935"/>
        <v>0.97137520190693127</v>
      </c>
      <c r="G229" s="170">
        <f t="shared" si="935"/>
        <v>-1.3008419218705799E-7</v>
      </c>
      <c r="H229" s="139"/>
      <c r="I229" s="86"/>
      <c r="J229" s="79">
        <f t="shared" si="936"/>
        <v>5.1550000000000002</v>
      </c>
    </row>
    <row r="230" spans="5:10" x14ac:dyDescent="0.25">
      <c r="E230" s="170">
        <f t="shared" si="935"/>
        <v>-0.25870802955709493</v>
      </c>
      <c r="F230" s="170">
        <f t="shared" si="935"/>
        <v>-7.5785652296766516E-3</v>
      </c>
      <c r="G230" s="170">
        <f t="shared" si="935"/>
        <v>-0.96592583607218263</v>
      </c>
      <c r="H230" s="139"/>
      <c r="I230" s="86"/>
      <c r="J230" s="79">
        <f t="shared" si="936"/>
        <v>5.2130000000000001</v>
      </c>
    </row>
    <row r="231" spans="5:10" x14ac:dyDescent="0.25">
      <c r="E231" s="170">
        <f t="shared" si="935"/>
        <v>-0.10393759801204502</v>
      </c>
      <c r="F231" s="170">
        <f t="shared" si="935"/>
        <v>-1.1098297575790091E-2</v>
      </c>
      <c r="G231" s="170">
        <f t="shared" si="935"/>
        <v>-0.99452189694868243</v>
      </c>
      <c r="H231" s="139"/>
      <c r="I231" s="86"/>
      <c r="J231" s="79">
        <f t="shared" si="936"/>
        <v>5.2190000000000003</v>
      </c>
    </row>
    <row r="232" spans="5:10" x14ac:dyDescent="0.25">
      <c r="E232" s="170">
        <f t="shared" si="935"/>
        <v>0.11570319314174002</v>
      </c>
      <c r="F232" s="170">
        <f t="shared" si="935"/>
        <v>1.7488334925363315E-2</v>
      </c>
      <c r="G232" s="170">
        <f t="shared" si="935"/>
        <v>-0.99312986524338476</v>
      </c>
      <c r="H232" s="139"/>
      <c r="I232" s="86"/>
      <c r="J232" s="79">
        <f t="shared" si="936"/>
        <v>5.2249999999999996</v>
      </c>
    </row>
    <row r="233" spans="5:10" x14ac:dyDescent="0.25">
      <c r="E233" s="170">
        <f t="shared" si="935"/>
        <v>6.148920036491598E-2</v>
      </c>
      <c r="F233" s="170">
        <f t="shared" si="935"/>
        <v>0.92488313396774113</v>
      </c>
      <c r="G233" s="170">
        <f t="shared" si="935"/>
        <v>-0.37524694101417072</v>
      </c>
      <c r="H233" s="139"/>
      <c r="I233" s="86"/>
      <c r="J233" s="79">
        <f t="shared" si="936"/>
        <v>5.2309999999999999</v>
      </c>
    </row>
    <row r="234" spans="5:10" x14ac:dyDescent="0.25">
      <c r="E234" s="170">
        <f t="shared" ref="E234:G253" si="937">E89*-1</f>
        <v>0.15535567082061461</v>
      </c>
      <c r="F234" s="170">
        <f t="shared" si="937"/>
        <v>0.9373357613689961</v>
      </c>
      <c r="G234" s="170">
        <f t="shared" si="937"/>
        <v>-0.31187543347093127</v>
      </c>
      <c r="H234" s="139"/>
      <c r="I234" s="86"/>
      <c r="J234" s="79">
        <f t="shared" si="936"/>
        <v>5.2370000000000001</v>
      </c>
    </row>
    <row r="235" spans="5:10" x14ac:dyDescent="0.25">
      <c r="E235" s="170">
        <f t="shared" si="937"/>
        <v>0.25851437778474373</v>
      </c>
      <c r="F235" s="170">
        <f t="shared" si="937"/>
        <v>0.93408039729881787</v>
      </c>
      <c r="G235" s="170">
        <f t="shared" si="937"/>
        <v>-0.24630088887507026</v>
      </c>
      <c r="H235" s="139"/>
      <c r="I235" s="86"/>
      <c r="J235" s="79">
        <f t="shared" si="936"/>
        <v>5.2430000000000003</v>
      </c>
    </row>
    <row r="236" spans="5:10" x14ac:dyDescent="0.25">
      <c r="E236" s="170">
        <f t="shared" si="937"/>
        <v>0.85476738447873768</v>
      </c>
      <c r="F236" s="170">
        <f t="shared" si="937"/>
        <v>0.1648962409211068</v>
      </c>
      <c r="G236" s="170">
        <f t="shared" si="937"/>
        <v>-0.49211985141982051</v>
      </c>
      <c r="H236" s="139"/>
      <c r="I236" s="86"/>
      <c r="J236" s="79">
        <f t="shared" si="936"/>
        <v>5.2489999999999997</v>
      </c>
    </row>
    <row r="237" spans="5:10" x14ac:dyDescent="0.25">
      <c r="E237" s="170">
        <f t="shared" si="937"/>
        <v>0.52219638986714267</v>
      </c>
      <c r="F237" s="170">
        <f t="shared" si="937"/>
        <v>0.8132976839229048</v>
      </c>
      <c r="G237" s="170">
        <f t="shared" si="937"/>
        <v>-0.25662776103797136</v>
      </c>
      <c r="H237" s="139"/>
      <c r="I237" s="86"/>
      <c r="J237" s="79">
        <f t="shared" si="936"/>
        <v>6.1120000000000001</v>
      </c>
    </row>
    <row r="238" spans="5:10" x14ac:dyDescent="0.25">
      <c r="E238" s="170">
        <f t="shared" si="937"/>
        <v>0.57182713008192643</v>
      </c>
      <c r="F238" s="170">
        <f t="shared" si="937"/>
        <v>0.77694507138475877</v>
      </c>
      <c r="G238" s="170">
        <f t="shared" si="937"/>
        <v>-0.26338202169700148</v>
      </c>
      <c r="H238" s="139"/>
      <c r="I238" s="86"/>
      <c r="J238" s="79">
        <f t="shared" si="936"/>
        <v>6.1180000000000003</v>
      </c>
    </row>
    <row r="239" spans="5:10" x14ac:dyDescent="0.25">
      <c r="E239" s="170">
        <f t="shared" si="937"/>
        <v>0.64872883751644339</v>
      </c>
      <c r="F239" s="170">
        <f t="shared" si="937"/>
        <v>0.71829071546200085</v>
      </c>
      <c r="G239" s="170">
        <f t="shared" si="937"/>
        <v>-0.25141468424825758</v>
      </c>
      <c r="H239" s="139"/>
      <c r="I239" s="86"/>
      <c r="J239" s="79">
        <f t="shared" si="936"/>
        <v>6.1239999999999997</v>
      </c>
    </row>
    <row r="240" spans="5:10" x14ac:dyDescent="0.25">
      <c r="E240" s="170">
        <f t="shared" si="937"/>
        <v>0.71752128786351843</v>
      </c>
      <c r="F240" s="170">
        <f t="shared" si="937"/>
        <v>0.66235624132621596</v>
      </c>
      <c r="G240" s="170">
        <f t="shared" si="937"/>
        <v>-0.21551661429895735</v>
      </c>
      <c r="H240" s="139"/>
      <c r="I240" s="86"/>
      <c r="J240" s="79">
        <f t="shared" si="936"/>
        <v>6.13</v>
      </c>
    </row>
    <row r="241" spans="5:10" x14ac:dyDescent="0.25">
      <c r="E241" s="170">
        <f t="shared" si="937"/>
        <v>0.77908325504944997</v>
      </c>
      <c r="F241" s="170">
        <f t="shared" si="937"/>
        <v>0.59765344517717189</v>
      </c>
      <c r="G241" s="170">
        <f t="shared" si="937"/>
        <v>-0.1893136053468186</v>
      </c>
      <c r="H241" s="139"/>
      <c r="I241" s="86"/>
      <c r="J241" s="79">
        <f t="shared" si="936"/>
        <v>6.1360000000000001</v>
      </c>
    </row>
    <row r="242" spans="5:10" x14ac:dyDescent="0.25">
      <c r="E242" s="170">
        <f t="shared" si="937"/>
        <v>0.84068336825442813</v>
      </c>
      <c r="F242" s="170">
        <f t="shared" si="937"/>
        <v>0.51580930234572753</v>
      </c>
      <c r="G242" s="170">
        <f t="shared" si="937"/>
        <v>-0.16490069118716144</v>
      </c>
      <c r="H242" s="139"/>
      <c r="I242" s="86"/>
      <c r="J242" s="79">
        <f t="shared" si="936"/>
        <v>6.1420000000000003</v>
      </c>
    </row>
    <row r="243" spans="5:10" x14ac:dyDescent="0.25">
      <c r="E243" s="170">
        <f t="shared" si="937"/>
        <v>0.90392658983830976</v>
      </c>
      <c r="F243" s="170">
        <f t="shared" si="937"/>
        <v>0.40849246217442026</v>
      </c>
      <c r="G243" s="170">
        <f t="shared" si="937"/>
        <v>-0.12669107517881451</v>
      </c>
      <c r="H243" s="139"/>
      <c r="I243" s="86"/>
      <c r="J243" s="79">
        <f t="shared" si="936"/>
        <v>6.1479999999999997</v>
      </c>
    </row>
    <row r="244" spans="5:10" x14ac:dyDescent="0.25">
      <c r="E244" s="170">
        <f t="shared" si="937"/>
        <v>0.96001078499648396</v>
      </c>
      <c r="F244" s="170">
        <f t="shared" si="937"/>
        <v>0.27996302021948877</v>
      </c>
      <c r="G244" s="170">
        <f t="shared" si="937"/>
        <v>-1.3008419254950841E-7</v>
      </c>
      <c r="H244" s="139"/>
      <c r="I244" s="86"/>
      <c r="J244" s="79">
        <f t="shared" si="936"/>
        <v>6.1539999999999999</v>
      </c>
    </row>
    <row r="245" spans="5:10" x14ac:dyDescent="0.25">
      <c r="E245" s="170">
        <f t="shared" si="937"/>
        <v>-9.0890641615707993E-2</v>
      </c>
      <c r="F245" s="170">
        <f t="shared" si="937"/>
        <v>0.12732095707624536</v>
      </c>
      <c r="G245" s="170">
        <f t="shared" si="937"/>
        <v>-0.98768834414296591</v>
      </c>
      <c r="H245" s="139"/>
      <c r="I245" s="86"/>
      <c r="J245" s="79">
        <f t="shared" si="936"/>
        <v>6.218</v>
      </c>
    </row>
    <row r="246" spans="5:10" x14ac:dyDescent="0.25">
      <c r="E246" s="170">
        <f t="shared" si="937"/>
        <v>4.8385036138909203E-2</v>
      </c>
      <c r="F246" s="170">
        <f t="shared" si="937"/>
        <v>-6.1320719530598471E-2</v>
      </c>
      <c r="G246" s="170">
        <f t="shared" si="937"/>
        <v>-0.99694466126966452</v>
      </c>
      <c r="H246" s="139"/>
      <c r="I246" s="86"/>
      <c r="J246" s="79">
        <f t="shared" si="936"/>
        <v>6.2240000000000002</v>
      </c>
    </row>
    <row r="247" spans="5:10" x14ac:dyDescent="0.25">
      <c r="E247" s="170">
        <f t="shared" si="937"/>
        <v>0.82354879636218059</v>
      </c>
      <c r="F247" s="170">
        <f t="shared" si="937"/>
        <v>0.42941137118448014</v>
      </c>
      <c r="G247" s="170">
        <f t="shared" si="937"/>
        <v>-0.37063898109598314</v>
      </c>
      <c r="H247" s="139"/>
      <c r="I247" s="86"/>
      <c r="J247" s="79">
        <f t="shared" si="936"/>
        <v>6.23</v>
      </c>
    </row>
    <row r="248" spans="5:10" x14ac:dyDescent="0.25">
      <c r="E248" s="170">
        <f t="shared" si="937"/>
        <v>0.88036105735389747</v>
      </c>
      <c r="F248" s="170">
        <f t="shared" si="937"/>
        <v>0.34412034852248141</v>
      </c>
      <c r="G248" s="170">
        <f t="shared" si="937"/>
        <v>-0.32641322648981869</v>
      </c>
      <c r="H248" s="139"/>
      <c r="I248" s="86"/>
      <c r="J248" s="79">
        <f t="shared" si="936"/>
        <v>6.2359999999999998</v>
      </c>
    </row>
    <row r="249" spans="5:10" x14ac:dyDescent="0.25">
      <c r="E249" s="170">
        <f t="shared" si="937"/>
        <v>0.93113141855251802</v>
      </c>
      <c r="F249" s="170">
        <f t="shared" si="937"/>
        <v>0.25098850604038803</v>
      </c>
      <c r="G249" s="170">
        <f t="shared" si="937"/>
        <v>-0.2645733380747004</v>
      </c>
      <c r="H249" s="139"/>
      <c r="I249" s="86"/>
      <c r="J249" s="79">
        <f t="shared" si="936"/>
        <v>6.242</v>
      </c>
    </row>
    <row r="250" spans="5:10" x14ac:dyDescent="0.25">
      <c r="E250" s="170">
        <f t="shared" si="937"/>
        <v>0.55707533028857714</v>
      </c>
      <c r="F250" s="170">
        <f t="shared" si="937"/>
        <v>-0.64283303874181896</v>
      </c>
      <c r="G250" s="170">
        <f t="shared" si="937"/>
        <v>-0.52576873308122063</v>
      </c>
      <c r="H250" s="139"/>
      <c r="I250" s="86"/>
      <c r="J250" s="79">
        <f t="shared" si="936"/>
        <v>6.2480000000000002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55EDA51-7128-4A74-8988-AF9BCDED71D8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9CE0D65-8BA2-4114-A017-764981F66A9C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1513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1513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1513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</v>
      </c>
      <c r="N170" s="869">
        <f>Assy.Model!K15</f>
        <v>1513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1.135</v>
      </c>
      <c r="N171" s="869">
        <f>Assy.Model!K16</f>
        <v>1513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1.141</v>
      </c>
      <c r="N172" s="869">
        <f>Assy.Model!K17</f>
        <v>1513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1.147</v>
      </c>
      <c r="N173" s="869">
        <f>Assy.Model!K18</f>
        <v>1513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1.153</v>
      </c>
      <c r="N174" s="869">
        <f>Assy.Model!K19</f>
        <v>1513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1.2170000000000001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1.2230000000000001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1.2290000000000001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1.2350000000000001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1.2410000000000001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1.2470000000000001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2.11</v>
      </c>
      <c r="N182" s="869">
        <f>Assy.Model!K27</f>
        <v>1513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2.1160000000000001</v>
      </c>
      <c r="N183" s="869">
        <f>Assy.Model!K28</f>
        <v>1513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2.1219999999999999</v>
      </c>
      <c r="N184" s="869">
        <f>Assy.Model!K29</f>
        <v>1513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2.1280000000000001</v>
      </c>
      <c r="N185" s="869">
        <f>Assy.Model!K30</f>
        <v>1513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2.1339999999999999</v>
      </c>
      <c r="N186" s="869">
        <f>Assy.Model!K31</f>
        <v>1513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2.14</v>
      </c>
      <c r="N187" s="869">
        <f>Assy.Model!K32</f>
        <v>1513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2.1459999999999999</v>
      </c>
      <c r="N188" s="869">
        <f>Assy.Model!K33</f>
        <v>1513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2.1520000000000001</v>
      </c>
      <c r="N189" s="869">
        <f>Assy.Model!K34</f>
        <v>1513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2.1579999999999999</v>
      </c>
      <c r="N190" s="869">
        <f>Assy.Model!K35</f>
        <v>1513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2.2160000000000002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2.222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2.2280000000000002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2.234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2.2400000000000002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2.246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3.1030000000000002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3.1059999999999999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3.1150000000000002</v>
      </c>
      <c r="N200" s="869">
        <f>Assy.Model!K45</f>
        <v>1513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3.121</v>
      </c>
      <c r="N201" s="869">
        <f>Assy.Model!K46</f>
        <v>1513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3.1269999999999998</v>
      </c>
      <c r="N202" s="869">
        <f>Assy.Model!K47</f>
        <v>1513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3.133</v>
      </c>
      <c r="N203" s="869">
        <f>Assy.Model!K48</f>
        <v>1513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3.1389999999999998</v>
      </c>
      <c r="N204" s="869">
        <f>Assy.Model!K49</f>
        <v>1513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3.145</v>
      </c>
      <c r="N205" s="869">
        <f>Assy.Model!K50</f>
        <v>1513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3.1509999999999998</v>
      </c>
      <c r="N206" s="869">
        <f>Assy.Model!K51</f>
        <v>1513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3.157</v>
      </c>
      <c r="N207" s="869">
        <f>Assy.Model!K52</f>
        <v>1513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3.2149999999999999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3.2210000000000001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3.2269999999999999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3.2330000000000001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3.2389999999999999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3.2450000000000001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3.2509999999999999</v>
      </c>
      <c r="N214" s="869" t="str">
        <f>Assy.Model!K59</f>
        <v>Inactive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4.1139999999999999</v>
      </c>
      <c r="N215" s="869">
        <f>Assy.Model!K60</f>
        <v>1513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</v>
      </c>
      <c r="N216" s="869">
        <f>Assy.Model!K61</f>
        <v>1513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4.1260000000000003</v>
      </c>
      <c r="N217" s="869">
        <f>Assy.Model!K62</f>
        <v>1513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4.1319999999999997</v>
      </c>
      <c r="N218" s="869">
        <f>Assy.Model!K63</f>
        <v>1513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4.1379999999999999</v>
      </c>
      <c r="N219" s="869">
        <f>Assy.Model!K64</f>
        <v>1513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4.1440000000000001</v>
      </c>
      <c r="N220" s="869">
        <f>Assy.Model!K65</f>
        <v>1513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4.1500000000000004</v>
      </c>
      <c r="N221" s="869">
        <f>Assy.Model!K66</f>
        <v>1513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4.1559999999999997</v>
      </c>
      <c r="N222" s="869">
        <f>Assy.Model!K67</f>
        <v>1513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4.22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4.226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4.2320000000000002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4.2380000000000004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4.2439999999999998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4.25</v>
      </c>
      <c r="N228" s="869" t="str">
        <f>Assy.Model!K73</f>
        <v>Inactive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5.1020000000000003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5.1050000000000004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5.1079999999999997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5.1130000000000004</v>
      </c>
      <c r="N232" s="869">
        <f>Assy.Model!K77</f>
        <v>1513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5.1189999999999998</v>
      </c>
      <c r="N233" s="869">
        <f>Assy.Model!K78</f>
        <v>1513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5.125</v>
      </c>
      <c r="N234" s="869">
        <f>Assy.Model!K79</f>
        <v>1513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5.1310000000000002</v>
      </c>
      <c r="N235" s="869">
        <f>Assy.Model!K80</f>
        <v>1513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5.1369999999999996</v>
      </c>
      <c r="N236" s="869">
        <f>Assy.Model!K81</f>
        <v>1513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5.1429999999999998</v>
      </c>
      <c r="N237" s="869">
        <f>Assy.Model!K82</f>
        <v>1513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5.149</v>
      </c>
      <c r="N238" s="869">
        <f>Assy.Model!K83</f>
        <v>1513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5.1550000000000002</v>
      </c>
      <c r="N239" s="869">
        <f>Assy.Model!K84</f>
        <v>1513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5.2130000000000001</v>
      </c>
      <c r="N240" s="869" t="str">
        <f>Assy.Model!K85</f>
        <v>Inactive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5.2190000000000003</v>
      </c>
      <c r="N241" s="869" t="str">
        <f>Assy.Model!K86</f>
        <v>Inactive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5.2249999999999996</v>
      </c>
      <c r="N242" s="869" t="str">
        <f>Assy.Model!K87</f>
        <v>Inactive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5.2309999999999999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5.2370000000000001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5.2430000000000003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5.2489999999999997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6.1120000000000001</v>
      </c>
      <c r="N247" s="869">
        <f>Assy.Model!K92</f>
        <v>1513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6.1180000000000003</v>
      </c>
      <c r="N248" s="869">
        <f>Assy.Model!K93</f>
        <v>1513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6.1239999999999997</v>
      </c>
      <c r="N249" s="869">
        <f>Assy.Model!K94</f>
        <v>1513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6.13</v>
      </c>
      <c r="N250" s="869">
        <f>Assy.Model!K95</f>
        <v>1513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6.1360000000000001</v>
      </c>
      <c r="N251" s="869">
        <f>Assy.Model!K96</f>
        <v>1513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6.1420000000000003</v>
      </c>
      <c r="N252" s="869">
        <f>Assy.Model!K97</f>
        <v>1513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6.1479999999999997</v>
      </c>
      <c r="N253" s="869">
        <f>Assy.Model!K98</f>
        <v>1513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6.1539999999999999</v>
      </c>
      <c r="N254" s="869">
        <f>Assy.Model!K99</f>
        <v>1513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6.218</v>
      </c>
      <c r="N255" s="869" t="str">
        <f>Assy.Model!K100</f>
        <v>Inactive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6.2240000000000002</v>
      </c>
      <c r="N256" s="869" t="str">
        <f>Assy.Model!K101</f>
        <v>Inactive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6.23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6.2359999999999998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6.242</v>
      </c>
      <c r="N259" s="869">
        <f>Assy.Model!K104</f>
        <v>1313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6.2480000000000002</v>
      </c>
      <c r="N260" s="869" t="str">
        <f>Assy.Model!K105</f>
        <v>Inactive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2023-03-29T17:15:45Z</dcterms:modified>
</cp:coreProperties>
</file>