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16\"/>
    </mc:Choice>
  </mc:AlternateContent>
  <xr:revisionPtr revIDLastSave="0" documentId="13_ncr:1_{E63B4458-871C-46B1-822C-88B27D5CCD7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JA9" i="1" a="1"/>
  <c r="JA9" i="1" s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N109" i="1"/>
  <c r="IK111" i="1"/>
  <c r="IW111" i="1"/>
  <c r="IN111" i="1"/>
  <c r="IR111" i="1"/>
  <c r="IN69" i="1"/>
  <c r="IR69" i="1"/>
  <c r="IW69" i="1"/>
  <c r="IK69" i="1"/>
  <c r="IK132" i="1"/>
  <c r="IR132" i="1"/>
  <c r="IW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W129" i="1"/>
  <c r="IR41" i="1"/>
  <c r="IW41" i="1"/>
  <c r="IN41" i="1"/>
  <c r="IK41" i="1"/>
  <c r="IK128" i="1"/>
  <c r="IR128" i="1"/>
  <c r="IN128" i="1"/>
  <c r="IW128" i="1"/>
  <c r="IR135" i="1"/>
  <c r="IW135" i="1"/>
  <c r="IN135" i="1"/>
  <c r="IK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K134" i="1"/>
  <c r="IR134" i="1"/>
  <c r="IW134" i="1"/>
  <c r="IN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N108" i="1"/>
  <c r="IK108" i="1"/>
  <c r="IW108" i="1"/>
  <c r="IR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N133" i="1"/>
  <c r="IR133" i="1"/>
  <c r="IW133" i="1"/>
  <c r="IK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W110" i="1"/>
  <c r="IK110" i="1"/>
  <c r="IR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K130" i="1"/>
  <c r="IW130" i="1"/>
  <c r="IN130" i="1"/>
  <c r="IR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V131" i="1"/>
  <c r="IR131" i="1"/>
  <c r="IW131" i="1"/>
  <c r="IK131" i="1"/>
  <c r="IN131" i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73" i="1"/>
  <c r="IF138" i="1"/>
  <c r="IF10" i="1"/>
  <c r="IF150" i="1"/>
  <c r="IF148" i="1"/>
  <c r="IF127" i="1"/>
  <c r="IF15" i="1"/>
  <c r="IF9" i="1"/>
  <c r="IF122" i="1"/>
  <c r="IF147" i="1"/>
  <c r="IF142" i="1"/>
  <c r="IF143" i="1"/>
  <c r="IF137" i="1"/>
  <c r="IF105" i="1"/>
  <c r="IF145" i="1"/>
  <c r="IF37" i="1"/>
  <c r="IF106" i="1"/>
  <c r="IF103" i="1"/>
  <c r="IF13" i="1"/>
  <c r="IF123" i="1"/>
  <c r="IF141" i="1"/>
  <c r="IF124" i="1"/>
  <c r="IF107" i="1"/>
  <c r="IF146" i="1"/>
  <c r="IF11" i="1"/>
  <c r="IF84" i="1"/>
  <c r="IF12" i="1"/>
  <c r="IF56" i="1"/>
  <c r="IF149" i="1"/>
  <c r="IF104" i="1"/>
  <c r="IF119" i="1"/>
  <c r="IF32" i="1"/>
  <c r="IF125" i="1"/>
  <c r="IF55" i="1"/>
  <c r="IF144" i="1"/>
  <c r="IF12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IU130" i="1" s="1"/>
  <c r="IE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Q128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IQ75" i="1"/>
  <c r="IV69" i="1"/>
  <c r="IV62" i="1"/>
  <c r="IQ71" i="1"/>
  <c r="IV81" i="1"/>
  <c r="IQ90" i="1"/>
  <c r="IQ77" i="1"/>
  <c r="IV71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49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48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7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10" i="1" s="1"/>
  <c r="P101" i="1"/>
  <c r="S101" i="1" s="1"/>
  <c r="Y101" i="1" s="1"/>
  <c r="IQ110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9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B129" i="1"/>
  <c r="AF129" i="1" s="1"/>
  <c r="AB124" i="1"/>
  <c r="P124" i="1"/>
  <c r="S124" i="1" s="1"/>
  <c r="Y124" i="1" s="1"/>
  <c r="IQ133" i="1" s="1"/>
  <c r="Z124" i="1"/>
  <c r="AA124" i="1"/>
  <c r="O124" i="1"/>
  <c r="R124" i="1" s="1"/>
  <c r="X124" i="1" s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3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1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Q135" i="1" s="1"/>
  <c r="AA56" i="1"/>
  <c r="N126" i="1"/>
  <c r="AA126" i="1"/>
  <c r="P80" i="1"/>
  <c r="S80" i="1" s="1"/>
  <c r="Y80" i="1" s="1"/>
  <c r="IQ89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Q131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4" i="1" l="1"/>
  <c r="IP133" i="1"/>
  <c r="IV61" i="1"/>
  <c r="IQ70" i="1"/>
  <c r="IV76" i="1"/>
  <c r="IQ85" i="1"/>
  <c r="IV63" i="1"/>
  <c r="IQ72" i="1"/>
  <c r="IQ98" i="1"/>
  <c r="IV89" i="1"/>
  <c r="IQ114" i="1"/>
  <c r="IV41" i="1"/>
  <c r="IQ50" i="1"/>
  <c r="IQ52" i="1"/>
  <c r="IV48" i="1"/>
  <c r="AQ121" i="1"/>
  <c r="IP130" i="1"/>
  <c r="IQ97" i="1"/>
  <c r="IV88" i="1"/>
  <c r="IQ78" i="1"/>
  <c r="IV72" i="1"/>
  <c r="IV60" i="1"/>
  <c r="IQ69" i="1"/>
  <c r="IV78" i="1"/>
  <c r="IQ87" i="1"/>
  <c r="IQ76" i="1"/>
  <c r="IV70" i="1"/>
  <c r="AD86" i="1"/>
  <c r="AH86" i="1" s="1"/>
  <c r="IQ95" i="1"/>
  <c r="IV86" i="1"/>
  <c r="IV99" i="1"/>
  <c r="IQ108" i="1"/>
  <c r="IV77" i="1"/>
  <c r="IQ86" i="1"/>
  <c r="AQ125" i="1"/>
  <c r="IP134" i="1"/>
  <c r="IQ96" i="1"/>
  <c r="IV87" i="1"/>
  <c r="Q98" i="1"/>
  <c r="IQ94" i="1"/>
  <c r="IV85" i="1"/>
  <c r="R90" i="1"/>
  <c r="X90" i="1" s="1"/>
  <c r="IU90" i="1" s="1"/>
  <c r="IE90" i="1" s="1"/>
  <c r="AQ91" i="1"/>
  <c r="IU91" i="1"/>
  <c r="IE91" i="1" s="1"/>
  <c r="IV83" i="1"/>
  <c r="IQ92" i="1"/>
  <c r="IQ112" i="1"/>
  <c r="IU82" i="1"/>
  <c r="IE82" i="1" s="1"/>
  <c r="IP91" i="1"/>
  <c r="IQ111" i="1"/>
  <c r="AQ129" i="1"/>
  <c r="IU129" i="1"/>
  <c r="IE129" i="1" s="1"/>
  <c r="IQ115" i="1"/>
  <c r="IV108" i="1"/>
  <c r="IQ54" i="1"/>
  <c r="IV50" i="1"/>
  <c r="IV59" i="1"/>
  <c r="IQ68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IP49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71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7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31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8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9" i="1" s="1"/>
  <c r="R108" i="1"/>
  <c r="X108" i="1" s="1"/>
  <c r="IU108" i="1" s="1"/>
  <c r="IE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P92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7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IP48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IP108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9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6" i="1" s="1"/>
  <c r="V76" i="1"/>
  <c r="R76" i="1"/>
  <c r="X76" i="1" s="1"/>
  <c r="IP85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2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19" i="1" l="1"/>
  <c r="IP128" i="1"/>
  <c r="IP102" i="1"/>
  <c r="IP90" i="1"/>
  <c r="IP52" i="1"/>
  <c r="IU48" i="1"/>
  <c r="IE48" i="1" s="1"/>
  <c r="AQ110" i="1"/>
  <c r="IU110" i="1"/>
  <c r="IE110" i="1" s="1"/>
  <c r="IU61" i="1"/>
  <c r="IE61" i="1" s="1"/>
  <c r="IP70" i="1"/>
  <c r="AQ109" i="1"/>
  <c r="IU109" i="1"/>
  <c r="IE109" i="1" s="1"/>
  <c r="AG108" i="1"/>
  <c r="AQ128" i="1"/>
  <c r="IU128" i="1"/>
  <c r="IE128" i="1" s="1"/>
  <c r="AQ120" i="1"/>
  <c r="IP129" i="1"/>
  <c r="AQ126" i="1"/>
  <c r="IP135" i="1"/>
  <c r="AQ92" i="1"/>
  <c r="IU92" i="1"/>
  <c r="IE92" i="1" s="1"/>
  <c r="IP28" i="1"/>
  <c r="AQ123" i="1"/>
  <c r="IP132" i="1"/>
  <c r="AQ122" i="1"/>
  <c r="IP131" i="1"/>
  <c r="AJ111" i="1"/>
  <c r="IP54" i="1"/>
  <c r="IU50" i="1"/>
  <c r="IE50" i="1" s="1"/>
  <c r="IU59" i="1"/>
  <c r="IE59" i="1" s="1"/>
  <c r="IP68" i="1"/>
  <c r="IU41" i="1"/>
  <c r="IE41" i="1" s="1"/>
  <c r="IP50" i="1"/>
  <c r="IU60" i="1"/>
  <c r="IE60" i="1" s="1"/>
  <c r="IP69" i="1"/>
  <c r="AI108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IL128" i="1" s="1"/>
  <c r="W126" i="1"/>
  <c r="W92" i="1"/>
  <c r="W125" i="1"/>
  <c r="IL134" i="1" s="1"/>
  <c r="W114" i="1"/>
  <c r="W95" i="1"/>
  <c r="W109" i="1"/>
  <c r="W104" i="1"/>
  <c r="W99" i="1"/>
  <c r="IL108" i="1" s="1"/>
  <c r="W94" i="1"/>
  <c r="W121" i="1"/>
  <c r="IL130" i="1" s="1"/>
  <c r="W107" i="1"/>
  <c r="W132" i="1"/>
  <c r="W108" i="1"/>
  <c r="W124" i="1"/>
  <c r="W116" i="1"/>
  <c r="W117" i="1"/>
  <c r="W111" i="1"/>
  <c r="W102" i="1"/>
  <c r="W122" i="1"/>
  <c r="IL131" i="1" s="1"/>
  <c r="W131" i="1"/>
  <c r="W110" i="1"/>
  <c r="W127" i="1"/>
  <c r="W97" i="1"/>
  <c r="W112" i="1"/>
  <c r="W103" i="1"/>
  <c r="W101" i="1"/>
  <c r="IL110" i="1" s="1"/>
  <c r="W123" i="1"/>
  <c r="IL132" i="1" s="1"/>
  <c r="W120" i="1"/>
  <c r="IL129" i="1" s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2" i="1" s="1"/>
  <c r="W84" i="1"/>
  <c r="W81" i="1"/>
  <c r="IL90" i="1" s="1"/>
  <c r="W82" i="1"/>
  <c r="IL91" i="1" s="1"/>
  <c r="W79" i="1"/>
  <c r="W80" i="1"/>
  <c r="W77" i="1"/>
  <c r="IL86" i="1" s="1"/>
  <c r="W78" i="1"/>
  <c r="IL87" i="1" s="1"/>
  <c r="W75" i="1"/>
  <c r="W76" i="1"/>
  <c r="IL85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IL70" i="1" s="1"/>
  <c r="W62" i="1"/>
  <c r="IL71" i="1" s="1"/>
  <c r="W59" i="1"/>
  <c r="W60" i="1"/>
  <c r="IL69" i="1" s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IL50" i="1" s="1"/>
  <c r="W42" i="1"/>
  <c r="W39" i="1"/>
  <c r="W40" i="1"/>
  <c r="W37" i="1"/>
  <c r="W38" i="1"/>
  <c r="IL47" i="1" s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35" i="1" l="1"/>
  <c r="IL46" i="1"/>
  <c r="IL89" i="1"/>
  <c r="IL133" i="1"/>
  <c r="IL109" i="1"/>
  <c r="IL49" i="1"/>
  <c r="IL48" i="1"/>
  <c r="IL72" i="1"/>
  <c r="IL88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9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IT110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T128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T70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IT89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IT49" i="1" s="1"/>
  <c r="U40" i="1"/>
  <c r="T40" i="1"/>
  <c r="T39" i="1"/>
  <c r="AL39" i="1"/>
  <c r="AN39" i="1" s="1"/>
  <c r="IT48" i="1" s="1"/>
  <c r="AL38" i="1"/>
  <c r="AN38" i="1" s="1"/>
  <c r="IT47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0" i="1" l="1"/>
  <c r="IT69" i="1"/>
  <c r="IT96" i="1"/>
  <c r="IY87" i="1"/>
  <c r="IT98" i="1"/>
  <c r="IY89" i="1"/>
  <c r="IY76" i="1"/>
  <c r="IT85" i="1"/>
  <c r="IY82" i="1"/>
  <c r="IT91" i="1"/>
  <c r="IT94" i="1"/>
  <c r="IY85" i="1"/>
  <c r="IS94" i="1"/>
  <c r="IX85" i="1"/>
  <c r="IT112" i="1"/>
  <c r="IF49" i="1"/>
  <c r="IT77" i="1"/>
  <c r="IY71" i="1"/>
  <c r="IF71" i="1" s="1"/>
  <c r="IY41" i="1"/>
  <c r="IT50" i="1"/>
  <c r="IY62" i="1"/>
  <c r="IT71" i="1"/>
  <c r="IS77" i="1"/>
  <c r="IX71" i="1"/>
  <c r="IT99" i="1"/>
  <c r="IY90" i="1"/>
  <c r="IY63" i="1"/>
  <c r="IT72" i="1"/>
  <c r="IS98" i="1"/>
  <c r="IX89" i="1"/>
  <c r="IY99" i="1"/>
  <c r="IT108" i="1"/>
  <c r="IT114" i="1"/>
  <c r="IX41" i="1"/>
  <c r="IS50" i="1"/>
  <c r="IY77" i="1"/>
  <c r="IT86" i="1"/>
  <c r="IY81" i="1"/>
  <c r="IT90" i="1"/>
  <c r="IT113" i="1"/>
  <c r="IT97" i="1"/>
  <c r="IY88" i="1"/>
  <c r="IY83" i="1"/>
  <c r="IT92" i="1"/>
  <c r="IT78" i="1"/>
  <c r="IY72" i="1"/>
  <c r="IT95" i="1"/>
  <c r="IY86" i="1"/>
  <c r="IT115" i="1"/>
  <c r="IY108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IS110" i="1" s="1"/>
  <c r="AP101" i="1"/>
  <c r="AO128" i="1"/>
  <c r="IX128" i="1" s="1"/>
  <c r="IF128" i="1" s="1"/>
  <c r="AP128" i="1"/>
  <c r="AO122" i="1"/>
  <c r="IS131" i="1" s="1"/>
  <c r="AP122" i="1"/>
  <c r="BA77" i="7"/>
  <c r="BA81" i="7"/>
  <c r="AO98" i="1"/>
  <c r="IX98" i="1" s="1"/>
  <c r="IF98" i="1" s="1"/>
  <c r="AP98" i="1"/>
  <c r="AO106" i="1"/>
  <c r="AP106" i="1"/>
  <c r="AO119" i="1"/>
  <c r="IS128" i="1" s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IS132" i="1" s="1"/>
  <c r="AO108" i="1"/>
  <c r="AP108" i="1"/>
  <c r="AO133" i="1"/>
  <c r="IX133" i="1" s="1"/>
  <c r="IF133" i="1" s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IX135" i="1" s="1"/>
  <c r="IF135" i="1" s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IS134" i="1" s="1"/>
  <c r="AP115" i="1"/>
  <c r="AO115" i="1"/>
  <c r="IX115" i="1" s="1"/>
  <c r="IF115" i="1" s="1"/>
  <c r="AP110" i="1"/>
  <c r="AO110" i="1"/>
  <c r="IX110" i="1" s="1"/>
  <c r="IF110" i="1" s="1"/>
  <c r="AP134" i="1"/>
  <c r="AO134" i="1"/>
  <c r="IX134" i="1" s="1"/>
  <c r="IF134" i="1" s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IX130" i="1" s="1"/>
  <c r="IF130" i="1" s="1"/>
  <c r="AP130" i="1"/>
  <c r="AP137" i="1"/>
  <c r="AO137" i="1"/>
  <c r="AO127" i="1"/>
  <c r="AP127" i="1"/>
  <c r="AP131" i="1"/>
  <c r="AO131" i="1"/>
  <c r="IX131" i="1" s="1"/>
  <c r="IF131" i="1" s="1"/>
  <c r="AO96" i="1"/>
  <c r="IX96" i="1" s="1"/>
  <c r="IF96" i="1" s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IS130" i="1" s="1"/>
  <c r="AP107" i="1"/>
  <c r="AO107" i="1"/>
  <c r="IS114" i="1" s="1"/>
  <c r="AP100" i="1"/>
  <c r="AO100" i="1"/>
  <c r="IS109" i="1" s="1"/>
  <c r="AO116" i="1"/>
  <c r="IX116" i="1" s="1"/>
  <c r="IF116" i="1" s="1"/>
  <c r="AP116" i="1"/>
  <c r="BA52" i="7"/>
  <c r="AO132" i="1"/>
  <c r="IX132" i="1" s="1"/>
  <c r="IF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IX129" i="1" s="1"/>
  <c r="IF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IS88" i="1" s="1"/>
  <c r="AP79" i="1"/>
  <c r="AP80" i="1"/>
  <c r="AO80" i="1"/>
  <c r="IS89" i="1" s="1"/>
  <c r="AO77" i="1"/>
  <c r="AP77" i="1"/>
  <c r="AP78" i="1"/>
  <c r="AO78" i="1"/>
  <c r="IS87" i="1" s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S70" i="1" s="1"/>
  <c r="AP61" i="1"/>
  <c r="AO59" i="1"/>
  <c r="IX59" i="1" s="1"/>
  <c r="IF59" i="1" s="1"/>
  <c r="AP59" i="1"/>
  <c r="AO60" i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IS49" i="1" s="1"/>
  <c r="AP40" i="1"/>
  <c r="AO39" i="1"/>
  <c r="IS48" i="1" s="1"/>
  <c r="AP39" i="1"/>
  <c r="AP37" i="1"/>
  <c r="AO37" i="1"/>
  <c r="AO38" i="1"/>
  <c r="IS47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5" i="1" l="1"/>
  <c r="IX69" i="1"/>
  <c r="IF69" i="1" s="1"/>
  <c r="IX83" i="1"/>
  <c r="IF83" i="1" s="1"/>
  <c r="IS92" i="1"/>
  <c r="IS97" i="1"/>
  <c r="IX88" i="1"/>
  <c r="IF88" i="1" s="1"/>
  <c r="IS46" i="1"/>
  <c r="IS112" i="1"/>
  <c r="IF89" i="1"/>
  <c r="IX76" i="1"/>
  <c r="IF76" i="1" s="1"/>
  <c r="IS85" i="1"/>
  <c r="IX60" i="1"/>
  <c r="IF60" i="1" s="1"/>
  <c r="IS69" i="1"/>
  <c r="IS78" i="1"/>
  <c r="IX72" i="1"/>
  <c r="IS96" i="1"/>
  <c r="IX87" i="1"/>
  <c r="IX99" i="1"/>
  <c r="IF99" i="1" s="1"/>
  <c r="IS108" i="1"/>
  <c r="IF87" i="1"/>
  <c r="IS52" i="1"/>
  <c r="IX48" i="1"/>
  <c r="IF48" i="1" s="1"/>
  <c r="IX63" i="1"/>
  <c r="IF63" i="1" s="1"/>
  <c r="IS72" i="1"/>
  <c r="IS99" i="1"/>
  <c r="IX90" i="1"/>
  <c r="IS115" i="1"/>
  <c r="IX108" i="1"/>
  <c r="IF108" i="1" s="1"/>
  <c r="IX82" i="1"/>
  <c r="IF82" i="1" s="1"/>
  <c r="IS91" i="1"/>
  <c r="IS95" i="1"/>
  <c r="IX86" i="1"/>
  <c r="IF86" i="1" s="1"/>
  <c r="IF72" i="1"/>
  <c r="IF90" i="1"/>
  <c r="IT29" i="1"/>
  <c r="IY47" i="1"/>
  <c r="IF47" i="1" s="1"/>
  <c r="IS113" i="1"/>
  <c r="IS54" i="1"/>
  <c r="IX50" i="1"/>
  <c r="IF50" i="1" s="1"/>
  <c r="IX62" i="1"/>
  <c r="IF62" i="1" s="1"/>
  <c r="IS71" i="1"/>
  <c r="IX77" i="1"/>
  <c r="IF77" i="1" s="1"/>
  <c r="IS86" i="1"/>
  <c r="IX81" i="1"/>
  <c r="IF81" i="1" s="1"/>
  <c r="IS90" i="1"/>
  <c r="IF85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<sst xmlns="http://schemas.openxmlformats.org/spreadsheetml/2006/main" count="734" uniqueCount="391">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</sst>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17.5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8.75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17.5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79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-0.60950183825754412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0.34290103418951912</v>
      </c>
      <c r="D9" s="704">
        <v>-1.2058036367037683</v>
      </c>
      <c r="E9" s="705">
        <v>-0.93969262078590843</v>
      </c>
      <c r="F9" s="703">
        <v>-8.8521314413819635E-2</v>
      </c>
      <c r="G9" s="706">
        <v>0.33036609289538282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0.34290103418951912</v>
      </c>
      <c r="P9" s="625">
        <f t="shared" ref="P9:P40" si="4">IF(M9="","",D9)</f>
        <v>-1.2058036367037683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0.34290103418951912</v>
      </c>
      <c r="S9" s="626">
        <f>IF(M9="","",P9)</f>
        <v>-1.2058036367037683</v>
      </c>
      <c r="T9" s="627">
        <f>IF(M9="","",X9*COS(RADIANS(W9)))</f>
        <v>0.34290103418951912</v>
      </c>
      <c r="U9" s="624">
        <f>IF(M9="","",X9*SIN(RADIANS(W9)))</f>
        <v>0</v>
      </c>
      <c r="V9" s="628">
        <f>IF(M9="","",Y9)</f>
        <v>-1.2058036367037683</v>
      </c>
      <c r="W9" s="583">
        <f t="shared" ref="W9:W14" si="5">IF(M9="","",IF(Q9-$Q$8&lt;0,360+Q9-$Q$8,Q9-$Q$8))</f>
        <v>0</v>
      </c>
      <c r="X9" s="629">
        <f>IF(M9="","",R9)</f>
        <v>0.34290103418951912</v>
      </c>
      <c r="Y9" s="630">
        <f>IF(M9="","",S9)</f>
        <v>-1.2058036367037683</v>
      </c>
      <c r="Z9" s="623">
        <f t="shared" ref="Z9:Z40" si="6">IF(M9="","",-E9)</f>
        <v>0.93969262078590843</v>
      </c>
      <c r="AA9" s="624">
        <f t="shared" ref="AA9:AA40" si="7">IF(M9="","",-F9)</f>
        <v>8.8521314413819635E-2</v>
      </c>
      <c r="AB9" s="624">
        <f t="shared" ref="AB9:AB40" si="8">IF(M9="","",-G9)</f>
        <v>-0.33036609289538282</v>
      </c>
      <c r="AC9" s="628">
        <f>IF(M9="","",SQRT(Z9^2+AA9^2+AB9^2))</f>
        <v>1</v>
      </c>
      <c r="AD9" s="631">
        <f>IF(M9="","",Z9*(1/SQRT(Z9^2+AA9^2+AB9^2)))</f>
        <v>0.93969262078590843</v>
      </c>
      <c r="AE9" s="624">
        <f>IF(M9="","",AA9*(1/SQRT(Z9^2+AA9^2+AB9^2)))</f>
        <v>8.8521314413819635E-2</v>
      </c>
      <c r="AF9" s="625">
        <f>IF(M9="","",AB9*(1/SQRT(Z9^2+AA9^2+AB9^2)))</f>
        <v>-0.33036609289538282</v>
      </c>
      <c r="AG9" s="599">
        <f>IF(M9="","",DEGREES(ATAN2(-AF9,AE9)))</f>
        <v>14.999997834268267</v>
      </c>
      <c r="AH9" s="600">
        <f>IF(M9="","",DEGREES(ACOS(AD9)))</f>
        <v>19.999999999999989</v>
      </c>
      <c r="AI9" s="583">
        <f>IF(M9="","",DEGREES(-ACOS(-AF9)))</f>
        <v>-70.709002660911167</v>
      </c>
      <c r="AJ9" s="601">
        <f>IF(M9="","",DEGREES(ATAN2(-AE9,AD9)))</f>
        <v>95.381519601179576</v>
      </c>
      <c r="AK9" s="627">
        <f>IF(M9="","",(COS(RADIANS((90-$Q$8)-W9))*AD9)+(-SIN(RADIANS((90-$Q$8)-W9))*AE9))</f>
        <v>0.93969262078590843</v>
      </c>
      <c r="AL9" s="624">
        <f>IF(M9="","",(SIN(RADIANS((90-$Q$8)-W9))*AD9)+(COS(RADIANS((90-$Q$8)-W9))*AE9))</f>
        <v>8.8521314413819635E-2</v>
      </c>
      <c r="AM9" s="626">
        <f>IF(M9="","",AF9)</f>
        <v>-0.33036609289538282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19.999999999999989</v>
      </c>
      <c r="AP9" s="781">
        <f>IF(M9="","",DEGREES(ATAN2(AK9,AL9)))</f>
        <v>5.3815196011795825</v>
      </c>
      <c r="AQ9" s="584">
        <f t="shared" ref="AQ9:AQ40" si="9">IF(M9="","",DEGREES(ATAN(($AS$5*SIN(RADIANS(90)))/(($X9*2*PI())-($AS$5*COS(RADIANS(90)))))))</f>
        <v>6.6187519436557052</v>
      </c>
      <c r="AS9" s="51">
        <f>IF(M9="","",W9)</f>
        <v>0</v>
      </c>
      <c r="AT9" s="71">
        <f t="shared" ref="AT9:AT40" si="10">IF(M9="","",Y9+(((AS9-$AS$9)*$AS$6)*-1))</f>
        <v>-1.2058036367037683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79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-1.2805537470301234E-17</v>
      </c>
      <c r="C10" s="708">
        <v>1.0848032717666678</v>
      </c>
      <c r="D10" s="709">
        <v>-1.007103037422761</v>
      </c>
      <c r="E10" s="710">
        <v>-0.93969262078590843</v>
      </c>
      <c r="F10" s="708">
        <v>-8.8521314413819621E-2</v>
      </c>
      <c r="G10" s="711">
        <v>0.33036609289538282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-1.2805537470301234E-17</v>
      </c>
      <c r="O10" s="629">
        <f t="shared" si="3"/>
        <v>1.0848032717666678</v>
      </c>
      <c r="P10" s="633">
        <f t="shared" si="4"/>
        <v>-1.007103037422761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1.0848032717666678</v>
      </c>
      <c r="S10" s="634">
        <f t="shared" ref="S10:S105" si="80">IF(M10="","",P10)</f>
        <v>-1.007103037422761</v>
      </c>
      <c r="T10" s="635">
        <f t="shared" ref="T10:T105" si="81">IF(M10="","",X10*COS(RADIANS(W10)))</f>
        <v>1.0848032717666678</v>
      </c>
      <c r="U10" s="629">
        <f t="shared" ref="U10:U105" si="82">IF(M10="","",X10*SIN(RADIANS(W10)))</f>
        <v>0</v>
      </c>
      <c r="V10" s="636">
        <f>IF(M10="","",Y10)</f>
        <v>-1.007103037422761</v>
      </c>
      <c r="W10" s="585">
        <f t="shared" si="5"/>
        <v>0</v>
      </c>
      <c r="X10" s="629">
        <f t="shared" ref="X10:X105" si="83">IF(M10="","",R10)</f>
        <v>1.0848032717666678</v>
      </c>
      <c r="Y10" s="630">
        <f>IF(M10="","",S10)</f>
        <v>-1.007103037422761</v>
      </c>
      <c r="Z10" s="632">
        <f t="shared" si="6"/>
        <v>0.93969262078590843</v>
      </c>
      <c r="AA10" s="629">
        <f t="shared" si="7"/>
        <v>8.8521314413819621E-2</v>
      </c>
      <c r="AB10" s="629">
        <f t="shared" si="8"/>
        <v>-0.33036609289538282</v>
      </c>
      <c r="AC10" s="636">
        <f t="shared" ref="AC10:AC105" si="84">IF(M10="","",SQRT(Z10^2+AA10^2+AB10^2))</f>
        <v>1</v>
      </c>
      <c r="AD10" s="637">
        <f>IF(M10="","",Z10*(1/SQRT(Z10^2+AA10^2+AB10^2)))</f>
        <v>0.93969262078590843</v>
      </c>
      <c r="AE10" s="629">
        <f t="shared" ref="AE10:AE105" si="85">IF(M10="","",AA10*(1/SQRT(Z10^2+AA10^2+AB10^2)))</f>
        <v>8.8521314413819621E-2</v>
      </c>
      <c r="AF10" s="633">
        <f t="shared" ref="AF10:AF105" si="86">IF(M10="","",AB10*(1/SQRT(Z10^2+AA10^2+AB10^2)))</f>
        <v>-0.33036609289538282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19.999999999999989</v>
      </c>
      <c r="AI10" s="585">
        <f t="shared" ref="AI10:AI105" si="89">IF(M10="","",DEGREES(-ACOS(-AF10)))</f>
        <v>-70.709002660911167</v>
      </c>
      <c r="AJ10" s="586">
        <f t="shared" ref="AJ10:AJ105" si="90">IF(M10="","",DEGREES(ATAN2(-AE10,AD10)))</f>
        <v>95.381519601179576</v>
      </c>
      <c r="AK10" s="635">
        <f>IF(M10="","",(COS(RADIANS((90-$Q$8)-W10))*AD10)+(-SIN(RADIANS((90-$Q$8)-W10))*AE10))</f>
        <v>0.93969262078590843</v>
      </c>
      <c r="AL10" s="629">
        <f t="shared" ref="AL10:AL105" si="91">IF(M10="","",(SIN(RADIANS((90-$Q$8)-W10))*AD10)+(COS(RADIANS((90-$Q$8)-W10))*AE10))</f>
        <v>8.8521314413819621E-2</v>
      </c>
      <c r="AM10" s="634">
        <f t="shared" ref="AM10:AM105" si="92">IF(M10="","",AF10)</f>
        <v>-0.33036609289538282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19.999999999999989</v>
      </c>
      <c r="AP10" s="585">
        <f t="shared" ref="AP10:AP105" si="95">IF(M10="","",DEGREES(ATAN2(AK10,AL10)))</f>
        <v>5.3815196011795816</v>
      </c>
      <c r="AQ10" s="586">
        <f t="shared" si="9"/>
        <v>2.1005699486709584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-1.007103037422761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-2.347681869555226E-17</v>
      </c>
      <c r="C11" s="708">
        <v>1.8266055090422155</v>
      </c>
      <c r="D11" s="709">
        <v>-0.80830243784015254</v>
      </c>
      <c r="E11" s="710">
        <v>-0.93969262078590843</v>
      </c>
      <c r="F11" s="708">
        <v>-8.8521314413819635E-2</v>
      </c>
      <c r="G11" s="711">
        <v>0.33036609289538282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-2.347681869555226E-17</v>
      </c>
      <c r="O11" s="629">
        <f t="shared" si="3"/>
        <v>1.8266055090422155</v>
      </c>
      <c r="P11" s="633">
        <f t="shared" si="4"/>
        <v>-0.80830243784015254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1.8266055090422155</v>
      </c>
      <c r="S11" s="634">
        <f t="shared" si="80"/>
        <v>-0.80830243784015254</v>
      </c>
      <c r="T11" s="635">
        <f t="shared" si="81"/>
        <v>1.8266055090422155</v>
      </c>
      <c r="U11" s="629">
        <f t="shared" si="82"/>
        <v>0</v>
      </c>
      <c r="V11" s="636">
        <f t="shared" ref="V11:V105" si="114">IF(M11="","",Y11)</f>
        <v>-0.80830243784015254</v>
      </c>
      <c r="W11" s="585">
        <f t="shared" si="5"/>
        <v>0</v>
      </c>
      <c r="X11" s="629">
        <f>IF(M11="","",R11)</f>
        <v>1.8266055090422155</v>
      </c>
      <c r="Y11" s="630">
        <f>IF(M11="","",S11)</f>
        <v>-0.80830243784015254</v>
      </c>
      <c r="Z11" s="632">
        <f t="shared" si="6"/>
        <v>0.93969262078590843</v>
      </c>
      <c r="AA11" s="629">
        <f t="shared" si="7"/>
        <v>8.8521314413819635E-2</v>
      </c>
      <c r="AB11" s="629">
        <f t="shared" si="8"/>
        <v>-0.33036609289538282</v>
      </c>
      <c r="AC11" s="636">
        <f t="shared" si="84"/>
        <v>1</v>
      </c>
      <c r="AD11" s="637">
        <f t="shared" ref="AD11:AD105" si="115">IF(M11="","",Z11*(1/SQRT(Z11^2+AA11^2+AB11^2)))</f>
        <v>0.93969262078590843</v>
      </c>
      <c r="AE11" s="629">
        <f t="shared" si="85"/>
        <v>8.8521314413819635E-2</v>
      </c>
      <c r="AF11" s="633">
        <f t="shared" si="86"/>
        <v>-0.33036609289538282</v>
      </c>
      <c r="AG11" s="602">
        <f>IF(M11="","",DEGREES(ATAN2(-AF11,AE11)))</f>
        <v>14.999997834268267</v>
      </c>
      <c r="AH11" s="603">
        <f t="shared" si="88"/>
        <v>19.999999999999989</v>
      </c>
      <c r="AI11" s="585">
        <f t="shared" si="89"/>
        <v>-70.709002660911167</v>
      </c>
      <c r="AJ11" s="586">
        <f t="shared" si="90"/>
        <v>95.381519601179576</v>
      </c>
      <c r="AK11" s="635">
        <f>IF(M11="","",(COS(RADIANS((90-$Q$8)-W11))*AD11)+(-SIN(RADIANS((90-$Q$8)-W11))*AE11))</f>
        <v>0.93969262078590843</v>
      </c>
      <c r="AL11" s="629">
        <f t="shared" si="91"/>
        <v>8.8521314413819635E-2</v>
      </c>
      <c r="AM11" s="634">
        <f t="shared" si="92"/>
        <v>-0.33036609289538282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19.999999999999989</v>
      </c>
      <c r="AP11" s="585">
        <f t="shared" si="95"/>
        <v>5.3815196011795825</v>
      </c>
      <c r="AQ11" s="586">
        <f t="shared" si="9"/>
        <v>1.24786997031425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-0.80830243784015254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4.2685124901004113E-18</v>
      </c>
      <c r="C12" s="708">
        <v>2.5684077463177637</v>
      </c>
      <c r="D12" s="709">
        <v>-0.60950183825754412</v>
      </c>
      <c r="E12" s="710">
        <v>-0.93969262078590843</v>
      </c>
      <c r="F12" s="708">
        <v>-8.8521314413819621E-2</v>
      </c>
      <c r="G12" s="711">
        <v>0.33036609289538282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4.2685124901004113E-18</v>
      </c>
      <c r="O12" s="629">
        <f t="shared" si="3"/>
        <v>2.5684077463177637</v>
      </c>
      <c r="P12" s="633">
        <f t="shared" si="4"/>
        <v>-0.60950183825754412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2.5684077463177637</v>
      </c>
      <c r="S12" s="634">
        <f t="shared" si="80"/>
        <v>-0.60950183825754412</v>
      </c>
      <c r="T12" s="635">
        <f>IF(M12="","",X12*COS(RADIANS(W12)))</f>
        <v>2.5684077463177637</v>
      </c>
      <c r="U12" s="629">
        <f t="shared" si="82"/>
        <v>0</v>
      </c>
      <c r="V12" s="636">
        <f t="shared" si="114"/>
        <v>-0.60950183825754412</v>
      </c>
      <c r="W12" s="585">
        <f>IF(M12="","",IF(Q12-$Q$8&lt;0,360+Q12-$Q$8,Q12-$Q$8))</f>
        <v>0</v>
      </c>
      <c r="X12" s="629">
        <f t="shared" si="83"/>
        <v>2.5684077463177637</v>
      </c>
      <c r="Y12" s="630">
        <f>IF(M12="","",S12)</f>
        <v>-0.60950183825754412</v>
      </c>
      <c r="Z12" s="632">
        <f t="shared" si="6"/>
        <v>0.93969262078590843</v>
      </c>
      <c r="AA12" s="629">
        <f t="shared" si="7"/>
        <v>8.8521314413819621E-2</v>
      </c>
      <c r="AB12" s="629">
        <f t="shared" si="8"/>
        <v>-0.33036609289538282</v>
      </c>
      <c r="AC12" s="636">
        <f t="shared" si="84"/>
        <v>1</v>
      </c>
      <c r="AD12" s="637">
        <f t="shared" si="115"/>
        <v>0.93969262078590843</v>
      </c>
      <c r="AE12" s="629">
        <f t="shared" si="85"/>
        <v>8.8521314413819621E-2</v>
      </c>
      <c r="AF12" s="633">
        <f t="shared" si="86"/>
        <v>-0.33036609289538282</v>
      </c>
      <c r="AG12" s="602">
        <f t="shared" si="87"/>
        <v>14.999997834268264</v>
      </c>
      <c r="AH12" s="603">
        <f t="shared" si="88"/>
        <v>19.999999999999989</v>
      </c>
      <c r="AI12" s="585">
        <f t="shared" si="89"/>
        <v>-70.709002660911167</v>
      </c>
      <c r="AJ12" s="586">
        <f t="shared" si="90"/>
        <v>95.381519601179576</v>
      </c>
      <c r="AK12" s="635">
        <f t="shared" ref="AK12:AK105" si="211">IF(M12="","",(COS(RADIANS((90-$Q$8)-W12))*AD12)+(-SIN(RADIANS((90-$Q$8)-W12))*AE12))</f>
        <v>0.93969262078590843</v>
      </c>
      <c r="AL12" s="629">
        <f>IF(M12="","",(SIN(RADIANS((90-$Q$8)-W12))*AD12)+(COS(RADIANS((90-$Q$8)-W12))*AE12))</f>
        <v>8.8521314413819621E-2</v>
      </c>
      <c r="AM12" s="634">
        <f t="shared" si="92"/>
        <v>-0.33036609289538282</v>
      </c>
      <c r="AN12" s="581">
        <f>IF(M12="","",DEGREES(ATAN2(-AM12,AL12)))</f>
        <v>14.999997834268264</v>
      </c>
      <c r="AO12" s="582">
        <f t="shared" si="94"/>
        <v>19.999999999999989</v>
      </c>
      <c r="AP12" s="585">
        <f t="shared" si="95"/>
        <v>5.3815196011795816</v>
      </c>
      <c r="AQ12" s="586">
        <f t="shared" si="9"/>
        <v>0.88753208725673993</v>
      </c>
      <c r="AS12" s="52">
        <f t="shared" si="116"/>
        <v>0</v>
      </c>
      <c r="AT12" s="72">
        <f>IF(M12="","",Y12+(((AS12-$AS$9)*$AS$6)*-1))</f>
        <v>-0.60950183825754412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</v>
      </c>
      <c r="C13" s="708">
        <v>3.3102099835933108</v>
      </c>
      <c r="D13" s="709">
        <v>-0.41080123897653675</v>
      </c>
      <c r="E13" s="710">
        <v>-0.93969262078590843</v>
      </c>
      <c r="F13" s="708">
        <v>-8.8521314413819621E-2</v>
      </c>
      <c r="G13" s="711">
        <v>0.33036609289538282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0</v>
      </c>
      <c r="O13" s="629">
        <f t="shared" si="3"/>
        <v>3.3102099835933108</v>
      </c>
      <c r="P13" s="633">
        <f t="shared" si="4"/>
        <v>-0.41080123897653675</v>
      </c>
      <c r="Q13" s="585">
        <f t="shared" si="113"/>
        <v>90</v>
      </c>
      <c r="R13" s="629">
        <f t="shared" si="79"/>
        <v>3.3102099835933108</v>
      </c>
      <c r="S13" s="634">
        <f t="shared" si="80"/>
        <v>-0.41080123897653675</v>
      </c>
      <c r="T13" s="635">
        <f>IF(M13="","",X13*COS(RADIANS(W13)))</f>
        <v>3.3102099835933108</v>
      </c>
      <c r="U13" s="629">
        <f t="shared" si="82"/>
        <v>0</v>
      </c>
      <c r="V13" s="636">
        <f t="shared" si="114"/>
        <v>-0.41080123897653675</v>
      </c>
      <c r="W13" s="585">
        <f t="shared" si="5"/>
        <v>0</v>
      </c>
      <c r="X13" s="629">
        <f t="shared" si="83"/>
        <v>3.3102099835933108</v>
      </c>
      <c r="Y13" s="630">
        <f>IF(M13="","",S13)</f>
        <v>-0.41080123897653675</v>
      </c>
      <c r="Z13" s="632">
        <f t="shared" si="6"/>
        <v>0.93969262078590843</v>
      </c>
      <c r="AA13" s="629">
        <f t="shared" si="7"/>
        <v>8.8521314413819621E-2</v>
      </c>
      <c r="AB13" s="629">
        <f t="shared" si="8"/>
        <v>-0.33036609289538282</v>
      </c>
      <c r="AC13" s="636">
        <f t="shared" si="84"/>
        <v>1</v>
      </c>
      <c r="AD13" s="637">
        <f>IF(M13="","",Z13*(1/SQRT(Z13^2+AA13^2+AB13^2)))</f>
        <v>0.93969262078590843</v>
      </c>
      <c r="AE13" s="629">
        <f t="shared" si="85"/>
        <v>8.8521314413819621E-2</v>
      </c>
      <c r="AF13" s="633">
        <f t="shared" si="86"/>
        <v>-0.33036609289538282</v>
      </c>
      <c r="AG13" s="602">
        <f>IF(M13="","",DEGREES(ATAN2(-AF13,AE13)))</f>
        <v>14.999997834268264</v>
      </c>
      <c r="AH13" s="603">
        <f t="shared" si="88"/>
        <v>19.999999999999989</v>
      </c>
      <c r="AI13" s="585">
        <f t="shared" si="89"/>
        <v>-70.709002660911167</v>
      </c>
      <c r="AJ13" s="586">
        <f t="shared" si="90"/>
        <v>95.381519601179576</v>
      </c>
      <c r="AK13" s="635">
        <f t="shared" si="211"/>
        <v>0.93969262078590843</v>
      </c>
      <c r="AL13" s="629">
        <f t="shared" si="91"/>
        <v>8.8521314413819621E-2</v>
      </c>
      <c r="AM13" s="634">
        <f t="shared" si="92"/>
        <v>-0.33036609289538282</v>
      </c>
      <c r="AN13" s="581">
        <f t="shared" si="93"/>
        <v>14.999997834268264</v>
      </c>
      <c r="AO13" s="582">
        <f t="shared" si="94"/>
        <v>19.999999999999989</v>
      </c>
      <c r="AP13" s="585">
        <f t="shared" si="95"/>
        <v>5.3815196011795816</v>
      </c>
      <c r="AQ13" s="586">
        <f t="shared" si="9"/>
        <v>0.6886623086645417</v>
      </c>
      <c r="AS13" s="52">
        <f t="shared" si="116"/>
        <v>0</v>
      </c>
      <c r="AT13" s="72">
        <f t="shared" si="10"/>
        <v>-0.41080123897653675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-4.2685124901004113E-17</v>
      </c>
      <c r="C14" s="708">
        <v>4.052112221170459</v>
      </c>
      <c r="D14" s="709">
        <v>-0.21200063939392866</v>
      </c>
      <c r="E14" s="710">
        <v>-0.93969262078590843</v>
      </c>
      <c r="F14" s="708">
        <v>-8.8521314413819607E-2</v>
      </c>
      <c r="G14" s="711">
        <v>0.33036609289538282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-4.2685124901004113E-17</v>
      </c>
      <c r="O14" s="629">
        <f t="shared" si="3"/>
        <v>4.052112221170459</v>
      </c>
      <c r="P14" s="633">
        <f t="shared" si="4"/>
        <v>-0.21200063939392866</v>
      </c>
      <c r="Q14" s="585">
        <f t="shared" si="113"/>
        <v>90</v>
      </c>
      <c r="R14" s="629">
        <f t="shared" si="79"/>
        <v>4.052112221170459</v>
      </c>
      <c r="S14" s="634">
        <f t="shared" si="80"/>
        <v>-0.21200063939392866</v>
      </c>
      <c r="T14" s="635">
        <f t="shared" si="81"/>
        <v>4.052112221170459</v>
      </c>
      <c r="U14" s="629">
        <f t="shared" si="82"/>
        <v>0</v>
      </c>
      <c r="V14" s="636">
        <f t="shared" si="114"/>
        <v>-0.21200063939392866</v>
      </c>
      <c r="W14" s="585">
        <f t="shared" si="5"/>
        <v>0</v>
      </c>
      <c r="X14" s="629">
        <f t="shared" si="83"/>
        <v>4.052112221170459</v>
      </c>
      <c r="Y14" s="630">
        <f t="shared" ref="Y14:Y75" si="223">IF(M14="","",S14)</f>
        <v>-0.21200063939392866</v>
      </c>
      <c r="Z14" s="632">
        <f t="shared" si="6"/>
        <v>0.93969262078590843</v>
      </c>
      <c r="AA14" s="629">
        <f t="shared" si="7"/>
        <v>8.8521314413819607E-2</v>
      </c>
      <c r="AB14" s="629">
        <f t="shared" si="8"/>
        <v>-0.33036609289538282</v>
      </c>
      <c r="AC14" s="636">
        <f t="shared" si="84"/>
        <v>1</v>
      </c>
      <c r="AD14" s="637">
        <f>IF(M14="","",Z14*(1/SQRT(Z14^2+AA14^2+AB14^2)))</f>
        <v>0.93969262078590843</v>
      </c>
      <c r="AE14" s="629">
        <f t="shared" si="85"/>
        <v>8.8521314413819607E-2</v>
      </c>
      <c r="AF14" s="633">
        <f t="shared" si="86"/>
        <v>-0.33036609289538282</v>
      </c>
      <c r="AG14" s="602">
        <f t="shared" si="87"/>
        <v>14.999997834268262</v>
      </c>
      <c r="AH14" s="603">
        <f t="shared" si="88"/>
        <v>19.999999999999989</v>
      </c>
      <c r="AI14" s="585">
        <f t="shared" si="89"/>
        <v>-70.709002660911167</v>
      </c>
      <c r="AJ14" s="586">
        <f t="shared" si="90"/>
        <v>95.381519601179576</v>
      </c>
      <c r="AK14" s="635">
        <f>IF(M14="","",(COS(RADIANS((90-$Q$8)-W14))*AD14)+(-SIN(RADIANS((90-$Q$8)-W14))*AE14))</f>
        <v>0.93969262078590843</v>
      </c>
      <c r="AL14" s="629">
        <f t="shared" si="91"/>
        <v>8.8521314413819607E-2</v>
      </c>
      <c r="AM14" s="634">
        <f t="shared" si="92"/>
        <v>-0.33036609289538282</v>
      </c>
      <c r="AN14" s="581">
        <f t="shared" si="93"/>
        <v>14.999997834268262</v>
      </c>
      <c r="AO14" s="582">
        <f t="shared" si="94"/>
        <v>19.999999999999989</v>
      </c>
      <c r="AP14" s="585">
        <f>IF(M14="","",DEGREES(ATAN2(AK14,AL14)))</f>
        <v>5.3815196011795807</v>
      </c>
      <c r="AQ14" s="586">
        <f t="shared" si="9"/>
        <v>0.56258396682995115</v>
      </c>
      <c r="AS14" s="52">
        <f t="shared" si="116"/>
        <v>0</v>
      </c>
      <c r="AT14" s="72">
        <f t="shared" si="10"/>
        <v>-0.21200063939392866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2.9029814780624379E-2</v>
      </c>
      <c r="C15" s="708">
        <v>4.8071268451133022</v>
      </c>
      <c r="D15" s="709">
        <v>-5.5700167991706642E-2</v>
      </c>
      <c r="E15" s="710">
        <v>-0.93817451135558771</v>
      </c>
      <c r="F15" s="708">
        <v>4.5492620233974358E-2</v>
      </c>
      <c r="G15" s="711">
        <v>0.34316032367823601</v>
      </c>
      <c r="H15" s="710">
        <v>0.314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1.1279999999999999</v>
      </c>
      <c r="N15" s="632">
        <f t="shared" si="2"/>
        <v>2.9029814780624379E-2</v>
      </c>
      <c r="O15" s="629">
        <f t="shared" si="3"/>
        <v>4.8071268451133022</v>
      </c>
      <c r="P15" s="633">
        <f t="shared" si="4"/>
        <v>-5.5700167991706642E-2</v>
      </c>
      <c r="Q15" s="585">
        <f t="shared" si="113"/>
        <v>89.654000049956224</v>
      </c>
      <c r="R15" s="629">
        <f t="shared" si="79"/>
        <v>4.8072144985589285</v>
      </c>
      <c r="S15" s="634">
        <f t="shared" si="80"/>
        <v>-5.5700167991706642E-2</v>
      </c>
      <c r="T15" s="635">
        <f t="shared" si="81"/>
        <v>4.8071268451133022</v>
      </c>
      <c r="U15" s="629">
        <f t="shared" si="82"/>
        <v>-2.902981478062696E-2</v>
      </c>
      <c r="V15" s="636">
        <f t="shared" si="114"/>
        <v>-5.5700167991706642E-2</v>
      </c>
      <c r="W15" s="585">
        <f t="shared" ref="W15:W78" si="224">IF(M15="","",IF(Q15-$Q$8&lt;0,360+Q15-$Q$8,Q15-$Q$8))</f>
        <v>359.65400004995621</v>
      </c>
      <c r="X15" s="629">
        <f>IF(M15="","",R15)</f>
        <v>4.8072144985589285</v>
      </c>
      <c r="Y15" s="630">
        <f>IF(M15="","",S15)</f>
        <v>-5.5700167991706642E-2</v>
      </c>
      <c r="Z15" s="632">
        <f t="shared" si="6"/>
        <v>0.93817451135558771</v>
      </c>
      <c r="AA15" s="629">
        <f t="shared" si="7"/>
        <v>-4.5492620233974358E-2</v>
      </c>
      <c r="AB15" s="629">
        <f t="shared" si="8"/>
        <v>-0.34316032367823601</v>
      </c>
      <c r="AC15" s="636">
        <f t="shared" si="84"/>
        <v>1</v>
      </c>
      <c r="AD15" s="637">
        <f t="shared" si="115"/>
        <v>0.93817451135558771</v>
      </c>
      <c r="AE15" s="629">
        <f t="shared" si="85"/>
        <v>-4.5492620233974358E-2</v>
      </c>
      <c r="AF15" s="633">
        <f t="shared" si="86"/>
        <v>-0.34316032367823601</v>
      </c>
      <c r="AG15" s="602">
        <f t="shared" si="87"/>
        <v>-7.5516436370254612</v>
      </c>
      <c r="AH15" s="603">
        <f t="shared" si="88"/>
        <v>20.25278493404678</v>
      </c>
      <c r="AI15" s="585">
        <f t="shared" si="89"/>
        <v>-69.930464528302196</v>
      </c>
      <c r="AJ15" s="586">
        <f t="shared" si="90"/>
        <v>87.223869293153257</v>
      </c>
      <c r="AK15" s="635">
        <f t="shared" si="211"/>
        <v>0.93843212584546121</v>
      </c>
      <c r="AL15" s="629">
        <f t="shared" si="91"/>
        <v>-3.9826340959430336E-2</v>
      </c>
      <c r="AM15" s="634">
        <f t="shared" si="92"/>
        <v>-0.34316032367823601</v>
      </c>
      <c r="AN15" s="581">
        <f>IF(M15="","",DEGREES(ATAN2(-AM15,AL15)))</f>
        <v>-6.6199905681042139</v>
      </c>
      <c r="AO15" s="582">
        <f t="shared" si="94"/>
        <v>20.210102283655097</v>
      </c>
      <c r="AP15" s="585">
        <f t="shared" si="95"/>
        <v>-2.4301307568029284</v>
      </c>
      <c r="AQ15" s="586">
        <f t="shared" si="9"/>
        <v>0.47421944161187779</v>
      </c>
      <c r="AS15" s="52">
        <f t="shared" si="116"/>
        <v>-0.34599995004379025</v>
      </c>
      <c r="AT15" s="72">
        <f t="shared" si="10"/>
        <v>-5.5459890248620677E-2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79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8.2990769133436879E-2</v>
      </c>
      <c r="C16" s="708">
        <v>5.5805997767840978</v>
      </c>
      <c r="D16" s="709">
        <v>-7.320022077186597E-2</v>
      </c>
      <c r="E16" s="710">
        <v>-0.93414060248805708</v>
      </c>
      <c r="F16" s="708">
        <v>0.1377279474702412</v>
      </c>
      <c r="G16" s="711">
        <v>0.32926030320839528</v>
      </c>
      <c r="H16" s="710">
        <v>0.314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1.1339999999999999</v>
      </c>
      <c r="N16" s="632">
        <f t="shared" si="2"/>
        <v>8.2990769133436879E-2</v>
      </c>
      <c r="O16" s="629">
        <f t="shared" si="3"/>
        <v>5.5805997767840978</v>
      </c>
      <c r="P16" s="633">
        <f t="shared" si="4"/>
        <v>-7.320022077186597E-2</v>
      </c>
      <c r="Q16" s="585">
        <f>IF(M16="","",IF(DEGREES(ATAN2(N16,O16))&lt;0,DEGREES(ATAN2(N16,O16))+360,IF(DEGREES(ATAN2(N16,O16))&gt;360,DEGREES(ATAN2(N16,O16))-360,DEGREES(ATAN2(N16,O16)))))</f>
        <v>89.148000123013574</v>
      </c>
      <c r="R16" s="629">
        <f t="shared" si="79"/>
        <v>5.581216832949969</v>
      </c>
      <c r="S16" s="634">
        <f t="shared" si="80"/>
        <v>-7.320022077186597E-2</v>
      </c>
      <c r="T16" s="635">
        <f t="shared" si="81"/>
        <v>5.5805997767840978</v>
      </c>
      <c r="U16" s="629">
        <f t="shared" si="82"/>
        <v>-8.2990769133438641E-2</v>
      </c>
      <c r="V16" s="636">
        <f t="shared" si="114"/>
        <v>-7.320022077186597E-2</v>
      </c>
      <c r="W16" s="585">
        <f>IF(M16="","",IF(Q16-$Q$8&lt;0,360+Q16-$Q$8,Q16-$Q$8))</f>
        <v>359.14800012301356</v>
      </c>
      <c r="X16" s="629">
        <f t="shared" si="83"/>
        <v>5.581216832949969</v>
      </c>
      <c r="Y16" s="630">
        <f t="shared" si="223"/>
        <v>-7.320022077186597E-2</v>
      </c>
      <c r="Z16" s="632">
        <f t="shared" si="6"/>
        <v>0.93414060248805708</v>
      </c>
      <c r="AA16" s="629">
        <f t="shared" si="7"/>
        <v>-0.1377279474702412</v>
      </c>
      <c r="AB16" s="629">
        <f t="shared" si="8"/>
        <v>-0.32926030320839528</v>
      </c>
      <c r="AC16" s="636">
        <f t="shared" si="84"/>
        <v>1</v>
      </c>
      <c r="AD16" s="637">
        <f t="shared" si="115"/>
        <v>0.93414060248805708</v>
      </c>
      <c r="AE16" s="629">
        <f t="shared" si="85"/>
        <v>-0.1377279474702412</v>
      </c>
      <c r="AF16" s="633">
        <f t="shared" si="86"/>
        <v>-0.32926030320839528</v>
      </c>
      <c r="AG16" s="602">
        <f t="shared" si="87"/>
        <v>-22.699315642224214</v>
      </c>
      <c r="AH16" s="603">
        <f t="shared" si="88"/>
        <v>20.910256067344115</v>
      </c>
      <c r="AI16" s="585">
        <f t="shared" si="89"/>
        <v>-70.77611493369416</v>
      </c>
      <c r="AJ16" s="586">
        <f t="shared" si="90"/>
        <v>81.612842193231501</v>
      </c>
      <c r="AK16" s="635">
        <f t="shared" si="211"/>
        <v>0.93608529150445441</v>
      </c>
      <c r="AL16" s="629">
        <f t="shared" si="91"/>
        <v>-0.12382237180791097</v>
      </c>
      <c r="AM16" s="634">
        <f t="shared" si="92"/>
        <v>-0.32926030320839528</v>
      </c>
      <c r="AN16" s="581">
        <f t="shared" si="93"/>
        <v>-20.609385634545806</v>
      </c>
      <c r="AO16" s="582">
        <f t="shared" si="94"/>
        <v>20.59580538462647</v>
      </c>
      <c r="AP16" s="585">
        <f t="shared" si="95"/>
        <v>-7.5351579297820406</v>
      </c>
      <c r="AQ16" s="586">
        <f t="shared" si="9"/>
        <v>0.40845716629888901</v>
      </c>
      <c r="AS16" s="52">
        <f t="shared" si="116"/>
        <v>-0.85199987698644009</v>
      </c>
      <c r="AT16" s="72">
        <f t="shared" si="10"/>
        <v>-7.2608554190625382E-2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0.1599064868640355</v>
      </c>
      <c r="C17" s="708">
        <v>6.3128941437674904</v>
      </c>
      <c r="D17" s="709">
        <v>-0.26220079079758474</v>
      </c>
      <c r="E17" s="710">
        <v>-0.92720948825526517</v>
      </c>
      <c r="F17" s="708">
        <v>0.23023379131494376</v>
      </c>
      <c r="G17" s="711">
        <v>0.29542336777268691</v>
      </c>
      <c r="H17" s="710">
        <v>0.314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1.1399999999999999</v>
      </c>
      <c r="N17" s="632">
        <f t="shared" si="2"/>
        <v>0.1599064868640355</v>
      </c>
      <c r="O17" s="629">
        <f t="shared" si="3"/>
        <v>6.3128941437674904</v>
      </c>
      <c r="P17" s="633">
        <f t="shared" si="4"/>
        <v>-0.26220079079758474</v>
      </c>
      <c r="Q17" s="585">
        <f>IF(M17="","",IF(DEGREES(ATAN2(N17,O17))&lt;0,DEGREES(ATAN2(N17,O17))+360,IF(DEGREES(ATAN2(N17,O17))&gt;360,DEGREES(ATAN2(N17,O17))-360,DEGREES(ATAN2(N17,O17)))))</f>
        <v>88.549000209498459</v>
      </c>
      <c r="R17" s="629">
        <f>IF(M17="","",SQRT(N17^2+O17^2))</f>
        <v>6.3149190457958424</v>
      </c>
      <c r="S17" s="634">
        <f>IF(M17="","",P17)</f>
        <v>-0.26220079079758474</v>
      </c>
      <c r="T17" s="635">
        <f>IF(M17="","",X17*COS(RADIANS(W17)))</f>
        <v>6.3128941437674904</v>
      </c>
      <c r="U17" s="629">
        <f>IF(M17="","",X17*SIN(RADIANS(W17)))</f>
        <v>-0.15990648686403613</v>
      </c>
      <c r="V17" s="636">
        <f>IF(M17="","",Y17)</f>
        <v>-0.26220079079758474</v>
      </c>
      <c r="W17" s="585">
        <f t="shared" si="224"/>
        <v>358.54900020949844</v>
      </c>
      <c r="X17" s="629">
        <f>IF(M17="","",R17)</f>
        <v>6.3149190457958424</v>
      </c>
      <c r="Y17" s="630">
        <f t="shared" si="223"/>
        <v>-0.26220079079758474</v>
      </c>
      <c r="Z17" s="632">
        <f t="shared" si="6"/>
        <v>0.92720948825526517</v>
      </c>
      <c r="AA17" s="629">
        <f t="shared" si="7"/>
        <v>-0.23023379131494376</v>
      </c>
      <c r="AB17" s="629">
        <f t="shared" si="8"/>
        <v>-0.29542336777268691</v>
      </c>
      <c r="AC17" s="636">
        <f>IF(M17="","",SQRT(Z17^2+AA17^2+AB17^2))</f>
        <v>1</v>
      </c>
      <c r="AD17" s="637">
        <f>IF(M17="","",Z17*(1/SQRT(Z17^2+AA17^2+AB17^2)))</f>
        <v>0.92720948825526517</v>
      </c>
      <c r="AE17" s="629">
        <f>IF(M17="","",AA17*(1/SQRT(Z17^2+AA17^2+AB17^2)))</f>
        <v>-0.23023379131494376</v>
      </c>
      <c r="AF17" s="633">
        <f>IF(M17="","",AB17*(1/SQRT(Z17^2+AA17^2+AB17^2)))</f>
        <v>-0.29542336777268691</v>
      </c>
      <c r="AG17" s="602">
        <f>IF(M17="","",DEGREES(ATAN2(-AF17,AE17)))</f>
        <v>-37.930536577151223</v>
      </c>
      <c r="AH17" s="603">
        <f>IF(M17="","",DEGREES(ACOS(AD17)))</f>
        <v>21.996079015732139</v>
      </c>
      <c r="AI17" s="585">
        <f>IF(M17="","",DEGREES(-ACOS(-AF17)))</f>
        <v>-72.817073914017229</v>
      </c>
      <c r="AJ17" s="586">
        <f>IF(M17="","",DEGREES(ATAN2(-AE17,AD17)))</f>
        <v>76.05501963826913</v>
      </c>
      <c r="AK17" s="635">
        <f>IF(M17="","",(COS(RADIANS((90-$Q$8)-W17))*AD17)+(-SIN(RADIANS((90-$Q$8)-W17))*AE17))</f>
        <v>0.93274215907807567</v>
      </c>
      <c r="AL17" s="629">
        <f>IF(M17="","",(SIN(RADIANS((90-$Q$8)-W17))*AD17)+(COS(RADIANS((90-$Q$8)-W17))*AE17))</f>
        <v>-0.20668115166171683</v>
      </c>
      <c r="AM17" s="634">
        <f>IF(M17="","",AF17)</f>
        <v>-0.29542336777268691</v>
      </c>
      <c r="AN17" s="581">
        <f>IF(M17="","",DEGREES(ATAN2(-AM17,AL17)))</f>
        <v>-34.977021784193568</v>
      </c>
      <c r="AO17" s="582">
        <f t="shared" si="94"/>
        <v>21.133616238430299</v>
      </c>
      <c r="AP17" s="585">
        <f>IF(M17="","",DEGREES(ATAN2(AK17,AL17)))</f>
        <v>-12.493980571229306</v>
      </c>
      <c r="AQ17" s="586">
        <f t="shared" si="9"/>
        <v>0.3610016926835225</v>
      </c>
      <c r="AS17" s="52">
        <f t="shared" si="116"/>
        <v>-1.4509997905015553</v>
      </c>
      <c r="AT17" s="72">
        <f t="shared" si="10"/>
        <v>-0.26119315205418087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0.25315024431143862</v>
      </c>
      <c r="C18" s="708">
        <v>6.9870365945944082</v>
      </c>
      <c r="D18" s="709">
        <v>-0.61030184067035098</v>
      </c>
      <c r="E18" s="710">
        <v>-0.89832459684683608</v>
      </c>
      <c r="F18" s="708">
        <v>0.33121108810032868</v>
      </c>
      <c r="G18" s="711">
        <v>0.28863841362397646</v>
      </c>
      <c r="H18" s="710">
        <v>0.314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1.1459999999999999</v>
      </c>
      <c r="N18" s="632">
        <f t="shared" si="2"/>
        <v>0.25315024431143862</v>
      </c>
      <c r="O18" s="629">
        <f t="shared" si="3"/>
        <v>6.9870365945944082</v>
      </c>
      <c r="P18" s="633">
        <f t="shared" si="4"/>
        <v>-0.61030184067035098</v>
      </c>
      <c r="Q18" s="585">
        <f t="shared" si="113"/>
        <v>87.925000299592895</v>
      </c>
      <c r="R18" s="629">
        <f>IF(M18="","",SQRT(N18^2+O18^2))</f>
        <v>6.9916210867291975</v>
      </c>
      <c r="S18" s="634">
        <f>IF(M18="","",P18)</f>
        <v>-0.61030184067035098</v>
      </c>
      <c r="T18" s="635">
        <f>IF(M18="","",X18*COS(RADIANS(W18)))</f>
        <v>6.9870365945944082</v>
      </c>
      <c r="U18" s="629">
        <f>IF(M18="","",X18*SIN(RADIANS(W18)))</f>
        <v>-0.25315024431143485</v>
      </c>
      <c r="V18" s="636">
        <f>IF(M18="","",Y18)</f>
        <v>-0.61030184067035098</v>
      </c>
      <c r="W18" s="585">
        <f t="shared" si="224"/>
        <v>357.92500029959291</v>
      </c>
      <c r="X18" s="629">
        <f>IF(M18="","",R18)</f>
        <v>6.9916210867291975</v>
      </c>
      <c r="Y18" s="630">
        <f t="shared" si="223"/>
        <v>-0.61030184067035098</v>
      </c>
      <c r="Z18" s="632">
        <f t="shared" si="6"/>
        <v>0.89832459684683608</v>
      </c>
      <c r="AA18" s="629">
        <f t="shared" si="7"/>
        <v>-0.33121108810032868</v>
      </c>
      <c r="AB18" s="629">
        <f t="shared" si="8"/>
        <v>-0.28863841362397646</v>
      </c>
      <c r="AC18" s="636">
        <f>IF(M18="","",SQRT(Z18^2+AA18^2+AB18^2))</f>
        <v>1</v>
      </c>
      <c r="AD18" s="637">
        <f>IF(M18="","",Z18*(1/SQRT(Z18^2+AA18^2+AB18^2)))</f>
        <v>0.89832459684683608</v>
      </c>
      <c r="AE18" s="629">
        <f>IF(M18="","",AA18*(1/SQRT(Z18^2+AA18^2+AB18^2)))</f>
        <v>-0.33121108810032868</v>
      </c>
      <c r="AF18" s="633">
        <f>IF(M18="","",AB18*(1/SQRT(Z18^2+AA18^2+AB18^2)))</f>
        <v>-0.28863841362397646</v>
      </c>
      <c r="AG18" s="602">
        <f>IF(M18="","",DEGREES(ATAN2(-AF18,AE18)))</f>
        <v>-48.929034201847607</v>
      </c>
      <c r="AH18" s="603">
        <f>IF(M18="","",DEGREES(ACOS(AD18)))</f>
        <v>26.061290560364327</v>
      </c>
      <c r="AI18" s="585">
        <f>IF(M18="","",DEGREES(-ACOS(-AF18)))</f>
        <v>-73.22354261738387</v>
      </c>
      <c r="AJ18" s="586">
        <f>IF(M18="","",DEGREES(ATAN2(-AE18,AD18)))</f>
        <v>69.76113629857268</v>
      </c>
      <c r="AK18" s="635">
        <f>IF(M18="","",(COS(RADIANS((90-$Q$8)-W18))*AD18)+(-SIN(RADIANS((90-$Q$8)-W18))*AE18))</f>
        <v>0.90972793304505395</v>
      </c>
      <c r="AL18" s="629">
        <f>IF(M18="","",(SIN(RADIANS((90-$Q$8)-W18))*AD18)+(COS(RADIANS((90-$Q$8)-W18))*AE18))</f>
        <v>-0.29846767667237956</v>
      </c>
      <c r="AM18" s="634">
        <f>IF(M18="","",AF18)</f>
        <v>-0.28863841362397646</v>
      </c>
      <c r="AN18" s="581">
        <f>IF(M18="","",DEGREES(ATAN2(-AM18,AL18)))</f>
        <v>-45.959149783908558</v>
      </c>
      <c r="AO18" s="582">
        <f t="shared" si="94"/>
        <v>24.532219069584158</v>
      </c>
      <c r="AP18" s="585">
        <f>IF(M18="","",DEGREES(ATAN2(AK18,AL18)))</f>
        <v>-18.163864001020254</v>
      </c>
      <c r="AQ18" s="586">
        <f t="shared" si="9"/>
        <v>0.32606200955897097</v>
      </c>
      <c r="AS18" s="52">
        <f t="shared" si="116"/>
        <v>-2.0749997004070906</v>
      </c>
      <c r="AT18" s="72">
        <f t="shared" si="10"/>
        <v>-0.60886086865617939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0.35003032877963408</v>
      </c>
      <c r="C19" s="708">
        <v>7.5626267253901531</v>
      </c>
      <c r="D19" s="709">
        <v>-1.0986033133875936</v>
      </c>
      <c r="E19" s="710">
        <v>-0.85736210128472257</v>
      </c>
      <c r="F19" s="708">
        <v>0.43557575951857797</v>
      </c>
      <c r="G19" s="711">
        <v>0.27423344982051195</v>
      </c>
      <c r="H19" s="710">
        <v>0.314</v>
      </c>
      <c r="I19" s="708">
        <v>0.52</v>
      </c>
      <c r="J19" s="570">
        <v>1.1519999999999999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1.1519999999999999</v>
      </c>
      <c r="N19" s="632">
        <f t="shared" si="2"/>
        <v>0.35003032877963408</v>
      </c>
      <c r="O19" s="629">
        <f t="shared" si="3"/>
        <v>7.5626267253901531</v>
      </c>
      <c r="P19" s="633">
        <f t="shared" si="4"/>
        <v>-1.0986033133875936</v>
      </c>
      <c r="Q19" s="585">
        <f t="shared" si="113"/>
        <v>87.350000382612606</v>
      </c>
      <c r="R19" s="629">
        <f>IF(M19="","",SQRT(N19^2+O19^2))</f>
        <v>7.5707228333000653</v>
      </c>
      <c r="S19" s="634">
        <f>IF(M19="","",P19)</f>
        <v>-1.0986033133875936</v>
      </c>
      <c r="T19" s="635">
        <f>IF(M19="","",X19*COS(RADIANS(W19)))</f>
        <v>7.562626725390154</v>
      </c>
      <c r="U19" s="629">
        <f>IF(M19="","",X19*SIN(RADIANS(W19)))</f>
        <v>-0.3500303287796302</v>
      </c>
      <c r="V19" s="636">
        <f>IF(M19="","",Y19)</f>
        <v>-1.0986033133875936</v>
      </c>
      <c r="W19" s="585">
        <f t="shared" si="224"/>
        <v>357.35000038261262</v>
      </c>
      <c r="X19" s="629">
        <f>IF(M19="","",R19)</f>
        <v>7.5707228333000653</v>
      </c>
      <c r="Y19" s="630">
        <f t="shared" si="223"/>
        <v>-1.0986033133875936</v>
      </c>
      <c r="Z19" s="632">
        <f t="shared" si="6"/>
        <v>0.85736210128472257</v>
      </c>
      <c r="AA19" s="629">
        <f t="shared" si="7"/>
        <v>-0.43557575951857797</v>
      </c>
      <c r="AB19" s="629">
        <f t="shared" si="8"/>
        <v>-0.27423344982051195</v>
      </c>
      <c r="AC19" s="636">
        <f>IF(M19="","",SQRT(Z19^2+AA19^2+AB19^2))</f>
        <v>1</v>
      </c>
      <c r="AD19" s="637">
        <f>IF(M19="","",Z19*(1/SQRT(Z19^2+AA19^2+AB19^2)))</f>
        <v>0.85736210128472257</v>
      </c>
      <c r="AE19" s="629">
        <f>IF(M19="","",AA19*(1/SQRT(Z19^2+AA19^2+AB19^2)))</f>
        <v>-0.43557575951857797</v>
      </c>
      <c r="AF19" s="633">
        <f>IF(M19="","",AB19*(1/SQRT(Z19^2+AA19^2+AB19^2)))</f>
        <v>-0.27423344982051195</v>
      </c>
      <c r="AG19" s="602">
        <f>IF(M19="","",DEGREES(ATAN2(-AF19,AE19)))</f>
        <v>-57.805957346141376</v>
      </c>
      <c r="AH19" s="603">
        <f>IF(M19="","",DEGREES(ACOS(AD19)))</f>
        <v>30.978322444286505</v>
      </c>
      <c r="AI19" s="585">
        <f>IF(M19="","",DEGREES(-ACOS(-AF19)))</f>
        <v>-74.083662005085174</v>
      </c>
      <c r="AJ19" s="586">
        <f>IF(M19="","",DEGREES(ATAN2(-AE19,AD19)))</f>
        <v>63.06752817322684</v>
      </c>
      <c r="AK19" s="635">
        <f>IF(M19="","",(COS(RADIANS((90-$Q$8)-W19))*AD19)+(-SIN(RADIANS((90-$Q$8)-W19))*AE19))</f>
        <v>0.87658396865817412</v>
      </c>
      <c r="AL19" s="629">
        <f>IF(M19="","",(SIN(RADIANS((90-$Q$8)-W19))*AD19)+(COS(RADIANS((90-$Q$8)-W19))*AE19))</f>
        <v>-0.39547005056138734</v>
      </c>
      <c r="AM19" s="634">
        <f>IF(M19="","",AF19)</f>
        <v>-0.27423344982051195</v>
      </c>
      <c r="AN19" s="581">
        <f>IF(M19="","",DEGREES(ATAN2(-AM19,AL19)))</f>
        <v>-55.26114060963274</v>
      </c>
      <c r="AO19" s="582">
        <f t="shared" si="94"/>
        <v>28.767004312194178</v>
      </c>
      <c r="AP19" s="585">
        <f>IF(M19="","",DEGREES(ATAN2(AK19,AL19)))</f>
        <v>-24.282472209385801</v>
      </c>
      <c r="AQ19" s="586">
        <f t="shared" si="9"/>
        <v>0.30112126579655929</v>
      </c>
      <c r="AS19" s="52">
        <f t="shared" si="116"/>
        <v>-2.6499996173873797</v>
      </c>
      <c r="AT19" s="72">
        <f t="shared" si="10"/>
        <v>-1.0967630358755192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0.43689893374654681</v>
      </c>
      <c r="C20" s="708">
        <v>8.0127219413438979</v>
      </c>
      <c r="D20" s="709">
        <v>-1.7075051498355329</v>
      </c>
      <c r="E20" s="710">
        <v>-0.82133006067542369</v>
      </c>
      <c r="F20" s="708">
        <v>0.52192637383646168</v>
      </c>
      <c r="G20" s="711">
        <v>0.23023855394965287</v>
      </c>
      <c r="H20" s="710">
        <v>0.314</v>
      </c>
      <c r="I20" s="708">
        <v>0.52</v>
      </c>
      <c r="J20" s="570">
        <v>1.1579999999999999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10</v>
      </c>
      <c r="M20" s="168">
        <f t="shared" si="1"/>
        <v>1.1579999999999999</v>
      </c>
      <c r="N20" s="632">
        <f t="shared" si="2"/>
        <v>0.43689893374654681</v>
      </c>
      <c r="O20" s="629">
        <f t="shared" si="3"/>
        <v>8.0127219413438979</v>
      </c>
      <c r="P20" s="633">
        <f t="shared" si="4"/>
        <v>-1.7075051498355329</v>
      </c>
      <c r="Q20" s="585">
        <f t="shared" si="113"/>
        <v>86.879000450616573</v>
      </c>
      <c r="R20" s="629">
        <f>IF(M20="","",SQRT(N20^2+O20^2))</f>
        <v>8.0246242022665957</v>
      </c>
      <c r="S20" s="634">
        <f>IF(M20="","",P20)</f>
        <v>-1.7075051498355329</v>
      </c>
      <c r="T20" s="635">
        <f>IF(M20="","",X20*COS(RADIANS(W20)))</f>
        <v>8.0127219413438979</v>
      </c>
      <c r="U20" s="629">
        <f>IF(M20="","",X20*SIN(RADIANS(W20)))</f>
        <v>-0.43689893374655042</v>
      </c>
      <c r="V20" s="636">
        <f>IF(M20="","",Y20)</f>
        <v>-1.7075051498355329</v>
      </c>
      <c r="W20" s="585">
        <f t="shared" si="224"/>
        <v>356.87900045061656</v>
      </c>
      <c r="X20" s="629">
        <f>IF(M20="","",R20)</f>
        <v>8.0246242022665957</v>
      </c>
      <c r="Y20" s="630">
        <f t="shared" si="223"/>
        <v>-1.7075051498355329</v>
      </c>
      <c r="Z20" s="632">
        <f t="shared" si="6"/>
        <v>0.82133006067542369</v>
      </c>
      <c r="AA20" s="629">
        <f t="shared" si="7"/>
        <v>-0.52192637383646168</v>
      </c>
      <c r="AB20" s="629">
        <f t="shared" si="8"/>
        <v>-0.23023855394965287</v>
      </c>
      <c r="AC20" s="636">
        <f>IF(M20="","",SQRT(Z20^2+AA20^2+AB20^2))</f>
        <v>1</v>
      </c>
      <c r="AD20" s="637">
        <f>IF(M20="","",Z20*(1/SQRT(Z20^2+AA20^2+AB20^2)))</f>
        <v>0.82133006067542369</v>
      </c>
      <c r="AE20" s="629">
        <f>IF(M20="","",AA20*(1/SQRT(Z20^2+AA20^2+AB20^2)))</f>
        <v>-0.52192637383646168</v>
      </c>
      <c r="AF20" s="633">
        <f>IF(M20="","",AB20*(1/SQRT(Z20^2+AA20^2+AB20^2)))</f>
        <v>-0.23023855394965287</v>
      </c>
      <c r="AG20" s="602">
        <f>IF(M20="","",DEGREES(ATAN2(-AF20,AE20)))</f>
        <v>-66.196177526707586</v>
      </c>
      <c r="AH20" s="603">
        <f>IF(M20="","",DEGREES(ACOS(AD20)))</f>
        <v>34.781839587964619</v>
      </c>
      <c r="AI20" s="585">
        <f>IF(M20="","",DEGREES(-ACOS(-AF20)))</f>
        <v>-76.688883182721653</v>
      </c>
      <c r="AJ20" s="586">
        <f>IF(M20="","",DEGREES(ATAN2(-AE20,AD20)))</f>
        <v>57.565476636109629</v>
      </c>
      <c r="AK20" s="635">
        <f>IF(M20="","",(COS(RADIANS((90-$Q$8)-W20))*AD20)+(-SIN(RADIANS((90-$Q$8)-W20))*AE20))</f>
        <v>0.84852801861542204</v>
      </c>
      <c r="AL20" s="629">
        <f>IF(M20="","",(SIN(RADIANS((90-$Q$8)-W20))*AD20)+(COS(RADIANS((90-$Q$8)-W20))*AE20))</f>
        <v>-0.47643510565423186</v>
      </c>
      <c r="AM20" s="634">
        <f>IF(M20="","",AF20)</f>
        <v>-0.23023855394965287</v>
      </c>
      <c r="AN20" s="581">
        <f>IF(M20="","",DEGREES(ATAN2(-AM20,AL20)))</f>
        <v>-64.207718415679565</v>
      </c>
      <c r="AO20" s="582">
        <f t="shared" si="94"/>
        <v>31.948072295767918</v>
      </c>
      <c r="AP20" s="585">
        <f>IF(M20="","",DEGREES(ATAN2(AK20,AL20)))</f>
        <v>-29.313523814506915</v>
      </c>
      <c r="AQ20" s="586">
        <f t="shared" si="9"/>
        <v>0.28408906041931076</v>
      </c>
      <c r="AS20" s="52">
        <f t="shared" si="116"/>
        <v>-3.1209995493834413</v>
      </c>
      <c r="AT20" s="72">
        <f t="shared" si="10"/>
        <v>-1.70533778903735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0.50039198287777631</v>
      </c>
      <c r="C21" s="708">
        <v>8.3122771511735163</v>
      </c>
      <c r="D21" s="709">
        <v>-2.4045072519938717</v>
      </c>
      <c r="E21" s="710">
        <v>-0.78474832893299373</v>
      </c>
      <c r="F21" s="708">
        <v>0.59803327216132018</v>
      </c>
      <c r="G21" s="711">
        <v>0.16286886020629732</v>
      </c>
      <c r="H21" s="710">
        <v>0.314</v>
      </c>
      <c r="I21" s="708">
        <v>0.52</v>
      </c>
      <c r="J21" s="570">
        <v>1.1639999999999999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1.1639999999999999</v>
      </c>
      <c r="N21" s="632">
        <f t="shared" si="2"/>
        <v>0.50039198287777631</v>
      </c>
      <c r="O21" s="629">
        <f t="shared" si="3"/>
        <v>8.3122771511735163</v>
      </c>
      <c r="P21" s="633">
        <f t="shared" si="4"/>
        <v>-2.4045072519938717</v>
      </c>
      <c r="Q21" s="585">
        <f t="shared" si="113"/>
        <v>86.555000497396378</v>
      </c>
      <c r="R21" s="629">
        <f>IF(M21="","",SQRT(N21^2+O21^2))</f>
        <v>8.3273251152125471</v>
      </c>
      <c r="S21" s="634">
        <f>IF(M21="","",P21)</f>
        <v>-2.4045072519938717</v>
      </c>
      <c r="T21" s="635">
        <f>IF(M21="","",X21*COS(RADIANS(W21)))</f>
        <v>8.3122771511735163</v>
      </c>
      <c r="U21" s="629">
        <f>IF(M21="","",X21*SIN(RADIANS(W21)))</f>
        <v>-0.50039198287778375</v>
      </c>
      <c r="V21" s="636">
        <f>IF(M21="","",Y21)</f>
        <v>-2.4045072519938717</v>
      </c>
      <c r="W21" s="585">
        <f t="shared" si="224"/>
        <v>356.55500049739635</v>
      </c>
      <c r="X21" s="629">
        <f>IF(M21="","",R21)</f>
        <v>8.3273251152125471</v>
      </c>
      <c r="Y21" s="630">
        <f t="shared" si="223"/>
        <v>-2.4045072519938717</v>
      </c>
      <c r="Z21" s="632">
        <f t="shared" si="6"/>
        <v>0.78474832893299373</v>
      </c>
      <c r="AA21" s="629">
        <f t="shared" si="7"/>
        <v>-0.59803327216132018</v>
      </c>
      <c r="AB21" s="629">
        <f t="shared" si="8"/>
        <v>-0.16286886020629732</v>
      </c>
      <c r="AC21" s="636">
        <f>IF(M21="","",SQRT(Z21^2+AA21^2+AB21^2))</f>
        <v>1</v>
      </c>
      <c r="AD21" s="637">
        <f>IF(M21="","",Z21*(1/SQRT(Z21^2+AA21^2+AB21^2)))</f>
        <v>0.78474832893299373</v>
      </c>
      <c r="AE21" s="629">
        <f>IF(M21="","",AA21*(1/SQRT(Z21^2+AA21^2+AB21^2)))</f>
        <v>-0.59803327216132018</v>
      </c>
      <c r="AF21" s="633">
        <f>IF(M21="","",AB21*(1/SQRT(Z21^2+AA21^2+AB21^2)))</f>
        <v>-0.16286886020629732</v>
      </c>
      <c r="AG21" s="602">
        <f>IF(M21="","",DEGREES(ATAN2(-AF21,AE21)))</f>
        <v>-74.765493540546046</v>
      </c>
      <c r="AH21" s="603">
        <f>IF(M21="","",DEGREES(ACOS(AD21)))</f>
        <v>38.302592245355441</v>
      </c>
      <c r="AI21" s="585">
        <f>IF(M21="","",DEGREES(-ACOS(-AF21)))</f>
        <v>-80.626545462198763</v>
      </c>
      <c r="AJ21" s="586">
        <f>IF(M21="","",DEGREES(ATAN2(-AE21,AD21)))</f>
        <v>52.690056811070356</v>
      </c>
      <c r="AK21" s="635">
        <f>IF(M21="","",(COS(RADIANS((90-$Q$8)-W21))*AD21)+(-SIN(RADIANS((90-$Q$8)-W21))*AE21))</f>
        <v>0.81926627872759372</v>
      </c>
      <c r="AL21" s="629">
        <f>IF(M21="","",(SIN(RADIANS((90-$Q$8)-W21))*AD21)+(COS(RADIANS((90-$Q$8)-W21))*AE21))</f>
        <v>-0.54979677965130214</v>
      </c>
      <c r="AM21" s="634">
        <f>IF(M21="","",AF21)</f>
        <v>-0.16286886020629732</v>
      </c>
      <c r="AN21" s="581">
        <f>IF(M21="","",DEGREES(ATAN2(-AM21,AL21)))</f>
        <v>-73.498885338929014</v>
      </c>
      <c r="AO21" s="582">
        <f>IF(ROUND(IF(M21="",0,DEGREES(ACOS(AK21))),4)=90,0,IF(M21="","",DEGREES(ACOS(AK21))))</f>
        <v>34.988587253717995</v>
      </c>
      <c r="AP21" s="585">
        <f>IF(M21="","",DEGREES(ATAN2(AK21,AL21)))</f>
        <v>-33.864943686325979</v>
      </c>
      <c r="AQ21" s="586">
        <f t="shared" si="9"/>
        <v>0.27376249297304556</v>
      </c>
      <c r="AS21" s="52">
        <f t="shared" si="116"/>
        <v>-3.4449995026036504</v>
      </c>
      <c r="AT21" s="72">
        <f t="shared" si="10"/>
        <v>-2.4021148912281749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1.1639999999999999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0.53127540966561537</v>
      </c>
      <c r="C22" s="708">
        <v>8.4514434623930441</v>
      </c>
      <c r="D22" s="709">
        <v>-3.1500095004286548</v>
      </c>
      <c r="E22" s="710">
        <v>-0.73858706502975169</v>
      </c>
      <c r="F22" s="708">
        <v>0.66756159294726658</v>
      </c>
      <c r="G22" s="711">
        <v>9.4077983569193252E-2</v>
      </c>
      <c r="H22" s="710">
        <v>0.314</v>
      </c>
      <c r="I22" s="708">
        <v>0.52</v>
      </c>
      <c r="J22" s="570">
        <v>1.17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0</v>
      </c>
      <c r="M22" s="168">
        <f t="shared" si="1"/>
        <v>1.17</v>
      </c>
      <c r="N22" s="632">
        <f t="shared" si="2"/>
        <v>0.53127540966561537</v>
      </c>
      <c r="O22" s="629">
        <f t="shared" si="3"/>
        <v>8.4514434623930441</v>
      </c>
      <c r="P22" s="633">
        <f t="shared" si="4"/>
        <v>-3.1500095004286548</v>
      </c>
      <c r="Q22" s="585">
        <f t="shared" si="113"/>
        <v>86.40300051934247</v>
      </c>
      <c r="R22" s="629">
        <f t="shared" si="79"/>
        <v>8.4681255398666302</v>
      </c>
      <c r="S22" s="634">
        <f t="shared" si="80"/>
        <v>-3.1500095004286548</v>
      </c>
      <c r="T22" s="635">
        <f t="shared" si="81"/>
        <v>8.4514434623930459</v>
      </c>
      <c r="U22" s="629">
        <f t="shared" si="82"/>
        <v>-0.53127540966561737</v>
      </c>
      <c r="V22" s="636">
        <f t="shared" si="114"/>
        <v>-3.1500095004286548</v>
      </c>
      <c r="W22" s="585">
        <f t="shared" si="224"/>
        <v>356.40300051934247</v>
      </c>
      <c r="X22" s="629">
        <f t="shared" si="83"/>
        <v>8.4681255398666302</v>
      </c>
      <c r="Y22" s="630">
        <f t="shared" si="223"/>
        <v>-3.1500095004286548</v>
      </c>
      <c r="Z22" s="632">
        <f t="shared" si="6"/>
        <v>0.73858706502975169</v>
      </c>
      <c r="AA22" s="629">
        <f t="shared" si="7"/>
        <v>-0.66756159294726658</v>
      </c>
      <c r="AB22" s="629">
        <f t="shared" si="8"/>
        <v>-9.4077983569193252E-2</v>
      </c>
      <c r="AC22" s="636">
        <f t="shared" si="84"/>
        <v>1</v>
      </c>
      <c r="AD22" s="637">
        <f t="shared" si="115"/>
        <v>0.73858706502975169</v>
      </c>
      <c r="AE22" s="629">
        <f t="shared" si="85"/>
        <v>-0.66756159294726658</v>
      </c>
      <c r="AF22" s="633">
        <f t="shared" si="86"/>
        <v>-9.4077983569193252E-2</v>
      </c>
      <c r="AG22" s="602">
        <f t="shared" si="87"/>
        <v>-81.978259384862866</v>
      </c>
      <c r="AH22" s="603">
        <f t="shared" si="88"/>
        <v>42.388806120118232</v>
      </c>
      <c r="AI22" s="585">
        <f t="shared" si="89"/>
        <v>-84.601745510766435</v>
      </c>
      <c r="AJ22" s="586">
        <f t="shared" si="90"/>
        <v>47.891589175310941</v>
      </c>
      <c r="AK22" s="635">
        <f t="shared" si="211"/>
        <v>0.77901370850812279</v>
      </c>
      <c r="AL22" s="629">
        <f t="shared" si="91"/>
        <v>-0.61990884407626923</v>
      </c>
      <c r="AM22" s="634">
        <f t="shared" si="92"/>
        <v>-9.4077983569193252E-2</v>
      </c>
      <c r="AN22" s="581">
        <f t="shared" si="93"/>
        <v>-81.370582579201667</v>
      </c>
      <c r="AO22" s="582">
        <f t="shared" si="94"/>
        <v>38.82964002154997</v>
      </c>
      <c r="AP22" s="585">
        <f t="shared" si="95"/>
        <v>-38.511411344031515</v>
      </c>
      <c r="AQ22" s="586">
        <f t="shared" si="9"/>
        <v>0.26921068242503782</v>
      </c>
      <c r="AS22" s="52">
        <f t="shared" si="116"/>
        <v>-3.5969994806575301</v>
      </c>
      <c r="AT22" s="72">
        <f t="shared" si="10"/>
        <v>-3.1475115841226424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0.54757613482376533</v>
      </c>
      <c r="C23" s="708">
        <v>8.5230539552317328</v>
      </c>
      <c r="D23" s="709">
        <v>-3.9047117766107187</v>
      </c>
      <c r="E23" s="710">
        <v>-0.72325655462884741</v>
      </c>
      <c r="F23" s="708">
        <v>0.69057943510242759</v>
      </c>
      <c r="G23" s="711">
        <v>1.4578093227447363E-7</v>
      </c>
      <c r="H23" s="710">
        <v>0.314</v>
      </c>
      <c r="I23" s="708">
        <v>0.52</v>
      </c>
      <c r="J23" s="570">
        <v>1.1759999999999999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1.1759999999999999</v>
      </c>
      <c r="N23" s="632">
        <f t="shared" si="2"/>
        <v>0.54757613482376533</v>
      </c>
      <c r="O23" s="629">
        <f t="shared" si="3"/>
        <v>8.5230539552317328</v>
      </c>
      <c r="P23" s="633">
        <f t="shared" si="4"/>
        <v>-3.9047117766107187</v>
      </c>
      <c r="Q23" s="585">
        <f t="shared" si="113"/>
        <v>86.324000530748648</v>
      </c>
      <c r="R23" s="629">
        <f t="shared" si="79"/>
        <v>8.5406257585272893</v>
      </c>
      <c r="S23" s="634">
        <f t="shared" si="80"/>
        <v>-3.9047117766107187</v>
      </c>
      <c r="T23" s="635">
        <f t="shared" si="81"/>
        <v>8.5230539552317346</v>
      </c>
      <c r="U23" s="629">
        <f t="shared" si="82"/>
        <v>-0.54757613482376188</v>
      </c>
      <c r="V23" s="636">
        <f t="shared" si="114"/>
        <v>-3.9047117766107187</v>
      </c>
      <c r="W23" s="585">
        <f t="shared" si="224"/>
        <v>356.32400053074866</v>
      </c>
      <c r="X23" s="629">
        <f t="shared" si="83"/>
        <v>8.5406257585272893</v>
      </c>
      <c r="Y23" s="630">
        <f t="shared" si="223"/>
        <v>-3.9047117766107187</v>
      </c>
      <c r="Z23" s="632">
        <f t="shared" si="6"/>
        <v>0.72325655462884741</v>
      </c>
      <c r="AA23" s="629">
        <f t="shared" si="7"/>
        <v>-0.69057943510242759</v>
      </c>
      <c r="AB23" s="629">
        <f t="shared" si="8"/>
        <v>-1.4578093227447363E-7</v>
      </c>
      <c r="AC23" s="636">
        <f t="shared" si="84"/>
        <v>1</v>
      </c>
      <c r="AD23" s="637">
        <f t="shared" si="115"/>
        <v>0.72325655462884741</v>
      </c>
      <c r="AE23" s="629">
        <f t="shared" si="85"/>
        <v>-0.69057943510242759</v>
      </c>
      <c r="AF23" s="633">
        <f t="shared" si="86"/>
        <v>-1.4578093227447363E-7</v>
      </c>
      <c r="AG23" s="602">
        <f t="shared" si="87"/>
        <v>-89.999987904893004</v>
      </c>
      <c r="AH23" s="603">
        <f t="shared" si="88"/>
        <v>43.675993693966625</v>
      </c>
      <c r="AI23" s="585">
        <f t="shared" si="89"/>
        <v>-89.99999164736785</v>
      </c>
      <c r="AJ23" s="586">
        <f t="shared" si="90"/>
        <v>46.324006306034001</v>
      </c>
      <c r="AK23" s="635">
        <f t="shared" si="211"/>
        <v>0.76604450791050716</v>
      </c>
      <c r="AL23" s="629">
        <f t="shared" si="91"/>
        <v>-0.64278753247097753</v>
      </c>
      <c r="AM23" s="634">
        <f t="shared" si="92"/>
        <v>-1.4578093227447363E-7</v>
      </c>
      <c r="AN23" s="581">
        <f t="shared" si="93"/>
        <v>-89.999987005609583</v>
      </c>
      <c r="AO23" s="582">
        <f t="shared" si="94"/>
        <v>39.999994224715394</v>
      </c>
      <c r="AP23" s="585">
        <f t="shared" si="95"/>
        <v>-39.999994224714676</v>
      </c>
      <c r="AQ23" s="586">
        <f t="shared" si="9"/>
        <v>0.26692542250625745</v>
      </c>
      <c r="AS23" s="52">
        <f t="shared" si="116"/>
        <v>-3.6759994692513374</v>
      </c>
      <c r="AT23" s="72">
        <f t="shared" si="10"/>
        <v>-3.9021589992015162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1.1759999999999999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48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17</v>
      </c>
      <c r="JG23" s="801">
        <v>27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10</v>
      </c>
      <c r="JI23" s="801">
        <v>0</v>
      </c>
    </row>
    <row r="24" spans="1:269" ht="15" customHeight="1" x14ac:dyDescent="0.25">
      <c r="A24" s="79"/>
      <c r="B24" s="707">
        <v>1.3000463686934389</v>
      </c>
      <c r="C24" s="708">
        <v>4.6267368164852156</v>
      </c>
      <c r="D24" s="709">
        <v>-2.8900087162662885E-2</v>
      </c>
      <c r="E24" s="710">
        <v>-2.1833936068823681E-7</v>
      </c>
      <c r="F24" s="708">
        <v>6.1350213854861049E-8</v>
      </c>
      <c r="G24" s="711">
        <v>0.99999999999997435</v>
      </c>
      <c r="H24" s="710">
        <v>0.26250000000000001</v>
      </c>
      <c r="I24" s="708">
        <v>0.40699999999999997</v>
      </c>
      <c r="J24" s="570">
        <v>1.228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M24" s="168">
        <f t="shared" si="1"/>
        <v>1.228</v>
      </c>
      <c r="N24" s="632">
        <f t="shared" si="2"/>
        <v>1.3000463686934389</v>
      </c>
      <c r="O24" s="629">
        <f t="shared" si="3"/>
        <v>4.6267368164852156</v>
      </c>
      <c r="P24" s="633">
        <f t="shared" si="4"/>
        <v>-2.8900087162662885E-2</v>
      </c>
      <c r="Q24" s="585">
        <f t="shared" si="113"/>
        <v>74.305402266019556</v>
      </c>
      <c r="R24" s="629">
        <f t="shared" si="79"/>
        <v>4.8059144946381167</v>
      </c>
      <c r="S24" s="634">
        <f t="shared" si="80"/>
        <v>-2.8900087162662885E-2</v>
      </c>
      <c r="T24" s="635">
        <f t="shared" si="81"/>
        <v>4.6267368164852156</v>
      </c>
      <c r="U24" s="629">
        <f t="shared" si="82"/>
        <v>-1.30004636869344</v>
      </c>
      <c r="V24" s="636">
        <f t="shared" si="114"/>
        <v>-2.8900087162662885E-2</v>
      </c>
      <c r="W24" s="585">
        <f t="shared" si="224"/>
        <v>344.30540226601954</v>
      </c>
      <c r="X24" s="629">
        <f t="shared" si="83"/>
        <v>4.8059144946381167</v>
      </c>
      <c r="Y24" s="630">
        <f t="shared" si="223"/>
        <v>-2.8900087162662885E-2</v>
      </c>
      <c r="Z24" s="632">
        <f t="shared" si="6"/>
        <v>2.1833936068823681E-7</v>
      </c>
      <c r="AA24" s="629">
        <f t="shared" si="7"/>
        <v>-6.1350213854861049E-8</v>
      </c>
      <c r="AB24" s="629">
        <f t="shared" si="8"/>
        <v>-0.99999999999997435</v>
      </c>
      <c r="AC24" s="636">
        <f t="shared" si="84"/>
        <v>1</v>
      </c>
      <c r="AD24" s="637">
        <f t="shared" si="115"/>
        <v>2.1833936068823681E-7</v>
      </c>
      <c r="AE24" s="629">
        <f t="shared" si="85"/>
        <v>-6.1350213854861049E-8</v>
      </c>
      <c r="AF24" s="633">
        <f t="shared" si="86"/>
        <v>-0.99999999999997435</v>
      </c>
      <c r="AG24" s="602">
        <f t="shared" si="87"/>
        <v>-3.5151083261086527E-6</v>
      </c>
      <c r="AH24" s="603">
        <f t="shared" si="88"/>
        <v>89.999987490076137</v>
      </c>
      <c r="AI24" s="585">
        <f t="shared" si="89"/>
        <v>-1.2976235990044085E-5</v>
      </c>
      <c r="AJ24" s="586">
        <f t="shared" si="90"/>
        <v>74.305402258873713</v>
      </c>
      <c r="AK24" s="635">
        <f>IF(M24="","",(COS(RADIANS((90-$Q$8)-W24))*AD24)+(-SIN(RADIANS((90-$Q$8)-W24))*AE24))</f>
        <v>2.2679489669255159E-7</v>
      </c>
      <c r="AL24" s="629">
        <f t="shared" si="91"/>
        <v>-2.8285454281140582E-17</v>
      </c>
      <c r="AM24" s="634">
        <f t="shared" si="92"/>
        <v>-0.99999999999997435</v>
      </c>
      <c r="AN24" s="581">
        <f t="shared" si="93"/>
        <v>-1.6206371519196429E-15</v>
      </c>
      <c r="AO24" s="582">
        <f t="shared" si="94"/>
        <v>0</v>
      </c>
      <c r="AP24" s="585">
        <f t="shared" si="95"/>
        <v>-7.1458272454718167E-9</v>
      </c>
      <c r="AQ24" s="586">
        <f t="shared" si="9"/>
        <v>0.47434771250988794</v>
      </c>
      <c r="AS24" s="52">
        <f t="shared" si="116"/>
        <v>-15.694597733980459</v>
      </c>
      <c r="AT24" s="72">
        <f t="shared" si="10"/>
        <v>-1.8001060958509788E-2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1.228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734" cm="1">
        <f t="array" ref="II24">IFERROR(ROUND(VALUE(IF($IH24&lt;1,$IH24+LARGE((IF($M$9:$M$150="",0,$M$9:$M$150)-MOD(IF($M$9:$M$150="",0,$M$9:$M$150),1)),1),$IH24)),4),"")</f>
        <v>1.1279999999999999</v>
      </c>
      <c r="IJ24" s="533">
        <f t="shared" si="112"/>
        <v>1613</v>
      </c>
      <c r="IK24" s="533" t="str">
        <f t="shared" si="66"/>
        <v>Inactive</v>
      </c>
      <c r="IL24" s="727">
        <f t="shared" si="225"/>
        <v>15.348597783936668</v>
      </c>
      <c r="IM24" s="759">
        <v>5.55827980510115E-3</v>
      </c>
      <c r="IN24" s="5">
        <f t="shared" si="226"/>
        <v>0.1</v>
      </c>
      <c r="IO24" s="771">
        <v>50</v>
      </c>
      <c r="IP24" s="9">
        <f t="shared" si="227"/>
        <v>-4.8072144985589285</v>
      </c>
      <c r="IQ24" s="5">
        <f t="shared" si="228"/>
        <v>-5.5700167991706642E-2</v>
      </c>
      <c r="IR24" s="5">
        <f t="shared" si="71"/>
        <v>0.314</v>
      </c>
      <c r="IS24" s="5">
        <f t="shared" si="229"/>
        <v>0.29466768751547484</v>
      </c>
      <c r="IT24" s="727">
        <f t="shared" si="230"/>
        <v>6.6199905681042139</v>
      </c>
      <c r="IU24" s="9">
        <f t="shared" si="231"/>
        <v>-4.8059144946381167</v>
      </c>
      <c r="IV24" s="5">
        <f t="shared" si="232"/>
        <v>-2.8900087162662885E-2</v>
      </c>
      <c r="IW24" s="5">
        <f t="shared" si="76"/>
        <v>0.26250000000000001</v>
      </c>
      <c r="IX24" s="5">
        <f t="shared" si="233"/>
        <v>0.26250000000000001</v>
      </c>
      <c r="IY24" s="762">
        <f t="shared" si="234"/>
        <v>1.6206371519196429E-15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1.4967609769840002</v>
      </c>
      <c r="C25" s="708">
        <v>5.3811325868335915</v>
      </c>
      <c r="D25" s="709">
        <v>-4.6100139038019843E-2</v>
      </c>
      <c r="E25" s="710">
        <v>2.8941076730115561E-2</v>
      </c>
      <c r="F25" s="708">
        <v>0.10404937076080492</v>
      </c>
      <c r="G25" s="711">
        <v>0.99415096565963368</v>
      </c>
      <c r="H25" s="710">
        <v>0.26250000000000001</v>
      </c>
      <c r="I25" s="708">
        <v>0.40699999999999997</v>
      </c>
      <c r="J25" s="570">
        <v>1.234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1.234</v>
      </c>
      <c r="N25" s="632">
        <f t="shared" si="2"/>
        <v>1.4967609769840002</v>
      </c>
      <c r="O25" s="629">
        <f t="shared" si="3"/>
        <v>5.3811325868335915</v>
      </c>
      <c r="P25" s="633">
        <f t="shared" si="4"/>
        <v>-4.6100139038019843E-2</v>
      </c>
      <c r="Q25" s="585">
        <f t="shared" si="113"/>
        <v>74.456102244261174</v>
      </c>
      <c r="R25" s="629">
        <f>IF(M25="","",SQRT(N25^2+O25^2))</f>
        <v>5.5854168456172077</v>
      </c>
      <c r="S25" s="634">
        <f>IF(M25="","",P25)</f>
        <v>-4.6100139038019843E-2</v>
      </c>
      <c r="T25" s="635">
        <f>IF(M25="","",X25*COS(RADIANS(W25)))</f>
        <v>5.3811325868335906</v>
      </c>
      <c r="U25" s="629">
        <f>IF(M25="","",X25*SIN(RADIANS(W25)))</f>
        <v>-1.496760976984002</v>
      </c>
      <c r="V25" s="636">
        <f>IF(M25="","",Y25)</f>
        <v>-4.6100139038019843E-2</v>
      </c>
      <c r="W25" s="585">
        <f t="shared" si="224"/>
        <v>344.45610224426116</v>
      </c>
      <c r="X25" s="629">
        <f>IF(M25="","",R25)</f>
        <v>5.5854168456172077</v>
      </c>
      <c r="Y25" s="630">
        <f t="shared" si="223"/>
        <v>-4.6100139038019843E-2</v>
      </c>
      <c r="Z25" s="632">
        <f t="shared" si="6"/>
        <v>-2.8941076730115561E-2</v>
      </c>
      <c r="AA25" s="629">
        <f t="shared" si="7"/>
        <v>-0.10404937076080492</v>
      </c>
      <c r="AB25" s="629">
        <f t="shared" si="8"/>
        <v>-0.99415096565963368</v>
      </c>
      <c r="AC25" s="636">
        <f>IF(M25="","",SQRT(Z25^2+AA25^2+AB25^2))</f>
        <v>1</v>
      </c>
      <c r="AD25" s="637">
        <f>IF(M25="","",Z25*(1/SQRT(Z25^2+AA25^2+AB25^2)))</f>
        <v>-2.8941076730115561E-2</v>
      </c>
      <c r="AE25" s="629">
        <f>IF(M25="","",AA25*(1/SQRT(Z25^2+AA25^2+AB25^2)))</f>
        <v>-0.10404937076080492</v>
      </c>
      <c r="AF25" s="633">
        <f>IF(M25="","",AB25*(1/SQRT(Z25^2+AA25^2+AB25^2)))</f>
        <v>-0.99415096565963368</v>
      </c>
      <c r="AG25" s="602">
        <f>IF(M25="","",DEGREES(ATAN2(-AF25,AE25)))</f>
        <v>-5.974911398066217</v>
      </c>
      <c r="AH25" s="603">
        <f>IF(M25="","",DEGREES(ACOS(AD25)))</f>
        <v>91.658433119537719</v>
      </c>
      <c r="AI25" s="585">
        <f>IF(M25="","",DEGREES(-ACOS(-AF25)))</f>
        <v>-6.1999991048444452</v>
      </c>
      <c r="AJ25" s="586">
        <f>IF(M25="","",DEGREES(ATAN2(-AE25,AD25)))</f>
        <v>-15.543777436574143</v>
      </c>
      <c r="AK25" s="635">
        <f>IF(M25="","",(COS(RADIANS((90-$Q$8)-W25))*AD25)+(-SIN(RADIANS((90-$Q$8)-W25))*AE25))</f>
        <v>2.2679489675506148E-7</v>
      </c>
      <c r="AL25" s="629">
        <f>IF(M25="","",(SIN(RADIANS((90-$Q$8)-W25))*AD25)+(COS(RADIANS((90-$Q$8)-W25))*AE25))</f>
        <v>-0.10799934017375498</v>
      </c>
      <c r="AM25" s="634">
        <f>IF(M25="","",AF25)</f>
        <v>-0.99415096565963368</v>
      </c>
      <c r="AN25" s="581">
        <f>IF(M25="","",DEGREES(ATAN2(-AM25,AL25)))</f>
        <v>-6.1999991048308889</v>
      </c>
      <c r="AO25" s="582">
        <f>IF(ROUND(IF(M25="",0,DEGREES(ACOS(AK25))),4)=90,0,IF(M25="","",DEGREES(ACOS(AK25))))</f>
        <v>0</v>
      </c>
      <c r="AP25" s="585">
        <f>IF(M25="","",DEGREES(ATAN2(AK25,AL25)))</f>
        <v>-89.999879680835292</v>
      </c>
      <c r="AQ25" s="586">
        <f t="shared" si="9"/>
        <v>0.40815003305131314</v>
      </c>
      <c r="AS25" s="52">
        <f t="shared" si="116"/>
        <v>-15.54389775573884</v>
      </c>
      <c r="AT25" s="72">
        <f t="shared" si="10"/>
        <v>-3.5305765596534533E-2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734" cm="1">
        <f t="array" ref="II25">IFERROR(ROUND(VALUE(IF($IH25&lt;1,$IH25+LARGE((IF($M$9:$M$150="",0,$M$9:$M$150)-MOD(IF($M$9:$M$150="",0,$M$9:$M$150),1)),1),$IH25)),4),"")</f>
        <v>1.1339999999999999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14.6918978787524</v>
      </c>
      <c r="IM25" s="759">
        <v>4.3754728420117399E-3</v>
      </c>
      <c r="IN25" s="5">
        <f t="shared" si="226"/>
        <v>0.08</v>
      </c>
      <c r="IO25" s="771">
        <v>40</v>
      </c>
      <c r="IP25" s="9">
        <f t="shared" si="227"/>
        <v>-5.581216832949969</v>
      </c>
      <c r="IQ25" s="5">
        <f t="shared" si="228"/>
        <v>-7.320022077186597E-2</v>
      </c>
      <c r="IR25" s="5">
        <f t="shared" si="71"/>
        <v>0.314</v>
      </c>
      <c r="IS25" s="5">
        <f t="shared" si="229"/>
        <v>0.29393078153239871</v>
      </c>
      <c r="IT25" s="727">
        <f t="shared" si="230"/>
        <v>20.609385634545806</v>
      </c>
      <c r="IU25" s="9">
        <f t="shared" si="231"/>
        <v>-5.5854168456172077</v>
      </c>
      <c r="IV25" s="5">
        <f t="shared" si="232"/>
        <v>-4.6100139038019843E-2</v>
      </c>
      <c r="IW25" s="5">
        <f t="shared" si="76"/>
        <v>0.26250000000000001</v>
      </c>
      <c r="IX25" s="5">
        <f t="shared" si="233"/>
        <v>0.26250000000000001</v>
      </c>
      <c r="IY25" s="762">
        <f t="shared" si="234"/>
        <v>6.1999991048308889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1.7491896484395504</v>
      </c>
      <c r="C26" s="708">
        <v>6.0784428027615922</v>
      </c>
      <c r="D26" s="709">
        <v>-0.2362007123813484</v>
      </c>
      <c r="E26" s="710">
        <v>7.297294458887732E-2</v>
      </c>
      <c r="F26" s="708">
        <v>0.25358216859619043</v>
      </c>
      <c r="G26" s="711">
        <v>0.96455742863143301</v>
      </c>
      <c r="H26" s="710">
        <v>0.26250000000000001</v>
      </c>
      <c r="I26" s="708">
        <v>0.40699999999999997</v>
      </c>
      <c r="J26" s="570">
        <v>1.24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843"/>
      <c r="M26" s="168">
        <f t="shared" si="1"/>
        <v>1.24</v>
      </c>
      <c r="N26" s="632">
        <f t="shared" si="2"/>
        <v>1.7491896484395504</v>
      </c>
      <c r="O26" s="629">
        <f t="shared" si="3"/>
        <v>6.0784428027615922</v>
      </c>
      <c r="P26" s="633">
        <f t="shared" si="4"/>
        <v>-0.2362007123813484</v>
      </c>
      <c r="Q26" s="585">
        <f t="shared" si="113"/>
        <v>73.945802317939368</v>
      </c>
      <c r="R26" s="629">
        <f>IF(M26="","",SQRT(N26^2+O26^2))</f>
        <v>6.3251190765591341</v>
      </c>
      <c r="S26" s="634">
        <f>IF(M26="","",P26)</f>
        <v>-0.2362007123813484</v>
      </c>
      <c r="T26" s="635">
        <f>IF(M26="","",X26*COS(RADIANS(W26)))</f>
        <v>6.0784428027615913</v>
      </c>
      <c r="U26" s="629">
        <f>IF(M26="","",X26*SIN(RADIANS(W26)))</f>
        <v>-1.7491896484395515</v>
      </c>
      <c r="V26" s="636">
        <f>IF(M26="","",Y26)</f>
        <v>-0.2362007123813484</v>
      </c>
      <c r="W26" s="585">
        <f t="shared" si="224"/>
        <v>343.94580231793935</v>
      </c>
      <c r="X26" s="629">
        <f>IF(M26="","",R26)</f>
        <v>6.3251190765591341</v>
      </c>
      <c r="Y26" s="630">
        <f t="shared" si="223"/>
        <v>-0.2362007123813484</v>
      </c>
      <c r="Z26" s="632">
        <f t="shared" si="6"/>
        <v>-7.297294458887732E-2</v>
      </c>
      <c r="AA26" s="629">
        <f t="shared" si="7"/>
        <v>-0.25358216859619043</v>
      </c>
      <c r="AB26" s="629">
        <f t="shared" si="8"/>
        <v>-0.96455742863143301</v>
      </c>
      <c r="AC26" s="636">
        <f>IF(M26="","",SQRT(Z26^2+AA26^2+AB26^2))</f>
        <v>1</v>
      </c>
      <c r="AD26" s="637">
        <f>IF(M26="","",Z26*(1/SQRT(Z26^2+AA26^2+AB26^2)))</f>
        <v>-7.297294458887732E-2</v>
      </c>
      <c r="AE26" s="629">
        <f>IF(M26="","",AA26*(1/SQRT(Z26^2+AA26^2+AB26^2)))</f>
        <v>-0.25358216859619043</v>
      </c>
      <c r="AF26" s="633">
        <f>IF(M26="","",AB26*(1/SQRT(Z26^2+AA26^2+AB26^2)))</f>
        <v>-0.96455742863143301</v>
      </c>
      <c r="AG26" s="602">
        <f>IF(M26="","",DEGREES(ATAN2(-AF26,AE26)))</f>
        <v>-14.729743837580369</v>
      </c>
      <c r="AH26" s="603">
        <f>IF(M26="","",DEGREES(ACOS(AD26)))</f>
        <v>94.184761373581367</v>
      </c>
      <c r="AI26" s="585">
        <f>IF(M26="","",DEGREES(-ACOS(-AF26)))</f>
        <v>-15.299997790959004</v>
      </c>
      <c r="AJ26" s="586">
        <f>IF(M26="","",DEGREES(ATAN2(-AE26,AD26)))</f>
        <v>-16.054148437197529</v>
      </c>
      <c r="AK26" s="635">
        <f>IF(M26="","",(COS(RADIANS((90-$Q$8)-W26))*AD26)+(-SIN(RADIANS((90-$Q$8)-W26))*AE26))</f>
        <v>2.2679489670995867E-7</v>
      </c>
      <c r="AL26" s="629">
        <f>IF(M26="","",(SIN(RADIANS((90-$Q$8)-W26))*AD26)+(COS(RADIANS((90-$Q$8)-W26))*AE26))</f>
        <v>-0.26387301277672687</v>
      </c>
      <c r="AM26" s="634">
        <f>IF(M26="","",AF26)</f>
        <v>-0.96455742863143301</v>
      </c>
      <c r="AN26" s="581">
        <f>IF(M26="","",DEGREES(ATAN2(-AM26,AL26)))</f>
        <v>-15.299997790953633</v>
      </c>
      <c r="AO26" s="582">
        <f t="shared" si="94"/>
        <v>0</v>
      </c>
      <c r="AP26" s="585">
        <f>IF(M26="","",DEGREES(ATAN2(AK26,AL26)))</f>
        <v>-89.999950755136879</v>
      </c>
      <c r="AQ26" s="586">
        <f t="shared" si="9"/>
        <v>0.36041954851985658</v>
      </c>
      <c r="AS26" s="52">
        <f t="shared" si="116"/>
        <v>-16.054197682060646</v>
      </c>
      <c r="AT26" s="72">
        <f t="shared" si="10"/>
        <v>-0.2250519639910285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Nose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1.24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734" cm="1">
        <f t="array" ref="II26">IFERROR(ROUND(VALUE(IF($IH26&lt;1,$IH26+LARGE((IF($M$9:$M$150="",0,$M$9:$M$150)-MOD(IF($M$9:$M$150="",0,$M$9:$M$150),1)),1),$IH26)),4),"")</f>
        <v>1.1399999999999999</v>
      </c>
      <c r="IJ26" s="533">
        <f t="shared" si="112"/>
        <v>1613</v>
      </c>
      <c r="IK26" s="533" t="str">
        <f t="shared" si="66"/>
        <v>Inactive</v>
      </c>
      <c r="IL26" s="727">
        <f t="shared" si="225"/>
        <v>14.603197891559091</v>
      </c>
      <c r="IM26" s="759">
        <v>2.9292301922484798E-3</v>
      </c>
      <c r="IN26" s="5">
        <f t="shared" si="226"/>
        <v>0.04</v>
      </c>
      <c r="IO26" s="771">
        <v>20</v>
      </c>
      <c r="IP26" s="9">
        <f t="shared" si="227"/>
        <v>-6.3149190457958424</v>
      </c>
      <c r="IQ26" s="5">
        <f t="shared" si="228"/>
        <v>-0.26220079079758474</v>
      </c>
      <c r="IR26" s="5">
        <f t="shared" si="71"/>
        <v>0.314</v>
      </c>
      <c r="IS26" s="5">
        <f t="shared" si="229"/>
        <v>0.29288103795051579</v>
      </c>
      <c r="IT26" s="727">
        <f t="shared" si="230"/>
        <v>34.977021784193568</v>
      </c>
      <c r="IU26" s="9">
        <f t="shared" si="231"/>
        <v>-6.3251190765591341</v>
      </c>
      <c r="IV26" s="5">
        <f t="shared" si="232"/>
        <v>-0.2362007123813484</v>
      </c>
      <c r="IW26" s="5">
        <f t="shared" si="76"/>
        <v>0.26250000000000001</v>
      </c>
      <c r="IX26" s="5">
        <f t="shared" si="233"/>
        <v>0.26250000000000001</v>
      </c>
      <c r="IY26" s="762">
        <f t="shared" si="234"/>
        <v>15.299997790953633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2.0501916891154521</v>
      </c>
      <c r="C27" s="708">
        <v>6.6983905565488442</v>
      </c>
      <c r="D27" s="709">
        <v>-0.59210178577898598</v>
      </c>
      <c r="E27" s="710">
        <v>0.12090321057887461</v>
      </c>
      <c r="F27" s="708">
        <v>0.39501599632037471</v>
      </c>
      <c r="G27" s="711">
        <v>0.91068368620654561</v>
      </c>
      <c r="H27" s="710">
        <v>0.26250000000000001</v>
      </c>
      <c r="I27" s="708">
        <v>0.40699999999999997</v>
      </c>
      <c r="J27" s="570">
        <v>1.246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843"/>
      <c r="M27" s="168">
        <f t="shared" si="1"/>
        <v>1.246</v>
      </c>
      <c r="N27" s="632">
        <f t="shared" si="2"/>
        <v>2.0501916891154521</v>
      </c>
      <c r="O27" s="629">
        <f t="shared" si="3"/>
        <v>6.6983905565488442</v>
      </c>
      <c r="P27" s="633">
        <f t="shared" si="4"/>
        <v>-0.59210178577898598</v>
      </c>
      <c r="Q27" s="585">
        <f t="shared" si="113"/>
        <v>72.982102457080401</v>
      </c>
      <c r="R27" s="629">
        <f t="shared" si="79"/>
        <v>7.0051211274453209</v>
      </c>
      <c r="S27" s="634">
        <f t="shared" si="80"/>
        <v>-0.59210178577898598</v>
      </c>
      <c r="T27" s="635">
        <f t="shared" si="81"/>
        <v>6.6983905565488424</v>
      </c>
      <c r="U27" s="629">
        <f t="shared" si="82"/>
        <v>-2.0501916891154579</v>
      </c>
      <c r="V27" s="636">
        <f t="shared" si="114"/>
        <v>-0.59210178577898598</v>
      </c>
      <c r="W27" s="585">
        <f t="shared" si="224"/>
        <v>342.98210245708037</v>
      </c>
      <c r="X27" s="629">
        <f t="shared" si="83"/>
        <v>7.0051211274453209</v>
      </c>
      <c r="Y27" s="630">
        <f t="shared" si="223"/>
        <v>-0.59210178577898598</v>
      </c>
      <c r="Z27" s="632">
        <f t="shared" si="6"/>
        <v>-0.12090321057887461</v>
      </c>
      <c r="AA27" s="629">
        <f t="shared" si="7"/>
        <v>-0.39501599632037471</v>
      </c>
      <c r="AB27" s="629">
        <f t="shared" si="8"/>
        <v>-0.91068368620654561</v>
      </c>
      <c r="AC27" s="636">
        <f t="shared" si="84"/>
        <v>1</v>
      </c>
      <c r="AD27" s="637">
        <f t="shared" si="115"/>
        <v>-0.12090321057887461</v>
      </c>
      <c r="AE27" s="629">
        <f t="shared" si="85"/>
        <v>-0.39501599632037471</v>
      </c>
      <c r="AF27" s="633">
        <f t="shared" si="86"/>
        <v>-0.91068368620654561</v>
      </c>
      <c r="AG27" s="602">
        <f t="shared" si="87"/>
        <v>-23.44915671764603</v>
      </c>
      <c r="AH27" s="603">
        <f t="shared" si="88"/>
        <v>96.944232281305986</v>
      </c>
      <c r="AI27" s="585">
        <f t="shared" si="89"/>
        <v>-24.399996477079622</v>
      </c>
      <c r="AJ27" s="586">
        <f t="shared" si="90"/>
        <v>-17.017866087454063</v>
      </c>
      <c r="AK27" s="635">
        <f t="shared" si="211"/>
        <v>2.2679489700139221E-7</v>
      </c>
      <c r="AL27" s="629">
        <f t="shared" si="91"/>
        <v>-0.41310437382967341</v>
      </c>
      <c r="AM27" s="634">
        <f t="shared" si="92"/>
        <v>-0.91068368620654561</v>
      </c>
      <c r="AN27" s="581">
        <f t="shared" si="93"/>
        <v>-24.399996477076378</v>
      </c>
      <c r="AO27" s="582">
        <f t="shared" si="94"/>
        <v>0</v>
      </c>
      <c r="AP27" s="585">
        <f t="shared" si="95"/>
        <v>-89.999968544534426</v>
      </c>
      <c r="AQ27" s="586">
        <f t="shared" si="9"/>
        <v>0.32543364702794558</v>
      </c>
      <c r="AS27" s="52">
        <f t="shared" si="116"/>
        <v>-17.017897542919627</v>
      </c>
      <c r="AT27" s="72">
        <f t="shared" si="10"/>
        <v>-0.58028380137418067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734" cm="1">
        <f t="array" ref="II27">IFERROR(ROUND(VALUE(IF($IH27&lt;1,$IH27+LARGE((IF($M$9:$M$150="",0,$M$9:$M$150)-MOD(IF($M$9:$M$150="",0,$M$9:$M$150),1)),1),$IH27)),4),"")</f>
        <v>1.1459999999999999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14.942897842512536</v>
      </c>
      <c r="IM27" s="759">
        <v>7.3074036688210002E-4</v>
      </c>
      <c r="IN27" s="5">
        <f t="shared" si="226"/>
        <v>0</v>
      </c>
      <c r="IO27" s="771">
        <v>0</v>
      </c>
      <c r="IP27" s="9">
        <f t="shared" si="227"/>
        <v>-6.9916210867291975</v>
      </c>
      <c r="IQ27" s="5">
        <f t="shared" si="228"/>
        <v>-0.61030184067035098</v>
      </c>
      <c r="IR27" s="5">
        <f t="shared" si="71"/>
        <v>0.314</v>
      </c>
      <c r="IS27" s="5">
        <f t="shared" si="229"/>
        <v>0.28565457097614694</v>
      </c>
      <c r="IT27" s="727">
        <f t="shared" si="230"/>
        <v>45.959149783908558</v>
      </c>
      <c r="IU27" s="9">
        <f t="shared" si="231"/>
        <v>-7.0051211274453209</v>
      </c>
      <c r="IV27" s="5">
        <f t="shared" si="232"/>
        <v>-0.59210178577898598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24.399996477076378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2.3338108456863464</v>
      </c>
      <c r="C28" s="708">
        <v>7.2155847167372089</v>
      </c>
      <c r="D28" s="709">
        <v>-1.0908032898627218</v>
      </c>
      <c r="E28" s="710">
        <v>0.16940664676444622</v>
      </c>
      <c r="F28" s="708">
        <v>0.52376555430511706</v>
      </c>
      <c r="G28" s="711">
        <v>0.83484790959520261</v>
      </c>
      <c r="H28" s="710">
        <v>0.26250000000000001</v>
      </c>
      <c r="I28" s="708">
        <v>0.40699999999999997</v>
      </c>
      <c r="J28" s="570">
        <v>1.252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Inactive</v>
      </c>
      <c r="L28" s="843"/>
      <c r="M28" s="168">
        <f t="shared" si="1"/>
        <v>1.252</v>
      </c>
      <c r="N28" s="632">
        <f t="shared" si="2"/>
        <v>2.3338108456863464</v>
      </c>
      <c r="O28" s="629">
        <f t="shared" si="3"/>
        <v>7.2155847167372089</v>
      </c>
      <c r="P28" s="633">
        <f t="shared" si="4"/>
        <v>-1.0908032898627218</v>
      </c>
      <c r="Q28" s="585">
        <f t="shared" si="113"/>
        <v>72.076702587803965</v>
      </c>
      <c r="R28" s="629">
        <f t="shared" si="79"/>
        <v>7.5836228722065826</v>
      </c>
      <c r="S28" s="634">
        <f t="shared" si="80"/>
        <v>-1.0908032898627218</v>
      </c>
      <c r="T28" s="635">
        <f t="shared" si="81"/>
        <v>7.2155847167372098</v>
      </c>
      <c r="U28" s="629">
        <f t="shared" si="82"/>
        <v>-2.3338108456863451</v>
      </c>
      <c r="V28" s="636">
        <f t="shared" si="114"/>
        <v>-1.0908032898627218</v>
      </c>
      <c r="W28" s="585">
        <f t="shared" si="224"/>
        <v>342.07670258780399</v>
      </c>
      <c r="X28" s="629">
        <f t="shared" si="83"/>
        <v>7.5836228722065826</v>
      </c>
      <c r="Y28" s="630">
        <f t="shared" si="223"/>
        <v>-1.0908032898627218</v>
      </c>
      <c r="Z28" s="632">
        <f t="shared" si="6"/>
        <v>-0.16940664676444622</v>
      </c>
      <c r="AA28" s="629">
        <f t="shared" si="7"/>
        <v>-0.52376555430511706</v>
      </c>
      <c r="AB28" s="629">
        <f t="shared" si="8"/>
        <v>-0.83484790959520261</v>
      </c>
      <c r="AC28" s="636">
        <f t="shared" si="84"/>
        <v>1</v>
      </c>
      <c r="AD28" s="637">
        <f t="shared" si="115"/>
        <v>-0.16940664676444622</v>
      </c>
      <c r="AE28" s="629">
        <f t="shared" si="85"/>
        <v>-0.52376555430511706</v>
      </c>
      <c r="AF28" s="633">
        <f t="shared" si="86"/>
        <v>-0.83484790959520261</v>
      </c>
      <c r="AG28" s="602">
        <f t="shared" si="87"/>
        <v>-32.103272446750687</v>
      </c>
      <c r="AH28" s="603">
        <f t="shared" si="88"/>
        <v>99.753322047654279</v>
      </c>
      <c r="AI28" s="585">
        <f t="shared" si="89"/>
        <v>-33.399995177639568</v>
      </c>
      <c r="AJ28" s="586">
        <f t="shared" si="90"/>
        <v>-17.923273806661616</v>
      </c>
      <c r="AK28" s="635">
        <f t="shared" si="211"/>
        <v>2.2679489658505858E-7</v>
      </c>
      <c r="AL28" s="629">
        <f t="shared" si="91"/>
        <v>-0.55048066981908539</v>
      </c>
      <c r="AM28" s="634">
        <f t="shared" si="92"/>
        <v>-0.83484790959520261</v>
      </c>
      <c r="AN28" s="581">
        <f t="shared" si="93"/>
        <v>-33.399995177637336</v>
      </c>
      <c r="AO28" s="582">
        <f t="shared" si="94"/>
        <v>0</v>
      </c>
      <c r="AP28" s="585">
        <f t="shared" si="95"/>
        <v>-89.999976394465605</v>
      </c>
      <c r="AQ28" s="586">
        <f t="shared" si="9"/>
        <v>0.3006090561621716</v>
      </c>
      <c r="AS28" s="52">
        <f t="shared" si="116"/>
        <v>-17.923297412196007</v>
      </c>
      <c r="AT28" s="72">
        <f t="shared" si="10"/>
        <v>-1.0783565555486967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1.252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734" cm="1">
        <f t="array" ref="II28">IFERROR(ROUND(VALUE(IF($IH28&lt;1,$IH28+LARGE((IF($M$9:$M$150="",0,$M$9:$M$150)-MOD(IF($M$9:$M$150="",0,$M$9:$M$150),1)),1),$IH28)),4),"")</f>
        <v>1.1519999999999999</v>
      </c>
      <c r="IJ28" s="533">
        <f t="shared" si="112"/>
        <v>1613</v>
      </c>
      <c r="IK28" s="533" t="str">
        <f t="shared" si="66"/>
        <v>Inactive</v>
      </c>
      <c r="IL28" s="727">
        <f t="shared" si="225"/>
        <v>15.273297794808627</v>
      </c>
      <c r="IM28" s="759">
        <v>3.1680393079747203E-4</v>
      </c>
      <c r="IN28" s="5">
        <f t="shared" si="226"/>
        <v>0</v>
      </c>
      <c r="IO28" s="771">
        <v>0</v>
      </c>
      <c r="IP28" s="9">
        <f t="shared" si="227"/>
        <v>-7.5707228333000653</v>
      </c>
      <c r="IQ28" s="5">
        <f t="shared" si="228"/>
        <v>-1.0986033133875936</v>
      </c>
      <c r="IR28" s="5">
        <f t="shared" si="71"/>
        <v>0.314</v>
      </c>
      <c r="IS28" s="5">
        <f t="shared" si="229"/>
        <v>0.27524736615866668</v>
      </c>
      <c r="IT28" s="727">
        <f t="shared" si="230"/>
        <v>55.26114060963274</v>
      </c>
      <c r="IU28" s="9">
        <f t="shared" si="231"/>
        <v>-7.5836228722065826</v>
      </c>
      <c r="IV28" s="5">
        <f t="shared" si="232"/>
        <v>-1.0908032898627218</v>
      </c>
      <c r="IW28" s="5">
        <f t="shared" si="76"/>
        <v>0.26250000000000001</v>
      </c>
      <c r="IX28" s="5">
        <f t="shared" si="233"/>
        <v>0.26250000000000001</v>
      </c>
      <c r="IY28" s="762">
        <f t="shared" si="234"/>
        <v>33.399995177637336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2.5333777683834295</v>
      </c>
      <c r="C29" s="708">
        <v>7.6253012096195354</v>
      </c>
      <c r="D29" s="709">
        <v>-1.7077051504387346</v>
      </c>
      <c r="E29" s="710">
        <v>0.21096857052923987</v>
      </c>
      <c r="F29" s="708">
        <v>0.6350023034267066</v>
      </c>
      <c r="G29" s="711">
        <v>0.74314489629656066</v>
      </c>
      <c r="H29" s="710">
        <v>0.26250000000000001</v>
      </c>
      <c r="I29" s="708">
        <v>0.40699999999999997</v>
      </c>
      <c r="J29" s="570">
        <v>1.258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1.258</v>
      </c>
      <c r="N29" s="632">
        <f t="shared" si="2"/>
        <v>2.5333777683834295</v>
      </c>
      <c r="O29" s="629">
        <f t="shared" si="3"/>
        <v>7.6253012096195354</v>
      </c>
      <c r="P29" s="633">
        <f t="shared" si="4"/>
        <v>-1.7077051504387346</v>
      </c>
      <c r="Q29" s="585">
        <f t="shared" si="113"/>
        <v>71.6218026534834</v>
      </c>
      <c r="R29" s="629">
        <f>IF(M29="","",SQRT(N29^2+O29^2))</f>
        <v>8.0351242339346918</v>
      </c>
      <c r="S29" s="634">
        <f>IF(M29="","",P29)</f>
        <v>-1.7077051504387346</v>
      </c>
      <c r="T29" s="635">
        <f>IF(M29="","",X29*COS(RADIANS(W29)))</f>
        <v>7.6253012096195381</v>
      </c>
      <c r="U29" s="629">
        <f>IF(M29="","",X29*SIN(RADIANS(W29)))</f>
        <v>-2.5333777683834238</v>
      </c>
      <c r="V29" s="636">
        <f>IF(M29="","",Y29)</f>
        <v>-1.7077051504387346</v>
      </c>
      <c r="W29" s="585">
        <f t="shared" si="224"/>
        <v>341.62180265348343</v>
      </c>
      <c r="X29" s="629">
        <f>IF(M29="","",R29)</f>
        <v>8.0351242339346918</v>
      </c>
      <c r="Y29" s="630">
        <f t="shared" si="223"/>
        <v>-1.7077051504387346</v>
      </c>
      <c r="Z29" s="632">
        <f t="shared" si="6"/>
        <v>-0.21096857052923987</v>
      </c>
      <c r="AA29" s="629">
        <f t="shared" si="7"/>
        <v>-0.6350023034267066</v>
      </c>
      <c r="AB29" s="629">
        <f t="shared" si="8"/>
        <v>-0.74314489629656066</v>
      </c>
      <c r="AC29" s="636">
        <f>IF(M29="","",SQRT(Z29^2+AA29^2+AB29^2))</f>
        <v>1</v>
      </c>
      <c r="AD29" s="637">
        <f>IF(M29="","",Z29*(1/SQRT(Z29^2+AA29^2+AB29^2)))</f>
        <v>-0.21096857052923987</v>
      </c>
      <c r="AE29" s="629">
        <f>IF(M29="","",AA29*(1/SQRT(Z29^2+AA29^2+AB29^2)))</f>
        <v>-0.6350023034267066</v>
      </c>
      <c r="AF29" s="633">
        <f>IF(M29="","",AB29*(1/SQRT(Z29^2+AA29^2+AB29^2)))</f>
        <v>-0.74314489629656066</v>
      </c>
      <c r="AG29" s="602">
        <f>IF(M29="","",DEGREES(ATAN2(-AF29,AE29)))</f>
        <v>-40.513219869681365</v>
      </c>
      <c r="AH29" s="603">
        <f>IF(M29="","",DEGREES(ACOS(AD29)))</f>
        <v>102.17911898240138</v>
      </c>
      <c r="AI29" s="585">
        <f>IF(M29="","",DEGREES(-ACOS(-AF29)))</f>
        <v>-41.999993935952794</v>
      </c>
      <c r="AJ29" s="586">
        <f>IF(M29="","",DEGREES(ATAN2(-AE29,AD29)))</f>
        <v>-18.378177926702595</v>
      </c>
      <c r="AK29" s="635">
        <f>IF(M29="","",(COS(RADIANS((90-$Q$8)-W29))*AD29)+(-SIN(RADIANS((90-$Q$8)-W29))*AE29))</f>
        <v>2.2679489614096937E-7</v>
      </c>
      <c r="AL29" s="629">
        <f>IF(M29="","",(SIN(RADIANS((90-$Q$8)-W29))*AD29)+(COS(RADIANS((90-$Q$8)-W29))*AE29))</f>
        <v>-0.66913052770615877</v>
      </c>
      <c r="AM29" s="634">
        <f>IF(M29="","",AF29)</f>
        <v>-0.74314489629656066</v>
      </c>
      <c r="AN29" s="581">
        <f>IF(M29="","",DEGREES(ATAN2(-AM29,AL29)))</f>
        <v>-41.999993935951153</v>
      </c>
      <c r="AO29" s="582">
        <f t="shared" si="94"/>
        <v>0</v>
      </c>
      <c r="AP29" s="585">
        <f>IF(M29="","",DEGREES(ATAN2(AK29,AL29)))</f>
        <v>-89.999980580186048</v>
      </c>
      <c r="AQ29" s="586">
        <f t="shared" si="9"/>
        <v>0.28371782840715781</v>
      </c>
      <c r="AS29" s="52">
        <f t="shared" si="116"/>
        <v>-18.378197346516572</v>
      </c>
      <c r="AT29" s="72">
        <f t="shared" si="10"/>
        <v>-1.6949425133925426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1.258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734" cm="1">
        <f t="array" ref="II29">IFERROR(ROUND(VALUE(IF($IH29&lt;1,$IH29+LARGE((IF($M$9:$M$150="",0,$M$9:$M$150)-MOD(IF($M$9:$M$150="",0,$M$9:$M$150),1)),1),$IH29)),4),"")</f>
        <v>1.1579999999999999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15.257197797133131</v>
      </c>
      <c r="IM29" s="759">
        <v>2.41303838118141E-4</v>
      </c>
      <c r="IN29" s="5">
        <f t="shared" si="226"/>
        <v>0</v>
      </c>
      <c r="IO29" s="771">
        <v>0</v>
      </c>
      <c r="IP29" s="9">
        <f t="shared" si="227"/>
        <v>-8.0246242022665957</v>
      </c>
      <c r="IQ29" s="5">
        <f t="shared" si="228"/>
        <v>-1.7075051498355329</v>
      </c>
      <c r="IR29" s="5">
        <f t="shared" si="71"/>
        <v>0.314</v>
      </c>
      <c r="IS29" s="5">
        <f t="shared" si="229"/>
        <v>0.26643779784524252</v>
      </c>
      <c r="IT29" s="727">
        <f t="shared" si="230"/>
        <v>64.207718415679565</v>
      </c>
      <c r="IU29" s="9">
        <f t="shared" si="231"/>
        <v>-8.0351242339346918</v>
      </c>
      <c r="IV29" s="5">
        <f t="shared" si="232"/>
        <v>-1.7077051504387346</v>
      </c>
      <c r="IW29" s="5">
        <f t="shared" si="76"/>
        <v>0.26250000000000001</v>
      </c>
      <c r="IX29" s="5">
        <f t="shared" si="233"/>
        <v>0.26250000000000001</v>
      </c>
      <c r="IY29" s="762">
        <f t="shared" si="234"/>
        <v>41.999993935951153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2.6654574589163236</v>
      </c>
      <c r="C30" s="708">
        <v>7.8951236717310369</v>
      </c>
      <c r="D30" s="709">
        <v>-2.411807274010739</v>
      </c>
      <c r="E30" s="710">
        <v>0.25068022721458783</v>
      </c>
      <c r="F30" s="708">
        <v>0.74251917964819159</v>
      </c>
      <c r="G30" s="711">
        <v>0.62114788218122374</v>
      </c>
      <c r="H30" s="710">
        <v>0.26250000000000001</v>
      </c>
      <c r="I30" s="708">
        <v>0.40699999999999997</v>
      </c>
      <c r="J30" s="570">
        <v>1.264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1.264</v>
      </c>
      <c r="N30" s="632">
        <f t="shared" si="2"/>
        <v>2.6654574589163236</v>
      </c>
      <c r="O30" s="629">
        <f t="shared" si="3"/>
        <v>7.8951236717310369</v>
      </c>
      <c r="P30" s="633">
        <f t="shared" si="4"/>
        <v>-2.411807274010739</v>
      </c>
      <c r="Q30" s="585">
        <f t="shared" si="113"/>
        <v>71.344902693462799</v>
      </c>
      <c r="R30" s="629">
        <f>IF(M30="","",SQRT(N30^2+O30^2))</f>
        <v>8.3329251321021989</v>
      </c>
      <c r="S30" s="634">
        <f>IF(M30="","",P30)</f>
        <v>-2.411807274010739</v>
      </c>
      <c r="T30" s="635">
        <f>IF(M30="","",X30*COS(RADIANS(W30)))</f>
        <v>7.8951236717310387</v>
      </c>
      <c r="U30" s="629">
        <f>IF(M30="","",X30*SIN(RADIANS(W30)))</f>
        <v>-2.6654574589163205</v>
      </c>
      <c r="V30" s="636">
        <f>IF(M30="","",Y30)</f>
        <v>-2.411807274010739</v>
      </c>
      <c r="W30" s="585">
        <f t="shared" si="224"/>
        <v>341.34490269346281</v>
      </c>
      <c r="X30" s="629">
        <f>IF(M30="","",R30)</f>
        <v>8.3329251321021989</v>
      </c>
      <c r="Y30" s="630">
        <f t="shared" si="223"/>
        <v>-2.411807274010739</v>
      </c>
      <c r="Z30" s="632">
        <f t="shared" si="6"/>
        <v>-0.25068022721458783</v>
      </c>
      <c r="AA30" s="629">
        <f t="shared" si="7"/>
        <v>-0.74251917964819159</v>
      </c>
      <c r="AB30" s="629">
        <f t="shared" si="8"/>
        <v>-0.62114788218122374</v>
      </c>
      <c r="AC30" s="636">
        <f>IF(M30="","",SQRT(Z30^2+AA30^2+AB30^2))</f>
        <v>1</v>
      </c>
      <c r="AD30" s="637">
        <f>IF(M30="","",Z30*(1/SQRT(Z30^2+AA30^2+AB30^2)))</f>
        <v>-0.25068022721458783</v>
      </c>
      <c r="AE30" s="629">
        <f>IF(M30="","",AA30*(1/SQRT(Z30^2+AA30^2+AB30^2)))</f>
        <v>-0.74251917964819159</v>
      </c>
      <c r="AF30" s="633">
        <f>IF(M30="","",AB30*(1/SQRT(Z30^2+AA30^2+AB30^2)))</f>
        <v>-0.62114788218122374</v>
      </c>
      <c r="AG30" s="602">
        <f>IF(M30="","",DEGREES(ATAN2(-AF30,AE30)))</f>
        <v>-50.086129556901994</v>
      </c>
      <c r="AH30" s="603">
        <f>IF(M30="","",DEGREES(ACOS(AD30)))</f>
        <v>104.51776816816077</v>
      </c>
      <c r="AI30" s="585">
        <f>IF(M30="","",DEGREES(-ACOS(-AF30)))</f>
        <v>-51.599992549884007</v>
      </c>
      <c r="AJ30" s="586">
        <f>IF(M30="","",DEGREES(ATAN2(-AE30,AD30)))</f>
        <v>-18.655080725574816</v>
      </c>
      <c r="AK30" s="635">
        <f>IF(M30="","",(COS(RADIANS((90-$Q$8)-W30))*AD30)+(-SIN(RADIANS((90-$Q$8)-W30))*AE30))</f>
        <v>2.2679489639076955E-7</v>
      </c>
      <c r="AL30" s="629">
        <f>IF(M30="","",(SIN(RADIANS((90-$Q$8)-W30))*AD30)+(COS(RADIANS((90-$Q$8)-W30))*AE30))</f>
        <v>-0.78369337655854243</v>
      </c>
      <c r="AM30" s="634">
        <f>IF(M30="","",AF30)</f>
        <v>-0.62114788218122374</v>
      </c>
      <c r="AN30" s="581">
        <f>IF(M30="","",DEGREES(ATAN2(-AM30,AL30)))</f>
        <v>-51.599992549882849</v>
      </c>
      <c r="AO30" s="582">
        <f>IF(ROUND(IF(M30="",0,DEGREES(ACOS(AK30))),4)=90,0,IF(M30="","",DEGREES(ACOS(AK30))))</f>
        <v>0</v>
      </c>
      <c r="AP30" s="585">
        <f>IF(M30="","",DEGREES(ATAN2(AK30,AL30)))</f>
        <v>-89.999983419037648</v>
      </c>
      <c r="AQ30" s="586">
        <f t="shared" si="9"/>
        <v>0.27357851780820225</v>
      </c>
      <c r="AS30" s="52">
        <f t="shared" si="116"/>
        <v>-18.655097306537186</v>
      </c>
      <c r="AT30" s="72">
        <f t="shared" si="10"/>
        <v>-2.3988523453256438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1.264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1.1639999999999999</v>
      </c>
      <c r="II30" s="734" cm="1">
        <f t="array" ref="II30">IFERROR(ROUND(VALUE(IF($IH30&lt;1,$IH30+LARGE((IF($M$9:$M$150="",0,$M$9:$M$150)-MOD(IF($M$9:$M$150="",0,$M$9:$M$150),1)),1),$IH30)),4),"")</f>
        <v>1.1639999999999999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15.210097803933536</v>
      </c>
      <c r="IM30" s="759">
        <v>2.20194864888506E-4</v>
      </c>
      <c r="IN30" s="5">
        <f t="shared" si="226"/>
        <v>0</v>
      </c>
      <c r="IO30" s="771">
        <v>0</v>
      </c>
      <c r="IP30" s="9">
        <f t="shared" si="227"/>
        <v>-8.3273251152125471</v>
      </c>
      <c r="IQ30" s="5">
        <f t="shared" si="228"/>
        <v>-2.4045072519938717</v>
      </c>
      <c r="IR30" s="5">
        <f t="shared" si="71"/>
        <v>0.314</v>
      </c>
      <c r="IS30" s="5">
        <f t="shared" si="229"/>
        <v>0.25724961152046444</v>
      </c>
      <c r="IT30" s="727">
        <f t="shared" si="230"/>
        <v>73.498885338929014</v>
      </c>
      <c r="IU30" s="9">
        <f t="shared" si="231"/>
        <v>-8.3329251321021989</v>
      </c>
      <c r="IV30" s="5">
        <f t="shared" si="232"/>
        <v>-2.411807274010739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51.599992549882849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48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2.7427362345959501</v>
      </c>
      <c r="C31" s="708">
        <v>8.0066828072778637</v>
      </c>
      <c r="D31" s="709">
        <v>-3.1645095441607851</v>
      </c>
      <c r="E31" s="710">
        <v>0.28288699217058727</v>
      </c>
      <c r="F31" s="708">
        <v>0.82581340032144068</v>
      </c>
      <c r="G31" s="711">
        <v>0.48785979288133419</v>
      </c>
      <c r="H31" s="710">
        <v>0.26250000000000001</v>
      </c>
      <c r="I31" s="708">
        <v>0.40699999999999997</v>
      </c>
      <c r="J31" s="570">
        <v>1.27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320"/>
      <c r="M31" s="168">
        <f t="shared" si="1"/>
        <v>1.27</v>
      </c>
      <c r="N31" s="632">
        <f t="shared" si="2"/>
        <v>2.7427362345959501</v>
      </c>
      <c r="O31" s="629">
        <f t="shared" si="3"/>
        <v>8.0066828072778637</v>
      </c>
      <c r="P31" s="633">
        <f t="shared" si="4"/>
        <v>-3.1645095441607851</v>
      </c>
      <c r="Q31" s="585">
        <f t="shared" si="113"/>
        <v>71.090802730150301</v>
      </c>
      <c r="R31" s="629">
        <f>IF(M31="","",SQRT(N31^2+O31^2))</f>
        <v>8.4634255256913864</v>
      </c>
      <c r="S31" s="634">
        <f>IF(M31="","",P31)</f>
        <v>-3.1645095441607851</v>
      </c>
      <c r="T31" s="635">
        <f>IF(M31="","",X31*COS(RADIANS(W31)))</f>
        <v>8.0066828072778637</v>
      </c>
      <c r="U31" s="629">
        <f>IF(M31="","",X31*SIN(RADIANS(W31)))</f>
        <v>-2.7427362345959532</v>
      </c>
      <c r="V31" s="636">
        <f>IF(M31="","",Y31)</f>
        <v>-3.1645095441607851</v>
      </c>
      <c r="W31" s="585">
        <f t="shared" si="224"/>
        <v>341.0908027301503</v>
      </c>
      <c r="X31" s="629">
        <f>IF(M31="","",R31)</f>
        <v>8.4634255256913864</v>
      </c>
      <c r="Y31" s="630">
        <f t="shared" si="223"/>
        <v>-3.1645095441607851</v>
      </c>
      <c r="Z31" s="632">
        <f t="shared" si="6"/>
        <v>-0.28288699217058727</v>
      </c>
      <c r="AA31" s="629">
        <f t="shared" si="7"/>
        <v>-0.82581340032144068</v>
      </c>
      <c r="AB31" s="629">
        <f t="shared" si="8"/>
        <v>-0.48785979288133419</v>
      </c>
      <c r="AC31" s="636">
        <f>IF(M31="","",SQRT(Z31^2+AA31^2+AB31^2))</f>
        <v>1</v>
      </c>
      <c r="AD31" s="637">
        <f>IF(M31="","",Z31*(1/SQRT(Z31^2+AA31^2+AB31^2)))</f>
        <v>-0.28288699217058727</v>
      </c>
      <c r="AE31" s="629">
        <f>IF(M31="","",AA31*(1/SQRT(Z31^2+AA31^2+AB31^2)))</f>
        <v>-0.82581340032144068</v>
      </c>
      <c r="AF31" s="633">
        <f>IF(M31="","",AB31*(1/SQRT(Z31^2+AA31^2+AB31^2)))</f>
        <v>-0.48785979288133419</v>
      </c>
      <c r="AG31" s="602">
        <f>IF(M31="","",DEGREES(ATAN2(-AF31,AE31)))</f>
        <v>-59.426988358974072</v>
      </c>
      <c r="AH31" s="603">
        <f>IF(M31="","",DEGREES(ACOS(AD31)))</f>
        <v>106.43258525417897</v>
      </c>
      <c r="AI31" s="585">
        <f>IF(M31="","",DEGREES(-ACOS(-AF31)))</f>
        <v>-60.799991221568177</v>
      </c>
      <c r="AJ31" s="586">
        <f>IF(M31="","",DEGREES(ATAN2(-AE31,AD31)))</f>
        <v>-18.909182383765543</v>
      </c>
      <c r="AK31" s="635">
        <f>IF(M31="","",(COS(RADIANS((90-$Q$8)-W31))*AD31)+(-SIN(RADIANS((90-$Q$8)-W31))*AE31))</f>
        <v>2.2679489697363664E-7</v>
      </c>
      <c r="AL31" s="629">
        <f>IF(M31="","",(SIN(RADIANS((90-$Q$8)-W31))*AD31)+(COS(RADIANS((90-$Q$8)-W31))*AE31))</f>
        <v>-0.87292200252355345</v>
      </c>
      <c r="AM31" s="634">
        <f>IF(M31="","",AF31)</f>
        <v>-0.48785979288133419</v>
      </c>
      <c r="AN31" s="581">
        <f>IF(M31="","",DEGREES(ATAN2(-AM31,AL31)))</f>
        <v>-60.799991221567375</v>
      </c>
      <c r="AO31" s="582">
        <f t="shared" si="94"/>
        <v>0</v>
      </c>
      <c r="AP31" s="585">
        <f>IF(M31="","",DEGREES(ATAN2(AK31,AL31)))</f>
        <v>-89.999985113915812</v>
      </c>
      <c r="AQ31" s="586">
        <f t="shared" si="9"/>
        <v>0.26936018162978481</v>
      </c>
      <c r="AS31" s="52">
        <f t="shared" si="116"/>
        <v>-18.909197269849699</v>
      </c>
      <c r="AT31" s="72">
        <f t="shared" si="10"/>
        <v>-3.1513781571678341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>Gage</v>
      </c>
      <c r="IG31" s="847">
        <f t="shared" si="210"/>
        <v>1.27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1.17</v>
      </c>
      <c r="II31" s="734" cm="1">
        <f t="array" ref="II31">IFERROR(ROUND(VALUE(IF($IH31&lt;1,$IH31+LARGE((IF($M$9:$M$150="",0,$M$9:$M$150)-MOD(IF($M$9:$M$150="",0,$M$9:$M$150),1)),1),$IH31)),4),"")</f>
        <v>1.17</v>
      </c>
      <c r="IJ31" s="533">
        <f t="shared" si="112"/>
        <v>1613</v>
      </c>
      <c r="IK31" s="533" t="str">
        <f t="shared" si="66"/>
        <v>Inactive</v>
      </c>
      <c r="IL31" s="727">
        <f t="shared" si="225"/>
        <v>15.312197789192169</v>
      </c>
      <c r="IM31" s="759">
        <v>1.55662409320441E-4</v>
      </c>
      <c r="IN31" s="5">
        <f t="shared" si="226"/>
        <v>0</v>
      </c>
      <c r="IO31" s="771">
        <v>0</v>
      </c>
      <c r="IP31" s="9">
        <f t="shared" si="227"/>
        <v>-8.4681255398666302</v>
      </c>
      <c r="IQ31" s="5">
        <f t="shared" si="228"/>
        <v>-3.1500095004286548</v>
      </c>
      <c r="IR31" s="5">
        <f t="shared" si="71"/>
        <v>0.314</v>
      </c>
      <c r="IS31" s="5">
        <f t="shared" si="229"/>
        <v>0.2446103044715506</v>
      </c>
      <c r="IT31" s="727">
        <f t="shared" si="230"/>
        <v>81.370582579201667</v>
      </c>
      <c r="IU31" s="9">
        <f t="shared" si="231"/>
        <v>-8.4634255256913864</v>
      </c>
      <c r="IV31" s="5">
        <f t="shared" si="232"/>
        <v>-3.1645095441607851</v>
      </c>
      <c r="IW31" s="5">
        <f t="shared" si="76"/>
        <v>0.26250000000000001</v>
      </c>
      <c r="IX31" s="5">
        <f t="shared" si="233"/>
        <v>0.26250000000000001</v>
      </c>
      <c r="IY31" s="762">
        <f t="shared" si="234"/>
        <v>60.799991221567375</v>
      </c>
    </row>
    <row r="32" spans="1:269" ht="15" customHeight="1" x14ac:dyDescent="0.25">
      <c r="A32" s="79"/>
      <c r="B32" s="707">
        <v>2.8880501056549743</v>
      </c>
      <c r="C32" s="708">
        <v>1.3467172676409016</v>
      </c>
      <c r="D32" s="709">
        <v>-0.44390133880643806</v>
      </c>
      <c r="E32" s="710">
        <v>-0.47735821324652822</v>
      </c>
      <c r="F32" s="708">
        <v>0.81424037047491171</v>
      </c>
      <c r="G32" s="711">
        <v>0.33036609289538277</v>
      </c>
      <c r="H32" s="710">
        <v>0.314</v>
      </c>
      <c r="I32" s="708">
        <v>0.52</v>
      </c>
      <c r="J32" s="570">
        <v>2.1150000000000002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2.1150000000000002</v>
      </c>
      <c r="N32" s="632">
        <f t="shared" si="2"/>
        <v>2.8880501056549743</v>
      </c>
      <c r="O32" s="629">
        <f t="shared" si="3"/>
        <v>1.3467172676409016</v>
      </c>
      <c r="P32" s="633">
        <f t="shared" si="4"/>
        <v>-0.44390133880643806</v>
      </c>
      <c r="Q32" s="585">
        <f t="shared" si="113"/>
        <v>24.999957407275954</v>
      </c>
      <c r="R32" s="629">
        <f t="shared" si="79"/>
        <v>3.1866096108145854</v>
      </c>
      <c r="S32" s="634">
        <f t="shared" si="80"/>
        <v>-0.44390133880643806</v>
      </c>
      <c r="T32" s="635">
        <f t="shared" si="81"/>
        <v>1.3467172676408987</v>
      </c>
      <c r="U32" s="629">
        <f t="shared" si="82"/>
        <v>-2.8880501056549752</v>
      </c>
      <c r="V32" s="636">
        <f t="shared" si="114"/>
        <v>-0.44390133880643806</v>
      </c>
      <c r="W32" s="585">
        <f t="shared" si="224"/>
        <v>294.99995740727593</v>
      </c>
      <c r="X32" s="629">
        <f t="shared" si="83"/>
        <v>3.1866096108145854</v>
      </c>
      <c r="Y32" s="630">
        <f t="shared" si="223"/>
        <v>-0.44390133880643806</v>
      </c>
      <c r="Z32" s="632">
        <f t="shared" si="6"/>
        <v>0.47735821324652822</v>
      </c>
      <c r="AA32" s="629">
        <f t="shared" si="7"/>
        <v>-0.81424037047491171</v>
      </c>
      <c r="AB32" s="629">
        <f t="shared" si="8"/>
        <v>-0.33036609289538277</v>
      </c>
      <c r="AC32" s="636">
        <f t="shared" si="84"/>
        <v>1</v>
      </c>
      <c r="AD32" s="637">
        <f t="shared" si="115"/>
        <v>0.47735821324652822</v>
      </c>
      <c r="AE32" s="629">
        <f t="shared" si="85"/>
        <v>-0.81424037047491171</v>
      </c>
      <c r="AF32" s="633">
        <f t="shared" si="86"/>
        <v>-0.33036609289538277</v>
      </c>
      <c r="AG32" s="602">
        <f t="shared" si="87"/>
        <v>-67.91586684468264</v>
      </c>
      <c r="AH32" s="603">
        <f t="shared" si="88"/>
        <v>61.486995566551229</v>
      </c>
      <c r="AI32" s="585">
        <f t="shared" si="89"/>
        <v>-70.709002660911167</v>
      </c>
      <c r="AJ32" s="586">
        <f t="shared" si="90"/>
        <v>30.38147700845553</v>
      </c>
      <c r="AK32" s="635">
        <f t="shared" si="211"/>
        <v>0.93969262078590843</v>
      </c>
      <c r="AL32" s="629">
        <f t="shared" si="91"/>
        <v>8.8521314413820384E-2</v>
      </c>
      <c r="AM32" s="634">
        <f t="shared" si="92"/>
        <v>-0.33036609289538277</v>
      </c>
      <c r="AN32" s="581">
        <f t="shared" si="93"/>
        <v>14.999997834268395</v>
      </c>
      <c r="AO32" s="582">
        <f t="shared" si="94"/>
        <v>19.999999999999989</v>
      </c>
      <c r="AP32" s="585">
        <f t="shared" si="95"/>
        <v>5.3815196011796278</v>
      </c>
      <c r="AQ32" s="586">
        <f t="shared" si="9"/>
        <v>0.71537102035284283</v>
      </c>
      <c r="AS32" s="52">
        <f t="shared" si="116"/>
        <v>-65.000042592724071</v>
      </c>
      <c r="AT32" s="72">
        <f t="shared" si="10"/>
        <v>-0.39876242033926856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2.1150000000000002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3.5603514827888674</v>
      </c>
      <c r="C33" s="708">
        <v>1.6602159399361442</v>
      </c>
      <c r="D33" s="709">
        <v>-0.24510073922382966</v>
      </c>
      <c r="E33" s="710">
        <v>-0.47735821324652822</v>
      </c>
      <c r="F33" s="708">
        <v>0.81424037047491171</v>
      </c>
      <c r="G33" s="711">
        <v>0.33036609289538277</v>
      </c>
      <c r="H33" s="710">
        <v>0.314</v>
      </c>
      <c r="I33" s="708">
        <v>0.52</v>
      </c>
      <c r="J33" s="570">
        <v>2.121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2.121</v>
      </c>
      <c r="N33" s="632">
        <f t="shared" si="2"/>
        <v>3.5603514827888674</v>
      </c>
      <c r="O33" s="629">
        <f t="shared" si="3"/>
        <v>1.6602159399361442</v>
      </c>
      <c r="P33" s="633">
        <f t="shared" si="4"/>
        <v>-0.24510073922382966</v>
      </c>
      <c r="Q33" s="585">
        <f t="shared" si="113"/>
        <v>24.999957407275943</v>
      </c>
      <c r="R33" s="629">
        <f t="shared" si="79"/>
        <v>3.9284118480901338</v>
      </c>
      <c r="S33" s="634">
        <f t="shared" si="80"/>
        <v>-0.24510073922382966</v>
      </c>
      <c r="T33" s="635">
        <f t="shared" si="81"/>
        <v>1.6602159399361414</v>
      </c>
      <c r="U33" s="629">
        <f t="shared" si="82"/>
        <v>-3.5603514827888683</v>
      </c>
      <c r="V33" s="636">
        <f t="shared" si="114"/>
        <v>-0.24510073922382966</v>
      </c>
      <c r="W33" s="585">
        <f t="shared" si="224"/>
        <v>294.99995740727593</v>
      </c>
      <c r="X33" s="629">
        <f t="shared" si="83"/>
        <v>3.9284118480901338</v>
      </c>
      <c r="Y33" s="630">
        <f t="shared" si="223"/>
        <v>-0.24510073922382966</v>
      </c>
      <c r="Z33" s="632">
        <f t="shared" si="6"/>
        <v>0.47735821324652822</v>
      </c>
      <c r="AA33" s="629">
        <f t="shared" si="7"/>
        <v>-0.81424037047491171</v>
      </c>
      <c r="AB33" s="629">
        <f t="shared" si="8"/>
        <v>-0.33036609289538277</v>
      </c>
      <c r="AC33" s="636">
        <f t="shared" si="84"/>
        <v>1</v>
      </c>
      <c r="AD33" s="637">
        <f t="shared" si="115"/>
        <v>0.47735821324652822</v>
      </c>
      <c r="AE33" s="629">
        <f t="shared" si="85"/>
        <v>-0.81424037047491171</v>
      </c>
      <c r="AF33" s="633">
        <f t="shared" si="86"/>
        <v>-0.33036609289538277</v>
      </c>
      <c r="AG33" s="602">
        <f t="shared" si="87"/>
        <v>-67.91586684468264</v>
      </c>
      <c r="AH33" s="603">
        <f t="shared" si="88"/>
        <v>61.486995566551229</v>
      </c>
      <c r="AI33" s="585">
        <f t="shared" si="89"/>
        <v>-70.709002660911167</v>
      </c>
      <c r="AJ33" s="586">
        <f t="shared" si="90"/>
        <v>30.38147700845553</v>
      </c>
      <c r="AK33" s="635">
        <f t="shared" si="211"/>
        <v>0.93969262078590843</v>
      </c>
      <c r="AL33" s="629">
        <f t="shared" si="91"/>
        <v>8.8521314413820384E-2</v>
      </c>
      <c r="AM33" s="634">
        <f t="shared" si="92"/>
        <v>-0.33036609289538277</v>
      </c>
      <c r="AN33" s="581">
        <f t="shared" si="93"/>
        <v>14.999997834268395</v>
      </c>
      <c r="AO33" s="582">
        <f t="shared" si="94"/>
        <v>19.999999999999989</v>
      </c>
      <c r="AP33" s="585">
        <f t="shared" si="95"/>
        <v>5.3815196011796278</v>
      </c>
      <c r="AQ33" s="586">
        <f t="shared" si="9"/>
        <v>0.58029778170458834</v>
      </c>
      <c r="AS33" s="52">
        <f t="shared" si="116"/>
        <v>-65.000042592724071</v>
      </c>
      <c r="AT33" s="72">
        <f t="shared" si="10"/>
        <v>-0.19996182075666016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2.121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4.2491737924229351</v>
      </c>
      <c r="C34" s="708">
        <v>1.9563748334922104</v>
      </c>
      <c r="D34" s="709">
        <v>-7.2100217454255863E-2</v>
      </c>
      <c r="E34" s="710">
        <v>-0.37273013914083841</v>
      </c>
      <c r="F34" s="708">
        <v>0.86181198711032769</v>
      </c>
      <c r="G34" s="711">
        <v>0.34402375244886763</v>
      </c>
      <c r="H34" s="710">
        <v>0.314</v>
      </c>
      <c r="I34" s="708">
        <v>0.52</v>
      </c>
      <c r="J34" s="570">
        <v>2.1269999999999998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2.1269999999999998</v>
      </c>
      <c r="N34" s="632">
        <f t="shared" si="2"/>
        <v>4.2491737924229351</v>
      </c>
      <c r="O34" s="629">
        <f t="shared" si="3"/>
        <v>1.9563748334922104</v>
      </c>
      <c r="P34" s="633">
        <f t="shared" si="4"/>
        <v>-7.2100217454255863E-2</v>
      </c>
      <c r="Q34" s="585">
        <f t="shared" si="113"/>
        <v>24.72195744741418</v>
      </c>
      <c r="R34" s="629">
        <f>IF(M34="","",SQRT(N34^2+O34^2))</f>
        <v>4.6779141085889533</v>
      </c>
      <c r="S34" s="634">
        <f>IF(M34="","",P34)</f>
        <v>-7.2100217454255863E-2</v>
      </c>
      <c r="T34" s="635">
        <f>IF(M34="","",X34*COS(RADIANS(W34)))</f>
        <v>1.9563748334922104</v>
      </c>
      <c r="U34" s="629">
        <f>IF(M34="","",X34*SIN(RADIANS(W34)))</f>
        <v>-4.2491737924229351</v>
      </c>
      <c r="V34" s="636">
        <f>IF(M34="","",Y34)</f>
        <v>-7.2100217454255863E-2</v>
      </c>
      <c r="W34" s="585">
        <f t="shared" si="224"/>
        <v>294.72195744741418</v>
      </c>
      <c r="X34" s="629">
        <f>IF(M34="","",R34)</f>
        <v>4.6779141085889533</v>
      </c>
      <c r="Y34" s="630">
        <f t="shared" si="223"/>
        <v>-7.2100217454255863E-2</v>
      </c>
      <c r="Z34" s="632">
        <f t="shared" si="6"/>
        <v>0.37273013914083841</v>
      </c>
      <c r="AA34" s="629">
        <f t="shared" si="7"/>
        <v>-0.86181198711032769</v>
      </c>
      <c r="AB34" s="629">
        <f t="shared" si="8"/>
        <v>-0.34402375244886763</v>
      </c>
      <c r="AC34" s="636">
        <f>IF(M34="","",SQRT(Z34^2+AA34^2+AB34^2))</f>
        <v>1</v>
      </c>
      <c r="AD34" s="637">
        <f>IF(M34="","",Z34*(1/SQRT(Z34^2+AA34^2+AB34^2)))</f>
        <v>0.37273013914083841</v>
      </c>
      <c r="AE34" s="629">
        <f>IF(M34="","",AA34*(1/SQRT(Z34^2+AA34^2+AB34^2)))</f>
        <v>-0.86181198711032769</v>
      </c>
      <c r="AF34" s="633">
        <f>IF(M34="","",AB34*(1/SQRT(Z34^2+AA34^2+AB34^2)))</f>
        <v>-0.34402375244886763</v>
      </c>
      <c r="AG34" s="602">
        <f>IF(M34="","",DEGREES(ATAN2(-AF34,AE34)))</f>
        <v>-68.238780527970746</v>
      </c>
      <c r="AH34" s="603">
        <f>IF(M34="","",DEGREES(ACOS(AD34)))</f>
        <v>68.115909119466977</v>
      </c>
      <c r="AI34" s="585">
        <f>IF(M34="","",DEGREES(-ACOS(-AF34)))</f>
        <v>-69.877786617960012</v>
      </c>
      <c r="AJ34" s="586">
        <f>IF(M34="","",DEGREES(ATAN2(-AE34,AD34)))</f>
        <v>23.388283869558741</v>
      </c>
      <c r="AK34" s="635">
        <f>IF(M34="","",(COS(RADIANS((90-$Q$8)-W34))*AD34)+(-SIN(RADIANS((90-$Q$8)-W34))*AE34))</f>
        <v>0.93870658408665864</v>
      </c>
      <c r="AL34" s="629">
        <f>IF(M34="","",(SIN(RADIANS((90-$Q$8)-W34))*AD34)+(COS(RADIANS((90-$Q$8)-W34))*AE34))</f>
        <v>-2.1854215688451584E-2</v>
      </c>
      <c r="AM34" s="634">
        <f>IF(M34="","",AF34)</f>
        <v>-0.34402375244886763</v>
      </c>
      <c r="AN34" s="581">
        <f>IF(M34="","",DEGREES(ATAN2(-AM34,AL34)))</f>
        <v>-3.6348479995317873</v>
      </c>
      <c r="AO34" s="582">
        <f t="shared" si="94"/>
        <v>20.164533654434077</v>
      </c>
      <c r="AP34" s="585">
        <f>IF(M34="","",DEGREES(ATAN2(AK34,AL34)))</f>
        <v>-1.3336735778554365</v>
      </c>
      <c r="AQ34" s="586">
        <f t="shared" si="9"/>
        <v>0.48732653163188505</v>
      </c>
      <c r="AS34" s="52">
        <f t="shared" si="116"/>
        <v>-65.278042552585816</v>
      </c>
      <c r="AT34" s="72">
        <f t="shared" si="10"/>
        <v>-2.6768243459404602E-2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2.1269999999999998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4.9717118342437168</v>
      </c>
      <c r="C35" s="708">
        <v>2.2387534517990053</v>
      </c>
      <c r="D35" s="709">
        <v>-5.7900174626926662E-2</v>
      </c>
      <c r="E35" s="710">
        <v>-0.28492887482558105</v>
      </c>
      <c r="F35" s="708">
        <v>0.89882949180266269</v>
      </c>
      <c r="G35" s="711">
        <v>0.33304816612075144</v>
      </c>
      <c r="H35" s="710">
        <v>0.314</v>
      </c>
      <c r="I35" s="708">
        <v>0.52</v>
      </c>
      <c r="J35" s="570">
        <v>2.133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2.133</v>
      </c>
      <c r="N35" s="632">
        <f t="shared" si="2"/>
        <v>4.9717118342437168</v>
      </c>
      <c r="O35" s="629">
        <f t="shared" si="3"/>
        <v>2.2387534517990053</v>
      </c>
      <c r="P35" s="633">
        <f t="shared" si="4"/>
        <v>-5.7900174626926662E-2</v>
      </c>
      <c r="Q35" s="585">
        <f t="shared" si="113"/>
        <v>24.241957516717594</v>
      </c>
      <c r="R35" s="629">
        <f>IF(M35="","",SQRT(N35^2+O35^2))</f>
        <v>5.4525164447895973</v>
      </c>
      <c r="S35" s="634">
        <f>IF(M35="","",P35)</f>
        <v>-5.7900174626926662E-2</v>
      </c>
      <c r="T35" s="635">
        <f>IF(M35="","",X35*COS(RADIANS(W35)))</f>
        <v>2.2387534517990044</v>
      </c>
      <c r="U35" s="629">
        <f>IF(M35="","",X35*SIN(RADIANS(W35)))</f>
        <v>-4.9717118342437177</v>
      </c>
      <c r="V35" s="636">
        <f>IF(M35="","",Y35)</f>
        <v>-5.7900174626926662E-2</v>
      </c>
      <c r="W35" s="585">
        <f t="shared" si="224"/>
        <v>294.2419575167176</v>
      </c>
      <c r="X35" s="629">
        <f>IF(M35="","",R35)</f>
        <v>5.4525164447895973</v>
      </c>
      <c r="Y35" s="630">
        <f t="shared" si="223"/>
        <v>-5.7900174626926662E-2</v>
      </c>
      <c r="Z35" s="632">
        <f t="shared" si="6"/>
        <v>0.28492887482558105</v>
      </c>
      <c r="AA35" s="629">
        <f t="shared" si="7"/>
        <v>-0.89882949180266269</v>
      </c>
      <c r="AB35" s="629">
        <f t="shared" si="8"/>
        <v>-0.33304816612075144</v>
      </c>
      <c r="AC35" s="636">
        <f>IF(M35="","",SQRT(Z35^2+AA35^2+AB35^2))</f>
        <v>1</v>
      </c>
      <c r="AD35" s="637">
        <f>IF(M35="","",Z35*(1/SQRT(Z35^2+AA35^2+AB35^2)))</f>
        <v>0.28492887482558105</v>
      </c>
      <c r="AE35" s="629">
        <f>IF(M35="","",AA35*(1/SQRT(Z35^2+AA35^2+AB35^2)))</f>
        <v>-0.89882949180266269</v>
      </c>
      <c r="AF35" s="633">
        <f>IF(M35="","",AB35*(1/SQRT(Z35^2+AA35^2+AB35^2)))</f>
        <v>-0.33304816612075144</v>
      </c>
      <c r="AG35" s="602">
        <f>IF(M35="","",DEGREES(ATAN2(-AF35,AE35)))</f>
        <v>-69.668547538957654</v>
      </c>
      <c r="AH35" s="603">
        <f>IF(M35="","",DEGREES(ACOS(AD35)))</f>
        <v>73.445402858866217</v>
      </c>
      <c r="AI35" s="585">
        <f>IF(M35="","",DEGREES(-ACOS(-AF35)))</f>
        <v>-70.546108436124157</v>
      </c>
      <c r="AJ35" s="586">
        <f>IF(M35="","",DEGREES(ATAN2(-AE35,AD35)))</f>
        <v>17.588610796028082</v>
      </c>
      <c r="AK35" s="635">
        <f>IF(M35="","",(COS(RADIANS((90-$Q$8)-W35))*AD35)+(-SIN(RADIANS((90-$Q$8)-W35))*AE35))</f>
        <v>0.93655961886651318</v>
      </c>
      <c r="AL35" s="629">
        <f>IF(M35="","",(SIN(RADIANS((90-$Q$8)-W35))*AD35)+(COS(RADIANS((90-$Q$8)-W35))*AE35))</f>
        <v>-0.1092474226342024</v>
      </c>
      <c r="AM35" s="634">
        <f>IF(M35="","",AF35)</f>
        <v>-0.33304816612075144</v>
      </c>
      <c r="AN35" s="581">
        <f>IF(M35="","",DEGREES(ATAN2(-AM35,AL35)))</f>
        <v>-18.160674672648405</v>
      </c>
      <c r="AO35" s="582">
        <f t="shared" si="94"/>
        <v>20.518409200023331</v>
      </c>
      <c r="AP35" s="585">
        <f>IF(M35="","",DEGREES(ATAN2(AK35,AL35)))</f>
        <v>-6.6533467206895027</v>
      </c>
      <c r="AQ35" s="586">
        <f t="shared" si="9"/>
        <v>0.41809799026867456</v>
      </c>
      <c r="AS35" s="52">
        <f t="shared" si="116"/>
        <v>-65.758042483282395</v>
      </c>
      <c r="AT35" s="72">
        <f t="shared" si="10"/>
        <v>-1.2234867346869439E-2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2.133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5.6752740033434046</v>
      </c>
      <c r="C36" s="708">
        <v>2.4855975190258301</v>
      </c>
      <c r="D36" s="709">
        <v>-0.2190006605059924</v>
      </c>
      <c r="E36" s="710">
        <v>-0.1971114308734683</v>
      </c>
      <c r="F36" s="708">
        <v>0.93262288723124132</v>
      </c>
      <c r="G36" s="711">
        <v>0.30226087082432168</v>
      </c>
      <c r="H36" s="710">
        <v>0.314</v>
      </c>
      <c r="I36" s="708">
        <v>0.52</v>
      </c>
      <c r="J36" s="570">
        <v>2.1389999999999998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2.1389999999999998</v>
      </c>
      <c r="N36" s="632">
        <f t="shared" si="2"/>
        <v>5.6752740033434046</v>
      </c>
      <c r="O36" s="629">
        <f t="shared" si="3"/>
        <v>2.4855975190258301</v>
      </c>
      <c r="P36" s="633">
        <f t="shared" si="4"/>
        <v>-0.2190006605059924</v>
      </c>
      <c r="Q36" s="585">
        <f t="shared" si="113"/>
        <v>23.651957601903042</v>
      </c>
      <c r="R36" s="629">
        <f>IF(M36="","",SQRT(N36^2+O36^2))</f>
        <v>6.1957186862875586</v>
      </c>
      <c r="S36" s="634">
        <f>IF(M36="","",P36)</f>
        <v>-0.2190006605059924</v>
      </c>
      <c r="T36" s="635">
        <f>IF(M36="","",X36*COS(RADIANS(W36)))</f>
        <v>2.485597519025831</v>
      </c>
      <c r="U36" s="629">
        <f>IF(M36="","",X36*SIN(RADIANS(W36)))</f>
        <v>-5.6752740033434037</v>
      </c>
      <c r="V36" s="636">
        <f>IF(M36="","",Y36)</f>
        <v>-0.2190006605059924</v>
      </c>
      <c r="W36" s="585">
        <f t="shared" si="224"/>
        <v>293.65195760190306</v>
      </c>
      <c r="X36" s="629">
        <f>IF(M36="","",R36)</f>
        <v>6.1957186862875586</v>
      </c>
      <c r="Y36" s="630">
        <f t="shared" si="223"/>
        <v>-0.2190006605059924</v>
      </c>
      <c r="Z36" s="632">
        <f t="shared" si="6"/>
        <v>0.1971114308734683</v>
      </c>
      <c r="AA36" s="629">
        <f t="shared" si="7"/>
        <v>-0.93262288723124132</v>
      </c>
      <c r="AB36" s="629">
        <f t="shared" si="8"/>
        <v>-0.30226087082432168</v>
      </c>
      <c r="AC36" s="636">
        <f>IF(M36="","",SQRT(Z36^2+AA36^2+AB36^2))</f>
        <v>1</v>
      </c>
      <c r="AD36" s="637">
        <f>IF(M36="","",Z36*(1/SQRT(Z36^2+AA36^2+AB36^2)))</f>
        <v>0.1971114308734683</v>
      </c>
      <c r="AE36" s="629">
        <f>IF(M36="","",AA36*(1/SQRT(Z36^2+AA36^2+AB36^2)))</f>
        <v>-0.93262288723124132</v>
      </c>
      <c r="AF36" s="633">
        <f>IF(M36="","",AB36*(1/SQRT(Z36^2+AA36^2+AB36^2)))</f>
        <v>-0.30226087082432168</v>
      </c>
      <c r="AG36" s="602">
        <f>IF(M36="","",DEGREES(ATAN2(-AF36,AE36)))</f>
        <v>-72.042613286571793</v>
      </c>
      <c r="AH36" s="603">
        <f>IF(M36="","",DEGREES(ACOS(AD36)))</f>
        <v>78.631906024753661</v>
      </c>
      <c r="AI36" s="585">
        <f>IF(M36="","",DEGREES(-ACOS(-AF36)))</f>
        <v>-72.406553010393935</v>
      </c>
      <c r="AJ36" s="586">
        <f>IF(M36="","",DEGREES(ATAN2(-AE36,AD36)))</f>
        <v>11.933934375976065</v>
      </c>
      <c r="AK36" s="635">
        <f>IF(M36="","",(COS(RADIANS((90-$Q$8)-W36))*AD36)+(-SIN(RADIANS((90-$Q$8)-W36))*AE36))</f>
        <v>0.93335905052885737</v>
      </c>
      <c r="AL36" s="629">
        <f>IF(M36="","",(SIN(RADIANS((90-$Q$8)-W36))*AD36)+(COS(RADIANS((90-$Q$8)-W36))*AE36))</f>
        <v>-0.19359558043610564</v>
      </c>
      <c r="AM36" s="634">
        <f>IF(M36="","",AF36)</f>
        <v>-0.30226087082432168</v>
      </c>
      <c r="AN36" s="581">
        <f>IF(M36="","",DEGREES(ATAN2(-AM36,AL36)))</f>
        <v>-32.639224851987244</v>
      </c>
      <c r="AO36" s="582">
        <f t="shared" si="94"/>
        <v>21.035365104730012</v>
      </c>
      <c r="AP36" s="585">
        <f>IF(M36="","",DEGREES(ATAN2(AK36,AL36)))</f>
        <v>-11.718023225926986</v>
      </c>
      <c r="AQ36" s="586">
        <f t="shared" si="9"/>
        <v>0.36794686915256619</v>
      </c>
      <c r="AS36" s="52">
        <f t="shared" si="116"/>
        <v>-66.348042398096936</v>
      </c>
      <c r="AT36" s="72">
        <f t="shared" si="10"/>
        <v>-0.17292563106286951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2.1389999999999998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6.3364285924512691</v>
      </c>
      <c r="C37" s="708">
        <v>2.6931735239885315</v>
      </c>
      <c r="D37" s="709">
        <v>-0.54090163135932001</v>
      </c>
      <c r="E37" s="710">
        <v>-9.3013058752916739E-2</v>
      </c>
      <c r="F37" s="708">
        <v>0.94970081081679403</v>
      </c>
      <c r="G37" s="711">
        <v>0.29902665572712839</v>
      </c>
      <c r="H37" s="710">
        <v>0.314</v>
      </c>
      <c r="I37" s="708">
        <v>0.52</v>
      </c>
      <c r="J37" s="570">
        <v>2.145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2.145</v>
      </c>
      <c r="N37" s="632">
        <f t="shared" si="2"/>
        <v>6.3364285924512691</v>
      </c>
      <c r="O37" s="629">
        <f t="shared" si="3"/>
        <v>2.6931735239885315</v>
      </c>
      <c r="P37" s="633">
        <f t="shared" si="4"/>
        <v>-0.54090163135932001</v>
      </c>
      <c r="Q37" s="585">
        <f t="shared" si="113"/>
        <v>23.026957692141867</v>
      </c>
      <c r="R37" s="629">
        <f t="shared" si="79"/>
        <v>6.8850207652226274</v>
      </c>
      <c r="S37" s="634">
        <f t="shared" si="80"/>
        <v>-0.54090163135932001</v>
      </c>
      <c r="T37" s="635">
        <f t="shared" si="81"/>
        <v>2.693173523988531</v>
      </c>
      <c r="U37" s="629">
        <f t="shared" si="82"/>
        <v>-6.3364285924512691</v>
      </c>
      <c r="V37" s="636">
        <f t="shared" si="114"/>
        <v>-0.54090163135932001</v>
      </c>
      <c r="W37" s="585">
        <f t="shared" si="224"/>
        <v>293.02695769214188</v>
      </c>
      <c r="X37" s="629">
        <f t="shared" si="83"/>
        <v>6.8850207652226274</v>
      </c>
      <c r="Y37" s="630">
        <f t="shared" si="223"/>
        <v>-0.54090163135932001</v>
      </c>
      <c r="Z37" s="632">
        <f t="shared" si="6"/>
        <v>9.3013058752916739E-2</v>
      </c>
      <c r="AA37" s="629">
        <f t="shared" si="7"/>
        <v>-0.94970081081679403</v>
      </c>
      <c r="AB37" s="629">
        <f t="shared" si="8"/>
        <v>-0.29902665572712839</v>
      </c>
      <c r="AC37" s="636">
        <f t="shared" si="84"/>
        <v>1</v>
      </c>
      <c r="AD37" s="637">
        <f t="shared" si="115"/>
        <v>9.3013058752916739E-2</v>
      </c>
      <c r="AE37" s="629">
        <f t="shared" si="85"/>
        <v>-0.94970081081679403</v>
      </c>
      <c r="AF37" s="633">
        <f t="shared" si="86"/>
        <v>-0.29902665572712839</v>
      </c>
      <c r="AG37" s="602">
        <f t="shared" si="87"/>
        <v>-72.522658516244462</v>
      </c>
      <c r="AH37" s="603">
        <f t="shared" si="88"/>
        <v>84.663029943236836</v>
      </c>
      <c r="AI37" s="585">
        <f t="shared" si="89"/>
        <v>-72.600848802489224</v>
      </c>
      <c r="AJ37" s="586">
        <f t="shared" si="90"/>
        <v>5.5936705966110392</v>
      </c>
      <c r="AK37" s="635">
        <f t="shared" si="211"/>
        <v>0.91041289385995772</v>
      </c>
      <c r="AL37" s="629">
        <f t="shared" si="91"/>
        <v>-0.28588707885839654</v>
      </c>
      <c r="AM37" s="634">
        <f t="shared" si="92"/>
        <v>-0.29902665572712839</v>
      </c>
      <c r="AN37" s="581">
        <f t="shared" si="93"/>
        <v>-43.71311672881091</v>
      </c>
      <c r="AO37" s="582">
        <f t="shared" si="94"/>
        <v>24.437527102856858</v>
      </c>
      <c r="AP37" s="585">
        <f t="shared" si="95"/>
        <v>-17.433287095530822</v>
      </c>
      <c r="AQ37" s="586">
        <f t="shared" si="9"/>
        <v>0.33111029456355662</v>
      </c>
      <c r="AS37" s="52">
        <f t="shared" si="116"/>
        <v>-66.973042307858123</v>
      </c>
      <c r="AT37" s="72">
        <f t="shared" si="10"/>
        <v>-0.49439257420108518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2.145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6.9152069236773022</v>
      </c>
      <c r="C38" s="708">
        <v>2.8558861567802554</v>
      </c>
      <c r="D38" s="709">
        <v>-1.0087030422483749</v>
      </c>
      <c r="E38" s="710">
        <v>1.0426749635343568E-2</v>
      </c>
      <c r="F38" s="708">
        <v>0.96170730932691928</v>
      </c>
      <c r="G38" s="711">
        <v>0.2738801454637031</v>
      </c>
      <c r="H38" s="710">
        <v>0.314</v>
      </c>
      <c r="I38" s="708">
        <v>0.52</v>
      </c>
      <c r="J38" s="570">
        <v>2.1509999999999998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2.1509999999999998</v>
      </c>
      <c r="N38" s="632">
        <f t="shared" si="2"/>
        <v>6.9152069236773022</v>
      </c>
      <c r="O38" s="629">
        <f t="shared" si="3"/>
        <v>2.8558861567802554</v>
      </c>
      <c r="P38" s="633">
        <f t="shared" si="4"/>
        <v>-1.0087030422483749</v>
      </c>
      <c r="Q38" s="585">
        <f t="shared" si="113"/>
        <v>22.439957776894165</v>
      </c>
      <c r="R38" s="629">
        <f t="shared" si="79"/>
        <v>7.4817225648752572</v>
      </c>
      <c r="S38" s="634">
        <f t="shared" si="80"/>
        <v>-1.0087030422483749</v>
      </c>
      <c r="T38" s="635">
        <f t="shared" si="81"/>
        <v>2.8558861567802558</v>
      </c>
      <c r="U38" s="629">
        <f t="shared" si="82"/>
        <v>-6.9152069236773022</v>
      </c>
      <c r="V38" s="636">
        <f t="shared" si="114"/>
        <v>-1.0087030422483749</v>
      </c>
      <c r="W38" s="585">
        <f t="shared" si="224"/>
        <v>292.43995777689418</v>
      </c>
      <c r="X38" s="629">
        <f t="shared" si="83"/>
        <v>7.4817225648752572</v>
      </c>
      <c r="Y38" s="630">
        <f t="shared" si="223"/>
        <v>-1.0087030422483749</v>
      </c>
      <c r="Z38" s="632">
        <f t="shared" si="6"/>
        <v>-1.0426749635343568E-2</v>
      </c>
      <c r="AA38" s="629">
        <f t="shared" si="7"/>
        <v>-0.96170730932691928</v>
      </c>
      <c r="AB38" s="629">
        <f t="shared" si="8"/>
        <v>-0.2738801454637031</v>
      </c>
      <c r="AC38" s="636">
        <f t="shared" si="84"/>
        <v>1</v>
      </c>
      <c r="AD38" s="637">
        <f t="shared" si="115"/>
        <v>-1.0426749635343568E-2</v>
      </c>
      <c r="AE38" s="629">
        <f t="shared" si="85"/>
        <v>-0.96170730932691928</v>
      </c>
      <c r="AF38" s="633">
        <f t="shared" si="86"/>
        <v>-0.2738801454637031</v>
      </c>
      <c r="AG38" s="602">
        <f t="shared" si="87"/>
        <v>-74.103823745233726</v>
      </c>
      <c r="AH38" s="603">
        <f t="shared" si="88"/>
        <v>90.59741957343293</v>
      </c>
      <c r="AI38" s="585">
        <f t="shared" si="89"/>
        <v>-74.104710735813967</v>
      </c>
      <c r="AJ38" s="586">
        <f t="shared" si="90"/>
        <v>-0.62117167677301977</v>
      </c>
      <c r="AK38" s="635">
        <f t="shared" si="211"/>
        <v>0.88490683484401245</v>
      </c>
      <c r="AL38" s="629">
        <f t="shared" si="91"/>
        <v>-0.37673539728453015</v>
      </c>
      <c r="AM38" s="634">
        <f t="shared" si="92"/>
        <v>-0.2738801454637031</v>
      </c>
      <c r="AN38" s="581">
        <f t="shared" si="93"/>
        <v>-53.983493850704448</v>
      </c>
      <c r="AO38" s="582">
        <f t="shared" si="94"/>
        <v>27.759941454967827</v>
      </c>
      <c r="AP38" s="585">
        <f t="shared" si="95"/>
        <v>-23.061129453667185</v>
      </c>
      <c r="AQ38" s="586">
        <f t="shared" si="9"/>
        <v>0.30470324453521869</v>
      </c>
      <c r="AS38" s="52">
        <f t="shared" si="116"/>
        <v>-67.560042223105825</v>
      </c>
      <c r="AT38" s="72">
        <f t="shared" si="10"/>
        <v>-0.96178634626010695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2.1509999999999998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7.3813896930033858</v>
      </c>
      <c r="C39" s="708">
        <v>2.9746286265833937</v>
      </c>
      <c r="D39" s="709">
        <v>-1.6002048262177555</v>
      </c>
      <c r="E39" s="710">
        <v>0.1066011186458566</v>
      </c>
      <c r="F39" s="708">
        <v>0.96745416933968842</v>
      </c>
      <c r="G39" s="711">
        <v>0.22949647433175432</v>
      </c>
      <c r="H39" s="710">
        <v>0.314</v>
      </c>
      <c r="I39" s="708">
        <v>0.52</v>
      </c>
      <c r="J39" s="570">
        <v>2.157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2.157</v>
      </c>
      <c r="N39" s="632">
        <f t="shared" si="2"/>
        <v>7.3813896930033858</v>
      </c>
      <c r="O39" s="629">
        <f t="shared" si="3"/>
        <v>2.9746286265833937</v>
      </c>
      <c r="P39" s="633">
        <f t="shared" si="4"/>
        <v>-1.6002048262177555</v>
      </c>
      <c r="Q39" s="585">
        <f t="shared" si="113"/>
        <v>21.948957847785788</v>
      </c>
      <c r="R39" s="629">
        <f t="shared" si="79"/>
        <v>7.9582240020035888</v>
      </c>
      <c r="S39" s="634">
        <f t="shared" si="80"/>
        <v>-1.6002048262177555</v>
      </c>
      <c r="T39" s="635">
        <f t="shared" si="81"/>
        <v>2.9746286265833919</v>
      </c>
      <c r="U39" s="629">
        <f t="shared" si="82"/>
        <v>-7.3813896930033858</v>
      </c>
      <c r="V39" s="636">
        <f t="shared" si="114"/>
        <v>-1.6002048262177555</v>
      </c>
      <c r="W39" s="585">
        <f t="shared" si="224"/>
        <v>291.94895784778578</v>
      </c>
      <c r="X39" s="629">
        <f t="shared" si="83"/>
        <v>7.9582240020035888</v>
      </c>
      <c r="Y39" s="630">
        <f t="shared" si="223"/>
        <v>-1.6002048262177555</v>
      </c>
      <c r="Z39" s="632">
        <f t="shared" si="6"/>
        <v>-0.1066011186458566</v>
      </c>
      <c r="AA39" s="629">
        <f t="shared" si="7"/>
        <v>-0.96745416933968842</v>
      </c>
      <c r="AB39" s="629">
        <f t="shared" si="8"/>
        <v>-0.22949647433175432</v>
      </c>
      <c r="AC39" s="636">
        <f t="shared" si="84"/>
        <v>1</v>
      </c>
      <c r="AD39" s="637">
        <f t="shared" si="115"/>
        <v>-0.1066011186458566</v>
      </c>
      <c r="AE39" s="629">
        <f t="shared" si="85"/>
        <v>-0.96745416933968842</v>
      </c>
      <c r="AF39" s="633">
        <f t="shared" si="86"/>
        <v>-0.22949647433175432</v>
      </c>
      <c r="AG39" s="602">
        <f t="shared" si="87"/>
        <v>-76.655137144379978</v>
      </c>
      <c r="AH39" s="603">
        <f t="shared" si="88"/>
        <v>96.119421705278725</v>
      </c>
      <c r="AI39" s="585">
        <f t="shared" si="89"/>
        <v>-76.73257109196372</v>
      </c>
      <c r="AJ39" s="586">
        <f t="shared" si="90"/>
        <v>-6.287898891217429</v>
      </c>
      <c r="AK39" s="635">
        <f t="shared" si="211"/>
        <v>0.8574849731735753</v>
      </c>
      <c r="AL39" s="629">
        <f t="shared" si="91"/>
        <v>-0.46048983599077109</v>
      </c>
      <c r="AM39" s="634">
        <f t="shared" si="92"/>
        <v>-0.22949647433175432</v>
      </c>
      <c r="AN39" s="581">
        <f t="shared" si="93"/>
        <v>-63.509496459687185</v>
      </c>
      <c r="AO39" s="582">
        <f t="shared" si="94"/>
        <v>30.96464213908893</v>
      </c>
      <c r="AP39" s="585">
        <f t="shared" si="95"/>
        <v>-28.236856739003208</v>
      </c>
      <c r="AQ39" s="586">
        <f t="shared" si="9"/>
        <v>0.28645934522805427</v>
      </c>
      <c r="AS39" s="52">
        <f t="shared" si="116"/>
        <v>-68.051042152214222</v>
      </c>
      <c r="AT39" s="72">
        <f t="shared" si="10"/>
        <v>-1.5529471580564955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2.157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7.7074347277011528</v>
      </c>
      <c r="C40" s="708">
        <v>3.0509603215820644</v>
      </c>
      <c r="D40" s="709">
        <v>-2.2837068876599731</v>
      </c>
      <c r="E40" s="710">
        <v>0.20451765677101089</v>
      </c>
      <c r="F40" s="708">
        <v>0.96241824324281056</v>
      </c>
      <c r="G40" s="711">
        <v>0.17867191481124711</v>
      </c>
      <c r="H40" s="710">
        <v>0.314</v>
      </c>
      <c r="I40" s="708">
        <v>0.52</v>
      </c>
      <c r="J40" s="570">
        <v>2.1629999999999998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2.1629999999999998</v>
      </c>
      <c r="N40" s="632">
        <f t="shared" si="2"/>
        <v>7.7074347277011528</v>
      </c>
      <c r="O40" s="629">
        <f t="shared" si="3"/>
        <v>3.0509603215820644</v>
      </c>
      <c r="P40" s="633">
        <f t="shared" si="4"/>
        <v>-2.2837068876599731</v>
      </c>
      <c r="Q40" s="585">
        <f t="shared" si="113"/>
        <v>21.595957898752669</v>
      </c>
      <c r="R40" s="629">
        <f t="shared" si="79"/>
        <v>8.2893250006042027</v>
      </c>
      <c r="S40" s="634">
        <f t="shared" si="80"/>
        <v>-2.2837068876599731</v>
      </c>
      <c r="T40" s="635">
        <f t="shared" si="81"/>
        <v>3.0509603215820591</v>
      </c>
      <c r="U40" s="629">
        <f t="shared" si="82"/>
        <v>-7.7074347277011537</v>
      </c>
      <c r="V40" s="636">
        <f t="shared" si="114"/>
        <v>-2.2837068876599731</v>
      </c>
      <c r="W40" s="585">
        <f t="shared" si="224"/>
        <v>291.59595789875266</v>
      </c>
      <c r="X40" s="629">
        <f t="shared" si="83"/>
        <v>8.2893250006042027</v>
      </c>
      <c r="Y40" s="630">
        <f t="shared" si="223"/>
        <v>-2.2837068876599731</v>
      </c>
      <c r="Z40" s="632">
        <f t="shared" si="6"/>
        <v>-0.20451765677101089</v>
      </c>
      <c r="AA40" s="629">
        <f t="shared" si="7"/>
        <v>-0.96241824324281056</v>
      </c>
      <c r="AB40" s="629">
        <f t="shared" si="8"/>
        <v>-0.17867191481124711</v>
      </c>
      <c r="AC40" s="636">
        <f t="shared" si="84"/>
        <v>1</v>
      </c>
      <c r="AD40" s="637">
        <f t="shared" si="115"/>
        <v>-0.20451765677101089</v>
      </c>
      <c r="AE40" s="629">
        <f t="shared" si="85"/>
        <v>-0.96241824324281056</v>
      </c>
      <c r="AF40" s="633">
        <f t="shared" si="86"/>
        <v>-0.17867191481124711</v>
      </c>
      <c r="AG40" s="602">
        <f t="shared" si="87"/>
        <v>-79.482835620362579</v>
      </c>
      <c r="AH40" s="603">
        <f t="shared" si="88"/>
        <v>101.80126459838097</v>
      </c>
      <c r="AI40" s="585">
        <f t="shared" si="89"/>
        <v>-79.707587845579724</v>
      </c>
      <c r="AJ40" s="586">
        <f t="shared" si="90"/>
        <v>-11.997114624976986</v>
      </c>
      <c r="AK40" s="635">
        <f t="shared" si="211"/>
        <v>0.81958428872993716</v>
      </c>
      <c r="AL40" s="629">
        <f t="shared" si="91"/>
        <v>-0.54438767484645123</v>
      </c>
      <c r="AM40" s="634">
        <f t="shared" si="92"/>
        <v>-0.17867191481124711</v>
      </c>
      <c r="AN40" s="581">
        <f t="shared" si="93"/>
        <v>-71.829795417752905</v>
      </c>
      <c r="AO40" s="582">
        <f t="shared" si="94"/>
        <v>34.956798912304663</v>
      </c>
      <c r="AP40" s="585">
        <f t="shared" si="95"/>
        <v>-33.593072523729617</v>
      </c>
      <c r="AQ40" s="586">
        <f t="shared" si="9"/>
        <v>0.27501746206708683</v>
      </c>
      <c r="AS40" s="52">
        <f t="shared" si="116"/>
        <v>-68.404042101247342</v>
      </c>
      <c r="AT40" s="72">
        <f t="shared" si="10"/>
        <v>-2.2362040806452179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2.1629999999999998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7.8741417883108804</v>
      </c>
      <c r="C41" s="708">
        <v>3.088055474780357</v>
      </c>
      <c r="D41" s="709">
        <v>-3.0239091201099049</v>
      </c>
      <c r="E41" s="710">
        <v>0.27517432868961728</v>
      </c>
      <c r="F41" s="708">
        <v>0.95566691970463225</v>
      </c>
      <c r="G41" s="711">
        <v>0.10478467164847405</v>
      </c>
      <c r="H41" s="710">
        <v>0.314</v>
      </c>
      <c r="I41" s="708">
        <v>0.52</v>
      </c>
      <c r="J41" s="570">
        <v>2.169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2.169</v>
      </c>
      <c r="N41" s="632">
        <f t="shared" ref="N41:N72" si="240">IF(M41="","",B41)</f>
        <v>7.8741417883108804</v>
      </c>
      <c r="O41" s="629">
        <f t="shared" ref="O41:O72" si="241">IF(M41="","",C41)</f>
        <v>3.088055474780357</v>
      </c>
      <c r="P41" s="633">
        <f t="shared" ref="P41:P72" si="242">IF(M41="","",D41)</f>
        <v>-3.0239091201099049</v>
      </c>
      <c r="Q41" s="585">
        <f t="shared" si="113"/>
        <v>21.413957925030218</v>
      </c>
      <c r="R41" s="629">
        <f t="shared" si="79"/>
        <v>8.4580255094049352</v>
      </c>
      <c r="S41" s="634">
        <f t="shared" si="80"/>
        <v>-3.0239091201099049</v>
      </c>
      <c r="T41" s="635">
        <f t="shared" si="81"/>
        <v>3.088055474780357</v>
      </c>
      <c r="U41" s="629">
        <f t="shared" si="82"/>
        <v>-7.8741417883108813</v>
      </c>
      <c r="V41" s="636">
        <f t="shared" si="114"/>
        <v>-3.0239091201099049</v>
      </c>
      <c r="W41" s="585">
        <f t="shared" si="224"/>
        <v>291.41395792503022</v>
      </c>
      <c r="X41" s="629">
        <f t="shared" si="83"/>
        <v>8.4580255094049352</v>
      </c>
      <c r="Y41" s="630">
        <f t="shared" si="223"/>
        <v>-3.0239091201099049</v>
      </c>
      <c r="Z41" s="632">
        <f t="shared" ref="Z41:Z72" si="243">IF(M41="","",-E41)</f>
        <v>-0.27517432868961728</v>
      </c>
      <c r="AA41" s="629">
        <f t="shared" ref="AA41:AA72" si="244">IF(M41="","",-F41)</f>
        <v>-0.95566691970463225</v>
      </c>
      <c r="AB41" s="629">
        <f t="shared" ref="AB41:AB72" si="245">IF(M41="","",-G41)</f>
        <v>-0.10478467164847405</v>
      </c>
      <c r="AC41" s="636">
        <f t="shared" si="84"/>
        <v>1</v>
      </c>
      <c r="AD41" s="637">
        <f t="shared" si="115"/>
        <v>-0.27517432868961728</v>
      </c>
      <c r="AE41" s="629">
        <f t="shared" si="85"/>
        <v>-0.95566691970463225</v>
      </c>
      <c r="AF41" s="633">
        <f t="shared" si="86"/>
        <v>-0.10478467164847405</v>
      </c>
      <c r="AG41" s="602">
        <f t="shared" si="87"/>
        <v>-83.742765214881558</v>
      </c>
      <c r="AH41" s="603">
        <f t="shared" si="88"/>
        <v>105.97240328056058</v>
      </c>
      <c r="AI41" s="585">
        <f t="shared" si="89"/>
        <v>-83.985239281434644</v>
      </c>
      <c r="AJ41" s="586">
        <f t="shared" si="90"/>
        <v>-16.063203662691269</v>
      </c>
      <c r="AK41" s="635">
        <f t="shared" si="211"/>
        <v>0.78922713445365855</v>
      </c>
      <c r="AL41" s="629">
        <f t="shared" si="91"/>
        <v>-0.60509561461771355</v>
      </c>
      <c r="AM41" s="634">
        <f t="shared" si="92"/>
        <v>-0.10478467164847405</v>
      </c>
      <c r="AN41" s="581">
        <f t="shared" si="93"/>
        <v>-80.175497355880921</v>
      </c>
      <c r="AO41" s="582">
        <f t="shared" si="94"/>
        <v>37.886655439930756</v>
      </c>
      <c r="AP41" s="585">
        <f t="shared" si="95"/>
        <v>-37.47716158772149</v>
      </c>
      <c r="AQ41" s="586">
        <f t="shared" ref="AQ41:AQ72" si="246">IF(M41="","",DEGREES(ATAN(($AS$5*SIN(RADIANS(90)))/(($X41*2*PI())-($AS$5*COS(RADIANS(90)))))))</f>
        <v>0.2695321517797763</v>
      </c>
      <c r="AS41" s="52">
        <f t="shared" si="116"/>
        <v>-68.586042074969782</v>
      </c>
      <c r="AT41" s="72">
        <f t="shared" ref="AT41:AT72" si="247">IF(M41="","",Y41+(((AS41-$AS$9)*$AS$6)*-1))</f>
        <v>-2.9762799242245093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2.169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7.9559281519723068</v>
      </c>
      <c r="C42" s="708">
        <v>3.1057198179929748</v>
      </c>
      <c r="D42" s="709">
        <v>-3.7759113881487476</v>
      </c>
      <c r="E42" s="710">
        <v>0.32021679593087687</v>
      </c>
      <c r="F42" s="708">
        <v>0.94734428989873687</v>
      </c>
      <c r="G42" s="711">
        <v>1.4578093221057161E-7</v>
      </c>
      <c r="H42" s="710">
        <v>0.314</v>
      </c>
      <c r="I42" s="708">
        <v>0.52</v>
      </c>
      <c r="J42" s="570">
        <v>2.1749999999999998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2.1749999999999998</v>
      </c>
      <c r="N42" s="632">
        <f t="shared" si="240"/>
        <v>7.9559281519723068</v>
      </c>
      <c r="O42" s="629">
        <f t="shared" si="241"/>
        <v>3.1057198179929748</v>
      </c>
      <c r="P42" s="633">
        <f t="shared" si="242"/>
        <v>-3.7759113881487476</v>
      </c>
      <c r="Q42" s="585">
        <f t="shared" si="113"/>
        <v>21.323957938024602</v>
      </c>
      <c r="R42" s="629">
        <f t="shared" ref="R42:R47" si="385">IF(M42="","",SQRT(N42^2+O42^2))</f>
        <v>8.5406257585272876</v>
      </c>
      <c r="S42" s="634">
        <f t="shared" ref="S42:S47" si="386">IF(M42="","",P42)</f>
        <v>-3.7759113881487476</v>
      </c>
      <c r="T42" s="635">
        <f t="shared" ref="T42:T47" si="387">IF(M42="","",X42*COS(RADIANS(W42)))</f>
        <v>3.105719817992973</v>
      </c>
      <c r="U42" s="629">
        <f t="shared" ref="U42:U47" si="388">IF(M42="","",X42*SIN(RADIANS(W42)))</f>
        <v>-7.9559281519723077</v>
      </c>
      <c r="V42" s="636">
        <f t="shared" ref="V42:V47" si="389">IF(M42="","",Y42)</f>
        <v>-3.7759113881487476</v>
      </c>
      <c r="W42" s="585">
        <f t="shared" si="224"/>
        <v>291.32395793802459</v>
      </c>
      <c r="X42" s="629">
        <f t="shared" ref="X42:X47" si="390">IF(M42="","",R42)</f>
        <v>8.5406257585272876</v>
      </c>
      <c r="Y42" s="630">
        <f t="shared" si="223"/>
        <v>-3.7759113881487476</v>
      </c>
      <c r="Z42" s="632">
        <f t="shared" si="243"/>
        <v>-0.32021679593087687</v>
      </c>
      <c r="AA42" s="629">
        <f t="shared" si="244"/>
        <v>-0.94734428989873687</v>
      </c>
      <c r="AB42" s="629">
        <f t="shared" si="245"/>
        <v>-1.4578093221057161E-7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-0.32021679593087687</v>
      </c>
      <c r="AE42" s="629">
        <f t="shared" ref="AE42:AE47" si="393">IF(M42="","",AA42*(1/SQRT(Z42^2+AA42^2+AB42^2)))</f>
        <v>-0.94734428989873687</v>
      </c>
      <c r="AF42" s="633">
        <f t="shared" ref="AF42:AF47" si="394">IF(M42="","",AB42*(1/SQRT(Z42^2+AA42^2+AB42^2)))</f>
        <v>-1.4578093221057161E-7</v>
      </c>
      <c r="AG42" s="602">
        <f t="shared" ref="AG42:AG47" si="395">IF(M42="","",DEGREES(ATAN2(-AF42,AE42)))</f>
        <v>-89.99999118310815</v>
      </c>
      <c r="AH42" s="603">
        <f t="shared" ref="AH42:AH47" si="396">IF(M42="","",DEGREES(ACOS(AD42)))</f>
        <v>108.67603628668985</v>
      </c>
      <c r="AI42" s="585">
        <f t="shared" ref="AI42:AI47" si="397">IF(M42="","",DEGREES(-ACOS(-AF42)))</f>
        <v>-89.99999164736785</v>
      </c>
      <c r="AJ42" s="586">
        <f t="shared" ref="AJ42:AJ47" si="398">IF(M42="","",DEGREES(ATAN2(-AE42,AD42)))</f>
        <v>-18.676036286690056</v>
      </c>
      <c r="AK42" s="635">
        <f t="shared" ref="AK42:AK47" si="399">IF(M42="","",(COS(RADIANS((90-$Q$8)-W42))*AD42)+(-SIN(RADIANS((90-$Q$8)-W42))*AE42))</f>
        <v>0.76604450791050738</v>
      </c>
      <c r="AL42" s="629">
        <f t="shared" ref="AL42:AL47" si="400">IF(M42="","",(SIN(RADIANS((90-$Q$8)-W42))*AD42)+(COS(RADIANS((90-$Q$8)-W42))*AE42))</f>
        <v>-0.64278753247097709</v>
      </c>
      <c r="AM42" s="634">
        <f t="shared" ref="AM42:AM47" si="401">IF(M42="","",AF42)</f>
        <v>-1.4578093221057161E-7</v>
      </c>
      <c r="AN42" s="581">
        <f t="shared" ref="AN42:AN47" si="402">IF(M42="","",DEGREES(ATAN2(-AM42,AL42)))</f>
        <v>-89.999987005609597</v>
      </c>
      <c r="AO42" s="582">
        <f t="shared" si="94"/>
        <v>39.999994224715365</v>
      </c>
      <c r="AP42" s="585">
        <f t="shared" ref="AP42:AP47" si="403">IF(M42="","",DEGREES(ATAN2(AK42,AL42)))</f>
        <v>-39.999994224714648</v>
      </c>
      <c r="AQ42" s="586">
        <f t="shared" si="246"/>
        <v>0.2669254225062575</v>
      </c>
      <c r="AS42" s="52">
        <f t="shared" si="116"/>
        <v>-68.676042061975409</v>
      </c>
      <c r="AT42" s="72">
        <f t="shared" si="247"/>
        <v>-3.7282196922723756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2.1749999999999998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4.6186096301713109</v>
      </c>
      <c r="C43" s="708">
        <v>0.72530818904475236</v>
      </c>
      <c r="D43" s="709">
        <v>-4.5600137530015385E-2</v>
      </c>
      <c r="E43" s="710">
        <v>-3.5184740671614095E-8</v>
      </c>
      <c r="F43" s="708">
        <v>2.2404901069563942E-7</v>
      </c>
      <c r="G43" s="711">
        <v>0.99999999999997435</v>
      </c>
      <c r="H43" s="710">
        <v>0.26250000000000001</v>
      </c>
      <c r="I43" s="708">
        <v>0.40699999999999997</v>
      </c>
      <c r="J43" s="570">
        <v>2.2269999999999999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2.2269999999999999</v>
      </c>
      <c r="N43" s="632">
        <f t="shared" si="240"/>
        <v>4.6186096301713109</v>
      </c>
      <c r="O43" s="629">
        <f t="shared" si="241"/>
        <v>0.72530818904475236</v>
      </c>
      <c r="P43" s="633">
        <f t="shared" si="242"/>
        <v>-4.5600137530015385E-2</v>
      </c>
      <c r="Q43" s="585">
        <f t="shared" si="113"/>
        <v>8.9248597282328959</v>
      </c>
      <c r="R43" s="629">
        <f t="shared" si="385"/>
        <v>4.6752141004457277</v>
      </c>
      <c r="S43" s="634">
        <f t="shared" si="386"/>
        <v>-4.5600137530015385E-2</v>
      </c>
      <c r="T43" s="635">
        <f t="shared" si="387"/>
        <v>0.7253081890447507</v>
      </c>
      <c r="U43" s="629">
        <f t="shared" si="388"/>
        <v>-4.6186096301713118</v>
      </c>
      <c r="V43" s="636">
        <f t="shared" si="389"/>
        <v>-4.5600137530015385E-2</v>
      </c>
      <c r="W43" s="585">
        <f t="shared" si="224"/>
        <v>278.92485972823289</v>
      </c>
      <c r="X43" s="629">
        <f t="shared" si="390"/>
        <v>4.6752141004457277</v>
      </c>
      <c r="Y43" s="630">
        <f t="shared" si="223"/>
        <v>-4.5600137530015385E-2</v>
      </c>
      <c r="Z43" s="632">
        <f t="shared" si="243"/>
        <v>3.5184740671614095E-8</v>
      </c>
      <c r="AA43" s="629">
        <f t="shared" si="244"/>
        <v>-2.2404901069563942E-7</v>
      </c>
      <c r="AB43" s="629">
        <f t="shared" si="245"/>
        <v>-0.99999999999997435</v>
      </c>
      <c r="AC43" s="636">
        <f t="shared" si="391"/>
        <v>1</v>
      </c>
      <c r="AD43" s="637">
        <f t="shared" si="392"/>
        <v>3.5184740671614095E-8</v>
      </c>
      <c r="AE43" s="629">
        <f t="shared" si="393"/>
        <v>-2.2404901069563942E-7</v>
      </c>
      <c r="AF43" s="633">
        <f t="shared" si="394"/>
        <v>-0.99999999999997435</v>
      </c>
      <c r="AG43" s="602">
        <f t="shared" si="395"/>
        <v>-1.2837062716941692E-5</v>
      </c>
      <c r="AH43" s="603">
        <f t="shared" si="396"/>
        <v>89.999997984062858</v>
      </c>
      <c r="AI43" s="585">
        <f t="shared" si="397"/>
        <v>-1.2976235990044085E-5</v>
      </c>
      <c r="AJ43" s="586">
        <f t="shared" si="398"/>
        <v>8.9248597226171142</v>
      </c>
      <c r="AK43" s="635">
        <f t="shared" si="399"/>
        <v>2.2679489670145462E-7</v>
      </c>
      <c r="AL43" s="629">
        <f t="shared" si="400"/>
        <v>-2.2228956950035521E-17</v>
      </c>
      <c r="AM43" s="634">
        <f t="shared" si="401"/>
        <v>-0.99999999999997435</v>
      </c>
      <c r="AN43" s="581">
        <f t="shared" si="402"/>
        <v>-1.2736254162150669E-15</v>
      </c>
      <c r="AO43" s="582">
        <f t="shared" si="94"/>
        <v>0</v>
      </c>
      <c r="AP43" s="585">
        <f t="shared" si="403"/>
        <v>-5.6157587085903125E-9</v>
      </c>
      <c r="AQ43" s="586">
        <f t="shared" si="246"/>
        <v>0.48760795662401274</v>
      </c>
      <c r="AS43" s="52">
        <f t="shared" ref="AS43:AS74" si="406">IF(G43="","",IF(AND(W43&lt;(AS42+180),W43&gt;(AS42-180)),W43,IF(W43&gt;(AS42+180),W43-360,IF(W43&lt;(AS42-180),W43+360,"Error"))))</f>
        <v>-81.075140271767111</v>
      </c>
      <c r="AT43" s="72">
        <f t="shared" si="247"/>
        <v>1.0702043214267334E-2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2.2269999999999999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2.1269999999999998</v>
      </c>
      <c r="II43" s="734" cm="1">
        <f t="array" ref="II43">IFERROR(ROUND(VALUE(IF($IH43&lt;1,$IH43+LARGE((IF($M$9:$M$150="",0,$M$9:$M$150)-MOD(IF($M$9:$M$150="",0,$M$9:$M$150),1)),1),$IH43)),4),"")</f>
        <v>2.1269999999999998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15.797097719181295</v>
      </c>
      <c r="IM43" s="759">
        <v>5.8378697735042796E-3</v>
      </c>
      <c r="IN43" s="5">
        <f t="shared" si="226"/>
        <v>0.1</v>
      </c>
      <c r="IO43" s="771">
        <v>50</v>
      </c>
      <c r="IP43" s="9">
        <f t="shared" si="227"/>
        <v>-4.6779141085889533</v>
      </c>
      <c r="IQ43" s="5">
        <f t="shared" si="228"/>
        <v>-7.2100217454255863E-2</v>
      </c>
      <c r="IR43" s="5">
        <f t="shared" si="383"/>
        <v>0.314</v>
      </c>
      <c r="IS43" s="5">
        <f t="shared" si="229"/>
        <v>0.2947538674032108</v>
      </c>
      <c r="IT43" s="727">
        <f t="shared" si="230"/>
        <v>3.6348479995317873</v>
      </c>
      <c r="IU43" s="9">
        <f t="shared" si="231"/>
        <v>-4.6752141004457277</v>
      </c>
      <c r="IV43" s="5">
        <f t="shared" si="232"/>
        <v>-4.5600137530015385E-2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1.2736254162150669E-15</v>
      </c>
    </row>
    <row r="44" spans="1:267" ht="15" customHeight="1" x14ac:dyDescent="0.25">
      <c r="A44" s="79"/>
      <c r="B44" s="707">
        <v>5.3856685632643062</v>
      </c>
      <c r="C44" s="708">
        <v>0.87144486797672638</v>
      </c>
      <c r="D44" s="709">
        <v>-3.1000093496282428E-2</v>
      </c>
      <c r="E44" s="710">
        <v>8.0886422988345669E-2</v>
      </c>
      <c r="F44" s="708">
        <v>1.3088309223416838E-2</v>
      </c>
      <c r="G44" s="711">
        <v>0.99663738778846878</v>
      </c>
      <c r="H44" s="710">
        <v>0.26250000000000001</v>
      </c>
      <c r="I44" s="708">
        <v>0.40699999999999997</v>
      </c>
      <c r="J44" s="570">
        <v>2.2330000000000001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Inactive</v>
      </c>
      <c r="L44" s="320"/>
      <c r="M44" s="168">
        <f t="shared" si="239"/>
        <v>2.2330000000000001</v>
      </c>
      <c r="N44" s="632">
        <f t="shared" si="240"/>
        <v>5.3856685632643062</v>
      </c>
      <c r="O44" s="629">
        <f t="shared" si="241"/>
        <v>0.87144486797672638</v>
      </c>
      <c r="P44" s="633">
        <f t="shared" si="242"/>
        <v>-3.1000093496282428E-2</v>
      </c>
      <c r="Q44" s="585">
        <f t="shared" si="113"/>
        <v>9.1912596897694971</v>
      </c>
      <c r="R44" s="629">
        <f t="shared" si="385"/>
        <v>5.455716454440827</v>
      </c>
      <c r="S44" s="634">
        <f t="shared" si="386"/>
        <v>-3.1000093496282428E-2</v>
      </c>
      <c r="T44" s="635">
        <f t="shared" si="387"/>
        <v>0.87144486797672516</v>
      </c>
      <c r="U44" s="629">
        <f t="shared" si="388"/>
        <v>-5.3856685632643062</v>
      </c>
      <c r="V44" s="636">
        <f t="shared" si="389"/>
        <v>-3.1000093496282428E-2</v>
      </c>
      <c r="W44" s="585">
        <f t="shared" si="224"/>
        <v>279.19125968976948</v>
      </c>
      <c r="X44" s="629">
        <f t="shared" si="390"/>
        <v>5.455716454440827</v>
      </c>
      <c r="Y44" s="630">
        <f t="shared" si="223"/>
        <v>-3.1000093496282428E-2</v>
      </c>
      <c r="Z44" s="632">
        <f t="shared" si="243"/>
        <v>-8.0886422988345669E-2</v>
      </c>
      <c r="AA44" s="629">
        <f t="shared" si="244"/>
        <v>-1.3088309223416838E-2</v>
      </c>
      <c r="AB44" s="629">
        <f t="shared" si="245"/>
        <v>-0.99663738778846878</v>
      </c>
      <c r="AC44" s="636">
        <f t="shared" si="391"/>
        <v>1</v>
      </c>
      <c r="AD44" s="637">
        <f t="shared" si="392"/>
        <v>-8.0886422988345669E-2</v>
      </c>
      <c r="AE44" s="629">
        <f t="shared" si="393"/>
        <v>-1.3088309223416838E-2</v>
      </c>
      <c r="AF44" s="633">
        <f t="shared" si="394"/>
        <v>-0.99663738778846878</v>
      </c>
      <c r="AG44" s="602">
        <f t="shared" si="395"/>
        <v>-0.7523917757323938</v>
      </c>
      <c r="AH44" s="603">
        <f t="shared" si="396"/>
        <v>94.639519163791022</v>
      </c>
      <c r="AI44" s="585">
        <f t="shared" si="397"/>
        <v>-4.6999993214219673</v>
      </c>
      <c r="AJ44" s="586">
        <f t="shared" si="398"/>
        <v>-80.80858172310846</v>
      </c>
      <c r="AK44" s="635">
        <f t="shared" si="399"/>
        <v>2.267948967342448E-7</v>
      </c>
      <c r="AL44" s="629">
        <f t="shared" si="400"/>
        <v>-8.1938496826131219E-2</v>
      </c>
      <c r="AM44" s="634">
        <f t="shared" si="401"/>
        <v>-0.99663738778846878</v>
      </c>
      <c r="AN44" s="581">
        <f t="shared" si="402"/>
        <v>-4.6999993214040572</v>
      </c>
      <c r="AO44" s="582">
        <f t="shared" si="94"/>
        <v>0</v>
      </c>
      <c r="AP44" s="585">
        <f t="shared" si="403"/>
        <v>-89.999841412877942</v>
      </c>
      <c r="AQ44" s="586">
        <f t="shared" si="246"/>
        <v>0.41785276671969573</v>
      </c>
      <c r="AS44" s="52">
        <f t="shared" si="406"/>
        <v>-80.808740310230519</v>
      </c>
      <c r="AT44" s="72">
        <f t="shared" si="247"/>
        <v>2.511708727471099E-2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Nose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2.2330000000000001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2.133</v>
      </c>
      <c r="II44" s="734" cm="1">
        <f t="array" ref="II44">IFERROR(ROUND(VALUE(IF($IH44&lt;1,$IH44+LARGE((IF($M$9:$M$150="",0,$M$9:$M$150)-MOD(IF($M$9:$M$150="",0,$M$9:$M$150),1)),1),$IH44)),4),"")</f>
        <v>2.133</v>
      </c>
      <c r="IJ44" s="533">
        <f t="shared" si="112"/>
        <v>1613</v>
      </c>
      <c r="IK44" s="533" t="str">
        <f t="shared" si="382"/>
        <v>Inactive</v>
      </c>
      <c r="IL44" s="727">
        <f t="shared" si="225"/>
        <v>15.050697826948124</v>
      </c>
      <c r="IM44" s="759">
        <v>4.8315071752587898E-3</v>
      </c>
      <c r="IN44" s="5">
        <f t="shared" si="226"/>
        <v>0.08</v>
      </c>
      <c r="IO44" s="771">
        <v>40</v>
      </c>
      <c r="IP44" s="9">
        <f t="shared" si="227"/>
        <v>-5.4525164447895973</v>
      </c>
      <c r="IQ44" s="5">
        <f t="shared" si="228"/>
        <v>-5.7900174626926662E-2</v>
      </c>
      <c r="IR44" s="5">
        <f t="shared" si="383"/>
        <v>0.314</v>
      </c>
      <c r="IS44" s="5">
        <f t="shared" si="229"/>
        <v>0.29407972032408514</v>
      </c>
      <c r="IT44" s="727">
        <f t="shared" si="230"/>
        <v>18.160674672648405</v>
      </c>
      <c r="IU44" s="9">
        <f t="shared" si="231"/>
        <v>-5.455716454440827</v>
      </c>
      <c r="IV44" s="5">
        <f t="shared" si="232"/>
        <v>-3.1000093496282428E-2</v>
      </c>
      <c r="IW44" s="5">
        <f t="shared" si="384"/>
        <v>0.26250000000000001</v>
      </c>
      <c r="IX44" s="5">
        <f t="shared" si="233"/>
        <v>0.26250000000000001</v>
      </c>
      <c r="IY44" s="762">
        <f t="shared" si="234"/>
        <v>4.6999993214040572</v>
      </c>
    </row>
    <row r="45" spans="1:267" ht="15" customHeight="1" x14ac:dyDescent="0.25">
      <c r="A45" s="79"/>
      <c r="B45" s="707">
        <v>6.1325337110154416</v>
      </c>
      <c r="C45" s="708">
        <v>0.94501139201544027</v>
      </c>
      <c r="D45" s="709">
        <v>-0.19300058208975643</v>
      </c>
      <c r="E45" s="710">
        <v>0.23575071903341968</v>
      </c>
      <c r="F45" s="708">
        <v>3.6328951931586181E-2</v>
      </c>
      <c r="G45" s="711">
        <v>0.97113428820466341</v>
      </c>
      <c r="H45" s="710">
        <v>0.26250000000000001</v>
      </c>
      <c r="I45" s="708">
        <v>0.40699999999999997</v>
      </c>
      <c r="J45" s="570">
        <v>2.2389999999999999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2.2389999999999999</v>
      </c>
      <c r="N45" s="632">
        <f t="shared" si="240"/>
        <v>6.1325337110154416</v>
      </c>
      <c r="O45" s="629">
        <f t="shared" si="241"/>
        <v>0.94501139201544027</v>
      </c>
      <c r="P45" s="633">
        <f t="shared" si="242"/>
        <v>-0.19300058208975643</v>
      </c>
      <c r="Q45" s="585">
        <f t="shared" si="113"/>
        <v>8.7602597519981877</v>
      </c>
      <c r="R45" s="629">
        <f t="shared" si="385"/>
        <v>6.2049187140348412</v>
      </c>
      <c r="S45" s="634">
        <f t="shared" si="386"/>
        <v>-0.19300058208975643</v>
      </c>
      <c r="T45" s="635">
        <f t="shared" si="387"/>
        <v>0.94501139201544404</v>
      </c>
      <c r="U45" s="629">
        <f t="shared" si="388"/>
        <v>-6.1325337110154408</v>
      </c>
      <c r="V45" s="636">
        <f t="shared" si="389"/>
        <v>-0.19300058208975643</v>
      </c>
      <c r="W45" s="585">
        <f t="shared" si="224"/>
        <v>278.76025975199821</v>
      </c>
      <c r="X45" s="629">
        <f t="shared" si="390"/>
        <v>6.2049187140348412</v>
      </c>
      <c r="Y45" s="630">
        <f t="shared" si="223"/>
        <v>-0.19300058208975643</v>
      </c>
      <c r="Z45" s="632">
        <f t="shared" si="243"/>
        <v>-0.23575071903341968</v>
      </c>
      <c r="AA45" s="629">
        <f t="shared" si="244"/>
        <v>-3.6328951931586181E-2</v>
      </c>
      <c r="AB45" s="629">
        <f t="shared" si="245"/>
        <v>-0.97113428820466341</v>
      </c>
      <c r="AC45" s="636">
        <f t="shared" si="391"/>
        <v>1</v>
      </c>
      <c r="AD45" s="637">
        <f t="shared" si="392"/>
        <v>-0.23575071903341968</v>
      </c>
      <c r="AE45" s="629">
        <f t="shared" si="393"/>
        <v>-3.6328951931586181E-2</v>
      </c>
      <c r="AF45" s="633">
        <f t="shared" si="394"/>
        <v>-0.97113428820466341</v>
      </c>
      <c r="AG45" s="602">
        <f t="shared" si="395"/>
        <v>-2.1423664053281311</v>
      </c>
      <c r="AH45" s="603">
        <f t="shared" si="396"/>
        <v>103.63587921229394</v>
      </c>
      <c r="AI45" s="585">
        <f t="shared" si="397"/>
        <v>-13.799998007532785</v>
      </c>
      <c r="AJ45" s="586">
        <f t="shared" si="398"/>
        <v>-81.239685771819026</v>
      </c>
      <c r="AK45" s="635">
        <f t="shared" si="399"/>
        <v>2.2679489657811969E-7</v>
      </c>
      <c r="AL45" s="629">
        <f t="shared" si="400"/>
        <v>-0.23853342380716888</v>
      </c>
      <c r="AM45" s="634">
        <f t="shared" si="401"/>
        <v>-0.97113428820466341</v>
      </c>
      <c r="AN45" s="581">
        <f t="shared" si="402"/>
        <v>-13.79999800752681</v>
      </c>
      <c r="AO45" s="582">
        <f t="shared" si="94"/>
        <v>0</v>
      </c>
      <c r="AP45" s="585">
        <f t="shared" si="403"/>
        <v>-89.999945523817246</v>
      </c>
      <c r="AQ45" s="586">
        <f t="shared" si="246"/>
        <v>0.36740132960567423</v>
      </c>
      <c r="AS45" s="52">
        <f t="shared" si="406"/>
        <v>-81.239740248001794</v>
      </c>
      <c r="AT45" s="72">
        <f t="shared" si="247"/>
        <v>-0.13658409580642183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2.2389999999999999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2.1389999999999998</v>
      </c>
      <c r="II45" s="734" cm="1">
        <f t="array" ref="II45">IFERROR(ROUND(VALUE(IF($IH45&lt;1,$IH45+LARGE((IF($M$9:$M$150="",0,$M$9:$M$150)-MOD(IF($M$9:$M$150="",0,$M$9:$M$150),1)),1),$IH45)),4),"")</f>
        <v>2.1389999999999998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14.891697849904858</v>
      </c>
      <c r="IM45" s="759">
        <v>3.45147564778534E-3</v>
      </c>
      <c r="IN45" s="5">
        <f t="shared" si="226"/>
        <v>0.06</v>
      </c>
      <c r="IO45" s="771">
        <v>30</v>
      </c>
      <c r="IP45" s="9">
        <f t="shared" si="227"/>
        <v>-6.1957186862875586</v>
      </c>
      <c r="IQ45" s="5">
        <f t="shared" si="228"/>
        <v>-0.2190006605059924</v>
      </c>
      <c r="IR45" s="5">
        <f t="shared" si="383"/>
        <v>0.314</v>
      </c>
      <c r="IS45" s="5">
        <f t="shared" si="229"/>
        <v>0.29307474186606119</v>
      </c>
      <c r="IT45" s="727">
        <f t="shared" si="230"/>
        <v>32.639224851987244</v>
      </c>
      <c r="IU45" s="9">
        <f t="shared" si="231"/>
        <v>-6.2049187140348412</v>
      </c>
      <c r="IV45" s="5">
        <f t="shared" si="232"/>
        <v>-0.19300058208975643</v>
      </c>
      <c r="IW45" s="5">
        <f t="shared" si="384"/>
        <v>0.26250000000000001</v>
      </c>
      <c r="IX45" s="5">
        <f t="shared" si="233"/>
        <v>0.26250000000000001</v>
      </c>
      <c r="IY45" s="762">
        <f t="shared" si="234"/>
        <v>13.79999800752681</v>
      </c>
    </row>
    <row r="46" spans="1:267" ht="15" customHeight="1" x14ac:dyDescent="0.25">
      <c r="A46" s="79"/>
      <c r="B46" s="707">
        <v>6.8331077833586402</v>
      </c>
      <c r="C46" s="708">
        <v>0.9419078003701632</v>
      </c>
      <c r="D46" s="709">
        <v>-0.52250157586475243</v>
      </c>
      <c r="E46" s="710">
        <v>0.38388552825550831</v>
      </c>
      <c r="F46" s="708">
        <v>5.2916820478314253E-2</v>
      </c>
      <c r="G46" s="711">
        <v>0.92186317385306993</v>
      </c>
      <c r="H46" s="710">
        <v>0.26250000000000001</v>
      </c>
      <c r="I46" s="708">
        <v>0.40699999999999997</v>
      </c>
      <c r="J46" s="570">
        <v>2.2450000000000001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2.2450000000000001</v>
      </c>
      <c r="N46" s="632">
        <f t="shared" si="240"/>
        <v>6.8331077833586402</v>
      </c>
      <c r="O46" s="629">
        <f t="shared" si="241"/>
        <v>0.9419078003701632</v>
      </c>
      <c r="P46" s="633">
        <f t="shared" si="242"/>
        <v>-0.52250157586475243</v>
      </c>
      <c r="Q46" s="585">
        <f t="shared" si="113"/>
        <v>7.8484598836458028</v>
      </c>
      <c r="R46" s="629">
        <f t="shared" si="385"/>
        <v>6.8977208035259441</v>
      </c>
      <c r="S46" s="634">
        <f t="shared" si="386"/>
        <v>-0.52250157586475243</v>
      </c>
      <c r="T46" s="635">
        <f t="shared" si="387"/>
        <v>0.9419078003701653</v>
      </c>
      <c r="U46" s="629">
        <f t="shared" si="388"/>
        <v>-6.8331077833586402</v>
      </c>
      <c r="V46" s="636">
        <f t="shared" si="389"/>
        <v>-0.52250157586475243</v>
      </c>
      <c r="W46" s="585">
        <f t="shared" si="224"/>
        <v>277.84845988364583</v>
      </c>
      <c r="X46" s="629">
        <f t="shared" si="390"/>
        <v>6.8977208035259441</v>
      </c>
      <c r="Y46" s="630">
        <f t="shared" si="223"/>
        <v>-0.52250157586475243</v>
      </c>
      <c r="Z46" s="632">
        <f t="shared" si="243"/>
        <v>-0.38388552825550831</v>
      </c>
      <c r="AA46" s="629">
        <f t="shared" si="244"/>
        <v>-5.2916820478314253E-2</v>
      </c>
      <c r="AB46" s="629">
        <f t="shared" si="245"/>
        <v>-0.92186317385306993</v>
      </c>
      <c r="AC46" s="636">
        <f t="shared" si="391"/>
        <v>1</v>
      </c>
      <c r="AD46" s="637">
        <f t="shared" si="392"/>
        <v>-0.38388552825550831</v>
      </c>
      <c r="AE46" s="629">
        <f t="shared" si="393"/>
        <v>-5.2916820478314253E-2</v>
      </c>
      <c r="AF46" s="633">
        <f t="shared" si="394"/>
        <v>-0.92186317385306993</v>
      </c>
      <c r="AG46" s="602">
        <f t="shared" si="395"/>
        <v>-3.2852890655572073</v>
      </c>
      <c r="AH46" s="603">
        <f t="shared" si="396"/>
        <v>112.57456990680404</v>
      </c>
      <c r="AI46" s="585">
        <f t="shared" si="397"/>
        <v>-22.799996708091257</v>
      </c>
      <c r="AJ46" s="586">
        <f t="shared" si="398"/>
        <v>-82.151506583787693</v>
      </c>
      <c r="AK46" s="635">
        <f t="shared" si="399"/>
        <v>2.2679489657118079E-7</v>
      </c>
      <c r="AL46" s="629">
        <f t="shared" si="400"/>
        <v>-0.38751553348671502</v>
      </c>
      <c r="AM46" s="634">
        <f t="shared" si="401"/>
        <v>-0.92186317385306993</v>
      </c>
      <c r="AN46" s="581">
        <f t="shared" si="402"/>
        <v>-22.799996708087772</v>
      </c>
      <c r="AO46" s="582">
        <f t="shared" si="94"/>
        <v>0</v>
      </c>
      <c r="AP46" s="585">
        <f t="shared" si="403"/>
        <v>-89.999966467433524</v>
      </c>
      <c r="AQ46" s="586">
        <f t="shared" si="246"/>
        <v>0.33050066999646849</v>
      </c>
      <c r="AS46" s="52">
        <f t="shared" si="406"/>
        <v>-82.15154011635417</v>
      </c>
      <c r="AT46" s="72">
        <f t="shared" si="247"/>
        <v>-0.46545189522839536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2.2450000000000001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2.145</v>
      </c>
      <c r="II46" s="734" cm="1">
        <f t="array" ref="II46">IFERROR(ROUND(VALUE(IF($IH46&lt;1,$IH46+LARGE((IF($M$9:$M$150="",0,$M$9:$M$150)-MOD(IF($M$9:$M$150="",0,$M$9:$M$150),1)),1),$IH46)),4),"")</f>
        <v>2.145</v>
      </c>
      <c r="IJ46" s="533">
        <f t="shared" si="112"/>
        <v>1613</v>
      </c>
      <c r="IK46" s="533" t="str">
        <f t="shared" si="382"/>
        <v>Inactive</v>
      </c>
      <c r="IL46" s="727">
        <f t="shared" si="225"/>
        <v>15.178497808496047</v>
      </c>
      <c r="IM46" s="759">
        <v>1.2260144314487601E-3</v>
      </c>
      <c r="IN46" s="5">
        <f t="shared" si="226"/>
        <v>0</v>
      </c>
      <c r="IO46" s="771">
        <v>0</v>
      </c>
      <c r="IP46" s="9">
        <f t="shared" si="227"/>
        <v>-6.8850207652226274</v>
      </c>
      <c r="IQ46" s="5">
        <f t="shared" si="228"/>
        <v>-0.54090163135932001</v>
      </c>
      <c r="IR46" s="5">
        <f t="shared" si="383"/>
        <v>0.314</v>
      </c>
      <c r="IS46" s="5">
        <f t="shared" si="229"/>
        <v>0.28586964867202674</v>
      </c>
      <c r="IT46" s="727">
        <f t="shared" si="230"/>
        <v>43.71311672881091</v>
      </c>
      <c r="IU46" s="9">
        <f t="shared" si="231"/>
        <v>-6.8977208035259441</v>
      </c>
      <c r="IV46" s="5">
        <f t="shared" si="232"/>
        <v>-0.52250157586475243</v>
      </c>
      <c r="IW46" s="5">
        <f t="shared" si="384"/>
        <v>0.26250000000000001</v>
      </c>
      <c r="IX46" s="5">
        <f t="shared" si="233"/>
        <v>0.26250000000000001</v>
      </c>
      <c r="IY46" s="762">
        <f t="shared" si="234"/>
        <v>22.799996708087772</v>
      </c>
    </row>
    <row r="47" spans="1:267" ht="15" customHeight="1" x14ac:dyDescent="0.25">
      <c r="A47" s="79"/>
      <c r="B47" s="707">
        <v>7.4395359618360999</v>
      </c>
      <c r="C47" s="708">
        <v>0.91359986755701494</v>
      </c>
      <c r="D47" s="709">
        <v>-0.99870301208828538</v>
      </c>
      <c r="E47" s="710">
        <v>0.52449814859206678</v>
      </c>
      <c r="F47" s="708">
        <v>6.4410353208769727E-2</v>
      </c>
      <c r="G47" s="711">
        <v>0.8489717301082621</v>
      </c>
      <c r="H47" s="710">
        <v>0.26250000000000001</v>
      </c>
      <c r="I47" s="708">
        <v>0.40699999999999997</v>
      </c>
      <c r="J47" s="570">
        <v>2.2509999999999999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2.2509999999999999</v>
      </c>
      <c r="N47" s="632">
        <f t="shared" si="240"/>
        <v>7.4395359618360999</v>
      </c>
      <c r="O47" s="629">
        <f t="shared" si="241"/>
        <v>0.91359986755701494</v>
      </c>
      <c r="P47" s="633">
        <f t="shared" si="242"/>
        <v>-0.99870301208828538</v>
      </c>
      <c r="Q47" s="585">
        <f t="shared" si="113"/>
        <v>7.0010600059952077</v>
      </c>
      <c r="R47" s="629">
        <f t="shared" si="385"/>
        <v>7.4954226061945821</v>
      </c>
      <c r="S47" s="634">
        <f t="shared" si="386"/>
        <v>-0.99870301208828538</v>
      </c>
      <c r="T47" s="635">
        <f t="shared" si="387"/>
        <v>0.91359986755701361</v>
      </c>
      <c r="U47" s="629">
        <f t="shared" si="388"/>
        <v>-7.4395359618360999</v>
      </c>
      <c r="V47" s="636">
        <f t="shared" si="389"/>
        <v>-0.99870301208828538</v>
      </c>
      <c r="W47" s="585">
        <f t="shared" si="224"/>
        <v>277.00106000599521</v>
      </c>
      <c r="X47" s="629">
        <f t="shared" si="390"/>
        <v>7.4954226061945821</v>
      </c>
      <c r="Y47" s="630">
        <f t="shared" si="223"/>
        <v>-0.99870301208828538</v>
      </c>
      <c r="Z47" s="632">
        <f t="shared" si="243"/>
        <v>-0.52449814859206678</v>
      </c>
      <c r="AA47" s="629">
        <f t="shared" si="244"/>
        <v>-6.4410353208769727E-2</v>
      </c>
      <c r="AB47" s="629">
        <f t="shared" si="245"/>
        <v>-0.8489717301082621</v>
      </c>
      <c r="AC47" s="636">
        <f t="shared" si="391"/>
        <v>1</v>
      </c>
      <c r="AD47" s="637">
        <f t="shared" si="392"/>
        <v>-0.52449814859206678</v>
      </c>
      <c r="AE47" s="629">
        <f t="shared" si="393"/>
        <v>-6.4410353208769727E-2</v>
      </c>
      <c r="AF47" s="633">
        <f t="shared" si="394"/>
        <v>-0.8489717301082621</v>
      </c>
      <c r="AG47" s="602">
        <f t="shared" si="395"/>
        <v>-4.3386426491132219</v>
      </c>
      <c r="AH47" s="603">
        <f t="shared" si="396"/>
        <v>121.63446500570639</v>
      </c>
      <c r="AI47" s="585">
        <f t="shared" si="397"/>
        <v>-31.899995394212862</v>
      </c>
      <c r="AJ47" s="586">
        <f t="shared" si="398"/>
        <v>-82.998915403828008</v>
      </c>
      <c r="AK47" s="635">
        <f t="shared" si="399"/>
        <v>2.2679489682098097E-7</v>
      </c>
      <c r="AL47" s="629">
        <f t="shared" si="400"/>
        <v>-0.5284382664767312</v>
      </c>
      <c r="AM47" s="634">
        <f t="shared" si="401"/>
        <v>-0.8489717301082621</v>
      </c>
      <c r="AN47" s="581">
        <f t="shared" si="402"/>
        <v>-31.899995394210496</v>
      </c>
      <c r="AO47" s="582">
        <f t="shared" si="94"/>
        <v>0</v>
      </c>
      <c r="AP47" s="585">
        <f t="shared" si="403"/>
        <v>-89.999975409823207</v>
      </c>
      <c r="AQ47" s="586">
        <f t="shared" si="246"/>
        <v>0.30414632216164522</v>
      </c>
      <c r="AS47" s="52">
        <f t="shared" si="406"/>
        <v>-82.998939994004786</v>
      </c>
      <c r="AT47" s="72">
        <f t="shared" si="247"/>
        <v>-0.94106485931467099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2.2509999999999999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2.1509999999999998</v>
      </c>
      <c r="II47" s="734" cm="1">
        <f t="array" ref="II47">IFERROR(ROUND(VALUE(IF($IH47&lt;1,$IH47+LARGE((IF($M$9:$M$150="",0,$M$9:$M$150)-MOD(IF($M$9:$M$150="",0,$M$9:$M$150),1)),1),$IH47)),4),"")</f>
        <v>2.1509999999999998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15.438897770898961</v>
      </c>
      <c r="IM47" s="759">
        <v>5.1866810324059502E-5</v>
      </c>
      <c r="IN47" s="5">
        <f t="shared" si="226"/>
        <v>0</v>
      </c>
      <c r="IO47" s="771">
        <v>0</v>
      </c>
      <c r="IP47" s="9">
        <f t="shared" si="227"/>
        <v>-7.4817225648752572</v>
      </c>
      <c r="IQ47" s="5">
        <f t="shared" si="228"/>
        <v>-1.0087030422483749</v>
      </c>
      <c r="IR47" s="5">
        <f t="shared" si="383"/>
        <v>0.314</v>
      </c>
      <c r="IS47" s="5">
        <f t="shared" si="229"/>
        <v>0.27786074614101991</v>
      </c>
      <c r="IT47" s="727">
        <f t="shared" si="230"/>
        <v>53.983493850704448</v>
      </c>
      <c r="IU47" s="9">
        <f t="shared" si="231"/>
        <v>-7.4954226061945821</v>
      </c>
      <c r="IV47" s="5">
        <f t="shared" si="232"/>
        <v>-0.99870301208828538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31.899995394210496</v>
      </c>
    </row>
    <row r="48" spans="1:267" ht="15" customHeight="1" x14ac:dyDescent="0.25">
      <c r="A48" s="79"/>
      <c r="B48" s="707">
        <v>7.9177361712804508</v>
      </c>
      <c r="C48" s="708">
        <v>0.91319501807103476</v>
      </c>
      <c r="D48" s="709">
        <v>-1.5982048201857384</v>
      </c>
      <c r="E48" s="710">
        <v>0.6517384523882046</v>
      </c>
      <c r="F48" s="708">
        <v>7.5168722793667209E-2</v>
      </c>
      <c r="G48" s="711">
        <v>0.75470964800524243</v>
      </c>
      <c r="H48" s="710">
        <v>0.26250000000000001</v>
      </c>
      <c r="I48" s="708">
        <v>0.40699999999999997</v>
      </c>
      <c r="J48" s="570">
        <v>2.2570000000000001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Inactive</v>
      </c>
      <c r="L48" s="320"/>
      <c r="M48" s="168">
        <f t="shared" si="239"/>
        <v>2.2570000000000001</v>
      </c>
      <c r="N48" s="632">
        <f t="shared" si="240"/>
        <v>7.9177361712804508</v>
      </c>
      <c r="O48" s="629">
        <f t="shared" si="241"/>
        <v>0.91319501807103476</v>
      </c>
      <c r="P48" s="633">
        <f t="shared" si="242"/>
        <v>-1.5982048201857384</v>
      </c>
      <c r="Q48" s="585">
        <f t="shared" si="113"/>
        <v>6.5791600669100196</v>
      </c>
      <c r="R48" s="629">
        <f t="shared" si="79"/>
        <v>7.9702240381956999</v>
      </c>
      <c r="S48" s="634">
        <f t="shared" si="80"/>
        <v>-1.5982048201857384</v>
      </c>
      <c r="T48" s="635">
        <f t="shared" si="81"/>
        <v>0.91319501807103054</v>
      </c>
      <c r="U48" s="629">
        <f t="shared" si="82"/>
        <v>-7.9177361712804517</v>
      </c>
      <c r="V48" s="636">
        <f t="shared" si="114"/>
        <v>-1.5982048201857384</v>
      </c>
      <c r="W48" s="585">
        <f t="shared" si="224"/>
        <v>276.57916006690999</v>
      </c>
      <c r="X48" s="629">
        <f t="shared" si="83"/>
        <v>7.9702240381956999</v>
      </c>
      <c r="Y48" s="630">
        <f t="shared" si="223"/>
        <v>-1.5982048201857384</v>
      </c>
      <c r="Z48" s="632">
        <f t="shared" si="243"/>
        <v>-0.6517384523882046</v>
      </c>
      <c r="AA48" s="629">
        <f t="shared" si="244"/>
        <v>-7.5168722793667209E-2</v>
      </c>
      <c r="AB48" s="629">
        <f t="shared" si="245"/>
        <v>-0.75470964800524243</v>
      </c>
      <c r="AC48" s="636">
        <f t="shared" si="84"/>
        <v>1</v>
      </c>
      <c r="AD48" s="637">
        <f t="shared" si="115"/>
        <v>-0.6517384523882046</v>
      </c>
      <c r="AE48" s="629">
        <f t="shared" si="85"/>
        <v>-7.5168722793667209E-2</v>
      </c>
      <c r="AF48" s="633">
        <f t="shared" si="86"/>
        <v>-0.75470964800524243</v>
      </c>
      <c r="AG48" s="602">
        <f t="shared" si="87"/>
        <v>-5.6878739195033967</v>
      </c>
      <c r="AH48" s="603">
        <f t="shared" si="88"/>
        <v>130.67280232694915</v>
      </c>
      <c r="AI48" s="585">
        <f t="shared" si="89"/>
        <v>-40.999994080334936</v>
      </c>
      <c r="AJ48" s="586">
        <f t="shared" si="90"/>
        <v>-83.420820126347948</v>
      </c>
      <c r="AK48" s="635">
        <f t="shared" si="211"/>
        <v>2.2679489705690337E-7</v>
      </c>
      <c r="AL48" s="629">
        <f t="shared" si="91"/>
        <v>-0.6560589510156476</v>
      </c>
      <c r="AM48" s="634">
        <f t="shared" si="92"/>
        <v>-0.75470964800524243</v>
      </c>
      <c r="AN48" s="581">
        <f t="shared" si="93"/>
        <v>-40.999994080333259</v>
      </c>
      <c r="AO48" s="582">
        <f t="shared" si="94"/>
        <v>0</v>
      </c>
      <c r="AP48" s="585">
        <f t="shared" si="95"/>
        <v>-89.99998019325794</v>
      </c>
      <c r="AQ48" s="586">
        <f t="shared" si="246"/>
        <v>0.2860280568051442</v>
      </c>
      <c r="AS48" s="52">
        <f t="shared" si="406"/>
        <v>-83.420839933090008</v>
      </c>
      <c r="AT48" s="72">
        <f t="shared" si="247"/>
        <v>-1.5402736813433149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2.2570000000000001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2.157</v>
      </c>
      <c r="II48" s="734" cm="1">
        <f t="array" ref="II48">IFERROR(ROUND(VALUE(IF($IH48&lt;1,$IH48+LARGE((IF($M$9:$M$150="",0,$M$9:$M$150)-MOD(IF($M$9:$M$150="",0,$M$9:$M$150),1)),1),$IH48)),4),"")</f>
        <v>2.157</v>
      </c>
      <c r="IJ48" s="533">
        <f t="shared" si="112"/>
        <v>1613</v>
      </c>
      <c r="IK48" s="533" t="str">
        <f t="shared" si="382"/>
        <v>Inactive</v>
      </c>
      <c r="IL48" s="727">
        <f t="shared" si="225"/>
        <v>15.369797780875786</v>
      </c>
      <c r="IM48" s="759">
        <v>4.39793071913579E-4</v>
      </c>
      <c r="IN48" s="5">
        <f t="shared" si="226"/>
        <v>0</v>
      </c>
      <c r="IO48" s="771">
        <v>0</v>
      </c>
      <c r="IP48" s="9">
        <f t="shared" si="227"/>
        <v>-7.9582240020035888</v>
      </c>
      <c r="IQ48" s="5">
        <f t="shared" si="228"/>
        <v>-1.6002048262177555</v>
      </c>
      <c r="IR48" s="5">
        <f t="shared" si="383"/>
        <v>0.314</v>
      </c>
      <c r="IS48" s="5">
        <f t="shared" si="229"/>
        <v>0.26925028157650266</v>
      </c>
      <c r="IT48" s="727">
        <f t="shared" si="230"/>
        <v>63.509496459687185</v>
      </c>
      <c r="IU48" s="9">
        <f t="shared" si="231"/>
        <v>-7.9702240381956999</v>
      </c>
      <c r="IV48" s="5">
        <f t="shared" si="232"/>
        <v>-1.5982048201857384</v>
      </c>
      <c r="IW48" s="5">
        <f t="shared" si="384"/>
        <v>0.26250000000000001</v>
      </c>
      <c r="IX48" s="5">
        <f t="shared" si="233"/>
        <v>0.26250000000000001</v>
      </c>
      <c r="IY48" s="762">
        <f t="shared" si="234"/>
        <v>40.999994080333259</v>
      </c>
    </row>
    <row r="49" spans="1:259" ht="15" customHeight="1" x14ac:dyDescent="0.25">
      <c r="A49" s="79"/>
      <c r="B49" s="707">
        <v>8.2443598232861621</v>
      </c>
      <c r="C49" s="708">
        <v>0.91268516478385575</v>
      </c>
      <c r="D49" s="709">
        <v>-2.2910069096768395</v>
      </c>
      <c r="E49" s="710">
        <v>0.76250685440817201</v>
      </c>
      <c r="F49" s="708">
        <v>8.4412930801490718E-2</v>
      </c>
      <c r="G49" s="711">
        <v>0.64144972842309145</v>
      </c>
      <c r="H49" s="710">
        <v>0.26250000000000001</v>
      </c>
      <c r="I49" s="708">
        <v>0.40699999999999997</v>
      </c>
      <c r="J49" s="570">
        <v>2.2629999999999999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Inactive</v>
      </c>
      <c r="L49" s="320"/>
      <c r="M49" s="168">
        <f t="shared" si="239"/>
        <v>2.2629999999999999</v>
      </c>
      <c r="N49" s="632">
        <f t="shared" si="240"/>
        <v>8.2443598232861621</v>
      </c>
      <c r="O49" s="629">
        <f t="shared" si="241"/>
        <v>0.91268516478385575</v>
      </c>
      <c r="P49" s="633">
        <f t="shared" si="242"/>
        <v>-2.2910069096768395</v>
      </c>
      <c r="Q49" s="585">
        <f t="shared" si="113"/>
        <v>6.3171601047381349</v>
      </c>
      <c r="R49" s="629">
        <f t="shared" si="79"/>
        <v>8.2947250168906486</v>
      </c>
      <c r="S49" s="634">
        <f t="shared" si="80"/>
        <v>-2.2910069096768395</v>
      </c>
      <c r="T49" s="635">
        <f t="shared" si="81"/>
        <v>0.91268516478385497</v>
      </c>
      <c r="U49" s="629">
        <f t="shared" si="82"/>
        <v>-8.2443598232861621</v>
      </c>
      <c r="V49" s="636">
        <f t="shared" si="114"/>
        <v>-2.2910069096768395</v>
      </c>
      <c r="W49" s="585">
        <f t="shared" si="224"/>
        <v>276.31716010473815</v>
      </c>
      <c r="X49" s="629">
        <f t="shared" si="83"/>
        <v>8.2947250168906486</v>
      </c>
      <c r="Y49" s="630">
        <f t="shared" si="223"/>
        <v>-2.2910069096768395</v>
      </c>
      <c r="Z49" s="632">
        <f t="shared" si="243"/>
        <v>-0.76250685440817201</v>
      </c>
      <c r="AA49" s="629">
        <f t="shared" si="244"/>
        <v>-8.4412930801490718E-2</v>
      </c>
      <c r="AB49" s="629">
        <f t="shared" si="245"/>
        <v>-0.64144972842309145</v>
      </c>
      <c r="AC49" s="636">
        <f t="shared" si="84"/>
        <v>1</v>
      </c>
      <c r="AD49" s="637">
        <f t="shared" si="115"/>
        <v>-0.76250685440817201</v>
      </c>
      <c r="AE49" s="629">
        <f t="shared" si="85"/>
        <v>-8.4412930801490718E-2</v>
      </c>
      <c r="AF49" s="633">
        <f t="shared" si="86"/>
        <v>-0.64144972842309145</v>
      </c>
      <c r="AG49" s="602">
        <f t="shared" si="87"/>
        <v>-7.4968805984563547</v>
      </c>
      <c r="AH49" s="603">
        <f t="shared" si="88"/>
        <v>139.68569783961109</v>
      </c>
      <c r="AI49" s="585">
        <f t="shared" si="89"/>
        <v>-50.099992766457255</v>
      </c>
      <c r="AJ49" s="586">
        <f t="shared" si="90"/>
        <v>-83.682822957068396</v>
      </c>
      <c r="AK49" s="635">
        <f t="shared" si="211"/>
        <v>2.2679489673771425E-7</v>
      </c>
      <c r="AL49" s="629">
        <f t="shared" si="91"/>
        <v>-0.76716507083279739</v>
      </c>
      <c r="AM49" s="634">
        <f t="shared" si="92"/>
        <v>-0.64144972842309145</v>
      </c>
      <c r="AN49" s="581">
        <f t="shared" si="93"/>
        <v>-50.099992766456033</v>
      </c>
      <c r="AO49" s="582">
        <f t="shared" si="94"/>
        <v>0</v>
      </c>
      <c r="AP49" s="585">
        <f t="shared" si="95"/>
        <v>-89.999983061806532</v>
      </c>
      <c r="AQ49" s="586">
        <f t="shared" si="246"/>
        <v>0.27483842346329573</v>
      </c>
      <c r="AS49" s="52">
        <f t="shared" si="406"/>
        <v>-83.68283989526185</v>
      </c>
      <c r="AT49" s="72">
        <f t="shared" si="247"/>
        <v>-2.232893826416241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2.2629999999999999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2.1629999999999998</v>
      </c>
      <c r="II49" s="734" cm="1">
        <f t="array" ref="II49">IFERROR(ROUND(VALUE(IF($IH49&lt;1,$IH49+LARGE((IF($M$9:$M$150="",0,$M$9:$M$150)-MOD(IF($M$9:$M$150="",0,$M$9:$M$150),1)),1),$IH49)),4),"")</f>
        <v>2.1629999999999998</v>
      </c>
      <c r="IJ49" s="533">
        <f t="shared" si="112"/>
        <v>1613</v>
      </c>
      <c r="IK49" s="533" t="str">
        <f t="shared" si="382"/>
        <v>Inactive</v>
      </c>
      <c r="IL49" s="727">
        <f t="shared" si="225"/>
        <v>15.278797794014508</v>
      </c>
      <c r="IM49" s="759">
        <v>1.9758274232558701E-4</v>
      </c>
      <c r="IN49" s="5">
        <f t="shared" si="226"/>
        <v>0</v>
      </c>
      <c r="IO49" s="771">
        <v>0</v>
      </c>
      <c r="IP49" s="9">
        <f t="shared" si="227"/>
        <v>-8.2893250006042027</v>
      </c>
      <c r="IQ49" s="5">
        <f t="shared" si="228"/>
        <v>-2.2837068876599731</v>
      </c>
      <c r="IR49" s="5">
        <f t="shared" si="383"/>
        <v>0.314</v>
      </c>
      <c r="IS49" s="5">
        <f t="shared" si="229"/>
        <v>0.25734946666120029</v>
      </c>
      <c r="IT49" s="727">
        <f t="shared" si="230"/>
        <v>71.829795417752905</v>
      </c>
      <c r="IU49" s="9">
        <f t="shared" si="231"/>
        <v>-8.2947250168906486</v>
      </c>
      <c r="IV49" s="5">
        <f t="shared" si="232"/>
        <v>-2.2910069096768395</v>
      </c>
      <c r="IW49" s="5">
        <f t="shared" si="384"/>
        <v>0.26250000000000001</v>
      </c>
      <c r="IX49" s="5">
        <f t="shared" si="233"/>
        <v>0.26250000000000001</v>
      </c>
      <c r="IY49" s="762">
        <f t="shared" si="234"/>
        <v>50.099992766456033</v>
      </c>
    </row>
    <row r="50" spans="1:259" ht="15" customHeight="1" x14ac:dyDescent="0.25">
      <c r="A50" s="79"/>
      <c r="B50" s="707">
        <v>8.4083473933338126</v>
      </c>
      <c r="C50" s="708">
        <v>0.89763725797845473</v>
      </c>
      <c r="D50" s="709">
        <v>-3.0368091590164248</v>
      </c>
      <c r="E50" s="710">
        <v>0.85410657177800076</v>
      </c>
      <c r="F50" s="708">
        <v>9.1180794876068158E-2</v>
      </c>
      <c r="G50" s="711">
        <v>0.51204299301074252</v>
      </c>
      <c r="H50" s="710">
        <v>0.26250000000000001</v>
      </c>
      <c r="I50" s="708">
        <v>0.40699999999999997</v>
      </c>
      <c r="J50" s="570">
        <v>2.2690000000000001</v>
      </c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Inactive</v>
      </c>
      <c r="L50" s="320"/>
      <c r="M50" s="168">
        <f t="shared" si="239"/>
        <v>2.2690000000000001</v>
      </c>
      <c r="N50" s="632">
        <f t="shared" si="240"/>
        <v>8.4083473933338126</v>
      </c>
      <c r="O50" s="629">
        <f t="shared" si="241"/>
        <v>0.89763725797845473</v>
      </c>
      <c r="P50" s="633">
        <f t="shared" si="242"/>
        <v>-3.0368091590164248</v>
      </c>
      <c r="Q50" s="585">
        <f t="shared" si="113"/>
        <v>6.0935601370219752</v>
      </c>
      <c r="R50" s="629">
        <f t="shared" si="79"/>
        <v>8.4561255036745173</v>
      </c>
      <c r="S50" s="634">
        <f t="shared" si="80"/>
        <v>-3.0368091590164248</v>
      </c>
      <c r="T50" s="635">
        <f t="shared" si="81"/>
        <v>0.89763725797845961</v>
      </c>
      <c r="U50" s="629">
        <f t="shared" si="82"/>
        <v>-8.4083473933338126</v>
      </c>
      <c r="V50" s="636">
        <f t="shared" si="114"/>
        <v>-3.0368091590164248</v>
      </c>
      <c r="W50" s="585">
        <f t="shared" si="224"/>
        <v>276.093560137022</v>
      </c>
      <c r="X50" s="629">
        <f t="shared" si="83"/>
        <v>8.4561255036745173</v>
      </c>
      <c r="Y50" s="630">
        <f t="shared" si="223"/>
        <v>-3.0368091590164248</v>
      </c>
      <c r="Z50" s="632">
        <f t="shared" si="243"/>
        <v>-0.85410657177800076</v>
      </c>
      <c r="AA50" s="629">
        <f t="shared" si="244"/>
        <v>-9.1180794876068158E-2</v>
      </c>
      <c r="AB50" s="629">
        <f t="shared" si="245"/>
        <v>-0.51204299301074252</v>
      </c>
      <c r="AC50" s="636">
        <f t="shared" si="84"/>
        <v>1</v>
      </c>
      <c r="AD50" s="637">
        <f t="shared" si="115"/>
        <v>-0.85410657177800076</v>
      </c>
      <c r="AE50" s="629">
        <f t="shared" si="85"/>
        <v>-9.1180794876068158E-2</v>
      </c>
      <c r="AF50" s="633">
        <f t="shared" si="86"/>
        <v>-0.51204299301074252</v>
      </c>
      <c r="AG50" s="602">
        <f t="shared" si="87"/>
        <v>-10.096968215073071</v>
      </c>
      <c r="AH50" s="603">
        <f t="shared" si="88"/>
        <v>148.66117240591211</v>
      </c>
      <c r="AI50" s="585">
        <f t="shared" si="89"/>
        <v>-59.199991452579646</v>
      </c>
      <c r="AJ50" s="586">
        <f t="shared" si="90"/>
        <v>-83.906424734924215</v>
      </c>
      <c r="AK50" s="635">
        <f t="shared" si="211"/>
        <v>2.2679489618260273E-7</v>
      </c>
      <c r="AL50" s="629">
        <f t="shared" si="91"/>
        <v>-0.85895982054374886</v>
      </c>
      <c r="AM50" s="634">
        <f t="shared" si="92"/>
        <v>-0.51204299301074252</v>
      </c>
      <c r="AN50" s="581">
        <f t="shared" si="93"/>
        <v>-59.199991452578772</v>
      </c>
      <c r="AO50" s="582">
        <f t="shared" si="94"/>
        <v>0</v>
      </c>
      <c r="AP50" s="585">
        <f t="shared" si="95"/>
        <v>-89.999984871946211</v>
      </c>
      <c r="AQ50" s="586">
        <f t="shared" si="246"/>
        <v>0.26959271202984653</v>
      </c>
      <c r="AS50" s="52">
        <f t="shared" si="406"/>
        <v>-83.906439862978004</v>
      </c>
      <c r="AT50" s="72">
        <f t="shared" si="247"/>
        <v>-2.9785407980004677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2.2690000000000001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2.169</v>
      </c>
      <c r="II50" s="734" cm="1">
        <f t="array" ref="II50">IFERROR(ROUND(VALUE(IF($IH50&lt;1,$IH50+LARGE((IF($M$9:$M$150="",0,$M$9:$M$150)-MOD(IF($M$9:$M$150="",0,$M$9:$M$150),1)),1),$IH50)),4),"")</f>
        <v>2.169</v>
      </c>
      <c r="IJ50" s="533">
        <f t="shared" si="112"/>
        <v>1613</v>
      </c>
      <c r="IK50" s="533" t="str">
        <f t="shared" si="382"/>
        <v>Inactive</v>
      </c>
      <c r="IL50" s="727">
        <f t="shared" si="225"/>
        <v>15.320397788008222</v>
      </c>
      <c r="IM50" s="759">
        <v>1.07109056078395E-4</v>
      </c>
      <c r="IN50" s="5">
        <f t="shared" si="226"/>
        <v>0</v>
      </c>
      <c r="IO50" s="771">
        <v>0</v>
      </c>
      <c r="IP50" s="9">
        <f t="shared" si="227"/>
        <v>-8.4580255094049352</v>
      </c>
      <c r="IQ50" s="5">
        <f t="shared" si="228"/>
        <v>-3.0239091201099049</v>
      </c>
      <c r="IR50" s="5">
        <f t="shared" si="383"/>
        <v>0.314</v>
      </c>
      <c r="IS50" s="5">
        <f t="shared" si="229"/>
        <v>0.24781732021844879</v>
      </c>
      <c r="IT50" s="727">
        <f t="shared" si="230"/>
        <v>80.175497355880921</v>
      </c>
      <c r="IU50" s="9">
        <f t="shared" si="231"/>
        <v>-8.4561255036745173</v>
      </c>
      <c r="IV50" s="5">
        <f t="shared" si="232"/>
        <v>-3.0368091590164248</v>
      </c>
      <c r="IW50" s="5">
        <f t="shared" si="384"/>
        <v>0.26250000000000001</v>
      </c>
      <c r="IX50" s="5">
        <f t="shared" si="233"/>
        <v>0.26250000000000001</v>
      </c>
      <c r="IY50" s="762">
        <f t="shared" si="234"/>
        <v>59.199991452578772</v>
      </c>
    </row>
    <row r="51" spans="1:259" ht="15" customHeight="1" x14ac:dyDescent="0.25">
      <c r="A51" s="79"/>
      <c r="B51" s="707">
        <v>0.68604162172457162</v>
      </c>
      <c r="C51" s="708">
        <v>-0.48037212050988193</v>
      </c>
      <c r="D51" s="709">
        <v>-1.073303237082563</v>
      </c>
      <c r="E51" s="710">
        <v>0.46647361493434025</v>
      </c>
      <c r="F51" s="708">
        <v>0.82052459514333154</v>
      </c>
      <c r="G51" s="711">
        <v>0.33036609289538282</v>
      </c>
      <c r="H51" s="710">
        <v>0.314</v>
      </c>
      <c r="I51" s="708">
        <v>0.52</v>
      </c>
      <c r="J51" s="570">
        <v>3.1030000000000002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3.1030000000000002</v>
      </c>
      <c r="N51" s="632">
        <f t="shared" si="240"/>
        <v>0.68604162172457162</v>
      </c>
      <c r="O51" s="629">
        <f t="shared" si="241"/>
        <v>-0.48037212050988193</v>
      </c>
      <c r="P51" s="633">
        <f t="shared" si="242"/>
        <v>-1.073303237082563</v>
      </c>
      <c r="Q51" s="585">
        <f t="shared" si="113"/>
        <v>324.9999660702029</v>
      </c>
      <c r="R51" s="629">
        <f t="shared" si="79"/>
        <v>0.8375025259076182</v>
      </c>
      <c r="S51" s="634">
        <f t="shared" si="80"/>
        <v>-1.073303237082563</v>
      </c>
      <c r="T51" s="635">
        <f t="shared" si="81"/>
        <v>-0.48037212050988187</v>
      </c>
      <c r="U51" s="629">
        <f t="shared" si="82"/>
        <v>-0.68604162172457162</v>
      </c>
      <c r="V51" s="636">
        <f t="shared" si="114"/>
        <v>-1.073303237082563</v>
      </c>
      <c r="W51" s="585">
        <f t="shared" si="224"/>
        <v>234.9999660702029</v>
      </c>
      <c r="X51" s="629">
        <f t="shared" si="83"/>
        <v>0.8375025259076182</v>
      </c>
      <c r="Y51" s="630">
        <f t="shared" si="223"/>
        <v>-1.073303237082563</v>
      </c>
      <c r="Z51" s="632">
        <f t="shared" si="243"/>
        <v>-0.46647361493434025</v>
      </c>
      <c r="AA51" s="629">
        <f t="shared" si="244"/>
        <v>-0.82052459514333154</v>
      </c>
      <c r="AB51" s="629">
        <f t="shared" si="245"/>
        <v>-0.33036609289538282</v>
      </c>
      <c r="AC51" s="636">
        <f t="shared" si="84"/>
        <v>1</v>
      </c>
      <c r="AD51" s="637">
        <f t="shared" si="115"/>
        <v>-0.46647361493434025</v>
      </c>
      <c r="AE51" s="629">
        <f t="shared" si="85"/>
        <v>-0.82052459514333154</v>
      </c>
      <c r="AF51" s="633">
        <f t="shared" si="86"/>
        <v>-0.33036609289538282</v>
      </c>
      <c r="AG51" s="602">
        <f t="shared" si="87"/>
        <v>-68.068908717289219</v>
      </c>
      <c r="AH51" s="603">
        <f t="shared" si="88"/>
        <v>117.80563363502857</v>
      </c>
      <c r="AI51" s="585">
        <f t="shared" si="89"/>
        <v>-70.709002660911167</v>
      </c>
      <c r="AJ51" s="586">
        <f t="shared" si="90"/>
        <v>-29.618514328617536</v>
      </c>
      <c r="AK51" s="635">
        <f t="shared" si="211"/>
        <v>0.93969262078590843</v>
      </c>
      <c r="AL51" s="629">
        <f t="shared" si="91"/>
        <v>8.8521314413819607E-2</v>
      </c>
      <c r="AM51" s="634">
        <f t="shared" si="92"/>
        <v>-0.33036609289538282</v>
      </c>
      <c r="AN51" s="581">
        <f t="shared" si="93"/>
        <v>14.999997834268262</v>
      </c>
      <c r="AO51" s="582">
        <f t="shared" si="94"/>
        <v>19.999999999999989</v>
      </c>
      <c r="AP51" s="585">
        <f t="shared" si="95"/>
        <v>5.3815196011795807</v>
      </c>
      <c r="AQ51" s="586">
        <f t="shared" si="246"/>
        <v>2.720008240150916</v>
      </c>
      <c r="AS51" s="52">
        <f t="shared" si="406"/>
        <v>-125.0000339297971</v>
      </c>
      <c r="AT51" s="72">
        <f t="shared" si="247"/>
        <v>-0.98649765796464839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3.1030000000000002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1.2936901888831236</v>
      </c>
      <c r="C52" s="708">
        <v>-0.90585276408508242</v>
      </c>
      <c r="D52" s="709">
        <v>-0.87460263780155556</v>
      </c>
      <c r="E52" s="710">
        <v>0.46647361493434031</v>
      </c>
      <c r="F52" s="708">
        <v>0.82052459514333154</v>
      </c>
      <c r="G52" s="711">
        <v>0.33036609289538282</v>
      </c>
      <c r="H52" s="710">
        <v>0.314</v>
      </c>
      <c r="I52" s="708">
        <v>0.52</v>
      </c>
      <c r="J52" s="570">
        <v>3.1059999999999999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3.1059999999999999</v>
      </c>
      <c r="N52" s="632">
        <f t="shared" si="240"/>
        <v>1.2936901888831236</v>
      </c>
      <c r="O52" s="629">
        <f t="shared" si="241"/>
        <v>-0.90585276408508242</v>
      </c>
      <c r="P52" s="633">
        <f t="shared" si="242"/>
        <v>-0.87460263780155556</v>
      </c>
      <c r="Q52" s="585">
        <f t="shared" si="113"/>
        <v>324.9999660702029</v>
      </c>
      <c r="R52" s="629">
        <f t="shared" si="79"/>
        <v>1.579304763183166</v>
      </c>
      <c r="S52" s="634">
        <f t="shared" si="80"/>
        <v>-0.87460263780155556</v>
      </c>
      <c r="T52" s="635">
        <f t="shared" si="81"/>
        <v>-0.90585276408508242</v>
      </c>
      <c r="U52" s="629">
        <f t="shared" si="82"/>
        <v>-1.2936901888831236</v>
      </c>
      <c r="V52" s="636">
        <f t="shared" si="114"/>
        <v>-0.87460263780155556</v>
      </c>
      <c r="W52" s="585">
        <f t="shared" si="224"/>
        <v>234.9999660702029</v>
      </c>
      <c r="X52" s="629">
        <f t="shared" si="83"/>
        <v>1.579304763183166</v>
      </c>
      <c r="Y52" s="630">
        <f t="shared" si="223"/>
        <v>-0.87460263780155556</v>
      </c>
      <c r="Z52" s="632">
        <f t="shared" si="243"/>
        <v>-0.46647361493434031</v>
      </c>
      <c r="AA52" s="629">
        <f t="shared" si="244"/>
        <v>-0.82052459514333154</v>
      </c>
      <c r="AB52" s="629">
        <f t="shared" si="245"/>
        <v>-0.33036609289538282</v>
      </c>
      <c r="AC52" s="636">
        <f t="shared" si="84"/>
        <v>1</v>
      </c>
      <c r="AD52" s="637">
        <f t="shared" si="115"/>
        <v>-0.46647361493434031</v>
      </c>
      <c r="AE52" s="629">
        <f t="shared" si="85"/>
        <v>-0.82052459514333154</v>
      </c>
      <c r="AF52" s="633">
        <f t="shared" si="86"/>
        <v>-0.33036609289538282</v>
      </c>
      <c r="AG52" s="602">
        <f t="shared" si="87"/>
        <v>-68.068908717289219</v>
      </c>
      <c r="AH52" s="603">
        <f t="shared" si="88"/>
        <v>117.80563363502857</v>
      </c>
      <c r="AI52" s="585">
        <f t="shared" si="89"/>
        <v>-70.709002660911167</v>
      </c>
      <c r="AJ52" s="586">
        <f t="shared" si="90"/>
        <v>-29.61851432861754</v>
      </c>
      <c r="AK52" s="635">
        <f t="shared" si="211"/>
        <v>0.93969262078590843</v>
      </c>
      <c r="AL52" s="629">
        <f t="shared" si="91"/>
        <v>8.8521314413819552E-2</v>
      </c>
      <c r="AM52" s="634">
        <f t="shared" si="92"/>
        <v>-0.33036609289538282</v>
      </c>
      <c r="AN52" s="581">
        <f t="shared" si="93"/>
        <v>14.999997834268255</v>
      </c>
      <c r="AO52" s="582">
        <f t="shared" si="94"/>
        <v>19.999999999999989</v>
      </c>
      <c r="AP52" s="585">
        <f t="shared" si="95"/>
        <v>5.3815196011795772</v>
      </c>
      <c r="AQ52" s="586">
        <f t="shared" si="246"/>
        <v>1.4431948363853855</v>
      </c>
      <c r="AS52" s="52">
        <f t="shared" si="406"/>
        <v>-125.0000339297971</v>
      </c>
      <c r="AT52" s="72">
        <f t="shared" si="247"/>
        <v>-0.78779705868364092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3.1059999999999999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1.901338756041675</v>
      </c>
      <c r="C53" s="708">
        <v>-1.3313334076602827</v>
      </c>
      <c r="D53" s="709">
        <v>-0.67580203821894724</v>
      </c>
      <c r="E53" s="710">
        <v>0.46647361493434031</v>
      </c>
      <c r="F53" s="708">
        <v>0.82052459514333154</v>
      </c>
      <c r="G53" s="711">
        <v>0.33036609289538282</v>
      </c>
      <c r="H53" s="710">
        <v>0.314</v>
      </c>
      <c r="I53" s="708">
        <v>0.52</v>
      </c>
      <c r="J53" s="570">
        <v>3.109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3.109</v>
      </c>
      <c r="N53" s="632">
        <f t="shared" si="240"/>
        <v>1.901338756041675</v>
      </c>
      <c r="O53" s="629">
        <f t="shared" si="241"/>
        <v>-1.3313334076602827</v>
      </c>
      <c r="P53" s="633">
        <f t="shared" si="242"/>
        <v>-0.67580203821894724</v>
      </c>
      <c r="Q53" s="585">
        <f t="shared" si="113"/>
        <v>324.99996607020285</v>
      </c>
      <c r="R53" s="629">
        <f t="shared" ref="R53:R58" si="410">IF(M53="","",SQRT(N53^2+O53^2))</f>
        <v>2.3211070004587131</v>
      </c>
      <c r="S53" s="634">
        <f t="shared" ref="S53:S58" si="411">IF(M53="","",P53)</f>
        <v>-0.67580203821894724</v>
      </c>
      <c r="T53" s="635">
        <f t="shared" ref="T53:T58" si="412">IF(M53="","",X53*COS(RADIANS(W53)))</f>
        <v>-1.3313334076602843</v>
      </c>
      <c r="U53" s="629">
        <f t="shared" ref="U53:U58" si="413">IF(M53="","",X53*SIN(RADIANS(W53)))</f>
        <v>-1.9013387560416737</v>
      </c>
      <c r="V53" s="636">
        <f t="shared" ref="V53:V58" si="414">IF(M53="","",Y53)</f>
        <v>-0.67580203821894724</v>
      </c>
      <c r="W53" s="585">
        <f t="shared" si="224"/>
        <v>234.99996607020285</v>
      </c>
      <c r="X53" s="629">
        <f t="shared" ref="X53:X58" si="415">IF(M53="","",R53)</f>
        <v>2.3211070004587131</v>
      </c>
      <c r="Y53" s="630">
        <f t="shared" si="223"/>
        <v>-0.67580203821894724</v>
      </c>
      <c r="Z53" s="632">
        <f t="shared" si="243"/>
        <v>-0.46647361493434031</v>
      </c>
      <c r="AA53" s="629">
        <f t="shared" si="244"/>
        <v>-0.82052459514333154</v>
      </c>
      <c r="AB53" s="629">
        <f t="shared" si="245"/>
        <v>-0.33036609289538282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-0.46647361493434031</v>
      </c>
      <c r="AE53" s="629">
        <f t="shared" ref="AE53:AE58" si="418">IF(M53="","",AA53*(1/SQRT(Z53^2+AA53^2+AB53^2)))</f>
        <v>-0.82052459514333154</v>
      </c>
      <c r="AF53" s="633">
        <f t="shared" ref="AF53:AF58" si="419">IF(M53="","",AB53*(1/SQRT(Z53^2+AA53^2+AB53^2)))</f>
        <v>-0.33036609289538282</v>
      </c>
      <c r="AG53" s="602">
        <f t="shared" ref="AG53:AG58" si="420">IF(M53="","",DEGREES(ATAN2(-AF53,AE53)))</f>
        <v>-68.068908717289219</v>
      </c>
      <c r="AH53" s="603">
        <f t="shared" ref="AH53:AH58" si="421">IF(M53="","",DEGREES(ACOS(AD53)))</f>
        <v>117.80563363502857</v>
      </c>
      <c r="AI53" s="585">
        <f t="shared" ref="AI53:AI58" si="422">IF(M53="","",DEGREES(-ACOS(-AF53)))</f>
        <v>-70.709002660911167</v>
      </c>
      <c r="AJ53" s="586">
        <f t="shared" ref="AJ53:AJ58" si="423">IF(M53="","",DEGREES(ATAN2(-AE53,AD53)))</f>
        <v>-29.61851432861754</v>
      </c>
      <c r="AK53" s="635">
        <f t="shared" ref="AK53:AK58" si="424">IF(M53="","",(COS(RADIANS((90-$Q$8)-W53))*AD53)+(-SIN(RADIANS((90-$Q$8)-W53))*AE53))</f>
        <v>0.93969262078590843</v>
      </c>
      <c r="AL53" s="629">
        <f t="shared" ref="AL53:AL58" si="425">IF(M53="","",(SIN(RADIANS((90-$Q$8)-W53))*AD53)+(COS(RADIANS((90-$Q$8)-W53))*AE53))</f>
        <v>8.8521314413820495E-2</v>
      </c>
      <c r="AM53" s="634">
        <f t="shared" ref="AM53:AM58" si="426">IF(M53="","",AF53)</f>
        <v>-0.33036609289538282</v>
      </c>
      <c r="AN53" s="581">
        <f t="shared" ref="AN53:AN58" si="427">IF(M53="","",DEGREES(ATAN2(-AM53,AL53)))</f>
        <v>14.999997834268408</v>
      </c>
      <c r="AO53" s="582">
        <f t="shared" si="94"/>
        <v>19.999999999999989</v>
      </c>
      <c r="AP53" s="585">
        <f t="shared" ref="AP53:AP58" si="428">IF(M53="","",DEGREES(ATAN2(AK53,AL53)))</f>
        <v>5.381519601179634</v>
      </c>
      <c r="AQ53" s="586">
        <f t="shared" si="246"/>
        <v>0.98207595317627949</v>
      </c>
      <c r="AS53" s="52">
        <f t="shared" si="406"/>
        <v>-125.00003392979715</v>
      </c>
      <c r="AT53" s="72">
        <f t="shared" si="247"/>
        <v>-0.5889964591010326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3.109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2.5090692386177467</v>
      </c>
      <c r="C54" s="708">
        <v>-1.7568714091006188</v>
      </c>
      <c r="D54" s="709">
        <v>-0.47700143863633893</v>
      </c>
      <c r="E54" s="710">
        <v>0.46647361493434036</v>
      </c>
      <c r="F54" s="708">
        <v>0.82052459514333154</v>
      </c>
      <c r="G54" s="711">
        <v>0.33036609289538282</v>
      </c>
      <c r="H54" s="710">
        <v>0.314</v>
      </c>
      <c r="I54" s="708">
        <v>0.52</v>
      </c>
      <c r="J54" s="570">
        <v>3.1139999999999999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3.1139999999999999</v>
      </c>
      <c r="N54" s="632">
        <f t="shared" si="240"/>
        <v>2.5090692386177467</v>
      </c>
      <c r="O54" s="629">
        <f t="shared" si="241"/>
        <v>-1.7568714091006188</v>
      </c>
      <c r="P54" s="633">
        <f t="shared" si="242"/>
        <v>-0.47700143863633893</v>
      </c>
      <c r="Q54" s="585">
        <f t="shared" si="113"/>
        <v>324.9999660702029</v>
      </c>
      <c r="R54" s="629">
        <f t="shared" si="410"/>
        <v>3.0630092380358622</v>
      </c>
      <c r="S54" s="634">
        <f t="shared" si="411"/>
        <v>-0.47700143863633893</v>
      </c>
      <c r="T54" s="635">
        <f t="shared" si="412"/>
        <v>-1.7568714091006188</v>
      </c>
      <c r="U54" s="629">
        <f t="shared" si="413"/>
        <v>-2.5090692386177467</v>
      </c>
      <c r="V54" s="636">
        <f t="shared" si="414"/>
        <v>-0.47700143863633893</v>
      </c>
      <c r="W54" s="585">
        <f t="shared" si="224"/>
        <v>234.9999660702029</v>
      </c>
      <c r="X54" s="629">
        <f t="shared" si="415"/>
        <v>3.0630092380358622</v>
      </c>
      <c r="Y54" s="630">
        <f t="shared" si="223"/>
        <v>-0.47700143863633893</v>
      </c>
      <c r="Z54" s="632">
        <f t="shared" si="243"/>
        <v>-0.46647361493434036</v>
      </c>
      <c r="AA54" s="629">
        <f t="shared" si="244"/>
        <v>-0.82052459514333154</v>
      </c>
      <c r="AB54" s="629">
        <f t="shared" si="245"/>
        <v>-0.33036609289538282</v>
      </c>
      <c r="AC54" s="636">
        <f t="shared" si="416"/>
        <v>1</v>
      </c>
      <c r="AD54" s="637">
        <f t="shared" si="417"/>
        <v>-0.46647361493434036</v>
      </c>
      <c r="AE54" s="629">
        <f t="shared" si="418"/>
        <v>-0.82052459514333154</v>
      </c>
      <c r="AF54" s="633">
        <f t="shared" si="419"/>
        <v>-0.33036609289538282</v>
      </c>
      <c r="AG54" s="602">
        <f t="shared" si="420"/>
        <v>-68.068908717289219</v>
      </c>
      <c r="AH54" s="603">
        <f t="shared" si="421"/>
        <v>117.80563363502857</v>
      </c>
      <c r="AI54" s="585">
        <f t="shared" si="422"/>
        <v>-70.709002660911167</v>
      </c>
      <c r="AJ54" s="586">
        <f t="shared" si="423"/>
        <v>-29.618514328617547</v>
      </c>
      <c r="AK54" s="635">
        <f t="shared" si="424"/>
        <v>0.93969262078590843</v>
      </c>
      <c r="AL54" s="629">
        <f t="shared" si="425"/>
        <v>8.8521314413819496E-2</v>
      </c>
      <c r="AM54" s="634">
        <f t="shared" si="426"/>
        <v>-0.33036609289538282</v>
      </c>
      <c r="AN54" s="581">
        <f t="shared" si="427"/>
        <v>14.999997834268246</v>
      </c>
      <c r="AO54" s="582">
        <f t="shared" si="94"/>
        <v>19.999999999999989</v>
      </c>
      <c r="AP54" s="585">
        <f t="shared" si="428"/>
        <v>5.3815196011795745</v>
      </c>
      <c r="AQ54" s="586">
        <f t="shared" si="246"/>
        <v>0.74423491380369233</v>
      </c>
      <c r="AS54" s="52">
        <f t="shared" si="406"/>
        <v>-125.0000339297971</v>
      </c>
      <c r="AT54" s="72">
        <f t="shared" si="247"/>
        <v>-0.39019585951842428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3.1139999999999999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3.116717805776299</v>
      </c>
      <c r="C55" s="708">
        <v>-2.1823520526758196</v>
      </c>
      <c r="D55" s="709">
        <v>-0.27820083905373039</v>
      </c>
      <c r="E55" s="710">
        <v>0.4664736149343402</v>
      </c>
      <c r="F55" s="708">
        <v>0.82052459514333154</v>
      </c>
      <c r="G55" s="711">
        <v>0.33036609289538277</v>
      </c>
      <c r="H55" s="710">
        <v>0.314</v>
      </c>
      <c r="I55" s="708">
        <v>0.52</v>
      </c>
      <c r="J55" s="570">
        <v>3.12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3.12</v>
      </c>
      <c r="N55" s="632">
        <f t="shared" si="240"/>
        <v>3.116717805776299</v>
      </c>
      <c r="O55" s="629">
        <f t="shared" si="241"/>
        <v>-2.1823520526758196</v>
      </c>
      <c r="P55" s="633">
        <f t="shared" si="242"/>
        <v>-0.27820083905373039</v>
      </c>
      <c r="Q55" s="585">
        <f t="shared" si="113"/>
        <v>324.9999660702029</v>
      </c>
      <c r="R55" s="629">
        <f t="shared" si="410"/>
        <v>3.8048114753114102</v>
      </c>
      <c r="S55" s="634">
        <f t="shared" si="411"/>
        <v>-0.27820083905373039</v>
      </c>
      <c r="T55" s="635">
        <f t="shared" si="412"/>
        <v>-2.1823520526758196</v>
      </c>
      <c r="U55" s="629">
        <f t="shared" si="413"/>
        <v>-3.116717805776299</v>
      </c>
      <c r="V55" s="636">
        <f t="shared" si="414"/>
        <v>-0.27820083905373039</v>
      </c>
      <c r="W55" s="585">
        <f t="shared" si="224"/>
        <v>234.9999660702029</v>
      </c>
      <c r="X55" s="629">
        <f t="shared" si="415"/>
        <v>3.8048114753114102</v>
      </c>
      <c r="Y55" s="630">
        <f t="shared" si="223"/>
        <v>-0.27820083905373039</v>
      </c>
      <c r="Z55" s="632">
        <f t="shared" si="243"/>
        <v>-0.4664736149343402</v>
      </c>
      <c r="AA55" s="629">
        <f t="shared" si="244"/>
        <v>-0.82052459514333154</v>
      </c>
      <c r="AB55" s="629">
        <f t="shared" si="245"/>
        <v>-0.33036609289538277</v>
      </c>
      <c r="AC55" s="636">
        <f t="shared" si="416"/>
        <v>1</v>
      </c>
      <c r="AD55" s="637">
        <f t="shared" si="417"/>
        <v>-0.4664736149343402</v>
      </c>
      <c r="AE55" s="629">
        <f t="shared" si="418"/>
        <v>-0.82052459514333154</v>
      </c>
      <c r="AF55" s="633">
        <f t="shared" si="419"/>
        <v>-0.33036609289538277</v>
      </c>
      <c r="AG55" s="602">
        <f t="shared" si="420"/>
        <v>-68.068908717289219</v>
      </c>
      <c r="AH55" s="603">
        <f t="shared" si="421"/>
        <v>117.80563363502857</v>
      </c>
      <c r="AI55" s="585">
        <f t="shared" si="422"/>
        <v>-70.709002660911167</v>
      </c>
      <c r="AJ55" s="586">
        <f t="shared" si="423"/>
        <v>-29.618514328617536</v>
      </c>
      <c r="AK55" s="635">
        <f t="shared" si="424"/>
        <v>0.93969262078590843</v>
      </c>
      <c r="AL55" s="629">
        <f t="shared" si="425"/>
        <v>8.8521314413819663E-2</v>
      </c>
      <c r="AM55" s="634">
        <f t="shared" si="426"/>
        <v>-0.33036609289538277</v>
      </c>
      <c r="AN55" s="581">
        <f t="shared" si="427"/>
        <v>14.999997834268274</v>
      </c>
      <c r="AO55" s="582">
        <f>IF(ROUND(IF(M55="",0,DEGREES(ACOS(AK55))),4)=90,0,IF(M55="","",DEGREES(ACOS(AK55))))</f>
        <v>19.999999999999989</v>
      </c>
      <c r="AP55" s="585">
        <f t="shared" si="428"/>
        <v>5.3815196011795834</v>
      </c>
      <c r="AQ55" s="586">
        <f t="shared" si="246"/>
        <v>0.59914756602911812</v>
      </c>
      <c r="AS55" s="52">
        <f t="shared" si="406"/>
        <v>-125.0000339297971</v>
      </c>
      <c r="AT55" s="72">
        <f t="shared" si="247"/>
        <v>-0.19139525993581574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3.12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3.717975870303853</v>
      </c>
      <c r="C56" s="708">
        <v>-2.6243992008249148</v>
      </c>
      <c r="D56" s="709">
        <v>-9.2000277472836775E-2</v>
      </c>
      <c r="E56" s="710">
        <v>0.54471820734398457</v>
      </c>
      <c r="F56" s="708">
        <v>0.76479590817440968</v>
      </c>
      <c r="G56" s="711">
        <v>0.34404838820671091</v>
      </c>
      <c r="H56" s="710">
        <v>0.314</v>
      </c>
      <c r="I56" s="708">
        <v>0.52</v>
      </c>
      <c r="J56" s="570">
        <v>3.1259999999999999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3.1259999999999999</v>
      </c>
      <c r="N56" s="632">
        <f t="shared" si="240"/>
        <v>3.717975870303853</v>
      </c>
      <c r="O56" s="629">
        <f t="shared" si="241"/>
        <v>-2.6243992008249148</v>
      </c>
      <c r="P56" s="633">
        <f t="shared" si="242"/>
        <v>-9.2000277472836775E-2</v>
      </c>
      <c r="Q56" s="585">
        <f t="shared" si="113"/>
        <v>324.78296610153382</v>
      </c>
      <c r="R56" s="629">
        <f t="shared" si="410"/>
        <v>4.5509137255557972</v>
      </c>
      <c r="S56" s="634">
        <f t="shared" si="411"/>
        <v>-9.2000277472836775E-2</v>
      </c>
      <c r="T56" s="635">
        <f t="shared" si="412"/>
        <v>-2.6243992008249153</v>
      </c>
      <c r="U56" s="629">
        <f t="shared" si="413"/>
        <v>-3.717975870303853</v>
      </c>
      <c r="V56" s="636">
        <f t="shared" si="414"/>
        <v>-9.2000277472836775E-2</v>
      </c>
      <c r="W56" s="585">
        <f t="shared" si="224"/>
        <v>234.78296610153382</v>
      </c>
      <c r="X56" s="629">
        <f t="shared" si="415"/>
        <v>4.5509137255557972</v>
      </c>
      <c r="Y56" s="630">
        <f t="shared" si="223"/>
        <v>-9.2000277472836775E-2</v>
      </c>
      <c r="Z56" s="632">
        <f t="shared" si="243"/>
        <v>-0.54471820734398457</v>
      </c>
      <c r="AA56" s="629">
        <f t="shared" si="244"/>
        <v>-0.76479590817440968</v>
      </c>
      <c r="AB56" s="629">
        <f t="shared" si="245"/>
        <v>-0.34404838820671091</v>
      </c>
      <c r="AC56" s="636">
        <f t="shared" si="416"/>
        <v>1</v>
      </c>
      <c r="AD56" s="637">
        <f t="shared" si="417"/>
        <v>-0.54471820734398457</v>
      </c>
      <c r="AE56" s="629">
        <f t="shared" si="418"/>
        <v>-0.76479590817440968</v>
      </c>
      <c r="AF56" s="633">
        <f t="shared" si="419"/>
        <v>-0.34404838820671091</v>
      </c>
      <c r="AG56" s="602">
        <f t="shared" si="420"/>
        <v>-65.779093811865835</v>
      </c>
      <c r="AH56" s="603">
        <f t="shared" si="421"/>
        <v>123.00540901223955</v>
      </c>
      <c r="AI56" s="585">
        <f t="shared" si="422"/>
        <v>-69.876283326752258</v>
      </c>
      <c r="AJ56" s="586">
        <f t="shared" si="423"/>
        <v>-35.459988612535867</v>
      </c>
      <c r="AK56" s="635">
        <f t="shared" si="424"/>
        <v>0.93894347773117759</v>
      </c>
      <c r="AL56" s="629">
        <f t="shared" si="425"/>
        <v>-3.9814819409275115E-3</v>
      </c>
      <c r="AM56" s="634">
        <f t="shared" si="426"/>
        <v>-0.34404838820671091</v>
      </c>
      <c r="AN56" s="581">
        <f t="shared" si="427"/>
        <v>-0.66302280891791565</v>
      </c>
      <c r="AO56" s="582">
        <f t="shared" ref="AO56:AO119" si="461">IF(ROUND(IF(M56="",0,DEGREES(ACOS(AK56))),4)=90,0,IF(M56="","",DEGREES(ACOS(AK56))))</f>
        <v>20.125122418638416</v>
      </c>
      <c r="AP56" s="585">
        <f t="shared" si="428"/>
        <v>-0.24295471406966657</v>
      </c>
      <c r="AQ56" s="586">
        <f t="shared" si="246"/>
        <v>0.50092545900393848</v>
      </c>
      <c r="AS56" s="52">
        <f t="shared" si="406"/>
        <v>-125.21703389846618</v>
      </c>
      <c r="AT56" s="72">
        <f t="shared" si="247"/>
        <v>-5.0440039322352526E-3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3.1259999999999999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4.3246826278123969</v>
      </c>
      <c r="C57" s="708">
        <v>-3.1038281742047245</v>
      </c>
      <c r="D57" s="709">
        <v>-4.7600143562032723E-2</v>
      </c>
      <c r="E57" s="710">
        <v>0.62267217226273075</v>
      </c>
      <c r="F57" s="708">
        <v>0.70645546767915923</v>
      </c>
      <c r="G57" s="711">
        <v>0.33645213340954261</v>
      </c>
      <c r="H57" s="710">
        <v>0.314</v>
      </c>
      <c r="I57" s="708">
        <v>0.52</v>
      </c>
      <c r="J57" s="570">
        <v>3.1320000000000001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3.1320000000000001</v>
      </c>
      <c r="N57" s="632">
        <f t="shared" si="240"/>
        <v>4.3246826278123969</v>
      </c>
      <c r="O57" s="629">
        <f t="shared" si="241"/>
        <v>-3.1038281742047245</v>
      </c>
      <c r="P57" s="633">
        <f t="shared" si="242"/>
        <v>-4.7600143562032723E-2</v>
      </c>
      <c r="Q57" s="585">
        <f t="shared" si="113"/>
        <v>324.33296616650574</v>
      </c>
      <c r="R57" s="629">
        <f t="shared" si="410"/>
        <v>5.3232160548196212</v>
      </c>
      <c r="S57" s="634">
        <f t="shared" si="411"/>
        <v>-4.7600143562032723E-2</v>
      </c>
      <c r="T57" s="635">
        <f t="shared" si="412"/>
        <v>-3.1038281742047253</v>
      </c>
      <c r="U57" s="629">
        <f t="shared" si="413"/>
        <v>-4.3246826278123969</v>
      </c>
      <c r="V57" s="636">
        <f t="shared" si="414"/>
        <v>-4.7600143562032723E-2</v>
      </c>
      <c r="W57" s="585">
        <f t="shared" si="224"/>
        <v>234.33296616650574</v>
      </c>
      <c r="X57" s="629">
        <f t="shared" si="415"/>
        <v>5.3232160548196212</v>
      </c>
      <c r="Y57" s="630">
        <f t="shared" si="223"/>
        <v>-4.7600143562032723E-2</v>
      </c>
      <c r="Z57" s="632">
        <f t="shared" si="243"/>
        <v>-0.62267217226273075</v>
      </c>
      <c r="AA57" s="629">
        <f t="shared" si="244"/>
        <v>-0.70645546767915923</v>
      </c>
      <c r="AB57" s="629">
        <f t="shared" si="245"/>
        <v>-0.33645213340954261</v>
      </c>
      <c r="AC57" s="636">
        <f t="shared" si="416"/>
        <v>1</v>
      </c>
      <c r="AD57" s="637">
        <f t="shared" si="417"/>
        <v>-0.62267217226273075</v>
      </c>
      <c r="AE57" s="629">
        <f t="shared" si="418"/>
        <v>-0.70645546767915923</v>
      </c>
      <c r="AF57" s="633">
        <f t="shared" si="419"/>
        <v>-0.33645213340954261</v>
      </c>
      <c r="AG57" s="602">
        <f t="shared" si="420"/>
        <v>-64.533695326659952</v>
      </c>
      <c r="AH57" s="603">
        <f t="shared" si="421"/>
        <v>128.51153431530355</v>
      </c>
      <c r="AI57" s="585">
        <f t="shared" si="422"/>
        <v>-70.339134359346858</v>
      </c>
      <c r="AJ57" s="586">
        <f t="shared" si="423"/>
        <v>-41.393058195875099</v>
      </c>
      <c r="AK57" s="635">
        <f t="shared" si="424"/>
        <v>0.93700181780926772</v>
      </c>
      <c r="AL57" s="629">
        <f t="shared" si="425"/>
        <v>-9.3955070891864612E-2</v>
      </c>
      <c r="AM57" s="634">
        <f t="shared" si="426"/>
        <v>-0.33645213340954261</v>
      </c>
      <c r="AN57" s="581">
        <f t="shared" si="427"/>
        <v>-15.602519309251491</v>
      </c>
      <c r="AO57" s="582">
        <f t="shared" si="461"/>
        <v>20.446002962979662</v>
      </c>
      <c r="AP57" s="585">
        <f t="shared" si="428"/>
        <v>-5.7260243623808389</v>
      </c>
      <c r="AQ57" s="586">
        <f t="shared" si="246"/>
        <v>0.42825317522960932</v>
      </c>
      <c r="AS57" s="52">
        <f t="shared" si="406"/>
        <v>-125.66703383349426</v>
      </c>
      <c r="AT57" s="72">
        <f t="shared" si="247"/>
        <v>3.9668629933449398E-2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3.1320000000000001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4.8999965331095474</v>
      </c>
      <c r="C58" s="708">
        <v>-3.5912527909603496</v>
      </c>
      <c r="D58" s="709">
        <v>-0.18050054438964203</v>
      </c>
      <c r="E58" s="710">
        <v>0.69715005605993141</v>
      </c>
      <c r="F58" s="708">
        <v>0.64704474420523472</v>
      </c>
      <c r="G58" s="711">
        <v>0.30873111008127629</v>
      </c>
      <c r="H58" s="710">
        <v>0.314</v>
      </c>
      <c r="I58" s="708">
        <v>0.52</v>
      </c>
      <c r="J58" s="570">
        <v>3.1379999999999999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3.1379999999999999</v>
      </c>
      <c r="N58" s="632">
        <f t="shared" si="240"/>
        <v>4.8999965331095474</v>
      </c>
      <c r="O58" s="629">
        <f t="shared" si="241"/>
        <v>-3.5912527909603496</v>
      </c>
      <c r="P58" s="633">
        <f t="shared" si="242"/>
        <v>-0.18050054438964203</v>
      </c>
      <c r="Q58" s="585">
        <f t="shared" si="113"/>
        <v>323.76196624894794</v>
      </c>
      <c r="R58" s="629">
        <f t="shared" si="410"/>
        <v>6.0751183225568601</v>
      </c>
      <c r="S58" s="634">
        <f t="shared" si="411"/>
        <v>-0.18050054438964203</v>
      </c>
      <c r="T58" s="635">
        <f t="shared" si="412"/>
        <v>-3.5912527909603473</v>
      </c>
      <c r="U58" s="629">
        <f t="shared" si="413"/>
        <v>-4.8999965331095483</v>
      </c>
      <c r="V58" s="636">
        <f t="shared" si="414"/>
        <v>-0.18050054438964203</v>
      </c>
      <c r="W58" s="585">
        <f t="shared" si="224"/>
        <v>233.76196624894794</v>
      </c>
      <c r="X58" s="629">
        <f t="shared" si="415"/>
        <v>6.0751183225568601</v>
      </c>
      <c r="Y58" s="630">
        <f t="shared" si="223"/>
        <v>-0.18050054438964203</v>
      </c>
      <c r="Z58" s="632">
        <f t="shared" si="243"/>
        <v>-0.69715005605993141</v>
      </c>
      <c r="AA58" s="629">
        <f t="shared" si="244"/>
        <v>-0.64704474420523472</v>
      </c>
      <c r="AB58" s="629">
        <f t="shared" si="245"/>
        <v>-0.30873111008127629</v>
      </c>
      <c r="AC58" s="636">
        <f t="shared" si="416"/>
        <v>1</v>
      </c>
      <c r="AD58" s="637">
        <f t="shared" si="417"/>
        <v>-0.69715005605993141</v>
      </c>
      <c r="AE58" s="629">
        <f t="shared" si="418"/>
        <v>-0.64704474420523472</v>
      </c>
      <c r="AF58" s="633">
        <f t="shared" si="419"/>
        <v>-0.30873111008127629</v>
      </c>
      <c r="AG58" s="602">
        <f t="shared" si="420"/>
        <v>-64.492310674494021</v>
      </c>
      <c r="AH58" s="603">
        <f t="shared" si="421"/>
        <v>134.19879746648931</v>
      </c>
      <c r="AI58" s="585">
        <f t="shared" si="422"/>
        <v>-72.017222072071633</v>
      </c>
      <c r="AJ58" s="586">
        <f t="shared" si="423"/>
        <v>-47.134731056126007</v>
      </c>
      <c r="AK58" s="635">
        <f t="shared" si="424"/>
        <v>0.9339997653786748</v>
      </c>
      <c r="AL58" s="629">
        <f t="shared" si="425"/>
        <v>-0.17980417108777957</v>
      </c>
      <c r="AM58" s="634">
        <f t="shared" si="426"/>
        <v>-0.30873111008127629</v>
      </c>
      <c r="AN58" s="581">
        <f t="shared" si="427"/>
        <v>-30.216407054120541</v>
      </c>
      <c r="AO58" s="582">
        <f t="shared" si="461"/>
        <v>20.932853689817087</v>
      </c>
      <c r="AP58" s="585">
        <f t="shared" si="428"/>
        <v>-10.896697305073966</v>
      </c>
      <c r="AQ58" s="586">
        <f t="shared" si="246"/>
        <v>0.37525096881257725</v>
      </c>
      <c r="AS58" s="52">
        <f t="shared" si="406"/>
        <v>-126.23803375105206</v>
      </c>
      <c r="AT58" s="72">
        <f t="shared" si="247"/>
        <v>-9.2835243173633647E-2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3.1379999999999999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5.4200866969552104</v>
      </c>
      <c r="C59" s="708">
        <v>-4.0650851269666157</v>
      </c>
      <c r="D59" s="709">
        <v>-0.47220142415949462</v>
      </c>
      <c r="E59" s="710">
        <v>0.76466981594885142</v>
      </c>
      <c r="F59" s="708">
        <v>0.57363040860555614</v>
      </c>
      <c r="G59" s="711">
        <v>0.29364643178450622</v>
      </c>
      <c r="H59" s="710">
        <v>0.314</v>
      </c>
      <c r="I59" s="708">
        <v>0.52</v>
      </c>
      <c r="J59" s="570">
        <v>3.1440000000000001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3.1440000000000001</v>
      </c>
      <c r="N59" s="632">
        <f t="shared" si="240"/>
        <v>5.4200866969552104</v>
      </c>
      <c r="O59" s="629">
        <f t="shared" si="241"/>
        <v>-4.0650851269666157</v>
      </c>
      <c r="P59" s="633">
        <f t="shared" si="242"/>
        <v>-0.47220142415949462</v>
      </c>
      <c r="Q59" s="585">
        <f t="shared" si="113"/>
        <v>323.12996634019743</v>
      </c>
      <c r="R59" s="629">
        <f t="shared" si="79"/>
        <v>6.7751204337632283</v>
      </c>
      <c r="S59" s="634">
        <f t="shared" si="80"/>
        <v>-0.47220142415949462</v>
      </c>
      <c r="T59" s="635">
        <f t="shared" si="81"/>
        <v>-4.0650851269666166</v>
      </c>
      <c r="U59" s="629">
        <f t="shared" si="82"/>
        <v>-5.4200866969552095</v>
      </c>
      <c r="V59" s="636">
        <f t="shared" si="114"/>
        <v>-0.47220142415949462</v>
      </c>
      <c r="W59" s="585">
        <f t="shared" si="224"/>
        <v>233.12996634019743</v>
      </c>
      <c r="X59" s="629">
        <f t="shared" si="83"/>
        <v>6.7751204337632283</v>
      </c>
      <c r="Y59" s="630">
        <f t="shared" si="223"/>
        <v>-0.47220142415949462</v>
      </c>
      <c r="Z59" s="632">
        <f t="shared" si="243"/>
        <v>-0.76466981594885142</v>
      </c>
      <c r="AA59" s="629">
        <f t="shared" si="244"/>
        <v>-0.57363040860555614</v>
      </c>
      <c r="AB59" s="629">
        <f t="shared" si="245"/>
        <v>-0.29364643178450622</v>
      </c>
      <c r="AC59" s="636">
        <f t="shared" si="84"/>
        <v>1</v>
      </c>
      <c r="AD59" s="637">
        <f t="shared" si="115"/>
        <v>-0.76466981594885142</v>
      </c>
      <c r="AE59" s="629">
        <f t="shared" si="85"/>
        <v>-0.57363040860555614</v>
      </c>
      <c r="AF59" s="633">
        <f t="shared" si="86"/>
        <v>-0.29364643178450622</v>
      </c>
      <c r="AG59" s="602">
        <f t="shared" si="87"/>
        <v>-62.891695570724629</v>
      </c>
      <c r="AH59" s="603">
        <f t="shared" si="88"/>
        <v>139.87762632022003</v>
      </c>
      <c r="AI59" s="585">
        <f t="shared" si="89"/>
        <v>-72.923610762969204</v>
      </c>
      <c r="AJ59" s="586">
        <f t="shared" si="90"/>
        <v>-53.123962444919243</v>
      </c>
      <c r="AK59" s="635">
        <f t="shared" si="211"/>
        <v>0.91770685160387511</v>
      </c>
      <c r="AL59" s="629">
        <f t="shared" si="91"/>
        <v>-0.26755542906009366</v>
      </c>
      <c r="AM59" s="634">
        <f t="shared" si="92"/>
        <v>-0.29364643178450622</v>
      </c>
      <c r="AN59" s="581">
        <f t="shared" si="93"/>
        <v>-42.338161561500385</v>
      </c>
      <c r="AO59" s="582">
        <f t="shared" si="461"/>
        <v>23.406891319041328</v>
      </c>
      <c r="AP59" s="585">
        <f t="shared" si="95"/>
        <v>-16.253928785116663</v>
      </c>
      <c r="AQ59" s="586">
        <f t="shared" si="246"/>
        <v>0.33648116604638822</v>
      </c>
      <c r="AS59" s="52">
        <f t="shared" si="406"/>
        <v>-126.87003365980257</v>
      </c>
      <c r="AT59" s="72">
        <f t="shared" si="247"/>
        <v>-0.38409723411796504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3.1440000000000001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5.8661222261104546</v>
      </c>
      <c r="C60" s="708">
        <v>-4.4960362921414836</v>
      </c>
      <c r="D60" s="709">
        <v>-0.92120277834758046</v>
      </c>
      <c r="E60" s="710">
        <v>0.82919568436240909</v>
      </c>
      <c r="F60" s="708">
        <v>0.4802249709045307</v>
      </c>
      <c r="G60" s="711">
        <v>0.28603932309124674</v>
      </c>
      <c r="H60" s="710">
        <v>0.314</v>
      </c>
      <c r="I60" s="708">
        <v>0.52</v>
      </c>
      <c r="J60" s="570">
        <v>3.15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3.15</v>
      </c>
      <c r="N60" s="632">
        <f t="shared" si="240"/>
        <v>5.8661222261104546</v>
      </c>
      <c r="O60" s="629">
        <f t="shared" si="241"/>
        <v>-4.4960362921414836</v>
      </c>
      <c r="P60" s="633">
        <f t="shared" si="242"/>
        <v>-0.92120277834758046</v>
      </c>
      <c r="Q60" s="585">
        <f t="shared" si="113"/>
        <v>322.53196642653796</v>
      </c>
      <c r="R60" s="629">
        <f t="shared" si="79"/>
        <v>7.3909222910216297</v>
      </c>
      <c r="S60" s="634">
        <f t="shared" si="80"/>
        <v>-0.92120277834758046</v>
      </c>
      <c r="T60" s="635">
        <f t="shared" si="81"/>
        <v>-4.4960362921414836</v>
      </c>
      <c r="U60" s="629">
        <f t="shared" si="82"/>
        <v>-5.8661222261104546</v>
      </c>
      <c r="V60" s="636">
        <f t="shared" si="114"/>
        <v>-0.92120277834758046</v>
      </c>
      <c r="W60" s="585">
        <f t="shared" si="224"/>
        <v>232.53196642653796</v>
      </c>
      <c r="X60" s="629">
        <f t="shared" si="83"/>
        <v>7.3909222910216297</v>
      </c>
      <c r="Y60" s="630">
        <f t="shared" si="223"/>
        <v>-0.92120277834758046</v>
      </c>
      <c r="Z60" s="632">
        <f t="shared" si="243"/>
        <v>-0.82919568436240909</v>
      </c>
      <c r="AA60" s="629">
        <f t="shared" si="244"/>
        <v>-0.4802249709045307</v>
      </c>
      <c r="AB60" s="629">
        <f t="shared" si="245"/>
        <v>-0.28603932309124674</v>
      </c>
      <c r="AC60" s="636">
        <f t="shared" si="84"/>
        <v>1</v>
      </c>
      <c r="AD60" s="637">
        <f t="shared" si="115"/>
        <v>-0.82919568436240909</v>
      </c>
      <c r="AE60" s="629">
        <f t="shared" si="85"/>
        <v>-0.4802249709045307</v>
      </c>
      <c r="AF60" s="633">
        <f t="shared" si="86"/>
        <v>-0.28603932309124674</v>
      </c>
      <c r="AG60" s="602">
        <f t="shared" si="87"/>
        <v>-59.220445803675496</v>
      </c>
      <c r="AH60" s="603">
        <f t="shared" si="88"/>
        <v>146.01620378027582</v>
      </c>
      <c r="AI60" s="585">
        <f t="shared" si="89"/>
        <v>-73.37901606579976</v>
      </c>
      <c r="AJ60" s="586">
        <f t="shared" si="90"/>
        <v>-59.922914485050093</v>
      </c>
      <c r="AK60" s="635">
        <f t="shared" si="211"/>
        <v>0.8855663755912766</v>
      </c>
      <c r="AL60" s="629">
        <f t="shared" si="91"/>
        <v>-0.36599685800240306</v>
      </c>
      <c r="AM60" s="634">
        <f t="shared" si="92"/>
        <v>-0.28603932309124674</v>
      </c>
      <c r="AN60" s="581">
        <f t="shared" si="93"/>
        <v>-51.991131797701499</v>
      </c>
      <c r="AO60" s="582">
        <f t="shared" si="461"/>
        <v>27.678699555101094</v>
      </c>
      <c r="AP60" s="585">
        <f t="shared" si="95"/>
        <v>-22.454880911588042</v>
      </c>
      <c r="AQ60" s="586">
        <f t="shared" si="246"/>
        <v>0.30844656717562891</v>
      </c>
      <c r="AS60" s="52">
        <f t="shared" si="406"/>
        <v>-127.46803357346204</v>
      </c>
      <c r="AT60" s="72">
        <f t="shared" si="247"/>
        <v>-0.83268331058823186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3.15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6.2184125002956678</v>
      </c>
      <c r="C61" s="708">
        <v>-4.8546928211116738</v>
      </c>
      <c r="D61" s="709">
        <v>-1.4934045041079853</v>
      </c>
      <c r="E61" s="710">
        <v>0.8843472267385637</v>
      </c>
      <c r="F61" s="708">
        <v>0.39815010792319172</v>
      </c>
      <c r="G61" s="711">
        <v>0.24373443359640901</v>
      </c>
      <c r="H61" s="710">
        <v>0.314</v>
      </c>
      <c r="I61" s="708">
        <v>0.52</v>
      </c>
      <c r="J61" s="570">
        <v>3.1560000000000001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3.1560000000000001</v>
      </c>
      <c r="N61" s="632">
        <f t="shared" si="240"/>
        <v>6.2184125002956678</v>
      </c>
      <c r="O61" s="629">
        <f t="shared" si="241"/>
        <v>-4.8546928211116738</v>
      </c>
      <c r="P61" s="633">
        <f t="shared" si="242"/>
        <v>-1.4934045041079853</v>
      </c>
      <c r="Q61" s="585">
        <f t="shared" si="113"/>
        <v>322.02096650031717</v>
      </c>
      <c r="R61" s="629">
        <f t="shared" si="79"/>
        <v>7.8890237932957614</v>
      </c>
      <c r="S61" s="634">
        <f t="shared" si="80"/>
        <v>-1.4934045041079853</v>
      </c>
      <c r="T61" s="635">
        <f t="shared" si="81"/>
        <v>-4.8546928211116809</v>
      </c>
      <c r="U61" s="629">
        <f t="shared" si="82"/>
        <v>-6.2184125002956625</v>
      </c>
      <c r="V61" s="636">
        <f t="shared" si="114"/>
        <v>-1.4934045041079853</v>
      </c>
      <c r="W61" s="585">
        <f t="shared" si="224"/>
        <v>232.02096650031717</v>
      </c>
      <c r="X61" s="629">
        <f t="shared" si="83"/>
        <v>7.8890237932957614</v>
      </c>
      <c r="Y61" s="630">
        <f t="shared" si="223"/>
        <v>-1.4934045041079853</v>
      </c>
      <c r="Z61" s="632">
        <f t="shared" si="243"/>
        <v>-0.8843472267385637</v>
      </c>
      <c r="AA61" s="629">
        <f t="shared" si="244"/>
        <v>-0.39815010792319172</v>
      </c>
      <c r="AB61" s="629">
        <f t="shared" si="245"/>
        <v>-0.24373443359640901</v>
      </c>
      <c r="AC61" s="636">
        <f t="shared" si="84"/>
        <v>1</v>
      </c>
      <c r="AD61" s="637">
        <f t="shared" si="115"/>
        <v>-0.8843472267385637</v>
      </c>
      <c r="AE61" s="629">
        <f t="shared" si="85"/>
        <v>-0.39815010792319172</v>
      </c>
      <c r="AF61" s="633">
        <f t="shared" si="86"/>
        <v>-0.24373443359640901</v>
      </c>
      <c r="AG61" s="602">
        <f t="shared" si="87"/>
        <v>-58.526399107428588</v>
      </c>
      <c r="AH61" s="603">
        <f t="shared" si="88"/>
        <v>152.17129754355611</v>
      </c>
      <c r="AI61" s="585">
        <f t="shared" si="89"/>
        <v>-75.892944974757754</v>
      </c>
      <c r="AJ61" s="586">
        <f t="shared" si="90"/>
        <v>-65.761810892722281</v>
      </c>
      <c r="AK61" s="635">
        <f t="shared" si="211"/>
        <v>0.85803971676113777</v>
      </c>
      <c r="AL61" s="629">
        <f t="shared" si="91"/>
        <v>-0.45206345831078221</v>
      </c>
      <c r="AM61" s="634">
        <f t="shared" si="92"/>
        <v>-0.24373443359640901</v>
      </c>
      <c r="AN61" s="581">
        <f t="shared" si="93"/>
        <v>-61.668239332177492</v>
      </c>
      <c r="AO61" s="582">
        <f t="shared" si="461"/>
        <v>30.902810216514077</v>
      </c>
      <c r="AP61" s="585">
        <f t="shared" si="95"/>
        <v>-27.782777393039428</v>
      </c>
      <c r="AQ61" s="586">
        <f t="shared" si="246"/>
        <v>0.28897204037248014</v>
      </c>
      <c r="AS61" s="52">
        <f t="shared" si="406"/>
        <v>-127.97903349968283</v>
      </c>
      <c r="AT61" s="72">
        <f t="shared" si="247"/>
        <v>-1.4045301752887611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3.1560000000000001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6.4658812856072814</v>
      </c>
      <c r="C62" s="708">
        <v>-5.1169042083551348</v>
      </c>
      <c r="D62" s="709">
        <v>-2.1646065284532887</v>
      </c>
      <c r="E62" s="710">
        <v>0.92822566876355928</v>
      </c>
      <c r="F62" s="708">
        <v>0.32275900331498925</v>
      </c>
      <c r="G62" s="711">
        <v>0.18499657734011724</v>
      </c>
      <c r="H62" s="710">
        <v>0.314</v>
      </c>
      <c r="I62" s="708">
        <v>0.52</v>
      </c>
      <c r="J62" s="570">
        <v>3.1619999999999999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3.1619999999999999</v>
      </c>
      <c r="N62" s="632">
        <f t="shared" si="240"/>
        <v>6.4658812856072814</v>
      </c>
      <c r="O62" s="629">
        <f t="shared" si="241"/>
        <v>-5.1169042083551348</v>
      </c>
      <c r="P62" s="633">
        <f t="shared" si="242"/>
        <v>-2.1646065284532887</v>
      </c>
      <c r="Q62" s="585">
        <f t="shared" si="113"/>
        <v>321.64296655489363</v>
      </c>
      <c r="R62" s="629">
        <f t="shared" si="79"/>
        <v>8.2456248688046045</v>
      </c>
      <c r="S62" s="634">
        <f t="shared" si="80"/>
        <v>-2.1646065284532887</v>
      </c>
      <c r="T62" s="635">
        <f t="shared" si="81"/>
        <v>-5.1169042083551357</v>
      </c>
      <c r="U62" s="629">
        <f t="shared" si="82"/>
        <v>-6.4658812856072796</v>
      </c>
      <c r="V62" s="636">
        <f t="shared" si="114"/>
        <v>-2.1646065284532887</v>
      </c>
      <c r="W62" s="585">
        <f t="shared" si="224"/>
        <v>231.64296655489363</v>
      </c>
      <c r="X62" s="629">
        <f t="shared" si="83"/>
        <v>8.2456248688046045</v>
      </c>
      <c r="Y62" s="630">
        <f t="shared" si="223"/>
        <v>-2.1646065284532887</v>
      </c>
      <c r="Z62" s="632">
        <f t="shared" si="243"/>
        <v>-0.92822566876355928</v>
      </c>
      <c r="AA62" s="629">
        <f t="shared" si="244"/>
        <v>-0.32275900331498925</v>
      </c>
      <c r="AB62" s="629">
        <f t="shared" si="245"/>
        <v>-0.18499657734011724</v>
      </c>
      <c r="AC62" s="636">
        <f t="shared" si="84"/>
        <v>1</v>
      </c>
      <c r="AD62" s="637">
        <f t="shared" si="115"/>
        <v>-0.92822566876355928</v>
      </c>
      <c r="AE62" s="629">
        <f t="shared" si="85"/>
        <v>-0.32275900331498925</v>
      </c>
      <c r="AF62" s="633">
        <f t="shared" si="86"/>
        <v>-0.18499657734011724</v>
      </c>
      <c r="AG62" s="602">
        <f t="shared" si="87"/>
        <v>-60.179852173244605</v>
      </c>
      <c r="AH62" s="603">
        <f t="shared" si="88"/>
        <v>158.15989708580497</v>
      </c>
      <c r="AI62" s="585">
        <f t="shared" si="89"/>
        <v>-79.33906715070114</v>
      </c>
      <c r="AJ62" s="586">
        <f t="shared" si="90"/>
        <v>-70.826614167402738</v>
      </c>
      <c r="AK62" s="635">
        <f t="shared" si="211"/>
        <v>0.82911402578592963</v>
      </c>
      <c r="AL62" s="629">
        <f t="shared" si="91"/>
        <v>-0.52758525246398891</v>
      </c>
      <c r="AM62" s="634">
        <f t="shared" si="92"/>
        <v>-0.18499657734011724</v>
      </c>
      <c r="AN62" s="581">
        <f t="shared" si="93"/>
        <v>-70.676897773316455</v>
      </c>
      <c r="AO62" s="582">
        <f t="shared" si="461"/>
        <v>33.992165688284501</v>
      </c>
      <c r="AP62" s="585">
        <f t="shared" si="95"/>
        <v>-32.469580722296371</v>
      </c>
      <c r="AQ62" s="586">
        <f t="shared" si="246"/>
        <v>0.27647497601703219</v>
      </c>
      <c r="AS62" s="52">
        <f t="shared" si="406"/>
        <v>-128.35703344510637</v>
      </c>
      <c r="AT62" s="72">
        <f t="shared" si="247"/>
        <v>-2.0754696996719648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3.1619999999999999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6.599628579870207</v>
      </c>
      <c r="C63" s="708">
        <v>-5.2622000011456063</v>
      </c>
      <c r="D63" s="709">
        <v>-2.8986087422039661</v>
      </c>
      <c r="E63" s="710">
        <v>0.96266274149745634</v>
      </c>
      <c r="F63" s="708">
        <v>0.24200282120588718</v>
      </c>
      <c r="G63" s="711">
        <v>0.12130573218522291</v>
      </c>
      <c r="H63" s="710">
        <v>0.314</v>
      </c>
      <c r="I63" s="708">
        <v>0.52</v>
      </c>
      <c r="J63" s="570">
        <v>3.1680000000000001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3.1680000000000001</v>
      </c>
      <c r="N63" s="632">
        <f t="shared" si="240"/>
        <v>6.599628579870207</v>
      </c>
      <c r="O63" s="629">
        <f t="shared" si="241"/>
        <v>-5.2622000011456063</v>
      </c>
      <c r="P63" s="633">
        <f t="shared" si="242"/>
        <v>-2.8986087422039661</v>
      </c>
      <c r="Q63" s="585">
        <f t="shared" si="113"/>
        <v>321.43296658521388</v>
      </c>
      <c r="R63" s="629">
        <f t="shared" si="79"/>
        <v>8.4407254572279786</v>
      </c>
      <c r="S63" s="634">
        <f t="shared" si="80"/>
        <v>-2.8986087422039661</v>
      </c>
      <c r="T63" s="635">
        <f t="shared" si="81"/>
        <v>-5.2622000011456063</v>
      </c>
      <c r="U63" s="629">
        <f t="shared" si="82"/>
        <v>-6.5996285798702079</v>
      </c>
      <c r="V63" s="636">
        <f t="shared" si="114"/>
        <v>-2.8986087422039661</v>
      </c>
      <c r="W63" s="585">
        <f t="shared" si="224"/>
        <v>231.43296658521388</v>
      </c>
      <c r="X63" s="629">
        <f t="shared" si="83"/>
        <v>8.4407254572279786</v>
      </c>
      <c r="Y63" s="630">
        <f t="shared" si="223"/>
        <v>-2.8986087422039661</v>
      </c>
      <c r="Z63" s="632">
        <f t="shared" si="243"/>
        <v>-0.96266274149745634</v>
      </c>
      <c r="AA63" s="629">
        <f t="shared" si="244"/>
        <v>-0.24200282120588718</v>
      </c>
      <c r="AB63" s="629">
        <f t="shared" si="245"/>
        <v>-0.12130573218522291</v>
      </c>
      <c r="AC63" s="636">
        <f t="shared" si="84"/>
        <v>1</v>
      </c>
      <c r="AD63" s="637">
        <f t="shared" si="115"/>
        <v>-0.96266274149745634</v>
      </c>
      <c r="AE63" s="629">
        <f t="shared" si="85"/>
        <v>-0.24200282120588718</v>
      </c>
      <c r="AF63" s="633">
        <f t="shared" si="86"/>
        <v>-0.12130573218522291</v>
      </c>
      <c r="AG63" s="602">
        <f t="shared" si="87"/>
        <v>-63.377337692073233</v>
      </c>
      <c r="AH63" s="603">
        <f t="shared" si="88"/>
        <v>164.29385979104097</v>
      </c>
      <c r="AI63" s="585">
        <f t="shared" si="89"/>
        <v>-83.032533923173631</v>
      </c>
      <c r="AJ63" s="586">
        <f t="shared" si="90"/>
        <v>-75.888878763124183</v>
      </c>
      <c r="AK63" s="635">
        <f t="shared" si="211"/>
        <v>0.78936966359269423</v>
      </c>
      <c r="AL63" s="629">
        <f t="shared" si="91"/>
        <v>-0.60181430154040361</v>
      </c>
      <c r="AM63" s="634">
        <f t="shared" si="92"/>
        <v>-0.12130573218522291</v>
      </c>
      <c r="AN63" s="581">
        <f t="shared" si="93"/>
        <v>-78.603779941129602</v>
      </c>
      <c r="AO63" s="582">
        <f t="shared" si="461"/>
        <v>37.873355459697152</v>
      </c>
      <c r="AP63" s="585">
        <f t="shared" si="95"/>
        <v>-37.321845348338073</v>
      </c>
      <c r="AQ63" s="586">
        <f t="shared" si="246"/>
        <v>0.27008457482785575</v>
      </c>
      <c r="AS63" s="52">
        <f t="shared" si="406"/>
        <v>-128.56703341478612</v>
      </c>
      <c r="AT63" s="72">
        <f t="shared" si="247"/>
        <v>-2.8093260801103646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3.1680000000000001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6.6675971423676268</v>
      </c>
      <c r="C64" s="708">
        <v>-5.337174973177369</v>
      </c>
      <c r="D64" s="709">
        <v>-3.6574110307516681</v>
      </c>
      <c r="E64" s="710">
        <v>0.98053258945946387</v>
      </c>
      <c r="F64" s="708">
        <v>0.19635641320796554</v>
      </c>
      <c r="G64" s="711">
        <v>1.4578093144996877E-7</v>
      </c>
      <c r="H64" s="710">
        <v>0.314</v>
      </c>
      <c r="I64" s="708">
        <v>0.52</v>
      </c>
      <c r="J64" s="570">
        <v>3.1739999999999999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3.1739999999999999</v>
      </c>
      <c r="N64" s="632">
        <f t="shared" si="240"/>
        <v>6.6675971423676268</v>
      </c>
      <c r="O64" s="629">
        <f t="shared" si="241"/>
        <v>-5.337174973177369</v>
      </c>
      <c r="P64" s="633">
        <f t="shared" si="242"/>
        <v>-3.6574110307516681</v>
      </c>
      <c r="Q64" s="585">
        <f t="shared" si="113"/>
        <v>321.32396660095151</v>
      </c>
      <c r="R64" s="629">
        <f t="shared" si="79"/>
        <v>8.5406257585272876</v>
      </c>
      <c r="S64" s="634">
        <f t="shared" si="80"/>
        <v>-3.6574110307516681</v>
      </c>
      <c r="T64" s="635">
        <f t="shared" si="81"/>
        <v>-5.3371749731773717</v>
      </c>
      <c r="U64" s="629">
        <f t="shared" si="82"/>
        <v>-6.6675971423676259</v>
      </c>
      <c r="V64" s="636">
        <f t="shared" si="114"/>
        <v>-3.6574110307516681</v>
      </c>
      <c r="W64" s="585">
        <f t="shared" si="224"/>
        <v>231.32396660095151</v>
      </c>
      <c r="X64" s="629">
        <f t="shared" si="83"/>
        <v>8.5406257585272876</v>
      </c>
      <c r="Y64" s="630">
        <f t="shared" si="223"/>
        <v>-3.6574110307516681</v>
      </c>
      <c r="Z64" s="632">
        <f t="shared" si="243"/>
        <v>-0.98053258945946387</v>
      </c>
      <c r="AA64" s="629">
        <f t="shared" si="244"/>
        <v>-0.19635641320796554</v>
      </c>
      <c r="AB64" s="629">
        <f t="shared" si="245"/>
        <v>-1.4578093144996877E-7</v>
      </c>
      <c r="AC64" s="636">
        <f t="shared" si="84"/>
        <v>1</v>
      </c>
      <c r="AD64" s="637">
        <f t="shared" si="115"/>
        <v>-0.98053258945946387</v>
      </c>
      <c r="AE64" s="629">
        <f t="shared" si="85"/>
        <v>-0.19635641320796554</v>
      </c>
      <c r="AF64" s="633">
        <f t="shared" si="86"/>
        <v>-1.4578093144996877E-7</v>
      </c>
      <c r="AG64" s="602">
        <f t="shared" si="87"/>
        <v>-89.999957461882872</v>
      </c>
      <c r="AH64" s="603">
        <f t="shared" si="88"/>
        <v>168.67602762376009</v>
      </c>
      <c r="AI64" s="585">
        <f t="shared" si="89"/>
        <v>-89.999991647367892</v>
      </c>
      <c r="AJ64" s="586">
        <f t="shared" si="90"/>
        <v>-78.676027623763119</v>
      </c>
      <c r="AK64" s="635">
        <f t="shared" si="211"/>
        <v>0.76604450791050749</v>
      </c>
      <c r="AL64" s="629">
        <f t="shared" si="91"/>
        <v>-0.64278753247097697</v>
      </c>
      <c r="AM64" s="634">
        <f t="shared" si="92"/>
        <v>-1.4578093144996877E-7</v>
      </c>
      <c r="AN64" s="581">
        <f t="shared" si="93"/>
        <v>-89.999987005609654</v>
      </c>
      <c r="AO64" s="582">
        <f t="shared" si="461"/>
        <v>39.999994224715358</v>
      </c>
      <c r="AP64" s="585">
        <f t="shared" si="95"/>
        <v>-39.999994224714641</v>
      </c>
      <c r="AQ64" s="586">
        <f t="shared" si="246"/>
        <v>0.2669254225062575</v>
      </c>
      <c r="AS64" s="52">
        <f t="shared" si="406"/>
        <v>-128.67603339904849</v>
      </c>
      <c r="AT64" s="72">
        <f t="shared" si="247"/>
        <v>-3.5680526742245511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3.1739999999999999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2.8316672055757048</v>
      </c>
      <c r="C65" s="708">
        <v>-3.5575391993351975</v>
      </c>
      <c r="D65" s="709">
        <v>-6.5900198755000458E-2</v>
      </c>
      <c r="E65" s="710">
        <v>1.7744601854678528E-7</v>
      </c>
      <c r="F65" s="708">
        <v>1.4124034724957469E-7</v>
      </c>
      <c r="G65" s="711">
        <v>0.99999999999997435</v>
      </c>
      <c r="H65" s="710">
        <v>0.26250000000000001</v>
      </c>
      <c r="I65" s="708">
        <v>0.40699999999999997</v>
      </c>
      <c r="J65" s="570">
        <v>3.226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Inactive</v>
      </c>
      <c r="L65" s="320"/>
      <c r="M65" s="168">
        <f t="shared" si="239"/>
        <v>3.226</v>
      </c>
      <c r="N65" s="632">
        <f t="shared" si="240"/>
        <v>2.8316672055757048</v>
      </c>
      <c r="O65" s="629">
        <f t="shared" si="241"/>
        <v>-3.5575391993351975</v>
      </c>
      <c r="P65" s="633">
        <f t="shared" si="242"/>
        <v>-6.5900198755000458E-2</v>
      </c>
      <c r="Q65" s="585">
        <f t="shared" si="113"/>
        <v>308.51846844983675</v>
      </c>
      <c r="R65" s="629">
        <f t="shared" si="79"/>
        <v>4.5469137134917617</v>
      </c>
      <c r="S65" s="634">
        <f t="shared" si="80"/>
        <v>-6.5900198755000458E-2</v>
      </c>
      <c r="T65" s="635">
        <f t="shared" si="81"/>
        <v>-3.5575391993351961</v>
      </c>
      <c r="U65" s="629">
        <f t="shared" si="82"/>
        <v>-2.8316672055757071</v>
      </c>
      <c r="V65" s="636">
        <f t="shared" si="114"/>
        <v>-6.5900198755000458E-2</v>
      </c>
      <c r="W65" s="585">
        <f t="shared" si="224"/>
        <v>218.51846844983675</v>
      </c>
      <c r="X65" s="629">
        <f t="shared" si="83"/>
        <v>4.5469137134917617</v>
      </c>
      <c r="Y65" s="630">
        <f t="shared" si="223"/>
        <v>-6.5900198755000458E-2</v>
      </c>
      <c r="Z65" s="632">
        <f t="shared" si="243"/>
        <v>-1.7744601854678528E-7</v>
      </c>
      <c r="AA65" s="629">
        <f t="shared" si="244"/>
        <v>-1.4124034724957469E-7</v>
      </c>
      <c r="AB65" s="629">
        <f t="shared" si="245"/>
        <v>-0.99999999999997435</v>
      </c>
      <c r="AC65" s="636">
        <f t="shared" si="84"/>
        <v>1</v>
      </c>
      <c r="AD65" s="637">
        <f t="shared" si="115"/>
        <v>-1.7744601854678528E-7</v>
      </c>
      <c r="AE65" s="629">
        <f t="shared" si="85"/>
        <v>-1.4124034724957469E-7</v>
      </c>
      <c r="AF65" s="633">
        <f t="shared" si="86"/>
        <v>-0.99999999999997435</v>
      </c>
      <c r="AG65" s="602">
        <f t="shared" si="87"/>
        <v>-8.092475794362969E-6</v>
      </c>
      <c r="AH65" s="603">
        <f t="shared" si="88"/>
        <v>90.000010166907956</v>
      </c>
      <c r="AI65" s="585">
        <f t="shared" si="89"/>
        <v>-1.2976235990044085E-5</v>
      </c>
      <c r="AJ65" s="586">
        <f t="shared" si="90"/>
        <v>-51.48153152854065</v>
      </c>
      <c r="AK65" s="635">
        <f t="shared" si="211"/>
        <v>2.2679489674436351E-7</v>
      </c>
      <c r="AL65" s="629">
        <f t="shared" si="91"/>
        <v>8.5589145604470223E-17</v>
      </c>
      <c r="AM65" s="634">
        <f t="shared" si="92"/>
        <v>-0.99999999999997435</v>
      </c>
      <c r="AN65" s="581">
        <f t="shared" si="93"/>
        <v>4.903896815266951E-15</v>
      </c>
      <c r="AO65" s="582">
        <f t="shared" si="461"/>
        <v>0</v>
      </c>
      <c r="AP65" s="585">
        <f t="shared" si="95"/>
        <v>2.1622606529786039E-8</v>
      </c>
      <c r="AQ65" s="586">
        <f t="shared" si="246"/>
        <v>0.50136611078840854</v>
      </c>
      <c r="AS65" s="52">
        <f t="shared" si="406"/>
        <v>-141.48153155016325</v>
      </c>
      <c r="AT65" s="72">
        <f t="shared" si="247"/>
        <v>3.2350864821501804E-2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3.226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3.1259999999999999</v>
      </c>
      <c r="II65" s="734" cm="1">
        <f t="array" ref="II65">IFERROR(ROUND(VALUE(IF($IH65&lt;1,$IH65+LARGE((IF($M$9:$M$150="",0,$M$9:$M$150)-MOD(IF($M$9:$M$150="",0,$M$9:$M$150),1)),1),$IH65)),4),"")</f>
        <v>3.1259999999999999</v>
      </c>
      <c r="IJ65" s="533">
        <f t="shared" si="112"/>
        <v>1613</v>
      </c>
      <c r="IK65" s="533" t="str">
        <f t="shared" si="382"/>
        <v>Inactive</v>
      </c>
      <c r="IL65" s="727">
        <f t="shared" si="225"/>
        <v>16.26449765169707</v>
      </c>
      <c r="IM65" s="759">
        <v>6.1381813146054801E-3</v>
      </c>
      <c r="IN65" s="5">
        <f t="shared" si="226"/>
        <v>0.1</v>
      </c>
      <c r="IO65" s="771">
        <v>50</v>
      </c>
      <c r="IP65" s="9">
        <f t="shared" si="227"/>
        <v>-4.5509137255557972</v>
      </c>
      <c r="IQ65" s="5">
        <f t="shared" si="228"/>
        <v>-9.2000277472836775E-2</v>
      </c>
      <c r="IR65" s="5">
        <f t="shared" si="383"/>
        <v>0.314</v>
      </c>
      <c r="IS65" s="5">
        <f t="shared" si="229"/>
        <v>0.29482825200758978</v>
      </c>
      <c r="IT65" s="727">
        <f t="shared" si="230"/>
        <v>0.66302280891791565</v>
      </c>
      <c r="IU65" s="9">
        <f t="shared" si="231"/>
        <v>-4.5469137134917617</v>
      </c>
      <c r="IV65" s="5">
        <f t="shared" si="232"/>
        <v>-6.5900198755000458E-2</v>
      </c>
      <c r="IW65" s="5">
        <f t="shared" si="384"/>
        <v>0.26250000000000001</v>
      </c>
      <c r="IX65" s="5">
        <f t="shared" si="233"/>
        <v>0.26250000000000001</v>
      </c>
      <c r="IY65" s="762">
        <f t="shared" si="234"/>
        <v>-4.903896815266951E-15</v>
      </c>
    </row>
    <row r="66" spans="1:259" ht="15" customHeight="1" x14ac:dyDescent="0.25">
      <c r="A66" s="79"/>
      <c r="B66" s="707">
        <v>3.3443236988904936</v>
      </c>
      <c r="C66" s="708">
        <v>-4.1442116437527758</v>
      </c>
      <c r="D66" s="709">
        <v>-2.0900063034589734E-2</v>
      </c>
      <c r="E66" s="710">
        <v>3.3961922183580726E-2</v>
      </c>
      <c r="F66" s="708">
        <v>-4.2084498474118368E-2</v>
      </c>
      <c r="G66" s="711">
        <v>0.99853667074864028</v>
      </c>
      <c r="H66" s="710">
        <v>0.26250000000000001</v>
      </c>
      <c r="I66" s="708">
        <v>0.40699999999999997</v>
      </c>
      <c r="J66" s="570">
        <v>3.2320000000000002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320"/>
      <c r="M66" s="168">
        <f t="shared" si="239"/>
        <v>3.2320000000000002</v>
      </c>
      <c r="N66" s="632">
        <f t="shared" si="240"/>
        <v>3.3443236988904936</v>
      </c>
      <c r="O66" s="629">
        <f t="shared" si="241"/>
        <v>-4.1442116437527758</v>
      </c>
      <c r="P66" s="633">
        <f t="shared" si="242"/>
        <v>-2.0900063034589734E-2</v>
      </c>
      <c r="Q66" s="585">
        <f t="shared" si="113"/>
        <v>308.90306839430735</v>
      </c>
      <c r="R66" s="629">
        <f t="shared" si="79"/>
        <v>5.3253160611532415</v>
      </c>
      <c r="S66" s="634">
        <f t="shared" si="80"/>
        <v>-2.0900063034589734E-2</v>
      </c>
      <c r="T66" s="635">
        <f t="shared" si="81"/>
        <v>-4.1442116437527767</v>
      </c>
      <c r="U66" s="629">
        <f t="shared" si="82"/>
        <v>-3.3443236988904919</v>
      </c>
      <c r="V66" s="636">
        <f t="shared" si="114"/>
        <v>-2.0900063034589734E-2</v>
      </c>
      <c r="W66" s="585">
        <f t="shared" si="224"/>
        <v>218.90306839430735</v>
      </c>
      <c r="X66" s="629">
        <f t="shared" si="83"/>
        <v>5.3253160611532415</v>
      </c>
      <c r="Y66" s="630">
        <f t="shared" si="223"/>
        <v>-2.0900063034589734E-2</v>
      </c>
      <c r="Z66" s="632">
        <f t="shared" si="243"/>
        <v>-3.3961922183580726E-2</v>
      </c>
      <c r="AA66" s="629">
        <f t="shared" si="244"/>
        <v>4.2084498474118368E-2</v>
      </c>
      <c r="AB66" s="629">
        <f t="shared" si="245"/>
        <v>-0.99853667074864028</v>
      </c>
      <c r="AC66" s="636">
        <f t="shared" si="84"/>
        <v>1</v>
      </c>
      <c r="AD66" s="637">
        <f t="shared" si="115"/>
        <v>-3.3961922183580726E-2</v>
      </c>
      <c r="AE66" s="629">
        <f t="shared" si="85"/>
        <v>4.2084498474118368E-2</v>
      </c>
      <c r="AF66" s="633">
        <f t="shared" si="86"/>
        <v>-0.99853667074864028</v>
      </c>
      <c r="AG66" s="602">
        <f t="shared" si="87"/>
        <v>2.4133695100212296</v>
      </c>
      <c r="AH66" s="603">
        <f t="shared" si="88"/>
        <v>91.946249065500993</v>
      </c>
      <c r="AI66" s="585">
        <f t="shared" si="89"/>
        <v>-3.0999995524425974</v>
      </c>
      <c r="AJ66" s="586">
        <f t="shared" si="90"/>
        <v>-141.09669131949636</v>
      </c>
      <c r="AK66" s="635">
        <f t="shared" si="211"/>
        <v>2.2679489673771425E-7</v>
      </c>
      <c r="AL66" s="629">
        <f t="shared" si="91"/>
        <v>-5.4078805184380949E-2</v>
      </c>
      <c r="AM66" s="634">
        <f t="shared" si="92"/>
        <v>-0.99853667074864028</v>
      </c>
      <c r="AN66" s="581">
        <f t="shared" si="93"/>
        <v>-3.0999995524154413</v>
      </c>
      <c r="AO66" s="582">
        <f t="shared" si="461"/>
        <v>0</v>
      </c>
      <c r="AP66" s="585">
        <f t="shared" si="95"/>
        <v>-89.999759713803712</v>
      </c>
      <c r="AQ66" s="586">
        <f t="shared" si="246"/>
        <v>0.42808430245383811</v>
      </c>
      <c r="AS66" s="52">
        <f t="shared" si="406"/>
        <v>-141.09693160569265</v>
      </c>
      <c r="AT66" s="72">
        <f t="shared" si="247"/>
        <v>7.7083917247141281E-2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3.2320000000000002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3.1320000000000001</v>
      </c>
      <c r="II66" s="734" cm="1">
        <f t="array" ref="II66">IFERROR(ROUND(VALUE(IF($IH66&lt;1,$IH66+LARGE((IF($M$9:$M$150="",0,$M$9:$M$150)-MOD(IF($M$9:$M$150="",0,$M$9:$M$150),1)),1),$IH66)),4),"")</f>
        <v>3.1320000000000001</v>
      </c>
      <c r="IJ66" s="533">
        <f t="shared" si="112"/>
        <v>1613</v>
      </c>
      <c r="IK66" s="533" t="str">
        <f t="shared" si="382"/>
        <v>Inactive</v>
      </c>
      <c r="IL66" s="727">
        <f t="shared" si="225"/>
        <v>15.429897772198387</v>
      </c>
      <c r="IM66" s="759">
        <v>5.2555974212763496E-3</v>
      </c>
      <c r="IN66" s="5">
        <f t="shared" si="226"/>
        <v>0.1</v>
      </c>
      <c r="IO66" s="771">
        <v>50</v>
      </c>
      <c r="IP66" s="9">
        <f t="shared" si="227"/>
        <v>-5.3232160548196212</v>
      </c>
      <c r="IQ66" s="5">
        <f t="shared" si="228"/>
        <v>-4.7600143562032723E-2</v>
      </c>
      <c r="IR66" s="5">
        <f t="shared" si="383"/>
        <v>0.314</v>
      </c>
      <c r="IS66" s="5">
        <f t="shared" si="229"/>
        <v>0.29421857079211006</v>
      </c>
      <c r="IT66" s="727">
        <f t="shared" si="230"/>
        <v>15.602519309251491</v>
      </c>
      <c r="IU66" s="9">
        <f t="shared" si="231"/>
        <v>-5.3253160611532415</v>
      </c>
      <c r="IV66" s="5">
        <f t="shared" si="232"/>
        <v>-2.0900063034589734E-2</v>
      </c>
      <c r="IW66" s="5">
        <f t="shared" si="384"/>
        <v>0.26250000000000001</v>
      </c>
      <c r="IX66" s="5">
        <f t="shared" si="233"/>
        <v>0.26250000000000001</v>
      </c>
      <c r="IY66" s="762">
        <f t="shared" si="234"/>
        <v>3.0999995524154413</v>
      </c>
    </row>
    <row r="67" spans="1:259" ht="15" customHeight="1" x14ac:dyDescent="0.25">
      <c r="A67" s="79"/>
      <c r="B67" s="707">
        <v>3.7925250051928314</v>
      </c>
      <c r="C67" s="708">
        <v>-4.7564184214006628</v>
      </c>
      <c r="D67" s="709">
        <v>-0.154500465973406</v>
      </c>
      <c r="E67" s="710">
        <v>0.13280975687441138</v>
      </c>
      <c r="F67" s="708">
        <v>-0.16656380474979057</v>
      </c>
      <c r="G67" s="711">
        <v>0.97704558103817929</v>
      </c>
      <c r="H67" s="710">
        <v>0.26250000000000001</v>
      </c>
      <c r="I67" s="708">
        <v>0.40699999999999997</v>
      </c>
      <c r="J67" s="570">
        <v>3.238</v>
      </c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Inactive</v>
      </c>
      <c r="L67" s="320"/>
      <c r="M67" s="168">
        <f t="shared" si="239"/>
        <v>3.238</v>
      </c>
      <c r="N67" s="632">
        <f t="shared" si="240"/>
        <v>3.7925250051928314</v>
      </c>
      <c r="O67" s="629">
        <f t="shared" si="241"/>
        <v>-4.7564184214006628</v>
      </c>
      <c r="P67" s="633">
        <f t="shared" si="242"/>
        <v>-0.154500465973406</v>
      </c>
      <c r="Q67" s="585">
        <f t="shared" si="113"/>
        <v>308.56706844281973</v>
      </c>
      <c r="R67" s="629">
        <f>IF(M67="","",SQRT(N67^2+O67^2))</f>
        <v>6.0833183472881363</v>
      </c>
      <c r="S67" s="634">
        <f>IF(M67="","",P67)</f>
        <v>-0.154500465973406</v>
      </c>
      <c r="T67" s="635">
        <f>IF(M67="","",X67*COS(RADIANS(W67)))</f>
        <v>-4.7564184214006646</v>
      </c>
      <c r="U67" s="629">
        <f>IF(M67="","",X67*SIN(RADIANS(W67)))</f>
        <v>-3.7925250051928288</v>
      </c>
      <c r="V67" s="636">
        <f>IF(M67="","",Y67)</f>
        <v>-0.154500465973406</v>
      </c>
      <c r="W67" s="585">
        <f t="shared" si="224"/>
        <v>218.56706844281973</v>
      </c>
      <c r="X67" s="629">
        <f>IF(M67="","",R67)</f>
        <v>6.0833183472881363</v>
      </c>
      <c r="Y67" s="630">
        <f t="shared" si="223"/>
        <v>-0.154500465973406</v>
      </c>
      <c r="Z67" s="632">
        <f t="shared" si="243"/>
        <v>-0.13280975687441138</v>
      </c>
      <c r="AA67" s="629">
        <f t="shared" si="244"/>
        <v>0.16656380474979057</v>
      </c>
      <c r="AB67" s="629">
        <f t="shared" si="245"/>
        <v>-0.97704558103817929</v>
      </c>
      <c r="AC67" s="636">
        <f>IF(M67="","",SQRT(Z67^2+AA67^2+AB67^2))</f>
        <v>1</v>
      </c>
      <c r="AD67" s="637">
        <f>IF(M67="","",Z67*(1/SQRT(Z67^2+AA67^2+AB67^2)))</f>
        <v>-0.13280975687441138</v>
      </c>
      <c r="AE67" s="629">
        <f>IF(M67="","",AA67*(1/SQRT(Z67^2+AA67^2+AB67^2)))</f>
        <v>0.16656380474979057</v>
      </c>
      <c r="AF67" s="633">
        <f>IF(M67="","",AB67*(1/SQRT(Z67^2+AA67^2+AB67^2)))</f>
        <v>-0.97704558103817929</v>
      </c>
      <c r="AG67" s="602">
        <f>IF(M67="","",DEGREES(ATAN2(-AF67,AE67)))</f>
        <v>9.6746059515418406</v>
      </c>
      <c r="AH67" s="603">
        <f>IF(M67="","",DEGREES(ACOS(AD67)))</f>
        <v>97.631987749387818</v>
      </c>
      <c r="AI67" s="585">
        <f>IF(M67="","",DEGREES(-ACOS(-AF67)))</f>
        <v>-12.299998224106734</v>
      </c>
      <c r="AJ67" s="586">
        <f>IF(M67="","",DEGREES(ATAN2(-AE67,AD67)))</f>
        <v>-141.43287055934576</v>
      </c>
      <c r="AK67" s="635">
        <f>IF(M67="","",(COS(RADIANS((90-$Q$8)-W67))*AD67)+(-SIN(RADIANS((90-$Q$8)-W67))*AE67))</f>
        <v>2.2679489684873655E-7</v>
      </c>
      <c r="AL67" s="629">
        <f>IF(M67="","",(SIN(RADIANS((90-$Q$8)-W67))*AD67)+(COS(RADIANS((90-$Q$8)-W67))*AE67))</f>
        <v>-0.21303035599114784</v>
      </c>
      <c r="AM67" s="634">
        <f>IF(M67="","",AF67)</f>
        <v>-0.97704558103817929</v>
      </c>
      <c r="AN67" s="581">
        <f>IF(M67="","",DEGREES(ATAN2(-AM67,AL67)))</f>
        <v>-12.299998224099982</v>
      </c>
      <c r="AO67" s="582">
        <f t="shared" si="461"/>
        <v>0</v>
      </c>
      <c r="AP67" s="585">
        <f>IF(M67="","",DEGREES(ATAN2(AK67,AL67)))</f>
        <v>-89.999939002165476</v>
      </c>
      <c r="AQ67" s="586">
        <f t="shared" si="246"/>
        <v>0.37474516273184405</v>
      </c>
      <c r="AS67" s="52">
        <f t="shared" si="406"/>
        <v>-141.43293155718027</v>
      </c>
      <c r="AT67" s="72">
        <f t="shared" si="247"/>
        <v>-5.6283152392030814E-2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3.238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3.1379999999999999</v>
      </c>
      <c r="II67" s="734" cm="1">
        <f t="array" ref="II67">IFERROR(ROUND(VALUE(IF($IH67&lt;1,$IH67+LARGE((IF($M$9:$M$150="",0,$M$9:$M$150)-MOD(IF($M$9:$M$150="",0,$M$9:$M$150),1)),1),$IH67)),4),"")</f>
        <v>3.1379999999999999</v>
      </c>
      <c r="IJ67" s="533">
        <f t="shared" si="112"/>
        <v>1613</v>
      </c>
      <c r="IK67" s="533" t="str">
        <f t="shared" si="382"/>
        <v>Inactive</v>
      </c>
      <c r="IL67" s="727">
        <f t="shared" si="225"/>
        <v>15.194897806128211</v>
      </c>
      <c r="IM67" s="759">
        <v>3.9424433869785303E-3</v>
      </c>
      <c r="IN67" s="5">
        <f t="shared" si="226"/>
        <v>0.06</v>
      </c>
      <c r="IO67" s="771">
        <v>30</v>
      </c>
      <c r="IP67" s="9">
        <f t="shared" si="227"/>
        <v>-6.0751183225568601</v>
      </c>
      <c r="IQ67" s="5">
        <f t="shared" si="228"/>
        <v>-0.18050054438964203</v>
      </c>
      <c r="IR67" s="5">
        <f t="shared" si="383"/>
        <v>0.314</v>
      </c>
      <c r="IS67" s="5">
        <f t="shared" si="229"/>
        <v>0.29327592632890387</v>
      </c>
      <c r="IT67" s="727">
        <f t="shared" si="230"/>
        <v>30.216407054120541</v>
      </c>
      <c r="IU67" s="9">
        <f t="shared" si="231"/>
        <v>-6.0833183472881363</v>
      </c>
      <c r="IV67" s="5">
        <f t="shared" si="232"/>
        <v>-0.154500465973406</v>
      </c>
      <c r="IW67" s="5">
        <f t="shared" si="384"/>
        <v>0.26250000000000001</v>
      </c>
      <c r="IX67" s="5">
        <f t="shared" si="233"/>
        <v>0.26250000000000001</v>
      </c>
      <c r="IY67" s="762">
        <f t="shared" si="234"/>
        <v>12.299998224099982</v>
      </c>
    </row>
    <row r="68" spans="1:259" ht="15" customHeight="1" x14ac:dyDescent="0.25">
      <c r="A68" s="79"/>
      <c r="B68" s="707">
        <v>4.1532708586776339</v>
      </c>
      <c r="C68" s="708">
        <v>-5.3687512865913289</v>
      </c>
      <c r="D68" s="709">
        <v>-0.45170136233130759</v>
      </c>
      <c r="E68" s="710">
        <v>0.22226633611167654</v>
      </c>
      <c r="F68" s="708">
        <v>-0.28731358467795054</v>
      </c>
      <c r="G68" s="711">
        <v>0.93169124708295792</v>
      </c>
      <c r="H68" s="710">
        <v>0.26250000000000001</v>
      </c>
      <c r="I68" s="708">
        <v>0.40699999999999997</v>
      </c>
      <c r="J68" s="570">
        <v>3.2440000000000002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3.2440000000000002</v>
      </c>
      <c r="N68" s="632">
        <f t="shared" si="240"/>
        <v>4.1532708586776339</v>
      </c>
      <c r="O68" s="629">
        <f t="shared" si="241"/>
        <v>-5.3687512865913289</v>
      </c>
      <c r="P68" s="633">
        <f t="shared" si="242"/>
        <v>-0.45170136233130759</v>
      </c>
      <c r="Q68" s="585">
        <f t="shared" si="113"/>
        <v>307.72556856431731</v>
      </c>
      <c r="R68" s="629">
        <f>IF(M68="","",SQRT(N68^2+O68^2))</f>
        <v>6.7877204717649429</v>
      </c>
      <c r="S68" s="634">
        <f>IF(M68="","",P68)</f>
        <v>-0.45170136233130759</v>
      </c>
      <c r="T68" s="635">
        <f>IF(M68="","",X68*COS(RADIANS(W68)))</f>
        <v>-5.3687512865913281</v>
      </c>
      <c r="U68" s="629">
        <f>IF(M68="","",X68*SIN(RADIANS(W68)))</f>
        <v>-4.1532708586776357</v>
      </c>
      <c r="V68" s="636">
        <f>IF(M68="","",Y68)</f>
        <v>-0.45170136233130759</v>
      </c>
      <c r="W68" s="585">
        <f t="shared" si="224"/>
        <v>217.72556856431731</v>
      </c>
      <c r="X68" s="629">
        <f>IF(M68="","",R68)</f>
        <v>6.7877204717649429</v>
      </c>
      <c r="Y68" s="630">
        <f t="shared" si="223"/>
        <v>-0.45170136233130759</v>
      </c>
      <c r="Z68" s="632">
        <f t="shared" si="243"/>
        <v>-0.22226633611167654</v>
      </c>
      <c r="AA68" s="629">
        <f t="shared" si="244"/>
        <v>0.28731358467795054</v>
      </c>
      <c r="AB68" s="629">
        <f t="shared" si="245"/>
        <v>-0.93169124708295792</v>
      </c>
      <c r="AC68" s="636">
        <f>IF(M68="","",SQRT(Z68^2+AA68^2+AB68^2))</f>
        <v>1</v>
      </c>
      <c r="AD68" s="637">
        <f>IF(M68="","",Z68*(1/SQRT(Z68^2+AA68^2+AB68^2)))</f>
        <v>-0.22226633611167654</v>
      </c>
      <c r="AE68" s="629">
        <f>IF(M68="","",AA68*(1/SQRT(Z68^2+AA68^2+AB68^2)))</f>
        <v>0.28731358467795054</v>
      </c>
      <c r="AF68" s="633">
        <f>IF(M68="","",AB68*(1/SQRT(Z68^2+AA68^2+AB68^2)))</f>
        <v>-0.93169124708295792</v>
      </c>
      <c r="AG68" s="602">
        <f>IF(M68="","",DEGREES(ATAN2(-AF68,AE68)))</f>
        <v>17.138639655685211</v>
      </c>
      <c r="AH68" s="603">
        <f>IF(M68="","",DEGREES(ACOS(AD68)))</f>
        <v>102.84218077918617</v>
      </c>
      <c r="AI68" s="585">
        <f>IF(M68="","",DEGREES(-ACOS(-AF68)))</f>
        <v>-21.299996924664718</v>
      </c>
      <c r="AJ68" s="586">
        <f>IF(M68="","",DEGREES(ATAN2(-AE68,AD68)))</f>
        <v>-142.27439566321701</v>
      </c>
      <c r="AK68" s="635">
        <f>IF(M68="","",(COS(RADIANS((90-$Q$8)-W68))*AD68)+(-SIN(RADIANS((90-$Q$8)-W68))*AE68))</f>
        <v>2.2679489664056973E-7</v>
      </c>
      <c r="AL68" s="629">
        <f>IF(M68="","",(SIN(RADIANS((90-$Q$8)-W68))*AD68)+(COS(RADIANS((90-$Q$8)-W68))*AE68))</f>
        <v>-0.3632511804646355</v>
      </c>
      <c r="AM68" s="634">
        <f>IF(M68="","",AF68)</f>
        <v>-0.93169124708295792</v>
      </c>
      <c r="AN68" s="581">
        <f>IF(M68="","",DEGREES(ATAN2(-AM68,AL68)))</f>
        <v>-21.299996924660945</v>
      </c>
      <c r="AO68" s="582">
        <f t="shared" si="461"/>
        <v>0</v>
      </c>
      <c r="AP68" s="585">
        <f>IF(M68="","",DEGREES(ATAN2(AK68,AL68)))</f>
        <v>-89.999964227534306</v>
      </c>
      <c r="AQ68" s="586">
        <f t="shared" si="246"/>
        <v>0.33585657075137931</v>
      </c>
      <c r="AS68" s="52">
        <f t="shared" si="406"/>
        <v>-142.27443143568269</v>
      </c>
      <c r="AT68" s="72">
        <f t="shared" si="247"/>
        <v>-0.3528996738343057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3.2440000000000002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3.1440000000000001</v>
      </c>
      <c r="II68" s="734" cm="1">
        <f t="array" ref="II68">IFERROR(ROUND(VALUE(IF($IH68&lt;1,$IH68+LARGE((IF($M$9:$M$150="",0,$M$9:$M$150)-MOD(IF($M$9:$M$150="",0,$M$9:$M$150),1)),1),$IH68)),4),"")</f>
        <v>3.1440000000000001</v>
      </c>
      <c r="IJ68" s="533">
        <f t="shared" si="112"/>
        <v>1613</v>
      </c>
      <c r="IK68" s="533" t="str">
        <f t="shared" si="382"/>
        <v>Inactive</v>
      </c>
      <c r="IL68" s="727">
        <f t="shared" si="225"/>
        <v>15.404397775880113</v>
      </c>
      <c r="IM68" s="759">
        <v>1.9093423391551201E-3</v>
      </c>
      <c r="IN68" s="5">
        <f t="shared" si="226"/>
        <v>0.02</v>
      </c>
      <c r="IO68" s="771">
        <v>10</v>
      </c>
      <c r="IP68" s="9">
        <f t="shared" si="227"/>
        <v>-6.7751204337632283</v>
      </c>
      <c r="IQ68" s="5">
        <f t="shared" si="228"/>
        <v>-0.47220142415949462</v>
      </c>
      <c r="IR68" s="5">
        <f t="shared" si="383"/>
        <v>0.314</v>
      </c>
      <c r="IS68" s="5">
        <f t="shared" si="229"/>
        <v>0.28815995140361678</v>
      </c>
      <c r="IT68" s="727">
        <f t="shared" si="230"/>
        <v>42.338161561500385</v>
      </c>
      <c r="IU68" s="9">
        <f t="shared" si="231"/>
        <v>-6.7877204717649429</v>
      </c>
      <c r="IV68" s="5">
        <f t="shared" si="232"/>
        <v>-0.45170136233130759</v>
      </c>
      <c r="IW68" s="5">
        <f t="shared" si="384"/>
        <v>0.26250000000000001</v>
      </c>
      <c r="IX68" s="5">
        <f t="shared" si="233"/>
        <v>0.26250000000000001</v>
      </c>
      <c r="IY68" s="762">
        <f t="shared" si="234"/>
        <v>21.299996924660945</v>
      </c>
    </row>
    <row r="69" spans="1:259" ht="15" customHeight="1" x14ac:dyDescent="0.25">
      <c r="A69" s="79"/>
      <c r="B69" s="707">
        <v>4.4456041905160255</v>
      </c>
      <c r="C69" s="708">
        <v>-5.9208234268784983</v>
      </c>
      <c r="D69" s="709">
        <v>-0.91100274758428734</v>
      </c>
      <c r="E69" s="710">
        <v>0.30383847737963221</v>
      </c>
      <c r="F69" s="708">
        <v>-0.40466317255588191</v>
      </c>
      <c r="G69" s="711">
        <v>0.8625137079725953</v>
      </c>
      <c r="H69" s="710">
        <v>0.26250000000000001</v>
      </c>
      <c r="I69" s="708">
        <v>0.40699999999999997</v>
      </c>
      <c r="J69" s="570">
        <v>3.25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320"/>
      <c r="M69" s="168">
        <f t="shared" si="239"/>
        <v>3.25</v>
      </c>
      <c r="N69" s="632">
        <f t="shared" si="240"/>
        <v>4.4456041905160255</v>
      </c>
      <c r="O69" s="629">
        <f t="shared" si="241"/>
        <v>-5.9208234268784983</v>
      </c>
      <c r="P69" s="633">
        <f t="shared" si="242"/>
        <v>-0.91100274758428734</v>
      </c>
      <c r="Q69" s="585">
        <f t="shared" si="113"/>
        <v>306.90076868340367</v>
      </c>
      <c r="R69" s="629">
        <f t="shared" si="79"/>
        <v>7.4040223305313502</v>
      </c>
      <c r="S69" s="634">
        <f t="shared" si="80"/>
        <v>-0.91100274758428734</v>
      </c>
      <c r="T69" s="635">
        <f t="shared" si="81"/>
        <v>-5.9208234268784983</v>
      </c>
      <c r="U69" s="629">
        <f t="shared" si="82"/>
        <v>-4.4456041905160255</v>
      </c>
      <c r="V69" s="636">
        <f t="shared" si="114"/>
        <v>-0.91100274758428734</v>
      </c>
      <c r="W69" s="585">
        <f t="shared" si="224"/>
        <v>216.90076868340367</v>
      </c>
      <c r="X69" s="629">
        <f t="shared" si="83"/>
        <v>7.4040223305313502</v>
      </c>
      <c r="Y69" s="630">
        <f t="shared" si="223"/>
        <v>-0.91100274758428734</v>
      </c>
      <c r="Z69" s="632">
        <f t="shared" si="243"/>
        <v>-0.30383847737963221</v>
      </c>
      <c r="AA69" s="629">
        <f t="shared" si="244"/>
        <v>0.40466317255588191</v>
      </c>
      <c r="AB69" s="629">
        <f t="shared" si="245"/>
        <v>-0.8625137079725953</v>
      </c>
      <c r="AC69" s="636">
        <f t="shared" si="84"/>
        <v>1</v>
      </c>
      <c r="AD69" s="637">
        <f t="shared" si="115"/>
        <v>-0.30383847737963221</v>
      </c>
      <c r="AE69" s="629">
        <f t="shared" si="85"/>
        <v>0.40466317255588191</v>
      </c>
      <c r="AF69" s="633">
        <f t="shared" si="86"/>
        <v>-0.8625137079725953</v>
      </c>
      <c r="AG69" s="602">
        <f t="shared" si="87"/>
        <v>25.13443111420106</v>
      </c>
      <c r="AH69" s="603">
        <f t="shared" si="88"/>
        <v>107.68829757170681</v>
      </c>
      <c r="AI69" s="585">
        <f t="shared" si="89"/>
        <v>-30.39999561078616</v>
      </c>
      <c r="AJ69" s="586">
        <f t="shared" si="90"/>
        <v>-143.09920563769302</v>
      </c>
      <c r="AK69" s="635">
        <f t="shared" si="211"/>
        <v>2.2679489689036991E-7</v>
      </c>
      <c r="AL69" s="629">
        <f t="shared" si="91"/>
        <v>-0.50603369804718867</v>
      </c>
      <c r="AM69" s="634">
        <f t="shared" si="92"/>
        <v>-0.8625137079725953</v>
      </c>
      <c r="AN69" s="581">
        <f t="shared" si="93"/>
        <v>-30.39999561078367</v>
      </c>
      <c r="AO69" s="582">
        <f t="shared" si="461"/>
        <v>0</v>
      </c>
      <c r="AP69" s="585">
        <f t="shared" si="95"/>
        <v>-89.999974321096687</v>
      </c>
      <c r="AQ69" s="586">
        <f t="shared" si="246"/>
        <v>0.30790083889777387</v>
      </c>
      <c r="AS69" s="52">
        <f t="shared" si="406"/>
        <v>-143.09923131659633</v>
      </c>
      <c r="AT69" s="72">
        <f t="shared" si="247"/>
        <v>-0.81162828139220655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3.25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3.15</v>
      </c>
      <c r="II69" s="734" cm="1">
        <f t="array" ref="II69">IFERROR(ROUND(VALUE(IF($IH69&lt;1,$IH69+LARGE((IF($M$9:$M$150="",0,$M$9:$M$150)-MOD(IF($M$9:$M$150="",0,$M$9:$M$150),1)),1),$IH69)),4),"")</f>
        <v>3.15</v>
      </c>
      <c r="IJ69" s="533">
        <f t="shared" si="112"/>
        <v>1613</v>
      </c>
      <c r="IK69" s="533" t="str">
        <f t="shared" si="382"/>
        <v>Inactive</v>
      </c>
      <c r="IL69" s="727">
        <f t="shared" si="225"/>
        <v>15.631197743134294</v>
      </c>
      <c r="IM69" s="759">
        <v>7.2040426479910599E-5</v>
      </c>
      <c r="IN69" s="5">
        <f t="shared" si="226"/>
        <v>0</v>
      </c>
      <c r="IO69" s="771">
        <v>0</v>
      </c>
      <c r="IP69" s="9">
        <f t="shared" si="227"/>
        <v>-7.3909222910216297</v>
      </c>
      <c r="IQ69" s="5">
        <f t="shared" si="228"/>
        <v>-0.92120277834758046</v>
      </c>
      <c r="IR69" s="5">
        <f t="shared" si="383"/>
        <v>0.314</v>
      </c>
      <c r="IS69" s="5">
        <f t="shared" si="229"/>
        <v>0.27806784193566086</v>
      </c>
      <c r="IT69" s="727">
        <f t="shared" si="230"/>
        <v>51.991131797701499</v>
      </c>
      <c r="IU69" s="9">
        <f t="shared" si="231"/>
        <v>-7.4040223305313502</v>
      </c>
      <c r="IV69" s="5">
        <f t="shared" si="232"/>
        <v>-0.91100274758428734</v>
      </c>
      <c r="IW69" s="5">
        <f t="shared" si="384"/>
        <v>0.26250000000000001</v>
      </c>
      <c r="IX69" s="5">
        <f t="shared" si="233"/>
        <v>0.26250000000000001</v>
      </c>
      <c r="IY69" s="762">
        <f t="shared" si="234"/>
        <v>30.39999561078367</v>
      </c>
    </row>
    <row r="70" spans="1:259" ht="15" customHeight="1" x14ac:dyDescent="0.25">
      <c r="A70" s="79"/>
      <c r="B70" s="707">
        <v>4.7012893829740792</v>
      </c>
      <c r="C70" s="708">
        <v>-6.3497492196995839</v>
      </c>
      <c r="D70" s="709">
        <v>-1.4912044974727656</v>
      </c>
      <c r="E70" s="710">
        <v>0.37849555656138117</v>
      </c>
      <c r="F70" s="708">
        <v>-0.51121083543493007</v>
      </c>
      <c r="G70" s="711">
        <v>0.77162464670149777</v>
      </c>
      <c r="H70" s="710">
        <v>0.26250000000000001</v>
      </c>
      <c r="I70" s="708">
        <v>0.40699999999999997</v>
      </c>
      <c r="J70" s="570">
        <v>3.2559999999999998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Inactive</v>
      </c>
      <c r="L70" s="320"/>
      <c r="M70" s="168">
        <f t="shared" si="239"/>
        <v>3.2559999999999998</v>
      </c>
      <c r="N70" s="632">
        <f t="shared" si="240"/>
        <v>4.7012893829740792</v>
      </c>
      <c r="O70" s="629">
        <f t="shared" si="241"/>
        <v>-6.3497492196995839</v>
      </c>
      <c r="P70" s="633">
        <f t="shared" si="242"/>
        <v>-1.4912044974727656</v>
      </c>
      <c r="Q70" s="585">
        <f t="shared" si="113"/>
        <v>306.51586873897634</v>
      </c>
      <c r="R70" s="629">
        <f t="shared" si="79"/>
        <v>7.9007238285830663</v>
      </c>
      <c r="S70" s="634">
        <f t="shared" si="80"/>
        <v>-1.4912044974727656</v>
      </c>
      <c r="T70" s="635">
        <f t="shared" si="81"/>
        <v>-6.3497492196995839</v>
      </c>
      <c r="U70" s="629">
        <f t="shared" si="82"/>
        <v>-4.7012893829740792</v>
      </c>
      <c r="V70" s="636">
        <f t="shared" si="114"/>
        <v>-1.4912044974727656</v>
      </c>
      <c r="W70" s="585">
        <f t="shared" si="224"/>
        <v>216.51586873897634</v>
      </c>
      <c r="X70" s="629">
        <f t="shared" si="83"/>
        <v>7.9007238285830663</v>
      </c>
      <c r="Y70" s="630">
        <f t="shared" si="223"/>
        <v>-1.4912044974727656</v>
      </c>
      <c r="Z70" s="632">
        <f t="shared" si="243"/>
        <v>-0.37849555656138117</v>
      </c>
      <c r="AA70" s="629">
        <f t="shared" si="244"/>
        <v>0.51121083543493007</v>
      </c>
      <c r="AB70" s="629">
        <f t="shared" si="245"/>
        <v>-0.77162464670149777</v>
      </c>
      <c r="AC70" s="636">
        <f t="shared" si="84"/>
        <v>1</v>
      </c>
      <c r="AD70" s="637">
        <f t="shared" si="115"/>
        <v>-0.37849555656138117</v>
      </c>
      <c r="AE70" s="629">
        <f t="shared" si="85"/>
        <v>0.51121083543493007</v>
      </c>
      <c r="AF70" s="633">
        <f t="shared" si="86"/>
        <v>-0.77162464670149777</v>
      </c>
      <c r="AG70" s="602">
        <f t="shared" si="87"/>
        <v>33.524963845536945</v>
      </c>
      <c r="AH70" s="603">
        <f t="shared" si="88"/>
        <v>112.24052506001267</v>
      </c>
      <c r="AI70" s="585">
        <f t="shared" si="89"/>
        <v>-39.499994296908213</v>
      </c>
      <c r="AJ70" s="586">
        <f t="shared" si="90"/>
        <v>-143.48411083210226</v>
      </c>
      <c r="AK70" s="635">
        <f t="shared" si="211"/>
        <v>2.2679489664056973E-7</v>
      </c>
      <c r="AL70" s="629">
        <f t="shared" si="91"/>
        <v>-0.63607814347196168</v>
      </c>
      <c r="AM70" s="634">
        <f t="shared" si="92"/>
        <v>-0.77162464670149777</v>
      </c>
      <c r="AN70" s="581">
        <f t="shared" si="93"/>
        <v>-39.499994296906436</v>
      </c>
      <c r="AO70" s="582">
        <f t="shared" si="461"/>
        <v>0</v>
      </c>
      <c r="AP70" s="585">
        <f t="shared" si="95"/>
        <v>-89.999979571078612</v>
      </c>
      <c r="AQ70" s="586">
        <f t="shared" si="246"/>
        <v>0.28854411428171112</v>
      </c>
      <c r="AS70" s="52">
        <f t="shared" si="406"/>
        <v>-143.48413126102366</v>
      </c>
      <c r="AT70" s="72">
        <f t="shared" si="247"/>
        <v>-1.3915627396526102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3.2559999999999998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3.1560000000000001</v>
      </c>
      <c r="II70" s="734" cm="1">
        <f t="array" ref="II70">IFERROR(ROUND(VALUE(IF($IH70&lt;1,$IH70+LARGE((IF($M$9:$M$150="",0,$M$9:$M$150)-MOD(IF($M$9:$M$150="",0,$M$9:$M$150),1)),1),$IH70)),4),"")</f>
        <v>3.1560000000000001</v>
      </c>
      <c r="IJ70" s="533">
        <f t="shared" si="112"/>
        <v>1613</v>
      </c>
      <c r="IK70" s="533" t="str">
        <f t="shared" si="382"/>
        <v>Inactive</v>
      </c>
      <c r="IL70" s="727">
        <f t="shared" si="225"/>
        <v>15.505097761340835</v>
      </c>
      <c r="IM70" s="759">
        <v>9.8568916208003205E-5</v>
      </c>
      <c r="IN70" s="5">
        <f t="shared" si="226"/>
        <v>0</v>
      </c>
      <c r="IO70" s="771">
        <v>0</v>
      </c>
      <c r="IP70" s="9">
        <f t="shared" si="227"/>
        <v>-7.8890237932957614</v>
      </c>
      <c r="IQ70" s="5">
        <f t="shared" si="228"/>
        <v>-1.4934045041079853</v>
      </c>
      <c r="IR70" s="5">
        <f t="shared" si="383"/>
        <v>0.314</v>
      </c>
      <c r="IS70" s="5">
        <f t="shared" si="229"/>
        <v>0.26942447106299727</v>
      </c>
      <c r="IT70" s="727">
        <f t="shared" si="230"/>
        <v>61.668239332177492</v>
      </c>
      <c r="IU70" s="9">
        <f t="shared" si="231"/>
        <v>-7.9007238285830663</v>
      </c>
      <c r="IV70" s="5">
        <f t="shared" si="232"/>
        <v>-1.4912044974727656</v>
      </c>
      <c r="IW70" s="5">
        <f t="shared" si="384"/>
        <v>0.26250000000000001</v>
      </c>
      <c r="IX70" s="5">
        <f t="shared" si="233"/>
        <v>0.26250000000000001</v>
      </c>
      <c r="IY70" s="762">
        <f t="shared" si="234"/>
        <v>39.499994296906436</v>
      </c>
    </row>
    <row r="71" spans="1:259" ht="15" customHeight="1" x14ac:dyDescent="0.25">
      <c r="A71" s="79"/>
      <c r="B71" s="707">
        <v>4.8854907073336156</v>
      </c>
      <c r="C71" s="708">
        <v>-6.6517705178403723</v>
      </c>
      <c r="D71" s="709">
        <v>-2.1698065441365375</v>
      </c>
      <c r="E71" s="710">
        <v>0.44403323847252485</v>
      </c>
      <c r="F71" s="708">
        <v>-0.6045667691911597</v>
      </c>
      <c r="G71" s="711">
        <v>0.6613119571891658</v>
      </c>
      <c r="H71" s="710">
        <v>0.26250000000000001</v>
      </c>
      <c r="I71" s="708">
        <v>0.40699999999999997</v>
      </c>
      <c r="J71" s="570">
        <v>3.262</v>
      </c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Inactive</v>
      </c>
      <c r="L71" s="320"/>
      <c r="M71" s="168">
        <f t="shared" si="239"/>
        <v>3.262</v>
      </c>
      <c r="N71" s="632">
        <f t="shared" si="240"/>
        <v>4.8854907073336156</v>
      </c>
      <c r="O71" s="629">
        <f t="shared" si="241"/>
        <v>-6.6517705178403723</v>
      </c>
      <c r="P71" s="633">
        <f t="shared" si="242"/>
        <v>-2.1698065441365375</v>
      </c>
      <c r="Q71" s="585">
        <f t="shared" si="113"/>
        <v>306.29596877072595</v>
      </c>
      <c r="R71" s="629">
        <f t="shared" si="79"/>
        <v>8.2531248914246707</v>
      </c>
      <c r="S71" s="634">
        <f t="shared" si="80"/>
        <v>-2.1698065441365375</v>
      </c>
      <c r="T71" s="635">
        <f t="shared" si="81"/>
        <v>-6.6517705178403741</v>
      </c>
      <c r="U71" s="629">
        <f t="shared" si="82"/>
        <v>-4.8854907073336129</v>
      </c>
      <c r="V71" s="636">
        <f t="shared" si="114"/>
        <v>-2.1698065441365375</v>
      </c>
      <c r="W71" s="585">
        <f t="shared" si="224"/>
        <v>216.29596877072595</v>
      </c>
      <c r="X71" s="629">
        <f t="shared" si="83"/>
        <v>8.2531248914246707</v>
      </c>
      <c r="Y71" s="630">
        <f t="shared" si="223"/>
        <v>-2.1698065441365375</v>
      </c>
      <c r="Z71" s="632">
        <f t="shared" si="243"/>
        <v>-0.44403323847252485</v>
      </c>
      <c r="AA71" s="629">
        <f t="shared" si="244"/>
        <v>0.6045667691911597</v>
      </c>
      <c r="AB71" s="629">
        <f t="shared" si="245"/>
        <v>-0.6613119571891658</v>
      </c>
      <c r="AC71" s="636">
        <f t="shared" si="84"/>
        <v>1</v>
      </c>
      <c r="AD71" s="637">
        <f t="shared" si="115"/>
        <v>-0.44403323847252485</v>
      </c>
      <c r="AE71" s="629">
        <f t="shared" si="85"/>
        <v>0.6045667691911597</v>
      </c>
      <c r="AF71" s="633">
        <f t="shared" si="86"/>
        <v>-0.6613119571891658</v>
      </c>
      <c r="AG71" s="602">
        <f t="shared" si="87"/>
        <v>42.433336541013546</v>
      </c>
      <c r="AH71" s="603">
        <f t="shared" si="88"/>
        <v>116.36150222009041</v>
      </c>
      <c r="AI71" s="585">
        <f t="shared" si="89"/>
        <v>-48.599992983030468</v>
      </c>
      <c r="AJ71" s="586">
        <f t="shared" si="90"/>
        <v>-143.70401390598377</v>
      </c>
      <c r="AK71" s="635">
        <f t="shared" si="211"/>
        <v>2.2679489691812549E-7</v>
      </c>
      <c r="AL71" s="629">
        <f t="shared" si="91"/>
        <v>-0.75011098864007031</v>
      </c>
      <c r="AM71" s="634">
        <f t="shared" si="92"/>
        <v>-0.6613119571891658</v>
      </c>
      <c r="AN71" s="581">
        <f t="shared" si="93"/>
        <v>-48.599992983029189</v>
      </c>
      <c r="AO71" s="582">
        <f t="shared" si="461"/>
        <v>0</v>
      </c>
      <c r="AP71" s="585">
        <f t="shared" si="95"/>
        <v>-89.999982676709706</v>
      </c>
      <c r="AQ71" s="586">
        <f t="shared" si="246"/>
        <v>0.2762237334322738</v>
      </c>
      <c r="AS71" s="52">
        <f t="shared" si="406"/>
        <v>-143.70403122927405</v>
      </c>
      <c r="AT71" s="72">
        <f t="shared" si="247"/>
        <v>-2.0700120780050972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3.262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3.1619999999999999</v>
      </c>
      <c r="II71" s="734" cm="1">
        <f t="array" ref="II71">IFERROR(ROUND(VALUE(IF($IH71&lt;1,$IH71+LARGE((IF($M$9:$M$150="",0,$M$9:$M$150)-MOD(IF($M$9:$M$150="",0,$M$9:$M$150),1)),1),$IH71)),4),"")</f>
        <v>3.1619999999999999</v>
      </c>
      <c r="IJ71" s="533">
        <f t="shared" si="112"/>
        <v>1613</v>
      </c>
      <c r="IK71" s="533" t="str">
        <f t="shared" si="382"/>
        <v>Inactive</v>
      </c>
      <c r="IL71" s="727">
        <f t="shared" si="225"/>
        <v>15.346997784167684</v>
      </c>
      <c r="IM71" s="759">
        <v>1.62612227184915E-4</v>
      </c>
      <c r="IN71" s="5">
        <f t="shared" si="226"/>
        <v>0</v>
      </c>
      <c r="IO71" s="771">
        <v>0</v>
      </c>
      <c r="IP71" s="9">
        <f t="shared" si="227"/>
        <v>-8.2456248688046045</v>
      </c>
      <c r="IQ71" s="5">
        <f t="shared" si="228"/>
        <v>-2.1646065284532887</v>
      </c>
      <c r="IR71" s="5">
        <f t="shared" si="383"/>
        <v>0.314</v>
      </c>
      <c r="IS71" s="5">
        <f t="shared" si="229"/>
        <v>0.26034180409678193</v>
      </c>
      <c r="IT71" s="727">
        <f t="shared" si="230"/>
        <v>70.676897773316455</v>
      </c>
      <c r="IU71" s="9">
        <f t="shared" si="231"/>
        <v>-8.2531248914246707</v>
      </c>
      <c r="IV71" s="5">
        <f t="shared" si="232"/>
        <v>-2.1698065441365375</v>
      </c>
      <c r="IW71" s="5">
        <f t="shared" si="384"/>
        <v>0.26250000000000001</v>
      </c>
      <c r="IX71" s="5">
        <f t="shared" si="233"/>
        <v>0.26250000000000001</v>
      </c>
      <c r="IY71" s="762">
        <f t="shared" si="234"/>
        <v>48.599992983029189</v>
      </c>
    </row>
    <row r="72" spans="1:259" ht="15" customHeight="1" x14ac:dyDescent="0.25">
      <c r="A72" s="79"/>
      <c r="B72" s="707">
        <v>4.9701570943399771</v>
      </c>
      <c r="C72" s="708">
        <v>-6.8200440789342176</v>
      </c>
      <c r="D72" s="709">
        <v>-2.9116087814120859</v>
      </c>
      <c r="E72" s="710">
        <v>0.4978222975841492</v>
      </c>
      <c r="F72" s="708">
        <v>-0.68311082218334696</v>
      </c>
      <c r="G72" s="711">
        <v>0.53435247229149274</v>
      </c>
      <c r="H72" s="710">
        <v>0.26250000000000001</v>
      </c>
      <c r="I72" s="708">
        <v>0.40699999999999997</v>
      </c>
      <c r="J72" s="570">
        <v>3.2679999999999998</v>
      </c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Inactive</v>
      </c>
      <c r="L72" s="320"/>
      <c r="M72" s="168">
        <f t="shared" si="239"/>
        <v>3.2679999999999998</v>
      </c>
      <c r="N72" s="632">
        <f t="shared" si="240"/>
        <v>4.9701570943399771</v>
      </c>
      <c r="O72" s="629">
        <f t="shared" si="241"/>
        <v>-6.8200440789342176</v>
      </c>
      <c r="P72" s="633">
        <f t="shared" si="242"/>
        <v>-2.9116087814120859</v>
      </c>
      <c r="Q72" s="585">
        <f t="shared" si="113"/>
        <v>306.08296880147935</v>
      </c>
      <c r="R72" s="629">
        <f t="shared" si="79"/>
        <v>8.4389254517991628</v>
      </c>
      <c r="S72" s="634">
        <f t="shared" si="80"/>
        <v>-2.9116087814120859</v>
      </c>
      <c r="T72" s="635">
        <f t="shared" si="81"/>
        <v>-6.8200440789342185</v>
      </c>
      <c r="U72" s="629">
        <f t="shared" si="82"/>
        <v>-4.970157094339978</v>
      </c>
      <c r="V72" s="636">
        <f t="shared" si="114"/>
        <v>-2.9116087814120859</v>
      </c>
      <c r="W72" s="585">
        <f t="shared" si="224"/>
        <v>216.08296880147935</v>
      </c>
      <c r="X72" s="629">
        <f t="shared" si="83"/>
        <v>8.4389254517991628</v>
      </c>
      <c r="Y72" s="630">
        <f t="shared" si="223"/>
        <v>-2.9116087814120859</v>
      </c>
      <c r="Z72" s="632">
        <f t="shared" si="243"/>
        <v>-0.4978222975841492</v>
      </c>
      <c r="AA72" s="629">
        <f t="shared" si="244"/>
        <v>0.68311082218334696</v>
      </c>
      <c r="AB72" s="629">
        <f t="shared" si="245"/>
        <v>-0.53435247229149274</v>
      </c>
      <c r="AC72" s="636">
        <f t="shared" si="84"/>
        <v>1</v>
      </c>
      <c r="AD72" s="637">
        <f t="shared" si="115"/>
        <v>-0.4978222975841492</v>
      </c>
      <c r="AE72" s="629">
        <f t="shared" si="85"/>
        <v>0.68311082218334696</v>
      </c>
      <c r="AF72" s="633">
        <f t="shared" si="86"/>
        <v>-0.53435247229149274</v>
      </c>
      <c r="AG72" s="602">
        <f t="shared" si="87"/>
        <v>51.966275878379207</v>
      </c>
      <c r="AH72" s="603">
        <f t="shared" si="88"/>
        <v>119.85602864961561</v>
      </c>
      <c r="AI72" s="585">
        <f t="shared" si="89"/>
        <v>-57.699991669152894</v>
      </c>
      <c r="AJ72" s="586">
        <f t="shared" si="90"/>
        <v>-143.91701582530598</v>
      </c>
      <c r="AK72" s="635">
        <f t="shared" si="211"/>
        <v>2.2679489691812549E-7</v>
      </c>
      <c r="AL72" s="629">
        <f t="shared" si="91"/>
        <v>-0.84526175552660487</v>
      </c>
      <c r="AM72" s="634">
        <f t="shared" si="92"/>
        <v>-0.53435247229149274</v>
      </c>
      <c r="AN72" s="581">
        <f t="shared" si="93"/>
        <v>-57.699991669151949</v>
      </c>
      <c r="AO72" s="582">
        <f t="shared" si="461"/>
        <v>0</v>
      </c>
      <c r="AP72" s="585">
        <f t="shared" si="95"/>
        <v>-89.999984626785348</v>
      </c>
      <c r="AQ72" s="586">
        <f t="shared" si="246"/>
        <v>0.27014218245808158</v>
      </c>
      <c r="AS72" s="52">
        <f t="shared" si="406"/>
        <v>-143.91703119852065</v>
      </c>
      <c r="AT72" s="72">
        <f t="shared" si="247"/>
        <v>-2.8116663986353356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3.2679999999999998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3.1680000000000001</v>
      </c>
      <c r="II72" s="734" cm="1">
        <f t="array" ref="II72">IFERROR(ROUND(VALUE(IF($IH72&lt;1,$IH72+LARGE((IF($M$9:$M$150="",0,$M$9:$M$150)-MOD(IF($M$9:$M$150="",0,$M$9:$M$150),1)),1),$IH72)),4),"")</f>
        <v>3.1680000000000001</v>
      </c>
      <c r="IJ72" s="533">
        <f t="shared" si="112"/>
        <v>1613</v>
      </c>
      <c r="IK72" s="533" t="str">
        <f t="shared" si="382"/>
        <v>Inactive</v>
      </c>
      <c r="IL72" s="727">
        <f t="shared" si="225"/>
        <v>15.349997783734523</v>
      </c>
      <c r="IM72" s="759">
        <v>4.6718734899275699E-4</v>
      </c>
      <c r="IN72" s="5">
        <f t="shared" si="226"/>
        <v>0</v>
      </c>
      <c r="IO72" s="771">
        <v>0</v>
      </c>
      <c r="IP72" s="9">
        <f t="shared" si="227"/>
        <v>-8.4407254572279786</v>
      </c>
      <c r="IQ72" s="5">
        <f t="shared" si="228"/>
        <v>-2.8986087422039661</v>
      </c>
      <c r="IR72" s="5">
        <f t="shared" si="383"/>
        <v>0.314</v>
      </c>
      <c r="IS72" s="5">
        <f t="shared" si="229"/>
        <v>0.24786207436810598</v>
      </c>
      <c r="IT72" s="727">
        <f t="shared" si="230"/>
        <v>78.603779941129602</v>
      </c>
      <c r="IU72" s="9">
        <f t="shared" si="231"/>
        <v>-8.4389254517991628</v>
      </c>
      <c r="IV72" s="5">
        <f t="shared" si="232"/>
        <v>-2.9116087814120859</v>
      </c>
      <c r="IW72" s="5">
        <f t="shared" si="384"/>
        <v>0.26250000000000001</v>
      </c>
      <c r="IX72" s="5">
        <f t="shared" si="233"/>
        <v>0.26250000000000001</v>
      </c>
      <c r="IY72" s="762">
        <f t="shared" si="234"/>
        <v>57.699991669151949</v>
      </c>
    </row>
    <row r="73" spans="1:259" ht="15" customHeight="1" x14ac:dyDescent="0.25">
      <c r="A73" s="79"/>
      <c r="B73" s="707">
        <v>-0.5104068680416739</v>
      </c>
      <c r="C73" s="708">
        <v>-2.8946539400526095</v>
      </c>
      <c r="D73" s="709">
        <v>-0.51010153846624007</v>
      </c>
      <c r="E73" s="710">
        <v>0.94078811077345315</v>
      </c>
      <c r="F73" s="708">
        <v>-7.5999837449538782E-2</v>
      </c>
      <c r="G73" s="711">
        <v>0.33036609289538277</v>
      </c>
      <c r="H73" s="710">
        <v>0.314</v>
      </c>
      <c r="I73" s="708">
        <v>0.52</v>
      </c>
      <c r="J73" s="570">
        <v>4.1130000000000004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4.1130000000000004</v>
      </c>
      <c r="N73" s="632">
        <f t="shared" ref="N73:N104" si="465">IF(M73="","",B73)</f>
        <v>-0.5104068680416739</v>
      </c>
      <c r="O73" s="629">
        <f t="shared" ref="O73:O104" si="466">IF(M73="","",C73)</f>
        <v>-2.8946539400526095</v>
      </c>
      <c r="P73" s="633">
        <f t="shared" ref="P73:P104" si="467">IF(M73="","",D73)</f>
        <v>-0.51010153846624007</v>
      </c>
      <c r="Q73" s="585">
        <f t="shared" si="113"/>
        <v>259.99997545504038</v>
      </c>
      <c r="R73" s="629">
        <f>IF(M73="","",SQRT(N73^2+O73^2))</f>
        <v>2.939308864955537</v>
      </c>
      <c r="S73" s="634">
        <f>IF(M73="","",P73)</f>
        <v>-0.51010153846624007</v>
      </c>
      <c r="T73" s="635">
        <f>IF(M73="","",X73*COS(RADIANS(W73)))</f>
        <v>-2.8946539400526095</v>
      </c>
      <c r="U73" s="629">
        <f>IF(M73="","",X73*SIN(RADIANS(W73)))</f>
        <v>0.51040686804167279</v>
      </c>
      <c r="V73" s="636">
        <f>IF(M73="","",Y73)</f>
        <v>-0.51010153846624007</v>
      </c>
      <c r="W73" s="585">
        <f t="shared" si="224"/>
        <v>169.99997545504038</v>
      </c>
      <c r="X73" s="629">
        <f>IF(M73="","",R73)</f>
        <v>2.939308864955537</v>
      </c>
      <c r="Y73" s="630">
        <f t="shared" si="223"/>
        <v>-0.51010153846624007</v>
      </c>
      <c r="Z73" s="632">
        <f t="shared" ref="Z73:Z104" si="468">IF(M73="","",-E73)</f>
        <v>-0.94078811077345315</v>
      </c>
      <c r="AA73" s="629">
        <f t="shared" ref="AA73:AA104" si="469">IF(M73="","",-F73)</f>
        <v>7.5999837449538782E-2</v>
      </c>
      <c r="AB73" s="629">
        <f t="shared" ref="AB73:AB104" si="470">IF(M73="","",-G73)</f>
        <v>-0.33036609289538277</v>
      </c>
      <c r="AC73" s="636">
        <f>IF(M73="","",SQRT(Z73^2+AA73^2+AB73^2))</f>
        <v>1</v>
      </c>
      <c r="AD73" s="637">
        <f>IF(M73="","",Z73*(1/SQRT(Z73^2+AA73^2+AB73^2)))</f>
        <v>-0.94078811077345315</v>
      </c>
      <c r="AE73" s="629">
        <f>IF(M73="","",AA73*(1/SQRT(Z73^2+AA73^2+AB73^2)))</f>
        <v>7.5999837449538782E-2</v>
      </c>
      <c r="AF73" s="633">
        <f>IF(M73="","",AB73*(1/SQRT(Z73^2+AA73^2+AB73^2)))</f>
        <v>-0.33036609289538277</v>
      </c>
      <c r="AG73" s="602">
        <f>IF(M73="","",DEGREES(ATAN2(-AF73,AE73)))</f>
        <v>12.955340025110223</v>
      </c>
      <c r="AH73" s="603">
        <f>IF(M73="","",DEGREES(ACOS(AD73)))</f>
        <v>160.18433329380781</v>
      </c>
      <c r="AI73" s="585">
        <f>IF(M73="","",DEGREES(-ACOS(-AF73)))</f>
        <v>-70.709002660911167</v>
      </c>
      <c r="AJ73" s="586">
        <f>IF(M73="","",DEGREES(ATAN2(-AE73,AD73)))</f>
        <v>-94.618504943780053</v>
      </c>
      <c r="AK73" s="635">
        <f>IF(M73="","",(COS(RADIANS((90-$Q$8)-W73))*AD73)+(-SIN(RADIANS((90-$Q$8)-W73))*AE73))</f>
        <v>0.93969262078590843</v>
      </c>
      <c r="AL73" s="629">
        <f>IF(M73="","",(SIN(RADIANS((90-$Q$8)-W73))*AD73)+(COS(RADIANS((90-$Q$8)-W73))*AE73))</f>
        <v>8.8521314413819205E-2</v>
      </c>
      <c r="AM73" s="634">
        <f>IF(M73="","",AF73)</f>
        <v>-0.33036609289538277</v>
      </c>
      <c r="AN73" s="581">
        <f>IF(M73="","",DEGREES(ATAN2(-AM73,AL73)))</f>
        <v>14.999997834268202</v>
      </c>
      <c r="AO73" s="582">
        <f t="shared" si="461"/>
        <v>19.999999999999989</v>
      </c>
      <c r="AP73" s="585">
        <f>IF(M73="","",DEGREES(ATAN2(AK73,AL73)))</f>
        <v>5.3815196011795559</v>
      </c>
      <c r="AQ73" s="586">
        <f t="shared" ref="AQ73:AQ104" si="471">IF(M73="","",DEGREES(ATAN(($AS$5*SIN(RADIANS(90)))/(($X73*2*PI())-($AS$5*COS(RADIANS(90)))))))</f>
        <v>0.77555218019960093</v>
      </c>
      <c r="AS73" s="52">
        <f t="shared" si="406"/>
        <v>-190.00002454495962</v>
      </c>
      <c r="AT73" s="72">
        <f t="shared" ref="AT73:AT104" si="472">IF(M73="","",Y73+(((AS73-$AS$9)*$AS$6)*-1))</f>
        <v>-0.37815707697668477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4.1130000000000004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-0.63923715259926184</v>
      </c>
      <c r="C74" s="708">
        <v>-3.6252849604061059</v>
      </c>
      <c r="D74" s="709">
        <v>-0.31140093918523259</v>
      </c>
      <c r="E74" s="710">
        <v>0.94078811077345315</v>
      </c>
      <c r="F74" s="708">
        <v>-7.5999837449538823E-2</v>
      </c>
      <c r="G74" s="711">
        <v>0.33036609289538277</v>
      </c>
      <c r="H74" s="710">
        <v>0.314</v>
      </c>
      <c r="I74" s="708">
        <v>0.52</v>
      </c>
      <c r="J74" s="570">
        <v>4.1189999999999998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4.1189999999999998</v>
      </c>
      <c r="N74" s="632">
        <f t="shared" si="465"/>
        <v>-0.63923715259926184</v>
      </c>
      <c r="O74" s="629">
        <f t="shared" si="466"/>
        <v>-3.6252849604061059</v>
      </c>
      <c r="P74" s="633">
        <f t="shared" si="467"/>
        <v>-0.31140093918523259</v>
      </c>
      <c r="Q74" s="585">
        <f t="shared" ref="Q74:Q129" si="520">IF(M74="","",IF(DEGREES(ATAN2(N74,O74))&lt;0,DEGREES(ATAN2(N74,O74))+360,IF(DEGREES(ATAN2(N74,O74))&gt;360,DEGREES(ATAN2(N74,O74))-360,DEGREES(ATAN2(N74,O74)))))</f>
        <v>259.99997545504038</v>
      </c>
      <c r="R74" s="629">
        <f>IF(M74="","",SQRT(N74^2+O74^2))</f>
        <v>3.6812111025326861</v>
      </c>
      <c r="S74" s="634">
        <f>IF(M74="","",P74)</f>
        <v>-0.31140093918523259</v>
      </c>
      <c r="T74" s="635">
        <f>IF(M74="","",X74*COS(RADIANS(W74)))</f>
        <v>-3.6252849604061064</v>
      </c>
      <c r="U74" s="629">
        <f>IF(M74="","",X74*SIN(RADIANS(W74)))</f>
        <v>0.63923715259926039</v>
      </c>
      <c r="V74" s="636">
        <f>IF(M74="","",Y74)</f>
        <v>-0.31140093918523259</v>
      </c>
      <c r="W74" s="585">
        <f t="shared" si="224"/>
        <v>169.99997545504038</v>
      </c>
      <c r="X74" s="629">
        <f>IF(M74="","",R74)</f>
        <v>3.6812111025326861</v>
      </c>
      <c r="Y74" s="630">
        <f t="shared" si="223"/>
        <v>-0.31140093918523259</v>
      </c>
      <c r="Z74" s="632">
        <f t="shared" si="468"/>
        <v>-0.94078811077345315</v>
      </c>
      <c r="AA74" s="629">
        <f t="shared" si="469"/>
        <v>7.5999837449538823E-2</v>
      </c>
      <c r="AB74" s="629">
        <f t="shared" si="470"/>
        <v>-0.33036609289538277</v>
      </c>
      <c r="AC74" s="636">
        <f>IF(M74="","",SQRT(Z74^2+AA74^2+AB74^2))</f>
        <v>1</v>
      </c>
      <c r="AD74" s="637">
        <f>IF(M74="","",Z74*(1/SQRT(Z74^2+AA74^2+AB74^2)))</f>
        <v>-0.94078811077345315</v>
      </c>
      <c r="AE74" s="629">
        <f>IF(M74="","",AA74*(1/SQRT(Z74^2+AA74^2+AB74^2)))</f>
        <v>7.5999837449538823E-2</v>
      </c>
      <c r="AF74" s="633">
        <f>IF(M74="","",AB74*(1/SQRT(Z74^2+AA74^2+AB74^2)))</f>
        <v>-0.33036609289538277</v>
      </c>
      <c r="AG74" s="602">
        <f>IF(M74="","",DEGREES(ATAN2(-AF74,AE74)))</f>
        <v>12.955340025110228</v>
      </c>
      <c r="AH74" s="603">
        <f>IF(M74="","",DEGREES(ACOS(AD74)))</f>
        <v>160.18433329380781</v>
      </c>
      <c r="AI74" s="585">
        <f>IF(M74="","",DEGREES(-ACOS(-AF74)))</f>
        <v>-70.709002660911167</v>
      </c>
      <c r="AJ74" s="586">
        <f>IF(M74="","",DEGREES(ATAN2(-AE74,AD74)))</f>
        <v>-94.618504943780053</v>
      </c>
      <c r="AK74" s="635">
        <f>IF(M74="","",(COS(RADIANS((90-$Q$8)-W74))*AD74)+(-SIN(RADIANS((90-$Q$8)-W74))*AE74))</f>
        <v>0.93969262078590854</v>
      </c>
      <c r="AL74" s="629">
        <f>IF(M74="","",(SIN(RADIANS((90-$Q$8)-W74))*AD74)+(COS(RADIANS((90-$Q$8)-W74))*AE74))</f>
        <v>8.8521314413819163E-2</v>
      </c>
      <c r="AM74" s="634">
        <f>IF(M74="","",AF74)</f>
        <v>-0.33036609289538277</v>
      </c>
      <c r="AN74" s="581">
        <f>IF(M74="","",DEGREES(ATAN2(-AM74,AL74)))</f>
        <v>14.999997834268195</v>
      </c>
      <c r="AO74" s="582">
        <f t="shared" si="461"/>
        <v>19.999999999999979</v>
      </c>
      <c r="AP74" s="585">
        <f>IF(M74="","",DEGREES(ATAN2(AK74,AL74)))</f>
        <v>5.3815196011795532</v>
      </c>
      <c r="AQ74" s="586">
        <f t="shared" si="471"/>
        <v>0.61926300820661984</v>
      </c>
      <c r="AS74" s="52">
        <f t="shared" si="406"/>
        <v>-190.00002454495962</v>
      </c>
      <c r="AT74" s="72">
        <f t="shared" si="472"/>
        <v>-0.1794564776956773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4.1189999999999998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-0.78077400804419805</v>
      </c>
      <c r="C75" s="708">
        <v>-4.355485054949523</v>
      </c>
      <c r="D75" s="709">
        <v>-0.1168003522698625</v>
      </c>
      <c r="E75" s="710">
        <v>0.9268469556142348</v>
      </c>
      <c r="F75" s="708">
        <v>-0.15212154026121172</v>
      </c>
      <c r="G75" s="711">
        <v>0.34324008777702741</v>
      </c>
      <c r="H75" s="710">
        <v>0.314</v>
      </c>
      <c r="I75" s="708">
        <v>0.52</v>
      </c>
      <c r="J75" s="570">
        <v>4.125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4.125</v>
      </c>
      <c r="N75" s="632">
        <f t="shared" si="465"/>
        <v>-0.78077400804419805</v>
      </c>
      <c r="O75" s="629">
        <f t="shared" si="466"/>
        <v>-4.355485054949523</v>
      </c>
      <c r="P75" s="633">
        <f t="shared" si="467"/>
        <v>-0.1168003522698625</v>
      </c>
      <c r="Q75" s="585">
        <f t="shared" si="520"/>
        <v>259.83697547857463</v>
      </c>
      <c r="R75" s="629">
        <f>IF(M75="","",SQRT(N75^2+O75^2))</f>
        <v>4.4249133455386502</v>
      </c>
      <c r="S75" s="634">
        <f>IF(M75="","",P75)</f>
        <v>-0.1168003522698625</v>
      </c>
      <c r="T75" s="635">
        <f>IF(M75="","",X75*COS(RADIANS(W75)))</f>
        <v>-4.355485054949523</v>
      </c>
      <c r="U75" s="629">
        <f>IF(M75="","",X75*SIN(RADIANS(W75)))</f>
        <v>0.78077400804420038</v>
      </c>
      <c r="V75" s="636">
        <f>IF(M75="","",Y75)</f>
        <v>-0.1168003522698625</v>
      </c>
      <c r="W75" s="585">
        <f t="shared" si="224"/>
        <v>169.83697547857463</v>
      </c>
      <c r="X75" s="629">
        <f>IF(M75="","",R75)</f>
        <v>4.4249133455386502</v>
      </c>
      <c r="Y75" s="630">
        <f t="shared" si="223"/>
        <v>-0.1168003522698625</v>
      </c>
      <c r="Z75" s="632">
        <f t="shared" si="468"/>
        <v>-0.9268469556142348</v>
      </c>
      <c r="AA75" s="629">
        <f t="shared" si="469"/>
        <v>0.15212154026121172</v>
      </c>
      <c r="AB75" s="629">
        <f t="shared" si="470"/>
        <v>-0.34324008777702741</v>
      </c>
      <c r="AC75" s="636">
        <f>IF(M75="","",SQRT(Z75^2+AA75^2+AB75^2))</f>
        <v>1</v>
      </c>
      <c r="AD75" s="637">
        <f>IF(M75="","",Z75*(1/SQRT(Z75^2+AA75^2+AB75^2)))</f>
        <v>-0.9268469556142348</v>
      </c>
      <c r="AE75" s="629">
        <f>IF(M75="","",AA75*(1/SQRT(Z75^2+AA75^2+AB75^2)))</f>
        <v>0.15212154026121172</v>
      </c>
      <c r="AF75" s="633">
        <f>IF(M75="","",AB75*(1/SQRT(Z75^2+AA75^2+AB75^2)))</f>
        <v>-0.34324008777702741</v>
      </c>
      <c r="AG75" s="602">
        <f>IF(M75="","",DEGREES(ATAN2(-AF75,AE75)))</f>
        <v>23.902576979324497</v>
      </c>
      <c r="AH75" s="603">
        <f>IF(M75="","",DEGREES(ACOS(AD75)))</f>
        <v>157.94852878960504</v>
      </c>
      <c r="AI75" s="585">
        <f>IF(M75="","",DEGREES(-ACOS(-AF75)))</f>
        <v>-69.925598851965233</v>
      </c>
      <c r="AJ75" s="586">
        <f>IF(M75="","",DEGREES(ATAN2(-AE75,AD75)))</f>
        <v>-99.320740726309566</v>
      </c>
      <c r="AK75" s="635">
        <f>IF(M75="","",(COS(RADIANS((90-$Q$8)-W75))*AD75)+(-SIN(RADIANS((90-$Q$8)-W75))*AE75))</f>
        <v>0.93914621227390283</v>
      </c>
      <c r="AL75" s="629">
        <f>IF(M75="","",(SIN(RADIANS((90-$Q$8)-W75))*AD75)+(COS(RADIANS((90-$Q$8)-W75))*AE75))</f>
        <v>1.3807031339151427E-2</v>
      </c>
      <c r="AM75" s="634">
        <f>IF(M75="","",AF75)</f>
        <v>-0.34324008777702741</v>
      </c>
      <c r="AN75" s="581">
        <f>IF(M75="","",DEGREES(ATAN2(-AM75,AL75)))</f>
        <v>2.3035140163445109</v>
      </c>
      <c r="AO75" s="582">
        <f t="shared" si="461"/>
        <v>20.091335282262317</v>
      </c>
      <c r="AP75" s="585">
        <f>IF(M75="","",DEGREES(ATAN2(AK75,AL75)))</f>
        <v>0.84228379511582152</v>
      </c>
      <c r="AQ75" s="586">
        <f t="shared" si="471"/>
        <v>0.51518866335619162</v>
      </c>
      <c r="AS75" s="52">
        <f t="shared" ref="AS75:AS106" si="543">IF(G75="","",IF(AND(W75&lt;(AS74+180),W75&gt;(AS74-180)),W75,IF(W75&gt;(AS74+180),W75-360,IF(W75&lt;(AS74-180),W75+360,"Error"))))</f>
        <v>-190.16302452142537</v>
      </c>
      <c r="AT75" s="72">
        <f t="shared" si="472"/>
        <v>1.5257303647793999E-2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4.125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-0.95354037387290125</v>
      </c>
      <c r="C76" s="708">
        <v>-5.1055344394782987</v>
      </c>
      <c r="D76" s="709">
        <v>-4.2400127878785644E-2</v>
      </c>
      <c r="E76" s="710">
        <v>0.90694971146161263</v>
      </c>
      <c r="F76" s="708">
        <v>-0.24988973950157273</v>
      </c>
      <c r="G76" s="711">
        <v>0.33911257566114245</v>
      </c>
      <c r="H76" s="710">
        <v>0.314</v>
      </c>
      <c r="I76" s="708">
        <v>0.52</v>
      </c>
      <c r="J76" s="570">
        <v>4.1310000000000002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4.1310000000000002</v>
      </c>
      <c r="N76" s="632">
        <f t="shared" si="465"/>
        <v>-0.95354037387290125</v>
      </c>
      <c r="O76" s="629">
        <f t="shared" si="466"/>
        <v>-5.1055344394782987</v>
      </c>
      <c r="P76" s="633">
        <f t="shared" si="467"/>
        <v>-4.2400127878785644E-2</v>
      </c>
      <c r="Q76" s="585">
        <f t="shared" si="520"/>
        <v>259.42097553863761</v>
      </c>
      <c r="R76" s="629">
        <f t="shared" si="79"/>
        <v>5.1938156645480458</v>
      </c>
      <c r="S76" s="634">
        <f t="shared" si="80"/>
        <v>-4.2400127878785644E-2</v>
      </c>
      <c r="T76" s="635">
        <f t="shared" si="81"/>
        <v>-5.1055344394782987</v>
      </c>
      <c r="U76" s="629">
        <f t="shared" si="82"/>
        <v>0.95354037387290203</v>
      </c>
      <c r="V76" s="636">
        <f t="shared" si="114"/>
        <v>-4.2400127878785644E-2</v>
      </c>
      <c r="W76" s="585">
        <f t="shared" si="224"/>
        <v>169.42097553863761</v>
      </c>
      <c r="X76" s="629">
        <f t="shared" si="83"/>
        <v>5.1938156645480458</v>
      </c>
      <c r="Y76" s="630">
        <f t="shared" ref="Y76:Y129" si="644">IF(M76="","",S76)</f>
        <v>-4.2400127878785644E-2</v>
      </c>
      <c r="Z76" s="632">
        <f t="shared" si="468"/>
        <v>-0.90694971146161263</v>
      </c>
      <c r="AA76" s="629">
        <f t="shared" si="469"/>
        <v>0.24988973950157273</v>
      </c>
      <c r="AB76" s="629">
        <f t="shared" si="470"/>
        <v>-0.33911257566114245</v>
      </c>
      <c r="AC76" s="636">
        <f t="shared" si="84"/>
        <v>1</v>
      </c>
      <c r="AD76" s="637">
        <f t="shared" si="115"/>
        <v>-0.90694971146161263</v>
      </c>
      <c r="AE76" s="629">
        <f t="shared" si="85"/>
        <v>0.24988973950157273</v>
      </c>
      <c r="AF76" s="633">
        <f t="shared" si="86"/>
        <v>-0.33911257566114245</v>
      </c>
      <c r="AG76" s="602">
        <f t="shared" si="87"/>
        <v>36.386247870838389</v>
      </c>
      <c r="AH76" s="603">
        <f t="shared" si="88"/>
        <v>155.08717009079783</v>
      </c>
      <c r="AI76" s="585">
        <f t="shared" si="89"/>
        <v>-70.177183385730672</v>
      </c>
      <c r="AJ76" s="586">
        <f t="shared" si="90"/>
        <v>-105.40435500341471</v>
      </c>
      <c r="AK76" s="635">
        <f t="shared" si="211"/>
        <v>0.93741157885262916</v>
      </c>
      <c r="AL76" s="629">
        <f t="shared" si="91"/>
        <v>-7.9134018358019365E-2</v>
      </c>
      <c r="AM76" s="634">
        <f t="shared" si="92"/>
        <v>-0.33911257566114245</v>
      </c>
      <c r="AN76" s="581">
        <f t="shared" si="93"/>
        <v>-13.135264227408426</v>
      </c>
      <c r="AO76" s="582">
        <f t="shared" si="461"/>
        <v>20.378688369875377</v>
      </c>
      <c r="AP76" s="585">
        <f t="shared" si="95"/>
        <v>-4.825330542052316</v>
      </c>
      <c r="AQ76" s="586">
        <f t="shared" si="471"/>
        <v>0.43892239991617227</v>
      </c>
      <c r="AS76" s="52">
        <f t="shared" si="543"/>
        <v>-190.57902446136239</v>
      </c>
      <c r="AT76" s="72">
        <f t="shared" si="472"/>
        <v>8.9946416886049374E-2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4.1310000000000002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-1.1505942652214922</v>
      </c>
      <c r="C77" s="708">
        <v>-5.8408686184731931</v>
      </c>
      <c r="D77" s="709">
        <v>-0.14660044214693341</v>
      </c>
      <c r="E77" s="710">
        <v>0.88481131634920251</v>
      </c>
      <c r="F77" s="708">
        <v>-0.34354154782773211</v>
      </c>
      <c r="G77" s="711">
        <v>0.31478268595416353</v>
      </c>
      <c r="H77" s="710">
        <v>0.314</v>
      </c>
      <c r="I77" s="708">
        <v>0.52</v>
      </c>
      <c r="J77" s="570">
        <v>4.1369999999999996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4.1369999999999996</v>
      </c>
      <c r="N77" s="632">
        <f t="shared" si="465"/>
        <v>-1.1505942652214922</v>
      </c>
      <c r="O77" s="629">
        <f t="shared" si="466"/>
        <v>-5.8408686184731931</v>
      </c>
      <c r="P77" s="633">
        <f t="shared" si="467"/>
        <v>-0.14660044214693341</v>
      </c>
      <c r="Q77" s="585">
        <f t="shared" si="520"/>
        <v>258.85597562021348</v>
      </c>
      <c r="R77" s="629">
        <f t="shared" si="79"/>
        <v>5.9531179546037496</v>
      </c>
      <c r="S77" s="634">
        <f t="shared" si="80"/>
        <v>-0.14660044214693341</v>
      </c>
      <c r="T77" s="635">
        <f t="shared" si="81"/>
        <v>-5.8408686184731931</v>
      </c>
      <c r="U77" s="629">
        <f t="shared" si="82"/>
        <v>1.1505942652214931</v>
      </c>
      <c r="V77" s="636">
        <f t="shared" si="114"/>
        <v>-0.14660044214693341</v>
      </c>
      <c r="W77" s="585">
        <f t="shared" si="224"/>
        <v>168.85597562021348</v>
      </c>
      <c r="X77" s="629">
        <f t="shared" si="83"/>
        <v>5.9531179546037496</v>
      </c>
      <c r="Y77" s="630">
        <f t="shared" si="644"/>
        <v>-0.14660044214693341</v>
      </c>
      <c r="Z77" s="632">
        <f t="shared" si="468"/>
        <v>-0.88481131634920251</v>
      </c>
      <c r="AA77" s="629">
        <f t="shared" si="469"/>
        <v>0.34354154782773211</v>
      </c>
      <c r="AB77" s="629">
        <f t="shared" si="470"/>
        <v>-0.31478268595416353</v>
      </c>
      <c r="AC77" s="636">
        <f t="shared" si="84"/>
        <v>1</v>
      </c>
      <c r="AD77" s="637">
        <f t="shared" si="115"/>
        <v>-0.88481131634920251</v>
      </c>
      <c r="AE77" s="629">
        <f t="shared" si="85"/>
        <v>0.34354154782773211</v>
      </c>
      <c r="AF77" s="633">
        <f t="shared" si="86"/>
        <v>-0.31478268595416353</v>
      </c>
      <c r="AG77" s="602">
        <f t="shared" si="87"/>
        <v>47.501372941814012</v>
      </c>
      <c r="AH77" s="603">
        <f t="shared" si="88"/>
        <v>152.22831076480989</v>
      </c>
      <c r="AI77" s="585">
        <f t="shared" si="89"/>
        <v>-71.652304754123691</v>
      </c>
      <c r="AJ77" s="586">
        <f t="shared" si="90"/>
        <v>-111.2194645196939</v>
      </c>
      <c r="AK77" s="635">
        <f t="shared" si="211"/>
        <v>0.93452601278084768</v>
      </c>
      <c r="AL77" s="629">
        <f t="shared" si="91"/>
        <v>-0.16605117301426514</v>
      </c>
      <c r="AM77" s="634">
        <f t="shared" si="92"/>
        <v>-0.31478268595416353</v>
      </c>
      <c r="AN77" s="581">
        <f t="shared" si="93"/>
        <v>-27.812117649228636</v>
      </c>
      <c r="AO77" s="582">
        <f t="shared" si="461"/>
        <v>20.848296529042198</v>
      </c>
      <c r="AP77" s="585">
        <f t="shared" si="95"/>
        <v>-10.075440139907398</v>
      </c>
      <c r="AQ77" s="586">
        <f t="shared" si="471"/>
        <v>0.38294095697699121</v>
      </c>
      <c r="AS77" s="52">
        <f t="shared" si="543"/>
        <v>-191.14402437978652</v>
      </c>
      <c r="AT77" s="72">
        <f t="shared" si="472"/>
        <v>-1.3861536327637203E-2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4.1369999999999996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-1.3587954275312255</v>
      </c>
      <c r="C78" s="708">
        <v>-6.5235094137739136</v>
      </c>
      <c r="D78" s="709">
        <v>-0.41620125526298657</v>
      </c>
      <c r="E78" s="710">
        <v>0.84707675536127969</v>
      </c>
      <c r="F78" s="708">
        <v>-0.43695317094821712</v>
      </c>
      <c r="G78" s="711">
        <v>0.30254404129796525</v>
      </c>
      <c r="H78" s="710">
        <v>0.314</v>
      </c>
      <c r="I78" s="708">
        <v>0.52</v>
      </c>
      <c r="J78" s="570">
        <v>4.1429999999999998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4.1429999999999998</v>
      </c>
      <c r="N78" s="632">
        <f t="shared" si="465"/>
        <v>-1.3587954275312255</v>
      </c>
      <c r="O78" s="629">
        <f t="shared" si="466"/>
        <v>-6.5235094137739136</v>
      </c>
      <c r="P78" s="633">
        <f t="shared" si="467"/>
        <v>-0.41620125526298657</v>
      </c>
      <c r="Q78" s="585">
        <f t="shared" si="520"/>
        <v>258.23397571001919</v>
      </c>
      <c r="R78" s="629">
        <f>IF(M78="","",SQRT(N78^2+O78^2))</f>
        <v>6.6635200971766144</v>
      </c>
      <c r="S78" s="634">
        <f>IF(M78="","",P78)</f>
        <v>-0.41620125526298657</v>
      </c>
      <c r="T78" s="635">
        <f>IF(M78="","",X78*COS(RADIANS(W78)))</f>
        <v>-6.5235094137739136</v>
      </c>
      <c r="U78" s="629">
        <f>IF(M78="","",X78*SIN(RADIANS(W78)))</f>
        <v>1.3587954275312235</v>
      </c>
      <c r="V78" s="636">
        <f>IF(M78="","",Y78)</f>
        <v>-0.41620125526298657</v>
      </c>
      <c r="W78" s="585">
        <f t="shared" si="224"/>
        <v>168.23397571001919</v>
      </c>
      <c r="X78" s="629">
        <f>IF(M78="","",R78)</f>
        <v>6.6635200971766144</v>
      </c>
      <c r="Y78" s="630">
        <f t="shared" si="644"/>
        <v>-0.41620125526298657</v>
      </c>
      <c r="Z78" s="632">
        <f t="shared" si="468"/>
        <v>-0.84707675536127969</v>
      </c>
      <c r="AA78" s="629">
        <f t="shared" si="469"/>
        <v>0.43695317094821712</v>
      </c>
      <c r="AB78" s="629">
        <f t="shared" si="470"/>
        <v>-0.30254404129796525</v>
      </c>
      <c r="AC78" s="636">
        <f>IF(M78="","",SQRT(Z78^2+AA78^2+AB78^2))</f>
        <v>1</v>
      </c>
      <c r="AD78" s="637">
        <f>IF(M78="","",Z78*(1/SQRT(Z78^2+AA78^2+AB78^2)))</f>
        <v>-0.84707675536127969</v>
      </c>
      <c r="AE78" s="629">
        <f>IF(M78="","",AA78*(1/SQRT(Z78^2+AA78^2+AB78^2)))</f>
        <v>0.43695317094821712</v>
      </c>
      <c r="AF78" s="633">
        <f>IF(M78="","",AB78*(1/SQRT(Z78^2+AA78^2+AB78^2)))</f>
        <v>-0.30254404129796525</v>
      </c>
      <c r="AG78" s="602">
        <f>IF(M78="","",DEGREES(ATAN2(-AF78,AE78)))</f>
        <v>55.301478260835985</v>
      </c>
      <c r="AH78" s="603">
        <f>IF(M78="","",DEGREES(ACOS(AD78)))</f>
        <v>147.89513049679999</v>
      </c>
      <c r="AI78" s="585">
        <f>IF(M78="","",DEGREES(-ACOS(-AF78)))</f>
        <v>-72.389531600621979</v>
      </c>
      <c r="AJ78" s="586">
        <f>IF(M78="","",DEGREES(ATAN2(-AE78,AD78)))</f>
        <v>-117.28633879778131</v>
      </c>
      <c r="AK78" s="635">
        <f>IF(M78="","",(COS(RADIANS((90-$Q$8)-W78))*AD78)+(-SIN(RADIANS((90-$Q$8)-W78))*AE78))</f>
        <v>0.91837993572061372</v>
      </c>
      <c r="AL78" s="629">
        <f>IF(M78="","",(SIN(RADIANS((90-$Q$8)-W78))*AD78)+(COS(RADIANS((90-$Q$8)-W78))*AE78))</f>
        <v>-0.25503999047384002</v>
      </c>
      <c r="AM78" s="634">
        <f>IF(M78="","",AF78)</f>
        <v>-0.30254404129796525</v>
      </c>
      <c r="AN78" s="581">
        <f>IF(M78="","",DEGREES(ATAN2(-AM78,AL78)))</f>
        <v>-40.13037543661067</v>
      </c>
      <c r="AO78" s="582">
        <f t="shared" si="461"/>
        <v>23.309622942328819</v>
      </c>
      <c r="AP78" s="585">
        <f>IF(M78="","",DEGREES(ATAN2(AK78,AL78)))</f>
        <v>-15.520314507800512</v>
      </c>
      <c r="AQ78" s="586">
        <f t="shared" si="471"/>
        <v>0.34211640472432026</v>
      </c>
      <c r="AS78" s="52">
        <f t="shared" si="543"/>
        <v>-191.76602428998081</v>
      </c>
      <c r="AT78" s="72">
        <f t="shared" si="472"/>
        <v>-0.28303040506161103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4.1429999999999998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-1.5632085507275997</v>
      </c>
      <c r="C79" s="708">
        <v>-7.1258755356715202</v>
      </c>
      <c r="D79" s="709">
        <v>-0.83830252832042473</v>
      </c>
      <c r="E79" s="710">
        <v>0.79849807254409766</v>
      </c>
      <c r="F79" s="708">
        <v>-0.53061876970450872</v>
      </c>
      <c r="G79" s="711">
        <v>0.28433175935979205</v>
      </c>
      <c r="H79" s="710">
        <v>0.314</v>
      </c>
      <c r="I79" s="708">
        <v>0.52</v>
      </c>
      <c r="J79" s="570">
        <v>4.149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4.149</v>
      </c>
      <c r="N79" s="632">
        <f t="shared" si="465"/>
        <v>-1.5632085507275997</v>
      </c>
      <c r="O79" s="629">
        <f t="shared" si="466"/>
        <v>-7.1258755356715202</v>
      </c>
      <c r="P79" s="633">
        <f t="shared" si="467"/>
        <v>-0.83830252832042473</v>
      </c>
      <c r="Q79" s="585">
        <f t="shared" si="520"/>
        <v>257.62697579765916</v>
      </c>
      <c r="R79" s="629">
        <f>IF(M79="","",SQRT(N79^2+O79^2))</f>
        <v>7.2953220026911598</v>
      </c>
      <c r="S79" s="634">
        <f>IF(M79="","",P79)</f>
        <v>-0.83830252832042473</v>
      </c>
      <c r="T79" s="635">
        <f>IF(M79="","",X79*COS(RADIANS(W79)))</f>
        <v>-7.1258755356715211</v>
      </c>
      <c r="U79" s="629">
        <f>IF(M79="","",X79*SIN(RADIANS(W79)))</f>
        <v>1.5632085507275975</v>
      </c>
      <c r="V79" s="636">
        <f>IF(M79="","",Y79)</f>
        <v>-0.83830252832042473</v>
      </c>
      <c r="W79" s="585">
        <f t="shared" ref="W79:W129" si="645">IF(M79="","",IF(Q79-$Q$8&lt;0,360+Q79-$Q$8,Q79-$Q$8))</f>
        <v>167.62697579765916</v>
      </c>
      <c r="X79" s="629">
        <f>IF(M79="","",R79)</f>
        <v>7.2953220026911598</v>
      </c>
      <c r="Y79" s="630">
        <f t="shared" si="644"/>
        <v>-0.83830252832042473</v>
      </c>
      <c r="Z79" s="632">
        <f t="shared" si="468"/>
        <v>-0.79849807254409766</v>
      </c>
      <c r="AA79" s="629">
        <f t="shared" si="469"/>
        <v>0.53061876970450872</v>
      </c>
      <c r="AB79" s="629">
        <f t="shared" si="470"/>
        <v>-0.28433175935979205</v>
      </c>
      <c r="AC79" s="636">
        <f>IF(M79="","",SQRT(Z79^2+AA79^2+AB79^2))</f>
        <v>1</v>
      </c>
      <c r="AD79" s="637">
        <f>IF(M79="","",Z79*(1/SQRT(Z79^2+AA79^2+AB79^2)))</f>
        <v>-0.79849807254409766</v>
      </c>
      <c r="AE79" s="629">
        <f>IF(M79="","",AA79*(1/SQRT(Z79^2+AA79^2+AB79^2)))</f>
        <v>0.53061876970450872</v>
      </c>
      <c r="AF79" s="633">
        <f>IF(M79="","",AB79*(1/SQRT(Z79^2+AA79^2+AB79^2)))</f>
        <v>-0.28433175935979205</v>
      </c>
      <c r="AG79" s="602">
        <f>IF(M79="","",DEGREES(ATAN2(-AF79,AE79)))</f>
        <v>61.815394208340521</v>
      </c>
      <c r="AH79" s="603">
        <f>IF(M79="","",DEGREES(ACOS(AD79)))</f>
        <v>142.98691724903398</v>
      </c>
      <c r="AI79" s="585">
        <f>IF(M79="","",DEGREES(-ACOS(-AF79)))</f>
        <v>-73.481091220596127</v>
      </c>
      <c r="AJ79" s="586">
        <f>IF(M79="","",DEGREES(ATAN2(-AE79,AD79)))</f>
        <v>-123.60487413742442</v>
      </c>
      <c r="AK79" s="635">
        <f>IF(M79="","",(COS(RADIANS((90-$Q$8)-W79))*AD79)+(-SIN(RADIANS((90-$Q$8)-W79))*AE79))</f>
        <v>0.89365016047222301</v>
      </c>
      <c r="AL79" s="629">
        <f>IF(M79="","",(SIN(RADIANS((90-$Q$8)-W79))*AD79)+(COS(RADIANS((90-$Q$8)-W79))*AE79))</f>
        <v>-0.34719568157933001</v>
      </c>
      <c r="AM79" s="634">
        <f>IF(M79="","",AF79)</f>
        <v>-0.28433175935979205</v>
      </c>
      <c r="AN79" s="581">
        <f>IF(M79="","",DEGREES(ATAN2(-AM79,AL79)))</f>
        <v>-50.684647834276007</v>
      </c>
      <c r="AO79" s="582">
        <f t="shared" si="461"/>
        <v>26.664429876482746</v>
      </c>
      <c r="AP79" s="585">
        <f>IF(M79="","",DEGREES(ATAN2(AK79,AL79)))</f>
        <v>-21.231849935083552</v>
      </c>
      <c r="AQ79" s="586">
        <f t="shared" si="471"/>
        <v>0.31248847235545396</v>
      </c>
      <c r="AS79" s="52">
        <f t="shared" si="543"/>
        <v>-192.37302420234084</v>
      </c>
      <c r="AT79" s="72">
        <f t="shared" si="472"/>
        <v>-0.70471015040213247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4.149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-1.7446847936961425</v>
      </c>
      <c r="C80" s="708">
        <v>-7.6170681890110341</v>
      </c>
      <c r="D80" s="709">
        <v>-1.3909041949670522</v>
      </c>
      <c r="E80" s="710">
        <v>0.74817300794477681</v>
      </c>
      <c r="F80" s="708">
        <v>-0.61591889627557617</v>
      </c>
      <c r="G80" s="711">
        <v>0.24674088310116177</v>
      </c>
      <c r="H80" s="710">
        <v>0.314</v>
      </c>
      <c r="I80" s="708">
        <v>0.52</v>
      </c>
      <c r="J80" s="570">
        <v>4.1550000000000002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4.1550000000000002</v>
      </c>
      <c r="N80" s="632">
        <f t="shared" si="465"/>
        <v>-1.7446847936961425</v>
      </c>
      <c r="O80" s="629">
        <f t="shared" si="466"/>
        <v>-7.6170681890110341</v>
      </c>
      <c r="P80" s="633">
        <f t="shared" si="467"/>
        <v>-1.3909041949670522</v>
      </c>
      <c r="Q80" s="585">
        <f t="shared" si="520"/>
        <v>257.09897587389287</v>
      </c>
      <c r="R80" s="629">
        <f t="shared" si="79"/>
        <v>7.8143235679998808</v>
      </c>
      <c r="S80" s="634">
        <f t="shared" si="80"/>
        <v>-1.3909041949670522</v>
      </c>
      <c r="T80" s="635">
        <f t="shared" si="81"/>
        <v>-7.6170681890110341</v>
      </c>
      <c r="U80" s="629">
        <f t="shared" si="82"/>
        <v>1.7446847936961443</v>
      </c>
      <c r="V80" s="636">
        <f t="shared" si="114"/>
        <v>-1.3909041949670522</v>
      </c>
      <c r="W80" s="585">
        <f t="shared" si="645"/>
        <v>167.09897587389287</v>
      </c>
      <c r="X80" s="629">
        <f t="shared" si="83"/>
        <v>7.8143235679998808</v>
      </c>
      <c r="Y80" s="630">
        <f t="shared" si="644"/>
        <v>-1.3909041949670522</v>
      </c>
      <c r="Z80" s="632">
        <f t="shared" si="468"/>
        <v>-0.74817300794477681</v>
      </c>
      <c r="AA80" s="629">
        <f t="shared" si="469"/>
        <v>0.61591889627557617</v>
      </c>
      <c r="AB80" s="629">
        <f t="shared" si="470"/>
        <v>-0.24674088310116177</v>
      </c>
      <c r="AC80" s="636">
        <f t="shared" si="84"/>
        <v>1</v>
      </c>
      <c r="AD80" s="637">
        <f t="shared" si="115"/>
        <v>-0.74817300794477681</v>
      </c>
      <c r="AE80" s="629">
        <f t="shared" si="85"/>
        <v>0.61591889627557617</v>
      </c>
      <c r="AF80" s="633">
        <f t="shared" si="86"/>
        <v>-0.24674088310116177</v>
      </c>
      <c r="AG80" s="602">
        <f t="shared" si="87"/>
        <v>68.168658432689355</v>
      </c>
      <c r="AH80" s="603">
        <f t="shared" si="88"/>
        <v>138.43236507883148</v>
      </c>
      <c r="AI80" s="585">
        <f t="shared" si="89"/>
        <v>-75.715262121656096</v>
      </c>
      <c r="AJ80" s="586">
        <f t="shared" si="90"/>
        <v>-129.46225574140681</v>
      </c>
      <c r="AK80" s="635">
        <f t="shared" si="211"/>
        <v>0.86680172534865685</v>
      </c>
      <c r="AL80" s="629">
        <f t="shared" si="91"/>
        <v>-0.4333286345708654</v>
      </c>
      <c r="AM80" s="634">
        <f t="shared" si="92"/>
        <v>-0.24674088310116177</v>
      </c>
      <c r="AN80" s="581">
        <f t="shared" si="93"/>
        <v>-60.342458414425423</v>
      </c>
      <c r="AO80" s="582">
        <f t="shared" si="461"/>
        <v>29.910920124916434</v>
      </c>
      <c r="AP80" s="585">
        <f t="shared" si="95"/>
        <v>-26.561231615299686</v>
      </c>
      <c r="AQ80" s="586">
        <f t="shared" si="471"/>
        <v>0.29173439145866142</v>
      </c>
      <c r="AS80" s="52">
        <f t="shared" si="543"/>
        <v>-192.90102412610713</v>
      </c>
      <c r="AT80" s="72">
        <f t="shared" si="472"/>
        <v>-1.2569451504350333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4.1550000000000002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-1.8868152589821325</v>
      </c>
      <c r="C81" s="708">
        <v>-7.9780434439811696</v>
      </c>
      <c r="D81" s="709">
        <v>-2.0468061731674188</v>
      </c>
      <c r="E81" s="710">
        <v>0.68735419554893995</v>
      </c>
      <c r="F81" s="708">
        <v>-0.69783477682252359</v>
      </c>
      <c r="G81" s="711">
        <v>0.20142202987341892</v>
      </c>
      <c r="H81" s="710">
        <v>0.314</v>
      </c>
      <c r="I81" s="708">
        <v>0.52</v>
      </c>
      <c r="J81" s="570">
        <v>4.1609999999999996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4.1609999999999996</v>
      </c>
      <c r="N81" s="632">
        <f t="shared" si="465"/>
        <v>-1.8868152589821325</v>
      </c>
      <c r="O81" s="629">
        <f t="shared" si="466"/>
        <v>-7.9780434439811696</v>
      </c>
      <c r="P81" s="633">
        <f t="shared" si="467"/>
        <v>-2.0468061731674188</v>
      </c>
      <c r="Q81" s="585">
        <f t="shared" si="520"/>
        <v>256.69397593236761</v>
      </c>
      <c r="R81" s="629">
        <f t="shared" si="79"/>
        <v>8.198124725544174</v>
      </c>
      <c r="S81" s="634">
        <f t="shared" si="80"/>
        <v>-2.0468061731674188</v>
      </c>
      <c r="T81" s="635">
        <f t="shared" si="81"/>
        <v>-7.9780434439811687</v>
      </c>
      <c r="U81" s="629">
        <f t="shared" si="82"/>
        <v>1.8868152589821379</v>
      </c>
      <c r="V81" s="636">
        <f t="shared" si="114"/>
        <v>-2.0468061731674188</v>
      </c>
      <c r="W81" s="585">
        <f t="shared" si="645"/>
        <v>166.69397593236761</v>
      </c>
      <c r="X81" s="629">
        <f t="shared" si="83"/>
        <v>8.198124725544174</v>
      </c>
      <c r="Y81" s="630">
        <f t="shared" si="644"/>
        <v>-2.0468061731674188</v>
      </c>
      <c r="Z81" s="632">
        <f t="shared" si="468"/>
        <v>-0.68735419554893995</v>
      </c>
      <c r="AA81" s="629">
        <f t="shared" si="469"/>
        <v>0.69783477682252359</v>
      </c>
      <c r="AB81" s="629">
        <f t="shared" si="470"/>
        <v>-0.20142202987341892</v>
      </c>
      <c r="AC81" s="636">
        <f t="shared" si="84"/>
        <v>1</v>
      </c>
      <c r="AD81" s="637">
        <f t="shared" si="115"/>
        <v>-0.68735419554893995</v>
      </c>
      <c r="AE81" s="629">
        <f t="shared" si="85"/>
        <v>0.69783477682252359</v>
      </c>
      <c r="AF81" s="633">
        <f t="shared" si="86"/>
        <v>-0.20142202987341892</v>
      </c>
      <c r="AG81" s="602">
        <f t="shared" si="87"/>
        <v>73.899820277316778</v>
      </c>
      <c r="AH81" s="603">
        <f t="shared" si="88"/>
        <v>133.42103371338786</v>
      </c>
      <c r="AI81" s="585">
        <f t="shared" si="89"/>
        <v>-78.379872205751269</v>
      </c>
      <c r="AJ81" s="586">
        <f t="shared" si="90"/>
        <v>-135.43350158525871</v>
      </c>
      <c r="AK81" s="635">
        <f t="shared" si="211"/>
        <v>0.82951006069231337</v>
      </c>
      <c r="AL81" s="629">
        <f t="shared" si="91"/>
        <v>-0.52090519779697553</v>
      </c>
      <c r="AM81" s="634">
        <f t="shared" si="92"/>
        <v>-0.20142202987341892</v>
      </c>
      <c r="AN81" s="581">
        <f t="shared" si="93"/>
        <v>-68.859662945660801</v>
      </c>
      <c r="AO81" s="582">
        <f t="shared" si="461"/>
        <v>33.951557760214321</v>
      </c>
      <c r="AP81" s="585">
        <f t="shared" si="95"/>
        <v>-32.127477517626296</v>
      </c>
      <c r="AQ81" s="586">
        <f t="shared" si="471"/>
        <v>0.27807685398023696</v>
      </c>
      <c r="AS81" s="52">
        <f t="shared" si="543"/>
        <v>-193.30602406763239</v>
      </c>
      <c r="AT81" s="72">
        <f t="shared" si="472"/>
        <v>-1.9125658786760074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4.1609999999999996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-1.971718846912289</v>
      </c>
      <c r="C82" s="708">
        <v>-8.1850889424911415</v>
      </c>
      <c r="D82" s="709">
        <v>-2.7738083658060315</v>
      </c>
      <c r="E82" s="710">
        <v>0.63986122249231969</v>
      </c>
      <c r="F82" s="708">
        <v>-0.75738126096044134</v>
      </c>
      <c r="G82" s="711">
        <v>0.13019693351460351</v>
      </c>
      <c r="H82" s="710">
        <v>0.314</v>
      </c>
      <c r="I82" s="708">
        <v>0.52</v>
      </c>
      <c r="J82" s="570">
        <v>4.1669999999999998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4.1669999999999998</v>
      </c>
      <c r="N82" s="632">
        <f t="shared" si="465"/>
        <v>-1.971718846912289</v>
      </c>
      <c r="O82" s="629">
        <f t="shared" si="466"/>
        <v>-8.1850889424911415</v>
      </c>
      <c r="P82" s="633">
        <f t="shared" si="467"/>
        <v>-2.7738083658060315</v>
      </c>
      <c r="Q82" s="585">
        <f t="shared" si="520"/>
        <v>256.45597596673059</v>
      </c>
      <c r="R82" s="629">
        <f t="shared" si="79"/>
        <v>8.4192253923837832</v>
      </c>
      <c r="S82" s="634">
        <f t="shared" si="80"/>
        <v>-2.7738083658060315</v>
      </c>
      <c r="T82" s="635">
        <f t="shared" si="81"/>
        <v>-8.1850889424911415</v>
      </c>
      <c r="U82" s="629">
        <f t="shared" si="82"/>
        <v>1.9717188469122862</v>
      </c>
      <c r="V82" s="636">
        <f t="shared" si="114"/>
        <v>-2.7738083658060315</v>
      </c>
      <c r="W82" s="585">
        <f t="shared" si="645"/>
        <v>166.45597596673059</v>
      </c>
      <c r="X82" s="629">
        <f t="shared" si="83"/>
        <v>8.4192253923837832</v>
      </c>
      <c r="Y82" s="630">
        <f t="shared" si="644"/>
        <v>-2.7738083658060315</v>
      </c>
      <c r="Z82" s="632">
        <f t="shared" si="468"/>
        <v>-0.63986122249231969</v>
      </c>
      <c r="AA82" s="629">
        <f t="shared" si="469"/>
        <v>0.75738126096044134</v>
      </c>
      <c r="AB82" s="629">
        <f t="shared" si="470"/>
        <v>-0.13019693351460351</v>
      </c>
      <c r="AC82" s="636">
        <f t="shared" si="84"/>
        <v>1</v>
      </c>
      <c r="AD82" s="637">
        <f t="shared" si="115"/>
        <v>-0.63986122249231969</v>
      </c>
      <c r="AE82" s="629">
        <f t="shared" si="85"/>
        <v>0.75738126096044134</v>
      </c>
      <c r="AF82" s="633">
        <f t="shared" si="86"/>
        <v>-0.13019693351460351</v>
      </c>
      <c r="AG82" s="602">
        <f t="shared" si="87"/>
        <v>80.245956371802791</v>
      </c>
      <c r="AH82" s="603">
        <f t="shared" si="88"/>
        <v>129.78147198893495</v>
      </c>
      <c r="AI82" s="585">
        <f t="shared" si="89"/>
        <v>-82.519027505090051</v>
      </c>
      <c r="AJ82" s="586">
        <f t="shared" si="90"/>
        <v>-139.807749140666</v>
      </c>
      <c r="AK82" s="635">
        <f t="shared" si="211"/>
        <v>0.79943980708407592</v>
      </c>
      <c r="AL82" s="629">
        <f t="shared" si="91"/>
        <v>-0.58646803267762992</v>
      </c>
      <c r="AM82" s="634">
        <f t="shared" si="92"/>
        <v>-0.13019693351460351</v>
      </c>
      <c r="AN82" s="581">
        <f t="shared" si="93"/>
        <v>-77.483230160526745</v>
      </c>
      <c r="AO82" s="582">
        <f t="shared" si="461"/>
        <v>36.92335888105027</v>
      </c>
      <c r="AP82" s="585">
        <f t="shared" si="95"/>
        <v>-36.263725107396596</v>
      </c>
      <c r="AQ82" s="586">
        <f t="shared" si="471"/>
        <v>0.27077427598818443</v>
      </c>
      <c r="AS82" s="52">
        <f t="shared" si="543"/>
        <v>-193.54402403326941</v>
      </c>
      <c r="AT82" s="72">
        <f t="shared" si="472"/>
        <v>-2.6394027935607056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4.1669999999999998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-1.9951916065557784</v>
      </c>
      <c r="C83" s="708">
        <v>-8.241454023257937</v>
      </c>
      <c r="D83" s="709">
        <v>-3.5250106314320648</v>
      </c>
      <c r="E83" s="710">
        <v>0.58383404877410061</v>
      </c>
      <c r="F83" s="708">
        <v>-0.80970669798246142</v>
      </c>
      <c r="G83" s="711">
        <v>5.9269441826122066E-2</v>
      </c>
      <c r="H83" s="710">
        <v>0.314</v>
      </c>
      <c r="I83" s="708">
        <v>0.52</v>
      </c>
      <c r="J83" s="570">
        <v>4.173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4.173</v>
      </c>
      <c r="N83" s="632">
        <f t="shared" si="465"/>
        <v>-1.9951916065557784</v>
      </c>
      <c r="O83" s="629">
        <f t="shared" si="466"/>
        <v>-8.241454023257937</v>
      </c>
      <c r="P83" s="633">
        <f t="shared" si="467"/>
        <v>-3.5250106314320648</v>
      </c>
      <c r="Q83" s="585">
        <f t="shared" si="520"/>
        <v>256.39097597611544</v>
      </c>
      <c r="R83" s="629">
        <f t="shared" si="79"/>
        <v>8.4795255742491324</v>
      </c>
      <c r="S83" s="634">
        <f t="shared" si="80"/>
        <v>-3.5250106314320648</v>
      </c>
      <c r="T83" s="635">
        <f t="shared" si="81"/>
        <v>-8.2414540232579387</v>
      </c>
      <c r="U83" s="629">
        <f t="shared" si="82"/>
        <v>1.9951916065557744</v>
      </c>
      <c r="V83" s="636">
        <f t="shared" si="114"/>
        <v>-3.5250106314320648</v>
      </c>
      <c r="W83" s="585">
        <f t="shared" si="645"/>
        <v>166.39097597611544</v>
      </c>
      <c r="X83" s="629">
        <f t="shared" si="83"/>
        <v>8.4795255742491324</v>
      </c>
      <c r="Y83" s="630">
        <f t="shared" si="644"/>
        <v>-3.5250106314320648</v>
      </c>
      <c r="Z83" s="632">
        <f t="shared" si="468"/>
        <v>-0.58383404877410061</v>
      </c>
      <c r="AA83" s="629">
        <f t="shared" si="469"/>
        <v>0.80970669798246142</v>
      </c>
      <c r="AB83" s="629">
        <f t="shared" si="470"/>
        <v>-5.9269441826122066E-2</v>
      </c>
      <c r="AC83" s="636">
        <f t="shared" si="84"/>
        <v>1</v>
      </c>
      <c r="AD83" s="637">
        <f t="shared" si="115"/>
        <v>-0.58383404877410061</v>
      </c>
      <c r="AE83" s="629">
        <f t="shared" si="85"/>
        <v>0.80970669798246142</v>
      </c>
      <c r="AF83" s="633">
        <f t="shared" si="86"/>
        <v>-5.9269441826122066E-2</v>
      </c>
      <c r="AG83" s="602">
        <f t="shared" si="87"/>
        <v>85.813492469924256</v>
      </c>
      <c r="AH83" s="603">
        <f t="shared" si="88"/>
        <v>125.72066354295727</v>
      </c>
      <c r="AI83" s="585">
        <f t="shared" si="89"/>
        <v>-86.602119762217043</v>
      </c>
      <c r="AJ83" s="586">
        <f t="shared" si="90"/>
        <v>-144.20674263034704</v>
      </c>
      <c r="AK83" s="635">
        <f t="shared" si="211"/>
        <v>0.75796239087821971</v>
      </c>
      <c r="AL83" s="629">
        <f t="shared" si="91"/>
        <v>-0.64959999020920001</v>
      </c>
      <c r="AM83" s="634">
        <f t="shared" si="92"/>
        <v>-5.9269441826122066E-2</v>
      </c>
      <c r="AN83" s="581">
        <f t="shared" si="93"/>
        <v>-84.786772727410153</v>
      </c>
      <c r="AO83" s="582">
        <f t="shared" si="461"/>
        <v>40.715105437419879</v>
      </c>
      <c r="AP83" s="585">
        <f t="shared" si="95"/>
        <v>-40.5977186064625</v>
      </c>
      <c r="AQ83" s="586">
        <f t="shared" si="471"/>
        <v>0.26884875581363371</v>
      </c>
      <c r="AS83" s="52">
        <f t="shared" si="543"/>
        <v>-193.60902402388456</v>
      </c>
      <c r="AT83" s="72">
        <f t="shared" si="472"/>
        <v>-3.390559920304367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4.173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-2.0192735654121878</v>
      </c>
      <c r="C84" s="708">
        <v>-8.2984831514709558</v>
      </c>
      <c r="D84" s="709">
        <v>-4.280812910931739</v>
      </c>
      <c r="E84" s="710">
        <v>0.59235045682992149</v>
      </c>
      <c r="F84" s="708">
        <v>-0.80568041821392322</v>
      </c>
      <c r="G84" s="711">
        <v>1.4578093154616199E-7</v>
      </c>
      <c r="H84" s="710">
        <v>0.314</v>
      </c>
      <c r="I84" s="708">
        <v>0.52</v>
      </c>
      <c r="J84" s="570">
        <v>4.1790000000000003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4.1790000000000003</v>
      </c>
      <c r="N84" s="632">
        <f t="shared" si="465"/>
        <v>-2.0192735654121878</v>
      </c>
      <c r="O84" s="629">
        <f t="shared" si="466"/>
        <v>-8.2984831514709558</v>
      </c>
      <c r="P84" s="633">
        <f t="shared" si="467"/>
        <v>-4.280812910931739</v>
      </c>
      <c r="Q84" s="585">
        <f t="shared" si="520"/>
        <v>256.32397598578905</v>
      </c>
      <c r="R84" s="629">
        <f t="shared" si="79"/>
        <v>8.5406257585272858</v>
      </c>
      <c r="S84" s="634">
        <f t="shared" si="80"/>
        <v>-4.280812910931739</v>
      </c>
      <c r="T84" s="635">
        <f t="shared" si="81"/>
        <v>-8.2984831514709558</v>
      </c>
      <c r="U84" s="629">
        <f t="shared" si="82"/>
        <v>2.0192735654121834</v>
      </c>
      <c r="V84" s="636">
        <f t="shared" si="114"/>
        <v>-4.280812910931739</v>
      </c>
      <c r="W84" s="585">
        <f t="shared" si="645"/>
        <v>166.32397598578905</v>
      </c>
      <c r="X84" s="629">
        <f t="shared" si="83"/>
        <v>8.5406257585272858</v>
      </c>
      <c r="Y84" s="630">
        <f t="shared" si="644"/>
        <v>-4.280812910931739</v>
      </c>
      <c r="Z84" s="632">
        <f t="shared" si="468"/>
        <v>-0.59235045682992149</v>
      </c>
      <c r="AA84" s="629">
        <f t="shared" si="469"/>
        <v>0.80568041821392322</v>
      </c>
      <c r="AB84" s="629">
        <f t="shared" si="470"/>
        <v>-1.4578093154616199E-7</v>
      </c>
      <c r="AC84" s="636">
        <f t="shared" si="84"/>
        <v>1</v>
      </c>
      <c r="AD84" s="637">
        <f t="shared" si="115"/>
        <v>-0.59235045682992149</v>
      </c>
      <c r="AE84" s="629">
        <f t="shared" si="85"/>
        <v>0.80568041821392322</v>
      </c>
      <c r="AF84" s="633">
        <f t="shared" si="86"/>
        <v>-1.4578093154616199E-7</v>
      </c>
      <c r="AG84" s="602">
        <f t="shared" si="87"/>
        <v>89.999989632822249</v>
      </c>
      <c r="AH84" s="603">
        <f t="shared" si="88"/>
        <v>126.32398176107394</v>
      </c>
      <c r="AI84" s="585">
        <f t="shared" si="89"/>
        <v>-89.999991647367892</v>
      </c>
      <c r="AJ84" s="586">
        <f t="shared" si="90"/>
        <v>-143.67601823892562</v>
      </c>
      <c r="AK84" s="635">
        <f t="shared" si="211"/>
        <v>0.76604450791050704</v>
      </c>
      <c r="AL84" s="629">
        <f t="shared" si="91"/>
        <v>-0.64278753247097753</v>
      </c>
      <c r="AM84" s="634">
        <f t="shared" si="92"/>
        <v>-1.4578093154616199E-7</v>
      </c>
      <c r="AN84" s="581">
        <f t="shared" si="93"/>
        <v>-89.99998700560964</v>
      </c>
      <c r="AO84" s="582">
        <f t="shared" si="461"/>
        <v>39.999994224715394</v>
      </c>
      <c r="AP84" s="585">
        <f t="shared" si="95"/>
        <v>-39.999994224714683</v>
      </c>
      <c r="AQ84" s="586">
        <f t="shared" si="471"/>
        <v>0.26692542250625756</v>
      </c>
      <c r="AS84" s="52">
        <f t="shared" si="543"/>
        <v>-193.67602401421095</v>
      </c>
      <c r="AT84" s="72">
        <f t="shared" si="472"/>
        <v>-4.1463156720329817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4.1790000000000003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-2.174294542712965</v>
      </c>
      <c r="C85" s="708">
        <v>-4.7180072104400903</v>
      </c>
      <c r="D85" s="709">
        <v>-1.4700044335333179E-2</v>
      </c>
      <c r="E85" s="710">
        <v>-1.1686193154719918E-2</v>
      </c>
      <c r="F85" s="708">
        <v>-2.5358441859551332E-2</v>
      </c>
      <c r="G85" s="711">
        <v>0.99961011515290621</v>
      </c>
      <c r="H85" s="710">
        <v>0.26250000000000001</v>
      </c>
      <c r="I85" s="708">
        <v>0.40699999999999997</v>
      </c>
      <c r="J85" s="570">
        <v>4.2309999999999999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Inactive</v>
      </c>
      <c r="L85" s="320"/>
      <c r="M85" s="168">
        <f t="shared" si="464"/>
        <v>4.2309999999999999</v>
      </c>
      <c r="N85" s="632">
        <f t="shared" si="465"/>
        <v>-2.174294542712965</v>
      </c>
      <c r="O85" s="629">
        <f t="shared" si="466"/>
        <v>-4.7180072104400903</v>
      </c>
      <c r="P85" s="633">
        <f t="shared" si="467"/>
        <v>-1.4700044335333179E-2</v>
      </c>
      <c r="Q85" s="585">
        <f t="shared" si="520"/>
        <v>245.25737758360816</v>
      </c>
      <c r="R85" s="629">
        <f t="shared" si="79"/>
        <v>5.1949156678656552</v>
      </c>
      <c r="S85" s="634">
        <f t="shared" si="80"/>
        <v>-1.4700044335333179E-2</v>
      </c>
      <c r="T85" s="635">
        <f t="shared" si="81"/>
        <v>-4.7180072104400912</v>
      </c>
      <c r="U85" s="629">
        <f t="shared" si="82"/>
        <v>2.1742945427129636</v>
      </c>
      <c r="V85" s="636">
        <f t="shared" si="114"/>
        <v>-1.4700044335333179E-2</v>
      </c>
      <c r="W85" s="585">
        <f t="shared" si="645"/>
        <v>155.25737758360816</v>
      </c>
      <c r="X85" s="629">
        <f t="shared" si="83"/>
        <v>5.1949156678656552</v>
      </c>
      <c r="Y85" s="630">
        <f t="shared" si="644"/>
        <v>-1.4700044335333179E-2</v>
      </c>
      <c r="Z85" s="632">
        <f t="shared" si="468"/>
        <v>1.1686193154719918E-2</v>
      </c>
      <c r="AA85" s="629">
        <f t="shared" si="469"/>
        <v>2.5358441859551332E-2</v>
      </c>
      <c r="AB85" s="629">
        <f t="shared" si="470"/>
        <v>-0.99961011515290621</v>
      </c>
      <c r="AC85" s="636">
        <f t="shared" si="84"/>
        <v>1</v>
      </c>
      <c r="AD85" s="637">
        <f t="shared" si="115"/>
        <v>1.1686193154719918E-2</v>
      </c>
      <c r="AE85" s="629">
        <f t="shared" si="85"/>
        <v>2.5358441859551332E-2</v>
      </c>
      <c r="AF85" s="633">
        <f t="shared" si="86"/>
        <v>-0.99961011515290621</v>
      </c>
      <c r="AG85" s="602">
        <f t="shared" si="87"/>
        <v>1.4531867101753912</v>
      </c>
      <c r="AH85" s="603">
        <f t="shared" si="88"/>
        <v>89.330415212526844</v>
      </c>
      <c r="AI85" s="585">
        <f t="shared" si="89"/>
        <v>-1.5999997690412762</v>
      </c>
      <c r="AJ85" s="586">
        <f t="shared" si="90"/>
        <v>155.25784297148886</v>
      </c>
      <c r="AK85" s="635">
        <f t="shared" si="211"/>
        <v>2.2679489669608088E-7</v>
      </c>
      <c r="AL85" s="629">
        <f t="shared" si="91"/>
        <v>-2.7921634693230838E-2</v>
      </c>
      <c r="AM85" s="634">
        <f t="shared" si="92"/>
        <v>-0.99961011515290621</v>
      </c>
      <c r="AN85" s="581">
        <f t="shared" si="93"/>
        <v>-1.5999997689886134</v>
      </c>
      <c r="AO85" s="582">
        <f t="shared" si="461"/>
        <v>0</v>
      </c>
      <c r="AP85" s="585">
        <f t="shared" si="95"/>
        <v>-89.999534612119305</v>
      </c>
      <c r="AQ85" s="586">
        <f t="shared" si="471"/>
        <v>0.43882946342910323</v>
      </c>
      <c r="AS85" s="52">
        <f t="shared" si="543"/>
        <v>-204.74262241639184</v>
      </c>
      <c r="AT85" s="72">
        <f t="shared" si="472"/>
        <v>0.12748233234271672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4.2309999999999999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4.1310000000000002</v>
      </c>
      <c r="II85" s="734" cm="1">
        <f t="array" ref="II85">IFERROR(ROUND(VALUE(IF($IH85&lt;1,$IH85+LARGE((IF($M$9:$M$150="",0,$M$9:$M$150)-MOD(IF($M$9:$M$150="",0,$M$9:$M$150),1)),1),$IH85)),4),"")</f>
        <v>4.1310000000000002</v>
      </c>
      <c r="IJ85" s="533">
        <f t="shared" si="542"/>
        <v>1613</v>
      </c>
      <c r="IK85" s="533" t="str">
        <f t="shared" si="517"/>
        <v>Inactive</v>
      </c>
      <c r="IL85" s="727">
        <f t="shared" si="647"/>
        <v>14.163597955029445</v>
      </c>
      <c r="IM85" s="759">
        <v>4.4319750408150001E-3</v>
      </c>
      <c r="IN85" s="5">
        <f t="shared" si="648"/>
        <v>0.08</v>
      </c>
      <c r="IO85" s="771">
        <v>40</v>
      </c>
      <c r="IP85" s="9">
        <f t="shared" si="649"/>
        <v>-5.1938156645480458</v>
      </c>
      <c r="IQ85" s="5">
        <f t="shared" si="650"/>
        <v>-4.2400127878785644E-2</v>
      </c>
      <c r="IR85" s="5">
        <f t="shared" si="518"/>
        <v>0.314</v>
      </c>
      <c r="IS85" s="5">
        <f t="shared" si="651"/>
        <v>0.29434723575972555</v>
      </c>
      <c r="IT85" s="727">
        <f t="shared" si="652"/>
        <v>13.135264227408426</v>
      </c>
      <c r="IU85" s="9">
        <f t="shared" si="653"/>
        <v>-5.1949156678656552</v>
      </c>
      <c r="IV85" s="5">
        <f t="shared" si="654"/>
        <v>-1.4700044335333179E-2</v>
      </c>
      <c r="IW85" s="5">
        <f t="shared" si="519"/>
        <v>0.26250000000000001</v>
      </c>
      <c r="IX85" s="5">
        <f t="shared" si="655"/>
        <v>0.26250000000000001</v>
      </c>
      <c r="IY85" s="762">
        <f t="shared" si="656"/>
        <v>1.5999997689886134</v>
      </c>
    </row>
    <row r="86" spans="1:259" ht="15" customHeight="1" x14ac:dyDescent="0.25">
      <c r="A86" s="79"/>
      <c r="B86" s="707">
        <v>-2.5087828670389922</v>
      </c>
      <c r="C86" s="708">
        <v>-5.4066069678573125</v>
      </c>
      <c r="D86" s="709">
        <v>-0.11920035950828441</v>
      </c>
      <c r="E86" s="710">
        <v>-7.8149510286379717E-2</v>
      </c>
      <c r="F86" s="708">
        <v>-0.16841833710278994</v>
      </c>
      <c r="G86" s="711">
        <v>0.98261280154979158</v>
      </c>
      <c r="H86" s="710">
        <v>0.26250000000000001</v>
      </c>
      <c r="I86" s="708">
        <v>0.40699999999999997</v>
      </c>
      <c r="J86" s="570">
        <v>4.2370000000000001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Inactive</v>
      </c>
      <c r="L86" s="320"/>
      <c r="M86" s="168">
        <f t="shared" si="464"/>
        <v>4.2370000000000001</v>
      </c>
      <c r="N86" s="632">
        <f t="shared" si="465"/>
        <v>-2.5087828670389922</v>
      </c>
      <c r="O86" s="629">
        <f t="shared" si="466"/>
        <v>-5.4066069678573125</v>
      </c>
      <c r="P86" s="633">
        <f t="shared" si="467"/>
        <v>-0.11920035950828441</v>
      </c>
      <c r="Q86" s="585">
        <f t="shared" si="520"/>
        <v>245.10767760522214</v>
      </c>
      <c r="R86" s="629">
        <f t="shared" si="79"/>
        <v>5.9603179763190175</v>
      </c>
      <c r="S86" s="634">
        <f t="shared" si="80"/>
        <v>-0.11920035950828441</v>
      </c>
      <c r="T86" s="635">
        <f t="shared" si="81"/>
        <v>-5.4066069678573125</v>
      </c>
      <c r="U86" s="629">
        <f t="shared" si="82"/>
        <v>2.5087828670389913</v>
      </c>
      <c r="V86" s="636">
        <f t="shared" si="114"/>
        <v>-0.11920035950828441</v>
      </c>
      <c r="W86" s="585">
        <f t="shared" si="645"/>
        <v>155.10767760522214</v>
      </c>
      <c r="X86" s="629">
        <f t="shared" si="83"/>
        <v>5.9603179763190175</v>
      </c>
      <c r="Y86" s="630">
        <f t="shared" si="644"/>
        <v>-0.11920035950828441</v>
      </c>
      <c r="Z86" s="632">
        <f t="shared" si="468"/>
        <v>7.8149510286379717E-2</v>
      </c>
      <c r="AA86" s="629">
        <f t="shared" si="469"/>
        <v>0.16841833710278994</v>
      </c>
      <c r="AB86" s="629">
        <f t="shared" si="470"/>
        <v>-0.98261280154979158</v>
      </c>
      <c r="AC86" s="636">
        <f t="shared" si="84"/>
        <v>1</v>
      </c>
      <c r="AD86" s="637">
        <f t="shared" si="115"/>
        <v>7.8149510286379717E-2</v>
      </c>
      <c r="AE86" s="629">
        <f t="shared" si="85"/>
        <v>0.16841833710278994</v>
      </c>
      <c r="AF86" s="633">
        <f t="shared" si="86"/>
        <v>-0.98261280154979158</v>
      </c>
      <c r="AG86" s="602">
        <f t="shared" si="87"/>
        <v>9.7259034535220366</v>
      </c>
      <c r="AH86" s="603">
        <f t="shared" si="88"/>
        <v>85.517792571284545</v>
      </c>
      <c r="AI86" s="585">
        <f t="shared" si="89"/>
        <v>-10.699998455119145</v>
      </c>
      <c r="AJ86" s="586">
        <f t="shared" si="90"/>
        <v>155.10774759299147</v>
      </c>
      <c r="AK86" s="635">
        <f t="shared" si="211"/>
        <v>2.2679489664056973E-7</v>
      </c>
      <c r="AL86" s="629">
        <f t="shared" si="91"/>
        <v>-0.18566658889099708</v>
      </c>
      <c r="AM86" s="634">
        <f t="shared" si="92"/>
        <v>-0.98261280154979158</v>
      </c>
      <c r="AN86" s="581">
        <f t="shared" si="93"/>
        <v>-10.699998455111363</v>
      </c>
      <c r="AO86" s="582">
        <f t="shared" si="461"/>
        <v>0</v>
      </c>
      <c r="AP86" s="585">
        <f t="shared" si="95"/>
        <v>-89.999930012230692</v>
      </c>
      <c r="AQ86" s="586">
        <f t="shared" si="471"/>
        <v>0.38247838077603535</v>
      </c>
      <c r="AS86" s="52">
        <f t="shared" si="543"/>
        <v>-204.89232239477786</v>
      </c>
      <c r="AT86" s="72">
        <f t="shared" si="472"/>
        <v>2.3085975488089119E-2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4.2370000000000001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4.1369999999999996</v>
      </c>
      <c r="II86" s="734" cm="1">
        <f t="array" ref="II86">IFERROR(ROUND(VALUE(IF($IH86&lt;1,$IH86+LARGE((IF($M$9:$M$150="",0,$M$9:$M$150)-MOD(IF($M$9:$M$150="",0,$M$9:$M$150),1)),1),$IH86)),4),"")</f>
        <v>4.1369999999999996</v>
      </c>
      <c r="IJ86" s="533">
        <f t="shared" si="542"/>
        <v>1613</v>
      </c>
      <c r="IK86" s="533" t="str">
        <f t="shared" si="517"/>
        <v>Inactive</v>
      </c>
      <c r="IL86" s="727">
        <f t="shared" si="647"/>
        <v>13.748298014991349</v>
      </c>
      <c r="IM86" s="759">
        <v>3.0539219218220699E-3</v>
      </c>
      <c r="IN86" s="5">
        <f t="shared" si="648"/>
        <v>0.04</v>
      </c>
      <c r="IO86" s="771">
        <v>20</v>
      </c>
      <c r="IP86" s="9">
        <f t="shared" si="649"/>
        <v>-5.9531179546037496</v>
      </c>
      <c r="IQ86" s="5">
        <f t="shared" si="650"/>
        <v>-0.14660044214693341</v>
      </c>
      <c r="IR86" s="5">
        <f t="shared" si="518"/>
        <v>0.314</v>
      </c>
      <c r="IS86" s="5">
        <f t="shared" si="651"/>
        <v>0.29344116801318615</v>
      </c>
      <c r="IT86" s="727">
        <f t="shared" si="652"/>
        <v>27.812117649228636</v>
      </c>
      <c r="IU86" s="9">
        <f t="shared" si="653"/>
        <v>-5.9603179763190175</v>
      </c>
      <c r="IV86" s="5">
        <f t="shared" si="654"/>
        <v>-0.11920035950828441</v>
      </c>
      <c r="IW86" s="5">
        <f t="shared" si="519"/>
        <v>0.26250000000000001</v>
      </c>
      <c r="IX86" s="5">
        <f t="shared" si="655"/>
        <v>0.26250000000000001</v>
      </c>
      <c r="IY86" s="762">
        <f t="shared" si="656"/>
        <v>10.699998455111363</v>
      </c>
    </row>
    <row r="87" spans="1:259" ht="15" customHeight="1" x14ac:dyDescent="0.25">
      <c r="A87" s="79"/>
      <c r="B87" s="707">
        <v>-2.8894183627587422</v>
      </c>
      <c r="C87" s="708">
        <v>-6.0175709717341341</v>
      </c>
      <c r="D87" s="709">
        <v>-0.39420118891078609</v>
      </c>
      <c r="E87" s="710">
        <v>-0.14662279067587228</v>
      </c>
      <c r="F87" s="708">
        <v>-0.30536061314842244</v>
      </c>
      <c r="G87" s="711">
        <v>0.94088078585548707</v>
      </c>
      <c r="H87" s="710">
        <v>0.26250000000000001</v>
      </c>
      <c r="I87" s="708">
        <v>0.40699999999999997</v>
      </c>
      <c r="J87" s="570">
        <v>4.2430000000000003</v>
      </c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Inactive</v>
      </c>
      <c r="L87" s="320"/>
      <c r="M87" s="168">
        <f t="shared" si="464"/>
        <v>4.2430000000000003</v>
      </c>
      <c r="N87" s="632">
        <f t="shared" si="465"/>
        <v>-2.8894183627587422</v>
      </c>
      <c r="O87" s="629">
        <f t="shared" si="466"/>
        <v>-6.0175709717341341</v>
      </c>
      <c r="P87" s="633">
        <f t="shared" si="467"/>
        <v>-0.39420118891078609</v>
      </c>
      <c r="Q87" s="585">
        <f t="shared" si="520"/>
        <v>244.35137771441833</v>
      </c>
      <c r="R87" s="629">
        <f t="shared" si="79"/>
        <v>6.6753201327655214</v>
      </c>
      <c r="S87" s="634">
        <f t="shared" si="80"/>
        <v>-0.39420118891078609</v>
      </c>
      <c r="T87" s="635">
        <f t="shared" si="81"/>
        <v>-6.0175709717341341</v>
      </c>
      <c r="U87" s="629">
        <f t="shared" si="82"/>
        <v>2.8894183627587404</v>
      </c>
      <c r="V87" s="636">
        <f t="shared" si="114"/>
        <v>-0.39420118891078609</v>
      </c>
      <c r="W87" s="585">
        <f t="shared" si="645"/>
        <v>154.35137771441833</v>
      </c>
      <c r="X87" s="629">
        <f t="shared" si="83"/>
        <v>6.6753201327655214</v>
      </c>
      <c r="Y87" s="630">
        <f t="shared" si="644"/>
        <v>-0.39420118891078609</v>
      </c>
      <c r="Z87" s="632">
        <f t="shared" si="468"/>
        <v>0.14662279067587228</v>
      </c>
      <c r="AA87" s="629">
        <f t="shared" si="469"/>
        <v>0.30536061314842244</v>
      </c>
      <c r="AB87" s="629">
        <f t="shared" si="470"/>
        <v>-0.94088078585548707</v>
      </c>
      <c r="AC87" s="636">
        <f t="shared" si="84"/>
        <v>1</v>
      </c>
      <c r="AD87" s="637">
        <f t="shared" si="115"/>
        <v>0.14662279067587228</v>
      </c>
      <c r="AE87" s="629">
        <f t="shared" si="85"/>
        <v>0.30536061314842244</v>
      </c>
      <c r="AF87" s="633">
        <f t="shared" si="86"/>
        <v>-0.94088078585548707</v>
      </c>
      <c r="AG87" s="602">
        <f t="shared" si="87"/>
        <v>17.980714856097272</v>
      </c>
      <c r="AH87" s="603">
        <f t="shared" si="88"/>
        <v>81.568737285481347</v>
      </c>
      <c r="AI87" s="585">
        <f t="shared" si="89"/>
        <v>-19.799997141238208</v>
      </c>
      <c r="AJ87" s="586">
        <f t="shared" si="90"/>
        <v>154.35141607561567</v>
      </c>
      <c r="AK87" s="635">
        <f t="shared" si="211"/>
        <v>2.2679489680710319E-7</v>
      </c>
      <c r="AL87" s="629">
        <f t="shared" si="91"/>
        <v>-0.33873787330015187</v>
      </c>
      <c r="AM87" s="634">
        <f t="shared" si="92"/>
        <v>-0.94088078585548707</v>
      </c>
      <c r="AN87" s="581">
        <f t="shared" si="93"/>
        <v>-19.799997141234122</v>
      </c>
      <c r="AO87" s="582">
        <f t="shared" si="461"/>
        <v>0</v>
      </c>
      <c r="AP87" s="585">
        <f t="shared" si="95"/>
        <v>-89.99996163880266</v>
      </c>
      <c r="AQ87" s="586">
        <f t="shared" si="471"/>
        <v>0.34151165619229967</v>
      </c>
      <c r="AS87" s="52">
        <f t="shared" si="543"/>
        <v>-205.64862228558167</v>
      </c>
      <c r="AT87" s="72">
        <f t="shared" si="472"/>
        <v>-0.25138964565690991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4.2430000000000003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4.1429999999999998</v>
      </c>
      <c r="II87" s="734" cm="1">
        <f t="array" ref="II87">IFERROR(ROUND(VALUE(IF($IH87&lt;1,$IH87+LARGE((IF($M$9:$M$150="",0,$M$9:$M$150)-MOD(IF($M$9:$M$150="",0,$M$9:$M$150),1)),1),$IH87)),4),"")</f>
        <v>4.1429999999999998</v>
      </c>
      <c r="IJ87" s="533">
        <f t="shared" si="542"/>
        <v>1613</v>
      </c>
      <c r="IK87" s="533" t="str">
        <f t="shared" si="517"/>
        <v>Inactive</v>
      </c>
      <c r="IL87" s="727">
        <f t="shared" si="647"/>
        <v>13.882597995600861</v>
      </c>
      <c r="IM87" s="759">
        <v>1.28430813594435E-3</v>
      </c>
      <c r="IN87" s="5">
        <f t="shared" si="648"/>
        <v>0</v>
      </c>
      <c r="IO87" s="771">
        <v>0</v>
      </c>
      <c r="IP87" s="9">
        <f t="shared" si="649"/>
        <v>-6.6635200971766144</v>
      </c>
      <c r="IQ87" s="5">
        <f t="shared" si="650"/>
        <v>-0.41620125526298657</v>
      </c>
      <c r="IR87" s="5">
        <f t="shared" si="518"/>
        <v>0.314</v>
      </c>
      <c r="IS87" s="5">
        <f t="shared" si="651"/>
        <v>0.28837129981627269</v>
      </c>
      <c r="IT87" s="727">
        <f t="shared" si="652"/>
        <v>40.13037543661067</v>
      </c>
      <c r="IU87" s="9">
        <f t="shared" si="653"/>
        <v>-6.6753201327655214</v>
      </c>
      <c r="IV87" s="5">
        <f t="shared" si="654"/>
        <v>-0.39420118891078609</v>
      </c>
      <c r="IW87" s="5">
        <f t="shared" si="519"/>
        <v>0.26250000000000001</v>
      </c>
      <c r="IX87" s="5">
        <f t="shared" si="655"/>
        <v>0.26250000000000001</v>
      </c>
      <c r="IY87" s="762">
        <f t="shared" si="656"/>
        <v>19.799997141234122</v>
      </c>
    </row>
    <row r="88" spans="1:259" ht="15" customHeight="1" x14ac:dyDescent="0.25">
      <c r="A88" s="79"/>
      <c r="B88" s="707">
        <v>-3.2871052896517723</v>
      </c>
      <c r="C88" s="708">
        <v>-6.5280380096746518</v>
      </c>
      <c r="D88" s="709">
        <v>-0.82470248730270179</v>
      </c>
      <c r="E88" s="710">
        <v>-0.21735057218992088</v>
      </c>
      <c r="F88" s="708">
        <v>-0.4316486176373347</v>
      </c>
      <c r="G88" s="711">
        <v>0.87546456219569047</v>
      </c>
      <c r="H88" s="710">
        <v>0.26250000000000001</v>
      </c>
      <c r="I88" s="708">
        <v>0.40699999999999997</v>
      </c>
      <c r="J88" s="570">
        <v>4.2489999999999997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4.2489999999999997</v>
      </c>
      <c r="N88" s="632">
        <f t="shared" si="465"/>
        <v>-3.2871052896517723</v>
      </c>
      <c r="O88" s="629">
        <f t="shared" si="466"/>
        <v>-6.5280380096746518</v>
      </c>
      <c r="P88" s="633">
        <f t="shared" si="467"/>
        <v>-0.82470248730270179</v>
      </c>
      <c r="Q88" s="585">
        <f t="shared" si="520"/>
        <v>243.27307787010557</v>
      </c>
      <c r="R88" s="629">
        <f t="shared" si="79"/>
        <v>7.3089220437088835</v>
      </c>
      <c r="S88" s="634">
        <f t="shared" si="80"/>
        <v>-0.82470248730270179</v>
      </c>
      <c r="T88" s="635">
        <f t="shared" si="81"/>
        <v>-6.5280380096746518</v>
      </c>
      <c r="U88" s="629">
        <f t="shared" si="82"/>
        <v>3.287105289651771</v>
      </c>
      <c r="V88" s="636">
        <f t="shared" si="114"/>
        <v>-0.82470248730270179</v>
      </c>
      <c r="W88" s="585">
        <f t="shared" si="645"/>
        <v>153.27307787010557</v>
      </c>
      <c r="X88" s="629">
        <f t="shared" si="83"/>
        <v>7.3089220437088835</v>
      </c>
      <c r="Y88" s="630">
        <f t="shared" si="644"/>
        <v>-0.82470248730270179</v>
      </c>
      <c r="Z88" s="632">
        <f t="shared" si="468"/>
        <v>0.21735057218992088</v>
      </c>
      <c r="AA88" s="629">
        <f t="shared" si="469"/>
        <v>0.4316486176373347</v>
      </c>
      <c r="AB88" s="629">
        <f t="shared" si="470"/>
        <v>-0.87546456219569047</v>
      </c>
      <c r="AC88" s="636">
        <f t="shared" si="84"/>
        <v>1</v>
      </c>
      <c r="AD88" s="637">
        <f t="shared" si="115"/>
        <v>0.21735057218992088</v>
      </c>
      <c r="AE88" s="629">
        <f t="shared" si="85"/>
        <v>0.4316486176373347</v>
      </c>
      <c r="AF88" s="633">
        <f t="shared" si="86"/>
        <v>-0.87546456219569047</v>
      </c>
      <c r="AG88" s="602">
        <f t="shared" si="87"/>
        <v>26.245644795620215</v>
      </c>
      <c r="AH88" s="603">
        <f t="shared" si="88"/>
        <v>77.446533152001564</v>
      </c>
      <c r="AI88" s="585">
        <f t="shared" si="89"/>
        <v>-28.899995827359522</v>
      </c>
      <c r="AJ88" s="586">
        <f t="shared" si="90"/>
        <v>153.27310475788909</v>
      </c>
      <c r="AK88" s="635">
        <f t="shared" si="211"/>
        <v>2.2679489669608088E-7</v>
      </c>
      <c r="AL88" s="629">
        <f t="shared" si="91"/>
        <v>-0.48328231949809264</v>
      </c>
      <c r="AM88" s="634">
        <f t="shared" si="92"/>
        <v>-0.87546456219569047</v>
      </c>
      <c r="AN88" s="581">
        <f t="shared" si="93"/>
        <v>-28.899995827356857</v>
      </c>
      <c r="AO88" s="582">
        <f t="shared" si="461"/>
        <v>0</v>
      </c>
      <c r="AP88" s="585">
        <f t="shared" si="95"/>
        <v>-89.999973112216466</v>
      </c>
      <c r="AQ88" s="586">
        <f t="shared" si="471"/>
        <v>0.31190702245416707</v>
      </c>
      <c r="AS88" s="52">
        <f t="shared" si="543"/>
        <v>-206.72692212989443</v>
      </c>
      <c r="AT88" s="72">
        <f t="shared" si="472"/>
        <v>-0.68114212471249735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4.2489999999999997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4.149</v>
      </c>
      <c r="II88" s="734" cm="1">
        <f t="array" ref="II88">IFERROR(ROUND(VALUE(IF($IH88&lt;1,$IH88+LARGE((IF($M$9:$M$150="",0,$M$9:$M$150)-MOD(IF($M$9:$M$150="",0,$M$9:$M$150),1)),1),$IH88)),4),"")</f>
        <v>4.149</v>
      </c>
      <c r="IJ88" s="533">
        <f t="shared" si="542"/>
        <v>1613</v>
      </c>
      <c r="IK88" s="533" t="str">
        <f t="shared" si="517"/>
        <v>Inactive</v>
      </c>
      <c r="IL88" s="727">
        <f t="shared" si="647"/>
        <v>14.353897927553589</v>
      </c>
      <c r="IM88" s="759">
        <v>1.5425342074035499E-4</v>
      </c>
      <c r="IN88" s="5">
        <f t="shared" si="648"/>
        <v>0</v>
      </c>
      <c r="IO88" s="771">
        <v>0</v>
      </c>
      <c r="IP88" s="9">
        <f t="shared" si="649"/>
        <v>-7.2953220026911598</v>
      </c>
      <c r="IQ88" s="5">
        <f t="shared" si="650"/>
        <v>-0.83830252832042473</v>
      </c>
      <c r="IR88" s="5">
        <f t="shared" si="518"/>
        <v>0.314</v>
      </c>
      <c r="IS88" s="5">
        <f t="shared" si="651"/>
        <v>0.28060615038827802</v>
      </c>
      <c r="IT88" s="727">
        <f t="shared" si="652"/>
        <v>50.684647834276007</v>
      </c>
      <c r="IU88" s="9">
        <f t="shared" si="653"/>
        <v>-7.3089220437088835</v>
      </c>
      <c r="IV88" s="5">
        <f t="shared" si="654"/>
        <v>-0.82470248730270179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28.899995827356857</v>
      </c>
    </row>
    <row r="89" spans="1:259" ht="15" customHeight="1" x14ac:dyDescent="0.25">
      <c r="A89" s="79"/>
      <c r="B89" s="707">
        <v>-3.6398041006000836</v>
      </c>
      <c r="C89" s="708">
        <v>-6.9294484269505627</v>
      </c>
      <c r="D89" s="709">
        <v>-1.3858041795854055</v>
      </c>
      <c r="E89" s="710">
        <v>-0.28565377158998984</v>
      </c>
      <c r="F89" s="708">
        <v>-0.54382730461916284</v>
      </c>
      <c r="G89" s="711">
        <v>0.78908414350249767</v>
      </c>
      <c r="H89" s="710">
        <v>0.26250000000000001</v>
      </c>
      <c r="I89" s="708">
        <v>0.40699999999999997</v>
      </c>
      <c r="J89" s="570">
        <v>4.2549999999999999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4.2549999999999999</v>
      </c>
      <c r="N89" s="632">
        <f t="shared" si="465"/>
        <v>-3.6398041006000836</v>
      </c>
      <c r="O89" s="629">
        <f t="shared" si="466"/>
        <v>-6.9294484269505627</v>
      </c>
      <c r="P89" s="633">
        <f t="shared" si="467"/>
        <v>-1.3858041795854055</v>
      </c>
      <c r="Q89" s="585">
        <f t="shared" si="520"/>
        <v>242.28857801224976</v>
      </c>
      <c r="R89" s="629">
        <f t="shared" si="79"/>
        <v>7.827223606906399</v>
      </c>
      <c r="S89" s="634">
        <f t="shared" si="80"/>
        <v>-1.3858041795854055</v>
      </c>
      <c r="T89" s="635">
        <f t="shared" si="81"/>
        <v>-6.9294484269505627</v>
      </c>
      <c r="U89" s="629">
        <f t="shared" si="82"/>
        <v>3.6398041006000845</v>
      </c>
      <c r="V89" s="636">
        <f t="shared" si="114"/>
        <v>-1.3858041795854055</v>
      </c>
      <c r="W89" s="585">
        <f t="shared" si="645"/>
        <v>152.28857801224976</v>
      </c>
      <c r="X89" s="629">
        <f t="shared" si="83"/>
        <v>7.827223606906399</v>
      </c>
      <c r="Y89" s="630">
        <f t="shared" si="644"/>
        <v>-1.3858041795854055</v>
      </c>
      <c r="Z89" s="632">
        <f t="shared" si="468"/>
        <v>0.28565377158998984</v>
      </c>
      <c r="AA89" s="629">
        <f t="shared" si="469"/>
        <v>0.54382730461916284</v>
      </c>
      <c r="AB89" s="629">
        <f t="shared" si="470"/>
        <v>-0.78908414350249767</v>
      </c>
      <c r="AC89" s="636">
        <f t="shared" si="84"/>
        <v>1</v>
      </c>
      <c r="AD89" s="637">
        <f t="shared" si="115"/>
        <v>0.28565377158998984</v>
      </c>
      <c r="AE89" s="629">
        <f t="shared" si="85"/>
        <v>0.54382730461916284</v>
      </c>
      <c r="AF89" s="633">
        <f t="shared" si="86"/>
        <v>-0.78908414350249767</v>
      </c>
      <c r="AG89" s="602">
        <f t="shared" si="87"/>
        <v>34.574144390242253</v>
      </c>
      <c r="AH89" s="603">
        <f t="shared" si="88"/>
        <v>73.402068388635072</v>
      </c>
      <c r="AI89" s="585">
        <f t="shared" si="89"/>
        <v>-37.899994527919702</v>
      </c>
      <c r="AJ89" s="586">
        <f t="shared" si="90"/>
        <v>152.28859916592884</v>
      </c>
      <c r="AK89" s="635">
        <f t="shared" si="211"/>
        <v>2.2679489680710319E-7</v>
      </c>
      <c r="AL89" s="629">
        <f t="shared" si="91"/>
        <v>-0.61428512473677754</v>
      </c>
      <c r="AM89" s="634">
        <f t="shared" si="92"/>
        <v>-0.78908414350249767</v>
      </c>
      <c r="AN89" s="581">
        <f t="shared" si="93"/>
        <v>-37.899994527917812</v>
      </c>
      <c r="AO89" s="582">
        <f t="shared" si="461"/>
        <v>0</v>
      </c>
      <c r="AP89" s="585">
        <f t="shared" si="95"/>
        <v>-89.999978846320914</v>
      </c>
      <c r="AQ89" s="586">
        <f t="shared" si="471"/>
        <v>0.2912535926077901</v>
      </c>
      <c r="AS89" s="52">
        <f t="shared" si="543"/>
        <v>-207.71142198775024</v>
      </c>
      <c r="AT89" s="72">
        <f t="shared" si="472"/>
        <v>-1.2415601365383566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4.2549999999999999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4.1550000000000002</v>
      </c>
      <c r="II89" s="734" cm="1">
        <f t="array" ref="II89">IFERROR(ROUND(VALUE(IF($IH89&lt;1,$IH89+LARGE((IF($M$9:$M$150="",0,$M$9:$M$150)-MOD(IF($M$9:$M$150="",0,$M$9:$M$150),1)),1),$IH89)),4),"")</f>
        <v>4.1550000000000002</v>
      </c>
      <c r="IJ89" s="533">
        <f t="shared" si="542"/>
        <v>1613</v>
      </c>
      <c r="IK89" s="533" t="str">
        <f t="shared" si="517"/>
        <v>Inactive</v>
      </c>
      <c r="IL89" s="727">
        <f t="shared" si="647"/>
        <v>14.810397861643111</v>
      </c>
      <c r="IM89" s="759">
        <v>1.76975222424868E-4</v>
      </c>
      <c r="IN89" s="5">
        <f t="shared" si="648"/>
        <v>0</v>
      </c>
      <c r="IO89" s="771">
        <v>0</v>
      </c>
      <c r="IP89" s="9">
        <f t="shared" si="649"/>
        <v>-7.8143235679998808</v>
      </c>
      <c r="IQ89" s="5">
        <f t="shared" si="650"/>
        <v>-1.3909041949670522</v>
      </c>
      <c r="IR89" s="5">
        <f t="shared" si="518"/>
        <v>0.314</v>
      </c>
      <c r="IS89" s="5">
        <f t="shared" si="651"/>
        <v>0.27217574175947823</v>
      </c>
      <c r="IT89" s="727">
        <f t="shared" si="652"/>
        <v>60.342458414425423</v>
      </c>
      <c r="IU89" s="9">
        <f t="shared" si="653"/>
        <v>-7.827223606906399</v>
      </c>
      <c r="IV89" s="5">
        <f t="shared" si="654"/>
        <v>-1.3858041795854055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37.899994527917812</v>
      </c>
    </row>
    <row r="90" spans="1:259" ht="15" customHeight="1" x14ac:dyDescent="0.25">
      <c r="A90" s="79"/>
      <c r="B90" s="707">
        <v>-3.8859991849090285</v>
      </c>
      <c r="C90" s="708">
        <v>-7.2268946043770068</v>
      </c>
      <c r="D90" s="709">
        <v>-2.0515061873426612</v>
      </c>
      <c r="E90" s="710">
        <v>-0.34636085551892815</v>
      </c>
      <c r="F90" s="708">
        <v>-0.64413684608742439</v>
      </c>
      <c r="G90" s="711">
        <v>0.68199844668205956</v>
      </c>
      <c r="H90" s="710">
        <v>0.26250000000000001</v>
      </c>
      <c r="I90" s="708">
        <v>0.40699999999999997</v>
      </c>
      <c r="J90" s="570">
        <v>4.2610000000000001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4.2610000000000001</v>
      </c>
      <c r="N90" s="632">
        <f t="shared" si="465"/>
        <v>-3.8859991849090285</v>
      </c>
      <c r="O90" s="629">
        <f t="shared" si="466"/>
        <v>-7.2268946043770068</v>
      </c>
      <c r="P90" s="633">
        <f t="shared" si="467"/>
        <v>-2.0515061873426612</v>
      </c>
      <c r="Q90" s="585">
        <f t="shared" si="520"/>
        <v>241.73247809254065</v>
      </c>
      <c r="R90" s="629">
        <f t="shared" si="79"/>
        <v>8.2054247475610378</v>
      </c>
      <c r="S90" s="634">
        <f t="shared" si="80"/>
        <v>-2.0515061873426612</v>
      </c>
      <c r="T90" s="635">
        <f t="shared" si="81"/>
        <v>-7.2268946043770059</v>
      </c>
      <c r="U90" s="629">
        <f t="shared" si="82"/>
        <v>3.8859991849090285</v>
      </c>
      <c r="V90" s="636">
        <f t="shared" si="114"/>
        <v>-2.0515061873426612</v>
      </c>
      <c r="W90" s="585">
        <f t="shared" si="645"/>
        <v>151.73247809254065</v>
      </c>
      <c r="X90" s="629">
        <f t="shared" si="83"/>
        <v>8.2054247475610378</v>
      </c>
      <c r="Y90" s="630">
        <f t="shared" si="644"/>
        <v>-2.0515061873426612</v>
      </c>
      <c r="Z90" s="632">
        <f t="shared" si="468"/>
        <v>0.34636085551892815</v>
      </c>
      <c r="AA90" s="629">
        <f t="shared" si="469"/>
        <v>0.64413684608742439</v>
      </c>
      <c r="AB90" s="629">
        <f t="shared" si="470"/>
        <v>-0.68199844668205956</v>
      </c>
      <c r="AC90" s="636">
        <f t="shared" si="84"/>
        <v>1</v>
      </c>
      <c r="AD90" s="637">
        <f t="shared" si="115"/>
        <v>0.34636085551892815</v>
      </c>
      <c r="AE90" s="629">
        <f t="shared" si="85"/>
        <v>0.64413684608742439</v>
      </c>
      <c r="AF90" s="633">
        <f t="shared" si="86"/>
        <v>-0.68199844668205956</v>
      </c>
      <c r="AG90" s="602">
        <f t="shared" si="87"/>
        <v>43.364630816585958</v>
      </c>
      <c r="AH90" s="603">
        <f t="shared" si="88"/>
        <v>69.735110402323471</v>
      </c>
      <c r="AI90" s="585">
        <f t="shared" si="89"/>
        <v>-46.999993214041943</v>
      </c>
      <c r="AJ90" s="586">
        <f t="shared" si="90"/>
        <v>151.73249586012943</v>
      </c>
      <c r="AK90" s="635">
        <f t="shared" si="211"/>
        <v>2.2679489664056973E-7</v>
      </c>
      <c r="AL90" s="629">
        <f t="shared" si="91"/>
        <v>-0.73135362084507838</v>
      </c>
      <c r="AM90" s="634">
        <f t="shared" si="92"/>
        <v>-0.68199844668205956</v>
      </c>
      <c r="AN90" s="581">
        <f t="shared" si="93"/>
        <v>-46.999993214040572</v>
      </c>
      <c r="AO90" s="582">
        <f t="shared" si="461"/>
        <v>0</v>
      </c>
      <c r="AP90" s="585">
        <f t="shared" si="95"/>
        <v>-89.999982232411213</v>
      </c>
      <c r="AQ90" s="586">
        <f t="shared" si="471"/>
        <v>0.27782946455382501</v>
      </c>
      <c r="AS90" s="52">
        <f t="shared" si="543"/>
        <v>-208.26752190745935</v>
      </c>
      <c r="AT90" s="72">
        <f t="shared" si="472"/>
        <v>-1.9068759637958144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4.2610000000000001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4.1609999999999996</v>
      </c>
      <c r="II90" s="734" cm="1">
        <f t="array" ref="II90">IFERROR(ROUND(VALUE(IF($IH90&lt;1,$IH90+LARGE((IF($M$9:$M$150="",0,$M$9:$M$150)-MOD(IF($M$9:$M$150="",0,$M$9:$M$150),1)),1),$IH90)),4),"")</f>
        <v>4.1609999999999996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14.961497839826961</v>
      </c>
      <c r="IM90" s="759">
        <v>1.00755013154718E-4</v>
      </c>
      <c r="IN90" s="5">
        <f t="shared" si="648"/>
        <v>0</v>
      </c>
      <c r="IO90" s="771">
        <v>0</v>
      </c>
      <c r="IP90" s="9">
        <f t="shared" si="649"/>
        <v>-8.198124725544174</v>
      </c>
      <c r="IQ90" s="5">
        <f t="shared" si="650"/>
        <v>-2.0468061731674188</v>
      </c>
      <c r="IR90" s="5">
        <f t="shared" si="518"/>
        <v>0.314</v>
      </c>
      <c r="IS90" s="5">
        <f t="shared" si="651"/>
        <v>0.2604661590573864</v>
      </c>
      <c r="IT90" s="727">
        <f t="shared" si="652"/>
        <v>68.859662945660801</v>
      </c>
      <c r="IU90" s="9">
        <f t="shared" si="653"/>
        <v>-8.2054247475610378</v>
      </c>
      <c r="IV90" s="5">
        <f t="shared" si="654"/>
        <v>-2.0515061873426612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46.999993214040572</v>
      </c>
    </row>
    <row r="91" spans="1:259" ht="15" customHeight="1" x14ac:dyDescent="0.25">
      <c r="A91" s="79"/>
      <c r="B91" s="707">
        <v>-4.0322260487442021</v>
      </c>
      <c r="C91" s="708">
        <v>-7.3917508576012079</v>
      </c>
      <c r="D91" s="709">
        <v>-2.7849083992837325</v>
      </c>
      <c r="E91" s="710">
        <v>-0.39794597663541392</v>
      </c>
      <c r="F91" s="708">
        <v>-0.72950260926186661</v>
      </c>
      <c r="G91" s="711">
        <v>0.55629573318498071</v>
      </c>
      <c r="H91" s="710">
        <v>0.26250000000000001</v>
      </c>
      <c r="I91" s="708">
        <v>0.40699999999999997</v>
      </c>
      <c r="J91" s="570">
        <v>4.2670000000000003</v>
      </c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Inactive</v>
      </c>
      <c r="L91" s="320"/>
      <c r="M91" s="168">
        <f t="shared" si="464"/>
        <v>4.2670000000000003</v>
      </c>
      <c r="N91" s="632">
        <f t="shared" si="465"/>
        <v>-4.0322260487442021</v>
      </c>
      <c r="O91" s="629">
        <f t="shared" si="466"/>
        <v>-7.3917508576012079</v>
      </c>
      <c r="P91" s="633">
        <f t="shared" si="467"/>
        <v>-2.7849083992837325</v>
      </c>
      <c r="Q91" s="585">
        <f t="shared" si="520"/>
        <v>241.38737814236691</v>
      </c>
      <c r="R91" s="629">
        <f t="shared" si="79"/>
        <v>8.4200253947965908</v>
      </c>
      <c r="S91" s="634">
        <f t="shared" si="80"/>
        <v>-2.7849083992837325</v>
      </c>
      <c r="T91" s="635">
        <f t="shared" si="81"/>
        <v>-7.391750857601207</v>
      </c>
      <c r="U91" s="629">
        <f t="shared" si="82"/>
        <v>4.0322260487442056</v>
      </c>
      <c r="V91" s="636">
        <f t="shared" si="114"/>
        <v>-2.7849083992837325</v>
      </c>
      <c r="W91" s="585">
        <f t="shared" si="645"/>
        <v>151.38737814236691</v>
      </c>
      <c r="X91" s="629">
        <f t="shared" si="83"/>
        <v>8.4200253947965908</v>
      </c>
      <c r="Y91" s="630">
        <f t="shared" si="644"/>
        <v>-2.7849083992837325</v>
      </c>
      <c r="Z91" s="632">
        <f t="shared" si="468"/>
        <v>0.39794597663541392</v>
      </c>
      <c r="AA91" s="629">
        <f t="shared" si="469"/>
        <v>0.72950260926186661</v>
      </c>
      <c r="AB91" s="629">
        <f t="shared" si="470"/>
        <v>-0.55629573318498071</v>
      </c>
      <c r="AC91" s="636">
        <f t="shared" si="84"/>
        <v>1</v>
      </c>
      <c r="AD91" s="637">
        <f t="shared" si="115"/>
        <v>0.39794597663541392</v>
      </c>
      <c r="AE91" s="629">
        <f t="shared" si="85"/>
        <v>0.72950260926186661</v>
      </c>
      <c r="AF91" s="633">
        <f t="shared" si="86"/>
        <v>-0.55629573318498071</v>
      </c>
      <c r="AG91" s="602">
        <f t="shared" si="87"/>
        <v>52.671996654843241</v>
      </c>
      <c r="AH91" s="603">
        <f t="shared" si="88"/>
        <v>66.550165794790573</v>
      </c>
      <c r="AI91" s="585">
        <f t="shared" si="89"/>
        <v>-56.199991885726128</v>
      </c>
      <c r="AJ91" s="586">
        <f t="shared" si="90"/>
        <v>151.38739377971291</v>
      </c>
      <c r="AK91" s="635">
        <f t="shared" si="211"/>
        <v>2.2679489719568124E-7</v>
      </c>
      <c r="AL91" s="629">
        <f t="shared" si="91"/>
        <v>-0.83098439049126172</v>
      </c>
      <c r="AM91" s="634">
        <f t="shared" si="92"/>
        <v>-0.55629573318498071</v>
      </c>
      <c r="AN91" s="581">
        <f t="shared" si="93"/>
        <v>-56.199991885725161</v>
      </c>
      <c r="AO91" s="582">
        <f t="shared" si="461"/>
        <v>0</v>
      </c>
      <c r="AP91" s="585">
        <f t="shared" si="95"/>
        <v>-89.999984362654018</v>
      </c>
      <c r="AQ91" s="586">
        <f t="shared" si="471"/>
        <v>0.27074854959911993</v>
      </c>
      <c r="AS91" s="52">
        <f t="shared" si="543"/>
        <v>-208.61262185763309</v>
      </c>
      <c r="AT91" s="72">
        <f t="shared" si="472"/>
        <v>-2.6400385229937093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4.2670000000000003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4.1669999999999998</v>
      </c>
      <c r="II91" s="734" cm="1">
        <f t="array" ref="II91">IFERROR(ROUND(VALUE(IF($IH91&lt;1,$IH91+LARGE((IF($M$9:$M$150="",0,$M$9:$M$150)-MOD(IF($M$9:$M$150="",0,$M$9:$M$150),1)),1),$IH91)),4),"")</f>
        <v>4.1669999999999998</v>
      </c>
      <c r="IJ91" s="533">
        <f t="shared" si="542"/>
        <v>1613</v>
      </c>
      <c r="IK91" s="533" t="str">
        <f t="shared" si="517"/>
        <v>Inactive</v>
      </c>
      <c r="IL91" s="727">
        <f t="shared" si="647"/>
        <v>15.068597824363678</v>
      </c>
      <c r="IM91" s="759">
        <v>5.3083189910270803E-4</v>
      </c>
      <c r="IN91" s="5">
        <f t="shared" si="648"/>
        <v>0</v>
      </c>
      <c r="IO91" s="771">
        <v>0</v>
      </c>
      <c r="IP91" s="9">
        <f t="shared" si="649"/>
        <v>-8.4192253923837832</v>
      </c>
      <c r="IQ91" s="5">
        <f t="shared" si="650"/>
        <v>-2.7738083658060315</v>
      </c>
      <c r="IR91" s="5">
        <f t="shared" si="518"/>
        <v>0.314</v>
      </c>
      <c r="IS91" s="5">
        <f t="shared" si="651"/>
        <v>0.25102409942439985</v>
      </c>
      <c r="IT91" s="727">
        <f t="shared" si="652"/>
        <v>77.483230160526745</v>
      </c>
      <c r="IU91" s="9">
        <f t="shared" si="653"/>
        <v>-8.4200253947965908</v>
      </c>
      <c r="IV91" s="5">
        <f t="shared" si="654"/>
        <v>-2.7849083992837325</v>
      </c>
      <c r="IW91" s="5">
        <f t="shared" si="519"/>
        <v>0.26250000000000001</v>
      </c>
      <c r="IX91" s="5">
        <f t="shared" si="655"/>
        <v>0.26250000000000001</v>
      </c>
      <c r="IY91" s="762">
        <f t="shared" si="656"/>
        <v>56.199991885725161</v>
      </c>
    </row>
    <row r="92" spans="1:259" ht="15" customHeight="1" x14ac:dyDescent="0.25">
      <c r="A92" s="79"/>
      <c r="B92" s="707">
        <v>-4.0952926530660019</v>
      </c>
      <c r="C92" s="708">
        <v>-7.4124559307661251</v>
      </c>
      <c r="D92" s="709">
        <v>-3.5420106827042184</v>
      </c>
      <c r="E92" s="710">
        <v>-0.43828097808397931</v>
      </c>
      <c r="F92" s="708">
        <v>-0.79328649529520889</v>
      </c>
      <c r="G92" s="711">
        <v>0.42261841019055846</v>
      </c>
      <c r="H92" s="710">
        <v>0.26250000000000001</v>
      </c>
      <c r="I92" s="708">
        <v>0.40699999999999997</v>
      </c>
      <c r="J92" s="570">
        <v>4.2729999999999997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Inactive</v>
      </c>
      <c r="L92" s="320"/>
      <c r="M92" s="168">
        <f t="shared" si="464"/>
        <v>4.2729999999999997</v>
      </c>
      <c r="N92" s="632">
        <f t="shared" si="465"/>
        <v>-4.0952926530660019</v>
      </c>
      <c r="O92" s="629">
        <f t="shared" si="466"/>
        <v>-7.4124559307661251</v>
      </c>
      <c r="P92" s="633">
        <f t="shared" si="467"/>
        <v>-3.5420106827042184</v>
      </c>
      <c r="Q92" s="585">
        <f t="shared" si="520"/>
        <v>241.0798781867644</v>
      </c>
      <c r="R92" s="629">
        <f t="shared" si="79"/>
        <v>8.4685255410730313</v>
      </c>
      <c r="S92" s="634">
        <f t="shared" si="80"/>
        <v>-3.5420106827042184</v>
      </c>
      <c r="T92" s="635">
        <f t="shared" si="81"/>
        <v>-7.4124559307661242</v>
      </c>
      <c r="U92" s="629">
        <f t="shared" si="82"/>
        <v>4.0952926530660045</v>
      </c>
      <c r="V92" s="636">
        <f t="shared" si="114"/>
        <v>-3.5420106827042184</v>
      </c>
      <c r="W92" s="585">
        <f t="shared" si="645"/>
        <v>151.0798781867644</v>
      </c>
      <c r="X92" s="629">
        <f t="shared" si="83"/>
        <v>8.4685255410730313</v>
      </c>
      <c r="Y92" s="630">
        <f t="shared" si="644"/>
        <v>-3.5420106827042184</v>
      </c>
      <c r="Z92" s="632">
        <f t="shared" si="468"/>
        <v>0.43828097808397931</v>
      </c>
      <c r="AA92" s="629">
        <f t="shared" si="469"/>
        <v>0.79328649529520889</v>
      </c>
      <c r="AB92" s="629">
        <f t="shared" si="470"/>
        <v>-0.42261841019055846</v>
      </c>
      <c r="AC92" s="636">
        <f t="shared" si="84"/>
        <v>1</v>
      </c>
      <c r="AD92" s="637">
        <f t="shared" si="115"/>
        <v>0.43828097808397931</v>
      </c>
      <c r="AE92" s="629">
        <f t="shared" si="85"/>
        <v>0.79328649529520889</v>
      </c>
      <c r="AF92" s="633">
        <f t="shared" si="86"/>
        <v>-0.42261841019055846</v>
      </c>
      <c r="AG92" s="602">
        <f t="shared" si="87"/>
        <v>61.953819988791473</v>
      </c>
      <c r="AH92" s="603">
        <f t="shared" si="88"/>
        <v>64.005747879493157</v>
      </c>
      <c r="AI92" s="585">
        <f t="shared" si="89"/>
        <v>-64.999990615163156</v>
      </c>
      <c r="AJ92" s="586">
        <f t="shared" si="90"/>
        <v>151.07989252448894</v>
      </c>
      <c r="AK92" s="635">
        <f t="shared" si="211"/>
        <v>2.2679489708465894E-7</v>
      </c>
      <c r="AL92" s="629">
        <f t="shared" si="91"/>
        <v>-0.90630771781330077</v>
      </c>
      <c r="AM92" s="634">
        <f t="shared" si="92"/>
        <v>-0.42261841019055846</v>
      </c>
      <c r="AN92" s="581">
        <f t="shared" si="93"/>
        <v>-64.999990615162474</v>
      </c>
      <c r="AO92" s="582">
        <f t="shared" si="461"/>
        <v>0</v>
      </c>
      <c r="AP92" s="585">
        <f t="shared" si="95"/>
        <v>-89.999985662275449</v>
      </c>
      <c r="AQ92" s="586">
        <f t="shared" si="471"/>
        <v>0.26919796675069235</v>
      </c>
      <c r="AS92" s="52">
        <f t="shared" si="543"/>
        <v>-208.9201218132356</v>
      </c>
      <c r="AT92" s="73">
        <f t="shared" si="472"/>
        <v>-3.3969272647783604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>Gage</v>
      </c>
      <c r="IG92" s="847">
        <f t="shared" si="643"/>
        <v>4.2729999999999997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4.173</v>
      </c>
      <c r="II92" s="734" cm="1">
        <f t="array" ref="II92">IFERROR(ROUND(VALUE(IF($IH92&lt;1,$IH92+LARGE((IF($M$9:$M$150="",0,$M$9:$M$150)-MOD(IF($M$9:$M$150="",0,$M$9:$M$150),1)),1),$IH92)),4),"")</f>
        <v>4.173</v>
      </c>
      <c r="IJ92" s="533">
        <f t="shared" si="542"/>
        <v>1613</v>
      </c>
      <c r="IK92" s="533" t="str">
        <f t="shared" si="517"/>
        <v>Inactive</v>
      </c>
      <c r="IL92" s="727">
        <f t="shared" si="647"/>
        <v>15.311097789351038</v>
      </c>
      <c r="IM92" s="759">
        <v>3.1166282344832102E-4</v>
      </c>
      <c r="IN92" s="5">
        <f t="shared" si="648"/>
        <v>0</v>
      </c>
      <c r="IO92" s="771">
        <v>0</v>
      </c>
      <c r="IP92" s="9">
        <f t="shared" si="649"/>
        <v>-8.4795255742491324</v>
      </c>
      <c r="IQ92" s="5">
        <f t="shared" si="650"/>
        <v>-3.5250106314320648</v>
      </c>
      <c r="IR92" s="5">
        <f t="shared" si="518"/>
        <v>0.314</v>
      </c>
      <c r="IS92" s="5">
        <f t="shared" si="651"/>
        <v>0.23800019073576104</v>
      </c>
      <c r="IT92" s="727">
        <f t="shared" si="652"/>
        <v>84.786772727410153</v>
      </c>
      <c r="IU92" s="9">
        <f t="shared" si="653"/>
        <v>-8.4685255410730313</v>
      </c>
      <c r="IV92" s="5">
        <f t="shared" si="654"/>
        <v>-3.5420106827042184</v>
      </c>
      <c r="IW92" s="5">
        <f t="shared" si="519"/>
        <v>0.26250000000000001</v>
      </c>
      <c r="IX92" s="5">
        <f t="shared" si="655"/>
        <v>0.26250000000000001</v>
      </c>
      <c r="IY92" s="762">
        <f t="shared" si="656"/>
        <v>64.999990615162474</v>
      </c>
    </row>
    <row r="93" spans="1:259" ht="15" customHeight="1" x14ac:dyDescent="0.25">
      <c r="A93" s="79"/>
      <c r="B93" s="707">
        <v>-0.53490454146408939</v>
      </c>
      <c r="C93" s="708">
        <v>-0.24942989534855511</v>
      </c>
      <c r="D93" s="709">
        <v>-1.139603437043966</v>
      </c>
      <c r="E93" s="710">
        <v>0.47735858257760028</v>
      </c>
      <c r="F93" s="708">
        <v>-0.81424015395001481</v>
      </c>
      <c r="G93" s="711">
        <v>0.33036609289538282</v>
      </c>
      <c r="H93" s="710">
        <v>0.314</v>
      </c>
      <c r="I93" s="708">
        <v>0.52</v>
      </c>
      <c r="J93" s="570">
        <v>5.1020000000000003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5.1020000000000003</v>
      </c>
      <c r="N93" s="632">
        <f t="shared" si="465"/>
        <v>-0.53490454146408939</v>
      </c>
      <c r="O93" s="629">
        <f t="shared" si="466"/>
        <v>-0.24942989534855511</v>
      </c>
      <c r="P93" s="633">
        <f t="shared" si="467"/>
        <v>-1.139603437043966</v>
      </c>
      <c r="Q93" s="585">
        <f t="shared" si="520"/>
        <v>204.99998339605673</v>
      </c>
      <c r="R93" s="629">
        <f t="shared" si="79"/>
        <v>0.5902017800485686</v>
      </c>
      <c r="S93" s="634">
        <f t="shared" si="80"/>
        <v>-1.139603437043966</v>
      </c>
      <c r="T93" s="635">
        <f t="shared" si="81"/>
        <v>-0.24942989534855531</v>
      </c>
      <c r="U93" s="629">
        <f t="shared" si="82"/>
        <v>0.53490454146408939</v>
      </c>
      <c r="V93" s="636">
        <f t="shared" si="114"/>
        <v>-1.139603437043966</v>
      </c>
      <c r="W93" s="585">
        <f t="shared" si="645"/>
        <v>114.99998339605673</v>
      </c>
      <c r="X93" s="629">
        <f t="shared" si="83"/>
        <v>0.5902017800485686</v>
      </c>
      <c r="Y93" s="630">
        <f t="shared" si="644"/>
        <v>-1.139603437043966</v>
      </c>
      <c r="Z93" s="632">
        <f t="shared" si="468"/>
        <v>-0.47735858257760028</v>
      </c>
      <c r="AA93" s="629">
        <f t="shared" si="469"/>
        <v>0.81424015395001481</v>
      </c>
      <c r="AB93" s="629">
        <f t="shared" si="470"/>
        <v>-0.33036609289538282</v>
      </c>
      <c r="AC93" s="636">
        <f t="shared" si="84"/>
        <v>1</v>
      </c>
      <c r="AD93" s="637">
        <f t="shared" si="115"/>
        <v>-0.47735858257760028</v>
      </c>
      <c r="AE93" s="629">
        <f t="shared" si="85"/>
        <v>0.81424015395001481</v>
      </c>
      <c r="AF93" s="633">
        <f t="shared" si="86"/>
        <v>-0.33036609289538282</v>
      </c>
      <c r="AG93" s="602">
        <f t="shared" si="87"/>
        <v>67.915861536619275</v>
      </c>
      <c r="AH93" s="603">
        <f t="shared" si="88"/>
        <v>118.51302851550456</v>
      </c>
      <c r="AI93" s="585">
        <f t="shared" si="89"/>
        <v>-70.709002660911167</v>
      </c>
      <c r="AJ93" s="586">
        <f t="shared" si="90"/>
        <v>-149.61849700276369</v>
      </c>
      <c r="AK93" s="635">
        <f t="shared" si="211"/>
        <v>0.93969262078590843</v>
      </c>
      <c r="AL93" s="629">
        <f t="shared" si="91"/>
        <v>8.8521314413819274E-2</v>
      </c>
      <c r="AM93" s="634">
        <f t="shared" si="92"/>
        <v>-0.33036609289538282</v>
      </c>
      <c r="AN93" s="581">
        <f t="shared" si="93"/>
        <v>14.999997834268211</v>
      </c>
      <c r="AO93" s="582">
        <f t="shared" si="461"/>
        <v>19.999999999999989</v>
      </c>
      <c r="AP93" s="585">
        <f t="shared" si="95"/>
        <v>5.3815196011795612</v>
      </c>
      <c r="AQ93" s="586">
        <f t="shared" si="471"/>
        <v>3.856786656406876</v>
      </c>
      <c r="AS93" s="52">
        <f t="shared" si="543"/>
        <v>-245.00001660394327</v>
      </c>
      <c r="AT93" s="73">
        <f t="shared" si="472"/>
        <v>-0.969464536624561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5.1020000000000003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-1.2072057763981145</v>
      </c>
      <c r="C94" s="708">
        <v>-0.56292887259280833</v>
      </c>
      <c r="D94" s="709">
        <v>-0.94080283746135795</v>
      </c>
      <c r="E94" s="710">
        <v>0.47735858257760022</v>
      </c>
      <c r="F94" s="708">
        <v>-0.81424015395001481</v>
      </c>
      <c r="G94" s="711">
        <v>0.33036609289538277</v>
      </c>
      <c r="H94" s="710">
        <v>0.314</v>
      </c>
      <c r="I94" s="708">
        <v>0.52</v>
      </c>
      <c r="J94" s="570">
        <v>5.1050000000000004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5.1050000000000004</v>
      </c>
      <c r="N94" s="632">
        <f t="shared" si="465"/>
        <v>-1.2072057763981145</v>
      </c>
      <c r="O94" s="629">
        <f t="shared" si="466"/>
        <v>-0.56292887259280833</v>
      </c>
      <c r="P94" s="633">
        <f t="shared" si="467"/>
        <v>-0.94080283746135795</v>
      </c>
      <c r="Q94" s="585">
        <f t="shared" si="520"/>
        <v>204.99998339605673</v>
      </c>
      <c r="R94" s="629">
        <f t="shared" si="79"/>
        <v>1.3320040173241163</v>
      </c>
      <c r="S94" s="634">
        <f t="shared" si="80"/>
        <v>-0.94080283746135795</v>
      </c>
      <c r="T94" s="635">
        <f t="shared" si="81"/>
        <v>-0.56292887259280877</v>
      </c>
      <c r="U94" s="629">
        <f t="shared" si="82"/>
        <v>1.2072057763981143</v>
      </c>
      <c r="V94" s="636">
        <f t="shared" si="114"/>
        <v>-0.94080283746135795</v>
      </c>
      <c r="W94" s="585">
        <f t="shared" si="645"/>
        <v>114.99998339605673</v>
      </c>
      <c r="X94" s="629">
        <f t="shared" si="83"/>
        <v>1.3320040173241163</v>
      </c>
      <c r="Y94" s="630">
        <f t="shared" si="644"/>
        <v>-0.94080283746135795</v>
      </c>
      <c r="Z94" s="632">
        <f t="shared" si="468"/>
        <v>-0.47735858257760022</v>
      </c>
      <c r="AA94" s="629">
        <f t="shared" si="469"/>
        <v>0.81424015395001481</v>
      </c>
      <c r="AB94" s="629">
        <f t="shared" si="470"/>
        <v>-0.33036609289538277</v>
      </c>
      <c r="AC94" s="636">
        <f t="shared" si="84"/>
        <v>1</v>
      </c>
      <c r="AD94" s="637">
        <f t="shared" si="115"/>
        <v>-0.47735858257760022</v>
      </c>
      <c r="AE94" s="629">
        <f t="shared" si="85"/>
        <v>0.81424015395001481</v>
      </c>
      <c r="AF94" s="633">
        <f t="shared" si="86"/>
        <v>-0.33036609289538277</v>
      </c>
      <c r="AG94" s="602">
        <f t="shared" si="87"/>
        <v>67.915861536619275</v>
      </c>
      <c r="AH94" s="603">
        <f t="shared" si="88"/>
        <v>118.51302851550456</v>
      </c>
      <c r="AI94" s="585">
        <f t="shared" si="89"/>
        <v>-70.709002660911167</v>
      </c>
      <c r="AJ94" s="586">
        <f t="shared" si="90"/>
        <v>-149.61849700276372</v>
      </c>
      <c r="AK94" s="635">
        <f t="shared" si="211"/>
        <v>0.93969262078590843</v>
      </c>
      <c r="AL94" s="629">
        <f t="shared" si="91"/>
        <v>8.8521314413819219E-2</v>
      </c>
      <c r="AM94" s="634">
        <f t="shared" si="92"/>
        <v>-0.33036609289538277</v>
      </c>
      <c r="AN94" s="581">
        <f t="shared" si="93"/>
        <v>14.999997834268203</v>
      </c>
      <c r="AO94" s="582">
        <f t="shared" si="461"/>
        <v>19.999999999999989</v>
      </c>
      <c r="AP94" s="585">
        <f t="shared" si="95"/>
        <v>5.3815196011795567</v>
      </c>
      <c r="AQ94" s="586">
        <f t="shared" si="471"/>
        <v>1.7109925353338977</v>
      </c>
      <c r="AS94" s="52">
        <f t="shared" si="543"/>
        <v>-245.00001660394327</v>
      </c>
      <c r="AT94" s="73">
        <f t="shared" si="472"/>
        <v>-0.77066393704195291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5.1050000000000004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-1.879597642396434</v>
      </c>
      <c r="C95" s="708">
        <v>-0.87647011176443335</v>
      </c>
      <c r="D95" s="709">
        <v>-0.74200223787874953</v>
      </c>
      <c r="E95" s="710">
        <v>0.47735858257760039</v>
      </c>
      <c r="F95" s="708">
        <v>-0.81424015395001481</v>
      </c>
      <c r="G95" s="711">
        <v>0.33036609289538277</v>
      </c>
      <c r="H95" s="710">
        <v>0.314</v>
      </c>
      <c r="I95" s="708">
        <v>0.52</v>
      </c>
      <c r="J95" s="570">
        <v>5.1079999999999997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5.1079999999999997</v>
      </c>
      <c r="N95" s="632">
        <f t="shared" si="465"/>
        <v>-1.879597642396434</v>
      </c>
      <c r="O95" s="629">
        <f t="shared" si="466"/>
        <v>-0.87647011176443335</v>
      </c>
      <c r="P95" s="633">
        <f t="shared" si="467"/>
        <v>-0.74200223787874953</v>
      </c>
      <c r="Q95" s="585">
        <f t="shared" si="520"/>
        <v>204.99998339605673</v>
      </c>
      <c r="R95" s="629">
        <f t="shared" si="79"/>
        <v>2.073906254901265</v>
      </c>
      <c r="S95" s="634">
        <f t="shared" si="80"/>
        <v>-0.74200223787874953</v>
      </c>
      <c r="T95" s="635">
        <f t="shared" si="81"/>
        <v>-0.87647011176443401</v>
      </c>
      <c r="U95" s="629">
        <f t="shared" si="82"/>
        <v>1.8795976423964336</v>
      </c>
      <c r="V95" s="636">
        <f t="shared" si="114"/>
        <v>-0.74200223787874953</v>
      </c>
      <c r="W95" s="585">
        <f t="shared" si="645"/>
        <v>114.99998339605673</v>
      </c>
      <c r="X95" s="629">
        <f t="shared" si="83"/>
        <v>2.073906254901265</v>
      </c>
      <c r="Y95" s="630">
        <f t="shared" si="644"/>
        <v>-0.74200223787874953</v>
      </c>
      <c r="Z95" s="632">
        <f t="shared" si="468"/>
        <v>-0.47735858257760039</v>
      </c>
      <c r="AA95" s="629">
        <f t="shared" si="469"/>
        <v>0.81424015395001481</v>
      </c>
      <c r="AB95" s="629">
        <f t="shared" si="470"/>
        <v>-0.33036609289538277</v>
      </c>
      <c r="AC95" s="636">
        <f t="shared" si="84"/>
        <v>1</v>
      </c>
      <c r="AD95" s="637">
        <f t="shared" si="115"/>
        <v>-0.47735858257760039</v>
      </c>
      <c r="AE95" s="629">
        <f t="shared" si="85"/>
        <v>0.81424015395001481</v>
      </c>
      <c r="AF95" s="633">
        <f t="shared" si="86"/>
        <v>-0.33036609289538277</v>
      </c>
      <c r="AG95" s="602">
        <f t="shared" si="87"/>
        <v>67.915861536619275</v>
      </c>
      <c r="AH95" s="603">
        <f t="shared" si="88"/>
        <v>118.51302851550456</v>
      </c>
      <c r="AI95" s="585">
        <f t="shared" si="89"/>
        <v>-70.709002660911167</v>
      </c>
      <c r="AJ95" s="586">
        <f t="shared" si="90"/>
        <v>-149.61849700276369</v>
      </c>
      <c r="AK95" s="635">
        <f t="shared" si="211"/>
        <v>0.93969262078590854</v>
      </c>
      <c r="AL95" s="629">
        <f t="shared" si="91"/>
        <v>8.8521314413819385E-2</v>
      </c>
      <c r="AM95" s="634">
        <f t="shared" si="92"/>
        <v>-0.33036609289538277</v>
      </c>
      <c r="AN95" s="581">
        <f t="shared" si="93"/>
        <v>14.99999783426823</v>
      </c>
      <c r="AO95" s="582">
        <f t="shared" si="461"/>
        <v>19.999999999999979</v>
      </c>
      <c r="AP95" s="585">
        <f t="shared" si="95"/>
        <v>5.3815196011795665</v>
      </c>
      <c r="AQ95" s="586">
        <f t="shared" si="471"/>
        <v>1.0991080147330952</v>
      </c>
      <c r="AS95" s="52">
        <f t="shared" si="543"/>
        <v>-245.00001660394327</v>
      </c>
      <c r="AT95" s="73">
        <f t="shared" si="472"/>
        <v>-0.57186333745934448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5.1079999999999997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-2.5518988773304594</v>
      </c>
      <c r="C96" s="708">
        <v>-1.1899690890086863</v>
      </c>
      <c r="D96" s="709">
        <v>-0.54330163859774216</v>
      </c>
      <c r="E96" s="710">
        <v>0.47735858257760028</v>
      </c>
      <c r="F96" s="708">
        <v>-0.8142401539500147</v>
      </c>
      <c r="G96" s="711">
        <v>0.33036609289538277</v>
      </c>
      <c r="H96" s="710">
        <v>0.314</v>
      </c>
      <c r="I96" s="708">
        <v>0.52</v>
      </c>
      <c r="J96" s="570">
        <v>5.1120000000000001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5.1120000000000001</v>
      </c>
      <c r="N96" s="632">
        <f t="shared" si="465"/>
        <v>-2.5518988773304594</v>
      </c>
      <c r="O96" s="629">
        <f t="shared" si="466"/>
        <v>-1.1899690890086863</v>
      </c>
      <c r="P96" s="633">
        <f t="shared" si="467"/>
        <v>-0.54330163859774216</v>
      </c>
      <c r="Q96" s="585">
        <f t="shared" si="520"/>
        <v>204.99998339605673</v>
      </c>
      <c r="R96" s="629">
        <f t="shared" si="79"/>
        <v>2.815708492176813</v>
      </c>
      <c r="S96" s="634">
        <f t="shared" si="80"/>
        <v>-0.54330163859774216</v>
      </c>
      <c r="T96" s="635">
        <f t="shared" si="81"/>
        <v>-1.1899690890086876</v>
      </c>
      <c r="U96" s="629">
        <f t="shared" si="82"/>
        <v>2.5518988773304589</v>
      </c>
      <c r="V96" s="636">
        <f t="shared" si="114"/>
        <v>-0.54330163859774216</v>
      </c>
      <c r="W96" s="585">
        <f t="shared" si="645"/>
        <v>114.99998339605673</v>
      </c>
      <c r="X96" s="629">
        <f t="shared" si="83"/>
        <v>2.815708492176813</v>
      </c>
      <c r="Y96" s="630">
        <f t="shared" si="644"/>
        <v>-0.54330163859774216</v>
      </c>
      <c r="Z96" s="632">
        <f t="shared" si="468"/>
        <v>-0.47735858257760028</v>
      </c>
      <c r="AA96" s="629">
        <f t="shared" si="469"/>
        <v>0.8142401539500147</v>
      </c>
      <c r="AB96" s="629">
        <f t="shared" si="470"/>
        <v>-0.33036609289538277</v>
      </c>
      <c r="AC96" s="636">
        <f t="shared" si="84"/>
        <v>1</v>
      </c>
      <c r="AD96" s="637">
        <f t="shared" si="115"/>
        <v>-0.47735858257760028</v>
      </c>
      <c r="AE96" s="629">
        <f t="shared" si="85"/>
        <v>0.8142401539500147</v>
      </c>
      <c r="AF96" s="633">
        <f t="shared" si="86"/>
        <v>-0.33036609289538277</v>
      </c>
      <c r="AG96" s="602">
        <f t="shared" si="87"/>
        <v>67.915861536619275</v>
      </c>
      <c r="AH96" s="603">
        <f t="shared" si="88"/>
        <v>118.51302851550456</v>
      </c>
      <c r="AI96" s="585">
        <f t="shared" si="89"/>
        <v>-70.709002660911167</v>
      </c>
      <c r="AJ96" s="586">
        <f t="shared" si="90"/>
        <v>-149.61849700276369</v>
      </c>
      <c r="AK96" s="635">
        <f t="shared" si="211"/>
        <v>0.93969262078590832</v>
      </c>
      <c r="AL96" s="629">
        <f t="shared" si="91"/>
        <v>8.852131441381933E-2</v>
      </c>
      <c r="AM96" s="634">
        <f t="shared" si="92"/>
        <v>-0.33036609289538277</v>
      </c>
      <c r="AN96" s="581">
        <f t="shared" si="93"/>
        <v>14.999997834268219</v>
      </c>
      <c r="AO96" s="582">
        <f t="shared" si="461"/>
        <v>20.000000000000014</v>
      </c>
      <c r="AP96" s="585">
        <f t="shared" si="95"/>
        <v>5.3815196011795647</v>
      </c>
      <c r="AQ96" s="586">
        <f t="shared" si="471"/>
        <v>0.80959194257844425</v>
      </c>
      <c r="AS96" s="52">
        <f t="shared" si="543"/>
        <v>-245.00001660394327</v>
      </c>
      <c r="AT96" s="73">
        <f t="shared" si="472"/>
        <v>-0.37316273817833712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5.1120000000000001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-3.2242001122644837</v>
      </c>
      <c r="C97" s="708">
        <v>-1.5034680662529396</v>
      </c>
      <c r="D97" s="709">
        <v>-0.34450103901513396</v>
      </c>
      <c r="E97" s="710">
        <v>0.47735858257760028</v>
      </c>
      <c r="F97" s="708">
        <v>-0.8142401539500147</v>
      </c>
      <c r="G97" s="711">
        <v>0.33036609289538277</v>
      </c>
      <c r="H97" s="710">
        <v>0.314</v>
      </c>
      <c r="I97" s="708">
        <v>0.52</v>
      </c>
      <c r="J97" s="570">
        <v>5.1180000000000003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5.1180000000000003</v>
      </c>
      <c r="N97" s="632">
        <f t="shared" si="465"/>
        <v>-3.2242001122644837</v>
      </c>
      <c r="O97" s="629">
        <f t="shared" si="466"/>
        <v>-1.5034680662529396</v>
      </c>
      <c r="P97" s="633">
        <f t="shared" si="467"/>
        <v>-0.34450103901513396</v>
      </c>
      <c r="Q97" s="585">
        <f t="shared" si="520"/>
        <v>204.99998339605673</v>
      </c>
      <c r="R97" s="629">
        <f t="shared" si="79"/>
        <v>3.55751072945236</v>
      </c>
      <c r="S97" s="634">
        <f t="shared" si="80"/>
        <v>-0.34450103901513396</v>
      </c>
      <c r="T97" s="635">
        <f t="shared" si="81"/>
        <v>-1.5034680662529407</v>
      </c>
      <c r="U97" s="629">
        <f t="shared" si="82"/>
        <v>3.2242001122644832</v>
      </c>
      <c r="V97" s="636">
        <f t="shared" si="114"/>
        <v>-0.34450103901513396</v>
      </c>
      <c r="W97" s="585">
        <f t="shared" si="645"/>
        <v>114.99998339605673</v>
      </c>
      <c r="X97" s="629">
        <f t="shared" si="83"/>
        <v>3.55751072945236</v>
      </c>
      <c r="Y97" s="630">
        <f t="shared" si="644"/>
        <v>-0.34450103901513396</v>
      </c>
      <c r="Z97" s="632">
        <f t="shared" si="468"/>
        <v>-0.47735858257760028</v>
      </c>
      <c r="AA97" s="629">
        <f t="shared" si="469"/>
        <v>0.8142401539500147</v>
      </c>
      <c r="AB97" s="629">
        <f t="shared" si="470"/>
        <v>-0.33036609289538277</v>
      </c>
      <c r="AC97" s="636">
        <f t="shared" si="84"/>
        <v>1</v>
      </c>
      <c r="AD97" s="637">
        <f t="shared" si="115"/>
        <v>-0.47735858257760028</v>
      </c>
      <c r="AE97" s="629">
        <f t="shared" si="85"/>
        <v>0.8142401539500147</v>
      </c>
      <c r="AF97" s="633">
        <f t="shared" si="86"/>
        <v>-0.33036609289538277</v>
      </c>
      <c r="AG97" s="602">
        <f t="shared" si="87"/>
        <v>67.915861536619275</v>
      </c>
      <c r="AH97" s="603">
        <f t="shared" si="88"/>
        <v>118.51302851550456</v>
      </c>
      <c r="AI97" s="585">
        <f t="shared" si="89"/>
        <v>-70.709002660911167</v>
      </c>
      <c r="AJ97" s="586">
        <f t="shared" si="90"/>
        <v>-149.61849700276369</v>
      </c>
      <c r="AK97" s="635">
        <f t="shared" si="211"/>
        <v>0.93969262078590832</v>
      </c>
      <c r="AL97" s="629">
        <f t="shared" si="91"/>
        <v>8.852131441381933E-2</v>
      </c>
      <c r="AM97" s="634">
        <f t="shared" si="92"/>
        <v>-0.33036609289538277</v>
      </c>
      <c r="AN97" s="581">
        <f t="shared" si="93"/>
        <v>14.999997834268219</v>
      </c>
      <c r="AO97" s="582">
        <f t="shared" si="461"/>
        <v>20.000000000000014</v>
      </c>
      <c r="AP97" s="585">
        <f t="shared" si="95"/>
        <v>5.3815196011795647</v>
      </c>
      <c r="AQ97" s="586">
        <f t="shared" si="471"/>
        <v>0.64079401421417237</v>
      </c>
      <c r="AS97" s="52">
        <f t="shared" si="543"/>
        <v>-245.00001660394327</v>
      </c>
      <c r="AT97" s="73">
        <f t="shared" si="472"/>
        <v>-0.17436213859572891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5.1180000000000003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-3.8974982889057443</v>
      </c>
      <c r="C98" s="708">
        <v>-1.8174319246982826</v>
      </c>
      <c r="D98" s="709">
        <v>-0.14800044636934614</v>
      </c>
      <c r="E98" s="710">
        <v>0.4509576987792886</v>
      </c>
      <c r="F98" s="708">
        <v>-0.82655107893281266</v>
      </c>
      <c r="G98" s="711">
        <v>0.33682409033008892</v>
      </c>
      <c r="H98" s="710">
        <v>0.314</v>
      </c>
      <c r="I98" s="708">
        <v>0.52</v>
      </c>
      <c r="J98" s="570">
        <v>5.1239999999999997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5.1239999999999997</v>
      </c>
      <c r="N98" s="632">
        <f t="shared" si="465"/>
        <v>-3.8974982889057443</v>
      </c>
      <c r="O98" s="629">
        <f t="shared" si="466"/>
        <v>-1.8174319246982826</v>
      </c>
      <c r="P98" s="633">
        <f t="shared" si="467"/>
        <v>-0.14800044636934614</v>
      </c>
      <c r="Q98" s="585">
        <f t="shared" si="520"/>
        <v>204.99998339605673</v>
      </c>
      <c r="R98" s="629">
        <f t="shared" si="79"/>
        <v>4.3004129700455174</v>
      </c>
      <c r="S98" s="634">
        <f t="shared" si="80"/>
        <v>-0.14800044636934614</v>
      </c>
      <c r="T98" s="635">
        <f t="shared" si="81"/>
        <v>-1.8174319246982842</v>
      </c>
      <c r="U98" s="629">
        <f t="shared" si="82"/>
        <v>3.8974982889057435</v>
      </c>
      <c r="V98" s="636">
        <f t="shared" si="114"/>
        <v>-0.14800044636934614</v>
      </c>
      <c r="W98" s="585">
        <f t="shared" si="645"/>
        <v>114.99998339605673</v>
      </c>
      <c r="X98" s="629">
        <f t="shared" si="83"/>
        <v>4.3004129700455174</v>
      </c>
      <c r="Y98" s="630">
        <f t="shared" si="644"/>
        <v>-0.14800044636934614</v>
      </c>
      <c r="Z98" s="632">
        <f t="shared" si="468"/>
        <v>-0.4509576987792886</v>
      </c>
      <c r="AA98" s="629">
        <f t="shared" si="469"/>
        <v>0.82655107893281266</v>
      </c>
      <c r="AB98" s="629">
        <f t="shared" si="470"/>
        <v>-0.33682409033008892</v>
      </c>
      <c r="AC98" s="636">
        <f t="shared" si="84"/>
        <v>1</v>
      </c>
      <c r="AD98" s="637">
        <f t="shared" si="115"/>
        <v>-0.4509576987792886</v>
      </c>
      <c r="AE98" s="629">
        <f t="shared" si="85"/>
        <v>0.82655107893281266</v>
      </c>
      <c r="AF98" s="633">
        <f t="shared" si="86"/>
        <v>-0.33682409033008892</v>
      </c>
      <c r="AG98" s="602">
        <f t="shared" si="87"/>
        <v>67.828835327312163</v>
      </c>
      <c r="AH98" s="603">
        <f t="shared" si="88"/>
        <v>116.80514552699519</v>
      </c>
      <c r="AI98" s="585">
        <f t="shared" si="89"/>
        <v>-70.31650182951455</v>
      </c>
      <c r="AJ98" s="586">
        <f t="shared" si="90"/>
        <v>-151.38357554640555</v>
      </c>
      <c r="AK98" s="635">
        <f t="shared" si="211"/>
        <v>0.93969262078590854</v>
      </c>
      <c r="AL98" s="629">
        <f t="shared" si="91"/>
        <v>5.9391166126108286E-2</v>
      </c>
      <c r="AM98" s="634">
        <f t="shared" si="92"/>
        <v>-0.33682409033008892</v>
      </c>
      <c r="AN98" s="581">
        <f t="shared" si="93"/>
        <v>9.9999985561787899</v>
      </c>
      <c r="AO98" s="582">
        <f t="shared" si="461"/>
        <v>19.999999999999979</v>
      </c>
      <c r="AP98" s="585">
        <f t="shared" si="95"/>
        <v>3.6164410575376813</v>
      </c>
      <c r="AQ98" s="586">
        <f t="shared" si="471"/>
        <v>0.53010294570542849</v>
      </c>
      <c r="AS98" s="52">
        <f t="shared" si="543"/>
        <v>-245.00001660394327</v>
      </c>
      <c r="AT98" s="73">
        <f t="shared" si="472"/>
        <v>2.2138454050058903E-2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5.1239999999999997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-4.6079117598707482</v>
      </c>
      <c r="C99" s="708">
        <v>-2.100333282870066</v>
      </c>
      <c r="D99" s="709">
        <v>-4.220012727558399E-2</v>
      </c>
      <c r="E99" s="710">
        <v>0.3310417374175566</v>
      </c>
      <c r="F99" s="708">
        <v>-0.87972007773726235</v>
      </c>
      <c r="G99" s="711">
        <v>0.34132675387890543</v>
      </c>
      <c r="H99" s="710">
        <v>0.314</v>
      </c>
      <c r="I99" s="708">
        <v>0.52</v>
      </c>
      <c r="J99" s="570">
        <v>5.13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5.13</v>
      </c>
      <c r="N99" s="632">
        <f t="shared" si="465"/>
        <v>-4.6079117598707482</v>
      </c>
      <c r="O99" s="629">
        <f t="shared" si="466"/>
        <v>-2.100333282870066</v>
      </c>
      <c r="P99" s="633">
        <f t="shared" si="467"/>
        <v>-4.220012727558399E-2</v>
      </c>
      <c r="Q99" s="585">
        <f t="shared" si="520"/>
        <v>204.50398346767025</v>
      </c>
      <c r="R99" s="629">
        <f t="shared" si="79"/>
        <v>5.0640152730700647</v>
      </c>
      <c r="S99" s="634">
        <f t="shared" si="80"/>
        <v>-4.220012727558399E-2</v>
      </c>
      <c r="T99" s="635">
        <f t="shared" si="81"/>
        <v>-2.1003332828700652</v>
      </c>
      <c r="U99" s="629">
        <f t="shared" si="82"/>
        <v>4.6079117598707482</v>
      </c>
      <c r="V99" s="636">
        <f t="shared" si="114"/>
        <v>-4.220012727558399E-2</v>
      </c>
      <c r="W99" s="585">
        <f t="shared" si="645"/>
        <v>114.50398346767025</v>
      </c>
      <c r="X99" s="629">
        <f t="shared" si="83"/>
        <v>5.0640152730700647</v>
      </c>
      <c r="Y99" s="630">
        <f t="shared" si="644"/>
        <v>-4.220012727558399E-2</v>
      </c>
      <c r="Z99" s="632">
        <f t="shared" si="468"/>
        <v>-0.3310417374175566</v>
      </c>
      <c r="AA99" s="629">
        <f t="shared" si="469"/>
        <v>0.87972007773726235</v>
      </c>
      <c r="AB99" s="629">
        <f t="shared" si="470"/>
        <v>-0.34132675387890543</v>
      </c>
      <c r="AC99" s="636">
        <f t="shared" si="84"/>
        <v>1</v>
      </c>
      <c r="AD99" s="637">
        <f t="shared" si="115"/>
        <v>-0.3310417374175566</v>
      </c>
      <c r="AE99" s="629">
        <f t="shared" si="85"/>
        <v>0.87972007773726235</v>
      </c>
      <c r="AF99" s="633">
        <f t="shared" si="86"/>
        <v>-0.34132675387890543</v>
      </c>
      <c r="AG99" s="602">
        <f t="shared" si="87"/>
        <v>68.794009321605216</v>
      </c>
      <c r="AH99" s="603">
        <f t="shared" si="88"/>
        <v>109.33201690362235</v>
      </c>
      <c r="AI99" s="585">
        <f t="shared" si="89"/>
        <v>-70.042272290006935</v>
      </c>
      <c r="AJ99" s="586">
        <f t="shared" si="90"/>
        <v>-159.3785059452475</v>
      </c>
      <c r="AK99" s="635">
        <f t="shared" si="211"/>
        <v>0.9377875489380384</v>
      </c>
      <c r="AL99" s="629">
        <f t="shared" si="91"/>
        <v>-6.3644011055839222E-2</v>
      </c>
      <c r="AM99" s="634">
        <f t="shared" si="92"/>
        <v>-0.34132675387890543</v>
      </c>
      <c r="AN99" s="581">
        <f t="shared" si="93"/>
        <v>-10.562116992535275</v>
      </c>
      <c r="AO99" s="582">
        <f t="shared" si="461"/>
        <v>20.316737047699192</v>
      </c>
      <c r="AP99" s="585">
        <f t="shared" si="95"/>
        <v>-3.8824894129177534</v>
      </c>
      <c r="AQ99" s="586">
        <f t="shared" si="471"/>
        <v>0.45017236282182088</v>
      </c>
      <c r="AS99" s="52">
        <f t="shared" si="543"/>
        <v>-245.49601653232975</v>
      </c>
      <c r="AT99" s="73">
        <f t="shared" si="472"/>
        <v>0.12828321753853389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5.13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-5.3280302919623939</v>
      </c>
      <c r="C100" s="708">
        <v>-2.3671777043497144</v>
      </c>
      <c r="D100" s="709">
        <v>-0.11740035407946828</v>
      </c>
      <c r="E100" s="710">
        <v>0.24058360061379325</v>
      </c>
      <c r="F100" s="708">
        <v>-0.91631825806991463</v>
      </c>
      <c r="G100" s="711">
        <v>0.3201255707428261</v>
      </c>
      <c r="H100" s="710">
        <v>0.314</v>
      </c>
      <c r="I100" s="708">
        <v>0.52</v>
      </c>
      <c r="J100" s="570">
        <v>5.1360000000000001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5.1360000000000001</v>
      </c>
      <c r="N100" s="632">
        <f t="shared" si="465"/>
        <v>-5.3280302919623939</v>
      </c>
      <c r="O100" s="629">
        <f t="shared" si="466"/>
        <v>-2.3671777043497144</v>
      </c>
      <c r="P100" s="633">
        <f t="shared" si="467"/>
        <v>-0.11740035407946828</v>
      </c>
      <c r="Q100" s="585">
        <f t="shared" si="520"/>
        <v>203.95498354693603</v>
      </c>
      <c r="R100" s="629">
        <f t="shared" si="79"/>
        <v>5.8302175839362338</v>
      </c>
      <c r="S100" s="634">
        <f t="shared" si="80"/>
        <v>-0.11740035407946828</v>
      </c>
      <c r="T100" s="635">
        <f t="shared" si="81"/>
        <v>-2.3671777043497153</v>
      </c>
      <c r="U100" s="629">
        <f t="shared" si="82"/>
        <v>5.3280302919623939</v>
      </c>
      <c r="V100" s="636">
        <f t="shared" si="114"/>
        <v>-0.11740035407946828</v>
      </c>
      <c r="W100" s="585">
        <f t="shared" si="645"/>
        <v>113.95498354693603</v>
      </c>
      <c r="X100" s="629">
        <f t="shared" si="83"/>
        <v>5.8302175839362338</v>
      </c>
      <c r="Y100" s="630">
        <f t="shared" si="644"/>
        <v>-0.11740035407946828</v>
      </c>
      <c r="Z100" s="632">
        <f t="shared" si="468"/>
        <v>-0.24058360061379325</v>
      </c>
      <c r="AA100" s="629">
        <f t="shared" si="469"/>
        <v>0.91631825806991463</v>
      </c>
      <c r="AB100" s="629">
        <f t="shared" si="470"/>
        <v>-0.3201255707428261</v>
      </c>
      <c r="AC100" s="636">
        <f t="shared" si="84"/>
        <v>1</v>
      </c>
      <c r="AD100" s="637">
        <f t="shared" si="115"/>
        <v>-0.24058360061379325</v>
      </c>
      <c r="AE100" s="629">
        <f t="shared" si="85"/>
        <v>0.91631825806991463</v>
      </c>
      <c r="AF100" s="633">
        <f t="shared" si="86"/>
        <v>-0.3201255707428261</v>
      </c>
      <c r="AG100" s="602">
        <f t="shared" si="87"/>
        <v>70.742593045165762</v>
      </c>
      <c r="AH100" s="603">
        <f t="shared" si="88"/>
        <v>103.92098749206568</v>
      </c>
      <c r="AI100" s="585">
        <f t="shared" si="89"/>
        <v>-71.329480961117767</v>
      </c>
      <c r="AJ100" s="586">
        <f t="shared" si="90"/>
        <v>-165.2887678835778</v>
      </c>
      <c r="AK100" s="635">
        <f t="shared" si="211"/>
        <v>0.93507240390146873</v>
      </c>
      <c r="AL100" s="629">
        <f t="shared" si="91"/>
        <v>-0.15218153113472238</v>
      </c>
      <c r="AM100" s="634">
        <f t="shared" si="92"/>
        <v>-0.3201255707428261</v>
      </c>
      <c r="AN100" s="581">
        <f t="shared" si="93"/>
        <v>-25.425514458912946</v>
      </c>
      <c r="AO100" s="582">
        <f t="shared" si="461"/>
        <v>20.760154546793739</v>
      </c>
      <c r="AP100" s="585">
        <f t="shared" si="95"/>
        <v>-9.2437514305138411</v>
      </c>
      <c r="AQ100" s="586">
        <f t="shared" si="471"/>
        <v>0.39101306384150192</v>
      </c>
      <c r="AS100" s="52">
        <f t="shared" si="543"/>
        <v>-246.04501645306397</v>
      </c>
      <c r="AT100" s="73">
        <f t="shared" si="472"/>
        <v>5.3464240679603925E-2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5.1360000000000001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-6.0131595867695493</v>
      </c>
      <c r="C101" s="708">
        <v>-2.5945272197606033</v>
      </c>
      <c r="D101" s="709">
        <v>-0.36090108847768237</v>
      </c>
      <c r="E101" s="710">
        <v>0.14895157496190464</v>
      </c>
      <c r="F101" s="708">
        <v>-0.94358240340689692</v>
      </c>
      <c r="G101" s="711">
        <v>0.29574596581734158</v>
      </c>
      <c r="H101" s="710">
        <v>0.314</v>
      </c>
      <c r="I101" s="708">
        <v>0.52</v>
      </c>
      <c r="J101" s="570">
        <v>5.1420000000000003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5.1420000000000003</v>
      </c>
      <c r="N101" s="632">
        <f t="shared" si="465"/>
        <v>-6.0131595867695493</v>
      </c>
      <c r="O101" s="629">
        <f t="shared" si="466"/>
        <v>-2.5945272197606033</v>
      </c>
      <c r="P101" s="633">
        <f t="shared" si="467"/>
        <v>-0.36090108847768237</v>
      </c>
      <c r="Q101" s="585">
        <f t="shared" si="520"/>
        <v>203.33898363587542</v>
      </c>
      <c r="R101" s="629">
        <f t="shared" si="79"/>
        <v>6.5490197518435709</v>
      </c>
      <c r="S101" s="634">
        <f t="shared" si="80"/>
        <v>-0.36090108847768237</v>
      </c>
      <c r="T101" s="635">
        <f t="shared" si="81"/>
        <v>-2.5945272197606029</v>
      </c>
      <c r="U101" s="629">
        <f t="shared" si="82"/>
        <v>6.0131595867695502</v>
      </c>
      <c r="V101" s="636">
        <f t="shared" si="114"/>
        <v>-0.36090108847768237</v>
      </c>
      <c r="W101" s="585">
        <f t="shared" si="645"/>
        <v>113.33898363587542</v>
      </c>
      <c r="X101" s="629">
        <f t="shared" si="83"/>
        <v>6.5490197518435709</v>
      </c>
      <c r="Y101" s="630">
        <f t="shared" si="644"/>
        <v>-0.36090108847768237</v>
      </c>
      <c r="Z101" s="632">
        <f t="shared" si="468"/>
        <v>-0.14895157496190464</v>
      </c>
      <c r="AA101" s="629">
        <f t="shared" si="469"/>
        <v>0.94358240340689692</v>
      </c>
      <c r="AB101" s="629">
        <f t="shared" si="470"/>
        <v>-0.29574596581734158</v>
      </c>
      <c r="AC101" s="636">
        <f t="shared" si="84"/>
        <v>1</v>
      </c>
      <c r="AD101" s="637">
        <f t="shared" si="115"/>
        <v>-0.14895157496190464</v>
      </c>
      <c r="AE101" s="629">
        <f t="shared" si="85"/>
        <v>0.94358240340689692</v>
      </c>
      <c r="AF101" s="633">
        <f t="shared" si="86"/>
        <v>-0.29574596581734158</v>
      </c>
      <c r="AG101" s="602">
        <f t="shared" si="87"/>
        <v>72.597502802963248</v>
      </c>
      <c r="AH101" s="603">
        <f t="shared" si="88"/>
        <v>98.566173690845872</v>
      </c>
      <c r="AI101" s="585">
        <f t="shared" si="89"/>
        <v>-72.797725870050897</v>
      </c>
      <c r="AJ101" s="586">
        <f t="shared" si="90"/>
        <v>-171.02945408355131</v>
      </c>
      <c r="AK101" s="635">
        <f t="shared" si="211"/>
        <v>0.92538589289062601</v>
      </c>
      <c r="AL101" s="629">
        <f t="shared" si="91"/>
        <v>-0.23705542166714264</v>
      </c>
      <c r="AM101" s="634">
        <f t="shared" si="92"/>
        <v>-0.29574596581734158</v>
      </c>
      <c r="AN101" s="581">
        <f t="shared" si="93"/>
        <v>-38.713947458657252</v>
      </c>
      <c r="AO101" s="582">
        <f t="shared" si="461"/>
        <v>22.273383550150143</v>
      </c>
      <c r="AP101" s="585">
        <f t="shared" si="95"/>
        <v>-14.368437719426739</v>
      </c>
      <c r="AQ101" s="586">
        <f t="shared" si="471"/>
        <v>0.34809768014044207</v>
      </c>
      <c r="AS101" s="52">
        <f t="shared" si="543"/>
        <v>-246.66101636412458</v>
      </c>
      <c r="AT101" s="73">
        <f t="shared" si="472"/>
        <v>-0.18960871600259585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5.1420000000000003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-6.6377615307978939</v>
      </c>
      <c r="C102" s="708">
        <v>-2.7800372673639004</v>
      </c>
      <c r="D102" s="709">
        <v>-0.75880228854770171</v>
      </c>
      <c r="E102" s="710">
        <v>4.5219029359287427E-2</v>
      </c>
      <c r="F102" s="708">
        <v>-0.95841148317589187</v>
      </c>
      <c r="G102" s="711">
        <v>0.28178479075420515</v>
      </c>
      <c r="H102" s="710">
        <v>0.314</v>
      </c>
      <c r="I102" s="708">
        <v>0.52</v>
      </c>
      <c r="J102" s="570">
        <v>5.1479999999999997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5.1479999999999997</v>
      </c>
      <c r="N102" s="632">
        <f t="shared" si="465"/>
        <v>-6.6377615307978939</v>
      </c>
      <c r="O102" s="629">
        <f t="shared" si="466"/>
        <v>-2.7800372673639004</v>
      </c>
      <c r="P102" s="633">
        <f t="shared" si="467"/>
        <v>-0.75880228854770171</v>
      </c>
      <c r="Q102" s="585">
        <f t="shared" si="520"/>
        <v>202.72498372452603</v>
      </c>
      <c r="R102" s="629">
        <f t="shared" si="79"/>
        <v>7.1964217044078609</v>
      </c>
      <c r="S102" s="634">
        <f t="shared" si="80"/>
        <v>-0.75880228854770171</v>
      </c>
      <c r="T102" s="635">
        <f t="shared" si="81"/>
        <v>-2.7800372673638987</v>
      </c>
      <c r="U102" s="629">
        <f t="shared" si="82"/>
        <v>6.6377615307978948</v>
      </c>
      <c r="V102" s="636">
        <f t="shared" si="114"/>
        <v>-0.75880228854770171</v>
      </c>
      <c r="W102" s="585">
        <f t="shared" si="645"/>
        <v>112.72498372452603</v>
      </c>
      <c r="X102" s="629">
        <f t="shared" si="83"/>
        <v>7.1964217044078609</v>
      </c>
      <c r="Y102" s="630">
        <f t="shared" si="644"/>
        <v>-0.75880228854770171</v>
      </c>
      <c r="Z102" s="632">
        <f t="shared" si="468"/>
        <v>-4.5219029359287427E-2</v>
      </c>
      <c r="AA102" s="629">
        <f t="shared" si="469"/>
        <v>0.95841148317589187</v>
      </c>
      <c r="AB102" s="629">
        <f t="shared" si="470"/>
        <v>-0.28178479075420515</v>
      </c>
      <c r="AC102" s="636">
        <f t="shared" si="84"/>
        <v>1</v>
      </c>
      <c r="AD102" s="637">
        <f t="shared" si="115"/>
        <v>-4.5219029359287427E-2</v>
      </c>
      <c r="AE102" s="629">
        <f t="shared" si="85"/>
        <v>0.95841148317589187</v>
      </c>
      <c r="AF102" s="633">
        <f t="shared" si="86"/>
        <v>-0.28178479075420515</v>
      </c>
      <c r="AG102" s="602">
        <f t="shared" si="87"/>
        <v>73.616013753787001</v>
      </c>
      <c r="AH102" s="603">
        <f t="shared" si="88"/>
        <v>92.591743297316782</v>
      </c>
      <c r="AI102" s="585">
        <f t="shared" si="89"/>
        <v>-73.633244482025773</v>
      </c>
      <c r="AJ102" s="586">
        <f t="shared" si="90"/>
        <v>-177.2987180679184</v>
      </c>
      <c r="AK102" s="635">
        <f t="shared" si="211"/>
        <v>0.90147822445412551</v>
      </c>
      <c r="AL102" s="629">
        <f t="shared" si="91"/>
        <v>-0.32853362466366565</v>
      </c>
      <c r="AM102" s="634">
        <f t="shared" si="92"/>
        <v>-0.28178479075420515</v>
      </c>
      <c r="AN102" s="581">
        <f t="shared" si="93"/>
        <v>-49.380157555449081</v>
      </c>
      <c r="AO102" s="582">
        <f t="shared" si="461"/>
        <v>25.646941301388825</v>
      </c>
      <c r="AP102" s="585">
        <f t="shared" si="95"/>
        <v>-20.023701792444413</v>
      </c>
      <c r="AQ102" s="586">
        <f t="shared" si="471"/>
        <v>0.31678290906931245</v>
      </c>
      <c r="AS102" s="52">
        <f t="shared" si="543"/>
        <v>-247.27501627547397</v>
      </c>
      <c r="AT102" s="73">
        <f t="shared" si="472"/>
        <v>-0.58708352724528923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5.1479999999999997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-7.1649245374620678</v>
      </c>
      <c r="C103" s="708">
        <v>-2.9208862103847442</v>
      </c>
      <c r="D103" s="709">
        <v>-1.2900038906517353</v>
      </c>
      <c r="E103" s="710">
        <v>-6.5259351238389149E-2</v>
      </c>
      <c r="F103" s="708">
        <v>-0.96330913214769454</v>
      </c>
      <c r="G103" s="711">
        <v>0.26033964929837383</v>
      </c>
      <c r="H103" s="710">
        <v>0.314</v>
      </c>
      <c r="I103" s="708">
        <v>0.52</v>
      </c>
      <c r="J103" s="570">
        <v>5.1539999999999999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5.1539999999999999</v>
      </c>
      <c r="N103" s="632">
        <f t="shared" si="465"/>
        <v>-7.1649245374620678</v>
      </c>
      <c r="O103" s="629">
        <f t="shared" si="466"/>
        <v>-2.9208862103847442</v>
      </c>
      <c r="P103" s="633">
        <f t="shared" si="467"/>
        <v>-1.2900038906517353</v>
      </c>
      <c r="Q103" s="585">
        <f t="shared" si="520"/>
        <v>202.17898380335868</v>
      </c>
      <c r="R103" s="629">
        <f t="shared" si="79"/>
        <v>7.7374233360687832</v>
      </c>
      <c r="S103" s="634">
        <f t="shared" si="80"/>
        <v>-1.2900038906517353</v>
      </c>
      <c r="T103" s="635">
        <f t="shared" si="81"/>
        <v>-2.9208862103847459</v>
      </c>
      <c r="U103" s="629">
        <f t="shared" si="82"/>
        <v>7.1649245374620669</v>
      </c>
      <c r="V103" s="636">
        <f t="shared" si="114"/>
        <v>-1.2900038906517353</v>
      </c>
      <c r="W103" s="585">
        <f t="shared" si="645"/>
        <v>112.17898380335868</v>
      </c>
      <c r="X103" s="629">
        <f t="shared" si="83"/>
        <v>7.7374233360687832</v>
      </c>
      <c r="Y103" s="630">
        <f t="shared" si="644"/>
        <v>-1.2900038906517353</v>
      </c>
      <c r="Z103" s="632">
        <f t="shared" si="468"/>
        <v>6.5259351238389149E-2</v>
      </c>
      <c r="AA103" s="629">
        <f t="shared" si="469"/>
        <v>0.96330913214769454</v>
      </c>
      <c r="AB103" s="629">
        <f t="shared" si="470"/>
        <v>-0.26033964929837383</v>
      </c>
      <c r="AC103" s="636">
        <f t="shared" si="84"/>
        <v>1</v>
      </c>
      <c r="AD103" s="637">
        <f t="shared" si="115"/>
        <v>6.5259351238389149E-2</v>
      </c>
      <c r="AE103" s="629">
        <f t="shared" si="85"/>
        <v>0.96330913214769454</v>
      </c>
      <c r="AF103" s="633">
        <f t="shared" si="86"/>
        <v>-0.26033964929837383</v>
      </c>
      <c r="AG103" s="602">
        <f t="shared" si="87"/>
        <v>74.876778137499144</v>
      </c>
      <c r="AH103" s="603">
        <f t="shared" si="88"/>
        <v>86.258255508922616</v>
      </c>
      <c r="AI103" s="585">
        <f t="shared" si="89"/>
        <v>-74.909783319377425</v>
      </c>
      <c r="AJ103" s="586">
        <f t="shared" si="90"/>
        <v>176.12442055734462</v>
      </c>
      <c r="AK103" s="635">
        <f t="shared" si="211"/>
        <v>0.86739755697086729</v>
      </c>
      <c r="AL103" s="629">
        <f t="shared" si="91"/>
        <v>-0.42408105966214876</v>
      </c>
      <c r="AM103" s="634">
        <f t="shared" si="92"/>
        <v>-0.26033964929837383</v>
      </c>
      <c r="AN103" s="581">
        <f t="shared" si="93"/>
        <v>-58.454600475973926</v>
      </c>
      <c r="AO103" s="582">
        <f t="shared" si="461"/>
        <v>29.842387144739728</v>
      </c>
      <c r="AP103" s="585">
        <f t="shared" si="95"/>
        <v>-26.05456324601403</v>
      </c>
      <c r="AQ103" s="586">
        <f t="shared" si="471"/>
        <v>0.29463381260203647</v>
      </c>
      <c r="AS103" s="52">
        <f t="shared" si="543"/>
        <v>-247.82101619664132</v>
      </c>
      <c r="AT103" s="73">
        <f t="shared" si="472"/>
        <v>-1.1179059627374011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5.1539999999999999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-7.5640504356204117</v>
      </c>
      <c r="C104" s="708">
        <v>-3.0180537238729217</v>
      </c>
      <c r="D104" s="709">
        <v>-1.932005826929573</v>
      </c>
      <c r="E104" s="710">
        <v>-0.15679627827381259</v>
      </c>
      <c r="F104" s="708">
        <v>-0.96574995756641535</v>
      </c>
      <c r="G104" s="711">
        <v>0.20674125514746231</v>
      </c>
      <c r="H104" s="710">
        <v>0.314</v>
      </c>
      <c r="I104" s="708">
        <v>0.52</v>
      </c>
      <c r="J104" s="570">
        <v>5.16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5.16</v>
      </c>
      <c r="N104" s="632">
        <f t="shared" si="465"/>
        <v>-7.5640504356204117</v>
      </c>
      <c r="O104" s="629">
        <f t="shared" si="466"/>
        <v>-3.0180537238729217</v>
      </c>
      <c r="P104" s="633">
        <f t="shared" si="467"/>
        <v>-1.932005826929573</v>
      </c>
      <c r="Q104" s="585">
        <f t="shared" si="520"/>
        <v>201.75198386500983</v>
      </c>
      <c r="R104" s="629">
        <f t="shared" si="79"/>
        <v>8.143924562076478</v>
      </c>
      <c r="S104" s="634">
        <f t="shared" si="80"/>
        <v>-1.932005826929573</v>
      </c>
      <c r="T104" s="635">
        <f t="shared" si="81"/>
        <v>-3.0180537238729204</v>
      </c>
      <c r="U104" s="629">
        <f t="shared" si="82"/>
        <v>7.5640504356204126</v>
      </c>
      <c r="V104" s="636">
        <f t="shared" si="114"/>
        <v>-1.932005826929573</v>
      </c>
      <c r="W104" s="585">
        <f t="shared" si="645"/>
        <v>111.75198386500983</v>
      </c>
      <c r="X104" s="629">
        <f t="shared" si="83"/>
        <v>8.143924562076478</v>
      </c>
      <c r="Y104" s="630">
        <f t="shared" si="644"/>
        <v>-1.932005826929573</v>
      </c>
      <c r="Z104" s="632">
        <f t="shared" si="468"/>
        <v>0.15679627827381259</v>
      </c>
      <c r="AA104" s="629">
        <f t="shared" si="469"/>
        <v>0.96574995756641535</v>
      </c>
      <c r="AB104" s="629">
        <f t="shared" si="470"/>
        <v>-0.20674125514746231</v>
      </c>
      <c r="AC104" s="636">
        <f t="shared" si="84"/>
        <v>1</v>
      </c>
      <c r="AD104" s="637">
        <f t="shared" si="115"/>
        <v>0.15679627827381259</v>
      </c>
      <c r="AE104" s="629">
        <f t="shared" si="85"/>
        <v>0.96574995756641535</v>
      </c>
      <c r="AF104" s="633">
        <f t="shared" si="86"/>
        <v>-0.20674125514746231</v>
      </c>
      <c r="AG104" s="602">
        <f t="shared" si="87"/>
        <v>77.916880991254104</v>
      </c>
      <c r="AH104" s="603">
        <f t="shared" si="88"/>
        <v>80.979010612670152</v>
      </c>
      <c r="AI104" s="585">
        <f t="shared" si="89"/>
        <v>-78.06855050710368</v>
      </c>
      <c r="AJ104" s="586">
        <f t="shared" si="90"/>
        <v>170.77809572777167</v>
      </c>
      <c r="AK104" s="635">
        <f t="shared" si="211"/>
        <v>0.83887832501668369</v>
      </c>
      <c r="AL104" s="629">
        <f t="shared" si="91"/>
        <v>-0.50352875711051037</v>
      </c>
      <c r="AM104" s="634">
        <f t="shared" si="92"/>
        <v>-0.20674125514746231</v>
      </c>
      <c r="AN104" s="581">
        <f t="shared" si="93"/>
        <v>-67.677691943270787</v>
      </c>
      <c r="AO104" s="582">
        <f t="shared" si="461"/>
        <v>32.978137626978864</v>
      </c>
      <c r="AP104" s="585">
        <f t="shared" si="95"/>
        <v>-30.973888137238134</v>
      </c>
      <c r="AQ104" s="586">
        <f t="shared" si="471"/>
        <v>0.27992750617896867</v>
      </c>
      <c r="AS104" s="52">
        <f t="shared" si="543"/>
        <v>-248.24801613499017</v>
      </c>
      <c r="AT104" s="73">
        <f t="shared" si="472"/>
        <v>-1.7596113712802743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5.16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-7.8100638600346999</v>
      </c>
      <c r="C105" s="708">
        <v>-3.0739443184946453</v>
      </c>
      <c r="D105" s="709">
        <v>-2.6497079915193034</v>
      </c>
      <c r="E105" s="710">
        <v>-0.23477124537916177</v>
      </c>
      <c r="F105" s="708">
        <v>-0.9621401053138201</v>
      </c>
      <c r="G105" s="711">
        <v>0.13845172476292486</v>
      </c>
      <c r="H105" s="710">
        <v>0.314</v>
      </c>
      <c r="I105" s="708">
        <v>0.52</v>
      </c>
      <c r="J105" s="570">
        <v>5.1660000000000004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5.1660000000000004</v>
      </c>
      <c r="N105" s="632">
        <f t="shared" ref="N105:N136" si="661">IF(M105="","",B105)</f>
        <v>-7.8100638600346999</v>
      </c>
      <c r="O105" s="629">
        <f t="shared" ref="O105:O136" si="662">IF(M105="","",C105)</f>
        <v>-3.0739443184946453</v>
      </c>
      <c r="P105" s="633">
        <f t="shared" ref="P105:P136" si="663">IF(M105="","",D105)</f>
        <v>-2.6497079915193034</v>
      </c>
      <c r="Q105" s="585">
        <f t="shared" si="520"/>
        <v>201.48398390370426</v>
      </c>
      <c r="R105" s="629">
        <f t="shared" si="79"/>
        <v>8.3932253139675463</v>
      </c>
      <c r="S105" s="634">
        <f t="shared" si="80"/>
        <v>-2.6497079915193034</v>
      </c>
      <c r="T105" s="635">
        <f t="shared" si="81"/>
        <v>-3.0739443184946471</v>
      </c>
      <c r="U105" s="629">
        <f t="shared" si="82"/>
        <v>7.8100638600346981</v>
      </c>
      <c r="V105" s="636">
        <f t="shared" si="114"/>
        <v>-2.6497079915193034</v>
      </c>
      <c r="W105" s="585">
        <f t="shared" si="645"/>
        <v>111.48398390370426</v>
      </c>
      <c r="X105" s="629">
        <f t="shared" si="83"/>
        <v>8.3932253139675463</v>
      </c>
      <c r="Y105" s="630">
        <f t="shared" si="644"/>
        <v>-2.6497079915193034</v>
      </c>
      <c r="Z105" s="632">
        <f t="shared" ref="Z105:Z136" si="664">IF(M105="","",-E105)</f>
        <v>0.23477124537916177</v>
      </c>
      <c r="AA105" s="629">
        <f t="shared" ref="AA105:AA136" si="665">IF(M105="","",-F105)</f>
        <v>0.9621401053138201</v>
      </c>
      <c r="AB105" s="629">
        <f t="shared" ref="AB105:AB136" si="666">IF(M105="","",-G105)</f>
        <v>-0.13845172476292486</v>
      </c>
      <c r="AC105" s="636">
        <f t="shared" si="84"/>
        <v>1</v>
      </c>
      <c r="AD105" s="637">
        <f t="shared" si="115"/>
        <v>0.23477124537916177</v>
      </c>
      <c r="AE105" s="629">
        <f t="shared" si="85"/>
        <v>0.9621401053138201</v>
      </c>
      <c r="AF105" s="633">
        <f t="shared" si="86"/>
        <v>-0.13845172476292486</v>
      </c>
      <c r="AG105" s="602">
        <f t="shared" si="87"/>
        <v>81.811363719154372</v>
      </c>
      <c r="AH105" s="603">
        <f t="shared" si="88"/>
        <v>76.421861139636121</v>
      </c>
      <c r="AI105" s="585">
        <f t="shared" si="89"/>
        <v>-82.04173587027104</v>
      </c>
      <c r="AJ105" s="586">
        <f t="shared" si="90"/>
        <v>166.28725395056327</v>
      </c>
      <c r="AK105" s="635">
        <f t="shared" si="211"/>
        <v>0.80930770649254646</v>
      </c>
      <c r="AL105" s="629">
        <f t="shared" si="91"/>
        <v>-0.57083461363335852</v>
      </c>
      <c r="AM105" s="634">
        <f t="shared" si="92"/>
        <v>-0.13845172476292486</v>
      </c>
      <c r="AN105" s="581">
        <f t="shared" si="93"/>
        <v>-76.366599070778989</v>
      </c>
      <c r="AO105" s="582">
        <f t="shared" si="461"/>
        <v>35.971652484820346</v>
      </c>
      <c r="AP105" s="585">
        <f t="shared" si="95"/>
        <v>-35.196729953141002</v>
      </c>
      <c r="AQ105" s="586">
        <f t="shared" ref="AQ105:AQ136" si="667">IF(M105="","",DEGREES(ATAN(($AS$5*SIN(RADIANS(90)))/(($X105*2*PI())-($AS$5*COS(RADIANS(90)))))))</f>
        <v>0.27161305331566421</v>
      </c>
      <c r="AS105" s="52">
        <f t="shared" si="543"/>
        <v>-248.51601609629574</v>
      </c>
      <c r="AT105" s="73">
        <f t="shared" ref="AT105:AT136" si="668">IF(M105="","",Y105+(((AS105-$AS$9)*$AS$6)*-1))</f>
        <v>-2.4771274247857646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5.1660000000000004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-7.8860875717733512</v>
      </c>
      <c r="C106" s="708">
        <v>-3.1038663090132812</v>
      </c>
      <c r="D106" s="709">
        <v>-3.4002102550341289</v>
      </c>
      <c r="E106" s="710">
        <v>-0.31050423100627284</v>
      </c>
      <c r="F106" s="708">
        <v>-0.94819547626754319</v>
      </c>
      <c r="G106" s="711">
        <v>6.7174856255672516E-2</v>
      </c>
      <c r="H106" s="710">
        <v>0.314</v>
      </c>
      <c r="I106" s="708">
        <v>0.52</v>
      </c>
      <c r="J106" s="570">
        <v>5.1719999999999997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5.1719999999999997</v>
      </c>
      <c r="N106" s="632">
        <f t="shared" si="661"/>
        <v>-7.8860875717733512</v>
      </c>
      <c r="O106" s="629">
        <f t="shared" si="662"/>
        <v>-3.1038663090132812</v>
      </c>
      <c r="P106" s="633">
        <f t="shared" si="663"/>
        <v>-3.4002102550341289</v>
      </c>
      <c r="Q106" s="585">
        <f t="shared" si="520"/>
        <v>201.48398390370426</v>
      </c>
      <c r="R106" s="629">
        <f t="shared" ref="R106:R129" si="716">IF(M106="","",SQRT(N106^2+O106^2))</f>
        <v>8.4749255603754925</v>
      </c>
      <c r="S106" s="634">
        <f t="shared" ref="S106:S129" si="717">IF(M106="","",P106)</f>
        <v>-3.4002102550341289</v>
      </c>
      <c r="T106" s="635">
        <f t="shared" ref="T106:T129" si="718">IF(M106="","",X106*COS(RADIANS(W106)))</f>
        <v>-3.1038663090132839</v>
      </c>
      <c r="U106" s="629">
        <f t="shared" ref="U106:U129" si="719">IF(M106="","",X106*SIN(RADIANS(W106)))</f>
        <v>7.8860875717733512</v>
      </c>
      <c r="V106" s="636">
        <f t="shared" ref="V106:V129" si="720">IF(M106="","",Y106)</f>
        <v>-3.4002102550341289</v>
      </c>
      <c r="W106" s="585">
        <f t="shared" si="645"/>
        <v>111.48398390370426</v>
      </c>
      <c r="X106" s="629">
        <f t="shared" ref="X106:X129" si="721">IF(M106="","",R106)</f>
        <v>8.4749255603754925</v>
      </c>
      <c r="Y106" s="630">
        <f t="shared" si="644"/>
        <v>-3.4002102550341289</v>
      </c>
      <c r="Z106" s="632">
        <f t="shared" si="664"/>
        <v>0.31050423100627284</v>
      </c>
      <c r="AA106" s="629">
        <f t="shared" si="665"/>
        <v>0.94819547626754319</v>
      </c>
      <c r="AB106" s="629">
        <f t="shared" si="666"/>
        <v>-6.7174856255672516E-2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0.31050423100627284</v>
      </c>
      <c r="AE106" s="629">
        <f t="shared" ref="AE106:AE129" si="724">IF(M106="","",AA106*(1/SQRT(Z106^2+AA106^2+AB106^2)))</f>
        <v>0.94819547626754319</v>
      </c>
      <c r="AF106" s="633">
        <f t="shared" ref="AF106:AF129" si="725">IF(M106="","",AB106*(1/SQRT(Z106^2+AA106^2+AB106^2)))</f>
        <v>-6.7174856255672516E-2</v>
      </c>
      <c r="AG106" s="602">
        <f t="shared" ref="AG106:AG129" si="726">IF(M106="","",DEGREES(ATAN2(-AF106,AE106)))</f>
        <v>85.947654191202119</v>
      </c>
      <c r="AH106" s="603">
        <f t="shared" ref="AH106:AH129" si="727">IF(M106="","",DEGREES(ACOS(AD106)))</f>
        <v>71.910379588738635</v>
      </c>
      <c r="AI106" s="585">
        <f t="shared" ref="AI106:AI129" si="728">IF(M106="","",DEGREES(-ACOS(-AF106)))</f>
        <v>-86.148263733071587</v>
      </c>
      <c r="AJ106" s="586">
        <f t="shared" ref="AJ106:AJ129" si="729">IF(M106="","",DEGREES(ATAN2(-AE106,AD106)))</f>
        <v>161.86800417140782</v>
      </c>
      <c r="AK106" s="635">
        <f t="shared" ref="AK106:AK129" si="730">IF(M106="","",(COS(RADIANS((90-$Q$8)-W106))*AD106)+(-SIN(RADIANS((90-$Q$8)-W106))*AE106))</f>
        <v>0.76859541634606832</v>
      </c>
      <c r="AL106" s="629">
        <f t="shared" ref="AL106:AL129" si="731">IF(M106="","",(SIN(RADIANS((90-$Q$8)-W106))*AD106)+(COS(RADIANS((90-$Q$8)-W106))*AE106))</f>
        <v>-0.63619857329205309</v>
      </c>
      <c r="AM106" s="634">
        <f t="shared" ref="AM106:AM129" si="732">IF(M106="","",AF106)</f>
        <v>-6.7174856255672516E-2</v>
      </c>
      <c r="AN106" s="581">
        <f t="shared" ref="AN106:AN129" si="733">IF(M106="","",DEGREES(ATAN2(-AM106,AL106)))</f>
        <v>-83.972593561681506</v>
      </c>
      <c r="AO106" s="582">
        <f t="shared" si="461"/>
        <v>39.772074524853593</v>
      </c>
      <c r="AP106" s="585">
        <f t="shared" ref="AP106:AP129" si="734">IF(M106="","",DEGREES(ATAN2(AK106,AL106)))</f>
        <v>-39.61597973229641</v>
      </c>
      <c r="AQ106" s="586">
        <f t="shared" si="667"/>
        <v>0.26899467920024195</v>
      </c>
      <c r="AS106" s="52">
        <f t="shared" si="543"/>
        <v>-248.51601609629574</v>
      </c>
      <c r="AT106" s="73">
        <f t="shared" si="668"/>
        <v>-3.2276296883005902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5.1719999999999997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-7.9559267432486811</v>
      </c>
      <c r="C107" s="708">
        <v>-3.1057234267204588</v>
      </c>
      <c r="D107" s="709">
        <v>-4.1520125224697679</v>
      </c>
      <c r="E107" s="710">
        <v>-0.3202163662251436</v>
      </c>
      <c r="F107" s="708">
        <v>-0.94734443514570965</v>
      </c>
      <c r="G107" s="711">
        <v>1.4578093147770052E-7</v>
      </c>
      <c r="H107" s="710">
        <v>0.314</v>
      </c>
      <c r="I107" s="708">
        <v>0.52</v>
      </c>
      <c r="J107" s="570">
        <v>5.1779999999999999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5.1779999999999999</v>
      </c>
      <c r="N107" s="632">
        <f t="shared" si="661"/>
        <v>-7.9559267432486811</v>
      </c>
      <c r="O107" s="629">
        <f t="shared" si="662"/>
        <v>-3.1057234267204588</v>
      </c>
      <c r="P107" s="633">
        <f t="shared" si="663"/>
        <v>-4.1520125224697679</v>
      </c>
      <c r="Q107" s="585">
        <f t="shared" si="520"/>
        <v>201.32398392680537</v>
      </c>
      <c r="R107" s="629">
        <f t="shared" si="716"/>
        <v>8.5406257585272893</v>
      </c>
      <c r="S107" s="634">
        <f t="shared" si="717"/>
        <v>-4.1520125224697679</v>
      </c>
      <c r="T107" s="635">
        <f t="shared" si="718"/>
        <v>-3.1057234267204592</v>
      </c>
      <c r="U107" s="629">
        <f t="shared" si="719"/>
        <v>7.9559267432486811</v>
      </c>
      <c r="V107" s="636">
        <f t="shared" si="720"/>
        <v>-4.1520125224697679</v>
      </c>
      <c r="W107" s="585">
        <f t="shared" si="645"/>
        <v>111.32398392680537</v>
      </c>
      <c r="X107" s="629">
        <f t="shared" si="721"/>
        <v>8.5406257585272893</v>
      </c>
      <c r="Y107" s="630">
        <f t="shared" si="644"/>
        <v>-4.1520125224697679</v>
      </c>
      <c r="Z107" s="632">
        <f t="shared" si="664"/>
        <v>0.3202163662251436</v>
      </c>
      <c r="AA107" s="629">
        <f t="shared" si="665"/>
        <v>0.94734443514570965</v>
      </c>
      <c r="AB107" s="629">
        <f t="shared" si="666"/>
        <v>-1.4578093147770052E-7</v>
      </c>
      <c r="AC107" s="636">
        <f t="shared" si="722"/>
        <v>1</v>
      </c>
      <c r="AD107" s="637">
        <f t="shared" si="723"/>
        <v>0.3202163662251436</v>
      </c>
      <c r="AE107" s="629">
        <f t="shared" si="724"/>
        <v>0.94734443514570965</v>
      </c>
      <c r="AF107" s="633">
        <f t="shared" si="725"/>
        <v>-1.4578093147770052E-7</v>
      </c>
      <c r="AG107" s="602">
        <f t="shared" si="726"/>
        <v>89.999991183109543</v>
      </c>
      <c r="AH107" s="603">
        <f t="shared" si="727"/>
        <v>71.323989702090927</v>
      </c>
      <c r="AI107" s="585">
        <f t="shared" si="728"/>
        <v>-89.999991647367892</v>
      </c>
      <c r="AJ107" s="586">
        <f t="shared" si="729"/>
        <v>161.32398970209073</v>
      </c>
      <c r="AK107" s="635">
        <f t="shared" si="730"/>
        <v>0.76604450791050727</v>
      </c>
      <c r="AL107" s="629">
        <f t="shared" si="731"/>
        <v>-0.64278753247097731</v>
      </c>
      <c r="AM107" s="634">
        <f t="shared" si="732"/>
        <v>-1.4578093147770052E-7</v>
      </c>
      <c r="AN107" s="581">
        <f t="shared" si="733"/>
        <v>-89.999987005609654</v>
      </c>
      <c r="AO107" s="582">
        <f t="shared" si="461"/>
        <v>39.99999422471538</v>
      </c>
      <c r="AP107" s="585">
        <f t="shared" si="734"/>
        <v>-39.999994224714662</v>
      </c>
      <c r="AQ107" s="586">
        <f t="shared" si="667"/>
        <v>0.26692542250625745</v>
      </c>
      <c r="AS107" s="52">
        <f t="shared" ref="AS107:AS138" si="737">IF(G107="","",IF(AND(W107&lt;(AS106+180),W107&gt;(AS106-180)),W107,IF(W107&gt;(AS106+180),W107-360,IF(W107&lt;(AS106-180),W107+360,"Error"))))</f>
        <v>-248.67601607319463</v>
      </c>
      <c r="AT107" s="73">
        <f t="shared" si="668"/>
        <v>-3.9793208446411605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5.1779999999999999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-4.9876592507161845</v>
      </c>
      <c r="C108" s="708">
        <v>-0.87607413192728156</v>
      </c>
      <c r="D108" s="709">
        <v>-1.4800044636934523E-2</v>
      </c>
      <c r="E108" s="710">
        <v>3.9235494297522671E-8</v>
      </c>
      <c r="F108" s="708">
        <v>-2.2337524742060363E-7</v>
      </c>
      <c r="G108" s="711">
        <v>0.99999999999997435</v>
      </c>
      <c r="H108" s="710">
        <v>0.26250000000000001</v>
      </c>
      <c r="I108" s="708">
        <v>0.40699999999999997</v>
      </c>
      <c r="J108" s="570">
        <v>5.23</v>
      </c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Inactive</v>
      </c>
      <c r="L108" s="320"/>
      <c r="M108" s="168">
        <f t="shared" si="660"/>
        <v>5.23</v>
      </c>
      <c r="N108" s="632">
        <f t="shared" si="661"/>
        <v>-4.9876592507161845</v>
      </c>
      <c r="O108" s="629">
        <f t="shared" si="662"/>
        <v>-0.87607413192728156</v>
      </c>
      <c r="P108" s="633">
        <f t="shared" si="663"/>
        <v>-1.4800044636934523E-2</v>
      </c>
      <c r="Q108" s="585">
        <f t="shared" si="520"/>
        <v>189.96228556723167</v>
      </c>
      <c r="R108" s="629">
        <f t="shared" si="716"/>
        <v>5.0640152730700638</v>
      </c>
      <c r="S108" s="634">
        <f t="shared" si="717"/>
        <v>-1.4800044636934523E-2</v>
      </c>
      <c r="T108" s="635">
        <f t="shared" si="718"/>
        <v>-0.87607413192728301</v>
      </c>
      <c r="U108" s="629">
        <f t="shared" si="719"/>
        <v>4.9876592507161845</v>
      </c>
      <c r="V108" s="636">
        <f t="shared" si="720"/>
        <v>-1.4800044636934523E-2</v>
      </c>
      <c r="W108" s="585">
        <f t="shared" si="645"/>
        <v>99.962285567231675</v>
      </c>
      <c r="X108" s="629">
        <f t="shared" si="721"/>
        <v>5.0640152730700638</v>
      </c>
      <c r="Y108" s="630">
        <f t="shared" si="644"/>
        <v>-1.4800044636934523E-2</v>
      </c>
      <c r="Z108" s="632">
        <f t="shared" si="664"/>
        <v>-3.9235494297522671E-8</v>
      </c>
      <c r="AA108" s="629">
        <f t="shared" si="665"/>
        <v>2.2337524742060363E-7</v>
      </c>
      <c r="AB108" s="629">
        <f t="shared" si="666"/>
        <v>-0.99999999999997435</v>
      </c>
      <c r="AC108" s="636">
        <f t="shared" si="722"/>
        <v>1</v>
      </c>
      <c r="AD108" s="637">
        <f t="shared" si="723"/>
        <v>-3.9235494297522671E-8</v>
      </c>
      <c r="AE108" s="629">
        <f t="shared" si="724"/>
        <v>2.2337524742060363E-7</v>
      </c>
      <c r="AF108" s="633">
        <f t="shared" si="725"/>
        <v>-0.99999999999997435</v>
      </c>
      <c r="AG108" s="602">
        <f t="shared" si="726"/>
        <v>1.2798458924891231E-5</v>
      </c>
      <c r="AH108" s="603">
        <f t="shared" si="727"/>
        <v>90.000002248028224</v>
      </c>
      <c r="AI108" s="585">
        <f t="shared" si="728"/>
        <v>-1.2976235990044085E-5</v>
      </c>
      <c r="AJ108" s="586">
        <f t="shared" si="729"/>
        <v>-170.03771442721015</v>
      </c>
      <c r="AK108" s="635">
        <f t="shared" si="730"/>
        <v>2.2679489670842866E-7</v>
      </c>
      <c r="AL108" s="629">
        <f t="shared" si="731"/>
        <v>2.2001052147664911E-17</v>
      </c>
      <c r="AM108" s="634">
        <f t="shared" si="732"/>
        <v>-0.99999999999997435</v>
      </c>
      <c r="AN108" s="581">
        <f t="shared" si="733"/>
        <v>1.2605674329084674E-15</v>
      </c>
      <c r="AO108" s="582">
        <f t="shared" si="461"/>
        <v>0</v>
      </c>
      <c r="AP108" s="585">
        <f t="shared" si="734"/>
        <v>5.5581825305753759E-9</v>
      </c>
      <c r="AQ108" s="586">
        <f t="shared" si="667"/>
        <v>0.45017236282182088</v>
      </c>
      <c r="AS108" s="52">
        <f t="shared" si="737"/>
        <v>-260.03771443276833</v>
      </c>
      <c r="AT108" s="73">
        <f t="shared" si="668"/>
        <v>0.16578170149693239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Nose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5.23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5.13</v>
      </c>
      <c r="II108" s="734" cm="1">
        <f t="array" ref="II108">IFERROR(ROUND(VALUE(IF($IH108&lt;1,$IH108+LARGE((IF($M$9:$M$150="",0,$M$9:$M$150)-MOD(IF($M$9:$M$150="",0,$M$9:$M$150),1)),1),$IH108)),4),"")</f>
        <v>5.13</v>
      </c>
      <c r="IJ108" s="533">
        <f t="shared" si="542"/>
        <v>1613</v>
      </c>
      <c r="IK108" s="533" t="str">
        <f t="shared" si="713"/>
        <v>Inactive</v>
      </c>
      <c r="IL108" s="727">
        <f t="shared" si="647"/>
        <v>14.541697900438578</v>
      </c>
      <c r="IM108" s="759">
        <v>4.8530936729641403E-3</v>
      </c>
      <c r="IN108" s="5">
        <f t="shared" si="648"/>
        <v>0.08</v>
      </c>
      <c r="IO108" s="771">
        <v>40</v>
      </c>
      <c r="IP108" s="9">
        <f t="shared" si="649"/>
        <v>-5.0640152730700647</v>
      </c>
      <c r="IQ108" s="5">
        <f t="shared" si="650"/>
        <v>-4.220012727558399E-2</v>
      </c>
      <c r="IR108" s="5">
        <f t="shared" si="714"/>
        <v>0.314</v>
      </c>
      <c r="IS108" s="5">
        <f t="shared" si="651"/>
        <v>0.29446529036654406</v>
      </c>
      <c r="IT108" s="727">
        <f t="shared" si="652"/>
        <v>10.562116992535275</v>
      </c>
      <c r="IU108" s="9">
        <f t="shared" si="653"/>
        <v>-5.0640152730700638</v>
      </c>
      <c r="IV108" s="5">
        <f t="shared" si="654"/>
        <v>-1.4800044636934523E-2</v>
      </c>
      <c r="IW108" s="5">
        <f t="shared" si="715"/>
        <v>0.26250000000000001</v>
      </c>
      <c r="IX108" s="5">
        <f t="shared" si="655"/>
        <v>0.26250000000000001</v>
      </c>
      <c r="IY108" s="762">
        <f t="shared" si="656"/>
        <v>-1.2605674329084674E-15</v>
      </c>
    </row>
    <row r="109" spans="1:259" ht="15" customHeight="1" x14ac:dyDescent="0.25">
      <c r="A109" s="79"/>
      <c r="B109" s="707">
        <v>-5.7493537249735214</v>
      </c>
      <c r="C109" s="708">
        <v>-1.0043416637213112</v>
      </c>
      <c r="D109" s="709">
        <v>-9.0100271742420759E-2</v>
      </c>
      <c r="E109" s="710">
        <v>-0.15749612266249827</v>
      </c>
      <c r="F109" s="708">
        <v>-2.751287346387182E-2</v>
      </c>
      <c r="G109" s="711">
        <v>0.9871362687795644</v>
      </c>
      <c r="H109" s="710">
        <v>0.26250000000000001</v>
      </c>
      <c r="I109" s="708">
        <v>0.40699999999999997</v>
      </c>
      <c r="J109" s="570">
        <v>5.2359999999999998</v>
      </c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Inactive</v>
      </c>
      <c r="L109" s="320"/>
      <c r="M109" s="168">
        <f t="shared" si="660"/>
        <v>5.2359999999999998</v>
      </c>
      <c r="N109" s="632">
        <f t="shared" si="661"/>
        <v>-5.7493537249735214</v>
      </c>
      <c r="O109" s="629">
        <f t="shared" si="662"/>
        <v>-1.0043416637213112</v>
      </c>
      <c r="P109" s="633">
        <f t="shared" si="663"/>
        <v>-9.0100271742420759E-2</v>
      </c>
      <c r="Q109" s="585">
        <f t="shared" si="520"/>
        <v>189.90888557494165</v>
      </c>
      <c r="R109" s="629">
        <f t="shared" si="716"/>
        <v>5.836417602635489</v>
      </c>
      <c r="S109" s="634">
        <f t="shared" si="717"/>
        <v>-9.0100271742420759E-2</v>
      </c>
      <c r="T109" s="635">
        <f t="shared" si="718"/>
        <v>-1.0043416637213101</v>
      </c>
      <c r="U109" s="629">
        <f t="shared" si="719"/>
        <v>5.7493537249735214</v>
      </c>
      <c r="V109" s="636">
        <f t="shared" si="720"/>
        <v>-9.0100271742420759E-2</v>
      </c>
      <c r="W109" s="585">
        <f t="shared" si="645"/>
        <v>99.90888557494165</v>
      </c>
      <c r="X109" s="629">
        <f t="shared" si="721"/>
        <v>5.836417602635489</v>
      </c>
      <c r="Y109" s="630">
        <f t="shared" si="644"/>
        <v>-9.0100271742420759E-2</v>
      </c>
      <c r="Z109" s="632">
        <f t="shared" si="664"/>
        <v>0.15749612266249827</v>
      </c>
      <c r="AA109" s="629">
        <f t="shared" si="665"/>
        <v>2.751287346387182E-2</v>
      </c>
      <c r="AB109" s="629">
        <f t="shared" si="666"/>
        <v>-0.9871362687795644</v>
      </c>
      <c r="AC109" s="636">
        <f t="shared" si="722"/>
        <v>1</v>
      </c>
      <c r="AD109" s="637">
        <f t="shared" si="723"/>
        <v>0.15749612266249827</v>
      </c>
      <c r="AE109" s="629">
        <f t="shared" si="724"/>
        <v>2.751287346387182E-2</v>
      </c>
      <c r="AF109" s="633">
        <f t="shared" si="725"/>
        <v>-0.9871362687795644</v>
      </c>
      <c r="AG109" s="602">
        <f t="shared" si="726"/>
        <v>1.5965004920310861</v>
      </c>
      <c r="AH109" s="603">
        <f t="shared" si="727"/>
        <v>80.938408008832909</v>
      </c>
      <c r="AI109" s="585">
        <f t="shared" si="728"/>
        <v>-9.1999986716936011</v>
      </c>
      <c r="AJ109" s="586">
        <f t="shared" si="729"/>
        <v>99.908966850246429</v>
      </c>
      <c r="AK109" s="635">
        <f t="shared" si="730"/>
        <v>2.2679489674465314E-7</v>
      </c>
      <c r="AL109" s="629">
        <f t="shared" si="731"/>
        <v>-0.15988116480657841</v>
      </c>
      <c r="AM109" s="634">
        <f t="shared" si="732"/>
        <v>-0.9871362687795644</v>
      </c>
      <c r="AN109" s="581">
        <f t="shared" si="733"/>
        <v>-9.199998671684531</v>
      </c>
      <c r="AO109" s="582">
        <f t="shared" si="461"/>
        <v>0</v>
      </c>
      <c r="AP109" s="585">
        <f t="shared" si="734"/>
        <v>-89.99991872469522</v>
      </c>
      <c r="AQ109" s="586">
        <f t="shared" si="667"/>
        <v>0.39059770405718486</v>
      </c>
      <c r="AS109" s="52">
        <f t="shared" si="737"/>
        <v>-260.09111442505832</v>
      </c>
      <c r="AT109" s="73">
        <f t="shared" si="668"/>
        <v>9.051855771942531E-2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Nose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5.2359999999999998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5.1360000000000001</v>
      </c>
      <c r="II109" s="734" cm="1">
        <f t="array" ref="II109">IFERROR(ROUND(VALUE(IF($IH109&lt;1,$IH109+LARGE((IF($M$9:$M$150="",0,$M$9:$M$150)-MOD(IF($M$9:$M$150="",0,$M$9:$M$150),1)),1),$IH109)),4),"")</f>
        <v>5.1360000000000001</v>
      </c>
      <c r="IJ109" s="533">
        <f t="shared" si="542"/>
        <v>1613</v>
      </c>
      <c r="IK109" s="533" t="str">
        <f t="shared" si="713"/>
        <v>Inactive</v>
      </c>
      <c r="IL109" s="727">
        <f t="shared" si="647"/>
        <v>14.046097971994385</v>
      </c>
      <c r="IM109" s="759">
        <v>3.5334337272396798E-3</v>
      </c>
      <c r="IN109" s="5">
        <f t="shared" si="648"/>
        <v>0.06</v>
      </c>
      <c r="IO109" s="771">
        <v>30</v>
      </c>
      <c r="IP109" s="9">
        <f t="shared" si="649"/>
        <v>-5.8302175839362338</v>
      </c>
      <c r="IQ109" s="5">
        <f t="shared" si="650"/>
        <v>-0.11740035407946828</v>
      </c>
      <c r="IR109" s="5">
        <f t="shared" si="714"/>
        <v>0.314</v>
      </c>
      <c r="IS109" s="5">
        <f t="shared" si="651"/>
        <v>0.29361273482506117</v>
      </c>
      <c r="IT109" s="727">
        <f t="shared" si="652"/>
        <v>25.425514458912946</v>
      </c>
      <c r="IU109" s="9">
        <f t="shared" si="653"/>
        <v>-5.836417602635489</v>
      </c>
      <c r="IV109" s="5">
        <f t="shared" si="654"/>
        <v>-9.0100271742420759E-2</v>
      </c>
      <c r="IW109" s="5">
        <f t="shared" si="715"/>
        <v>0.26250000000000001</v>
      </c>
      <c r="IX109" s="5">
        <f t="shared" si="655"/>
        <v>0.26250000000000001</v>
      </c>
      <c r="IY109" s="762">
        <f t="shared" si="656"/>
        <v>9.199998671684531</v>
      </c>
    </row>
    <row r="110" spans="1:259" ht="15" customHeight="1" x14ac:dyDescent="0.25">
      <c r="A110" s="79"/>
      <c r="B110" s="707">
        <v>-6.4754320170104664</v>
      </c>
      <c r="C110" s="708">
        <v>-1.0531856733249478</v>
      </c>
      <c r="D110" s="709">
        <v>-0.33690101609346335</v>
      </c>
      <c r="E110" s="710">
        <v>-0.30991999814972093</v>
      </c>
      <c r="F110" s="708">
        <v>-5.0406642979672595E-2</v>
      </c>
      <c r="G110" s="711">
        <v>0.94942549212162874</v>
      </c>
      <c r="H110" s="710">
        <v>0.26250000000000001</v>
      </c>
      <c r="I110" s="708">
        <v>0.40699999999999997</v>
      </c>
      <c r="J110" s="570">
        <v>5.242</v>
      </c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Inactive</v>
      </c>
      <c r="L110" s="320"/>
      <c r="M110" s="168">
        <f t="shared" si="660"/>
        <v>5.242</v>
      </c>
      <c r="N110" s="632">
        <f t="shared" si="661"/>
        <v>-6.4754320170104664</v>
      </c>
      <c r="O110" s="629">
        <f t="shared" si="662"/>
        <v>-1.0531856733249478</v>
      </c>
      <c r="P110" s="633">
        <f t="shared" si="663"/>
        <v>-0.33690101609346335</v>
      </c>
      <c r="Q110" s="585">
        <f t="shared" si="520"/>
        <v>189.23788567182206</v>
      </c>
      <c r="R110" s="629">
        <f t="shared" si="716"/>
        <v>6.5605197865276779</v>
      </c>
      <c r="S110" s="634">
        <f t="shared" si="717"/>
        <v>-0.33690101609346335</v>
      </c>
      <c r="T110" s="635">
        <f t="shared" si="718"/>
        <v>-1.0531856733249474</v>
      </c>
      <c r="U110" s="629">
        <f t="shared" si="719"/>
        <v>6.4754320170104673</v>
      </c>
      <c r="V110" s="636">
        <f t="shared" si="720"/>
        <v>-0.33690101609346335</v>
      </c>
      <c r="W110" s="585">
        <f t="shared" si="645"/>
        <v>99.237885671822056</v>
      </c>
      <c r="X110" s="629">
        <f t="shared" si="721"/>
        <v>6.5605197865276779</v>
      </c>
      <c r="Y110" s="630">
        <f t="shared" si="644"/>
        <v>-0.33690101609346335</v>
      </c>
      <c r="Z110" s="632">
        <f t="shared" si="664"/>
        <v>0.30991999814972093</v>
      </c>
      <c r="AA110" s="629">
        <f t="shared" si="665"/>
        <v>5.0406642979672595E-2</v>
      </c>
      <c r="AB110" s="629">
        <f t="shared" si="666"/>
        <v>-0.94942549212162874</v>
      </c>
      <c r="AC110" s="636">
        <f t="shared" si="722"/>
        <v>1</v>
      </c>
      <c r="AD110" s="637">
        <f t="shared" si="723"/>
        <v>0.30991999814972093</v>
      </c>
      <c r="AE110" s="629">
        <f t="shared" si="724"/>
        <v>5.0406642979672595E-2</v>
      </c>
      <c r="AF110" s="633">
        <f t="shared" si="725"/>
        <v>-0.94942549212162874</v>
      </c>
      <c r="AG110" s="602">
        <f t="shared" si="726"/>
        <v>3.0390788159232174</v>
      </c>
      <c r="AH110" s="603">
        <f t="shared" si="727"/>
        <v>71.945590724374924</v>
      </c>
      <c r="AI110" s="585">
        <f t="shared" si="728"/>
        <v>-18.299997357811733</v>
      </c>
      <c r="AJ110" s="586">
        <f t="shared" si="729"/>
        <v>99.237927056231015</v>
      </c>
      <c r="AK110" s="635">
        <f t="shared" si="730"/>
        <v>2.2679489673771425E-7</v>
      </c>
      <c r="AL110" s="629">
        <f t="shared" si="731"/>
        <v>-0.31399241218467649</v>
      </c>
      <c r="AM110" s="634">
        <f t="shared" si="732"/>
        <v>-0.94942549212162874</v>
      </c>
      <c r="AN110" s="581">
        <f t="shared" si="733"/>
        <v>-18.299997357807293</v>
      </c>
      <c r="AO110" s="582">
        <f t="shared" si="461"/>
        <v>0</v>
      </c>
      <c r="AP110" s="585">
        <f t="shared" si="734"/>
        <v>-89.999958615591041</v>
      </c>
      <c r="AQ110" s="586">
        <f t="shared" si="667"/>
        <v>0.34748750941035522</v>
      </c>
      <c r="AS110" s="52">
        <f t="shared" si="737"/>
        <v>-260.76211432817797</v>
      </c>
      <c r="AT110" s="73">
        <f t="shared" si="668"/>
        <v>-0.15581621447667307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Nose</v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5.242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5.1420000000000003</v>
      </c>
      <c r="II110" s="734" cm="1">
        <f t="array" ref="II110">IFERROR(ROUND(VALUE(IF($IH110&lt;1,$IH110+LARGE((IF($M$9:$M$150="",0,$M$9:$M$150)-MOD(IF($M$9:$M$150="",0,$M$9:$M$150),1)),1),$IH110)),4),"")</f>
        <v>5.1420000000000003</v>
      </c>
      <c r="IJ110" s="533">
        <f t="shared" si="542"/>
        <v>1613</v>
      </c>
      <c r="IK110" s="533" t="str">
        <f t="shared" si="713"/>
        <v>Inactive</v>
      </c>
      <c r="IL110" s="727">
        <f t="shared" si="647"/>
        <v>14.101097964053366</v>
      </c>
      <c r="IM110" s="759">
        <v>1.9243222796672399E-3</v>
      </c>
      <c r="IN110" s="5">
        <f t="shared" si="648"/>
        <v>0.02</v>
      </c>
      <c r="IO110" s="771">
        <v>10</v>
      </c>
      <c r="IP110" s="9">
        <f t="shared" si="649"/>
        <v>-6.5490197518435709</v>
      </c>
      <c r="IQ110" s="5">
        <f t="shared" si="650"/>
        <v>-0.36090108847768237</v>
      </c>
      <c r="IR110" s="5">
        <f t="shared" si="714"/>
        <v>0.314</v>
      </c>
      <c r="IS110" s="5">
        <f t="shared" si="651"/>
        <v>0.29057117036765656</v>
      </c>
      <c r="IT110" s="727">
        <f t="shared" si="652"/>
        <v>38.713947458657252</v>
      </c>
      <c r="IU110" s="9">
        <f t="shared" si="653"/>
        <v>-6.5605197865276779</v>
      </c>
      <c r="IV110" s="5">
        <f t="shared" si="654"/>
        <v>-0.33690101609346335</v>
      </c>
      <c r="IW110" s="5">
        <f t="shared" si="715"/>
        <v>0.26250000000000001</v>
      </c>
      <c r="IX110" s="5">
        <f t="shared" si="655"/>
        <v>0.26250000000000001</v>
      </c>
      <c r="IY110" s="762">
        <f t="shared" si="656"/>
        <v>18.299997357807293</v>
      </c>
    </row>
    <row r="111" spans="1:259" ht="15" customHeight="1" x14ac:dyDescent="0.25">
      <c r="A111" s="79"/>
      <c r="B111" s="707">
        <v>-7.1368639758199821</v>
      </c>
      <c r="C111" s="708">
        <v>-1.0273044120154868</v>
      </c>
      <c r="D111" s="709">
        <v>-0.74300224089475853</v>
      </c>
      <c r="E111" s="710">
        <v>-0.45550492199118947</v>
      </c>
      <c r="F111" s="708">
        <v>-6.556715287394986E-2</v>
      </c>
      <c r="G111" s="711">
        <v>0.88781541691153598</v>
      </c>
      <c r="H111" s="710">
        <v>0.26250000000000001</v>
      </c>
      <c r="I111" s="708">
        <v>0.40699999999999997</v>
      </c>
      <c r="J111" s="570">
        <v>5.2480000000000002</v>
      </c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Inactive</v>
      </c>
      <c r="L111" s="320"/>
      <c r="M111" s="168">
        <f t="shared" si="660"/>
        <v>5.2480000000000002</v>
      </c>
      <c r="N111" s="632">
        <f t="shared" si="661"/>
        <v>-7.1368639758199821</v>
      </c>
      <c r="O111" s="629">
        <f t="shared" si="662"/>
        <v>-1.0273044120154868</v>
      </c>
      <c r="P111" s="633">
        <f t="shared" si="663"/>
        <v>-0.74300224089475853</v>
      </c>
      <c r="Q111" s="585">
        <f t="shared" si="520"/>
        <v>188.19108582296127</v>
      </c>
      <c r="R111" s="629">
        <f t="shared" si="716"/>
        <v>7.2104217466319884</v>
      </c>
      <c r="S111" s="634">
        <f t="shared" si="717"/>
        <v>-0.74300224089475853</v>
      </c>
      <c r="T111" s="635">
        <f t="shared" si="718"/>
        <v>-1.0273044120154886</v>
      </c>
      <c r="U111" s="629">
        <f t="shared" si="719"/>
        <v>7.136863975819983</v>
      </c>
      <c r="V111" s="636">
        <f t="shared" si="720"/>
        <v>-0.74300224089475853</v>
      </c>
      <c r="W111" s="585">
        <f t="shared" si="645"/>
        <v>98.19108582296127</v>
      </c>
      <c r="X111" s="629">
        <f t="shared" si="721"/>
        <v>7.2104217466319884</v>
      </c>
      <c r="Y111" s="630">
        <f t="shared" si="644"/>
        <v>-0.74300224089475853</v>
      </c>
      <c r="Z111" s="632">
        <f t="shared" si="664"/>
        <v>0.45550492199118947</v>
      </c>
      <c r="AA111" s="629">
        <f t="shared" si="665"/>
        <v>6.556715287394986E-2</v>
      </c>
      <c r="AB111" s="629">
        <f t="shared" si="666"/>
        <v>-0.88781541691153598</v>
      </c>
      <c r="AC111" s="636">
        <f t="shared" si="722"/>
        <v>1</v>
      </c>
      <c r="AD111" s="637">
        <f t="shared" si="723"/>
        <v>0.45550492199118947</v>
      </c>
      <c r="AE111" s="629">
        <f t="shared" si="724"/>
        <v>6.556715287394986E-2</v>
      </c>
      <c r="AF111" s="633">
        <f t="shared" si="725"/>
        <v>-0.88781541691153598</v>
      </c>
      <c r="AG111" s="602">
        <f t="shared" si="726"/>
        <v>4.2237535155462966</v>
      </c>
      <c r="AH111" s="603">
        <f t="shared" si="727"/>
        <v>62.90257349623429</v>
      </c>
      <c r="AI111" s="585">
        <f t="shared" si="728"/>
        <v>-27.399996043932898</v>
      </c>
      <c r="AJ111" s="586">
        <f t="shared" si="729"/>
        <v>98.191114059376304</v>
      </c>
      <c r="AK111" s="635">
        <f t="shared" si="730"/>
        <v>2.2679489661281416E-7</v>
      </c>
      <c r="AL111" s="629">
        <f t="shared" si="731"/>
        <v>-0.46019972348334159</v>
      </c>
      <c r="AM111" s="634">
        <f t="shared" si="732"/>
        <v>-0.88781541691153598</v>
      </c>
      <c r="AN111" s="581">
        <f t="shared" si="733"/>
        <v>-27.399996043930052</v>
      </c>
      <c r="AO111" s="582">
        <f t="shared" si="461"/>
        <v>0</v>
      </c>
      <c r="AP111" s="585">
        <f t="shared" si="734"/>
        <v>-89.999971763584966</v>
      </c>
      <c r="AQ111" s="586">
        <f t="shared" si="667"/>
        <v>0.31616784324638186</v>
      </c>
      <c r="AS111" s="52">
        <f t="shared" si="737"/>
        <v>-261.80891417703873</v>
      </c>
      <c r="AT111" s="73">
        <f t="shared" si="668"/>
        <v>-0.56119049493848161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Taper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5.2480000000000002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5.1479999999999997</v>
      </c>
      <c r="II111" s="734" cm="1">
        <f t="array" ref="II111">IFERROR(ROUND(VALUE(IF($IH111&lt;1,$IH111+LARGE((IF($M$9:$M$150="",0,$M$9:$M$150)-MOD(IF($M$9:$M$150="",0,$M$9:$M$150),1)),1),$IH111)),4),"")</f>
        <v>5.1479999999999997</v>
      </c>
      <c r="IJ111" s="533">
        <f t="shared" si="542"/>
        <v>1613</v>
      </c>
      <c r="IK111" s="533" t="str">
        <f t="shared" si="713"/>
        <v>Inactive</v>
      </c>
      <c r="IL111" s="727">
        <f t="shared" si="647"/>
        <v>14.533897901564757</v>
      </c>
      <c r="IM111" s="759">
        <v>1.57043993692043E-4</v>
      </c>
      <c r="IN111" s="5">
        <f t="shared" si="648"/>
        <v>0</v>
      </c>
      <c r="IO111" s="771">
        <v>0</v>
      </c>
      <c r="IP111" s="9">
        <f t="shared" si="649"/>
        <v>-7.1964217044078609</v>
      </c>
      <c r="IQ111" s="5">
        <f t="shared" si="650"/>
        <v>-0.75880228854770171</v>
      </c>
      <c r="IR111" s="5">
        <f t="shared" si="714"/>
        <v>0.314</v>
      </c>
      <c r="IS111" s="5">
        <f t="shared" si="651"/>
        <v>0.28306416247859539</v>
      </c>
      <c r="IT111" s="727">
        <f t="shared" si="652"/>
        <v>49.380157555449081</v>
      </c>
      <c r="IU111" s="9">
        <f t="shared" si="653"/>
        <v>-7.2104217466319884</v>
      </c>
      <c r="IV111" s="5">
        <f t="shared" si="654"/>
        <v>-0.74300224089475853</v>
      </c>
      <c r="IW111" s="5">
        <f t="shared" si="715"/>
        <v>0.26250000000000001</v>
      </c>
      <c r="IX111" s="5">
        <f t="shared" si="655"/>
        <v>0.26250000000000001</v>
      </c>
      <c r="IY111" s="762">
        <f t="shared" si="656"/>
        <v>27.399996043930052</v>
      </c>
    </row>
    <row r="112" spans="1:259" ht="15" customHeight="1" x14ac:dyDescent="0.25">
      <c r="A112" s="79"/>
      <c r="B112" s="707">
        <v>-7.6883625201764509</v>
      </c>
      <c r="C112" s="708">
        <v>-0.97408627866633135</v>
      </c>
      <c r="D112" s="709">
        <v>-1.2847038746668866</v>
      </c>
      <c r="E112" s="710">
        <v>-0.58871260906434719</v>
      </c>
      <c r="F112" s="708">
        <v>-7.4587876245807788E-2</v>
      </c>
      <c r="G112" s="711">
        <v>0.80489385178779271</v>
      </c>
      <c r="H112" s="710">
        <v>0.26250000000000001</v>
      </c>
      <c r="I112" s="708">
        <v>0.40699999999999997</v>
      </c>
      <c r="J112" s="570">
        <v>5.2539999999999996</v>
      </c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Inactive</v>
      </c>
      <c r="L112" s="320"/>
      <c r="M112" s="168">
        <f t="shared" si="660"/>
        <v>5.2539999999999996</v>
      </c>
      <c r="N112" s="632">
        <f t="shared" si="661"/>
        <v>-7.6883625201764509</v>
      </c>
      <c r="O112" s="629">
        <f t="shared" si="662"/>
        <v>-0.97408627866633135</v>
      </c>
      <c r="P112" s="633">
        <f t="shared" si="663"/>
        <v>-1.2847038746668866</v>
      </c>
      <c r="Q112" s="585">
        <f t="shared" si="520"/>
        <v>187.22068596306966</v>
      </c>
      <c r="R112" s="629">
        <f t="shared" si="716"/>
        <v>7.7498233734672954</v>
      </c>
      <c r="S112" s="634">
        <f t="shared" si="717"/>
        <v>-1.2847038746668866</v>
      </c>
      <c r="T112" s="635">
        <f t="shared" si="718"/>
        <v>-0.97408627866633024</v>
      </c>
      <c r="U112" s="629">
        <f t="shared" si="719"/>
        <v>7.6883625201764509</v>
      </c>
      <c r="V112" s="636">
        <f t="shared" si="720"/>
        <v>-1.2847038746668866</v>
      </c>
      <c r="W112" s="585">
        <f t="shared" si="645"/>
        <v>97.220685963069656</v>
      </c>
      <c r="X112" s="629">
        <f t="shared" si="721"/>
        <v>7.7498233734672954</v>
      </c>
      <c r="Y112" s="630">
        <f t="shared" si="644"/>
        <v>-1.2847038746668866</v>
      </c>
      <c r="Z112" s="632">
        <f t="shared" si="664"/>
        <v>0.58871260906434719</v>
      </c>
      <c r="AA112" s="629">
        <f t="shared" si="665"/>
        <v>7.4587876245807788E-2</v>
      </c>
      <c r="AB112" s="629">
        <f t="shared" si="666"/>
        <v>-0.80489385178779271</v>
      </c>
      <c r="AC112" s="636">
        <f t="shared" si="722"/>
        <v>1</v>
      </c>
      <c r="AD112" s="637">
        <f t="shared" si="723"/>
        <v>0.58871260906434719</v>
      </c>
      <c r="AE112" s="629">
        <f t="shared" si="724"/>
        <v>7.4587876245807788E-2</v>
      </c>
      <c r="AF112" s="633">
        <f t="shared" si="725"/>
        <v>-0.80489385178779271</v>
      </c>
      <c r="AG112" s="602">
        <f t="shared" si="726"/>
        <v>5.2943630546699145</v>
      </c>
      <c r="AH112" s="603">
        <f t="shared" si="727"/>
        <v>53.934295836882754</v>
      </c>
      <c r="AI112" s="585">
        <f t="shared" si="728"/>
        <v>-36.399994744493</v>
      </c>
      <c r="AJ112" s="586">
        <f t="shared" si="729"/>
        <v>97.220707860572944</v>
      </c>
      <c r="AK112" s="635">
        <f t="shared" si="730"/>
        <v>2.2679489676546982E-7</v>
      </c>
      <c r="AL112" s="629">
        <f t="shared" si="731"/>
        <v>-0.59341881277404696</v>
      </c>
      <c r="AM112" s="634">
        <f t="shared" si="732"/>
        <v>-0.80489385178779271</v>
      </c>
      <c r="AN112" s="581">
        <f t="shared" si="733"/>
        <v>-36.399994744491011</v>
      </c>
      <c r="AO112" s="582">
        <f t="shared" si="461"/>
        <v>0</v>
      </c>
      <c r="AP112" s="585">
        <f t="shared" si="734"/>
        <v>-89.999978102496726</v>
      </c>
      <c r="AQ112" s="586">
        <f t="shared" si="667"/>
        <v>0.29416239462684707</v>
      </c>
      <c r="AS112" s="52">
        <f t="shared" si="737"/>
        <v>-262.77931403693037</v>
      </c>
      <c r="AT112" s="73">
        <f t="shared" si="668"/>
        <v>-1.1022182399190183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Taper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5.2539999999999996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5.1539999999999999</v>
      </c>
      <c r="II112" s="734" cm="1">
        <f t="array" ref="II112">IFERROR(ROUND(VALUE(IF($IH112&lt;1,$IH112+LARGE((IF($M$9:$M$150="",0,$M$9:$M$150)-MOD(IF($M$9:$M$150="",0,$M$9:$M$150),1)),1),$IH112)),4),"")</f>
        <v>5.1539999999999999</v>
      </c>
      <c r="IJ112" s="533">
        <f t="shared" si="542"/>
        <v>1613</v>
      </c>
      <c r="IK112" s="533" t="str">
        <f t="shared" si="713"/>
        <v>Inactive</v>
      </c>
      <c r="IL112" s="727">
        <f t="shared" si="647"/>
        <v>14.958297840289021</v>
      </c>
      <c r="IM112" s="759">
        <v>2.20619227057634E-4</v>
      </c>
      <c r="IN112" s="5">
        <f t="shared" si="648"/>
        <v>0</v>
      </c>
      <c r="IO112" s="771">
        <v>0</v>
      </c>
      <c r="IP112" s="9">
        <f t="shared" si="649"/>
        <v>-7.7374233360687832</v>
      </c>
      <c r="IQ112" s="5">
        <f t="shared" si="650"/>
        <v>-1.2900038906517353</v>
      </c>
      <c r="IR112" s="5">
        <f t="shared" si="714"/>
        <v>0.314</v>
      </c>
      <c r="IS112" s="5">
        <f t="shared" si="651"/>
        <v>0.27236283288885238</v>
      </c>
      <c r="IT112" s="727">
        <f t="shared" si="652"/>
        <v>58.454600475973926</v>
      </c>
      <c r="IU112" s="9">
        <f t="shared" si="653"/>
        <v>-7.7498233734672954</v>
      </c>
      <c r="IV112" s="5">
        <f t="shared" si="654"/>
        <v>-1.2847038746668866</v>
      </c>
      <c r="IW112" s="5">
        <f t="shared" si="715"/>
        <v>0.26250000000000001</v>
      </c>
      <c r="IX112" s="5">
        <f t="shared" si="655"/>
        <v>0.26250000000000001</v>
      </c>
      <c r="IY112" s="762">
        <f t="shared" si="656"/>
        <v>36.399994744491011</v>
      </c>
    </row>
    <row r="113" spans="1:259" ht="15" customHeight="1" x14ac:dyDescent="0.25">
      <c r="A113" s="79"/>
      <c r="B113" s="707">
        <v>-8.0973778483967553</v>
      </c>
      <c r="C113" s="708">
        <v>-0.95179438823857032</v>
      </c>
      <c r="D113" s="709">
        <v>-1.9346058347711987</v>
      </c>
      <c r="E113" s="710">
        <v>-0.70837351460875342</v>
      </c>
      <c r="F113" s="708">
        <v>-8.3264952888667254E-2</v>
      </c>
      <c r="G113" s="711">
        <v>0.70090934607928446</v>
      </c>
      <c r="H113" s="710">
        <v>0.26250000000000001</v>
      </c>
      <c r="I113" s="708">
        <v>0.40699999999999997</v>
      </c>
      <c r="J113" s="570">
        <v>5.26</v>
      </c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Inactive</v>
      </c>
      <c r="L113" s="320"/>
      <c r="M113" s="168">
        <f t="shared" si="660"/>
        <v>5.26</v>
      </c>
      <c r="N113" s="632">
        <f t="shared" si="661"/>
        <v>-8.0973778483967553</v>
      </c>
      <c r="O113" s="629">
        <f t="shared" si="662"/>
        <v>-0.95179438823857032</v>
      </c>
      <c r="P113" s="633">
        <f t="shared" si="663"/>
        <v>-1.9346058347711987</v>
      </c>
      <c r="Q113" s="585">
        <f t="shared" si="520"/>
        <v>186.70398603767191</v>
      </c>
      <c r="R113" s="629">
        <f t="shared" si="716"/>
        <v>8.1531245898237632</v>
      </c>
      <c r="S113" s="634">
        <f t="shared" si="717"/>
        <v>-1.9346058347711987</v>
      </c>
      <c r="T113" s="635">
        <f t="shared" si="718"/>
        <v>-0.95179438823857132</v>
      </c>
      <c r="U113" s="629">
        <f t="shared" si="719"/>
        <v>8.0973778483967553</v>
      </c>
      <c r="V113" s="636">
        <f t="shared" si="720"/>
        <v>-1.9346058347711987</v>
      </c>
      <c r="W113" s="585">
        <f t="shared" si="645"/>
        <v>96.70398603767191</v>
      </c>
      <c r="X113" s="629">
        <f t="shared" si="721"/>
        <v>8.1531245898237632</v>
      </c>
      <c r="Y113" s="630">
        <f t="shared" si="644"/>
        <v>-1.9346058347711987</v>
      </c>
      <c r="Z113" s="632">
        <f t="shared" si="664"/>
        <v>0.70837351460875342</v>
      </c>
      <c r="AA113" s="629">
        <f t="shared" si="665"/>
        <v>8.3264952888667254E-2</v>
      </c>
      <c r="AB113" s="629">
        <f t="shared" si="666"/>
        <v>-0.70090934607928446</v>
      </c>
      <c r="AC113" s="636">
        <f t="shared" si="722"/>
        <v>1</v>
      </c>
      <c r="AD113" s="637">
        <f t="shared" si="723"/>
        <v>0.70837351460875342</v>
      </c>
      <c r="AE113" s="629">
        <f t="shared" si="724"/>
        <v>8.3264952888667254E-2</v>
      </c>
      <c r="AF113" s="633">
        <f t="shared" si="725"/>
        <v>-0.70090934607928446</v>
      </c>
      <c r="AG113" s="602">
        <f t="shared" si="726"/>
        <v>6.7747368392824479</v>
      </c>
      <c r="AH113" s="603">
        <f t="shared" si="727"/>
        <v>44.897266373082317</v>
      </c>
      <c r="AI113" s="585">
        <f t="shared" si="728"/>
        <v>-45.499993430615199</v>
      </c>
      <c r="AJ113" s="586">
        <f t="shared" si="729"/>
        <v>96.704004256225957</v>
      </c>
      <c r="AK113" s="635">
        <f t="shared" si="730"/>
        <v>2.2679489662669194E-7</v>
      </c>
      <c r="AL113" s="629">
        <f t="shared" si="731"/>
        <v>-0.71325036878971071</v>
      </c>
      <c r="AM113" s="634">
        <f t="shared" si="732"/>
        <v>-0.70090934607928446</v>
      </c>
      <c r="AN113" s="581">
        <f t="shared" si="733"/>
        <v>-45.499993430613749</v>
      </c>
      <c r="AO113" s="582">
        <f t="shared" si="461"/>
        <v>0</v>
      </c>
      <c r="AP113" s="585">
        <f t="shared" si="734"/>
        <v>-89.999981781445967</v>
      </c>
      <c r="AQ113" s="586">
        <f t="shared" si="667"/>
        <v>0.27961163955831347</v>
      </c>
      <c r="AS113" s="52">
        <f t="shared" si="737"/>
        <v>-263.29601396232806</v>
      </c>
      <c r="AT113" s="73">
        <f t="shared" si="668"/>
        <v>-1.7517613806306931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Taper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5.26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5.16</v>
      </c>
      <c r="II113" s="734" cm="1">
        <f t="array" ref="II113">IFERROR(ROUND(VALUE(IF($IH113&lt;1,$IH113+LARGE((IF($M$9:$M$150="",0,$M$9:$M$150)-MOD(IF($M$9:$M$150="",0,$M$9:$M$150),1)),1),$IH113)),4),"")</f>
        <v>5.16</v>
      </c>
      <c r="IJ113" s="533">
        <f t="shared" si="542"/>
        <v>1613</v>
      </c>
      <c r="IK113" s="533" t="str">
        <f t="shared" si="713"/>
        <v>Inactive</v>
      </c>
      <c r="IL113" s="727">
        <f t="shared" si="647"/>
        <v>15.047997827337923</v>
      </c>
      <c r="IM113" s="759">
        <v>2.5834872394860602E-4</v>
      </c>
      <c r="IN113" s="5">
        <f t="shared" si="648"/>
        <v>0</v>
      </c>
      <c r="IO113" s="771">
        <v>0</v>
      </c>
      <c r="IP113" s="9">
        <f t="shared" si="649"/>
        <v>-8.143924562076478</v>
      </c>
      <c r="IQ113" s="5">
        <f t="shared" si="650"/>
        <v>-1.932005826929573</v>
      </c>
      <c r="IR113" s="5">
        <f t="shared" si="714"/>
        <v>0.314</v>
      </c>
      <c r="IS113" s="5">
        <f t="shared" si="651"/>
        <v>0.26340779405523868</v>
      </c>
      <c r="IT113" s="727">
        <f t="shared" si="652"/>
        <v>67.677691943270787</v>
      </c>
      <c r="IU113" s="9">
        <f t="shared" si="653"/>
        <v>-8.1531245898237632</v>
      </c>
      <c r="IV113" s="5">
        <f t="shared" si="654"/>
        <v>-1.9346058347711987</v>
      </c>
      <c r="IW113" s="5">
        <f t="shared" si="715"/>
        <v>0.26250000000000001</v>
      </c>
      <c r="IX113" s="5">
        <f t="shared" si="655"/>
        <v>0.26250000000000001</v>
      </c>
      <c r="IY113" s="762">
        <f t="shared" si="656"/>
        <v>45.499993430613749</v>
      </c>
    </row>
    <row r="114" spans="1:259" ht="15" customHeight="1" x14ac:dyDescent="0.25">
      <c r="A114" s="79"/>
      <c r="B114" s="707">
        <v>-8.3445271832187053</v>
      </c>
      <c r="C114" s="708">
        <v>-0.9330078262052901</v>
      </c>
      <c r="D114" s="709">
        <v>-2.6590080195681867</v>
      </c>
      <c r="E114" s="710">
        <v>-0.81108329537287227</v>
      </c>
      <c r="F114" s="708">
        <v>-9.0688058168019836E-2</v>
      </c>
      <c r="G114" s="711">
        <v>0.57785773688062358</v>
      </c>
      <c r="H114" s="710">
        <v>0.26250000000000001</v>
      </c>
      <c r="I114" s="708">
        <v>0.40699999999999997</v>
      </c>
      <c r="J114" s="570">
        <v>5.266</v>
      </c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Inactive</v>
      </c>
      <c r="L114" s="320"/>
      <c r="M114" s="168">
        <f t="shared" si="660"/>
        <v>5.266</v>
      </c>
      <c r="N114" s="632">
        <f t="shared" si="661"/>
        <v>-8.3445271832187053</v>
      </c>
      <c r="O114" s="629">
        <f t="shared" si="662"/>
        <v>-0.9330078262052901</v>
      </c>
      <c r="P114" s="633">
        <f t="shared" si="663"/>
        <v>-2.6590080195681867</v>
      </c>
      <c r="Q114" s="585">
        <f t="shared" si="520"/>
        <v>186.3797860844806</v>
      </c>
      <c r="R114" s="629">
        <f t="shared" si="716"/>
        <v>8.396525323920379</v>
      </c>
      <c r="S114" s="634">
        <f t="shared" si="717"/>
        <v>-2.6590080195681867</v>
      </c>
      <c r="T114" s="635">
        <f t="shared" si="718"/>
        <v>-0.93300782620529132</v>
      </c>
      <c r="U114" s="629">
        <f t="shared" si="719"/>
        <v>8.3445271832187053</v>
      </c>
      <c r="V114" s="636">
        <f t="shared" si="720"/>
        <v>-2.6590080195681867</v>
      </c>
      <c r="W114" s="585">
        <f t="shared" si="645"/>
        <v>96.3797860844806</v>
      </c>
      <c r="X114" s="629">
        <f t="shared" si="721"/>
        <v>8.396525323920379</v>
      </c>
      <c r="Y114" s="630">
        <f t="shared" si="644"/>
        <v>-2.6590080195681867</v>
      </c>
      <c r="Z114" s="632">
        <f t="shared" si="664"/>
        <v>0.81108329537287227</v>
      </c>
      <c r="AA114" s="629">
        <f t="shared" si="665"/>
        <v>9.0688058168019836E-2</v>
      </c>
      <c r="AB114" s="629">
        <f t="shared" si="666"/>
        <v>-0.57785773688062358</v>
      </c>
      <c r="AC114" s="636">
        <f t="shared" si="722"/>
        <v>1</v>
      </c>
      <c r="AD114" s="637">
        <f t="shared" si="723"/>
        <v>0.81108329537287227</v>
      </c>
      <c r="AE114" s="629">
        <f t="shared" si="724"/>
        <v>9.0688058168019836E-2</v>
      </c>
      <c r="AF114" s="633">
        <f t="shared" si="725"/>
        <v>-0.57785773688062358</v>
      </c>
      <c r="AG114" s="602">
        <f t="shared" si="726"/>
        <v>8.9191565020205328</v>
      </c>
      <c r="AH114" s="603">
        <f t="shared" si="727"/>
        <v>35.798092271655456</v>
      </c>
      <c r="AI114" s="585">
        <f t="shared" si="728"/>
        <v>-54.699992102299326</v>
      </c>
      <c r="AJ114" s="586">
        <f t="shared" si="729"/>
        <v>96.37980200629552</v>
      </c>
      <c r="AK114" s="635">
        <f t="shared" si="730"/>
        <v>2.2679489662669194E-7</v>
      </c>
      <c r="AL114" s="629">
        <f t="shared" si="731"/>
        <v>-0.81613751042771743</v>
      </c>
      <c r="AM114" s="634">
        <f t="shared" si="732"/>
        <v>-0.57785773688062358</v>
      </c>
      <c r="AN114" s="581">
        <f t="shared" si="733"/>
        <v>-54.699992102298282</v>
      </c>
      <c r="AO114" s="582">
        <f t="shared" si="461"/>
        <v>0</v>
      </c>
      <c r="AP114" s="585">
        <f t="shared" si="734"/>
        <v>-89.999984078185079</v>
      </c>
      <c r="AQ114" s="586">
        <f t="shared" si="667"/>
        <v>0.27150630530692704</v>
      </c>
      <c r="AS114" s="52">
        <f t="shared" si="737"/>
        <v>-263.6202139155194</v>
      </c>
      <c r="AT114" s="73">
        <f t="shared" si="668"/>
        <v>-2.475938426571298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Taper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5.266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5.1660000000000004</v>
      </c>
      <c r="II114" s="734" cm="1">
        <f t="array" ref="II114">IFERROR(ROUND(VALUE(IF($IH114&lt;1,$IH114+LARGE((IF($M$9:$M$150="",0,$M$9:$M$150)-MOD(IF($M$9:$M$150="",0,$M$9:$M$150),1)),1),$IH114)),4),"")</f>
        <v>5.1660000000000004</v>
      </c>
      <c r="IJ114" s="533">
        <f t="shared" si="542"/>
        <v>1613</v>
      </c>
      <c r="IK114" s="533" t="str">
        <f t="shared" si="713"/>
        <v>Inactive</v>
      </c>
      <c r="IL114" s="727">
        <f t="shared" si="647"/>
        <v>15.104197819223657</v>
      </c>
      <c r="IM114" s="759">
        <v>4.5814560108280102E-4</v>
      </c>
      <c r="IN114" s="5">
        <f t="shared" si="648"/>
        <v>0</v>
      </c>
      <c r="IO114" s="771">
        <v>0</v>
      </c>
      <c r="IP114" s="9">
        <f t="shared" si="649"/>
        <v>-8.3932253139675463</v>
      </c>
      <c r="IQ114" s="5">
        <f t="shared" si="650"/>
        <v>-2.6497079915193034</v>
      </c>
      <c r="IR114" s="5">
        <f t="shared" si="714"/>
        <v>0.314</v>
      </c>
      <c r="IS114" s="5">
        <f t="shared" si="651"/>
        <v>0.25412261983865964</v>
      </c>
      <c r="IT114" s="727">
        <f t="shared" si="652"/>
        <v>76.366599070778989</v>
      </c>
      <c r="IU114" s="9">
        <f t="shared" si="653"/>
        <v>-8.396525323920379</v>
      </c>
      <c r="IV114" s="5">
        <f t="shared" si="654"/>
        <v>-2.6590080195681867</v>
      </c>
      <c r="IW114" s="5">
        <f t="shared" si="715"/>
        <v>0.26250000000000001</v>
      </c>
      <c r="IX114" s="5">
        <f t="shared" si="655"/>
        <v>0.26250000000000001</v>
      </c>
      <c r="IY114" s="762">
        <f t="shared" si="656"/>
        <v>54.699992102298282</v>
      </c>
    </row>
    <row r="115" spans="1:259" ht="15" customHeight="1" x14ac:dyDescent="0.25">
      <c r="A115" s="79"/>
      <c r="B115" s="707">
        <v>-8.4180439339828865</v>
      </c>
      <c r="C115" s="708">
        <v>-0.91035772217398847</v>
      </c>
      <c r="D115" s="709">
        <v>-3.4159103023854729</v>
      </c>
      <c r="E115" s="710">
        <v>-0.89205711421019585</v>
      </c>
      <c r="F115" s="708">
        <v>-9.6470511345754614E-2</v>
      </c>
      <c r="G115" s="711">
        <v>0.441505997046095</v>
      </c>
      <c r="H115" s="710">
        <v>0.26250000000000001</v>
      </c>
      <c r="I115" s="708">
        <v>0.40699999999999997</v>
      </c>
      <c r="J115" s="570">
        <v>5.2720000000000002</v>
      </c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Inactive</v>
      </c>
      <c r="L115" s="320"/>
      <c r="M115" s="168">
        <f t="shared" si="660"/>
        <v>5.2720000000000002</v>
      </c>
      <c r="N115" s="632">
        <f t="shared" si="661"/>
        <v>-8.4180439339828865</v>
      </c>
      <c r="O115" s="629">
        <f t="shared" si="662"/>
        <v>-0.91035772217398847</v>
      </c>
      <c r="P115" s="633">
        <f t="shared" si="663"/>
        <v>-3.4159103023854729</v>
      </c>
      <c r="Q115" s="585">
        <f t="shared" si="520"/>
        <v>186.17218611445432</v>
      </c>
      <c r="R115" s="629">
        <f t="shared" si="716"/>
        <v>8.4671255368506184</v>
      </c>
      <c r="S115" s="634">
        <f t="shared" si="717"/>
        <v>-3.4159103023854729</v>
      </c>
      <c r="T115" s="635">
        <f t="shared" si="718"/>
        <v>-0.91035772217398858</v>
      </c>
      <c r="U115" s="629">
        <f t="shared" si="719"/>
        <v>8.4180439339828865</v>
      </c>
      <c r="V115" s="636">
        <f t="shared" si="720"/>
        <v>-3.4159103023854729</v>
      </c>
      <c r="W115" s="585">
        <f t="shared" si="645"/>
        <v>96.17218611445432</v>
      </c>
      <c r="X115" s="629">
        <f t="shared" si="721"/>
        <v>8.4671255368506184</v>
      </c>
      <c r="Y115" s="630">
        <f t="shared" si="644"/>
        <v>-3.4159103023854729</v>
      </c>
      <c r="Z115" s="632">
        <f t="shared" si="664"/>
        <v>0.89205711421019585</v>
      </c>
      <c r="AA115" s="629">
        <f t="shared" si="665"/>
        <v>9.6470511345754614E-2</v>
      </c>
      <c r="AB115" s="629">
        <f t="shared" si="666"/>
        <v>-0.441505997046095</v>
      </c>
      <c r="AC115" s="636">
        <f t="shared" si="722"/>
        <v>1</v>
      </c>
      <c r="AD115" s="637">
        <f t="shared" si="723"/>
        <v>0.89205711421019585</v>
      </c>
      <c r="AE115" s="629">
        <f t="shared" si="724"/>
        <v>9.6470511345754614E-2</v>
      </c>
      <c r="AF115" s="633">
        <f t="shared" si="725"/>
        <v>-0.441505997046095</v>
      </c>
      <c r="AG115" s="602">
        <f t="shared" si="726"/>
        <v>12.325596462455279</v>
      </c>
      <c r="AH115" s="603">
        <f t="shared" si="727"/>
        <v>26.86710791081741</v>
      </c>
      <c r="AI115" s="585">
        <f t="shared" si="728"/>
        <v>-63.799990788421681</v>
      </c>
      <c r="AJ115" s="586">
        <f t="shared" si="729"/>
        <v>96.172200596783895</v>
      </c>
      <c r="AK115" s="635">
        <f t="shared" si="730"/>
        <v>2.267948966822031E-7</v>
      </c>
      <c r="AL115" s="629">
        <f t="shared" si="731"/>
        <v>-0.89725829869234552</v>
      </c>
      <c r="AM115" s="634">
        <f t="shared" si="732"/>
        <v>-0.441505997046095</v>
      </c>
      <c r="AN115" s="581">
        <f t="shared" si="733"/>
        <v>-63.799990788420956</v>
      </c>
      <c r="AO115" s="582">
        <f t="shared" si="461"/>
        <v>0</v>
      </c>
      <c r="AP115" s="585">
        <f t="shared" si="734"/>
        <v>-89.999985517670424</v>
      </c>
      <c r="AQ115" s="586">
        <f t="shared" si="667"/>
        <v>0.26924247686699609</v>
      </c>
      <c r="AS115" s="52">
        <f t="shared" si="737"/>
        <v>-263.82781388554565</v>
      </c>
      <c r="AT115" s="73">
        <f t="shared" si="668"/>
        <v>-3.2326965427427328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>Gage</v>
      </c>
      <c r="IG115" s="847">
        <f t="shared" si="643"/>
        <v>5.2720000000000002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5.1719999999999997</v>
      </c>
      <c r="II115" s="734" cm="1">
        <f t="array" ref="II115">IFERROR(ROUND(VALUE(IF($IH115&lt;1,$IH115+LARGE((IF($M$9:$M$150="",0,$M$9:$M$150)-MOD(IF($M$9:$M$150="",0,$M$9:$M$150),1)),1),$IH115)),4),"")</f>
        <v>5.1719999999999997</v>
      </c>
      <c r="IJ115" s="533">
        <f t="shared" si="542"/>
        <v>1613</v>
      </c>
      <c r="IK115" s="533" t="str">
        <f t="shared" si="713"/>
        <v>Inactive</v>
      </c>
      <c r="IL115" s="727">
        <f t="shared" si="647"/>
        <v>15.311797789249937</v>
      </c>
      <c r="IM115" s="759">
        <v>2.1034358561574E-4</v>
      </c>
      <c r="IN115" s="5">
        <f t="shared" si="648"/>
        <v>0</v>
      </c>
      <c r="IO115" s="771">
        <v>0</v>
      </c>
      <c r="IP115" s="9">
        <f t="shared" si="649"/>
        <v>-8.4749255603754925</v>
      </c>
      <c r="IQ115" s="5">
        <f t="shared" si="650"/>
        <v>-3.4002102550341289</v>
      </c>
      <c r="IR115" s="5">
        <f t="shared" si="714"/>
        <v>0.314</v>
      </c>
      <c r="IS115" s="5">
        <f t="shared" si="651"/>
        <v>0.24133896073266545</v>
      </c>
      <c r="IT115" s="727">
        <f t="shared" si="652"/>
        <v>83.972593561681506</v>
      </c>
      <c r="IU115" s="9">
        <f t="shared" si="653"/>
        <v>-8.4671255368506184</v>
      </c>
      <c r="IV115" s="5">
        <f t="shared" si="654"/>
        <v>-3.4159103023854729</v>
      </c>
      <c r="IW115" s="5">
        <f t="shared" si="715"/>
        <v>0.26250000000000001</v>
      </c>
      <c r="IX115" s="5">
        <f t="shared" si="655"/>
        <v>0.26250000000000001</v>
      </c>
      <c r="IY115" s="762">
        <f t="shared" si="656"/>
        <v>63.799990788420956</v>
      </c>
    </row>
    <row r="116" spans="1:259" ht="15" customHeight="1" x14ac:dyDescent="0.25">
      <c r="A116" s="79"/>
      <c r="B116" s="707">
        <v>-2.2052456554403439</v>
      </c>
      <c r="C116" s="708">
        <v>1.5441300870362571</v>
      </c>
      <c r="D116" s="709">
        <v>-0.57640173842764308</v>
      </c>
      <c r="E116" s="710">
        <v>-0.46647324275271113</v>
      </c>
      <c r="F116" s="708">
        <v>-0.82052480673091766</v>
      </c>
      <c r="G116" s="711">
        <v>0.33036609289538271</v>
      </c>
      <c r="H116" s="710">
        <v>0.314</v>
      </c>
      <c r="I116" s="708">
        <v>0.52</v>
      </c>
      <c r="J116" s="570">
        <v>6.1109999999999998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1613</v>
      </c>
      <c r="L116" s="320"/>
      <c r="M116" s="168">
        <f t="shared" si="660"/>
        <v>6.1109999999999998</v>
      </c>
      <c r="N116" s="632">
        <f t="shared" si="661"/>
        <v>-2.2052456554403439</v>
      </c>
      <c r="O116" s="629">
        <f t="shared" si="662"/>
        <v>1.5441300870362571</v>
      </c>
      <c r="P116" s="633">
        <f t="shared" si="663"/>
        <v>-0.57640173842764308</v>
      </c>
      <c r="Q116" s="585">
        <f t="shared" si="520"/>
        <v>144.99999205898365</v>
      </c>
      <c r="R116" s="629">
        <f t="shared" si="716"/>
        <v>2.692108119398088</v>
      </c>
      <c r="S116" s="634">
        <f t="shared" si="717"/>
        <v>-0.57640173842764308</v>
      </c>
      <c r="T116" s="635">
        <f t="shared" si="718"/>
        <v>1.5441300870362571</v>
      </c>
      <c r="U116" s="629">
        <f t="shared" si="719"/>
        <v>2.2052456554403439</v>
      </c>
      <c r="V116" s="636">
        <f t="shared" si="720"/>
        <v>-0.57640173842764308</v>
      </c>
      <c r="W116" s="585">
        <f t="shared" si="645"/>
        <v>54.999992058983651</v>
      </c>
      <c r="X116" s="629">
        <f t="shared" si="721"/>
        <v>2.692108119398088</v>
      </c>
      <c r="Y116" s="630">
        <f t="shared" si="644"/>
        <v>-0.57640173842764308</v>
      </c>
      <c r="Z116" s="632">
        <f t="shared" si="664"/>
        <v>0.46647324275271113</v>
      </c>
      <c r="AA116" s="629">
        <f t="shared" si="665"/>
        <v>0.82052480673091766</v>
      </c>
      <c r="AB116" s="629">
        <f t="shared" si="666"/>
        <v>-0.33036609289538271</v>
      </c>
      <c r="AC116" s="636">
        <f t="shared" si="722"/>
        <v>1</v>
      </c>
      <c r="AD116" s="637">
        <f t="shared" si="723"/>
        <v>0.46647324275271113</v>
      </c>
      <c r="AE116" s="629">
        <f t="shared" si="724"/>
        <v>0.82052480673091766</v>
      </c>
      <c r="AF116" s="633">
        <f t="shared" si="725"/>
        <v>-0.33036609289538271</v>
      </c>
      <c r="AG116" s="602">
        <f t="shared" si="726"/>
        <v>68.068913836205567</v>
      </c>
      <c r="AH116" s="603">
        <f t="shared" si="727"/>
        <v>62.194390473041182</v>
      </c>
      <c r="AI116" s="585">
        <f t="shared" si="728"/>
        <v>-70.709002660911167</v>
      </c>
      <c r="AJ116" s="586">
        <f t="shared" si="729"/>
        <v>150.3815116601632</v>
      </c>
      <c r="AK116" s="635">
        <f t="shared" si="730"/>
        <v>0.93969262078590843</v>
      </c>
      <c r="AL116" s="629">
        <f t="shared" si="731"/>
        <v>8.8521314413819663E-2</v>
      </c>
      <c r="AM116" s="634">
        <f t="shared" si="732"/>
        <v>-0.33036609289538271</v>
      </c>
      <c r="AN116" s="581">
        <f t="shared" si="733"/>
        <v>14.999997834268278</v>
      </c>
      <c r="AO116" s="582">
        <f t="shared" si="461"/>
        <v>19.999999999999989</v>
      </c>
      <c r="AP116" s="585">
        <f t="shared" si="734"/>
        <v>5.3815196011795834</v>
      </c>
      <c r="AQ116" s="586">
        <f t="shared" si="667"/>
        <v>0.84675672629691756</v>
      </c>
      <c r="AS116" s="52">
        <f t="shared" si="737"/>
        <v>-305.00000794101635</v>
      </c>
      <c r="AT116" s="73">
        <f t="shared" si="668"/>
        <v>-0.36459617735749283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6.1109999999999998</v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>
        <f t="shared" si="542"/>
        <v>1613</v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>
        <v>-2.8128944155925102</v>
      </c>
      <c r="C117" s="708">
        <v>1.9696104549882256</v>
      </c>
      <c r="D117" s="709">
        <v>-0.37760113884503493</v>
      </c>
      <c r="E117" s="710">
        <v>-0.4664732427527114</v>
      </c>
      <c r="F117" s="708">
        <v>-0.82052480673091743</v>
      </c>
      <c r="G117" s="711">
        <v>0.33036609289538271</v>
      </c>
      <c r="H117" s="710">
        <v>0.314</v>
      </c>
      <c r="I117" s="708">
        <v>0.52</v>
      </c>
      <c r="J117" s="570">
        <v>6.117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1613</v>
      </c>
      <c r="L117" s="320"/>
      <c r="M117" s="168">
        <f t="shared" si="660"/>
        <v>6.117</v>
      </c>
      <c r="N117" s="632">
        <f t="shared" si="661"/>
        <v>-2.8128944155925102</v>
      </c>
      <c r="O117" s="629">
        <f t="shared" si="662"/>
        <v>1.9696104549882256</v>
      </c>
      <c r="P117" s="633">
        <f t="shared" si="663"/>
        <v>-0.37760113884503493</v>
      </c>
      <c r="Q117" s="585">
        <f t="shared" si="520"/>
        <v>144.99999205898365</v>
      </c>
      <c r="R117" s="629">
        <f t="shared" si="716"/>
        <v>3.4339103566736355</v>
      </c>
      <c r="S117" s="634">
        <f t="shared" si="717"/>
        <v>-0.37760113884503493</v>
      </c>
      <c r="T117" s="635">
        <f t="shared" si="718"/>
        <v>1.9696104549882258</v>
      </c>
      <c r="U117" s="629">
        <f t="shared" si="719"/>
        <v>2.8128944155925097</v>
      </c>
      <c r="V117" s="636">
        <f t="shared" si="720"/>
        <v>-0.37760113884503493</v>
      </c>
      <c r="W117" s="585">
        <f t="shared" si="645"/>
        <v>54.999992058983651</v>
      </c>
      <c r="X117" s="629">
        <f t="shared" si="721"/>
        <v>3.4339103566736355</v>
      </c>
      <c r="Y117" s="630">
        <f t="shared" si="644"/>
        <v>-0.37760113884503493</v>
      </c>
      <c r="Z117" s="632">
        <f t="shared" si="664"/>
        <v>0.4664732427527114</v>
      </c>
      <c r="AA117" s="629">
        <f t="shared" si="665"/>
        <v>0.82052480673091743</v>
      </c>
      <c r="AB117" s="629">
        <f t="shared" si="666"/>
        <v>-0.33036609289538271</v>
      </c>
      <c r="AC117" s="636">
        <f t="shared" si="722"/>
        <v>1</v>
      </c>
      <c r="AD117" s="637">
        <f t="shared" si="723"/>
        <v>0.4664732427527114</v>
      </c>
      <c r="AE117" s="629">
        <f t="shared" si="724"/>
        <v>0.82052480673091743</v>
      </c>
      <c r="AF117" s="633">
        <f t="shared" si="725"/>
        <v>-0.33036609289538271</v>
      </c>
      <c r="AG117" s="602">
        <f t="shared" si="726"/>
        <v>68.068913836205567</v>
      </c>
      <c r="AH117" s="603">
        <f t="shared" si="727"/>
        <v>62.194390473041153</v>
      </c>
      <c r="AI117" s="585">
        <f t="shared" si="728"/>
        <v>-70.709002660911167</v>
      </c>
      <c r="AJ117" s="586">
        <f t="shared" si="729"/>
        <v>150.3815116601632</v>
      </c>
      <c r="AK117" s="635">
        <f t="shared" si="730"/>
        <v>0.93969262078590843</v>
      </c>
      <c r="AL117" s="629">
        <f t="shared" si="731"/>
        <v>8.8521314413819274E-2</v>
      </c>
      <c r="AM117" s="634">
        <f t="shared" si="732"/>
        <v>-0.33036609289538271</v>
      </c>
      <c r="AN117" s="581">
        <f t="shared" si="733"/>
        <v>14.999997834268218</v>
      </c>
      <c r="AO117" s="582">
        <f t="shared" si="461"/>
        <v>19.999999999999989</v>
      </c>
      <c r="AP117" s="585">
        <f t="shared" si="734"/>
        <v>5.3815196011795612</v>
      </c>
      <c r="AQ117" s="586">
        <f t="shared" si="667"/>
        <v>0.6638567635806697</v>
      </c>
      <c r="AS117" s="52">
        <f t="shared" si="737"/>
        <v>-305.00000794101635</v>
      </c>
      <c r="AT117" s="73">
        <f t="shared" si="668"/>
        <v>-0.16579557777488468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6.117</v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>
        <f t="shared" si="542"/>
        <v>1613</v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>
        <v>-3.4207070066317491</v>
      </c>
      <c r="C118" s="708">
        <v>2.3952055385961541</v>
      </c>
      <c r="D118" s="709">
        <v>-0.17880053926242662</v>
      </c>
      <c r="E118" s="710">
        <v>-0.48073577467979706</v>
      </c>
      <c r="F118" s="708">
        <v>-0.81053807141569434</v>
      </c>
      <c r="G118" s="711">
        <v>0.33454618474695269</v>
      </c>
      <c r="H118" s="710">
        <v>0.314</v>
      </c>
      <c r="I118" s="708">
        <v>0.52</v>
      </c>
      <c r="J118" s="570">
        <v>6.1230000000000002</v>
      </c>
      <c r="K118" s="865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1613</v>
      </c>
      <c r="L118" s="320"/>
      <c r="M118" s="168">
        <f t="shared" si="660"/>
        <v>6.1230000000000002</v>
      </c>
      <c r="N118" s="632">
        <f t="shared" si="661"/>
        <v>-3.4207070066317491</v>
      </c>
      <c r="O118" s="629">
        <f t="shared" si="662"/>
        <v>2.3952055385961541</v>
      </c>
      <c r="P118" s="633">
        <f t="shared" si="663"/>
        <v>-0.17880053926242662</v>
      </c>
      <c r="Q118" s="585">
        <f t="shared" si="520"/>
        <v>144.99999205898365</v>
      </c>
      <c r="R118" s="629">
        <f t="shared" si="716"/>
        <v>4.1759125945523854</v>
      </c>
      <c r="S118" s="634">
        <f t="shared" si="717"/>
        <v>-0.17880053926242662</v>
      </c>
      <c r="T118" s="635">
        <f t="shared" si="718"/>
        <v>2.3952055385961541</v>
      </c>
      <c r="U118" s="629">
        <f t="shared" si="719"/>
        <v>3.4207070066317491</v>
      </c>
      <c r="V118" s="636">
        <f t="shared" si="720"/>
        <v>-0.17880053926242662</v>
      </c>
      <c r="W118" s="585">
        <f t="shared" si="645"/>
        <v>54.999992058983651</v>
      </c>
      <c r="X118" s="629">
        <f t="shared" si="721"/>
        <v>4.1759125945523854</v>
      </c>
      <c r="Y118" s="630">
        <f t="shared" si="644"/>
        <v>-0.17880053926242662</v>
      </c>
      <c r="Z118" s="632">
        <f t="shared" si="664"/>
        <v>0.48073577467979706</v>
      </c>
      <c r="AA118" s="629">
        <f t="shared" si="665"/>
        <v>0.81053807141569434</v>
      </c>
      <c r="AB118" s="629">
        <f t="shared" si="666"/>
        <v>-0.33454618474695269</v>
      </c>
      <c r="AC118" s="636">
        <f t="shared" si="722"/>
        <v>1</v>
      </c>
      <c r="AD118" s="637">
        <f t="shared" si="723"/>
        <v>0.48073577467979706</v>
      </c>
      <c r="AE118" s="629">
        <f t="shared" si="724"/>
        <v>0.81053807141569434</v>
      </c>
      <c r="AF118" s="633">
        <f t="shared" si="725"/>
        <v>-0.33454618474695269</v>
      </c>
      <c r="AG118" s="602">
        <f t="shared" si="726"/>
        <v>67.571818158300601</v>
      </c>
      <c r="AH118" s="603">
        <f t="shared" si="727"/>
        <v>61.266532351777293</v>
      </c>
      <c r="AI118" s="585">
        <f t="shared" si="728"/>
        <v>-70.455055956554531</v>
      </c>
      <c r="AJ118" s="586">
        <f t="shared" si="729"/>
        <v>149.32752520483854</v>
      </c>
      <c r="AK118" s="635">
        <f t="shared" si="730"/>
        <v>0.93969262078590843</v>
      </c>
      <c r="AL118" s="629">
        <f t="shared" si="731"/>
        <v>7.1109976176123135E-2</v>
      </c>
      <c r="AM118" s="634">
        <f t="shared" si="732"/>
        <v>-0.33454618474695269</v>
      </c>
      <c r="AN118" s="581">
        <f t="shared" si="733"/>
        <v>11.9999982674146</v>
      </c>
      <c r="AO118" s="582">
        <f t="shared" si="461"/>
        <v>19.999999999999989</v>
      </c>
      <c r="AP118" s="585">
        <f t="shared" si="734"/>
        <v>4.3275331458549084</v>
      </c>
      <c r="AQ118" s="586">
        <f t="shared" si="667"/>
        <v>0.54590645642807878</v>
      </c>
      <c r="AS118" s="52">
        <f t="shared" si="737"/>
        <v>-305.00000794101635</v>
      </c>
      <c r="AT118" s="73">
        <f t="shared" si="668"/>
        <v>3.3005021807723633E-2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6.1230000000000002</v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>
        <f t="shared" si="542"/>
        <v>1613</v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>
        <v>-4.0215246216476617</v>
      </c>
      <c r="C119" s="708">
        <v>2.8598515162454046</v>
      </c>
      <c r="D119" s="709">
        <v>-4.7200142355629242E-2</v>
      </c>
      <c r="E119" s="710">
        <v>-0.5906773953220692</v>
      </c>
      <c r="F119" s="708">
        <v>-0.73110290993986404</v>
      </c>
      <c r="G119" s="711">
        <v>0.34145094776995261</v>
      </c>
      <c r="H119" s="710">
        <v>0.314</v>
      </c>
      <c r="I119" s="708">
        <v>0.52</v>
      </c>
      <c r="J119" s="570">
        <v>6.1289999999999996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1613</v>
      </c>
      <c r="L119" s="320"/>
      <c r="M119" s="168">
        <f t="shared" si="660"/>
        <v>6.1289999999999996</v>
      </c>
      <c r="N119" s="632">
        <f t="shared" si="661"/>
        <v>-4.0215246216476617</v>
      </c>
      <c r="O119" s="629">
        <f t="shared" si="662"/>
        <v>2.8598515162454046</v>
      </c>
      <c r="P119" s="633">
        <f t="shared" si="663"/>
        <v>-4.7200142355629242E-2</v>
      </c>
      <c r="Q119" s="585">
        <f t="shared" si="520"/>
        <v>144.58199211933538</v>
      </c>
      <c r="R119" s="629">
        <f t="shared" si="716"/>
        <v>4.9347148831000869</v>
      </c>
      <c r="S119" s="634">
        <f t="shared" si="717"/>
        <v>-4.7200142355629242E-2</v>
      </c>
      <c r="T119" s="635">
        <f t="shared" si="718"/>
        <v>2.8598515162454037</v>
      </c>
      <c r="U119" s="629">
        <f t="shared" si="719"/>
        <v>4.0215246216476617</v>
      </c>
      <c r="V119" s="636">
        <f t="shared" si="720"/>
        <v>-4.7200142355629242E-2</v>
      </c>
      <c r="W119" s="585">
        <f t="shared" si="645"/>
        <v>54.581992119335382</v>
      </c>
      <c r="X119" s="629">
        <f t="shared" si="721"/>
        <v>4.9347148831000869</v>
      </c>
      <c r="Y119" s="630">
        <f t="shared" si="644"/>
        <v>-4.7200142355629242E-2</v>
      </c>
      <c r="Z119" s="632">
        <f t="shared" si="664"/>
        <v>0.5906773953220692</v>
      </c>
      <c r="AA119" s="629">
        <f t="shared" si="665"/>
        <v>0.73110290993986404</v>
      </c>
      <c r="AB119" s="629">
        <f t="shared" si="666"/>
        <v>-0.34145094776995261</v>
      </c>
      <c r="AC119" s="636">
        <f t="shared" si="722"/>
        <v>1</v>
      </c>
      <c r="AD119" s="637">
        <f t="shared" si="723"/>
        <v>0.5906773953220692</v>
      </c>
      <c r="AE119" s="629">
        <f t="shared" si="724"/>
        <v>0.73110290993986404</v>
      </c>
      <c r="AF119" s="633">
        <f t="shared" si="725"/>
        <v>-0.34145094776995261</v>
      </c>
      <c r="AG119" s="602">
        <f t="shared" si="726"/>
        <v>64.965759770651943</v>
      </c>
      <c r="AH119" s="603">
        <f t="shared" si="727"/>
        <v>53.794907025491575</v>
      </c>
      <c r="AI119" s="585">
        <f t="shared" si="728"/>
        <v>-70.034701678134951</v>
      </c>
      <c r="AJ119" s="586">
        <f t="shared" si="729"/>
        <v>141.0643376653986</v>
      </c>
      <c r="AK119" s="635">
        <f t="shared" si="730"/>
        <v>0.93812876884932428</v>
      </c>
      <c r="AL119" s="629">
        <f t="shared" si="731"/>
        <v>-5.7668564437239833E-2</v>
      </c>
      <c r="AM119" s="634">
        <f t="shared" si="732"/>
        <v>-0.34145094776995261</v>
      </c>
      <c r="AN119" s="581">
        <f t="shared" si="733"/>
        <v>-9.5863711469213069</v>
      </c>
      <c r="AO119" s="582">
        <f t="shared" si="461"/>
        <v>20.260354737888381</v>
      </c>
      <c r="AP119" s="585">
        <f t="shared" si="734"/>
        <v>-3.5176544539367636</v>
      </c>
      <c r="AQ119" s="586">
        <f t="shared" si="667"/>
        <v>0.46196736475949979</v>
      </c>
      <c r="AS119" s="52">
        <f t="shared" si="737"/>
        <v>-305.41800788066462</v>
      </c>
      <c r="AT119" s="73">
        <f t="shared" si="668"/>
        <v>0.16489569645038785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6.1289999999999996</v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>
        <f t="shared" si="542"/>
        <v>1613</v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>
        <v>-4.6192029998045561</v>
      </c>
      <c r="C120" s="708">
        <v>3.349524394030257</v>
      </c>
      <c r="D120" s="709">
        <v>-9.2900280187244971E-2</v>
      </c>
      <c r="E120" s="710">
        <v>-0.66100960287898658</v>
      </c>
      <c r="F120" s="708">
        <v>-0.67636412188901696</v>
      </c>
      <c r="G120" s="711">
        <v>0.3249582735107131</v>
      </c>
      <c r="H120" s="710">
        <v>0.314</v>
      </c>
      <c r="I120" s="708">
        <v>0.52</v>
      </c>
      <c r="J120" s="570">
        <v>6.1349999999999998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1613</v>
      </c>
      <c r="L120" s="320"/>
      <c r="M120" s="168">
        <f t="shared" si="660"/>
        <v>6.1349999999999998</v>
      </c>
      <c r="N120" s="632">
        <f t="shared" si="661"/>
        <v>-4.6192029998045561</v>
      </c>
      <c r="O120" s="629">
        <f t="shared" si="662"/>
        <v>3.349524394030257</v>
      </c>
      <c r="P120" s="633">
        <f t="shared" si="663"/>
        <v>-9.2900280187244971E-2</v>
      </c>
      <c r="Q120" s="585">
        <f t="shared" si="520"/>
        <v>144.0529921957135</v>
      </c>
      <c r="R120" s="629">
        <f t="shared" si="716"/>
        <v>5.7058172087447003</v>
      </c>
      <c r="S120" s="634">
        <f t="shared" si="717"/>
        <v>-9.2900280187244971E-2</v>
      </c>
      <c r="T120" s="635">
        <f t="shared" si="718"/>
        <v>3.3495243940302575</v>
      </c>
      <c r="U120" s="629">
        <f t="shared" si="719"/>
        <v>4.6192029998045552</v>
      </c>
      <c r="V120" s="636">
        <f t="shared" si="720"/>
        <v>-9.2900280187244971E-2</v>
      </c>
      <c r="W120" s="585">
        <f t="shared" si="645"/>
        <v>54.0529921957135</v>
      </c>
      <c r="X120" s="629">
        <f t="shared" si="721"/>
        <v>5.7058172087447003</v>
      </c>
      <c r="Y120" s="630">
        <f t="shared" si="644"/>
        <v>-9.2900280187244971E-2</v>
      </c>
      <c r="Z120" s="632">
        <f t="shared" si="664"/>
        <v>0.66100960287898658</v>
      </c>
      <c r="AA120" s="629">
        <f t="shared" si="665"/>
        <v>0.67636412188901696</v>
      </c>
      <c r="AB120" s="629">
        <f t="shared" si="666"/>
        <v>-0.3249582735107131</v>
      </c>
      <c r="AC120" s="636">
        <f t="shared" si="722"/>
        <v>1</v>
      </c>
      <c r="AD120" s="637">
        <f t="shared" si="723"/>
        <v>0.66100960287898658</v>
      </c>
      <c r="AE120" s="629">
        <f t="shared" si="724"/>
        <v>0.67636412188901696</v>
      </c>
      <c r="AF120" s="633">
        <f t="shared" si="725"/>
        <v>-0.3249582735107131</v>
      </c>
      <c r="AG120" s="602">
        <f t="shared" si="726"/>
        <v>64.338102597075249</v>
      </c>
      <c r="AH120" s="603">
        <f t="shared" si="727"/>
        <v>48.623083631791175</v>
      </c>
      <c r="AI120" s="585">
        <f t="shared" si="728"/>
        <v>-71.036952977921118</v>
      </c>
      <c r="AJ120" s="586">
        <f t="shared" si="729"/>
        <v>135.65778956741994</v>
      </c>
      <c r="AK120" s="635">
        <f t="shared" si="730"/>
        <v>0.93559446000826063</v>
      </c>
      <c r="AL120" s="629">
        <f t="shared" si="731"/>
        <v>-0.13807652544436189</v>
      </c>
      <c r="AM120" s="634">
        <f t="shared" si="732"/>
        <v>-0.3249582735107131</v>
      </c>
      <c r="AN120" s="581">
        <f t="shared" si="733"/>
        <v>-23.020900948407789</v>
      </c>
      <c r="AO120" s="582">
        <f t="shared" ref="AO120:AO150" si="742">IF(ROUND(IF(M120="",0,DEGREES(ACOS(AK120))),4)=90,0,IF(M120="","",DEGREES(ACOS(AK120))))</f>
        <v>20.675602743865138</v>
      </c>
      <c r="AP120" s="585">
        <f t="shared" si="734"/>
        <v>-8.3952026282935677</v>
      </c>
      <c r="AQ120" s="586">
        <f t="shared" si="667"/>
        <v>0.39953780447860299</v>
      </c>
      <c r="AS120" s="52">
        <f t="shared" si="737"/>
        <v>-305.9470078042865</v>
      </c>
      <c r="AT120" s="73">
        <f t="shared" si="668"/>
        <v>0.11956291967684288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6.1349999999999998</v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>
        <f t="shared" si="542"/>
        <v>1613</v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>
        <v>-5.1676444831374431</v>
      </c>
      <c r="C121" s="708">
        <v>3.8316787936563759</v>
      </c>
      <c r="D121" s="709">
        <v>-0.30860093074040706</v>
      </c>
      <c r="E121" s="710">
        <v>-0.73163850605053027</v>
      </c>
      <c r="F121" s="708">
        <v>-0.61033654674842186</v>
      </c>
      <c r="G121" s="711">
        <v>0.30363530125359239</v>
      </c>
      <c r="H121" s="710">
        <v>0.314</v>
      </c>
      <c r="I121" s="708">
        <v>0.52</v>
      </c>
      <c r="J121" s="570">
        <v>6.141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1613</v>
      </c>
      <c r="L121" s="320"/>
      <c r="M121" s="168">
        <f t="shared" si="660"/>
        <v>6.141</v>
      </c>
      <c r="N121" s="632">
        <f t="shared" si="661"/>
        <v>-5.1676444831374431</v>
      </c>
      <c r="O121" s="629">
        <f t="shared" si="662"/>
        <v>3.8316787936563759</v>
      </c>
      <c r="P121" s="633">
        <f t="shared" si="663"/>
        <v>-0.30860093074040706</v>
      </c>
      <c r="Q121" s="585">
        <f t="shared" si="520"/>
        <v>143.44399228364222</v>
      </c>
      <c r="R121" s="629">
        <f t="shared" si="716"/>
        <v>6.4332194025897191</v>
      </c>
      <c r="S121" s="634">
        <f t="shared" si="717"/>
        <v>-0.30860093074040706</v>
      </c>
      <c r="T121" s="635">
        <f t="shared" si="718"/>
        <v>3.8316787936563768</v>
      </c>
      <c r="U121" s="629">
        <f t="shared" si="719"/>
        <v>5.1676444831374422</v>
      </c>
      <c r="V121" s="636">
        <f t="shared" si="720"/>
        <v>-0.30860093074040706</v>
      </c>
      <c r="W121" s="585">
        <f t="shared" si="645"/>
        <v>53.443992283642217</v>
      </c>
      <c r="X121" s="629">
        <f t="shared" si="721"/>
        <v>6.4332194025897191</v>
      </c>
      <c r="Y121" s="630">
        <f t="shared" si="644"/>
        <v>-0.30860093074040706</v>
      </c>
      <c r="Z121" s="632">
        <f t="shared" si="664"/>
        <v>0.73163850605053027</v>
      </c>
      <c r="AA121" s="629">
        <f t="shared" si="665"/>
        <v>0.61033654674842186</v>
      </c>
      <c r="AB121" s="629">
        <f t="shared" si="666"/>
        <v>-0.30363530125359239</v>
      </c>
      <c r="AC121" s="636">
        <f t="shared" si="722"/>
        <v>1</v>
      </c>
      <c r="AD121" s="637">
        <f t="shared" si="723"/>
        <v>0.73163850605053027</v>
      </c>
      <c r="AE121" s="629">
        <f t="shared" si="724"/>
        <v>0.61033654674842186</v>
      </c>
      <c r="AF121" s="633">
        <f t="shared" si="725"/>
        <v>-0.30363530125359239</v>
      </c>
      <c r="AG121" s="602">
        <f t="shared" si="726"/>
        <v>63.550191531654662</v>
      </c>
      <c r="AH121" s="603">
        <f t="shared" si="727"/>
        <v>42.976067760878323</v>
      </c>
      <c r="AI121" s="585">
        <f t="shared" si="728"/>
        <v>-72.323920808600434</v>
      </c>
      <c r="AJ121" s="586">
        <f t="shared" si="729"/>
        <v>129.83503507302626</v>
      </c>
      <c r="AK121" s="635">
        <f t="shared" si="730"/>
        <v>0.92603806338700512</v>
      </c>
      <c r="AL121" s="629">
        <f t="shared" si="731"/>
        <v>-0.22418543438654892</v>
      </c>
      <c r="AM121" s="634">
        <f t="shared" si="732"/>
        <v>-0.30363530125359239</v>
      </c>
      <c r="AN121" s="581">
        <f t="shared" si="733"/>
        <v>-36.439855371191982</v>
      </c>
      <c r="AO121" s="582">
        <f t="shared" si="742"/>
        <v>22.174589739351013</v>
      </c>
      <c r="AP121" s="585">
        <f t="shared" si="734"/>
        <v>-13.60895721061593</v>
      </c>
      <c r="AQ121" s="586">
        <f t="shared" si="667"/>
        <v>0.35436340987189507</v>
      </c>
      <c r="AS121" s="52">
        <f t="shared" si="737"/>
        <v>-306.55600771635778</v>
      </c>
      <c r="AT121" s="73">
        <f t="shared" si="668"/>
        <v>-9.5714814270714155E-2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3"/>
        <v>6.141</v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>
        <f t="shared" si="542"/>
        <v>1613</v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>
        <v>-5.6539942126049869</v>
      </c>
      <c r="C122" s="708">
        <v>4.2880401577367531</v>
      </c>
      <c r="D122" s="709">
        <v>-0.68210205721980466</v>
      </c>
      <c r="E122" s="710">
        <v>-0.79775294389858786</v>
      </c>
      <c r="F122" s="708">
        <v>-0.52724576235637344</v>
      </c>
      <c r="G122" s="711">
        <v>0.29257844517049314</v>
      </c>
      <c r="H122" s="710">
        <v>0.314</v>
      </c>
      <c r="I122" s="708">
        <v>0.52</v>
      </c>
      <c r="J122" s="570">
        <v>6.1470000000000002</v>
      </c>
      <c r="K122" s="865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1613</v>
      </c>
      <c r="L122" s="320"/>
      <c r="M122" s="168">
        <f t="shared" si="660"/>
        <v>6.1470000000000002</v>
      </c>
      <c r="N122" s="632">
        <f t="shared" si="661"/>
        <v>-5.6539942126049869</v>
      </c>
      <c r="O122" s="629">
        <f t="shared" si="662"/>
        <v>4.2880401577367531</v>
      </c>
      <c r="P122" s="633">
        <f t="shared" si="663"/>
        <v>-0.68210205721980466</v>
      </c>
      <c r="Q122" s="585">
        <f t="shared" si="520"/>
        <v>142.82299237330349</v>
      </c>
      <c r="R122" s="629">
        <f t="shared" si="716"/>
        <v>7.096121401902149</v>
      </c>
      <c r="S122" s="634">
        <f t="shared" si="717"/>
        <v>-0.68210205721980466</v>
      </c>
      <c r="T122" s="635">
        <f t="shared" si="718"/>
        <v>4.2880401577367548</v>
      </c>
      <c r="U122" s="629">
        <f t="shared" si="719"/>
        <v>5.6539942126049851</v>
      </c>
      <c r="V122" s="636">
        <f t="shared" si="720"/>
        <v>-0.68210205721980466</v>
      </c>
      <c r="W122" s="585">
        <f t="shared" si="645"/>
        <v>52.822992373303492</v>
      </c>
      <c r="X122" s="629">
        <f t="shared" si="721"/>
        <v>7.096121401902149</v>
      </c>
      <c r="Y122" s="630">
        <f t="shared" si="644"/>
        <v>-0.68210205721980466</v>
      </c>
      <c r="Z122" s="632">
        <f t="shared" si="664"/>
        <v>0.79775294389858786</v>
      </c>
      <c r="AA122" s="629">
        <f t="shared" si="665"/>
        <v>0.52724576235637344</v>
      </c>
      <c r="AB122" s="629">
        <f t="shared" si="666"/>
        <v>-0.29257844517049314</v>
      </c>
      <c r="AC122" s="636">
        <f t="shared" si="722"/>
        <v>1</v>
      </c>
      <c r="AD122" s="637">
        <f t="shared" si="723"/>
        <v>0.79775294389858786</v>
      </c>
      <c r="AE122" s="629">
        <f t="shared" si="724"/>
        <v>0.52724576235637344</v>
      </c>
      <c r="AF122" s="633">
        <f t="shared" si="725"/>
        <v>-0.29257844517049314</v>
      </c>
      <c r="AG122" s="602">
        <f t="shared" si="726"/>
        <v>60.973293946260327</v>
      </c>
      <c r="AH122" s="603">
        <f t="shared" si="727"/>
        <v>37.083943108820705</v>
      </c>
      <c r="AI122" s="585">
        <f t="shared" si="728"/>
        <v>-72.987613000338698</v>
      </c>
      <c r="AJ122" s="586">
        <f t="shared" si="729"/>
        <v>123.46125788598522</v>
      </c>
      <c r="AK122" s="635">
        <f t="shared" si="730"/>
        <v>0.90216060095269168</v>
      </c>
      <c r="AL122" s="629">
        <f t="shared" si="731"/>
        <v>-0.31702382167637655</v>
      </c>
      <c r="AM122" s="634">
        <f t="shared" si="732"/>
        <v>-0.29257844517049314</v>
      </c>
      <c r="AN122" s="581">
        <f t="shared" si="733"/>
        <v>-47.296360999163809</v>
      </c>
      <c r="AO122" s="582">
        <f t="shared" si="742"/>
        <v>25.556461866928739</v>
      </c>
      <c r="AP122" s="585">
        <f t="shared" si="734"/>
        <v>-19.361734487318266</v>
      </c>
      <c r="AQ122" s="586">
        <f t="shared" si="667"/>
        <v>0.32126039169726056</v>
      </c>
      <c r="AS122" s="52">
        <f t="shared" si="737"/>
        <v>-307.17700762669654</v>
      </c>
      <c r="AT122" s="73">
        <f t="shared" si="668"/>
        <v>-0.4687846908123765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3"/>
        <v>6.1470000000000002</v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>
        <f t="shared" si="542"/>
        <v>1613</v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>
        <v>-6.0539703656218222</v>
      </c>
      <c r="C123" s="708">
        <v>4.6851203082018946</v>
      </c>
      <c r="D123" s="709">
        <v>-1.1934035993052559</v>
      </c>
      <c r="E123" s="710">
        <v>-0.85679335970189152</v>
      </c>
      <c r="F123" s="708">
        <v>-0.44455204009334187</v>
      </c>
      <c r="G123" s="711">
        <v>0.2613017841875428</v>
      </c>
      <c r="H123" s="710">
        <v>0.314</v>
      </c>
      <c r="I123" s="708">
        <v>0.52</v>
      </c>
      <c r="J123" s="570">
        <v>6.1529999999999996</v>
      </c>
      <c r="K123" s="865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>1613</v>
      </c>
      <c r="L123" s="320"/>
      <c r="M123" s="168">
        <f t="shared" si="660"/>
        <v>6.1529999999999996</v>
      </c>
      <c r="N123" s="632">
        <f t="shared" si="661"/>
        <v>-6.0539703656218222</v>
      </c>
      <c r="O123" s="629">
        <f t="shared" si="662"/>
        <v>4.6851203082018946</v>
      </c>
      <c r="P123" s="633">
        <f t="shared" si="663"/>
        <v>-1.1934035993052559</v>
      </c>
      <c r="Q123" s="585">
        <f t="shared" si="520"/>
        <v>142.26399245401311</v>
      </c>
      <c r="R123" s="629">
        <f t="shared" si="716"/>
        <v>7.6551230878512353</v>
      </c>
      <c r="S123" s="634">
        <f t="shared" si="717"/>
        <v>-1.1934035993052559</v>
      </c>
      <c r="T123" s="635">
        <f t="shared" si="718"/>
        <v>4.6851203082018964</v>
      </c>
      <c r="U123" s="629">
        <f t="shared" si="719"/>
        <v>6.0539703656218204</v>
      </c>
      <c r="V123" s="636">
        <f t="shared" si="720"/>
        <v>-1.1934035993052559</v>
      </c>
      <c r="W123" s="585">
        <f t="shared" si="645"/>
        <v>52.263992454013106</v>
      </c>
      <c r="X123" s="629">
        <f t="shared" si="721"/>
        <v>7.6551230878512353</v>
      </c>
      <c r="Y123" s="630">
        <f t="shared" si="644"/>
        <v>-1.1934035993052559</v>
      </c>
      <c r="Z123" s="632">
        <f t="shared" si="664"/>
        <v>0.85679335970189152</v>
      </c>
      <c r="AA123" s="629">
        <f t="shared" si="665"/>
        <v>0.44455204009334187</v>
      </c>
      <c r="AB123" s="629">
        <f t="shared" si="666"/>
        <v>-0.2613017841875428</v>
      </c>
      <c r="AC123" s="636">
        <f t="shared" si="722"/>
        <v>1</v>
      </c>
      <c r="AD123" s="637">
        <f t="shared" si="723"/>
        <v>0.85679335970189152</v>
      </c>
      <c r="AE123" s="629">
        <f t="shared" si="724"/>
        <v>0.44455204009334187</v>
      </c>
      <c r="AF123" s="633">
        <f t="shared" si="725"/>
        <v>-0.2613017841875428</v>
      </c>
      <c r="AG123" s="602">
        <f t="shared" si="726"/>
        <v>59.553553310036222</v>
      </c>
      <c r="AH123" s="603">
        <f t="shared" si="727"/>
        <v>31.041574235234798</v>
      </c>
      <c r="AI123" s="585">
        <f t="shared" si="728"/>
        <v>-74.852680565099419</v>
      </c>
      <c r="AJ123" s="586">
        <f t="shared" si="729"/>
        <v>117.42279473412441</v>
      </c>
      <c r="AK123" s="635">
        <f t="shared" si="730"/>
        <v>0.87594735828811909</v>
      </c>
      <c r="AL123" s="629">
        <f t="shared" si="731"/>
        <v>-0.40550906659219405</v>
      </c>
      <c r="AM123" s="634">
        <f t="shared" si="732"/>
        <v>-0.2613017841875428</v>
      </c>
      <c r="AN123" s="581">
        <f t="shared" si="733"/>
        <v>-57.203092491419397</v>
      </c>
      <c r="AO123" s="582">
        <f t="shared" si="742"/>
        <v>28.842705798044435</v>
      </c>
      <c r="AP123" s="585">
        <f t="shared" si="734"/>
        <v>-24.84119771988869</v>
      </c>
      <c r="AQ123" s="586">
        <f t="shared" si="667"/>
        <v>0.29780136474189939</v>
      </c>
      <c r="AS123" s="52">
        <f t="shared" si="737"/>
        <v>-307.73600754598692</v>
      </c>
      <c r="AT123" s="73">
        <f t="shared" si="668"/>
        <v>-0.9796980385094316</v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>
        <f t="shared" si="643"/>
        <v>6.1529999999999996</v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>
        <f t="shared" si="542"/>
        <v>1613</v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>
        <v>-6.3568406869632055</v>
      </c>
      <c r="C124" s="708">
        <v>5.0001862296168946</v>
      </c>
      <c r="D124" s="709">
        <v>-1.818605484914142</v>
      </c>
      <c r="E124" s="710">
        <v>-0.90898666587813404</v>
      </c>
      <c r="F124" s="708">
        <v>-0.35288669713956355</v>
      </c>
      <c r="G124" s="711">
        <v>0.22184278270361502</v>
      </c>
      <c r="H124" s="710">
        <v>0.314</v>
      </c>
      <c r="I124" s="708">
        <v>0.52</v>
      </c>
      <c r="J124" s="570">
        <v>6.1589999999999998</v>
      </c>
      <c r="K124" s="865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>1613</v>
      </c>
      <c r="L124" s="320"/>
      <c r="M124" s="168">
        <f t="shared" si="660"/>
        <v>6.1589999999999998</v>
      </c>
      <c r="N124" s="632">
        <f t="shared" si="661"/>
        <v>-6.3568406869632055</v>
      </c>
      <c r="O124" s="629">
        <f t="shared" si="662"/>
        <v>5.0001862296168946</v>
      </c>
      <c r="P124" s="633">
        <f t="shared" si="663"/>
        <v>-1.818605484914142</v>
      </c>
      <c r="Q124" s="585">
        <f t="shared" si="520"/>
        <v>141.81199251927382</v>
      </c>
      <c r="R124" s="629">
        <f t="shared" si="716"/>
        <v>8.087724392576769</v>
      </c>
      <c r="S124" s="634">
        <f t="shared" si="717"/>
        <v>-1.818605484914142</v>
      </c>
      <c r="T124" s="635">
        <f t="shared" si="718"/>
        <v>5.0001862296168973</v>
      </c>
      <c r="U124" s="629">
        <f t="shared" si="719"/>
        <v>6.3568406869632046</v>
      </c>
      <c r="V124" s="636">
        <f t="shared" si="720"/>
        <v>-1.818605484914142</v>
      </c>
      <c r="W124" s="585">
        <f t="shared" si="645"/>
        <v>51.811992519273815</v>
      </c>
      <c r="X124" s="629">
        <f t="shared" si="721"/>
        <v>8.087724392576769</v>
      </c>
      <c r="Y124" s="630">
        <f t="shared" si="644"/>
        <v>-1.818605484914142</v>
      </c>
      <c r="Z124" s="632">
        <f t="shared" si="664"/>
        <v>0.90898666587813404</v>
      </c>
      <c r="AA124" s="629">
        <f t="shared" si="665"/>
        <v>0.35288669713956355</v>
      </c>
      <c r="AB124" s="629">
        <f t="shared" si="666"/>
        <v>-0.22184278270361502</v>
      </c>
      <c r="AC124" s="636">
        <f t="shared" si="722"/>
        <v>1</v>
      </c>
      <c r="AD124" s="637">
        <f t="shared" si="723"/>
        <v>0.90898666587813404</v>
      </c>
      <c r="AE124" s="629">
        <f t="shared" si="724"/>
        <v>0.35288669713956355</v>
      </c>
      <c r="AF124" s="633">
        <f t="shared" si="725"/>
        <v>-0.22184278270361502</v>
      </c>
      <c r="AG124" s="602">
        <f t="shared" si="726"/>
        <v>57.844412871923666</v>
      </c>
      <c r="AH124" s="603">
        <f t="shared" si="727"/>
        <v>24.634310257373055</v>
      </c>
      <c r="AI124" s="585">
        <f t="shared" si="728"/>
        <v>-77.182708421480754</v>
      </c>
      <c r="AJ124" s="586">
        <f t="shared" si="729"/>
        <v>111.21720224200494</v>
      </c>
      <c r="AK124" s="635">
        <f t="shared" si="730"/>
        <v>0.8393395712302798</v>
      </c>
      <c r="AL124" s="629">
        <f t="shared" si="731"/>
        <v>-0.49628103321534112</v>
      </c>
      <c r="AM124" s="634">
        <f t="shared" si="732"/>
        <v>-0.22184278270361502</v>
      </c>
      <c r="AN124" s="581">
        <f t="shared" si="733"/>
        <v>-65.914860097887811</v>
      </c>
      <c r="AO124" s="582">
        <f t="shared" si="742"/>
        <v>32.92955445368505</v>
      </c>
      <c r="AP124" s="585">
        <f t="shared" si="734"/>
        <v>-30.594790277268878</v>
      </c>
      <c r="AQ124" s="586">
        <f t="shared" si="667"/>
        <v>0.2818726417415473</v>
      </c>
      <c r="AS124" s="52">
        <f t="shared" si="737"/>
        <v>-308.18800748072618</v>
      </c>
      <c r="AT124" s="73">
        <f t="shared" si="668"/>
        <v>-1.6045860352747487</v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>
        <f t="shared" si="643"/>
        <v>6.1589999999999998</v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>
        <f t="shared" si="542"/>
        <v>1613</v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>
        <v>-6.5468160356392797</v>
      </c>
      <c r="C125" s="708">
        <v>5.2045897028045243</v>
      </c>
      <c r="D125" s="709">
        <v>-2.526307619343779</v>
      </c>
      <c r="E125" s="710">
        <v>-0.94689320377239561</v>
      </c>
      <c r="F125" s="708">
        <v>-0.28144087716474542</v>
      </c>
      <c r="G125" s="711">
        <v>0.15551300045458366</v>
      </c>
      <c r="H125" s="710">
        <v>0.314</v>
      </c>
      <c r="I125" s="708">
        <v>0.52</v>
      </c>
      <c r="J125" s="570">
        <v>6.165</v>
      </c>
      <c r="K125" s="865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>1613</v>
      </c>
      <c r="L125" s="320"/>
      <c r="M125" s="168">
        <f t="shared" si="660"/>
        <v>6.165</v>
      </c>
      <c r="N125" s="632">
        <f t="shared" si="661"/>
        <v>-6.5468160356392797</v>
      </c>
      <c r="O125" s="629">
        <f t="shared" si="662"/>
        <v>5.2045897028045243</v>
      </c>
      <c r="P125" s="633">
        <f t="shared" si="663"/>
        <v>-2.526307619343779</v>
      </c>
      <c r="Q125" s="585">
        <f t="shared" si="520"/>
        <v>141.51599256201095</v>
      </c>
      <c r="R125" s="629">
        <f t="shared" si="716"/>
        <v>8.3635252243920739</v>
      </c>
      <c r="S125" s="634">
        <f t="shared" si="717"/>
        <v>-2.526307619343779</v>
      </c>
      <c r="T125" s="635">
        <f t="shared" si="718"/>
        <v>5.2045897028045234</v>
      </c>
      <c r="U125" s="629">
        <f t="shared" si="719"/>
        <v>6.5468160356392797</v>
      </c>
      <c r="V125" s="636">
        <f t="shared" si="720"/>
        <v>-2.526307619343779</v>
      </c>
      <c r="W125" s="585">
        <f t="shared" si="645"/>
        <v>51.51599256201095</v>
      </c>
      <c r="X125" s="629">
        <f t="shared" si="721"/>
        <v>8.3635252243920739</v>
      </c>
      <c r="Y125" s="630">
        <f t="shared" si="644"/>
        <v>-2.526307619343779</v>
      </c>
      <c r="Z125" s="632">
        <f t="shared" si="664"/>
        <v>0.94689320377239561</v>
      </c>
      <c r="AA125" s="629">
        <f t="shared" si="665"/>
        <v>0.28144087716474542</v>
      </c>
      <c r="AB125" s="629">
        <f t="shared" si="666"/>
        <v>-0.15551300045458366</v>
      </c>
      <c r="AC125" s="636">
        <f t="shared" si="722"/>
        <v>1</v>
      </c>
      <c r="AD125" s="637">
        <f t="shared" si="723"/>
        <v>0.94689320377239561</v>
      </c>
      <c r="AE125" s="629">
        <f t="shared" si="724"/>
        <v>0.28144087716474542</v>
      </c>
      <c r="AF125" s="633">
        <f t="shared" si="725"/>
        <v>-0.15551300045458366</v>
      </c>
      <c r="AG125" s="602">
        <f t="shared" si="726"/>
        <v>61.076711372847143</v>
      </c>
      <c r="AH125" s="603">
        <f t="shared" si="727"/>
        <v>18.756580804261525</v>
      </c>
      <c r="AI125" s="585">
        <f t="shared" si="728"/>
        <v>-81.053450199917791</v>
      </c>
      <c r="AJ125" s="586">
        <f t="shared" si="729"/>
        <v>106.55329564356073</v>
      </c>
      <c r="AK125" s="635">
        <f t="shared" si="730"/>
        <v>0.80955483292729413</v>
      </c>
      <c r="AL125" s="629">
        <f t="shared" si="731"/>
        <v>-0.56607126686811593</v>
      </c>
      <c r="AM125" s="634">
        <f t="shared" si="732"/>
        <v>-0.15551300045458366</v>
      </c>
      <c r="AN125" s="581">
        <f t="shared" si="733"/>
        <v>-74.638485693030788</v>
      </c>
      <c r="AO125" s="582">
        <f t="shared" si="742"/>
        <v>35.947539832075705</v>
      </c>
      <c r="AP125" s="585">
        <f t="shared" si="734"/>
        <v>-34.96269691845022</v>
      </c>
      <c r="AQ125" s="586">
        <f t="shared" si="667"/>
        <v>0.27257757608513783</v>
      </c>
      <c r="AS125" s="52">
        <f t="shared" si="737"/>
        <v>-308.48400743798902</v>
      </c>
      <c r="AT125" s="73">
        <f t="shared" si="668"/>
        <v>-2.3120826141785087</v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>
        <f t="shared" si="643"/>
        <v>6.165</v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>
        <f t="shared" si="542"/>
        <v>1613</v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>
        <v>-6.6212669737047865</v>
      </c>
      <c r="C126" s="708">
        <v>5.2860678118509661</v>
      </c>
      <c r="D126" s="709">
        <v>-3.2753098783345926</v>
      </c>
      <c r="E126" s="710">
        <v>-0.97227788018036565</v>
      </c>
      <c r="F126" s="708">
        <v>-0.22056208231953248</v>
      </c>
      <c r="G126" s="711">
        <v>7.7640785382725286E-2</v>
      </c>
      <c r="H126" s="710">
        <v>0.314</v>
      </c>
      <c r="I126" s="708">
        <v>0.52</v>
      </c>
      <c r="J126" s="570">
        <v>6.1710000000000003</v>
      </c>
      <c r="K126" s="865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>1613</v>
      </c>
      <c r="L126" s="320"/>
      <c r="M126" s="168">
        <f t="shared" si="660"/>
        <v>6.1710000000000003</v>
      </c>
      <c r="N126" s="632">
        <f t="shared" si="661"/>
        <v>-6.6212669737047865</v>
      </c>
      <c r="O126" s="629">
        <f t="shared" si="662"/>
        <v>5.2860678118509661</v>
      </c>
      <c r="P126" s="633">
        <f t="shared" si="663"/>
        <v>-3.2753098783345926</v>
      </c>
      <c r="Q126" s="585">
        <f t="shared" si="520"/>
        <v>141.39799257904804</v>
      </c>
      <c r="R126" s="629">
        <f t="shared" si="716"/>
        <v>8.4725255531370696</v>
      </c>
      <c r="S126" s="634">
        <f t="shared" si="717"/>
        <v>-3.2753098783345926</v>
      </c>
      <c r="T126" s="635">
        <f t="shared" si="718"/>
        <v>5.2860678118509643</v>
      </c>
      <c r="U126" s="629">
        <f t="shared" si="719"/>
        <v>6.6212669737047873</v>
      </c>
      <c r="V126" s="636">
        <f t="shared" si="720"/>
        <v>-3.2753098783345926</v>
      </c>
      <c r="W126" s="585">
        <f t="shared" si="645"/>
        <v>51.397992579048037</v>
      </c>
      <c r="X126" s="629">
        <f t="shared" si="721"/>
        <v>8.4725255531370696</v>
      </c>
      <c r="Y126" s="630">
        <f t="shared" si="644"/>
        <v>-3.2753098783345926</v>
      </c>
      <c r="Z126" s="632">
        <f t="shared" si="664"/>
        <v>0.97227788018036565</v>
      </c>
      <c r="AA126" s="629">
        <f t="shared" si="665"/>
        <v>0.22056208231953248</v>
      </c>
      <c r="AB126" s="629">
        <f t="shared" si="666"/>
        <v>-7.7640785382725286E-2</v>
      </c>
      <c r="AC126" s="636">
        <f t="shared" si="722"/>
        <v>1</v>
      </c>
      <c r="AD126" s="637">
        <f t="shared" si="723"/>
        <v>0.97227788018036565</v>
      </c>
      <c r="AE126" s="629">
        <f t="shared" si="724"/>
        <v>0.22056208231953248</v>
      </c>
      <c r="AF126" s="633">
        <f t="shared" si="725"/>
        <v>-7.7640785382725286E-2</v>
      </c>
      <c r="AG126" s="602">
        <f t="shared" si="726"/>
        <v>70.607253715241143</v>
      </c>
      <c r="AH126" s="603">
        <f t="shared" si="727"/>
        <v>13.522571418569227</v>
      </c>
      <c r="AI126" s="585">
        <f t="shared" si="728"/>
        <v>-85.547029195337686</v>
      </c>
      <c r="AJ126" s="586">
        <f t="shared" si="729"/>
        <v>102.78128045464975</v>
      </c>
      <c r="AK126" s="635">
        <f t="shared" si="730"/>
        <v>0.77897991531772759</v>
      </c>
      <c r="AL126" s="629">
        <f t="shared" si="731"/>
        <v>-0.62222359323376653</v>
      </c>
      <c r="AM126" s="634">
        <f t="shared" si="732"/>
        <v>-7.7640785382725286E-2</v>
      </c>
      <c r="AN126" s="581">
        <f t="shared" si="733"/>
        <v>-82.887420030696475</v>
      </c>
      <c r="AO126" s="582">
        <f t="shared" si="742"/>
        <v>38.8327279339656</v>
      </c>
      <c r="AP126" s="585">
        <f t="shared" si="734"/>
        <v>-38.616712124398283</v>
      </c>
      <c r="AQ126" s="586">
        <f t="shared" si="667"/>
        <v>0.26907087604174051</v>
      </c>
      <c r="AS126" s="52">
        <f t="shared" si="737"/>
        <v>-308.60200742095196</v>
      </c>
      <c r="AT126" s="73">
        <f t="shared" si="668"/>
        <v>-3.0610029287367091</v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>
        <f t="shared" si="643"/>
        <v>6.1710000000000003</v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>
        <f t="shared" si="542"/>
        <v>1613</v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>
        <v>-6.667599563255032</v>
      </c>
      <c r="C127" s="708">
        <v>5.3371719488228129</v>
      </c>
      <c r="D127" s="709">
        <v>-4.0232121340077969</v>
      </c>
      <c r="E127" s="710">
        <v>-0.98053250039409823</v>
      </c>
      <c r="F127" s="708">
        <v>-0.1963568579675195</v>
      </c>
      <c r="G127" s="711">
        <v>1.4578093277503077E-7</v>
      </c>
      <c r="H127" s="710">
        <v>0.314</v>
      </c>
      <c r="I127" s="708">
        <v>0.52</v>
      </c>
      <c r="J127" s="570">
        <v>6.1769999999999996</v>
      </c>
      <c r="K127" s="865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>1613</v>
      </c>
      <c r="L127" s="320"/>
      <c r="M127" s="168">
        <f t="shared" si="660"/>
        <v>6.1769999999999996</v>
      </c>
      <c r="N127" s="632">
        <f t="shared" si="661"/>
        <v>-6.667599563255032</v>
      </c>
      <c r="O127" s="629">
        <f t="shared" si="662"/>
        <v>5.3371719488228129</v>
      </c>
      <c r="P127" s="633">
        <f t="shared" si="663"/>
        <v>-4.0232121340077969</v>
      </c>
      <c r="Q127" s="585">
        <f t="shared" si="520"/>
        <v>141.32399258973231</v>
      </c>
      <c r="R127" s="629">
        <f t="shared" si="716"/>
        <v>8.5406257585272876</v>
      </c>
      <c r="S127" s="634">
        <f t="shared" si="717"/>
        <v>-4.0232121340077969</v>
      </c>
      <c r="T127" s="635">
        <f t="shared" si="718"/>
        <v>5.3371719488228129</v>
      </c>
      <c r="U127" s="629">
        <f t="shared" si="719"/>
        <v>6.6675995632550338</v>
      </c>
      <c r="V127" s="636">
        <f t="shared" si="720"/>
        <v>-4.0232121340077969</v>
      </c>
      <c r="W127" s="585">
        <f t="shared" si="645"/>
        <v>51.323992589732313</v>
      </c>
      <c r="X127" s="629">
        <f t="shared" si="721"/>
        <v>8.5406257585272876</v>
      </c>
      <c r="Y127" s="630">
        <f t="shared" si="644"/>
        <v>-4.0232121340077969</v>
      </c>
      <c r="Z127" s="632">
        <f t="shared" si="664"/>
        <v>0.98053250039409823</v>
      </c>
      <c r="AA127" s="629">
        <f t="shared" si="665"/>
        <v>0.1963568579675195</v>
      </c>
      <c r="AB127" s="629">
        <f t="shared" si="666"/>
        <v>-1.4578093277503077E-7</v>
      </c>
      <c r="AC127" s="636">
        <f t="shared" si="722"/>
        <v>1</v>
      </c>
      <c r="AD127" s="637">
        <f t="shared" si="723"/>
        <v>0.98053250039409823</v>
      </c>
      <c r="AE127" s="629">
        <f t="shared" si="724"/>
        <v>0.1963568579675195</v>
      </c>
      <c r="AF127" s="633">
        <f t="shared" si="725"/>
        <v>-1.4578093277503077E-7</v>
      </c>
      <c r="AG127" s="602">
        <f t="shared" si="726"/>
        <v>89.999957461978838</v>
      </c>
      <c r="AH127" s="603">
        <f t="shared" si="727"/>
        <v>11.32399836502066</v>
      </c>
      <c r="AI127" s="585">
        <f t="shared" si="728"/>
        <v>-89.999991647367807</v>
      </c>
      <c r="AJ127" s="586">
        <f t="shared" si="729"/>
        <v>101.32399836501764</v>
      </c>
      <c r="AK127" s="635">
        <f t="shared" si="730"/>
        <v>0.76604450791050727</v>
      </c>
      <c r="AL127" s="629">
        <f t="shared" si="731"/>
        <v>-0.64278753247097742</v>
      </c>
      <c r="AM127" s="634">
        <f t="shared" si="732"/>
        <v>-1.4578093277503077E-7</v>
      </c>
      <c r="AN127" s="581">
        <f t="shared" si="733"/>
        <v>-89.99998700560954</v>
      </c>
      <c r="AO127" s="582">
        <f t="shared" si="742"/>
        <v>39.99999422471538</v>
      </c>
      <c r="AP127" s="585">
        <f t="shared" si="734"/>
        <v>-39.999994224714669</v>
      </c>
      <c r="AQ127" s="586">
        <f t="shared" si="667"/>
        <v>0.2669254225062575</v>
      </c>
      <c r="AS127" s="52">
        <f t="shared" si="737"/>
        <v>-308.67600741026769</v>
      </c>
      <c r="AT127" s="73">
        <f t="shared" si="668"/>
        <v>-3.8088537955284445</v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>
        <f t="shared" si="643"/>
        <v>6.1769999999999996</v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>
        <f t="shared" si="542"/>
        <v>1613</v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>
        <v>-3.1490410030683345</v>
      </c>
      <c r="C128" s="708">
        <v>3.7993356969980807</v>
      </c>
      <c r="D128" s="709">
        <v>-2.0100060621783492E-2</v>
      </c>
      <c r="E128" s="710">
        <v>-1.7461392753674255E-7</v>
      </c>
      <c r="F128" s="708">
        <v>-1.4472698950702027E-7</v>
      </c>
      <c r="G128" s="711">
        <v>0.99999999999997435</v>
      </c>
      <c r="H128" s="710">
        <v>0.26250000000000001</v>
      </c>
      <c r="I128" s="708">
        <v>0.40699999999999997</v>
      </c>
      <c r="J128" s="570">
        <v>6.2290000000000001</v>
      </c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>Inactive</v>
      </c>
      <c r="L128" s="320"/>
      <c r="M128" s="168">
        <f t="shared" si="660"/>
        <v>6.2290000000000001</v>
      </c>
      <c r="N128" s="632">
        <f t="shared" si="661"/>
        <v>-3.1490410030683345</v>
      </c>
      <c r="O128" s="629">
        <f t="shared" si="662"/>
        <v>3.7993356969980807</v>
      </c>
      <c r="P128" s="633">
        <f t="shared" si="663"/>
        <v>-2.0100060621783492E-2</v>
      </c>
      <c r="Q128" s="585">
        <f t="shared" si="520"/>
        <v>129.65329427477263</v>
      </c>
      <c r="R128" s="629">
        <f t="shared" si="716"/>
        <v>4.9347148831000878</v>
      </c>
      <c r="S128" s="634">
        <f t="shared" si="717"/>
        <v>-2.0100060621783492E-2</v>
      </c>
      <c r="T128" s="635">
        <f t="shared" si="718"/>
        <v>3.799335696998082</v>
      </c>
      <c r="U128" s="629">
        <f t="shared" si="719"/>
        <v>3.1490410030683327</v>
      </c>
      <c r="V128" s="636">
        <f t="shared" si="720"/>
        <v>-2.0100060621783492E-2</v>
      </c>
      <c r="W128" s="585">
        <f t="shared" si="645"/>
        <v>39.653294274772634</v>
      </c>
      <c r="X128" s="629">
        <f t="shared" si="721"/>
        <v>4.9347148831000878</v>
      </c>
      <c r="Y128" s="630">
        <f t="shared" si="644"/>
        <v>-2.0100060621783492E-2</v>
      </c>
      <c r="Z128" s="632">
        <f t="shared" si="664"/>
        <v>1.7461392753674255E-7</v>
      </c>
      <c r="AA128" s="629">
        <f t="shared" si="665"/>
        <v>1.4472698950702027E-7</v>
      </c>
      <c r="AB128" s="629">
        <f t="shared" si="666"/>
        <v>-0.99999999999997435</v>
      </c>
      <c r="AC128" s="636">
        <f t="shared" si="722"/>
        <v>1</v>
      </c>
      <c r="AD128" s="637">
        <f t="shared" si="723"/>
        <v>1.7461392753674255E-7</v>
      </c>
      <c r="AE128" s="629">
        <f t="shared" si="724"/>
        <v>1.4472698950702027E-7</v>
      </c>
      <c r="AF128" s="633">
        <f t="shared" si="725"/>
        <v>-0.99999999999997435</v>
      </c>
      <c r="AG128" s="602">
        <f t="shared" si="726"/>
        <v>8.2922456803865669E-6</v>
      </c>
      <c r="AH128" s="603">
        <f t="shared" si="727"/>
        <v>89.999989995358902</v>
      </c>
      <c r="AI128" s="585">
        <f t="shared" si="728"/>
        <v>-1.2976235990044085E-5</v>
      </c>
      <c r="AJ128" s="586">
        <f t="shared" si="729"/>
        <v>129.65329427646637</v>
      </c>
      <c r="AK128" s="635">
        <f t="shared" si="730"/>
        <v>2.267948967273557E-7</v>
      </c>
      <c r="AL128" s="629">
        <f t="shared" si="731"/>
        <v>6.7043451868565923E-18</v>
      </c>
      <c r="AM128" s="634">
        <f t="shared" si="732"/>
        <v>-0.99999999999997435</v>
      </c>
      <c r="AN128" s="581">
        <f t="shared" si="733"/>
        <v>3.8413068360573984E-16</v>
      </c>
      <c r="AO128" s="582">
        <f t="shared" si="742"/>
        <v>0</v>
      </c>
      <c r="AP128" s="585">
        <f t="shared" si="734"/>
        <v>1.6937360105925024E-9</v>
      </c>
      <c r="AQ128" s="586">
        <f t="shared" si="667"/>
        <v>0.46196736475949968</v>
      </c>
      <c r="AS128" s="52">
        <f t="shared" si="737"/>
        <v>-320.34670572522737</v>
      </c>
      <c r="AT128" s="73">
        <f t="shared" si="668"/>
        <v>0.20236292946517997</v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>Nose</v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>
        <f t="shared" si="643"/>
        <v>6.2290000000000001</v>
      </c>
      <c r="IH128" s="731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0.129</v>
      </c>
      <c r="II128" s="734" cm="1">
        <f t="array" ref="II128">IFERROR(ROUND(VALUE(IF($IH128&lt;1,$IH128+LARGE((IF($M$9:$M$150="",0,$M$9:$M$150)-MOD(IF($M$9:$M$150="",0,$M$9:$M$150),1)),1),$IH128)),4),"")</f>
        <v>6.1289999999999996</v>
      </c>
      <c r="IJ128" s="533">
        <f t="shared" si="542"/>
        <v>1613</v>
      </c>
      <c r="IK128" s="533" t="str">
        <f t="shared" si="713"/>
        <v>Inactive</v>
      </c>
      <c r="IL128" s="727">
        <f t="shared" si="647"/>
        <v>14.928697844562748</v>
      </c>
      <c r="IM128" s="759">
        <v>5.2084096772854697E-3</v>
      </c>
      <c r="IN128" s="5">
        <f t="shared" si="648"/>
        <v>0.1</v>
      </c>
      <c r="IO128" s="771">
        <v>50</v>
      </c>
      <c r="IP128" s="9">
        <f t="shared" si="649"/>
        <v>-4.9347148831000869</v>
      </c>
      <c r="IQ128" s="5">
        <f t="shared" si="650"/>
        <v>-4.7200142355629242E-2</v>
      </c>
      <c r="IR128" s="5">
        <f t="shared" si="714"/>
        <v>0.314</v>
      </c>
      <c r="IS128" s="5">
        <f t="shared" si="651"/>
        <v>0.29457243341868783</v>
      </c>
      <c r="IT128" s="727">
        <f t="shared" si="652"/>
        <v>9.5863711469213069</v>
      </c>
      <c r="IU128" s="9">
        <f t="shared" si="653"/>
        <v>-4.9347148831000878</v>
      </c>
      <c r="IV128" s="5">
        <f t="shared" si="654"/>
        <v>-2.0100060621783492E-2</v>
      </c>
      <c r="IW128" s="5">
        <f t="shared" si="715"/>
        <v>0.26250000000000001</v>
      </c>
      <c r="IX128" s="5">
        <f t="shared" si="655"/>
        <v>0.26250000000000001</v>
      </c>
      <c r="IY128" s="762">
        <f t="shared" si="656"/>
        <v>-3.8413068360573984E-16</v>
      </c>
    </row>
    <row r="129" spans="1:259" ht="15" customHeight="1" x14ac:dyDescent="0.25">
      <c r="A129" s="79"/>
      <c r="B129" s="707">
        <v>-3.6473769975097161</v>
      </c>
      <c r="C129" s="708">
        <v>4.3945828898485617</v>
      </c>
      <c r="D129" s="709">
        <v>-6.5700198151797756E-2</v>
      </c>
      <c r="E129" s="710">
        <v>-8.5571280563365604E-2</v>
      </c>
      <c r="F129" s="708">
        <v>0.10310115747656109</v>
      </c>
      <c r="G129" s="711">
        <v>0.99098320231462012</v>
      </c>
      <c r="H129" s="710">
        <v>0.26250000000000001</v>
      </c>
      <c r="I129" s="708">
        <v>0.40699999999999997</v>
      </c>
      <c r="J129" s="570">
        <v>6.2350000000000003</v>
      </c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>Inactive</v>
      </c>
      <c r="L129" s="320"/>
      <c r="M129" s="168">
        <f t="shared" si="660"/>
        <v>6.2350000000000003</v>
      </c>
      <c r="N129" s="632">
        <f t="shared" si="661"/>
        <v>-3.6473769975097161</v>
      </c>
      <c r="O129" s="629">
        <f t="shared" si="662"/>
        <v>4.3945828898485617</v>
      </c>
      <c r="P129" s="633">
        <f t="shared" si="663"/>
        <v>-6.5700198151797756E-2</v>
      </c>
      <c r="Q129" s="585">
        <f t="shared" si="520"/>
        <v>129.69169426922838</v>
      </c>
      <c r="R129" s="629">
        <f t="shared" si="716"/>
        <v>5.71101722442795</v>
      </c>
      <c r="S129" s="634">
        <f t="shared" si="717"/>
        <v>-6.5700198151797756E-2</v>
      </c>
      <c r="T129" s="635">
        <f t="shared" si="718"/>
        <v>4.3945828898485626</v>
      </c>
      <c r="U129" s="629">
        <f t="shared" si="719"/>
        <v>3.6473769975097152</v>
      </c>
      <c r="V129" s="636">
        <f t="shared" si="720"/>
        <v>-6.5700198151797756E-2</v>
      </c>
      <c r="W129" s="585">
        <f t="shared" si="645"/>
        <v>39.691694269228378</v>
      </c>
      <c r="X129" s="629">
        <f t="shared" si="721"/>
        <v>5.71101722442795</v>
      </c>
      <c r="Y129" s="630">
        <f t="shared" si="644"/>
        <v>-6.5700198151797756E-2</v>
      </c>
      <c r="Z129" s="632">
        <f t="shared" si="664"/>
        <v>8.5571280563365604E-2</v>
      </c>
      <c r="AA129" s="629">
        <f t="shared" si="665"/>
        <v>-0.10310115747656109</v>
      </c>
      <c r="AB129" s="629">
        <f t="shared" si="666"/>
        <v>-0.99098320231462012</v>
      </c>
      <c r="AC129" s="636">
        <f t="shared" si="722"/>
        <v>1</v>
      </c>
      <c r="AD129" s="637">
        <f t="shared" si="723"/>
        <v>8.5571280563365604E-2</v>
      </c>
      <c r="AE129" s="629">
        <f t="shared" si="724"/>
        <v>-0.10310115747656109</v>
      </c>
      <c r="AF129" s="633">
        <f t="shared" si="725"/>
        <v>-0.99098320231462012</v>
      </c>
      <c r="AG129" s="602">
        <f t="shared" si="726"/>
        <v>-5.9396413637745997</v>
      </c>
      <c r="AH129" s="603">
        <f t="shared" si="727"/>
        <v>85.091123471102065</v>
      </c>
      <c r="AI129" s="585">
        <f t="shared" si="728"/>
        <v>-7.6999988882685777</v>
      </c>
      <c r="AJ129" s="586">
        <f t="shared" si="729"/>
        <v>39.691791252303325</v>
      </c>
      <c r="AK129" s="635">
        <f t="shared" si="730"/>
        <v>2.2679489672383646E-7</v>
      </c>
      <c r="AL129" s="629">
        <f t="shared" si="731"/>
        <v>-0.13398616618968334</v>
      </c>
      <c r="AM129" s="634">
        <f t="shared" si="732"/>
        <v>-0.99098320231462012</v>
      </c>
      <c r="AN129" s="581">
        <f t="shared" si="733"/>
        <v>-7.6999988882577144</v>
      </c>
      <c r="AO129" s="582">
        <f t="shared" si="742"/>
        <v>0</v>
      </c>
      <c r="AP129" s="585">
        <f t="shared" si="734"/>
        <v>-89.999903016925046</v>
      </c>
      <c r="AQ129" s="586">
        <f t="shared" si="667"/>
        <v>0.39917402767498616</v>
      </c>
      <c r="AS129" s="52">
        <f t="shared" si="737"/>
        <v>-320.30830573077162</v>
      </c>
      <c r="AT129" s="73">
        <f t="shared" si="668"/>
        <v>0.1567361252723492</v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>Nose</v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>
        <f t="shared" si="643"/>
        <v>6.2350000000000003</v>
      </c>
      <c r="IH129" s="731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>0.13500000000000001</v>
      </c>
      <c r="II129" s="734" cm="1">
        <f t="array" ref="II129">IFERROR(ROUND(VALUE(IF($IH129&lt;1,$IH129+LARGE((IF($M$9:$M$150="",0,$M$9:$M$150)-MOD(IF($M$9:$M$150="",0,$M$9:$M$150),1)),1),$IH129)),4),"")</f>
        <v>6.1349999999999998</v>
      </c>
      <c r="IJ129" s="533">
        <f t="shared" si="542"/>
        <v>1613</v>
      </c>
      <c r="IK129" s="533" t="str">
        <f t="shared" si="713"/>
        <v>Inactive</v>
      </c>
      <c r="IL129" s="727">
        <f t="shared" si="647"/>
        <v>14.361297926485122</v>
      </c>
      <c r="IM129" s="759">
        <v>3.9686547386077404E-3</v>
      </c>
      <c r="IN129" s="5">
        <f t="shared" si="648"/>
        <v>0.08</v>
      </c>
      <c r="IO129" s="771">
        <v>40</v>
      </c>
      <c r="IP129" s="9">
        <f t="shared" si="649"/>
        <v>-5.7058172087447003</v>
      </c>
      <c r="IQ129" s="5">
        <f t="shared" si="650"/>
        <v>-9.2900280187244971E-2</v>
      </c>
      <c r="IR129" s="5">
        <f t="shared" si="714"/>
        <v>0.314</v>
      </c>
      <c r="IS129" s="5">
        <f t="shared" si="651"/>
        <v>0.29377666044259382</v>
      </c>
      <c r="IT129" s="727">
        <f t="shared" si="652"/>
        <v>23.020900948407789</v>
      </c>
      <c r="IU129" s="9">
        <f t="shared" si="653"/>
        <v>-5.71101722442795</v>
      </c>
      <c r="IV129" s="5">
        <f t="shared" si="654"/>
        <v>-6.5700198151797756E-2</v>
      </c>
      <c r="IW129" s="5">
        <f t="shared" si="715"/>
        <v>0.26250000000000001</v>
      </c>
      <c r="IX129" s="5">
        <f t="shared" si="655"/>
        <v>0.26250000000000001</v>
      </c>
      <c r="IY129" s="762">
        <f t="shared" si="656"/>
        <v>7.6999988882577144</v>
      </c>
    </row>
    <row r="130" spans="1:259" ht="15" customHeight="1" x14ac:dyDescent="0.25">
      <c r="A130" s="79"/>
      <c r="B130" s="712">
        <v>-4.0625464543395227</v>
      </c>
      <c r="C130" s="713">
        <v>5.0018521780975274</v>
      </c>
      <c r="D130" s="714">
        <v>-0.28450085805458819</v>
      </c>
      <c r="E130" s="715">
        <v>-0.1822220631009018</v>
      </c>
      <c r="F130" s="713">
        <v>0.22435346205573106</v>
      </c>
      <c r="G130" s="716">
        <v>0.95731950976821667</v>
      </c>
      <c r="H130" s="715">
        <v>0.26250000000000001</v>
      </c>
      <c r="I130" s="713">
        <v>0.40699999999999997</v>
      </c>
      <c r="J130" s="571">
        <v>6.2409999999999997</v>
      </c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>Inactive</v>
      </c>
      <c r="L130" s="320"/>
      <c r="M130" s="543">
        <f t="shared" si="660"/>
        <v>6.2409999999999997</v>
      </c>
      <c r="N130" s="638">
        <f t="shared" si="661"/>
        <v>-4.0625464543395227</v>
      </c>
      <c r="O130" s="639">
        <f t="shared" si="662"/>
        <v>5.0018521780975274</v>
      </c>
      <c r="P130" s="640">
        <f t="shared" si="663"/>
        <v>-0.28450085805458819</v>
      </c>
      <c r="Q130" s="593">
        <f t="shared" ref="Q130:Q150" si="743">IF(M130="","",IF(DEGREES(ATAN2(N130,O130))&lt;0,DEGREES(ATAN2(N130,O130))+360,IF(DEGREES(ATAN2(N130,O130))&gt;360,DEGREES(ATAN2(N130,O130))-360,DEGREES(ATAN2(N130,O130)))))</f>
        <v>129.08379435699825</v>
      </c>
      <c r="R130" s="639">
        <f t="shared" ref="R130:R150" si="744">IF(M130="","",SQRT(N130^2+O130^2))</f>
        <v>6.4438194345594138</v>
      </c>
      <c r="S130" s="641">
        <f t="shared" ref="S130:S150" si="745">IF(M130="","",P130)</f>
        <v>-0.28450085805458819</v>
      </c>
      <c r="T130" s="642">
        <f t="shared" ref="T130:T150" si="746">IF(M130="","",X130*COS(RADIANS(W130)))</f>
        <v>5.0018521780975274</v>
      </c>
      <c r="U130" s="639">
        <f t="shared" ref="U130:U150" si="747">IF(M130="","",X130*SIN(RADIANS(W130)))</f>
        <v>4.0625464543395218</v>
      </c>
      <c r="V130" s="643">
        <f t="shared" ref="V130:V150" si="748">IF(M130="","",Y130)</f>
        <v>-0.28450085805458819</v>
      </c>
      <c r="W130" s="593">
        <f t="shared" ref="W130:W150" si="749">IF(M130="","",IF(Q130-$Q$8&lt;0,360+Q130-$Q$8,Q130-$Q$8))</f>
        <v>39.083794356998254</v>
      </c>
      <c r="X130" s="639">
        <f t="shared" ref="X130:X150" si="750">IF(M130="","",R130)</f>
        <v>6.4438194345594138</v>
      </c>
      <c r="Y130" s="644">
        <f t="shared" ref="Y130:Y150" si="751">IF(M130="","",S130)</f>
        <v>-0.28450085805458819</v>
      </c>
      <c r="Z130" s="638">
        <f t="shared" si="664"/>
        <v>0.1822220631009018</v>
      </c>
      <c r="AA130" s="639">
        <f t="shared" si="665"/>
        <v>-0.22435346205573106</v>
      </c>
      <c r="AB130" s="639">
        <f t="shared" si="666"/>
        <v>-0.95731950976821667</v>
      </c>
      <c r="AC130" s="643">
        <f t="shared" ref="AC130:AC150" si="752">IF(M130="","",SQRT(Z130^2+AA130^2+AB130^2))</f>
        <v>1</v>
      </c>
      <c r="AD130" s="645">
        <f t="shared" ref="AD130:AD150" si="753">IF(M130="","",Z130*(1/SQRT(Z130^2+AA130^2+AB130^2)))</f>
        <v>0.1822220631009018</v>
      </c>
      <c r="AE130" s="639">
        <f t="shared" ref="AE130:AE150" si="754">IF(M130="","",AA130*(1/SQRT(Z130^2+AA130^2+AB130^2)))</f>
        <v>-0.22435346205573106</v>
      </c>
      <c r="AF130" s="640">
        <f t="shared" ref="AF130:AF150" si="755">IF(M130="","",AB130*(1/SQRT(Z130^2+AA130^2+AB130^2)))</f>
        <v>-0.95731950976821667</v>
      </c>
      <c r="AG130" s="604">
        <f t="shared" ref="AG130:AG150" si="756">IF(M130="","",DEGREES(ATAN2(-AF130,AE130)))</f>
        <v>-13.189572591226494</v>
      </c>
      <c r="AH130" s="605">
        <f t="shared" ref="AH130:AH150" si="757">IF(M130="","",DEGREES(ACOS(AD130)))</f>
        <v>79.500784473299802</v>
      </c>
      <c r="AI130" s="593">
        <f t="shared" ref="AI130:AI150" si="758">IF(M130="","",DEGREES(-ACOS(-AF130)))</f>
        <v>-16.799997574385326</v>
      </c>
      <c r="AJ130" s="594">
        <f t="shared" ref="AJ130:AJ150" si="759">IF(M130="","",DEGREES(ATAN2(-AE130,AD130)))</f>
        <v>39.083839315346665</v>
      </c>
      <c r="AK130" s="642">
        <f t="shared" ref="AK130:AK150" si="760">IF(M130="","",(COS(RADIANS((90-$Q$8)-W130))*AD130)+(-SIN(RADIANS((90-$Q$8)-W130))*AE130))</f>
        <v>2.2679489689036991E-7</v>
      </c>
      <c r="AL130" s="639">
        <f t="shared" ref="AL130:AL150" si="761">IF(M130="","",(SIN(RADIANS((90-$Q$8)-W130))*AD130)+(COS(RADIANS((90-$Q$8)-W130))*AE130))</f>
        <v>-0.28903175641629753</v>
      </c>
      <c r="AM130" s="641">
        <f t="shared" ref="AM130:AM150" si="762">IF(M130="","",AF130)</f>
        <v>-0.95731950976821667</v>
      </c>
      <c r="AN130" s="591">
        <f t="shared" ref="AN130:AN150" si="763">IF(M130="","",DEGREES(ATAN2(-AM130,AL130)))</f>
        <v>-16.799997574380452</v>
      </c>
      <c r="AO130" s="592">
        <f t="shared" si="742"/>
        <v>0</v>
      </c>
      <c r="AP130" s="593">
        <f t="shared" ref="AP130:AP150" si="764">IF(M130="","",DEGREES(ATAN2(AK130,AL130)))</f>
        <v>-89.999955041651589</v>
      </c>
      <c r="AQ130" s="594">
        <f t="shared" si="667"/>
        <v>0.3537804996958307</v>
      </c>
      <c r="AS130" s="555">
        <f t="shared" si="737"/>
        <v>-320.91620564300172</v>
      </c>
      <c r="AT130" s="556">
        <f t="shared" si="668"/>
        <v>-6.1642381913614763E-2</v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>Nose</v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>
        <f t="shared" si="643"/>
        <v>6.2409999999999997</v>
      </c>
      <c r="IH130" s="731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>0.14099999999999999</v>
      </c>
      <c r="II130" s="734" cm="1">
        <f t="array" ref="II130">IFERROR(ROUND(VALUE(IF($IH130&lt;1,$IH130+LARGE((IF($M$9:$M$150="",0,$M$9:$M$150)-MOD(IF($M$9:$M$150="",0,$M$9:$M$150),1)),1),$IH130)),4),"")</f>
        <v>6.141</v>
      </c>
      <c r="IJ130" s="533">
        <f t="shared" si="542"/>
        <v>1613</v>
      </c>
      <c r="IK130" s="533" t="str">
        <f t="shared" si="713"/>
        <v>Inactive</v>
      </c>
      <c r="IL130" s="727">
        <f t="shared" si="647"/>
        <v>14.360197926643963</v>
      </c>
      <c r="IM130" s="759">
        <v>2.37075177583481E-3</v>
      </c>
      <c r="IN130" s="5">
        <f t="shared" si="648"/>
        <v>0.04</v>
      </c>
      <c r="IO130" s="771">
        <v>20</v>
      </c>
      <c r="IP130" s="9">
        <f t="shared" si="649"/>
        <v>-6.4332194025897191</v>
      </c>
      <c r="IQ130" s="5">
        <f t="shared" si="650"/>
        <v>-0.30860093074040706</v>
      </c>
      <c r="IR130" s="5">
        <f t="shared" si="714"/>
        <v>0.314</v>
      </c>
      <c r="IS130" s="5">
        <f t="shared" si="651"/>
        <v>0.29077595190351962</v>
      </c>
      <c r="IT130" s="727">
        <f t="shared" si="652"/>
        <v>36.439855371191982</v>
      </c>
      <c r="IU130" s="9">
        <f t="shared" si="653"/>
        <v>-6.4438194345594138</v>
      </c>
      <c r="IV130" s="5">
        <f t="shared" si="654"/>
        <v>-0.28450085805458819</v>
      </c>
      <c r="IW130" s="5">
        <f t="shared" si="715"/>
        <v>0.26250000000000001</v>
      </c>
      <c r="IX130" s="5">
        <f t="shared" si="655"/>
        <v>0.26250000000000001</v>
      </c>
      <c r="IY130" s="762">
        <f t="shared" si="656"/>
        <v>16.799997574380452</v>
      </c>
    </row>
    <row r="131" spans="1:259" ht="15" customHeight="1" x14ac:dyDescent="0.25">
      <c r="A131" s="79"/>
      <c r="B131" s="712">
        <v>-4.3848827447342318</v>
      </c>
      <c r="C131" s="713">
        <v>5.596130498399372</v>
      </c>
      <c r="D131" s="714">
        <v>-0.66610200896365968</v>
      </c>
      <c r="E131" s="715">
        <v>-0.26940668126611755</v>
      </c>
      <c r="F131" s="713">
        <v>0.34382523339669269</v>
      </c>
      <c r="G131" s="716">
        <v>0.89955780746369296</v>
      </c>
      <c r="H131" s="715">
        <v>0.26250000000000001</v>
      </c>
      <c r="I131" s="713">
        <v>0.40699999999999997</v>
      </c>
      <c r="J131" s="571">
        <v>6.2469999999999999</v>
      </c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>Inactive</v>
      </c>
      <c r="L131" s="320"/>
      <c r="M131" s="543">
        <f t="shared" si="660"/>
        <v>6.2469999999999999</v>
      </c>
      <c r="N131" s="638">
        <f t="shared" si="661"/>
        <v>-4.3848827447342318</v>
      </c>
      <c r="O131" s="639">
        <f t="shared" si="662"/>
        <v>5.596130498399372</v>
      </c>
      <c r="P131" s="640">
        <f t="shared" si="663"/>
        <v>-0.66610200896365968</v>
      </c>
      <c r="Q131" s="593">
        <f t="shared" si="743"/>
        <v>128.08069450182796</v>
      </c>
      <c r="R131" s="639">
        <f t="shared" si="744"/>
        <v>7.1094214420150683</v>
      </c>
      <c r="S131" s="641">
        <f t="shared" si="745"/>
        <v>-0.66610200896365968</v>
      </c>
      <c r="T131" s="642">
        <f t="shared" si="746"/>
        <v>5.596130498399372</v>
      </c>
      <c r="U131" s="639">
        <f t="shared" si="747"/>
        <v>4.3848827447342318</v>
      </c>
      <c r="V131" s="643">
        <f t="shared" si="748"/>
        <v>-0.66610200896365968</v>
      </c>
      <c r="W131" s="593">
        <f t="shared" si="749"/>
        <v>38.080694501827963</v>
      </c>
      <c r="X131" s="639">
        <f t="shared" si="750"/>
        <v>7.1094214420150683</v>
      </c>
      <c r="Y131" s="644">
        <f t="shared" si="751"/>
        <v>-0.66610200896365968</v>
      </c>
      <c r="Z131" s="638">
        <f t="shared" si="664"/>
        <v>0.26940668126611755</v>
      </c>
      <c r="AA131" s="639">
        <f t="shared" si="665"/>
        <v>-0.34382523339669269</v>
      </c>
      <c r="AB131" s="639">
        <f t="shared" si="666"/>
        <v>-0.89955780746369296</v>
      </c>
      <c r="AC131" s="643">
        <f t="shared" si="752"/>
        <v>1</v>
      </c>
      <c r="AD131" s="645">
        <f t="shared" si="753"/>
        <v>0.26940668126611755</v>
      </c>
      <c r="AE131" s="639">
        <f t="shared" si="754"/>
        <v>-0.34382523339669269</v>
      </c>
      <c r="AF131" s="640">
        <f t="shared" si="755"/>
        <v>-0.89955780746369296</v>
      </c>
      <c r="AG131" s="604">
        <f t="shared" si="756"/>
        <v>-20.91764750224085</v>
      </c>
      <c r="AH131" s="605">
        <f t="shared" si="757"/>
        <v>74.371036010546746</v>
      </c>
      <c r="AI131" s="593">
        <f t="shared" si="758"/>
        <v>-25.899996260506235</v>
      </c>
      <c r="AJ131" s="594">
        <f t="shared" si="759"/>
        <v>38.08072425077242</v>
      </c>
      <c r="AK131" s="642">
        <f t="shared" si="760"/>
        <v>2.2679489672383646E-7</v>
      </c>
      <c r="AL131" s="639">
        <f t="shared" si="761"/>
        <v>-0.43680172965667408</v>
      </c>
      <c r="AM131" s="641">
        <f t="shared" si="762"/>
        <v>-0.89955780746369296</v>
      </c>
      <c r="AN131" s="591">
        <f t="shared" si="763"/>
        <v>-25.899996260503208</v>
      </c>
      <c r="AO131" s="592">
        <f t="shared" si="742"/>
        <v>0</v>
      </c>
      <c r="AP131" s="593">
        <f t="shared" si="764"/>
        <v>-89.999970251055544</v>
      </c>
      <c r="AQ131" s="594">
        <f t="shared" si="667"/>
        <v>0.32065940231602913</v>
      </c>
      <c r="AS131" s="555">
        <f t="shared" si="737"/>
        <v>-321.91930549817204</v>
      </c>
      <c r="AT131" s="556">
        <f t="shared" si="668"/>
        <v>-0.4425469357010402</v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>Taper</v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>
        <f t="shared" si="643"/>
        <v>6.2469999999999999</v>
      </c>
      <c r="IH131" s="731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0.14699999999999999</v>
      </c>
      <c r="II131" s="734" cm="1">
        <f t="array" ref="II131">IFERROR(ROUND(VALUE(IF($IH131&lt;1,$IH131+LARGE((IF($M$9:$M$150="",0,$M$9:$M$150)-MOD(IF($M$9:$M$150="",0,$M$9:$M$150),1)),1),$IH131)),4),"")</f>
        <v>6.1470000000000002</v>
      </c>
      <c r="IJ131" s="533">
        <f t="shared" si="542"/>
        <v>1613</v>
      </c>
      <c r="IK131" s="533" t="str">
        <f t="shared" si="713"/>
        <v>Inactive</v>
      </c>
      <c r="IL131" s="727">
        <f t="shared" si="647"/>
        <v>14.742297871475529</v>
      </c>
      <c r="IM131" s="759">
        <v>1.14490695080767E-4</v>
      </c>
      <c r="IN131" s="5">
        <f t="shared" si="648"/>
        <v>0</v>
      </c>
      <c r="IO131" s="771">
        <v>0</v>
      </c>
      <c r="IP131" s="9">
        <f t="shared" si="649"/>
        <v>-7.096121401902149</v>
      </c>
      <c r="IQ131" s="5">
        <f t="shared" si="650"/>
        <v>-0.68210205721980466</v>
      </c>
      <c r="IR131" s="5">
        <f t="shared" si="714"/>
        <v>0.314</v>
      </c>
      <c r="IS131" s="5">
        <f t="shared" si="651"/>
        <v>0.28327842869914521</v>
      </c>
      <c r="IT131" s="727">
        <f t="shared" si="652"/>
        <v>47.296360999163809</v>
      </c>
      <c r="IU131" s="9">
        <f t="shared" si="653"/>
        <v>-7.1094214420150683</v>
      </c>
      <c r="IV131" s="5">
        <f t="shared" si="654"/>
        <v>-0.66610200896365968</v>
      </c>
      <c r="IW131" s="5">
        <f t="shared" si="715"/>
        <v>0.26250000000000001</v>
      </c>
      <c r="IX131" s="5">
        <f t="shared" si="655"/>
        <v>0.26250000000000001</v>
      </c>
      <c r="IY131" s="762">
        <f t="shared" si="656"/>
        <v>25.899996260503208</v>
      </c>
    </row>
    <row r="132" spans="1:259" ht="15" customHeight="1" x14ac:dyDescent="0.25">
      <c r="A132" s="79"/>
      <c r="B132" s="712">
        <v>-4.6321055936610334</v>
      </c>
      <c r="C132" s="713">
        <v>6.1114519336996338</v>
      </c>
      <c r="D132" s="714">
        <v>-1.1858035763835866</v>
      </c>
      <c r="E132" s="715">
        <v>-0.34559994256845378</v>
      </c>
      <c r="F132" s="713">
        <v>0.45597313260840761</v>
      </c>
      <c r="G132" s="716">
        <v>0.82015192619170074</v>
      </c>
      <c r="H132" s="715">
        <v>0.26250000000000001</v>
      </c>
      <c r="I132" s="713">
        <v>0.40699999999999997</v>
      </c>
      <c r="J132" s="571">
        <v>6.2530000000000001</v>
      </c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>Inactive</v>
      </c>
      <c r="L132" s="320"/>
      <c r="M132" s="543">
        <f t="shared" si="660"/>
        <v>6.2530000000000001</v>
      </c>
      <c r="N132" s="638">
        <f t="shared" si="661"/>
        <v>-4.6321055936610334</v>
      </c>
      <c r="O132" s="639">
        <f t="shared" si="662"/>
        <v>6.1114519336996338</v>
      </c>
      <c r="P132" s="640">
        <f t="shared" si="663"/>
        <v>-1.1858035763835866</v>
      </c>
      <c r="Q132" s="593">
        <f t="shared" si="743"/>
        <v>127.15989463477501</v>
      </c>
      <c r="R132" s="639">
        <f t="shared" si="744"/>
        <v>7.6685231282657575</v>
      </c>
      <c r="S132" s="641">
        <f t="shared" si="745"/>
        <v>-1.1858035763835866</v>
      </c>
      <c r="T132" s="642">
        <f t="shared" si="746"/>
        <v>6.1114519336996356</v>
      </c>
      <c r="U132" s="639">
        <f t="shared" si="747"/>
        <v>4.6321055936610325</v>
      </c>
      <c r="V132" s="643">
        <f t="shared" si="748"/>
        <v>-1.1858035763835866</v>
      </c>
      <c r="W132" s="593">
        <f t="shared" si="749"/>
        <v>37.159894634775014</v>
      </c>
      <c r="X132" s="639">
        <f t="shared" si="750"/>
        <v>7.6685231282657575</v>
      </c>
      <c r="Y132" s="644">
        <f t="shared" si="751"/>
        <v>-1.1858035763835866</v>
      </c>
      <c r="Z132" s="638">
        <f t="shared" si="664"/>
        <v>0.34559994256845378</v>
      </c>
      <c r="AA132" s="639">
        <f t="shared" si="665"/>
        <v>-0.45597313260840761</v>
      </c>
      <c r="AB132" s="639">
        <f t="shared" si="666"/>
        <v>-0.82015192619170074</v>
      </c>
      <c r="AC132" s="643">
        <f t="shared" si="752"/>
        <v>1</v>
      </c>
      <c r="AD132" s="645">
        <f t="shared" si="753"/>
        <v>0.34559994256845378</v>
      </c>
      <c r="AE132" s="639">
        <f t="shared" si="754"/>
        <v>-0.45597313260840761</v>
      </c>
      <c r="AF132" s="640">
        <f t="shared" si="755"/>
        <v>-0.82015192619170074</v>
      </c>
      <c r="AG132" s="604">
        <f t="shared" si="756"/>
        <v>-29.072387022990167</v>
      </c>
      <c r="AH132" s="605">
        <f t="shared" si="757"/>
        <v>69.781577214065834</v>
      </c>
      <c r="AI132" s="593">
        <f t="shared" si="758"/>
        <v>-34.899994961066291</v>
      </c>
      <c r="AJ132" s="594">
        <f t="shared" si="759"/>
        <v>37.1599173464516</v>
      </c>
      <c r="AK132" s="642">
        <f t="shared" si="760"/>
        <v>2.2679489675159203E-7</v>
      </c>
      <c r="AL132" s="639">
        <f t="shared" si="761"/>
        <v>-0.57214580131640536</v>
      </c>
      <c r="AM132" s="641">
        <f t="shared" si="762"/>
        <v>-0.82015192619170074</v>
      </c>
      <c r="AN132" s="591">
        <f t="shared" si="763"/>
        <v>-34.899994961064181</v>
      </c>
      <c r="AO132" s="592">
        <f t="shared" si="742"/>
        <v>0</v>
      </c>
      <c r="AP132" s="593">
        <f t="shared" si="764"/>
        <v>-89.999977288323421</v>
      </c>
      <c r="AQ132" s="594">
        <f t="shared" si="667"/>
        <v>0.29728099353422094</v>
      </c>
      <c r="AS132" s="555">
        <f t="shared" si="737"/>
        <v>-322.84010536522499</v>
      </c>
      <c r="AT132" s="556">
        <f t="shared" si="668"/>
        <v>-0.96160905876884706</v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>Taper</v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>
        <f t="shared" si="643"/>
        <v>6.2530000000000001</v>
      </c>
      <c r="IH132" s="731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0.153</v>
      </c>
      <c r="II132" s="734" cm="1">
        <f t="array" ref="II132">IFERROR(ROUND(VALUE(IF($IH132&lt;1,$IH132+LARGE((IF($M$9:$M$150="",0,$M$9:$M$150)-MOD(IF($M$9:$M$150="",0,$M$9:$M$150),1)),1),$IH132)),4),"")</f>
        <v>6.1529999999999996</v>
      </c>
      <c r="IJ132" s="533">
        <f t="shared" si="542"/>
        <v>1613</v>
      </c>
      <c r="IK132" s="533" t="str">
        <f t="shared" si="713"/>
        <v>Inactive</v>
      </c>
      <c r="IL132" s="727">
        <f t="shared" si="647"/>
        <v>15.104097819238092</v>
      </c>
      <c r="IM132" s="759">
        <v>4.2606257993341397E-5</v>
      </c>
      <c r="IN132" s="5">
        <f t="shared" si="648"/>
        <v>0</v>
      </c>
      <c r="IO132" s="771">
        <v>0</v>
      </c>
      <c r="IP132" s="9">
        <f t="shared" si="649"/>
        <v>-7.6551230878512353</v>
      </c>
      <c r="IQ132" s="5">
        <f t="shared" si="650"/>
        <v>-1.1934035993052559</v>
      </c>
      <c r="IR132" s="5">
        <f t="shared" si="714"/>
        <v>0.314</v>
      </c>
      <c r="IS132" s="5">
        <f t="shared" si="651"/>
        <v>0.27504747050246942</v>
      </c>
      <c r="IT132" s="727">
        <f t="shared" si="652"/>
        <v>57.203092491419397</v>
      </c>
      <c r="IU132" s="9">
        <f t="shared" si="653"/>
        <v>-7.6685231282657575</v>
      </c>
      <c r="IV132" s="5">
        <f t="shared" si="654"/>
        <v>-1.1858035763835866</v>
      </c>
      <c r="IW132" s="5">
        <f t="shared" si="715"/>
        <v>0.26250000000000001</v>
      </c>
      <c r="IX132" s="5">
        <f t="shared" si="655"/>
        <v>0.26250000000000001</v>
      </c>
      <c r="IY132" s="762">
        <f t="shared" si="656"/>
        <v>34.899994961064181</v>
      </c>
    </row>
    <row r="133" spans="1:259" ht="15" customHeight="1" x14ac:dyDescent="0.25">
      <c r="A133" s="79"/>
      <c r="B133" s="712">
        <v>-4.8341671907106338</v>
      </c>
      <c r="C133" s="713">
        <v>6.4950869556452373</v>
      </c>
      <c r="D133" s="714">
        <v>-1.8210054921525634</v>
      </c>
      <c r="E133" s="715">
        <v>-0.41475257054745746</v>
      </c>
      <c r="F133" s="713">
        <v>0.55725258730946359</v>
      </c>
      <c r="G133" s="716">
        <v>0.71933987736061544</v>
      </c>
      <c r="H133" s="715">
        <v>0.26250000000000001</v>
      </c>
      <c r="I133" s="713">
        <v>0.40699999999999997</v>
      </c>
      <c r="J133" s="571">
        <v>6.2590000000000003</v>
      </c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>Inactive</v>
      </c>
      <c r="L133" s="320"/>
      <c r="M133" s="543">
        <f t="shared" si="660"/>
        <v>6.2590000000000003</v>
      </c>
      <c r="N133" s="638">
        <f t="shared" si="661"/>
        <v>-4.8341671907106338</v>
      </c>
      <c r="O133" s="639">
        <f t="shared" si="662"/>
        <v>6.4950869556452373</v>
      </c>
      <c r="P133" s="640">
        <f t="shared" si="663"/>
        <v>-1.8210054921525634</v>
      </c>
      <c r="Q133" s="593">
        <f t="shared" si="743"/>
        <v>126.6595947070094</v>
      </c>
      <c r="R133" s="639">
        <f t="shared" si="744"/>
        <v>8.096624419419248</v>
      </c>
      <c r="S133" s="641">
        <f t="shared" si="745"/>
        <v>-1.8210054921525634</v>
      </c>
      <c r="T133" s="642">
        <f t="shared" si="746"/>
        <v>6.4950869556452364</v>
      </c>
      <c r="U133" s="639">
        <f t="shared" si="747"/>
        <v>4.8341671907106356</v>
      </c>
      <c r="V133" s="643">
        <f t="shared" si="748"/>
        <v>-1.8210054921525634</v>
      </c>
      <c r="W133" s="593">
        <f t="shared" si="749"/>
        <v>36.659594707009404</v>
      </c>
      <c r="X133" s="639">
        <f t="shared" si="750"/>
        <v>8.096624419419248</v>
      </c>
      <c r="Y133" s="644">
        <f t="shared" si="751"/>
        <v>-1.8210054921525634</v>
      </c>
      <c r="Z133" s="638">
        <f t="shared" si="664"/>
        <v>0.41475257054745746</v>
      </c>
      <c r="AA133" s="639">
        <f t="shared" si="665"/>
        <v>-0.55725258730946359</v>
      </c>
      <c r="AB133" s="639">
        <f t="shared" si="666"/>
        <v>-0.71933987736061544</v>
      </c>
      <c r="AC133" s="643">
        <f t="shared" si="752"/>
        <v>1</v>
      </c>
      <c r="AD133" s="645">
        <f t="shared" si="753"/>
        <v>0.41475257054745746</v>
      </c>
      <c r="AE133" s="639">
        <f t="shared" si="754"/>
        <v>-0.55725258730946359</v>
      </c>
      <c r="AF133" s="640">
        <f t="shared" si="755"/>
        <v>-0.71933987736061544</v>
      </c>
      <c r="AG133" s="604">
        <f t="shared" si="756"/>
        <v>-37.763947656532515</v>
      </c>
      <c r="AH133" s="605">
        <f t="shared" si="757"/>
        <v>65.496264359388746</v>
      </c>
      <c r="AI133" s="593">
        <f t="shared" si="758"/>
        <v>-43.999993647188425</v>
      </c>
      <c r="AJ133" s="594">
        <f t="shared" si="759"/>
        <v>36.659613413171229</v>
      </c>
      <c r="AK133" s="642">
        <f t="shared" si="760"/>
        <v>2.2679489669608088E-7</v>
      </c>
      <c r="AL133" s="639">
        <f t="shared" si="761"/>
        <v>-0.69465829070037266</v>
      </c>
      <c r="AM133" s="641">
        <f t="shared" si="762"/>
        <v>-0.71933987736061544</v>
      </c>
      <c r="AN133" s="591">
        <f t="shared" si="763"/>
        <v>-43.999993647186905</v>
      </c>
      <c r="AO133" s="592">
        <f t="shared" si="742"/>
        <v>0</v>
      </c>
      <c r="AP133" s="593">
        <f t="shared" si="764"/>
        <v>-89.999981293838175</v>
      </c>
      <c r="AQ133" s="594">
        <f t="shared" si="667"/>
        <v>0.28156280476046364</v>
      </c>
      <c r="AS133" s="555">
        <f t="shared" si="737"/>
        <v>-323.34040529299057</v>
      </c>
      <c r="AT133" s="556">
        <f t="shared" si="668"/>
        <v>-1.5964635440324311</v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>Taper</v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>
        <f t="shared" si="643"/>
        <v>6.2590000000000003</v>
      </c>
      <c r="IH133" s="731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0.159</v>
      </c>
      <c r="II133" s="734" cm="1">
        <f t="array" ref="II133">IFERROR(ROUND(VALUE(IF($IH133&lt;1,$IH133+LARGE((IF($M$9:$M$150="",0,$M$9:$M$150)-MOD(IF($M$9:$M$150="",0,$M$9:$M$150),1)),1),$IH133)),4),"")</f>
        <v>6.1589999999999998</v>
      </c>
      <c r="IJ133" s="533">
        <f t="shared" si="542"/>
        <v>1613</v>
      </c>
      <c r="IK133" s="533" t="str">
        <f t="shared" si="713"/>
        <v>Inactive</v>
      </c>
      <c r="IL133" s="727">
        <f t="shared" si="647"/>
        <v>15.152397812264411</v>
      </c>
      <c r="IM133" s="759">
        <v>2.20285534090712E-4</v>
      </c>
      <c r="IN133" s="5">
        <f t="shared" si="648"/>
        <v>0</v>
      </c>
      <c r="IO133" s="771">
        <v>0</v>
      </c>
      <c r="IP133" s="9">
        <f t="shared" si="649"/>
        <v>-8.087724392576769</v>
      </c>
      <c r="IQ133" s="5">
        <f t="shared" si="650"/>
        <v>-1.818605484914142</v>
      </c>
      <c r="IR133" s="5">
        <f t="shared" si="714"/>
        <v>0.314</v>
      </c>
      <c r="IS133" s="5">
        <f t="shared" si="651"/>
        <v>0.26355262536630786</v>
      </c>
      <c r="IT133" s="727">
        <f t="shared" si="652"/>
        <v>65.914860097887811</v>
      </c>
      <c r="IU133" s="9">
        <f t="shared" si="653"/>
        <v>-8.096624419419248</v>
      </c>
      <c r="IV133" s="5">
        <f t="shared" si="654"/>
        <v>-1.8210054921525634</v>
      </c>
      <c r="IW133" s="5">
        <f t="shared" si="715"/>
        <v>0.26250000000000001</v>
      </c>
      <c r="IX133" s="5">
        <f t="shared" si="655"/>
        <v>0.26250000000000001</v>
      </c>
      <c r="IY133" s="762">
        <f t="shared" si="656"/>
        <v>43.999993647186905</v>
      </c>
    </row>
    <row r="134" spans="1:259" ht="15" customHeight="1" x14ac:dyDescent="0.25">
      <c r="A134" s="79"/>
      <c r="B134" s="712">
        <v>-4.9603052662859008</v>
      </c>
      <c r="C134" s="713">
        <v>6.7378881088459073</v>
      </c>
      <c r="D134" s="714">
        <v>-2.5356076473926659</v>
      </c>
      <c r="E134" s="715">
        <v>-0.47409633180555583</v>
      </c>
      <c r="F134" s="713">
        <v>0.64399386075662057</v>
      </c>
      <c r="G134" s="716">
        <v>0.6004203323308589</v>
      </c>
      <c r="H134" s="715">
        <v>0.26250000000000001</v>
      </c>
      <c r="I134" s="713">
        <v>0.40699999999999997</v>
      </c>
      <c r="J134" s="571">
        <v>6.2649999999999997</v>
      </c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>Inactive</v>
      </c>
      <c r="L134" s="320"/>
      <c r="M134" s="543">
        <f t="shared" si="660"/>
        <v>6.2649999999999997</v>
      </c>
      <c r="N134" s="638">
        <f t="shared" si="661"/>
        <v>-4.9603052662859008</v>
      </c>
      <c r="O134" s="639">
        <f t="shared" si="662"/>
        <v>6.7378881088459073</v>
      </c>
      <c r="P134" s="640">
        <f t="shared" si="663"/>
        <v>-2.5356076473926659</v>
      </c>
      <c r="Q134" s="593">
        <f t="shared" si="743"/>
        <v>126.35979475029517</v>
      </c>
      <c r="R134" s="639">
        <f t="shared" si="744"/>
        <v>8.3668252343449083</v>
      </c>
      <c r="S134" s="641">
        <f t="shared" si="745"/>
        <v>-2.5356076473926659</v>
      </c>
      <c r="T134" s="642">
        <f t="shared" si="746"/>
        <v>6.7378881088459091</v>
      </c>
      <c r="U134" s="639">
        <f t="shared" si="747"/>
        <v>4.9603052662859</v>
      </c>
      <c r="V134" s="643">
        <f t="shared" si="748"/>
        <v>-2.5356076473926659</v>
      </c>
      <c r="W134" s="593">
        <f t="shared" si="749"/>
        <v>36.359794750295165</v>
      </c>
      <c r="X134" s="639">
        <f t="shared" si="750"/>
        <v>8.3668252343449083</v>
      </c>
      <c r="Y134" s="644">
        <f t="shared" si="751"/>
        <v>-2.5356076473926659</v>
      </c>
      <c r="Z134" s="638">
        <f t="shared" si="664"/>
        <v>0.47409633180555583</v>
      </c>
      <c r="AA134" s="639">
        <f t="shared" si="665"/>
        <v>-0.64399386075662057</v>
      </c>
      <c r="AB134" s="639">
        <f t="shared" si="666"/>
        <v>-0.6004203323308589</v>
      </c>
      <c r="AC134" s="643">
        <f t="shared" si="752"/>
        <v>1</v>
      </c>
      <c r="AD134" s="645">
        <f t="shared" si="753"/>
        <v>0.47409633180555583</v>
      </c>
      <c r="AE134" s="639">
        <f t="shared" si="754"/>
        <v>-0.64399386075662057</v>
      </c>
      <c r="AF134" s="640">
        <f t="shared" si="755"/>
        <v>-0.6004203323308589</v>
      </c>
      <c r="AG134" s="604">
        <f t="shared" si="756"/>
        <v>-47.0054092226272</v>
      </c>
      <c r="AH134" s="605">
        <f t="shared" si="757"/>
        <v>61.699471422029596</v>
      </c>
      <c r="AI134" s="593">
        <f t="shared" si="758"/>
        <v>-53.099992333310773</v>
      </c>
      <c r="AJ134" s="594">
        <f t="shared" si="759"/>
        <v>36.359810999689934</v>
      </c>
      <c r="AK134" s="642">
        <f t="shared" si="760"/>
        <v>2.2679489675159203E-7</v>
      </c>
      <c r="AL134" s="639">
        <f t="shared" si="761"/>
        <v>-0.79968457814543981</v>
      </c>
      <c r="AM134" s="641">
        <f t="shared" si="762"/>
        <v>-0.6004203323308589</v>
      </c>
      <c r="AN134" s="591">
        <f t="shared" si="763"/>
        <v>-53.099992333309679</v>
      </c>
      <c r="AO134" s="592">
        <f t="shared" si="742"/>
        <v>0</v>
      </c>
      <c r="AP134" s="593">
        <f t="shared" si="764"/>
        <v>-89.999983750605239</v>
      </c>
      <c r="AQ134" s="594">
        <f t="shared" si="667"/>
        <v>0.27247006874218127</v>
      </c>
      <c r="AS134" s="555">
        <f t="shared" si="737"/>
        <v>-323.64020524970482</v>
      </c>
      <c r="AT134" s="556">
        <f t="shared" si="668"/>
        <v>-2.3108575048581486</v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>Taper</v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>
        <f t="shared" si="643"/>
        <v>6.2649999999999997</v>
      </c>
      <c r="IH134" s="731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0.16500000000000001</v>
      </c>
      <c r="II134" s="734" cm="1">
        <f t="array" ref="II134">IFERROR(ROUND(VALUE(IF($IH134&lt;1,$IH134+LARGE((IF($M$9:$M$150="",0,$M$9:$M$150)-MOD(IF($M$9:$M$150="",0,$M$9:$M$150),1)),1),$IH134)),4),"")</f>
        <v>6.165</v>
      </c>
      <c r="IJ134" s="533">
        <f t="shared" si="542"/>
        <v>1613</v>
      </c>
      <c r="IK134" s="533" t="str">
        <f t="shared" si="713"/>
        <v>Inactive</v>
      </c>
      <c r="IL134" s="727">
        <f t="shared" si="647"/>
        <v>15.156197811715785</v>
      </c>
      <c r="IM134" s="759">
        <v>3.5204383913352099E-4</v>
      </c>
      <c r="IN134" s="5">
        <f t="shared" si="648"/>
        <v>0</v>
      </c>
      <c r="IO134" s="771">
        <v>0</v>
      </c>
      <c r="IP134" s="9">
        <f t="shared" si="649"/>
        <v>-8.3635252243920739</v>
      </c>
      <c r="IQ134" s="5">
        <f t="shared" si="650"/>
        <v>-2.526307619343779</v>
      </c>
      <c r="IR134" s="5">
        <f t="shared" si="714"/>
        <v>0.314</v>
      </c>
      <c r="IS134" s="5">
        <f t="shared" si="651"/>
        <v>0.25420021753917038</v>
      </c>
      <c r="IT134" s="727">
        <f t="shared" si="652"/>
        <v>74.638485693030788</v>
      </c>
      <c r="IU134" s="9">
        <f t="shared" si="653"/>
        <v>-8.3668252343449083</v>
      </c>
      <c r="IV134" s="5">
        <f t="shared" si="654"/>
        <v>-2.5356076473926659</v>
      </c>
      <c r="IW134" s="5">
        <f t="shared" si="715"/>
        <v>0.26250000000000001</v>
      </c>
      <c r="IX134" s="5">
        <f t="shared" si="655"/>
        <v>0.26250000000000001</v>
      </c>
      <c r="IY134" s="762">
        <f t="shared" si="656"/>
        <v>53.099992333309679</v>
      </c>
    </row>
    <row r="135" spans="1:259" ht="15" customHeight="1" x14ac:dyDescent="0.25">
      <c r="A135" s="79"/>
      <c r="B135" s="712">
        <v>-4.9880776454059799</v>
      </c>
      <c r="C135" s="713">
        <v>6.8426206384308434</v>
      </c>
      <c r="D135" s="714">
        <v>-3.2896099214635242</v>
      </c>
      <c r="E135" s="715">
        <v>-0.52155839483752919</v>
      </c>
      <c r="F135" s="713">
        <v>0.71547088275822834</v>
      </c>
      <c r="G135" s="716">
        <v>0.46484218472473177</v>
      </c>
      <c r="H135" s="715">
        <v>0.26250000000000001</v>
      </c>
      <c r="I135" s="713">
        <v>0.40699999999999997</v>
      </c>
      <c r="J135" s="571">
        <v>6.2709999999999999</v>
      </c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>Inactive</v>
      </c>
      <c r="L135" s="320"/>
      <c r="M135" s="543">
        <f t="shared" si="660"/>
        <v>6.2709999999999999</v>
      </c>
      <c r="N135" s="638">
        <f t="shared" si="661"/>
        <v>-4.9880776454059799</v>
      </c>
      <c r="O135" s="639">
        <f t="shared" si="662"/>
        <v>6.8426206384308434</v>
      </c>
      <c r="P135" s="640">
        <f t="shared" si="663"/>
        <v>-3.2896099214635242</v>
      </c>
      <c r="Q135" s="593">
        <f t="shared" si="743"/>
        <v>126.09099478910508</v>
      </c>
      <c r="R135" s="639">
        <f t="shared" si="744"/>
        <v>8.4677255386602255</v>
      </c>
      <c r="S135" s="641">
        <f t="shared" si="745"/>
        <v>-3.2896099214635242</v>
      </c>
      <c r="T135" s="642">
        <f t="shared" si="746"/>
        <v>6.8426206384308434</v>
      </c>
      <c r="U135" s="639">
        <f t="shared" si="747"/>
        <v>4.9880776454059808</v>
      </c>
      <c r="V135" s="643">
        <f t="shared" si="748"/>
        <v>-3.2896099214635242</v>
      </c>
      <c r="W135" s="593">
        <f t="shared" si="749"/>
        <v>36.090994789105082</v>
      </c>
      <c r="X135" s="639">
        <f t="shared" si="750"/>
        <v>8.4677255386602255</v>
      </c>
      <c r="Y135" s="644">
        <f t="shared" si="751"/>
        <v>-3.2896099214635242</v>
      </c>
      <c r="Z135" s="638">
        <f t="shared" si="664"/>
        <v>0.52155839483752919</v>
      </c>
      <c r="AA135" s="639">
        <f t="shared" si="665"/>
        <v>-0.71547088275822834</v>
      </c>
      <c r="AB135" s="639">
        <f t="shared" si="666"/>
        <v>-0.46484218472473177</v>
      </c>
      <c r="AC135" s="643">
        <f t="shared" si="752"/>
        <v>1</v>
      </c>
      <c r="AD135" s="645">
        <f t="shared" si="753"/>
        <v>0.52155839483752919</v>
      </c>
      <c r="AE135" s="639">
        <f t="shared" si="754"/>
        <v>-0.71547088275822834</v>
      </c>
      <c r="AF135" s="640">
        <f t="shared" si="755"/>
        <v>-0.46484218472473177</v>
      </c>
      <c r="AG135" s="604">
        <f t="shared" si="756"/>
        <v>-56.988175211783826</v>
      </c>
      <c r="AH135" s="605">
        <f t="shared" si="757"/>
        <v>58.563156290335286</v>
      </c>
      <c r="AI135" s="593">
        <f t="shared" si="758"/>
        <v>-62.299991004994979</v>
      </c>
      <c r="AJ135" s="594">
        <f t="shared" si="759"/>
        <v>36.091009465505593</v>
      </c>
      <c r="AK135" s="642">
        <f t="shared" si="760"/>
        <v>2.2679489658505858E-7</v>
      </c>
      <c r="AL135" s="639">
        <f t="shared" si="761"/>
        <v>-0.88539355277768261</v>
      </c>
      <c r="AM135" s="641">
        <f t="shared" si="762"/>
        <v>-0.46484218472473177</v>
      </c>
      <c r="AN135" s="591">
        <f t="shared" si="763"/>
        <v>-62.299991004994219</v>
      </c>
      <c r="AO135" s="592">
        <f t="shared" si="742"/>
        <v>0</v>
      </c>
      <c r="AP135" s="593">
        <f t="shared" si="764"/>
        <v>-89.999985323599503</v>
      </c>
      <c r="AQ135" s="594">
        <f t="shared" si="667"/>
        <v>0.26922339930069122</v>
      </c>
      <c r="AS135" s="555">
        <f t="shared" si="737"/>
        <v>-323.90900521089492</v>
      </c>
      <c r="AT135" s="556">
        <f t="shared" si="668"/>
        <v>-3.0646731122892916</v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>Taper</v>
      </c>
      <c r="IF135" s="533" t="str">
        <f>IFERROR(IF((((($IW135*COS(RADIANS(180-$IY135)))*COS(RADIANS($IY135)))-(($IX135*SIN(RADIANS(180-$IY135)))*SIN(RADIANS($IY135))))+$IU135)&lt;(((Settings!$C$19+$IF$8)/2)*-1),"Gage",""),"")</f>
        <v>Gage</v>
      </c>
      <c r="IG135" s="847">
        <f t="shared" si="643"/>
        <v>6.2709999999999999</v>
      </c>
      <c r="IH135" s="731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0.17100000000000001</v>
      </c>
      <c r="II135" s="734" cm="1">
        <f t="array" ref="II135">IFERROR(ROUND(VALUE(IF($IH135&lt;1,$IH135+LARGE((IF($M$9:$M$150="",0,$M$9:$M$150)-MOD(IF($M$9:$M$150="",0,$M$9:$M$150),1)),1),$IH135)),4),"")</f>
        <v>6.1710000000000003</v>
      </c>
      <c r="IJ135" s="533">
        <f t="shared" si="542"/>
        <v>1613</v>
      </c>
      <c r="IK135" s="533" t="str">
        <f t="shared" si="713"/>
        <v>Inactive</v>
      </c>
      <c r="IL135" s="727">
        <f t="shared" si="647"/>
        <v>15.306997789942955</v>
      </c>
      <c r="IM135" s="759">
        <v>2.8735995901186298E-4</v>
      </c>
      <c r="IN135" s="5">
        <f t="shared" si="648"/>
        <v>0</v>
      </c>
      <c r="IO135" s="771">
        <v>0</v>
      </c>
      <c r="IP135" s="9">
        <f t="shared" si="649"/>
        <v>-8.4725255531370696</v>
      </c>
      <c r="IQ135" s="5">
        <f t="shared" si="650"/>
        <v>-3.2753098783345926</v>
      </c>
      <c r="IR135" s="5">
        <f t="shared" si="714"/>
        <v>0.314</v>
      </c>
      <c r="IS135" s="5">
        <f t="shared" si="651"/>
        <v>0.24459969340976648</v>
      </c>
      <c r="IT135" s="727">
        <f t="shared" si="652"/>
        <v>82.887420030696475</v>
      </c>
      <c r="IU135" s="9">
        <f t="shared" si="653"/>
        <v>-8.4677255386602255</v>
      </c>
      <c r="IV135" s="5">
        <f t="shared" si="654"/>
        <v>-3.2896099214635242</v>
      </c>
      <c r="IW135" s="5">
        <f t="shared" si="715"/>
        <v>0.26250000000000001</v>
      </c>
      <c r="IX135" s="5">
        <f t="shared" si="655"/>
        <v>0.26250000000000001</v>
      </c>
      <c r="IY135" s="762">
        <f t="shared" si="656"/>
        <v>62.299991004994219</v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0.93969262078590843</v>
      </c>
      <c r="F154" s="170">
        <f t="shared" si="929"/>
        <v>8.8521314413819635E-2</v>
      </c>
      <c r="G154" s="170">
        <f t="shared" si="929"/>
        <v>-0.33036609289538282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0.93969262078590843</v>
      </c>
      <c r="F155" s="170">
        <f t="shared" si="929"/>
        <v>8.8521314413819621E-2</v>
      </c>
      <c r="G155" s="170">
        <f t="shared" si="929"/>
        <v>-0.33036609289538282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0.93969262078590843</v>
      </c>
      <c r="F156" s="170">
        <f t="shared" si="929"/>
        <v>8.8521314413819635E-2</v>
      </c>
      <c r="G156" s="170">
        <f t="shared" si="929"/>
        <v>-0.33036609289538282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0.93969262078590843</v>
      </c>
      <c r="F157" s="170">
        <f t="shared" si="929"/>
        <v>8.8521314413819621E-2</v>
      </c>
      <c r="G157" s="170">
        <f t="shared" si="929"/>
        <v>-0.33036609289538282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0.93969262078590843</v>
      </c>
      <c r="F158" s="170">
        <f t="shared" si="929"/>
        <v>8.8521314413819621E-2</v>
      </c>
      <c r="G158" s="170">
        <f t="shared" si="929"/>
        <v>-0.33036609289538282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0.93969262078590843</v>
      </c>
      <c r="F159" s="170">
        <f t="shared" si="929"/>
        <v>8.8521314413819607E-2</v>
      </c>
      <c r="G159" s="170">
        <f t="shared" si="929"/>
        <v>-0.33036609289538282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0.93817451135558771</v>
      </c>
      <c r="F160" s="170">
        <f t="shared" si="929"/>
        <v>-4.5492620233974358E-2</v>
      </c>
      <c r="G160" s="170">
        <f t="shared" si="929"/>
        <v>-0.34316032367823601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0.93414060248805708</v>
      </c>
      <c r="F161" s="170">
        <f t="shared" si="929"/>
        <v>-0.1377279474702412</v>
      </c>
      <c r="G161" s="170">
        <f t="shared" si="929"/>
        <v>-0.32926030320839528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0.92720948825526517</v>
      </c>
      <c r="F162" s="170">
        <f t="shared" si="929"/>
        <v>-0.23023379131494376</v>
      </c>
      <c r="G162" s="170">
        <f t="shared" si="929"/>
        <v>-0.29542336777268691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0.89832459684683608</v>
      </c>
      <c r="F163" s="170">
        <f t="shared" si="929"/>
        <v>-0.33121108810032868</v>
      </c>
      <c r="G163" s="170">
        <f t="shared" si="929"/>
        <v>-0.28863841362397646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0.85736210128472257</v>
      </c>
      <c r="F164" s="170">
        <f t="shared" si="929"/>
        <v>-0.43557575951857797</v>
      </c>
      <c r="G164" s="170">
        <f t="shared" si="929"/>
        <v>-0.27423344982051195</v>
      </c>
      <c r="H164" s="139"/>
      <c r="I164" s="86"/>
      <c r="J164" s="79">
        <f t="shared" si="930"/>
        <v>1.1519999999999999</v>
      </c>
    </row>
    <row r="165" spans="5:16" x14ac:dyDescent="0.25">
      <c r="E165" s="170">
        <f t="shared" si="929"/>
        <v>0.82133006067542369</v>
      </c>
      <c r="F165" s="170">
        <f t="shared" si="929"/>
        <v>-0.52192637383646168</v>
      </c>
      <c r="G165" s="170">
        <f t="shared" si="929"/>
        <v>-0.23023855394965287</v>
      </c>
      <c r="H165" s="139"/>
      <c r="I165" s="86"/>
      <c r="J165" s="79">
        <f t="shared" si="930"/>
        <v>1.1579999999999999</v>
      </c>
    </row>
    <row r="166" spans="5:16" x14ac:dyDescent="0.25">
      <c r="E166" s="170">
        <f t="shared" si="929"/>
        <v>0.78474832893299373</v>
      </c>
      <c r="F166" s="170">
        <f t="shared" si="929"/>
        <v>-0.59803327216132018</v>
      </c>
      <c r="G166" s="170">
        <f t="shared" si="929"/>
        <v>-0.16286886020629732</v>
      </c>
      <c r="H166" s="139"/>
      <c r="I166" s="86"/>
      <c r="J166" s="79">
        <f t="shared" si="930"/>
        <v>1.1639999999999999</v>
      </c>
    </row>
    <row r="167" spans="5:16" x14ac:dyDescent="0.25">
      <c r="E167" s="170">
        <f t="shared" si="929"/>
        <v>0.73858706502975169</v>
      </c>
      <c r="F167" s="170">
        <f t="shared" si="929"/>
        <v>-0.66756159294726658</v>
      </c>
      <c r="G167" s="170">
        <f t="shared" si="929"/>
        <v>-9.4077983569193252E-2</v>
      </c>
      <c r="H167" s="139"/>
      <c r="I167" s="86"/>
      <c r="J167" s="79">
        <f t="shared" si="930"/>
        <v>1.17</v>
      </c>
    </row>
    <row r="168" spans="5:16" x14ac:dyDescent="0.25">
      <c r="E168" s="170">
        <f t="shared" si="929"/>
        <v>0.72325655462884741</v>
      </c>
      <c r="F168" s="170">
        <f t="shared" si="929"/>
        <v>-0.69057943510242759</v>
      </c>
      <c r="G168" s="170">
        <f t="shared" si="929"/>
        <v>-1.4578093227447363E-7</v>
      </c>
      <c r="H168" s="139"/>
      <c r="I168" s="86"/>
      <c r="J168" s="79">
        <f t="shared" si="930"/>
        <v>1.1759999999999999</v>
      </c>
    </row>
    <row r="169" spans="5:16" x14ac:dyDescent="0.25">
      <c r="E169" s="170">
        <f t="shared" si="929"/>
        <v>2.1833936068823681E-7</v>
      </c>
      <c r="F169" s="170">
        <f t="shared" si="929"/>
        <v>-6.1350213854861049E-8</v>
      </c>
      <c r="G169" s="170">
        <f t="shared" si="929"/>
        <v>-0.99999999999997435</v>
      </c>
      <c r="H169" s="139"/>
      <c r="I169" s="86"/>
      <c r="J169" s="79">
        <f t="shared" si="930"/>
        <v>1.228</v>
      </c>
    </row>
    <row r="170" spans="5:16" x14ac:dyDescent="0.25">
      <c r="E170" s="170">
        <f t="shared" si="929"/>
        <v>-2.8941076730115561E-2</v>
      </c>
      <c r="F170" s="170">
        <f t="shared" si="929"/>
        <v>-0.10404937076080492</v>
      </c>
      <c r="G170" s="170">
        <f t="shared" si="929"/>
        <v>-0.99415096565963368</v>
      </c>
      <c r="H170" s="139"/>
      <c r="I170" s="86"/>
      <c r="J170" s="79">
        <f t="shared" si="930"/>
        <v>1.234</v>
      </c>
    </row>
    <row r="171" spans="5:16" x14ac:dyDescent="0.25">
      <c r="E171" s="170">
        <f t="shared" si="929"/>
        <v>-7.297294458887732E-2</v>
      </c>
      <c r="F171" s="170">
        <f t="shared" si="929"/>
        <v>-0.25358216859619043</v>
      </c>
      <c r="G171" s="170">
        <f t="shared" si="929"/>
        <v>-0.96455742863143301</v>
      </c>
      <c r="H171" s="139"/>
      <c r="I171" s="86"/>
      <c r="J171" s="79">
        <f t="shared" si="930"/>
        <v>1.24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Inactive</v>
      </c>
    </row>
    <row r="172" spans="5:16" x14ac:dyDescent="0.25">
      <c r="E172" s="170">
        <f t="shared" si="929"/>
        <v>-0.12090321057887461</v>
      </c>
      <c r="F172" s="170">
        <f t="shared" si="929"/>
        <v>-0.39501599632037471</v>
      </c>
      <c r="G172" s="170">
        <f t="shared" si="929"/>
        <v>-0.91068368620654561</v>
      </c>
      <c r="H172" s="139"/>
      <c r="I172" s="86"/>
      <c r="J172" s="79">
        <f t="shared" si="930"/>
        <v>1.246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-0.16940664676444622</v>
      </c>
      <c r="F173" s="170">
        <f t="shared" si="929"/>
        <v>-0.52376555430511706</v>
      </c>
      <c r="G173" s="170">
        <f t="shared" si="929"/>
        <v>-0.83484790959520261</v>
      </c>
      <c r="H173" s="139"/>
      <c r="I173" s="86"/>
      <c r="J173" s="79">
        <f t="shared" si="930"/>
        <v>1.252</v>
      </c>
      <c r="O173" t="str">
        <f>IF($J24="","",IFERROR(INDEX(Settings!$AK$14:$AK$32,MATCH((((ROUND($H24,6)*2)*1000000)+ROUND($I24,6)),Settings!$AI$14:$AI$32,0)),"Undefined"))</f>
        <v>CPS-32106r1</v>
      </c>
    </row>
    <row r="174" spans="5:16" x14ac:dyDescent="0.25">
      <c r="E174" s="170">
        <f t="shared" ref="E174:G193" si="933">E29*-1</f>
        <v>-0.21096857052923987</v>
      </c>
      <c r="F174" s="170">
        <f t="shared" si="933"/>
        <v>-0.6350023034267066</v>
      </c>
      <c r="G174" s="170">
        <f t="shared" si="933"/>
        <v>-0.74314489629656066</v>
      </c>
      <c r="H174" s="139"/>
      <c r="I174" s="86"/>
      <c r="J174" s="79">
        <f t="shared" si="930"/>
        <v>1.258</v>
      </c>
    </row>
    <row r="175" spans="5:16" x14ac:dyDescent="0.25">
      <c r="E175" s="170">
        <f t="shared" si="933"/>
        <v>-0.25068022721458783</v>
      </c>
      <c r="F175" s="170">
        <f t="shared" si="933"/>
        <v>-0.74251917964819159</v>
      </c>
      <c r="G175" s="170">
        <f t="shared" si="933"/>
        <v>-0.62114788218122374</v>
      </c>
      <c r="H175" s="139"/>
      <c r="I175" s="86"/>
      <c r="J175" s="79">
        <f t="shared" si="930"/>
        <v>1.264</v>
      </c>
    </row>
    <row r="176" spans="5:16" x14ac:dyDescent="0.25">
      <c r="E176" s="170">
        <f t="shared" si="933"/>
        <v>-0.28288699217058727</v>
      </c>
      <c r="F176" s="170">
        <f t="shared" si="933"/>
        <v>-0.82581340032144068</v>
      </c>
      <c r="G176" s="170">
        <f t="shared" si="933"/>
        <v>-0.48785979288133419</v>
      </c>
      <c r="H176" s="139"/>
      <c r="I176" s="86"/>
      <c r="J176" s="79">
        <f t="shared" si="930"/>
        <v>1.27</v>
      </c>
    </row>
    <row r="177" spans="5:10" x14ac:dyDescent="0.25">
      <c r="E177" s="170">
        <f t="shared" si="933"/>
        <v>0.47735821324652822</v>
      </c>
      <c r="F177" s="170">
        <f t="shared" si="933"/>
        <v>-0.81424037047491171</v>
      </c>
      <c r="G177" s="170">
        <f t="shared" si="933"/>
        <v>-0.33036609289538277</v>
      </c>
      <c r="H177" s="139"/>
      <c r="I177" s="86"/>
      <c r="J177" s="79">
        <f t="shared" si="930"/>
        <v>2.1150000000000002</v>
      </c>
    </row>
    <row r="178" spans="5:10" x14ac:dyDescent="0.25">
      <c r="E178" s="170">
        <f t="shared" si="933"/>
        <v>0.47735821324652822</v>
      </c>
      <c r="F178" s="170">
        <f t="shared" si="933"/>
        <v>-0.81424037047491171</v>
      </c>
      <c r="G178" s="170">
        <f t="shared" si="933"/>
        <v>-0.33036609289538277</v>
      </c>
      <c r="H178" s="139"/>
      <c r="I178" s="86"/>
      <c r="J178" s="79">
        <f t="shared" si="930"/>
        <v>2.121</v>
      </c>
    </row>
    <row r="179" spans="5:10" x14ac:dyDescent="0.25">
      <c r="E179" s="170">
        <f t="shared" si="933"/>
        <v>0.37273013914083841</v>
      </c>
      <c r="F179" s="170">
        <f t="shared" si="933"/>
        <v>-0.86181198711032769</v>
      </c>
      <c r="G179" s="170">
        <f t="shared" si="933"/>
        <v>-0.34402375244886763</v>
      </c>
      <c r="H179" s="139"/>
      <c r="I179" s="86"/>
      <c r="J179" s="79">
        <f t="shared" si="930"/>
        <v>2.1269999999999998</v>
      </c>
    </row>
    <row r="180" spans="5:10" x14ac:dyDescent="0.25">
      <c r="E180" s="170">
        <f t="shared" si="933"/>
        <v>0.28492887482558105</v>
      </c>
      <c r="F180" s="170">
        <f t="shared" si="933"/>
        <v>-0.89882949180266269</v>
      </c>
      <c r="G180" s="170">
        <f t="shared" si="933"/>
        <v>-0.33304816612075144</v>
      </c>
      <c r="H180" s="139"/>
      <c r="I180" s="86"/>
      <c r="J180" s="79">
        <f t="shared" si="930"/>
        <v>2.133</v>
      </c>
    </row>
    <row r="181" spans="5:10" x14ac:dyDescent="0.25">
      <c r="E181" s="170">
        <f t="shared" si="933"/>
        <v>0.1971114308734683</v>
      </c>
      <c r="F181" s="170">
        <f t="shared" si="933"/>
        <v>-0.93262288723124132</v>
      </c>
      <c r="G181" s="170">
        <f t="shared" si="933"/>
        <v>-0.30226087082432168</v>
      </c>
      <c r="H181" s="139"/>
      <c r="I181" s="86"/>
      <c r="J181" s="79">
        <f t="shared" si="930"/>
        <v>2.1389999999999998</v>
      </c>
    </row>
    <row r="182" spans="5:10" x14ac:dyDescent="0.25">
      <c r="E182" s="170">
        <f t="shared" si="933"/>
        <v>9.3013058752916739E-2</v>
      </c>
      <c r="F182" s="170">
        <f t="shared" si="933"/>
        <v>-0.94970081081679403</v>
      </c>
      <c r="G182" s="170">
        <f t="shared" si="933"/>
        <v>-0.29902665572712839</v>
      </c>
      <c r="H182" s="139"/>
      <c r="I182" s="86"/>
      <c r="J182" s="79">
        <f t="shared" si="930"/>
        <v>2.145</v>
      </c>
    </row>
    <row r="183" spans="5:10" x14ac:dyDescent="0.25">
      <c r="E183" s="170">
        <f t="shared" si="933"/>
        <v>-1.0426749635343568E-2</v>
      </c>
      <c r="F183" s="170">
        <f t="shared" si="933"/>
        <v>-0.96170730932691928</v>
      </c>
      <c r="G183" s="170">
        <f t="shared" si="933"/>
        <v>-0.2738801454637031</v>
      </c>
      <c r="H183" s="139"/>
      <c r="I183" s="86"/>
      <c r="J183" s="79">
        <f t="shared" si="930"/>
        <v>2.1509999999999998</v>
      </c>
    </row>
    <row r="184" spans="5:10" x14ac:dyDescent="0.25">
      <c r="E184" s="170">
        <f t="shared" si="933"/>
        <v>-0.1066011186458566</v>
      </c>
      <c r="F184" s="170">
        <f t="shared" si="933"/>
        <v>-0.96745416933968842</v>
      </c>
      <c r="G184" s="170">
        <f t="shared" si="933"/>
        <v>-0.22949647433175432</v>
      </c>
      <c r="H184" s="139"/>
      <c r="I184" s="86"/>
      <c r="J184" s="79">
        <f t="shared" si="930"/>
        <v>2.157</v>
      </c>
    </row>
    <row r="185" spans="5:10" x14ac:dyDescent="0.25">
      <c r="E185" s="170">
        <f t="shared" si="933"/>
        <v>-0.20451765677101089</v>
      </c>
      <c r="F185" s="170">
        <f t="shared" si="933"/>
        <v>-0.96241824324281056</v>
      </c>
      <c r="G185" s="170">
        <f t="shared" si="933"/>
        <v>-0.17867191481124711</v>
      </c>
      <c r="H185" s="139"/>
      <c r="I185" s="86"/>
      <c r="J185" s="79">
        <f t="shared" si="930"/>
        <v>2.1629999999999998</v>
      </c>
    </row>
    <row r="186" spans="5:10" x14ac:dyDescent="0.25">
      <c r="E186" s="170">
        <f t="shared" si="933"/>
        <v>-0.27517432868961728</v>
      </c>
      <c r="F186" s="170">
        <f t="shared" si="933"/>
        <v>-0.95566691970463225</v>
      </c>
      <c r="G186" s="170">
        <f t="shared" si="933"/>
        <v>-0.10478467164847405</v>
      </c>
      <c r="H186" s="139"/>
      <c r="I186" s="86"/>
      <c r="J186" s="79">
        <f t="shared" si="930"/>
        <v>2.169</v>
      </c>
    </row>
    <row r="187" spans="5:10" x14ac:dyDescent="0.25">
      <c r="E187" s="170">
        <f t="shared" si="933"/>
        <v>-0.32021679593087687</v>
      </c>
      <c r="F187" s="170">
        <f t="shared" si="933"/>
        <v>-0.94734428989873687</v>
      </c>
      <c r="G187" s="170">
        <f t="shared" si="933"/>
        <v>-1.4578093221057161E-7</v>
      </c>
      <c r="H187" s="139"/>
      <c r="I187" s="86"/>
      <c r="J187" s="79">
        <f t="shared" si="930"/>
        <v>2.1749999999999998</v>
      </c>
    </row>
    <row r="188" spans="5:10" x14ac:dyDescent="0.25">
      <c r="E188" s="170">
        <f t="shared" si="933"/>
        <v>3.5184740671614095E-8</v>
      </c>
      <c r="F188" s="170">
        <f t="shared" si="933"/>
        <v>-2.2404901069563942E-7</v>
      </c>
      <c r="G188" s="170">
        <f t="shared" si="933"/>
        <v>-0.99999999999997435</v>
      </c>
      <c r="H188" s="139"/>
      <c r="I188" s="86"/>
      <c r="J188" s="79">
        <f t="shared" si="930"/>
        <v>2.2269999999999999</v>
      </c>
    </row>
    <row r="189" spans="5:10" x14ac:dyDescent="0.25">
      <c r="E189" s="170">
        <f t="shared" si="933"/>
        <v>-8.0886422988345669E-2</v>
      </c>
      <c r="F189" s="170">
        <f t="shared" si="933"/>
        <v>-1.3088309223416838E-2</v>
      </c>
      <c r="G189" s="170">
        <f t="shared" si="933"/>
        <v>-0.99663738778846878</v>
      </c>
      <c r="H189" s="139"/>
      <c r="I189" s="86"/>
      <c r="J189" s="79">
        <f t="shared" si="930"/>
        <v>2.2330000000000001</v>
      </c>
    </row>
    <row r="190" spans="5:10" x14ac:dyDescent="0.25">
      <c r="E190" s="170">
        <f t="shared" si="933"/>
        <v>-0.23575071903341968</v>
      </c>
      <c r="F190" s="170">
        <f t="shared" si="933"/>
        <v>-3.6328951931586181E-2</v>
      </c>
      <c r="G190" s="170">
        <f t="shared" si="933"/>
        <v>-0.97113428820466341</v>
      </c>
      <c r="H190" s="139"/>
      <c r="I190" s="86"/>
      <c r="J190" s="79">
        <f t="shared" si="930"/>
        <v>2.2389999999999999</v>
      </c>
    </row>
    <row r="191" spans="5:10" x14ac:dyDescent="0.25">
      <c r="E191" s="170">
        <f t="shared" si="933"/>
        <v>-0.38388552825550831</v>
      </c>
      <c r="F191" s="170">
        <f t="shared" si="933"/>
        <v>-5.2916820478314253E-2</v>
      </c>
      <c r="G191" s="170">
        <f t="shared" si="933"/>
        <v>-0.92186317385306993</v>
      </c>
      <c r="H191" s="139"/>
      <c r="I191" s="86"/>
      <c r="J191" s="79">
        <f t="shared" si="930"/>
        <v>2.2450000000000001</v>
      </c>
    </row>
    <row r="192" spans="5:10" x14ac:dyDescent="0.25">
      <c r="E192" s="170">
        <f t="shared" si="933"/>
        <v>-0.52449814859206678</v>
      </c>
      <c r="F192" s="170">
        <f t="shared" si="933"/>
        <v>-6.4410353208769727E-2</v>
      </c>
      <c r="G192" s="170">
        <f t="shared" si="933"/>
        <v>-0.8489717301082621</v>
      </c>
      <c r="H192" s="139"/>
      <c r="I192" s="86"/>
      <c r="J192" s="79">
        <f t="shared" si="930"/>
        <v>2.2509999999999999</v>
      </c>
    </row>
    <row r="193" spans="5:10" x14ac:dyDescent="0.25">
      <c r="E193" s="170">
        <f t="shared" si="933"/>
        <v>-0.6517384523882046</v>
      </c>
      <c r="F193" s="170">
        <f t="shared" si="933"/>
        <v>-7.5168722793667209E-2</v>
      </c>
      <c r="G193" s="170">
        <f t="shared" si="933"/>
        <v>-0.75470964800524243</v>
      </c>
      <c r="H193" s="139"/>
      <c r="I193" s="86"/>
      <c r="J193" s="79">
        <f t="shared" si="930"/>
        <v>2.2570000000000001</v>
      </c>
    </row>
    <row r="194" spans="5:10" x14ac:dyDescent="0.25">
      <c r="E194" s="170">
        <f t="shared" ref="E194:G213" si="934">E49*-1</f>
        <v>-0.76250685440817201</v>
      </c>
      <c r="F194" s="170">
        <f t="shared" si="934"/>
        <v>-8.4412930801490718E-2</v>
      </c>
      <c r="G194" s="170">
        <f t="shared" si="934"/>
        <v>-0.64144972842309145</v>
      </c>
      <c r="H194" s="139"/>
      <c r="I194" s="86"/>
      <c r="J194" s="79">
        <f t="shared" si="930"/>
        <v>2.2629999999999999</v>
      </c>
    </row>
    <row r="195" spans="5:10" x14ac:dyDescent="0.25">
      <c r="E195" s="170">
        <f t="shared" si="934"/>
        <v>-0.85410657177800076</v>
      </c>
      <c r="F195" s="170">
        <f t="shared" si="934"/>
        <v>-9.1180794876068158E-2</v>
      </c>
      <c r="G195" s="170">
        <f t="shared" si="934"/>
        <v>-0.51204299301074252</v>
      </c>
      <c r="H195" s="139"/>
      <c r="I195" s="86"/>
      <c r="J195" s="79">
        <f t="shared" si="930"/>
        <v>2.2690000000000001</v>
      </c>
    </row>
    <row r="196" spans="5:10" x14ac:dyDescent="0.25">
      <c r="E196" s="170">
        <f t="shared" si="934"/>
        <v>-0.46647361493434025</v>
      </c>
      <c r="F196" s="170">
        <f t="shared" si="934"/>
        <v>-0.82052459514333154</v>
      </c>
      <c r="G196" s="170">
        <f t="shared" si="934"/>
        <v>-0.33036609289538282</v>
      </c>
      <c r="H196" s="139"/>
      <c r="I196" s="86"/>
      <c r="J196" s="79">
        <f t="shared" si="930"/>
        <v>3.1030000000000002</v>
      </c>
    </row>
    <row r="197" spans="5:10" x14ac:dyDescent="0.25">
      <c r="E197" s="170">
        <f t="shared" si="934"/>
        <v>-0.46647361493434031</v>
      </c>
      <c r="F197" s="170">
        <f t="shared" si="934"/>
        <v>-0.82052459514333154</v>
      </c>
      <c r="G197" s="170">
        <f t="shared" si="934"/>
        <v>-0.33036609289538282</v>
      </c>
      <c r="H197" s="139"/>
      <c r="I197" s="86"/>
      <c r="J197" s="79">
        <f t="shared" si="930"/>
        <v>3.1059999999999999</v>
      </c>
    </row>
    <row r="198" spans="5:10" x14ac:dyDescent="0.25">
      <c r="E198" s="170">
        <f t="shared" si="934"/>
        <v>-0.46647361493434031</v>
      </c>
      <c r="F198" s="170">
        <f t="shared" si="934"/>
        <v>-0.82052459514333154</v>
      </c>
      <c r="G198" s="170">
        <f t="shared" si="934"/>
        <v>-0.33036609289538282</v>
      </c>
      <c r="H198" s="139"/>
      <c r="I198" s="86"/>
      <c r="J198" s="79">
        <f t="shared" si="930"/>
        <v>3.109</v>
      </c>
    </row>
    <row r="199" spans="5:10" x14ac:dyDescent="0.25">
      <c r="E199" s="170">
        <f t="shared" si="934"/>
        <v>-0.46647361493434036</v>
      </c>
      <c r="F199" s="170">
        <f t="shared" si="934"/>
        <v>-0.82052459514333154</v>
      </c>
      <c r="G199" s="170">
        <f t="shared" si="934"/>
        <v>-0.33036609289538282</v>
      </c>
      <c r="H199" s="139"/>
      <c r="I199" s="86"/>
      <c r="J199" s="79">
        <f t="shared" si="930"/>
        <v>3.1139999999999999</v>
      </c>
    </row>
    <row r="200" spans="5:10" x14ac:dyDescent="0.25">
      <c r="E200" s="170">
        <f t="shared" si="934"/>
        <v>-0.4664736149343402</v>
      </c>
      <c r="F200" s="170">
        <f t="shared" si="934"/>
        <v>-0.82052459514333154</v>
      </c>
      <c r="G200" s="170">
        <f t="shared" si="934"/>
        <v>-0.33036609289538277</v>
      </c>
      <c r="H200" s="139"/>
      <c r="I200" s="86"/>
      <c r="J200" s="79">
        <f t="shared" si="930"/>
        <v>3.12</v>
      </c>
    </row>
    <row r="201" spans="5:10" x14ac:dyDescent="0.25">
      <c r="E201" s="170">
        <f t="shared" si="934"/>
        <v>-0.54471820734398457</v>
      </c>
      <c r="F201" s="170">
        <f t="shared" si="934"/>
        <v>-0.76479590817440968</v>
      </c>
      <c r="G201" s="170">
        <f t="shared" si="934"/>
        <v>-0.34404838820671091</v>
      </c>
      <c r="H201" s="139"/>
      <c r="I201" s="86"/>
      <c r="J201" s="79">
        <f t="shared" si="930"/>
        <v>3.1259999999999999</v>
      </c>
    </row>
    <row r="202" spans="5:10" x14ac:dyDescent="0.25">
      <c r="E202" s="170">
        <f t="shared" si="934"/>
        <v>-0.62267217226273075</v>
      </c>
      <c r="F202" s="170">
        <f t="shared" si="934"/>
        <v>-0.70645546767915923</v>
      </c>
      <c r="G202" s="170">
        <f t="shared" si="934"/>
        <v>-0.33645213340954261</v>
      </c>
      <c r="H202" s="139"/>
      <c r="I202" s="86"/>
      <c r="J202" s="79">
        <f t="shared" si="930"/>
        <v>3.1320000000000001</v>
      </c>
    </row>
    <row r="203" spans="5:10" x14ac:dyDescent="0.25">
      <c r="E203" s="170">
        <f t="shared" si="934"/>
        <v>-0.69715005605993141</v>
      </c>
      <c r="F203" s="170">
        <f t="shared" si="934"/>
        <v>-0.64704474420523472</v>
      </c>
      <c r="G203" s="170">
        <f t="shared" si="934"/>
        <v>-0.30873111008127629</v>
      </c>
      <c r="H203" s="139"/>
      <c r="I203" s="86"/>
      <c r="J203" s="79">
        <f t="shared" si="930"/>
        <v>3.1379999999999999</v>
      </c>
    </row>
    <row r="204" spans="5:10" x14ac:dyDescent="0.25">
      <c r="E204" s="170">
        <f t="shared" si="934"/>
        <v>-0.76466981594885142</v>
      </c>
      <c r="F204" s="170">
        <f t="shared" si="934"/>
        <v>-0.57363040860555614</v>
      </c>
      <c r="G204" s="170">
        <f t="shared" si="934"/>
        <v>-0.29364643178450622</v>
      </c>
      <c r="H204" s="139"/>
      <c r="I204" s="86"/>
      <c r="J204" s="79">
        <f t="shared" si="930"/>
        <v>3.1440000000000001</v>
      </c>
    </row>
    <row r="205" spans="5:10" x14ac:dyDescent="0.25">
      <c r="E205" s="170">
        <f t="shared" si="934"/>
        <v>-0.82919568436240909</v>
      </c>
      <c r="F205" s="170">
        <f t="shared" si="934"/>
        <v>-0.4802249709045307</v>
      </c>
      <c r="G205" s="170">
        <f t="shared" si="934"/>
        <v>-0.28603932309124674</v>
      </c>
      <c r="H205" s="139"/>
      <c r="I205" s="86"/>
      <c r="J205" s="79">
        <f t="shared" si="930"/>
        <v>3.15</v>
      </c>
    </row>
    <row r="206" spans="5:10" x14ac:dyDescent="0.25">
      <c r="E206" s="170">
        <f t="shared" si="934"/>
        <v>-0.8843472267385637</v>
      </c>
      <c r="F206" s="170">
        <f t="shared" si="934"/>
        <v>-0.39815010792319172</v>
      </c>
      <c r="G206" s="170">
        <f t="shared" si="934"/>
        <v>-0.24373443359640901</v>
      </c>
      <c r="H206" s="139"/>
      <c r="I206" s="86"/>
      <c r="J206" s="79">
        <f t="shared" si="930"/>
        <v>3.1560000000000001</v>
      </c>
    </row>
    <row r="207" spans="5:10" x14ac:dyDescent="0.25">
      <c r="E207" s="170">
        <f t="shared" si="934"/>
        <v>-0.92822566876355928</v>
      </c>
      <c r="F207" s="170">
        <f t="shared" si="934"/>
        <v>-0.32275900331498925</v>
      </c>
      <c r="G207" s="170">
        <f t="shared" si="934"/>
        <v>-0.18499657734011724</v>
      </c>
      <c r="H207" s="139"/>
      <c r="I207" s="86"/>
      <c r="J207" s="79">
        <f t="shared" si="930"/>
        <v>3.1619999999999999</v>
      </c>
    </row>
    <row r="208" spans="5:10" x14ac:dyDescent="0.25">
      <c r="E208" s="170">
        <f t="shared" si="934"/>
        <v>-0.96266274149745634</v>
      </c>
      <c r="F208" s="170">
        <f t="shared" si="934"/>
        <v>-0.24200282120588718</v>
      </c>
      <c r="G208" s="170">
        <f t="shared" si="934"/>
        <v>-0.12130573218522291</v>
      </c>
      <c r="H208" s="139"/>
      <c r="I208" s="86"/>
      <c r="J208" s="79">
        <f t="shared" si="930"/>
        <v>3.1680000000000001</v>
      </c>
    </row>
    <row r="209" spans="5:10" x14ac:dyDescent="0.25">
      <c r="E209" s="170">
        <f t="shared" si="934"/>
        <v>-0.98053258945946387</v>
      </c>
      <c r="F209" s="170">
        <f t="shared" si="934"/>
        <v>-0.19635641320796554</v>
      </c>
      <c r="G209" s="170">
        <f t="shared" si="934"/>
        <v>-1.4578093144996877E-7</v>
      </c>
      <c r="H209" s="139"/>
      <c r="I209" s="86"/>
      <c r="J209" s="79">
        <f t="shared" si="930"/>
        <v>3.1739999999999999</v>
      </c>
    </row>
    <row r="210" spans="5:10" x14ac:dyDescent="0.25">
      <c r="E210" s="170">
        <f t="shared" si="934"/>
        <v>-1.7744601854678528E-7</v>
      </c>
      <c r="F210" s="170">
        <f t="shared" si="934"/>
        <v>-1.4124034724957469E-7</v>
      </c>
      <c r="G210" s="170">
        <f t="shared" si="934"/>
        <v>-0.99999999999997435</v>
      </c>
      <c r="H210" s="139"/>
      <c r="I210" s="86"/>
      <c r="J210" s="79">
        <f t="shared" si="930"/>
        <v>3.226</v>
      </c>
    </row>
    <row r="211" spans="5:10" x14ac:dyDescent="0.25">
      <c r="E211" s="170">
        <f t="shared" si="934"/>
        <v>-3.3961922183580726E-2</v>
      </c>
      <c r="F211" s="170">
        <f t="shared" si="934"/>
        <v>4.2084498474118368E-2</v>
      </c>
      <c r="G211" s="170">
        <f t="shared" si="934"/>
        <v>-0.99853667074864028</v>
      </c>
      <c r="H211" s="139"/>
      <c r="I211" s="86"/>
      <c r="J211" s="79">
        <f t="shared" si="930"/>
        <v>3.2320000000000002</v>
      </c>
    </row>
    <row r="212" spans="5:10" x14ac:dyDescent="0.25">
      <c r="E212" s="170">
        <f t="shared" si="934"/>
        <v>-0.13280975687441138</v>
      </c>
      <c r="F212" s="170">
        <f t="shared" si="934"/>
        <v>0.16656380474979057</v>
      </c>
      <c r="G212" s="170">
        <f t="shared" si="934"/>
        <v>-0.97704558103817929</v>
      </c>
      <c r="H212" s="139"/>
      <c r="I212" s="86"/>
      <c r="J212" s="79">
        <f t="shared" si="930"/>
        <v>3.238</v>
      </c>
    </row>
    <row r="213" spans="5:10" x14ac:dyDescent="0.25">
      <c r="E213" s="170">
        <f t="shared" si="934"/>
        <v>-0.22226633611167654</v>
      </c>
      <c r="F213" s="170">
        <f t="shared" si="934"/>
        <v>0.28731358467795054</v>
      </c>
      <c r="G213" s="170">
        <f t="shared" si="934"/>
        <v>-0.93169124708295792</v>
      </c>
      <c r="H213" s="139"/>
      <c r="I213" s="86"/>
      <c r="J213" s="79">
        <f t="shared" si="930"/>
        <v>3.2440000000000002</v>
      </c>
    </row>
    <row r="214" spans="5:10" x14ac:dyDescent="0.25">
      <c r="E214" s="170">
        <f t="shared" ref="E214:G233" si="935">E69*-1</f>
        <v>-0.30383847737963221</v>
      </c>
      <c r="F214" s="170">
        <f t="shared" si="935"/>
        <v>0.40466317255588191</v>
      </c>
      <c r="G214" s="170">
        <f t="shared" si="935"/>
        <v>-0.8625137079725953</v>
      </c>
      <c r="H214" s="139"/>
      <c r="I214" s="86"/>
      <c r="J214" s="79">
        <f t="shared" si="930"/>
        <v>3.25</v>
      </c>
    </row>
    <row r="215" spans="5:10" x14ac:dyDescent="0.25">
      <c r="E215" s="170">
        <f t="shared" si="935"/>
        <v>-0.37849555656138117</v>
      </c>
      <c r="F215" s="170">
        <f t="shared" si="935"/>
        <v>0.51121083543493007</v>
      </c>
      <c r="G215" s="170">
        <f t="shared" si="935"/>
        <v>-0.77162464670149777</v>
      </c>
      <c r="H215" s="139"/>
      <c r="I215" s="86"/>
      <c r="J215" s="79">
        <f t="shared" si="930"/>
        <v>3.2559999999999998</v>
      </c>
    </row>
    <row r="216" spans="5:10" x14ac:dyDescent="0.25">
      <c r="E216" s="170">
        <f t="shared" si="935"/>
        <v>-0.44403323847252485</v>
      </c>
      <c r="F216" s="170">
        <f t="shared" si="935"/>
        <v>0.6045667691911597</v>
      </c>
      <c r="G216" s="170">
        <f t="shared" si="935"/>
        <v>-0.6613119571891658</v>
      </c>
      <c r="H216" s="139"/>
      <c r="I216" s="86"/>
      <c r="J216" s="79">
        <f t="shared" si="930"/>
        <v>3.262</v>
      </c>
    </row>
    <row r="217" spans="5:10" x14ac:dyDescent="0.25">
      <c r="E217" s="170">
        <f t="shared" si="935"/>
        <v>-0.4978222975841492</v>
      </c>
      <c r="F217" s="170">
        <f t="shared" si="935"/>
        <v>0.68311082218334696</v>
      </c>
      <c r="G217" s="170">
        <f t="shared" si="935"/>
        <v>-0.53435247229149274</v>
      </c>
      <c r="H217" s="139"/>
      <c r="I217" s="86"/>
      <c r="J217" s="79">
        <f t="shared" si="930"/>
        <v>3.2679999999999998</v>
      </c>
    </row>
    <row r="218" spans="5:10" x14ac:dyDescent="0.25">
      <c r="E218" s="170">
        <f t="shared" si="935"/>
        <v>-0.94078811077345315</v>
      </c>
      <c r="F218" s="170">
        <f t="shared" si="935"/>
        <v>7.5999837449538782E-2</v>
      </c>
      <c r="G218" s="170">
        <f t="shared" si="935"/>
        <v>-0.33036609289538277</v>
      </c>
      <c r="H218" s="139"/>
      <c r="I218" s="86"/>
      <c r="J218" s="79">
        <f t="shared" si="930"/>
        <v>4.1130000000000004</v>
      </c>
    </row>
    <row r="219" spans="5:10" x14ac:dyDescent="0.25">
      <c r="E219" s="170">
        <f t="shared" si="935"/>
        <v>-0.94078811077345315</v>
      </c>
      <c r="F219" s="170">
        <f t="shared" si="935"/>
        <v>7.5999837449538823E-2</v>
      </c>
      <c r="G219" s="170">
        <f t="shared" si="935"/>
        <v>-0.33036609289538277</v>
      </c>
      <c r="H219" s="139"/>
      <c r="I219" s="86"/>
      <c r="J219" s="79">
        <f t="shared" ref="J219:J282" si="936">J74</f>
        <v>4.1189999999999998</v>
      </c>
    </row>
    <row r="220" spans="5:10" x14ac:dyDescent="0.25">
      <c r="E220" s="170">
        <f t="shared" si="935"/>
        <v>-0.9268469556142348</v>
      </c>
      <c r="F220" s="170">
        <f t="shared" si="935"/>
        <v>0.15212154026121172</v>
      </c>
      <c r="G220" s="170">
        <f t="shared" si="935"/>
        <v>-0.34324008777702741</v>
      </c>
      <c r="H220" s="139"/>
      <c r="I220" s="86"/>
      <c r="J220" s="79">
        <f t="shared" si="936"/>
        <v>4.125</v>
      </c>
    </row>
    <row r="221" spans="5:10" x14ac:dyDescent="0.25">
      <c r="E221" s="170">
        <f t="shared" si="935"/>
        <v>-0.90694971146161263</v>
      </c>
      <c r="F221" s="170">
        <f t="shared" si="935"/>
        <v>0.24988973950157273</v>
      </c>
      <c r="G221" s="170">
        <f t="shared" si="935"/>
        <v>-0.33911257566114245</v>
      </c>
      <c r="H221" s="139"/>
      <c r="I221" s="86"/>
      <c r="J221" s="79">
        <f t="shared" si="936"/>
        <v>4.1310000000000002</v>
      </c>
    </row>
    <row r="222" spans="5:10" x14ac:dyDescent="0.25">
      <c r="E222" s="170">
        <f t="shared" si="935"/>
        <v>-0.88481131634920251</v>
      </c>
      <c r="F222" s="170">
        <f t="shared" si="935"/>
        <v>0.34354154782773211</v>
      </c>
      <c r="G222" s="170">
        <f t="shared" si="935"/>
        <v>-0.31478268595416353</v>
      </c>
      <c r="H222" s="139"/>
      <c r="I222" s="86"/>
      <c r="J222" s="79">
        <f t="shared" si="936"/>
        <v>4.1369999999999996</v>
      </c>
    </row>
    <row r="223" spans="5:10" x14ac:dyDescent="0.25">
      <c r="E223" s="170">
        <f t="shared" si="935"/>
        <v>-0.84707675536127969</v>
      </c>
      <c r="F223" s="170">
        <f t="shared" si="935"/>
        <v>0.43695317094821712</v>
      </c>
      <c r="G223" s="170">
        <f t="shared" si="935"/>
        <v>-0.30254404129796525</v>
      </c>
      <c r="H223" s="139"/>
      <c r="I223" s="86"/>
      <c r="J223" s="79">
        <f t="shared" si="936"/>
        <v>4.1429999999999998</v>
      </c>
    </row>
    <row r="224" spans="5:10" x14ac:dyDescent="0.25">
      <c r="E224" s="170">
        <f t="shared" si="935"/>
        <v>-0.79849807254409766</v>
      </c>
      <c r="F224" s="170">
        <f t="shared" si="935"/>
        <v>0.53061876970450872</v>
      </c>
      <c r="G224" s="170">
        <f t="shared" si="935"/>
        <v>-0.28433175935979205</v>
      </c>
      <c r="H224" s="139"/>
      <c r="I224" s="86"/>
      <c r="J224" s="79">
        <f t="shared" si="936"/>
        <v>4.149</v>
      </c>
    </row>
    <row r="225" spans="5:10" x14ac:dyDescent="0.25">
      <c r="E225" s="170">
        <f t="shared" si="935"/>
        <v>-0.74817300794477681</v>
      </c>
      <c r="F225" s="170">
        <f t="shared" si="935"/>
        <v>0.61591889627557617</v>
      </c>
      <c r="G225" s="170">
        <f t="shared" si="935"/>
        <v>-0.24674088310116177</v>
      </c>
      <c r="H225" s="139"/>
      <c r="I225" s="86"/>
      <c r="J225" s="79">
        <f t="shared" si="936"/>
        <v>4.1550000000000002</v>
      </c>
    </row>
    <row r="226" spans="5:10" x14ac:dyDescent="0.25">
      <c r="E226" s="170">
        <f t="shared" si="935"/>
        <v>-0.68735419554893995</v>
      </c>
      <c r="F226" s="170">
        <f t="shared" si="935"/>
        <v>0.69783477682252359</v>
      </c>
      <c r="G226" s="170">
        <f t="shared" si="935"/>
        <v>-0.20142202987341892</v>
      </c>
      <c r="H226" s="139"/>
      <c r="I226" s="86"/>
      <c r="J226" s="79">
        <f t="shared" si="936"/>
        <v>4.1609999999999996</v>
      </c>
    </row>
    <row r="227" spans="5:10" x14ac:dyDescent="0.25">
      <c r="E227" s="170">
        <f t="shared" si="935"/>
        <v>-0.63986122249231969</v>
      </c>
      <c r="F227" s="170">
        <f t="shared" si="935"/>
        <v>0.75738126096044134</v>
      </c>
      <c r="G227" s="170">
        <f t="shared" si="935"/>
        <v>-0.13019693351460351</v>
      </c>
      <c r="H227" s="139"/>
      <c r="I227" s="86"/>
      <c r="J227" s="79">
        <f t="shared" si="936"/>
        <v>4.1669999999999998</v>
      </c>
    </row>
    <row r="228" spans="5:10" x14ac:dyDescent="0.25">
      <c r="E228" s="170">
        <f t="shared" si="935"/>
        <v>-0.58383404877410061</v>
      </c>
      <c r="F228" s="170">
        <f t="shared" si="935"/>
        <v>0.80970669798246142</v>
      </c>
      <c r="G228" s="170">
        <f t="shared" si="935"/>
        <v>-5.9269441826122066E-2</v>
      </c>
      <c r="H228" s="139"/>
      <c r="I228" s="86"/>
      <c r="J228" s="79">
        <f t="shared" si="936"/>
        <v>4.173</v>
      </c>
    </row>
    <row r="229" spans="5:10" x14ac:dyDescent="0.25">
      <c r="E229" s="170">
        <f t="shared" si="935"/>
        <v>-0.59235045682992149</v>
      </c>
      <c r="F229" s="170">
        <f t="shared" si="935"/>
        <v>0.80568041821392322</v>
      </c>
      <c r="G229" s="170">
        <f t="shared" si="935"/>
        <v>-1.4578093154616199E-7</v>
      </c>
      <c r="H229" s="139"/>
      <c r="I229" s="86"/>
      <c r="J229" s="79">
        <f t="shared" si="936"/>
        <v>4.1790000000000003</v>
      </c>
    </row>
    <row r="230" spans="5:10" x14ac:dyDescent="0.25">
      <c r="E230" s="170">
        <f t="shared" si="935"/>
        <v>1.1686193154719918E-2</v>
      </c>
      <c r="F230" s="170">
        <f t="shared" si="935"/>
        <v>2.5358441859551332E-2</v>
      </c>
      <c r="G230" s="170">
        <f t="shared" si="935"/>
        <v>-0.99961011515290621</v>
      </c>
      <c r="H230" s="139"/>
      <c r="I230" s="86"/>
      <c r="J230" s="79">
        <f t="shared" si="936"/>
        <v>4.2309999999999999</v>
      </c>
    </row>
    <row r="231" spans="5:10" x14ac:dyDescent="0.25">
      <c r="E231" s="170">
        <f t="shared" si="935"/>
        <v>7.8149510286379717E-2</v>
      </c>
      <c r="F231" s="170">
        <f t="shared" si="935"/>
        <v>0.16841833710278994</v>
      </c>
      <c r="G231" s="170">
        <f t="shared" si="935"/>
        <v>-0.98261280154979158</v>
      </c>
      <c r="H231" s="139"/>
      <c r="I231" s="86"/>
      <c r="J231" s="79">
        <f t="shared" si="936"/>
        <v>4.2370000000000001</v>
      </c>
    </row>
    <row r="232" spans="5:10" x14ac:dyDescent="0.25">
      <c r="E232" s="170">
        <f t="shared" si="935"/>
        <v>0.14662279067587228</v>
      </c>
      <c r="F232" s="170">
        <f t="shared" si="935"/>
        <v>0.30536061314842244</v>
      </c>
      <c r="G232" s="170">
        <f t="shared" si="935"/>
        <v>-0.94088078585548707</v>
      </c>
      <c r="H232" s="139"/>
      <c r="I232" s="86"/>
      <c r="J232" s="79">
        <f t="shared" si="936"/>
        <v>4.2430000000000003</v>
      </c>
    </row>
    <row r="233" spans="5:10" x14ac:dyDescent="0.25">
      <c r="E233" s="170">
        <f t="shared" si="935"/>
        <v>0.21735057218992088</v>
      </c>
      <c r="F233" s="170">
        <f t="shared" si="935"/>
        <v>0.4316486176373347</v>
      </c>
      <c r="G233" s="170">
        <f t="shared" si="935"/>
        <v>-0.87546456219569047</v>
      </c>
      <c r="H233" s="139"/>
      <c r="I233" s="86"/>
      <c r="J233" s="79">
        <f t="shared" si="936"/>
        <v>4.2489999999999997</v>
      </c>
    </row>
    <row r="234" spans="5:10" x14ac:dyDescent="0.25">
      <c r="E234" s="170">
        <f t="shared" ref="E234:G253" si="937">E89*-1</f>
        <v>0.28565377158998984</v>
      </c>
      <c r="F234" s="170">
        <f t="shared" si="937"/>
        <v>0.54382730461916284</v>
      </c>
      <c r="G234" s="170">
        <f t="shared" si="937"/>
        <v>-0.78908414350249767</v>
      </c>
      <c r="H234" s="139"/>
      <c r="I234" s="86"/>
      <c r="J234" s="79">
        <f t="shared" si="936"/>
        <v>4.2549999999999999</v>
      </c>
    </row>
    <row r="235" spans="5:10" x14ac:dyDescent="0.25">
      <c r="E235" s="170">
        <f t="shared" si="937"/>
        <v>0.34636085551892815</v>
      </c>
      <c r="F235" s="170">
        <f t="shared" si="937"/>
        <v>0.64413684608742439</v>
      </c>
      <c r="G235" s="170">
        <f t="shared" si="937"/>
        <v>-0.68199844668205956</v>
      </c>
      <c r="H235" s="139"/>
      <c r="I235" s="86"/>
      <c r="J235" s="79">
        <f t="shared" si="936"/>
        <v>4.2610000000000001</v>
      </c>
    </row>
    <row r="236" spans="5:10" x14ac:dyDescent="0.25">
      <c r="E236" s="170">
        <f t="shared" si="937"/>
        <v>0.39794597663541392</v>
      </c>
      <c r="F236" s="170">
        <f t="shared" si="937"/>
        <v>0.72950260926186661</v>
      </c>
      <c r="G236" s="170">
        <f t="shared" si="937"/>
        <v>-0.55629573318498071</v>
      </c>
      <c r="H236" s="139"/>
      <c r="I236" s="86"/>
      <c r="J236" s="79">
        <f t="shared" si="936"/>
        <v>4.2670000000000003</v>
      </c>
    </row>
    <row r="237" spans="5:10" x14ac:dyDescent="0.25">
      <c r="E237" s="170">
        <f t="shared" si="937"/>
        <v>0.43828097808397931</v>
      </c>
      <c r="F237" s="170">
        <f t="shared" si="937"/>
        <v>0.79328649529520889</v>
      </c>
      <c r="G237" s="170">
        <f t="shared" si="937"/>
        <v>-0.42261841019055846</v>
      </c>
      <c r="H237" s="139"/>
      <c r="I237" s="86"/>
      <c r="J237" s="79">
        <f t="shared" si="936"/>
        <v>4.2729999999999997</v>
      </c>
    </row>
    <row r="238" spans="5:10" x14ac:dyDescent="0.25">
      <c r="E238" s="170">
        <f t="shared" si="937"/>
        <v>-0.47735858257760028</v>
      </c>
      <c r="F238" s="170">
        <f t="shared" si="937"/>
        <v>0.81424015395001481</v>
      </c>
      <c r="G238" s="170">
        <f t="shared" si="937"/>
        <v>-0.33036609289538282</v>
      </c>
      <c r="H238" s="139"/>
      <c r="I238" s="86"/>
      <c r="J238" s="79">
        <f t="shared" si="936"/>
        <v>5.1020000000000003</v>
      </c>
    </row>
    <row r="239" spans="5:10" x14ac:dyDescent="0.25">
      <c r="E239" s="170">
        <f t="shared" si="937"/>
        <v>-0.47735858257760022</v>
      </c>
      <c r="F239" s="170">
        <f t="shared" si="937"/>
        <v>0.81424015395001481</v>
      </c>
      <c r="G239" s="170">
        <f t="shared" si="937"/>
        <v>-0.33036609289538277</v>
      </c>
      <c r="H239" s="139"/>
      <c r="I239" s="86"/>
      <c r="J239" s="79">
        <f t="shared" si="936"/>
        <v>5.1050000000000004</v>
      </c>
    </row>
    <row r="240" spans="5:10" x14ac:dyDescent="0.25">
      <c r="E240" s="170">
        <f t="shared" si="937"/>
        <v>-0.47735858257760039</v>
      </c>
      <c r="F240" s="170">
        <f t="shared" si="937"/>
        <v>0.81424015395001481</v>
      </c>
      <c r="G240" s="170">
        <f t="shared" si="937"/>
        <v>-0.33036609289538277</v>
      </c>
      <c r="H240" s="139"/>
      <c r="I240" s="86"/>
      <c r="J240" s="79">
        <f t="shared" si="936"/>
        <v>5.1079999999999997</v>
      </c>
    </row>
    <row r="241" spans="5:10" x14ac:dyDescent="0.25">
      <c r="E241" s="170">
        <f t="shared" si="937"/>
        <v>-0.47735858257760028</v>
      </c>
      <c r="F241" s="170">
        <f t="shared" si="937"/>
        <v>0.8142401539500147</v>
      </c>
      <c r="G241" s="170">
        <f t="shared" si="937"/>
        <v>-0.33036609289538277</v>
      </c>
      <c r="H241" s="139"/>
      <c r="I241" s="86"/>
      <c r="J241" s="79">
        <f t="shared" si="936"/>
        <v>5.1120000000000001</v>
      </c>
    </row>
    <row r="242" spans="5:10" x14ac:dyDescent="0.25">
      <c r="E242" s="170">
        <f t="shared" si="937"/>
        <v>-0.47735858257760028</v>
      </c>
      <c r="F242" s="170">
        <f t="shared" si="937"/>
        <v>0.8142401539500147</v>
      </c>
      <c r="G242" s="170">
        <f t="shared" si="937"/>
        <v>-0.33036609289538277</v>
      </c>
      <c r="H242" s="139"/>
      <c r="I242" s="86"/>
      <c r="J242" s="79">
        <f t="shared" si="936"/>
        <v>5.1180000000000003</v>
      </c>
    </row>
    <row r="243" spans="5:10" x14ac:dyDescent="0.25">
      <c r="E243" s="170">
        <f t="shared" si="937"/>
        <v>-0.4509576987792886</v>
      </c>
      <c r="F243" s="170">
        <f t="shared" si="937"/>
        <v>0.82655107893281266</v>
      </c>
      <c r="G243" s="170">
        <f t="shared" si="937"/>
        <v>-0.33682409033008892</v>
      </c>
      <c r="H243" s="139"/>
      <c r="I243" s="86"/>
      <c r="J243" s="79">
        <f t="shared" si="936"/>
        <v>5.1239999999999997</v>
      </c>
    </row>
    <row r="244" spans="5:10" x14ac:dyDescent="0.25">
      <c r="E244" s="170">
        <f t="shared" si="937"/>
        <v>-0.3310417374175566</v>
      </c>
      <c r="F244" s="170">
        <f t="shared" si="937"/>
        <v>0.87972007773726235</v>
      </c>
      <c r="G244" s="170">
        <f t="shared" si="937"/>
        <v>-0.34132675387890543</v>
      </c>
      <c r="H244" s="139"/>
      <c r="I244" s="86"/>
      <c r="J244" s="79">
        <f t="shared" si="936"/>
        <v>5.13</v>
      </c>
    </row>
    <row r="245" spans="5:10" x14ac:dyDescent="0.25">
      <c r="E245" s="170">
        <f t="shared" si="937"/>
        <v>-0.24058360061379325</v>
      </c>
      <c r="F245" s="170">
        <f t="shared" si="937"/>
        <v>0.91631825806991463</v>
      </c>
      <c r="G245" s="170">
        <f t="shared" si="937"/>
        <v>-0.3201255707428261</v>
      </c>
      <c r="H245" s="139"/>
      <c r="I245" s="86"/>
      <c r="J245" s="79">
        <f t="shared" si="936"/>
        <v>5.1360000000000001</v>
      </c>
    </row>
    <row r="246" spans="5:10" x14ac:dyDescent="0.25">
      <c r="E246" s="170">
        <f t="shared" si="937"/>
        <v>-0.14895157496190464</v>
      </c>
      <c r="F246" s="170">
        <f t="shared" si="937"/>
        <v>0.94358240340689692</v>
      </c>
      <c r="G246" s="170">
        <f t="shared" si="937"/>
        <v>-0.29574596581734158</v>
      </c>
      <c r="H246" s="139"/>
      <c r="I246" s="86"/>
      <c r="J246" s="79">
        <f t="shared" si="936"/>
        <v>5.1420000000000003</v>
      </c>
    </row>
    <row r="247" spans="5:10" x14ac:dyDescent="0.25">
      <c r="E247" s="170">
        <f t="shared" si="937"/>
        <v>-4.5219029359287427E-2</v>
      </c>
      <c r="F247" s="170">
        <f t="shared" si="937"/>
        <v>0.95841148317589187</v>
      </c>
      <c r="G247" s="170">
        <f t="shared" si="937"/>
        <v>-0.28178479075420515</v>
      </c>
      <c r="H247" s="139"/>
      <c r="I247" s="86"/>
      <c r="J247" s="79">
        <f t="shared" si="936"/>
        <v>5.1479999999999997</v>
      </c>
    </row>
    <row r="248" spans="5:10" x14ac:dyDescent="0.25">
      <c r="E248" s="170">
        <f t="shared" si="937"/>
        <v>6.5259351238389149E-2</v>
      </c>
      <c r="F248" s="170">
        <f t="shared" si="937"/>
        <v>0.96330913214769454</v>
      </c>
      <c r="G248" s="170">
        <f t="shared" si="937"/>
        <v>-0.26033964929837383</v>
      </c>
      <c r="H248" s="139"/>
      <c r="I248" s="86"/>
      <c r="J248" s="79">
        <f t="shared" si="936"/>
        <v>5.1539999999999999</v>
      </c>
    </row>
    <row r="249" spans="5:10" x14ac:dyDescent="0.25">
      <c r="E249" s="170">
        <f t="shared" si="937"/>
        <v>0.15679627827381259</v>
      </c>
      <c r="F249" s="170">
        <f t="shared" si="937"/>
        <v>0.96574995756641535</v>
      </c>
      <c r="G249" s="170">
        <f t="shared" si="937"/>
        <v>-0.20674125514746231</v>
      </c>
      <c r="H249" s="139"/>
      <c r="I249" s="86"/>
      <c r="J249" s="79">
        <f t="shared" si="936"/>
        <v>5.16</v>
      </c>
    </row>
    <row r="250" spans="5:10" x14ac:dyDescent="0.25">
      <c r="E250" s="170">
        <f t="shared" si="937"/>
        <v>0.23477124537916177</v>
      </c>
      <c r="F250" s="170">
        <f t="shared" si="937"/>
        <v>0.9621401053138201</v>
      </c>
      <c r="G250" s="170">
        <f t="shared" si="937"/>
        <v>-0.13845172476292486</v>
      </c>
      <c r="H250" s="139"/>
      <c r="I250" s="86"/>
      <c r="J250" s="79">
        <f t="shared" si="936"/>
        <v>5.1660000000000004</v>
      </c>
    </row>
    <row r="251" spans="5:10" x14ac:dyDescent="0.25">
      <c r="E251" s="170">
        <f t="shared" si="937"/>
        <v>0.31050423100627284</v>
      </c>
      <c r="F251" s="170">
        <f t="shared" si="937"/>
        <v>0.94819547626754319</v>
      </c>
      <c r="G251" s="170">
        <f t="shared" si="937"/>
        <v>-6.7174856255672516E-2</v>
      </c>
      <c r="H251" s="139"/>
      <c r="I251" s="86"/>
      <c r="J251" s="79">
        <f t="shared" si="936"/>
        <v>5.1719999999999997</v>
      </c>
    </row>
    <row r="252" spans="5:10" x14ac:dyDescent="0.25">
      <c r="E252" s="170">
        <f t="shared" si="937"/>
        <v>0.3202163662251436</v>
      </c>
      <c r="F252" s="170">
        <f t="shared" si="937"/>
        <v>0.94734443514570965</v>
      </c>
      <c r="G252" s="170">
        <f t="shared" si="937"/>
        <v>-1.4578093147770052E-7</v>
      </c>
      <c r="H252" s="139"/>
      <c r="I252" s="86"/>
      <c r="J252" s="79">
        <f t="shared" si="936"/>
        <v>5.1779999999999999</v>
      </c>
    </row>
    <row r="253" spans="5:10" x14ac:dyDescent="0.25">
      <c r="E253" s="170">
        <f t="shared" si="937"/>
        <v>-3.9235494297522671E-8</v>
      </c>
      <c r="F253" s="170">
        <f t="shared" si="937"/>
        <v>2.2337524742060363E-7</v>
      </c>
      <c r="G253" s="170">
        <f t="shared" si="937"/>
        <v>-0.99999999999997435</v>
      </c>
      <c r="H253" s="139"/>
      <c r="I253" s="86"/>
      <c r="J253" s="79">
        <f t="shared" si="936"/>
        <v>5.23</v>
      </c>
    </row>
    <row r="254" spans="5:10" x14ac:dyDescent="0.25">
      <c r="E254" s="170">
        <f t="shared" ref="E254:G273" si="938">E109*-1</f>
        <v>0.15749612266249827</v>
      </c>
      <c r="F254" s="170">
        <f t="shared" si="938"/>
        <v>2.751287346387182E-2</v>
      </c>
      <c r="G254" s="170">
        <f t="shared" si="938"/>
        <v>-0.9871362687795644</v>
      </c>
      <c r="H254" s="139"/>
      <c r="I254" s="86"/>
      <c r="J254" s="79">
        <f t="shared" si="936"/>
        <v>5.2359999999999998</v>
      </c>
    </row>
    <row r="255" spans="5:10" x14ac:dyDescent="0.25">
      <c r="E255" s="170">
        <f t="shared" si="938"/>
        <v>0.30991999814972093</v>
      </c>
      <c r="F255" s="170">
        <f t="shared" si="938"/>
        <v>5.0406642979672595E-2</v>
      </c>
      <c r="G255" s="170">
        <f t="shared" si="938"/>
        <v>-0.94942549212162874</v>
      </c>
      <c r="H255" s="139"/>
      <c r="I255" s="86"/>
      <c r="J255" s="79">
        <f t="shared" si="936"/>
        <v>5.242</v>
      </c>
    </row>
    <row r="256" spans="5:10" x14ac:dyDescent="0.25">
      <c r="E256" s="170">
        <f t="shared" si="938"/>
        <v>0.45550492199118947</v>
      </c>
      <c r="F256" s="170">
        <f t="shared" si="938"/>
        <v>6.556715287394986E-2</v>
      </c>
      <c r="G256" s="170">
        <f t="shared" si="938"/>
        <v>-0.88781541691153598</v>
      </c>
      <c r="H256" s="139"/>
      <c r="I256" s="86"/>
      <c r="J256" s="79">
        <f t="shared" si="936"/>
        <v>5.2480000000000002</v>
      </c>
    </row>
    <row r="257" spans="5:10" x14ac:dyDescent="0.25">
      <c r="E257" s="170">
        <f t="shared" si="938"/>
        <v>0.58871260906434719</v>
      </c>
      <c r="F257" s="170">
        <f t="shared" si="938"/>
        <v>7.4587876245807788E-2</v>
      </c>
      <c r="G257" s="170">
        <f t="shared" si="938"/>
        <v>-0.80489385178779271</v>
      </c>
      <c r="H257" s="139"/>
      <c r="I257" s="86"/>
      <c r="J257" s="79">
        <f t="shared" si="936"/>
        <v>5.2539999999999996</v>
      </c>
    </row>
    <row r="258" spans="5:10" x14ac:dyDescent="0.25">
      <c r="E258" s="170">
        <f t="shared" si="938"/>
        <v>0.70837351460875342</v>
      </c>
      <c r="F258" s="170">
        <f t="shared" si="938"/>
        <v>8.3264952888667254E-2</v>
      </c>
      <c r="G258" s="170">
        <f t="shared" si="938"/>
        <v>-0.70090934607928446</v>
      </c>
      <c r="H258" s="139"/>
      <c r="I258" s="86"/>
      <c r="J258" s="79">
        <f t="shared" si="936"/>
        <v>5.26</v>
      </c>
    </row>
    <row r="259" spans="5:10" x14ac:dyDescent="0.25">
      <c r="E259" s="170">
        <f t="shared" si="938"/>
        <v>0.81108329537287227</v>
      </c>
      <c r="F259" s="170">
        <f t="shared" si="938"/>
        <v>9.0688058168019836E-2</v>
      </c>
      <c r="G259" s="170">
        <f t="shared" si="938"/>
        <v>-0.57785773688062358</v>
      </c>
      <c r="H259" s="139"/>
      <c r="I259" s="86"/>
      <c r="J259" s="79">
        <f t="shared" si="936"/>
        <v>5.266</v>
      </c>
    </row>
    <row r="260" spans="5:10" x14ac:dyDescent="0.25">
      <c r="E260" s="170">
        <f t="shared" si="938"/>
        <v>0.89205711421019585</v>
      </c>
      <c r="F260" s="170">
        <f t="shared" si="938"/>
        <v>9.6470511345754614E-2</v>
      </c>
      <c r="G260" s="170">
        <f t="shared" si="938"/>
        <v>-0.441505997046095</v>
      </c>
      <c r="H260" s="139"/>
      <c r="I260" s="86"/>
      <c r="J260" s="79">
        <f t="shared" si="936"/>
        <v>5.2720000000000002</v>
      </c>
    </row>
    <row r="261" spans="5:10" x14ac:dyDescent="0.25">
      <c r="E261" s="170">
        <f t="shared" si="938"/>
        <v>0.46647324275271113</v>
      </c>
      <c r="F261" s="170">
        <f t="shared" si="938"/>
        <v>0.82052480673091766</v>
      </c>
      <c r="G261" s="170">
        <f t="shared" si="938"/>
        <v>-0.33036609289538271</v>
      </c>
      <c r="H261" s="139"/>
      <c r="I261" s="86"/>
      <c r="J261" s="79">
        <f t="shared" si="936"/>
        <v>6.1109999999999998</v>
      </c>
    </row>
    <row r="262" spans="5:10" x14ac:dyDescent="0.25">
      <c r="E262" s="170">
        <f t="shared" si="938"/>
        <v>0.4664732427527114</v>
      </c>
      <c r="F262" s="170">
        <f t="shared" si="938"/>
        <v>0.82052480673091743</v>
      </c>
      <c r="G262" s="170">
        <f t="shared" si="938"/>
        <v>-0.33036609289538271</v>
      </c>
      <c r="H262" s="139"/>
      <c r="I262" s="86"/>
      <c r="J262" s="79">
        <f t="shared" si="936"/>
        <v>6.117</v>
      </c>
    </row>
    <row r="263" spans="5:10" x14ac:dyDescent="0.25">
      <c r="E263" s="170">
        <f t="shared" si="938"/>
        <v>0.48073577467979706</v>
      </c>
      <c r="F263" s="170">
        <f t="shared" si="938"/>
        <v>0.81053807141569434</v>
      </c>
      <c r="G263" s="170">
        <f t="shared" si="938"/>
        <v>-0.33454618474695269</v>
      </c>
      <c r="H263" s="139"/>
      <c r="I263" s="86"/>
      <c r="J263" s="79">
        <f t="shared" si="936"/>
        <v>6.1230000000000002</v>
      </c>
    </row>
    <row r="264" spans="5:10" x14ac:dyDescent="0.25">
      <c r="E264" s="170">
        <f t="shared" si="938"/>
        <v>0.5906773953220692</v>
      </c>
      <c r="F264" s="170">
        <f t="shared" si="938"/>
        <v>0.73110290993986404</v>
      </c>
      <c r="G264" s="170">
        <f t="shared" si="938"/>
        <v>-0.34145094776995261</v>
      </c>
      <c r="H264" s="139"/>
      <c r="I264" s="86"/>
      <c r="J264" s="79">
        <f t="shared" si="936"/>
        <v>6.1289999999999996</v>
      </c>
    </row>
    <row r="265" spans="5:10" x14ac:dyDescent="0.25">
      <c r="E265" s="170">
        <f t="shared" si="938"/>
        <v>0.66100960287898658</v>
      </c>
      <c r="F265" s="170">
        <f t="shared" si="938"/>
        <v>0.67636412188901696</v>
      </c>
      <c r="G265" s="170">
        <f t="shared" si="938"/>
        <v>-0.3249582735107131</v>
      </c>
      <c r="H265" s="139"/>
      <c r="I265" s="86"/>
      <c r="J265" s="79">
        <f t="shared" si="936"/>
        <v>6.1349999999999998</v>
      </c>
    </row>
    <row r="266" spans="5:10" x14ac:dyDescent="0.25">
      <c r="E266" s="170">
        <f t="shared" si="938"/>
        <v>0.73163850605053027</v>
      </c>
      <c r="F266" s="170">
        <f t="shared" si="938"/>
        <v>0.61033654674842186</v>
      </c>
      <c r="G266" s="170">
        <f t="shared" si="938"/>
        <v>-0.30363530125359239</v>
      </c>
      <c r="H266" s="139"/>
      <c r="I266" s="86"/>
      <c r="J266" s="79">
        <f t="shared" si="936"/>
        <v>6.141</v>
      </c>
    </row>
    <row r="267" spans="5:10" x14ac:dyDescent="0.25">
      <c r="E267" s="170">
        <f t="shared" si="938"/>
        <v>0.79775294389858786</v>
      </c>
      <c r="F267" s="170">
        <f t="shared" si="938"/>
        <v>0.52724576235637344</v>
      </c>
      <c r="G267" s="170">
        <f t="shared" si="938"/>
        <v>-0.29257844517049314</v>
      </c>
      <c r="H267" s="139"/>
      <c r="I267" s="86"/>
      <c r="J267" s="79">
        <f t="shared" si="936"/>
        <v>6.1470000000000002</v>
      </c>
    </row>
    <row r="268" spans="5:10" x14ac:dyDescent="0.25">
      <c r="E268" s="170">
        <f t="shared" si="938"/>
        <v>0.85679335970189152</v>
      </c>
      <c r="F268" s="170">
        <f t="shared" si="938"/>
        <v>0.44455204009334187</v>
      </c>
      <c r="G268" s="170">
        <f t="shared" si="938"/>
        <v>-0.2613017841875428</v>
      </c>
      <c r="H268" s="139"/>
      <c r="I268" s="86"/>
      <c r="J268" s="79">
        <f t="shared" si="936"/>
        <v>6.1529999999999996</v>
      </c>
    </row>
    <row r="269" spans="5:10" x14ac:dyDescent="0.25">
      <c r="E269" s="170">
        <f t="shared" si="938"/>
        <v>0.90898666587813404</v>
      </c>
      <c r="F269" s="170">
        <f t="shared" si="938"/>
        <v>0.35288669713956355</v>
      </c>
      <c r="G269" s="170">
        <f t="shared" si="938"/>
        <v>-0.22184278270361502</v>
      </c>
      <c r="H269" s="139"/>
      <c r="I269" s="86"/>
      <c r="J269" s="79">
        <f t="shared" si="936"/>
        <v>6.1589999999999998</v>
      </c>
    </row>
    <row r="270" spans="5:10" x14ac:dyDescent="0.25">
      <c r="E270" s="170">
        <f t="shared" si="938"/>
        <v>0.94689320377239561</v>
      </c>
      <c r="F270" s="170">
        <f t="shared" si="938"/>
        <v>0.28144087716474542</v>
      </c>
      <c r="G270" s="170">
        <f t="shared" si="938"/>
        <v>-0.15551300045458366</v>
      </c>
      <c r="H270" s="139"/>
      <c r="I270" s="86"/>
      <c r="J270" s="79">
        <f t="shared" si="936"/>
        <v>6.165</v>
      </c>
    </row>
    <row r="271" spans="5:10" x14ac:dyDescent="0.25">
      <c r="E271" s="170">
        <f t="shared" si="938"/>
        <v>0.97227788018036565</v>
      </c>
      <c r="F271" s="170">
        <f t="shared" si="938"/>
        <v>0.22056208231953248</v>
      </c>
      <c r="G271" s="170">
        <f t="shared" si="938"/>
        <v>-7.7640785382725286E-2</v>
      </c>
      <c r="H271" s="139"/>
      <c r="I271" s="86"/>
      <c r="J271" s="79">
        <f t="shared" si="936"/>
        <v>6.1710000000000003</v>
      </c>
    </row>
    <row r="272" spans="5:10" x14ac:dyDescent="0.25">
      <c r="E272" s="170">
        <f t="shared" si="938"/>
        <v>0.98053250039409823</v>
      </c>
      <c r="F272" s="170">
        <f t="shared" si="938"/>
        <v>0.1963568579675195</v>
      </c>
      <c r="G272" s="170">
        <f t="shared" si="938"/>
        <v>-1.4578093277503077E-7</v>
      </c>
      <c r="H272" s="139"/>
      <c r="I272" s="86"/>
      <c r="J272" s="79">
        <f t="shared" si="936"/>
        <v>6.1769999999999996</v>
      </c>
    </row>
    <row r="273" spans="5:10" x14ac:dyDescent="0.25">
      <c r="E273" s="170">
        <f t="shared" si="938"/>
        <v>1.7461392753674255E-7</v>
      </c>
      <c r="F273" s="170">
        <f t="shared" si="938"/>
        <v>1.4472698950702027E-7</v>
      </c>
      <c r="G273" s="170">
        <f t="shared" si="938"/>
        <v>-0.99999999999997435</v>
      </c>
      <c r="H273" s="139"/>
      <c r="I273" s="86"/>
      <c r="J273" s="79">
        <f t="shared" si="936"/>
        <v>6.2290000000000001</v>
      </c>
    </row>
    <row r="274" spans="5:10" x14ac:dyDescent="0.25">
      <c r="E274" s="170">
        <f t="shared" ref="E274:G293" si="939">E129*-1</f>
        <v>8.5571280563365604E-2</v>
      </c>
      <c r="F274" s="170">
        <f t="shared" si="939"/>
        <v>-0.10310115747656109</v>
      </c>
      <c r="G274" s="170">
        <f t="shared" si="939"/>
        <v>-0.99098320231462012</v>
      </c>
      <c r="H274" s="139"/>
      <c r="I274" s="86"/>
      <c r="J274" s="79">
        <f t="shared" si="936"/>
        <v>6.2350000000000003</v>
      </c>
    </row>
    <row r="275" spans="5:10" x14ac:dyDescent="0.25">
      <c r="E275" s="170">
        <f t="shared" si="939"/>
        <v>0.1822220631009018</v>
      </c>
      <c r="F275" s="170">
        <f t="shared" si="939"/>
        <v>-0.22435346205573106</v>
      </c>
      <c r="G275" s="170">
        <f t="shared" si="939"/>
        <v>-0.95731950976821667</v>
      </c>
      <c r="H275" s="139"/>
      <c r="I275" s="86"/>
      <c r="J275" s="79">
        <f t="shared" si="936"/>
        <v>6.2409999999999997</v>
      </c>
    </row>
    <row r="276" spans="5:10" x14ac:dyDescent="0.25">
      <c r="E276" s="170">
        <f t="shared" si="939"/>
        <v>0.26940668126611755</v>
      </c>
      <c r="F276" s="170">
        <f t="shared" si="939"/>
        <v>-0.34382523339669269</v>
      </c>
      <c r="G276" s="170">
        <f t="shared" si="939"/>
        <v>-0.89955780746369296</v>
      </c>
      <c r="H276" s="139"/>
      <c r="I276" s="86"/>
      <c r="J276" s="79">
        <f t="shared" si="936"/>
        <v>6.2469999999999999</v>
      </c>
    </row>
    <row r="277" spans="5:10" x14ac:dyDescent="0.25">
      <c r="E277" s="170">
        <f t="shared" si="939"/>
        <v>0.34559994256845378</v>
      </c>
      <c r="F277" s="170">
        <f t="shared" si="939"/>
        <v>-0.45597313260840761</v>
      </c>
      <c r="G277" s="170">
        <f t="shared" si="939"/>
        <v>-0.82015192619170074</v>
      </c>
      <c r="H277" s="139"/>
      <c r="I277" s="86"/>
      <c r="J277" s="79">
        <f t="shared" si="936"/>
        <v>6.2530000000000001</v>
      </c>
    </row>
    <row r="278" spans="5:10" x14ac:dyDescent="0.25">
      <c r="E278" s="170">
        <f t="shared" si="939"/>
        <v>0.41475257054745746</v>
      </c>
      <c r="F278" s="170">
        <f t="shared" si="939"/>
        <v>-0.55725258730946359</v>
      </c>
      <c r="G278" s="170">
        <f t="shared" si="939"/>
        <v>-0.71933987736061544</v>
      </c>
      <c r="H278" s="139"/>
      <c r="I278" s="86"/>
      <c r="J278" s="79">
        <f t="shared" si="936"/>
        <v>6.2590000000000003</v>
      </c>
    </row>
    <row r="279" spans="5:10" x14ac:dyDescent="0.25">
      <c r="E279" s="170">
        <f t="shared" si="939"/>
        <v>0.47409633180555583</v>
      </c>
      <c r="F279" s="170">
        <f t="shared" si="939"/>
        <v>-0.64399386075662057</v>
      </c>
      <c r="G279" s="170">
        <f t="shared" si="939"/>
        <v>-0.6004203323308589</v>
      </c>
      <c r="H279" s="139"/>
      <c r="I279" s="86"/>
      <c r="J279" s="79">
        <f t="shared" si="936"/>
        <v>6.2649999999999997</v>
      </c>
    </row>
    <row r="280" spans="5:10" x14ac:dyDescent="0.25">
      <c r="E280" s="170">
        <f t="shared" si="939"/>
        <v>0.52155839483752919</v>
      </c>
      <c r="F280" s="170">
        <f t="shared" si="939"/>
        <v>-0.71547088275822834</v>
      </c>
      <c r="G280" s="170">
        <f t="shared" si="939"/>
        <v>-0.46484218472473177</v>
      </c>
      <c r="H280" s="139"/>
      <c r="I280" s="86"/>
      <c r="J280" s="79">
        <f t="shared" si="936"/>
        <v>6.2709999999999999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4203A2B-0581-4E50-8296-1F5E15D7511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1B7FD2CF-7BEB-4302-AFDE-4856E5C62120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17.5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1.1639999999999999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1.17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1.1759999999999999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1.228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1.234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1.24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1.246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1.252</v>
      </c>
      <c r="N183" s="869" t="str">
        <f>Assy.Model!K28</f>
        <v>Inactive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1.258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1.264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1.27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2.1150000000000002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2.121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2.1269999999999998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2.133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2.1389999999999998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2.145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2.1509999999999998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2.157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2.1629999999999998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2.169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2.1749999999999998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2.2269999999999999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2.2330000000000001</v>
      </c>
      <c r="N199" s="869" t="str">
        <f>Assy.Model!K44</f>
        <v>Inactive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2.2389999999999999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2.2450000000000001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2.2509999999999999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2.2570000000000001</v>
      </c>
      <c r="N203" s="869" t="str">
        <f>Assy.Model!K48</f>
        <v>Inactive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2.2629999999999999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2.2690000000000001</v>
      </c>
      <c r="N205" s="869" t="str">
        <f>Assy.Model!K50</f>
        <v>Inactive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3.1030000000000002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3.1059999999999999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3.109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3.1139999999999999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3.12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3.1259999999999999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3.1320000000000001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3.1379999999999999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3.1440000000000001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3.15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3.1560000000000001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3.1619999999999999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3.1680000000000001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3.1739999999999999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3.226</v>
      </c>
      <c r="N220" s="869" t="str">
        <f>Assy.Model!K65</f>
        <v>Inactive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3.2320000000000002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3.238</v>
      </c>
      <c r="N222" s="869" t="str">
        <f>Assy.Model!K67</f>
        <v>Inactive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3.2440000000000002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3.25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3.2559999999999998</v>
      </c>
      <c r="N225" s="869" t="str">
        <f>Assy.Model!K70</f>
        <v>Inactive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3.262</v>
      </c>
      <c r="N226" s="869" t="str">
        <f>Assy.Model!K71</f>
        <v>Inactive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3.2679999999999998</v>
      </c>
      <c r="N227" s="869" t="str">
        <f>Assy.Model!K72</f>
        <v>Inactive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4.1130000000000004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4.1189999999999998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4.125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4.1310000000000002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4.1369999999999996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4.1429999999999998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4.149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4.1550000000000002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4.1609999999999996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4.1669999999999998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4.173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4.1790000000000003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4.2309999999999999</v>
      </c>
      <c r="N240" s="869" t="str">
        <f>Assy.Model!K85</f>
        <v>Inactive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4.2370000000000001</v>
      </c>
      <c r="N241" s="869" t="str">
        <f>Assy.Model!K86</f>
        <v>Inactive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4.2430000000000003</v>
      </c>
      <c r="N242" s="869" t="str">
        <f>Assy.Model!K87</f>
        <v>Inactive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4.2489999999999997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4.2549999999999999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4.2610000000000001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4.2670000000000003</v>
      </c>
      <c r="N246" s="869" t="str">
        <f>Assy.Model!K91</f>
        <v>Inactive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4.2729999999999997</v>
      </c>
      <c r="N247" s="869" t="str">
        <f>Assy.Model!K92</f>
        <v>Inactive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5.1020000000000003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5.1050000000000004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5.1079999999999997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5.1120000000000001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5.1180000000000003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5.1239999999999997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5.13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5.1360000000000001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5.1420000000000003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5.1479999999999997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5.1539999999999999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5.16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5.1660000000000004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5.1719999999999997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5.1779999999999999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5.23</v>
      </c>
      <c r="N263" s="869" t="str">
        <f>Assy.Model!K108</f>
        <v>Inactive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5.2359999999999998</v>
      </c>
      <c r="N264" s="869" t="str">
        <f>Assy.Model!K109</f>
        <v>Inactive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5.242</v>
      </c>
      <c r="N265" s="869" t="str">
        <f>Assy.Model!K110</f>
        <v>Inactive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5.2480000000000002</v>
      </c>
      <c r="N266" s="869" t="str">
        <f>Assy.Model!K111</f>
        <v>Inactive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5.2539999999999996</v>
      </c>
      <c r="N267" s="869" t="str">
        <f>Assy.Model!K112</f>
        <v>Inactive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5.26</v>
      </c>
      <c r="N268" s="869" t="str">
        <f>Assy.Model!K113</f>
        <v>Inactive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5.266</v>
      </c>
      <c r="N269" s="869" t="str">
        <f>Assy.Model!K114</f>
        <v>Inactive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5.2720000000000002</v>
      </c>
      <c r="N270" s="869" t="str">
        <f>Assy.Model!K115</f>
        <v>Inactive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6.1109999999999998</v>
      </c>
      <c r="N271" s="869">
        <f>Assy.Model!K116</f>
        <v>1613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6.117</v>
      </c>
      <c r="N272" s="869">
        <f>Assy.Model!K117</f>
        <v>1613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6.1230000000000002</v>
      </c>
      <c r="N273" s="869">
        <f>Assy.Model!K118</f>
        <v>1613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6.1289999999999996</v>
      </c>
      <c r="N274" s="869">
        <f>Assy.Model!K119</f>
        <v>1613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6.1349999999999998</v>
      </c>
      <c r="N275" s="869">
        <f>Assy.Model!K120</f>
        <v>1613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6.141</v>
      </c>
      <c r="N276" s="869">
        <f>Assy.Model!K121</f>
        <v>1613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6.1470000000000002</v>
      </c>
      <c r="N277" s="869">
        <f>Assy.Model!K122</f>
        <v>1613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>
        <f>Assy.Model!$M123</f>
        <v>6.1529999999999996</v>
      </c>
      <c r="N278" s="869">
        <f>Assy.Model!K123</f>
        <v>1613</v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>
        <f>Assy.Model!$M124</f>
        <v>6.1589999999999998</v>
      </c>
      <c r="N279" s="869">
        <f>Assy.Model!K124</f>
        <v>1613</v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>
        <f>Assy.Model!$M125</f>
        <v>6.165</v>
      </c>
      <c r="N280" s="869">
        <f>Assy.Model!K125</f>
        <v>1613</v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>
        <f>Assy.Model!$M126</f>
        <v>6.1710000000000003</v>
      </c>
      <c r="N281" s="869">
        <f>Assy.Model!K126</f>
        <v>1613</v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>
        <f>Assy.Model!$M127</f>
        <v>6.1769999999999996</v>
      </c>
      <c r="N282" s="869">
        <f>Assy.Model!K127</f>
        <v>1613</v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>
        <f>Assy.Model!$M128</f>
        <v>6.2290000000000001</v>
      </c>
      <c r="N283" s="869" t="str">
        <f>Assy.Model!K128</f>
        <v>Inactive</v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>
        <f>Assy.Model!$M129</f>
        <v>6.2350000000000003</v>
      </c>
      <c r="N284" s="869" t="str">
        <f>Assy.Model!K129</f>
        <v>Inactive</v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>
        <f>Assy.Model!$M130</f>
        <v>6.2409999999999997</v>
      </c>
      <c r="N285" s="869" t="str">
        <f>Assy.Model!K130</f>
        <v>Inactive</v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>
        <f>Assy.Model!$M131</f>
        <v>6.2469999999999999</v>
      </c>
      <c r="N286" s="869" t="str">
        <f>Assy.Model!K131</f>
        <v>Inactive</v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>
        <f>Assy.Model!$M132</f>
        <v>6.2530000000000001</v>
      </c>
      <c r="N287" s="869" t="str">
        <f>Assy.Model!K132</f>
        <v>Inactive</v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>
        <f>Assy.Model!$M133</f>
        <v>6.2590000000000003</v>
      </c>
      <c r="N288" s="869" t="str">
        <f>Assy.Model!K133</f>
        <v>Inactive</v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>
        <f>Assy.Model!$M134</f>
        <v>6.2649999999999997</v>
      </c>
      <c r="N289" s="869" t="str">
        <f>Assy.Model!K134</f>
        <v>Inactive</v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>
        <f>Assy.Model!$M135</f>
        <v>6.2709999999999999</v>
      </c>
      <c r="N290" s="869" t="str">
        <f>Assy.Model!K135</f>
        <v>Inactive</v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2023-03-28T19:27:12Z</dcterms:modified>
</cp:coreProperties>
</file>