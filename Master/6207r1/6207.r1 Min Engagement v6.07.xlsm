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207\"/>
    </mc:Choice>
  </mc:AlternateContent>
  <xr:revisionPtr revIDLastSave="0" documentId="13_ncr:1_{DC8B7E77-FBF5-49B8-AC4F-570DDC39483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83" i="1" l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78" i="1" l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<sst xmlns="http://schemas.openxmlformats.org/spreadsheetml/2006/main" count="734" uniqueCount="391">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</sst>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E20" sqref="E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4" t="s">
        <v>77</v>
      </c>
      <c r="D1" s="874"/>
      <c r="E1" s="874"/>
      <c r="F1" s="874"/>
      <c r="G1" s="874"/>
      <c r="H1" s="874"/>
      <c r="I1" s="874"/>
      <c r="J1" s="874"/>
      <c r="K1" s="87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6" t="s">
        <v>379</v>
      </c>
      <c r="AQ7" s="896"/>
      <c r="AR7" s="896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9">
        <v>9</v>
      </c>
      <c r="D9" s="893"/>
      <c r="E9" s="893"/>
      <c r="F9" s="893"/>
      <c r="G9" s="893"/>
      <c r="H9" s="893"/>
      <c r="I9" s="893"/>
      <c r="J9" s="893"/>
      <c r="K9" s="890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1"/>
      <c r="C10" s="912"/>
      <c r="D10" s="912"/>
      <c r="E10" s="912"/>
      <c r="F10" s="912"/>
      <c r="G10" s="912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7"/>
      <c r="B11" s="900" t="s">
        <v>33</v>
      </c>
      <c r="C11" s="905" t="s">
        <v>34</v>
      </c>
      <c r="D11" s="905"/>
      <c r="E11" s="904" t="s">
        <v>39</v>
      </c>
      <c r="F11" s="900" t="s">
        <v>35</v>
      </c>
      <c r="G11" s="900" t="s">
        <v>36</v>
      </c>
      <c r="H11" s="900" t="s">
        <v>43</v>
      </c>
      <c r="I11" s="891" t="s">
        <v>67</v>
      </c>
      <c r="J11" s="905" t="s">
        <v>56</v>
      </c>
      <c r="K11" s="905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4" t="s">
        <v>347</v>
      </c>
      <c r="AN11" s="893"/>
      <c r="AO11" s="893"/>
      <c r="AP11" s="893"/>
      <c r="AQ11" s="893"/>
      <c r="AR11" s="915"/>
      <c r="AS11" s="922" t="s">
        <v>354</v>
      </c>
      <c r="AT11" s="923"/>
      <c r="AU11" s="923"/>
      <c r="AV11" s="924"/>
      <c r="BC11" s="470"/>
    </row>
    <row r="12" spans="1:55" ht="15.75" thickBot="1" x14ac:dyDescent="0.3">
      <c r="A12" s="906"/>
      <c r="B12" s="901"/>
      <c r="C12" s="48" t="s">
        <v>8</v>
      </c>
      <c r="D12" s="49" t="s">
        <v>10</v>
      </c>
      <c r="E12" s="901"/>
      <c r="F12" s="901"/>
      <c r="G12" s="901"/>
      <c r="H12" s="901"/>
      <c r="I12" s="892"/>
      <c r="J12" s="53" t="s">
        <v>8</v>
      </c>
      <c r="K12" s="54" t="s">
        <v>10</v>
      </c>
      <c r="M12" s="31"/>
      <c r="N12" s="31"/>
      <c r="O12" s="883" t="s">
        <v>46</v>
      </c>
      <c r="P12" s="884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889"/>
      <c r="AF12" s="877" t="s">
        <v>56</v>
      </c>
      <c r="AG12" s="878"/>
      <c r="AH12" s="31"/>
      <c r="AK12" s="897" t="s">
        <v>355</v>
      </c>
      <c r="AL12" s="913"/>
      <c r="AM12" s="916" t="s">
        <v>352</v>
      </c>
      <c r="AN12" s="917"/>
      <c r="AO12" s="898"/>
      <c r="AP12" s="897" t="s">
        <v>380</v>
      </c>
      <c r="AQ12" s="898"/>
      <c r="AR12" s="802" t="s">
        <v>378</v>
      </c>
      <c r="AS12" s="919" t="s">
        <v>352</v>
      </c>
      <c r="AT12" s="898"/>
      <c r="AU12" s="920" t="s">
        <v>353</v>
      </c>
      <c r="AV12" s="921"/>
      <c r="AW12" s="925" t="s">
        <v>351</v>
      </c>
      <c r="AX12" s="926"/>
      <c r="AZ12" s="897" t="s">
        <v>60</v>
      </c>
      <c r="BA12" s="898"/>
      <c r="BC12" s="918" t="s">
        <v>383</v>
      </c>
    </row>
    <row r="13" spans="1:55" ht="15.75" thickBot="1" x14ac:dyDescent="0.3">
      <c r="A13" s="64" t="s">
        <v>57</v>
      </c>
      <c r="B13" s="907" t="s">
        <v>97</v>
      </c>
      <c r="C13" s="909" t="str">
        <f>SUBSTITUTE(ADDRESS(1,COLUMN(Assy.Model!X9),4),"1","")</f>
        <v>X</v>
      </c>
      <c r="D13" s="101" t="str">
        <f>SUBSTITUTE(ADDRESS(1,COLUMN(Assy.Model!Y9),4),"1","")</f>
        <v>Y</v>
      </c>
      <c r="E13" s="894" t="str">
        <f>SUBSTITUTE(ADDRESS(1,COLUMN(Assy.Model!H9),4),"1","")</f>
        <v>H</v>
      </c>
      <c r="F13" s="894" t="str">
        <f>SUBSTITUTE(ADDRESS(1,COLUMN(Assy.Model!AN9),4),"1","")</f>
        <v>AN</v>
      </c>
      <c r="G13" s="894" t="str">
        <f>SUBSTITUTE(ADDRESS(1,COLUMN(Assy.Model!AO9),4),"1","")</f>
        <v>AO</v>
      </c>
      <c r="H13" s="894" t="str">
        <f>SUBSTITUTE(ADDRESS(1,COLUMN(Assy.Model!AO9),4),"1","")</f>
        <v>AO</v>
      </c>
      <c r="I13" s="894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5"/>
      <c r="P13" s="88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8"/>
    </row>
    <row r="14" spans="1:55" x14ac:dyDescent="0.25">
      <c r="A14" s="62" t="s">
        <v>58</v>
      </c>
      <c r="B14" s="908"/>
      <c r="C14" s="910"/>
      <c r="D14" s="102" t="str">
        <f>SUBSTITUTE(ADDRESS(1,COLUMN(Assy.Model!AT9),4),"1","")</f>
        <v>AT</v>
      </c>
      <c r="E14" s="895"/>
      <c r="F14" s="895"/>
      <c r="G14" s="895"/>
      <c r="H14" s="895"/>
      <c r="I14" s="895"/>
      <c r="J14" s="91">
        <v>0</v>
      </c>
      <c r="K14" s="92">
        <v>0</v>
      </c>
      <c r="L14" s="31"/>
      <c r="M14" s="190">
        <v>6.25E-2</v>
      </c>
      <c r="N14" s="31">
        <v>32</v>
      </c>
      <c r="O14" s="88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9" t="s">
        <v>64</v>
      </c>
      <c r="C21" s="893"/>
      <c r="D21" s="893"/>
      <c r="E21" s="893"/>
      <c r="F21" s="890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7"/>
      <c r="C22" s="889" t="s">
        <v>63</v>
      </c>
      <c r="D22" s="890"/>
      <c r="E22" s="891" t="s">
        <v>60</v>
      </c>
      <c r="F22" s="891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8"/>
      <c r="C23" s="57" t="s">
        <v>8</v>
      </c>
      <c r="D23" s="57" t="s">
        <v>9</v>
      </c>
      <c r="E23" s="892"/>
      <c r="F23" s="892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9">
        <v>0</v>
      </c>
      <c r="E24" s="879">
        <v>2</v>
      </c>
      <c r="F24" s="87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80"/>
      <c r="E25" s="880"/>
      <c r="F25" s="88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5" t="s">
        <v>311</v>
      </c>
      <c r="C27" s="875"/>
      <c r="D27" s="875"/>
      <c r="E27" s="875"/>
      <c r="F27" s="87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6" t="s">
        <v>390</v>
      </c>
      <c r="C28" s="876"/>
      <c r="D28" s="876"/>
      <c r="E28" s="876"/>
      <c r="F28" s="876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3" t="s">
        <v>95</v>
      </c>
      <c r="D3" s="893"/>
      <c r="E3" s="893"/>
      <c r="F3" s="893"/>
      <c r="G3" s="893"/>
      <c r="H3" s="893"/>
      <c r="I3" s="893"/>
      <c r="J3" s="893"/>
      <c r="K3" s="915"/>
      <c r="L3" s="973"/>
      <c r="M3" s="893"/>
      <c r="N3" s="893"/>
      <c r="O3" s="893"/>
      <c r="P3" s="893"/>
      <c r="Q3" s="893"/>
      <c r="R3" s="890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5" t="s">
        <v>86</v>
      </c>
      <c r="C4" s="956" t="s">
        <v>82</v>
      </c>
      <c r="D4" s="893" t="s">
        <v>83</v>
      </c>
      <c r="E4" s="893"/>
      <c r="F4" s="893"/>
      <c r="G4" s="893"/>
      <c r="H4" s="893"/>
      <c r="I4" s="893"/>
      <c r="J4" s="893"/>
      <c r="K4" s="893"/>
      <c r="L4" s="150" t="s">
        <v>91</v>
      </c>
      <c r="M4" s="889" t="s">
        <v>94</v>
      </c>
      <c r="N4" s="893"/>
      <c r="O4" s="893"/>
      <c r="P4" s="915"/>
      <c r="Q4" s="893" t="s">
        <v>52</v>
      </c>
      <c r="R4" s="890"/>
      <c r="S4" s="107"/>
      <c r="T4" s="889">
        <v>350</v>
      </c>
      <c r="U4" s="893"/>
      <c r="V4" s="893" t="s">
        <v>76</v>
      </c>
      <c r="W4" s="893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6"/>
      <c r="C5" s="957"/>
      <c r="D5" s="941" t="s">
        <v>85</v>
      </c>
      <c r="E5" s="959" t="s">
        <v>89</v>
      </c>
      <c r="F5" s="905" t="s">
        <v>34</v>
      </c>
      <c r="G5" s="905"/>
      <c r="H5" s="904" t="s">
        <v>39</v>
      </c>
      <c r="I5" s="900" t="s">
        <v>35</v>
      </c>
      <c r="J5" s="900" t="s">
        <v>36</v>
      </c>
      <c r="K5" s="967" t="s">
        <v>67</v>
      </c>
      <c r="L5" s="151" t="s">
        <v>92</v>
      </c>
      <c r="M5" s="891" t="s">
        <v>90</v>
      </c>
      <c r="N5" s="891" t="s">
        <v>47</v>
      </c>
      <c r="O5" s="969" t="s">
        <v>84</v>
      </c>
      <c r="P5" s="970"/>
      <c r="Q5" s="971" t="s">
        <v>84</v>
      </c>
      <c r="R5" s="972"/>
      <c r="S5" s="107"/>
      <c r="T5" s="883" t="s">
        <v>46</v>
      </c>
      <c r="U5" s="974"/>
      <c r="V5" s="926" t="s">
        <v>45</v>
      </c>
      <c r="W5" s="878"/>
      <c r="X5" s="878"/>
      <c r="Y5" s="878"/>
      <c r="Z5" s="878"/>
      <c r="AA5" s="878"/>
      <c r="AB5" s="878"/>
      <c r="AC5" s="878"/>
      <c r="AD5" s="878"/>
      <c r="AE5" s="878"/>
      <c r="AF5" s="878"/>
      <c r="AG5" s="878"/>
      <c r="AH5" s="878"/>
      <c r="AI5" s="878"/>
      <c r="AJ5" s="878"/>
      <c r="AK5" s="31"/>
      <c r="AL5" s="31"/>
    </row>
    <row r="6" spans="2:38" ht="15" customHeight="1" thickBot="1" x14ac:dyDescent="0.3">
      <c r="B6" s="937"/>
      <c r="C6" s="958"/>
      <c r="D6" s="942"/>
      <c r="E6" s="960"/>
      <c r="F6" s="108" t="s">
        <v>8</v>
      </c>
      <c r="G6" s="109" t="s">
        <v>10</v>
      </c>
      <c r="H6" s="955"/>
      <c r="I6" s="955"/>
      <c r="J6" s="955"/>
      <c r="K6" s="968"/>
      <c r="L6" s="152" t="s">
        <v>93</v>
      </c>
      <c r="M6" s="966"/>
      <c r="N6" s="96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8"/>
      <c r="U6" s="97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3">
        <f>ROW(Assy.Model!B9)</f>
        <v>9</v>
      </c>
      <c r="D7" s="932" t="str">
        <f>SUBSTITUTE(ADDRESS(1,COLUMN(Assy.Model!B9),4),"1","")</f>
        <v>B</v>
      </c>
      <c r="E7" s="946" t="str">
        <f>SUBSTITUTE(ADDRESS(1,COLUMN(Assy.Model!M9),4),"1","")</f>
        <v>M</v>
      </c>
      <c r="F7" s="949" t="str">
        <f>SUBSTITUTE(ADDRESS(1,COLUMN(Assy.Model!X9),4),"1","")</f>
        <v>X</v>
      </c>
      <c r="G7" s="938" t="str">
        <f>SUBSTITUTE(ADDRESS(1,COLUMN(Assy.Model!AT9),4),"1","")</f>
        <v>AT</v>
      </c>
      <c r="H7" s="952" t="str">
        <f>SUBSTITUTE(ADDRESS(1,COLUMN(Assy.Model!H9),4),"1","")</f>
        <v>H</v>
      </c>
      <c r="I7" s="952" t="str">
        <f>SUBSTITUTE(ADDRESS(1,COLUMN(Assy.Model!AN9),4),"1","")</f>
        <v>AN</v>
      </c>
      <c r="J7" s="952" t="str">
        <f>SUBSTITUTE(ADDRESS(1,COLUMN(Assy.Model!AO9),4),"1","")</f>
        <v>AO</v>
      </c>
      <c r="K7" s="96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7" t="s">
        <v>81</v>
      </c>
      <c r="C8" s="944"/>
      <c r="D8" s="933"/>
      <c r="E8" s="947"/>
      <c r="F8" s="950"/>
      <c r="G8" s="939"/>
      <c r="H8" s="953"/>
      <c r="I8" s="953"/>
      <c r="J8" s="953"/>
      <c r="K8" s="962"/>
      <c r="L8" s="153" t="s">
        <v>93</v>
      </c>
      <c r="M8" s="96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7"/>
      <c r="C9" s="944"/>
      <c r="D9" s="933"/>
      <c r="E9" s="947"/>
      <c r="F9" s="950"/>
      <c r="G9" s="939"/>
      <c r="H9" s="953"/>
      <c r="I9" s="953"/>
      <c r="J9" s="953"/>
      <c r="K9" s="962"/>
      <c r="L9" s="153" t="s">
        <v>92</v>
      </c>
      <c r="M9" s="96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7"/>
      <c r="C10" s="944"/>
      <c r="D10" s="933"/>
      <c r="E10" s="947"/>
      <c r="F10" s="950"/>
      <c r="G10" s="939"/>
      <c r="H10" s="953"/>
      <c r="I10" s="953"/>
      <c r="J10" s="953"/>
      <c r="K10" s="962"/>
      <c r="L10" s="153" t="s">
        <v>92</v>
      </c>
      <c r="M10" s="96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7"/>
      <c r="C11" s="944"/>
      <c r="D11" s="933"/>
      <c r="E11" s="947"/>
      <c r="F11" s="950"/>
      <c r="G11" s="939"/>
      <c r="H11" s="953"/>
      <c r="I11" s="953"/>
      <c r="J11" s="953"/>
      <c r="K11" s="962"/>
      <c r="L11" s="153" t="s">
        <v>92</v>
      </c>
      <c r="M11" s="96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7"/>
      <c r="C12" s="944"/>
      <c r="D12" s="933"/>
      <c r="E12" s="947"/>
      <c r="F12" s="950"/>
      <c r="G12" s="939"/>
      <c r="H12" s="953"/>
      <c r="I12" s="953"/>
      <c r="J12" s="953"/>
      <c r="K12" s="962"/>
      <c r="L12" s="153" t="s">
        <v>92</v>
      </c>
      <c r="M12" s="96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7"/>
      <c r="C13" s="944"/>
      <c r="D13" s="933"/>
      <c r="E13" s="947"/>
      <c r="F13" s="950"/>
      <c r="G13" s="939"/>
      <c r="H13" s="953"/>
      <c r="I13" s="953"/>
      <c r="J13" s="953"/>
      <c r="K13" s="962"/>
      <c r="L13" s="153" t="s">
        <v>92</v>
      </c>
      <c r="M13" s="96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8"/>
      <c r="C14" s="945"/>
      <c r="D14" s="934"/>
      <c r="E14" s="948"/>
      <c r="F14" s="951"/>
      <c r="G14" s="940"/>
      <c r="H14" s="954"/>
      <c r="I14" s="954"/>
      <c r="J14" s="954"/>
      <c r="K14" s="963"/>
      <c r="L14" s="154" t="s">
        <v>93</v>
      </c>
      <c r="M14" s="96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3" t="str">
        <f>CONCATENATE(Settings!$C$19," ",Settings!$B$28)</f>
        <v>7.875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5" t="s">
        <v>315</v>
      </c>
      <c r="C2" s="1006"/>
      <c r="D2" s="1006"/>
      <c r="E2" s="1006"/>
      <c r="F2" s="1006"/>
      <c r="G2" s="1006"/>
      <c r="H2" s="1006"/>
      <c r="I2" s="1006"/>
      <c r="J2" s="1006"/>
      <c r="K2" s="1007"/>
      <c r="L2" s="992" t="str" cm="1">
        <f t="array" ref="L2">IF(OR($K$9:$K$150="Undefined"),"Undefined Element","")</f>
        <v/>
      </c>
      <c r="M2" s="1016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051" t="s">
        <v>0</v>
      </c>
      <c r="AW2" s="1053" t="s">
        <v>109</v>
      </c>
      <c r="AX2" s="1054"/>
      <c r="AY2" s="1054"/>
      <c r="AZ2" s="1054"/>
      <c r="BA2" s="1054"/>
      <c r="BB2" s="1054"/>
      <c r="BC2" s="1054"/>
      <c r="BD2" s="1054"/>
      <c r="BE2" s="1079"/>
      <c r="BF2" s="1085" t="s">
        <v>115</v>
      </c>
      <c r="BG2" s="1054"/>
      <c r="BH2" s="1054"/>
      <c r="BI2" s="1054"/>
      <c r="BJ2" s="1054"/>
      <c r="BK2" s="1054"/>
      <c r="BL2" s="1054"/>
      <c r="BM2" s="1054"/>
      <c r="BN2" s="1054"/>
      <c r="BO2" s="1054"/>
      <c r="BP2" s="1054"/>
      <c r="BQ2" s="1054"/>
      <c r="BR2" s="1054"/>
      <c r="BS2" s="1054"/>
      <c r="BT2" s="1054"/>
      <c r="BU2" s="1054"/>
      <c r="BV2" s="1054"/>
      <c r="BW2" s="1054"/>
      <c r="BX2" s="1054"/>
      <c r="BY2" s="1054"/>
      <c r="BZ2" s="1054"/>
      <c r="CA2" s="1054"/>
      <c r="CB2" s="1054"/>
      <c r="CC2" s="1054"/>
      <c r="CD2" s="1054"/>
      <c r="CE2" s="1054"/>
      <c r="CF2" s="1054"/>
      <c r="CG2" s="1054"/>
      <c r="CH2" s="1054"/>
      <c r="CI2" s="1054"/>
      <c r="CJ2" s="1054"/>
      <c r="CK2" s="1054"/>
      <c r="CL2" s="1054"/>
      <c r="CM2" s="1054"/>
      <c r="CN2" s="1054"/>
      <c r="CO2" s="1054"/>
      <c r="CP2" s="1054"/>
      <c r="CQ2" s="1054"/>
      <c r="CR2" s="1054"/>
      <c r="CS2" s="1054"/>
      <c r="CT2" s="1054"/>
      <c r="CU2" s="1054"/>
      <c r="CV2" s="1054"/>
      <c r="CW2" s="1054"/>
      <c r="CX2" s="1054"/>
      <c r="CY2" s="1054"/>
      <c r="CZ2" s="1054"/>
      <c r="DA2" s="1054"/>
      <c r="DB2" s="1054"/>
      <c r="DC2" s="1054"/>
      <c r="DD2" s="1054"/>
      <c r="DE2" s="1054"/>
      <c r="DF2" s="1054"/>
      <c r="DG2" s="1054"/>
      <c r="DH2" s="1054"/>
      <c r="DI2" s="1054"/>
      <c r="DJ2" s="1054"/>
      <c r="DK2" s="1054"/>
      <c r="DL2" s="1054"/>
      <c r="DM2" s="1054"/>
      <c r="DN2" s="1054"/>
      <c r="DO2" s="1054"/>
      <c r="DP2" s="1054"/>
      <c r="DQ2" s="1054"/>
      <c r="DR2" s="1054"/>
      <c r="DS2" s="1054"/>
      <c r="DT2" s="1054"/>
      <c r="DU2" s="1054"/>
      <c r="DV2" s="1054"/>
      <c r="DW2" s="1054"/>
      <c r="DX2" s="1054"/>
      <c r="DY2" s="1054"/>
      <c r="DZ2" s="1054"/>
      <c r="EA2" s="1054"/>
      <c r="EB2" s="1054"/>
      <c r="EC2" s="1054"/>
      <c r="ED2" s="1054"/>
      <c r="EE2" s="1054"/>
      <c r="EF2" s="1054"/>
      <c r="EG2" s="1054"/>
      <c r="EH2" s="1054"/>
      <c r="EI2" s="1054"/>
      <c r="EJ2" s="1054"/>
      <c r="EK2" s="1054"/>
      <c r="EL2" s="1054"/>
      <c r="EM2" s="1054"/>
      <c r="EN2" s="1054"/>
      <c r="EO2" s="1054"/>
      <c r="EP2" s="1054"/>
      <c r="EQ2" s="1054"/>
      <c r="ER2" s="1055"/>
      <c r="ES2" s="1211" t="s">
        <v>197</v>
      </c>
      <c r="ET2" s="1212"/>
      <c r="EU2" s="1212"/>
      <c r="EV2" s="1212"/>
      <c r="EW2" s="1212"/>
      <c r="EX2" s="1212"/>
      <c r="EY2" s="1212"/>
      <c r="EZ2" s="1212"/>
      <c r="FA2" s="1212"/>
      <c r="FB2" s="1212"/>
      <c r="FC2" s="1212"/>
      <c r="FD2" s="1212"/>
      <c r="FE2" s="1212"/>
      <c r="FF2" s="1213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2" t="s">
        <v>266</v>
      </c>
      <c r="HQ2" s="1162" t="str">
        <f>IFERROR(CONCATENATE("Sum of Lateral Forces = ",ROUND(HE3,0)," lbs @ ",ROUND(HF3,1),"° Relative to Blade 1"),"")</f>
        <v/>
      </c>
      <c r="HR2" s="1163"/>
      <c r="HS2" s="1163"/>
      <c r="HT2" s="1163"/>
      <c r="HU2" s="1163"/>
      <c r="HV2" s="1164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8"/>
      <c r="C3" s="1009"/>
      <c r="D3" s="1009"/>
      <c r="E3" s="1009"/>
      <c r="F3" s="1009"/>
      <c r="G3" s="1009"/>
      <c r="H3" s="1009"/>
      <c r="I3" s="1009"/>
      <c r="J3" s="1009"/>
      <c r="K3" s="1010"/>
      <c r="L3" s="992"/>
      <c r="M3" s="1008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056"/>
      <c r="AA3" s="1057"/>
      <c r="AB3" s="1057"/>
      <c r="AC3" s="1057"/>
      <c r="AD3" s="1057"/>
      <c r="AE3" s="1057"/>
      <c r="AF3" s="1057"/>
      <c r="AG3" s="1057"/>
      <c r="AH3" s="1057"/>
      <c r="AI3" s="1057"/>
      <c r="AJ3" s="1057"/>
      <c r="AK3" s="1057"/>
      <c r="AL3" s="1057"/>
      <c r="AM3" s="1057"/>
      <c r="AN3" s="1057"/>
      <c r="AO3" s="1057"/>
      <c r="AP3" s="1057"/>
      <c r="AQ3" s="1080"/>
      <c r="AS3" s="466">
        <v>100</v>
      </c>
      <c r="AT3" s="463" t="s">
        <v>45</v>
      </c>
      <c r="AV3" s="1052"/>
      <c r="AW3" s="1101"/>
      <c r="AX3" s="1087"/>
      <c r="AY3" s="1087"/>
      <c r="AZ3" s="1087"/>
      <c r="BA3" s="1087"/>
      <c r="BB3" s="1087"/>
      <c r="BC3" s="1087"/>
      <c r="BD3" s="1087"/>
      <c r="BE3" s="1102"/>
      <c r="BF3" s="1086"/>
      <c r="BG3" s="1087"/>
      <c r="BH3" s="1087"/>
      <c r="BI3" s="1087"/>
      <c r="BJ3" s="1087"/>
      <c r="BK3" s="1087"/>
      <c r="BL3" s="1087"/>
      <c r="BM3" s="1087"/>
      <c r="BN3" s="1087"/>
      <c r="BO3" s="1087"/>
      <c r="BP3" s="1087"/>
      <c r="BQ3" s="1087"/>
      <c r="BR3" s="1087"/>
      <c r="BS3" s="1087"/>
      <c r="BT3" s="1087"/>
      <c r="BU3" s="1087"/>
      <c r="BV3" s="1087"/>
      <c r="BW3" s="1087"/>
      <c r="BX3" s="1087"/>
      <c r="BY3" s="1087"/>
      <c r="BZ3" s="1087"/>
      <c r="CA3" s="1087"/>
      <c r="CB3" s="1087"/>
      <c r="CC3" s="1087"/>
      <c r="CD3" s="1087"/>
      <c r="CE3" s="1087"/>
      <c r="CF3" s="1087"/>
      <c r="CG3" s="1087"/>
      <c r="CH3" s="1087"/>
      <c r="CI3" s="1087"/>
      <c r="CJ3" s="1087"/>
      <c r="CK3" s="1087"/>
      <c r="CL3" s="1087"/>
      <c r="CM3" s="1087"/>
      <c r="CN3" s="1087"/>
      <c r="CO3" s="1087"/>
      <c r="CP3" s="1087"/>
      <c r="CQ3" s="1087"/>
      <c r="CR3" s="1087"/>
      <c r="CS3" s="1087"/>
      <c r="CT3" s="1087"/>
      <c r="CU3" s="1087"/>
      <c r="CV3" s="1087"/>
      <c r="CW3" s="1087"/>
      <c r="CX3" s="1087"/>
      <c r="CY3" s="1087"/>
      <c r="CZ3" s="1087"/>
      <c r="DA3" s="1087"/>
      <c r="DB3" s="1087"/>
      <c r="DC3" s="1087"/>
      <c r="DD3" s="1087"/>
      <c r="DE3" s="1087"/>
      <c r="DF3" s="1087"/>
      <c r="DG3" s="1087"/>
      <c r="DH3" s="1087"/>
      <c r="DI3" s="1087"/>
      <c r="DJ3" s="1087"/>
      <c r="DK3" s="1087"/>
      <c r="DL3" s="1087"/>
      <c r="DM3" s="1087"/>
      <c r="DN3" s="1087"/>
      <c r="DO3" s="1087"/>
      <c r="DP3" s="1087"/>
      <c r="DQ3" s="1087"/>
      <c r="DR3" s="1087"/>
      <c r="DS3" s="1087"/>
      <c r="DT3" s="1087"/>
      <c r="DU3" s="1087"/>
      <c r="DV3" s="1087"/>
      <c r="DW3" s="1087"/>
      <c r="DX3" s="1087"/>
      <c r="DY3" s="1087"/>
      <c r="DZ3" s="1087"/>
      <c r="EA3" s="1087"/>
      <c r="EB3" s="1087"/>
      <c r="EC3" s="1087"/>
      <c r="ED3" s="1087"/>
      <c r="EE3" s="1087"/>
      <c r="EF3" s="1087"/>
      <c r="EG3" s="1087"/>
      <c r="EH3" s="1087"/>
      <c r="EI3" s="1087"/>
      <c r="EJ3" s="1087"/>
      <c r="EK3" s="1087"/>
      <c r="EL3" s="1087"/>
      <c r="EM3" s="1087"/>
      <c r="EN3" s="1087"/>
      <c r="EO3" s="1087"/>
      <c r="EP3" s="1087"/>
      <c r="EQ3" s="1087"/>
      <c r="ER3" s="1088"/>
      <c r="ES3" s="1101"/>
      <c r="ET3" s="1087"/>
      <c r="EU3" s="1087"/>
      <c r="EV3" s="1087"/>
      <c r="EW3" s="1087"/>
      <c r="EX3" s="1087"/>
      <c r="EY3" s="1087"/>
      <c r="EZ3" s="1087"/>
      <c r="FA3" s="1087"/>
      <c r="FB3" s="1087"/>
      <c r="FC3" s="1087"/>
      <c r="FD3" s="1087"/>
      <c r="FE3" s="1087"/>
      <c r="FF3" s="1088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8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1"/>
      <c r="C4" s="1012"/>
      <c r="D4" s="1012"/>
      <c r="E4" s="1012"/>
      <c r="F4" s="1012"/>
      <c r="G4" s="1012"/>
      <c r="H4" s="1012"/>
      <c r="I4" s="1012"/>
      <c r="J4" s="1012"/>
      <c r="K4" s="1013"/>
      <c r="L4" s="992"/>
      <c r="M4" s="1008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$Q$4</f>
        <v>Polar XY; Cartesian Z</v>
      </c>
      <c r="X4" s="997"/>
      <c r="Y4" s="998"/>
      <c r="Z4" s="1020" t="s">
        <v>3</v>
      </c>
      <c r="AA4" s="1015"/>
      <c r="AB4" s="1015"/>
      <c r="AC4" s="1015"/>
      <c r="AD4" s="1015"/>
      <c r="AE4" s="1015"/>
      <c r="AF4" s="1015"/>
      <c r="AG4" s="1048" t="s">
        <v>31</v>
      </c>
      <c r="AH4" s="1015"/>
      <c r="AI4" s="1015"/>
      <c r="AJ4" s="1036"/>
      <c r="AK4" s="1081" t="s">
        <v>32</v>
      </c>
      <c r="AL4" s="1082"/>
      <c r="AM4" s="1082"/>
      <c r="AN4" s="1082"/>
      <c r="AO4" s="1082"/>
      <c r="AP4" s="1082"/>
      <c r="AQ4" s="1083"/>
      <c r="AS4" s="467">
        <v>125</v>
      </c>
      <c r="AT4" s="464" t="s">
        <v>46</v>
      </c>
      <c r="AV4" s="1052"/>
      <c r="AW4" s="1112" t="s">
        <v>112</v>
      </c>
      <c r="AX4" s="1094"/>
      <c r="AY4" s="884"/>
      <c r="AZ4" s="1098"/>
      <c r="BA4" s="1099"/>
      <c r="BB4" s="1103" t="s">
        <v>113</v>
      </c>
      <c r="BC4" s="997" t="str">
        <f>$Q$4</f>
        <v>Polar XY; Cartesian Z</v>
      </c>
      <c r="BD4" s="997"/>
      <c r="BE4" s="1106"/>
      <c r="BF4" s="1121" t="s">
        <v>129</v>
      </c>
      <c r="BG4" s="1122"/>
      <c r="BH4" s="1122"/>
      <c r="BI4" s="1122"/>
      <c r="BJ4" s="1122"/>
      <c r="BK4" s="1122"/>
      <c r="BL4" s="1122"/>
      <c r="BM4" s="1122"/>
      <c r="BN4" s="1122"/>
      <c r="BO4" s="1122"/>
      <c r="BP4" s="1122"/>
      <c r="BQ4" s="1122"/>
      <c r="BR4" s="1122"/>
      <c r="BS4" s="1122"/>
      <c r="BT4" s="1122"/>
      <c r="BU4" s="1122"/>
      <c r="BV4" s="1122"/>
      <c r="BW4" s="1122"/>
      <c r="BX4" s="1122"/>
      <c r="BY4" s="1122"/>
      <c r="BZ4" s="1122"/>
      <c r="CA4" s="1122"/>
      <c r="CB4" s="1122"/>
      <c r="CC4" s="1122"/>
      <c r="CD4" s="1122"/>
      <c r="CE4" s="1122"/>
      <c r="CF4" s="1122"/>
      <c r="CG4" s="1122"/>
      <c r="CH4" s="1122"/>
      <c r="CI4" s="1122"/>
      <c r="CJ4" s="1122"/>
      <c r="CK4" s="1122"/>
      <c r="CL4" s="1122"/>
      <c r="CM4" s="1122"/>
      <c r="CN4" s="1123"/>
      <c r="CO4" s="1089" t="s">
        <v>193</v>
      </c>
      <c r="CP4" s="1090"/>
      <c r="CQ4" s="1090"/>
      <c r="CR4" s="1090"/>
      <c r="CS4" s="1090"/>
      <c r="CT4" s="1090"/>
      <c r="CU4" s="1090"/>
      <c r="CV4" s="1090"/>
      <c r="CW4" s="1090"/>
      <c r="CX4" s="1090"/>
      <c r="CY4" s="1090"/>
      <c r="CZ4" s="1090"/>
      <c r="DA4" s="1091"/>
      <c r="DB4" s="1208" t="s">
        <v>162</v>
      </c>
      <c r="DC4" s="1209"/>
      <c r="DD4" s="1209"/>
      <c r="DE4" s="1209"/>
      <c r="DF4" s="1209"/>
      <c r="DG4" s="1209"/>
      <c r="DH4" s="1209"/>
      <c r="DI4" s="1209"/>
      <c r="DJ4" s="1209"/>
      <c r="DK4" s="1209"/>
      <c r="DL4" s="1209"/>
      <c r="DM4" s="1209"/>
      <c r="DN4" s="1209"/>
      <c r="DO4" s="1209"/>
      <c r="DP4" s="1209"/>
      <c r="DQ4" s="1209"/>
      <c r="DR4" s="1209"/>
      <c r="DS4" s="1209"/>
      <c r="DT4" s="1209"/>
      <c r="DU4" s="1209"/>
      <c r="DV4" s="1209"/>
      <c r="DW4" s="1209"/>
      <c r="DX4" s="1209"/>
      <c r="DY4" s="1209"/>
      <c r="DZ4" s="1209"/>
      <c r="EA4" s="1209"/>
      <c r="EB4" s="1209"/>
      <c r="EC4" s="1209"/>
      <c r="ED4" s="1209"/>
      <c r="EE4" s="1209"/>
      <c r="EF4" s="1209"/>
      <c r="EG4" s="1209"/>
      <c r="EH4" s="1209"/>
      <c r="EI4" s="1209"/>
      <c r="EJ4" s="1209"/>
      <c r="EK4" s="1209"/>
      <c r="EL4" s="1209"/>
      <c r="EM4" s="1209"/>
      <c r="EN4" s="1209"/>
      <c r="EO4" s="1209"/>
      <c r="EP4" s="1209"/>
      <c r="EQ4" s="1209"/>
      <c r="ER4" s="1210"/>
      <c r="ES4" s="1224" t="s">
        <v>196</v>
      </c>
      <c r="ET4" s="1225"/>
      <c r="EU4" s="1225"/>
      <c r="EV4" s="1225"/>
      <c r="EW4" s="1225"/>
      <c r="EX4" s="1225"/>
      <c r="EY4" s="1226"/>
      <c r="EZ4" s="1145" t="s">
        <v>201</v>
      </c>
      <c r="FA4" s="1146"/>
      <c r="FB4" s="1146"/>
      <c r="FC4" s="1146"/>
      <c r="FD4" s="1146"/>
      <c r="FE4" s="1146"/>
      <c r="FF4" s="1147"/>
      <c r="FG4" s="343"/>
      <c r="FP4" s="1182" t="s">
        <v>229</v>
      </c>
      <c r="FZ4" s="118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1174"/>
      <c r="GO4" s="1243" t="s">
        <v>229</v>
      </c>
      <c r="GP4" s="1247" t="s">
        <v>228</v>
      </c>
      <c r="GR4" s="1252" t="s">
        <v>261</v>
      </c>
      <c r="GS4" s="973" t="s">
        <v>259</v>
      </c>
      <c r="GT4" s="893"/>
      <c r="GU4" s="893"/>
      <c r="GV4" s="893"/>
      <c r="GW4" s="893"/>
      <c r="GX4" s="893"/>
      <c r="GY4" s="893"/>
      <c r="GZ4" s="893"/>
      <c r="HA4" s="1168" t="str">
        <f>IFERROR(CONCATENATE("Lateral Forces = ",ROUND(HE3,0)," lbs @ ",ROUND(HF3,1),"° Relative to Blade 1"),"")</f>
        <v/>
      </c>
      <c r="HB4" s="1169"/>
      <c r="HC4" s="1169"/>
      <c r="HD4" s="1169"/>
      <c r="HE4" s="1169"/>
      <c r="HF4" s="1169"/>
      <c r="HG4" s="1169"/>
      <c r="HH4" s="1170"/>
      <c r="HI4" s="1177" t="s">
        <v>0</v>
      </c>
      <c r="HO4" s="1199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32</v>
      </c>
      <c r="IL4" s="31"/>
      <c r="IM4" s="767"/>
    </row>
    <row r="5" spans="1:283" ht="15" customHeight="1" x14ac:dyDescent="0.25">
      <c r="B5" s="999" t="str">
        <f>CONCATENATE(B7," ; ",E7," ; ",H7)</f>
        <v>Absolute-Point ; Incremental-Vector Point ; Pocket Info.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008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about Z Axis")</f>
        <v>Relative to 1.112's θ about Z Axis</v>
      </c>
      <c r="U5" s="1022"/>
      <c r="V5" s="1073"/>
      <c r="W5" s="1022" t="str">
        <f>CONCATENATE("Relative to ",M8,"'s θ about Z Axis")</f>
        <v>Relative to 1.112's θ about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052"/>
      <c r="AW5" s="1113"/>
      <c r="AX5" s="1114"/>
      <c r="AY5" s="1115"/>
      <c r="AZ5" s="1100"/>
      <c r="BA5" s="874"/>
      <c r="BB5" s="1104"/>
      <c r="BC5" s="1109" t="str">
        <f>$W$5</f>
        <v>Relative to 1.112's θ about Z Axis</v>
      </c>
      <c r="BD5" s="1022"/>
      <c r="BE5" s="1047"/>
      <c r="BF5" s="973" t="s">
        <v>128</v>
      </c>
      <c r="BG5" s="893"/>
      <c r="BH5" s="893"/>
      <c r="BI5" s="893"/>
      <c r="BJ5" s="893"/>
      <c r="BK5" s="893"/>
      <c r="BL5" s="893"/>
      <c r="BM5" s="893"/>
      <c r="BN5" s="893"/>
      <c r="BO5" s="893"/>
      <c r="BP5" s="893"/>
      <c r="BQ5" s="893"/>
      <c r="BR5" s="915"/>
      <c r="BS5" s="973" t="s">
        <v>130</v>
      </c>
      <c r="BT5" s="893"/>
      <c r="BU5" s="893"/>
      <c r="BV5" s="893"/>
      <c r="BW5" s="893"/>
      <c r="BX5" s="893"/>
      <c r="BY5" s="893"/>
      <c r="BZ5" s="893"/>
      <c r="CA5" s="893"/>
      <c r="CB5" s="893"/>
      <c r="CC5" s="893"/>
      <c r="CD5" s="893"/>
      <c r="CE5" s="915"/>
      <c r="CF5" s="973" t="s">
        <v>138</v>
      </c>
      <c r="CG5" s="893"/>
      <c r="CH5" s="915"/>
      <c r="CI5" s="973" t="s">
        <v>139</v>
      </c>
      <c r="CJ5" s="893"/>
      <c r="CK5" s="893"/>
      <c r="CL5" s="893"/>
      <c r="CM5" s="893"/>
      <c r="CN5" s="915"/>
      <c r="CO5" s="1092" t="s">
        <v>275</v>
      </c>
      <c r="CP5" s="1092" t="s">
        <v>149</v>
      </c>
      <c r="CQ5" s="1094"/>
      <c r="CR5" s="1094"/>
      <c r="CS5" s="974"/>
      <c r="CT5" s="1094" t="s">
        <v>150</v>
      </c>
      <c r="CU5" s="884"/>
      <c r="CV5" s="973" t="s">
        <v>161</v>
      </c>
      <c r="CW5" s="893"/>
      <c r="CX5" s="893"/>
      <c r="CY5" s="893"/>
      <c r="CZ5" s="893"/>
      <c r="DA5" s="915"/>
      <c r="DB5" s="973" t="s">
        <v>163</v>
      </c>
      <c r="DC5" s="893"/>
      <c r="DD5" s="893"/>
      <c r="DE5" s="893"/>
      <c r="DF5" s="893"/>
      <c r="DG5" s="893"/>
      <c r="DH5" s="915"/>
      <c r="DI5" s="1133" t="s">
        <v>173</v>
      </c>
      <c r="DJ5" s="1133"/>
      <c r="DK5" s="1134"/>
      <c r="DL5" s="1188" t="s">
        <v>174</v>
      </c>
      <c r="DM5" s="1133"/>
      <c r="DN5" s="1189"/>
      <c r="DO5" s="1137" t="s">
        <v>175</v>
      </c>
      <c r="DP5" s="1138"/>
      <c r="DQ5" s="1138"/>
      <c r="DR5" s="1074" t="s">
        <v>187</v>
      </c>
      <c r="DS5" s="1074"/>
      <c r="DT5" s="1074"/>
      <c r="DU5" s="1074"/>
      <c r="DV5" s="1074"/>
      <c r="DW5" s="1074"/>
      <c r="DX5" s="1092" t="s">
        <v>190</v>
      </c>
      <c r="DY5" s="935" t="s">
        <v>149</v>
      </c>
      <c r="DZ5" s="1074"/>
      <c r="EA5" s="1074"/>
      <c r="EB5" s="1074"/>
      <c r="EC5" s="1074" t="s">
        <v>150</v>
      </c>
      <c r="ED5" s="1074"/>
      <c r="EE5" s="1252" t="s">
        <v>194</v>
      </c>
      <c r="EF5" s="1252"/>
      <c r="EG5" s="1200"/>
      <c r="EH5" s="1192" t="s">
        <v>195</v>
      </c>
      <c r="EI5" s="1193"/>
      <c r="EJ5" s="1194"/>
      <c r="EK5" s="1074" t="s">
        <v>188</v>
      </c>
      <c r="EL5" s="1092"/>
      <c r="EM5" s="973" t="s">
        <v>189</v>
      </c>
      <c r="EN5" s="893"/>
      <c r="EO5" s="893"/>
      <c r="EP5" s="893"/>
      <c r="EQ5" s="893"/>
      <c r="ER5" s="1125"/>
      <c r="ES5" s="1112" t="s">
        <v>202</v>
      </c>
      <c r="ET5" s="1094"/>
      <c r="EU5" s="974"/>
      <c r="EV5" s="1227" t="s">
        <v>222</v>
      </c>
      <c r="EW5" s="1228"/>
      <c r="EX5" s="1228"/>
      <c r="EY5" s="1229"/>
      <c r="EZ5" s="1218" t="s">
        <v>200</v>
      </c>
      <c r="FA5" s="969" t="s">
        <v>202</v>
      </c>
      <c r="FB5" s="1154"/>
      <c r="FC5" s="970"/>
      <c r="FD5" s="1158" t="s">
        <v>222</v>
      </c>
      <c r="FE5" s="1159"/>
      <c r="FF5" s="1160"/>
      <c r="FP5" s="1199"/>
      <c r="FQ5" s="31"/>
      <c r="FR5" s="31"/>
      <c r="FS5" s="31"/>
      <c r="FT5" s="31"/>
      <c r="FZ5" s="1199"/>
      <c r="GJ5" s="1240" t="s">
        <v>269</v>
      </c>
      <c r="GK5" s="1202" t="s">
        <v>267</v>
      </c>
      <c r="GL5" s="1204" t="s">
        <v>110</v>
      </c>
      <c r="GM5" s="1204" t="s">
        <v>111</v>
      </c>
      <c r="GN5" s="1205"/>
      <c r="GO5" s="1244"/>
      <c r="GP5" s="1248"/>
      <c r="GQ5" s="31"/>
      <c r="GR5" s="992"/>
      <c r="GS5" s="1100" t="s">
        <v>248</v>
      </c>
      <c r="GT5" s="1258"/>
      <c r="GU5" s="1254" t="s">
        <v>249</v>
      </c>
      <c r="GV5" s="1255"/>
      <c r="GW5" s="1256"/>
      <c r="GX5" s="1257"/>
      <c r="GY5" s="1242" t="s">
        <v>107</v>
      </c>
      <c r="GZ5" s="876"/>
      <c r="HA5" s="1165" t="s">
        <v>248</v>
      </c>
      <c r="HB5" s="1166"/>
      <c r="HC5" s="1166"/>
      <c r="HD5" s="1167"/>
      <c r="HE5" s="1184" t="s">
        <v>249</v>
      </c>
      <c r="HF5" s="1166"/>
      <c r="HG5" s="1166"/>
      <c r="HH5" s="1185"/>
      <c r="HI5" s="1178"/>
      <c r="HN5" s="386" t="s">
        <v>263</v>
      </c>
      <c r="HO5" s="58" t="s">
        <v>264</v>
      </c>
      <c r="HS5" s="1171" t="s">
        <v>274</v>
      </c>
      <c r="HZ5" s="383"/>
    </row>
    <row r="6" spans="1:283" ht="15" customHeight="1" thickBot="1" x14ac:dyDescent="0.4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/>
      </c>
      <c r="M6" s="1008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$Q$6</f>
        <v>Projected XY</v>
      </c>
      <c r="X6" s="1019"/>
      <c r="Y6" s="1067" t="str">
        <f>$S$6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76" t="str">
        <f>AD6</f>
        <v>Unit Vector</v>
      </c>
      <c r="AL6" s="1077"/>
      <c r="AM6" s="1078"/>
      <c r="AN6" s="34" t="s">
        <v>15</v>
      </c>
      <c r="AO6" s="35" t="s">
        <v>16</v>
      </c>
      <c r="AP6" s="737" t="s">
        <v>17</v>
      </c>
      <c r="AQ6" s="1059" t="s">
        <v>108</v>
      </c>
      <c r="AS6" s="172">
        <f>(AS5/360)</f>
        <v>6.9444444444444447E-4</v>
      </c>
      <c r="AT6" s="465" t="s">
        <v>48</v>
      </c>
      <c r="AV6" s="1052"/>
      <c r="AW6" s="1044" t="s">
        <v>105</v>
      </c>
      <c r="AX6" s="1045"/>
      <c r="AY6" s="195" t="s">
        <v>110</v>
      </c>
      <c r="AZ6" s="1110" t="s">
        <v>111</v>
      </c>
      <c r="BA6" s="1111"/>
      <c r="BB6" s="1105"/>
      <c r="BC6" s="1018" t="str">
        <f>$Q$6</f>
        <v>Projected XY</v>
      </c>
      <c r="BD6" s="1019"/>
      <c r="BE6" s="1107" t="str">
        <f>$S$6</f>
        <v>Z</v>
      </c>
      <c r="BF6" s="919" t="s">
        <v>125</v>
      </c>
      <c r="BG6" s="917"/>
      <c r="BH6" s="1124"/>
      <c r="BI6" s="897" t="s">
        <v>126</v>
      </c>
      <c r="BJ6" s="917"/>
      <c r="BK6" s="898"/>
      <c r="BL6" s="920" t="s">
        <v>127</v>
      </c>
      <c r="BM6" s="917"/>
      <c r="BN6" s="921"/>
      <c r="BO6" s="919" t="s">
        <v>135</v>
      </c>
      <c r="BP6" s="917"/>
      <c r="BQ6" s="917"/>
      <c r="BR6" s="921"/>
      <c r="BS6" s="919" t="s">
        <v>125</v>
      </c>
      <c r="BT6" s="917"/>
      <c r="BU6" s="1124"/>
      <c r="BV6" s="897" t="s">
        <v>126</v>
      </c>
      <c r="BW6" s="917"/>
      <c r="BX6" s="898"/>
      <c r="BY6" s="920" t="s">
        <v>127</v>
      </c>
      <c r="BZ6" s="917"/>
      <c r="CA6" s="921"/>
      <c r="CB6" s="919" t="s">
        <v>135</v>
      </c>
      <c r="CC6" s="917"/>
      <c r="CD6" s="917"/>
      <c r="CE6" s="921"/>
      <c r="CF6" s="925" t="s">
        <v>136</v>
      </c>
      <c r="CG6" s="1097"/>
      <c r="CH6" s="1097"/>
      <c r="CI6" s="1128" t="s">
        <v>137</v>
      </c>
      <c r="CJ6" s="1097"/>
      <c r="CK6" s="926"/>
      <c r="CL6" s="1126" t="s">
        <v>140</v>
      </c>
      <c r="CM6" s="1097"/>
      <c r="CN6" s="1127"/>
      <c r="CO6" s="1093"/>
      <c r="CP6" s="1093"/>
      <c r="CQ6" s="989"/>
      <c r="CR6" s="989"/>
      <c r="CS6" s="1095"/>
      <c r="CT6" s="989"/>
      <c r="CU6" s="1096"/>
      <c r="CV6" s="1035" t="s">
        <v>147</v>
      </c>
      <c r="CW6" s="917"/>
      <c r="CX6" s="898"/>
      <c r="CY6" s="1116" t="s">
        <v>148</v>
      </c>
      <c r="CZ6" s="1117"/>
      <c r="DA6" s="1118"/>
      <c r="DB6" s="1129" t="s">
        <v>176</v>
      </c>
      <c r="DC6" s="1130"/>
      <c r="DD6" s="1131"/>
      <c r="DE6" s="1132" t="s">
        <v>177</v>
      </c>
      <c r="DF6" s="1130"/>
      <c r="DG6" s="1131"/>
      <c r="DH6" s="253" t="s">
        <v>29</v>
      </c>
      <c r="DI6" s="1135"/>
      <c r="DJ6" s="1135"/>
      <c r="DK6" s="1136"/>
      <c r="DL6" s="1190"/>
      <c r="DM6" s="1135"/>
      <c r="DN6" s="1191"/>
      <c r="DO6" s="1139"/>
      <c r="DP6" s="1140"/>
      <c r="DQ6" s="1140"/>
      <c r="DR6" s="1075"/>
      <c r="DS6" s="1075"/>
      <c r="DT6" s="1075"/>
      <c r="DU6" s="1075"/>
      <c r="DV6" s="1075"/>
      <c r="DW6" s="1075"/>
      <c r="DX6" s="1093"/>
      <c r="DY6" s="1141"/>
      <c r="DZ6" s="1075"/>
      <c r="EA6" s="1075"/>
      <c r="EB6" s="1075"/>
      <c r="EC6" s="1075"/>
      <c r="ED6" s="1075"/>
      <c r="EE6" s="1259"/>
      <c r="EF6" s="1259"/>
      <c r="EG6" s="1260"/>
      <c r="EH6" s="1195"/>
      <c r="EI6" s="1196"/>
      <c r="EJ6" s="1197"/>
      <c r="EK6" s="1075"/>
      <c r="EL6" s="1093"/>
      <c r="EM6" s="1149" t="s">
        <v>199</v>
      </c>
      <c r="EN6" s="1143"/>
      <c r="EO6" s="1187"/>
      <c r="EP6" s="1142" t="s">
        <v>198</v>
      </c>
      <c r="EQ6" s="1143"/>
      <c r="ER6" s="1144"/>
      <c r="ES6" s="988"/>
      <c r="ET6" s="989"/>
      <c r="EU6" s="1095"/>
      <c r="EV6" s="274" t="s">
        <v>221</v>
      </c>
      <c r="EW6" s="1142" t="s">
        <v>202</v>
      </c>
      <c r="EX6" s="1143"/>
      <c r="EY6" s="1148"/>
      <c r="EZ6" s="1219"/>
      <c r="FA6" s="1155"/>
      <c r="FB6" s="1156"/>
      <c r="FC6" s="1157"/>
      <c r="FD6" s="1149" t="s">
        <v>202</v>
      </c>
      <c r="FE6" s="1143"/>
      <c r="FF6" s="1144"/>
      <c r="FG6" s="1151" t="s">
        <v>224</v>
      </c>
      <c r="FH6" s="1152"/>
      <c r="FI6" s="1153"/>
      <c r="FJ6" s="1074" t="s">
        <v>203</v>
      </c>
      <c r="FK6" s="1092" t="s">
        <v>214</v>
      </c>
      <c r="FL6" s="1094"/>
      <c r="FM6" s="974"/>
      <c r="FN6" s="1119" t="s">
        <v>204</v>
      </c>
      <c r="FO6" s="1221" t="s">
        <v>227</v>
      </c>
      <c r="FP6" s="1214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2" t="s">
        <v>218</v>
      </c>
      <c r="FV6" s="1094"/>
      <c r="FW6" s="974"/>
      <c r="FX6" s="1119" t="s">
        <v>219</v>
      </c>
      <c r="FY6" s="1221" t="s">
        <v>227</v>
      </c>
      <c r="FZ6" s="1214" t="s">
        <v>225</v>
      </c>
      <c r="GA6" s="1216" t="s">
        <v>239</v>
      </c>
      <c r="GB6" s="336" t="s">
        <v>207</v>
      </c>
      <c r="GC6" s="337" t="s">
        <v>240</v>
      </c>
      <c r="GD6" s="338" t="s">
        <v>226</v>
      </c>
      <c r="GE6" s="1238"/>
      <c r="GF6" s="1200" t="s">
        <v>260</v>
      </c>
      <c r="GG6" s="336" t="s">
        <v>207</v>
      </c>
      <c r="GH6" s="337" t="s">
        <v>240</v>
      </c>
      <c r="GI6" s="338" t="s">
        <v>226</v>
      </c>
      <c r="GJ6" s="1241"/>
      <c r="GK6" s="1203"/>
      <c r="GL6" s="1206"/>
      <c r="GM6" s="1206"/>
      <c r="GN6" s="1207"/>
      <c r="GO6" s="1245" t="s">
        <v>238</v>
      </c>
      <c r="GP6" s="1249" t="s">
        <v>225</v>
      </c>
      <c r="GQ6" s="1094" t="s">
        <v>203</v>
      </c>
      <c r="GR6" s="992"/>
      <c r="GS6" s="1175" t="s">
        <v>252</v>
      </c>
      <c r="GT6" s="1176"/>
      <c r="GU6" s="1161" t="s">
        <v>251</v>
      </c>
      <c r="GV6" s="1117"/>
      <c r="GW6" s="1117"/>
      <c r="GX6" s="361" t="s">
        <v>106</v>
      </c>
      <c r="GY6" s="897" t="s">
        <v>250</v>
      </c>
      <c r="GZ6" s="1124"/>
      <c r="HA6" s="1223" t="s">
        <v>252</v>
      </c>
      <c r="HB6" s="1130"/>
      <c r="HC6" s="1130"/>
      <c r="HD6" s="1131"/>
      <c r="HE6" s="897" t="s">
        <v>251</v>
      </c>
      <c r="HF6" s="917"/>
      <c r="HG6" s="917"/>
      <c r="HH6" s="921"/>
      <c r="HI6" s="1178"/>
      <c r="HN6" s="956" t="s">
        <v>238</v>
      </c>
      <c r="HO6" s="959" t="s">
        <v>265</v>
      </c>
      <c r="HP6" s="935" t="s">
        <v>203</v>
      </c>
      <c r="HQ6" s="391"/>
      <c r="HS6" s="1172"/>
      <c r="HT6" s="890" t="s">
        <v>270</v>
      </c>
      <c r="HU6" s="903"/>
      <c r="HV6" s="1174"/>
      <c r="HW6" s="973" t="s">
        <v>258</v>
      </c>
      <c r="HX6" s="893"/>
      <c r="HY6" s="915"/>
      <c r="HZ6" s="973" t="s">
        <v>249</v>
      </c>
      <c r="IA6" s="890"/>
      <c r="IE6" s="853"/>
      <c r="IF6" s="853"/>
    </row>
    <row r="7" spans="1:283" ht="15" customHeight="1" thickBot="1" x14ac:dyDescent="0.4">
      <c r="A7" s="143"/>
      <c r="B7" s="1023" t="s">
        <v>40</v>
      </c>
      <c r="C7" s="1024"/>
      <c r="D7" s="1025"/>
      <c r="E7" s="1026" t="s">
        <v>41</v>
      </c>
      <c r="F7" s="1024"/>
      <c r="G7" s="1027"/>
      <c r="H7" s="994" t="s">
        <v>98</v>
      </c>
      <c r="I7" s="995"/>
      <c r="J7" s="996"/>
      <c r="K7" s="173"/>
      <c r="L7" s="992"/>
      <c r="M7" s="1017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$Q$7</f>
        <v>&lt; θ°</v>
      </c>
      <c r="X7" s="27" t="str">
        <f>$R$7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0"/>
      <c r="AS7" s="1065" t="s">
        <v>54</v>
      </c>
      <c r="AT7" s="1063" t="s">
        <v>53</v>
      </c>
      <c r="AV7" s="105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5"/>
      <c r="BC7" s="37" t="str">
        <f>$Q$7</f>
        <v>&lt; θ°</v>
      </c>
      <c r="BD7" s="27" t="str">
        <f>$R$7</f>
        <v>r</v>
      </c>
      <c r="BE7" s="1108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0"/>
      <c r="FK7" s="350" t="s">
        <v>211</v>
      </c>
      <c r="FL7" s="351" t="s">
        <v>212</v>
      </c>
      <c r="FM7" s="352" t="s">
        <v>213</v>
      </c>
      <c r="FN7" s="1120"/>
      <c r="FO7" s="1222"/>
      <c r="FP7" s="1215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0"/>
      <c r="FY7" s="1222"/>
      <c r="FZ7" s="1215"/>
      <c r="GA7" s="1217"/>
      <c r="GB7" s="223" t="s">
        <v>232</v>
      </c>
      <c r="GC7" s="131" t="s">
        <v>233</v>
      </c>
      <c r="GD7" s="224" t="s">
        <v>234</v>
      </c>
      <c r="GE7" s="1239"/>
      <c r="GF7" s="1201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6"/>
      <c r="GP7" s="1250"/>
      <c r="GQ7" s="1251"/>
      <c r="GR7" s="125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9"/>
      <c r="HJ7" s="31"/>
      <c r="HK7" s="1182" t="s">
        <v>246</v>
      </c>
      <c r="HL7" s="1182" t="s">
        <v>237</v>
      </c>
      <c r="HM7" s="883" t="s">
        <v>245</v>
      </c>
      <c r="HN7" s="957"/>
      <c r="HO7" s="1186"/>
      <c r="HP7" s="1180"/>
      <c r="HQ7" s="392"/>
      <c r="HR7" s="412"/>
      <c r="HS7" s="1172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981" t="s">
        <v>364</v>
      </c>
      <c r="JC7" s="981"/>
      <c r="JD7" s="981"/>
      <c r="JE7" s="98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2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-0.10330031155373964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6"/>
      <c r="AT8" s="1064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3"/>
      <c r="HL8" s="1183"/>
      <c r="HM8" s="968"/>
      <c r="HN8" s="958"/>
      <c r="HO8" s="960"/>
      <c r="HP8" s="1181"/>
      <c r="HQ8" s="393" t="s">
        <v>49</v>
      </c>
      <c r="HR8" s="413" t="s">
        <v>51</v>
      </c>
      <c r="HS8" s="1173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0.34250103298311552</v>
      </c>
      <c r="D9" s="704">
        <v>-0.50390151976698372</v>
      </c>
      <c r="E9" s="705">
        <v>-0.93969263802333458</v>
      </c>
      <c r="F9" s="703">
        <v>-8.852130215629557E-2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0.34250103298311552</v>
      </c>
      <c r="P9" s="625">
        <f t="shared" ref="P9:P40" si="4">IF(M9="","",D9)</f>
        <v>-0.50390151976698372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0.34250103298311552</v>
      </c>
      <c r="S9" s="626">
        <f>IF(M9="","",P9)</f>
        <v>-0.50390151976698372</v>
      </c>
      <c r="T9" s="627">
        <f>IF(M9="","",X9*COS(RADIANS(W9)))</f>
        <v>0.34245793021550841</v>
      </c>
      <c r="U9" s="624">
        <f>IF(M9="","",X9*SIN(RADIANS(W9)))</f>
        <v>5.4335648529454331E-3</v>
      </c>
      <c r="V9" s="628">
        <f>IF(M9="","",Y9)</f>
        <v>-0.50390151976698372</v>
      </c>
      <c r="W9" s="583">
        <f t="shared" ref="W9:W14" si="5">IF(M9="","",IF(Q9-$Q$8&lt;0,360+Q9-$Q$8,Q9-$Q$8))</f>
        <v>0.90899986875665206</v>
      </c>
      <c r="X9" s="629">
        <f>IF(M9="","",R9)</f>
        <v>0.34250103298311552</v>
      </c>
      <c r="Y9" s="630">
        <f>IF(M9="","",S9)</f>
        <v>-0.50390151976698372</v>
      </c>
      <c r="Z9" s="623">
        <f t="shared" ref="Z9:Z40" si="6">IF(M9="","",-E9)</f>
        <v>0.93969263802333458</v>
      </c>
      <c r="AA9" s="624">
        <f t="shared" ref="AA9:AA40" si="7">IF(M9="","",-F9)</f>
        <v>8.852130215629557E-2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8.852130215629557E-2</v>
      </c>
      <c r="AF9" s="625">
        <f>IF(M9="","",AB9*(1/SQRT(Z9^2+AA9^2+AB9^2)))</f>
        <v>-0.33036604714967344</v>
      </c>
      <c r="AG9" s="599">
        <f>IF(M9="","",DEGREES(ATAN2(-AF9,AE9)))</f>
        <v>14.999997834268262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8.852130215629557E-2</v>
      </c>
      <c r="AM9" s="626">
        <f>IF(M9="","",AF9)</f>
        <v>-0.33036604714967344</v>
      </c>
      <c r="AN9" s="581">
        <f>IF(M9="","",DEGREES(ATAN2(-AM9,AL9)))</f>
        <v>14.999997834268262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5.3815187622394784</v>
      </c>
      <c r="AQ9" s="584">
        <f t="shared" ref="AQ9:AQ40" si="9">IF(M9="","",DEGREES(ATAN(($AS$5*SIN(RADIANS(90)))/(($X9*2*PI())-($AS$5*COS(RADIANS(90)))))))</f>
        <v>6.6264131685611538</v>
      </c>
      <c r="AS9" s="51">
        <f>IF(M9="","",W9)</f>
        <v>0.90899986875665206</v>
      </c>
      <c r="AT9" s="71">
        <f t="shared" ref="AT9:AT40" si="10">IF(M9="","",Y9+(((AS9-$AS$9)*$AS$6)*-1))</f>
        <v>-0.50390151976698372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1.0397031357446576</v>
      </c>
      <c r="D10" s="709">
        <v>-0.3171009563764845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1.0397031357446576</v>
      </c>
      <c r="P10" s="633">
        <f t="shared" si="4"/>
        <v>-0.3171009563764845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1.0397031357446576</v>
      </c>
      <c r="S10" s="634">
        <f t="shared" ref="S10:S105" si="80">IF(M10="","",P10)</f>
        <v>-0.3171009563764845</v>
      </c>
      <c r="T10" s="635">
        <f t="shared" ref="T10:T105" si="81">IF(M10="","",X10*COS(RADIANS(W10)))</f>
        <v>1.0395722921023769</v>
      </c>
      <c r="U10" s="629">
        <f t="shared" ref="U10:U105" si="82">IF(M10="","",X10*SIN(RADIANS(W10)))</f>
        <v>1.6494240518561656E-2</v>
      </c>
      <c r="V10" s="636">
        <f>IF(M10="","",Y10)</f>
        <v>-0.3171009563764845</v>
      </c>
      <c r="W10" s="585">
        <f t="shared" si="5"/>
        <v>0.90899986875665206</v>
      </c>
      <c r="X10" s="629">
        <f t="shared" ref="X10:X105" si="83">IF(M10="","",R10)</f>
        <v>1.0397031357446576</v>
      </c>
      <c r="Y10" s="630">
        <f>IF(M10="","",S10)</f>
        <v>-0.3171009563764845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2.1916012491785049</v>
      </c>
      <c r="AS10" s="52">
        <f>IF($M10="","",IF(AND($W10&lt;($AS$9+180),$W10&gt;($AS$9-180)),$W10,IF($W10&gt;($AS$9+180),$W10-360,IF($W10&lt;($AS$9-180),$W10+360,"Error"))))</f>
        <v>0.90899986875665206</v>
      </c>
      <c r="AT10" s="72">
        <f t="shared" si="10"/>
        <v>-0.3171009563764845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1513</v>
      </c>
      <c r="JB10" s="787" cm="1">
        <f t="array" ref="JB10">IF($JA10="","",COUNT(IF(IF($II$9:$II$150="",$IJ$9:$IJ$150,"")=$JA10,$IG$9:$IG$150,"")))</f>
        <v>4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1.7115051618995685</v>
      </c>
      <c r="D11" s="709">
        <v>-0.11310034111062879</v>
      </c>
      <c r="E11" s="710">
        <v>-0.96592583607220739</v>
      </c>
      <c r="F11" s="708">
        <v>-5.0271535051510788E-2</v>
      </c>
      <c r="G11" s="711">
        <v>0.2538898421988795</v>
      </c>
      <c r="H11" s="710">
        <v>0.28999999999999998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1513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1.7115051618995685</v>
      </c>
      <c r="P11" s="633">
        <f t="shared" si="4"/>
        <v>-0.11310034111062879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1.7115051618995685</v>
      </c>
      <c r="S11" s="634">
        <f t="shared" si="80"/>
        <v>-0.11310034111062879</v>
      </c>
      <c r="T11" s="635">
        <f t="shared" si="81"/>
        <v>1.7112897739090296</v>
      </c>
      <c r="U11" s="629">
        <f t="shared" si="82"/>
        <v>2.7151959841798856E-2</v>
      </c>
      <c r="V11" s="636">
        <f t="shared" ref="V11:V105" si="114">IF(M11="","",Y11)</f>
        <v>-0.11310034111062879</v>
      </c>
      <c r="W11" s="585">
        <f t="shared" si="5"/>
        <v>0.90899986875665206</v>
      </c>
      <c r="X11" s="629">
        <f>IF(M11="","",R11)</f>
        <v>1.7115051618995685</v>
      </c>
      <c r="Y11" s="630">
        <f>IF(M11="","",S11)</f>
        <v>-0.11310034111062879</v>
      </c>
      <c r="Z11" s="632">
        <f t="shared" si="6"/>
        <v>0.96592583607220739</v>
      </c>
      <c r="AA11" s="629">
        <f t="shared" si="7"/>
        <v>5.0271535051510788E-2</v>
      </c>
      <c r="AB11" s="629">
        <f t="shared" si="8"/>
        <v>-0.2538898421988795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5.0271535051510788E-2</v>
      </c>
      <c r="AF11" s="633">
        <f t="shared" si="86"/>
        <v>-0.2538898421988795</v>
      </c>
      <c r="AG11" s="602">
        <f>IF(M11="","",DEGREES(ATAN2(-AF11,AE11)))</f>
        <v>11.199998382920306</v>
      </c>
      <c r="AH11" s="603">
        <f t="shared" si="88"/>
        <v>14.999997834268255</v>
      </c>
      <c r="AI11" s="585">
        <f t="shared" si="89"/>
        <v>-75.292186949482485</v>
      </c>
      <c r="AJ11" s="586">
        <f t="shared" si="90"/>
        <v>92.979266377344999</v>
      </c>
      <c r="AK11" s="635">
        <f>IF(M11="","",(COS(RADIANS((90-$Q$8)-W11))*AD11)+(-SIN(RADIANS((90-$Q$8)-W11))*AE11))</f>
        <v>0.96592583607220739</v>
      </c>
      <c r="AL11" s="629">
        <f t="shared" si="91"/>
        <v>5.0271535051510788E-2</v>
      </c>
      <c r="AM11" s="634">
        <f t="shared" si="92"/>
        <v>-0.2538898421988795</v>
      </c>
      <c r="AN11" s="581">
        <f>IF(M11="","",DEGREES(ATAN2(-AM11,AL11)))</f>
        <v>11.199998382920306</v>
      </c>
      <c r="AO11" s="582">
        <f>IF(ROUND(IF(M11="",0,DEGREES(ACOS(AK11))),4)=90,0,IF(M11="","",DEGREES(ACOS(AK11))))</f>
        <v>14.999997834268255</v>
      </c>
      <c r="AP11" s="585">
        <f t="shared" si="95"/>
        <v>2.9792663773450134</v>
      </c>
      <c r="AQ11" s="586">
        <f t="shared" si="9"/>
        <v>1.3317611393699091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-0.11310034111062879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1513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4.0132230681740488E-2</v>
      </c>
      <c r="C12" s="708">
        <v>2.5293892731859016</v>
      </c>
      <c r="D12" s="709">
        <v>-0.10330031155373964</v>
      </c>
      <c r="E12" s="710">
        <v>-0.96115222939803513</v>
      </c>
      <c r="F12" s="708">
        <v>0.12713249436304336</v>
      </c>
      <c r="G12" s="711">
        <v>0.24499738937429033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4.0132230681740488E-2</v>
      </c>
      <c r="O12" s="629">
        <f t="shared" si="3"/>
        <v>2.5293892731859016</v>
      </c>
      <c r="P12" s="633">
        <f t="shared" si="4"/>
        <v>-0.10330031155373964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2.5297076295982102</v>
      </c>
      <c r="S12" s="634">
        <f t="shared" si="80"/>
        <v>-0.10330031155373964</v>
      </c>
      <c r="T12" s="635">
        <f>IF(M12="","",X12*COS(RADIANS(W12)))</f>
        <v>2.5297076295982102</v>
      </c>
      <c r="U12" s="629">
        <f t="shared" si="82"/>
        <v>0</v>
      </c>
      <c r="V12" s="636">
        <f t="shared" si="114"/>
        <v>-0.10330031155373964</v>
      </c>
      <c r="W12" s="585">
        <f>IF(M12="","",IF(Q12-$Q$8&lt;0,360+Q12-$Q$8,Q12-$Q$8))</f>
        <v>0</v>
      </c>
      <c r="X12" s="629">
        <f t="shared" si="83"/>
        <v>2.5297076295982102</v>
      </c>
      <c r="Y12" s="630">
        <f>IF(M12="","",S12)</f>
        <v>-0.10330031155373964</v>
      </c>
      <c r="Z12" s="632">
        <f t="shared" si="6"/>
        <v>0.96115222939803513</v>
      </c>
      <c r="AA12" s="629">
        <f t="shared" si="7"/>
        <v>-0.12713249436304336</v>
      </c>
      <c r="AB12" s="629">
        <f t="shared" si="8"/>
        <v>-0.24499738937429033</v>
      </c>
      <c r="AC12" s="636">
        <f t="shared" si="84"/>
        <v>1</v>
      </c>
      <c r="AD12" s="637">
        <f t="shared" si="115"/>
        <v>0.96115222939803513</v>
      </c>
      <c r="AE12" s="629">
        <f t="shared" si="85"/>
        <v>-0.12713249436304336</v>
      </c>
      <c r="AF12" s="633">
        <f t="shared" si="86"/>
        <v>-0.24499738937429033</v>
      </c>
      <c r="AG12" s="602">
        <f t="shared" si="87"/>
        <v>-27.425415709647478</v>
      </c>
      <c r="AH12" s="603">
        <f t="shared" si="88"/>
        <v>16.022738694456642</v>
      </c>
      <c r="AI12" s="585">
        <f t="shared" si="89"/>
        <v>-75.818320551192713</v>
      </c>
      <c r="AJ12" s="586">
        <f t="shared" si="90"/>
        <v>82.465173195690269</v>
      </c>
      <c r="AK12" s="635">
        <f t="shared" ref="AK12:AK105" si="211">IF(M12="","",(COS(RADIANS((90-$Q$8)-W12))*AD12)+(-SIN(RADIANS((90-$Q$8)-W12))*AE12))</f>
        <v>0.96304814873644928</v>
      </c>
      <c r="AL12" s="629">
        <f>IF(M12="","",(SIN(RADIANS((90-$Q$8)-W12))*AD12)+(COS(RADIANS((90-$Q$8)-W12))*AE12))</f>
        <v>-0.11186841562782718</v>
      </c>
      <c r="AM12" s="634">
        <f t="shared" si="92"/>
        <v>-0.24499738937429033</v>
      </c>
      <c r="AN12" s="581">
        <f>IF(M12="","",DEGREES(ATAN2(-AM12,AL12)))</f>
        <v>-24.54194365811097</v>
      </c>
      <c r="AO12" s="582">
        <f t="shared" si="94"/>
        <v>15.624359248728833</v>
      </c>
      <c r="AP12" s="585">
        <f t="shared" si="95"/>
        <v>-6.6258269355530892</v>
      </c>
      <c r="AQ12" s="586">
        <f t="shared" si="9"/>
        <v>0.90110755899813211</v>
      </c>
      <c r="AS12" s="52">
        <f t="shared" si="116"/>
        <v>0</v>
      </c>
      <c r="AT12" s="72">
        <f>IF(M12="","",Y12+(((AS12-$AS$9)*$AS$6)*-1))</f>
        <v>-0.10266906164488086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0.10671800505799521</v>
      </c>
      <c r="C13" s="708">
        <v>3.2095359730593964</v>
      </c>
      <c r="D13" s="709">
        <v>-0.48070144979557244</v>
      </c>
      <c r="E13" s="710">
        <v>-0.93431531721094707</v>
      </c>
      <c r="F13" s="708">
        <v>0.29514909530410416</v>
      </c>
      <c r="G13" s="711">
        <v>0.1998546961324057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1.1180000000000001</v>
      </c>
      <c r="N13" s="632">
        <f t="shared" si="2"/>
        <v>0.10671800505799521</v>
      </c>
      <c r="O13" s="629">
        <f t="shared" si="3"/>
        <v>3.2095359730593964</v>
      </c>
      <c r="P13" s="633">
        <f t="shared" si="4"/>
        <v>-0.48070144979557244</v>
      </c>
      <c r="Q13" s="585">
        <f t="shared" si="113"/>
        <v>88.095600274961299</v>
      </c>
      <c r="R13" s="629">
        <f t="shared" si="79"/>
        <v>3.2113096853100114</v>
      </c>
      <c r="S13" s="634">
        <f t="shared" si="80"/>
        <v>-0.48070144979557244</v>
      </c>
      <c r="T13" s="635">
        <f>IF(M13="","",X13*COS(RADIANS(W13)))</f>
        <v>3.2108250766700936</v>
      </c>
      <c r="U13" s="629">
        <f t="shared" si="82"/>
        <v>-5.5787292391470795E-2</v>
      </c>
      <c r="V13" s="636">
        <f t="shared" si="114"/>
        <v>-0.48070144979557244</v>
      </c>
      <c r="W13" s="585">
        <f t="shared" si="5"/>
        <v>359.00460014371794</v>
      </c>
      <c r="X13" s="629">
        <f t="shared" si="83"/>
        <v>3.2113096853100114</v>
      </c>
      <c r="Y13" s="630">
        <f>IF(M13="","",S13)</f>
        <v>-0.48070144979557244</v>
      </c>
      <c r="Z13" s="632">
        <f t="shared" si="6"/>
        <v>0.93431531721094707</v>
      </c>
      <c r="AA13" s="629">
        <f t="shared" si="7"/>
        <v>-0.29514909530410416</v>
      </c>
      <c r="AB13" s="629">
        <f t="shared" si="8"/>
        <v>-0.1998546961324057</v>
      </c>
      <c r="AC13" s="636">
        <f t="shared" si="84"/>
        <v>1</v>
      </c>
      <c r="AD13" s="637">
        <f>IF(M13="","",Z13*(1/SQRT(Z13^2+AA13^2+AB13^2)))</f>
        <v>0.93431531721094707</v>
      </c>
      <c r="AE13" s="629">
        <f t="shared" si="85"/>
        <v>-0.29514909530410416</v>
      </c>
      <c r="AF13" s="633">
        <f t="shared" si="86"/>
        <v>-0.1998546961324057</v>
      </c>
      <c r="AG13" s="602">
        <f>IF(M13="","",DEGREES(ATAN2(-AF13,AE13)))</f>
        <v>-55.896840711143341</v>
      </c>
      <c r="AH13" s="603">
        <f t="shared" si="88"/>
        <v>20.882190246745836</v>
      </c>
      <c r="AI13" s="585">
        <f t="shared" si="89"/>
        <v>-78.471537810668664</v>
      </c>
      <c r="AJ13" s="586">
        <f t="shared" si="90"/>
        <v>72.468735449451714</v>
      </c>
      <c r="AK13" s="635">
        <f t="shared" si="211"/>
        <v>0.94360763687041693</v>
      </c>
      <c r="AL13" s="629">
        <f t="shared" si="91"/>
        <v>-0.2639369774655515</v>
      </c>
      <c r="AM13" s="634">
        <f t="shared" si="92"/>
        <v>-0.1998546961324057</v>
      </c>
      <c r="AN13" s="581">
        <f t="shared" si="93"/>
        <v>-52.866771483808151</v>
      </c>
      <c r="AO13" s="582">
        <f t="shared" si="94"/>
        <v>19.3334838175562</v>
      </c>
      <c r="AP13" s="585">
        <f t="shared" si="95"/>
        <v>-15.626864825509541</v>
      </c>
      <c r="AQ13" s="586">
        <f t="shared" si="9"/>
        <v>0.70986924566868148</v>
      </c>
      <c r="AS13" s="52">
        <f t="shared" si="116"/>
        <v>-0.99539985628206296</v>
      </c>
      <c r="AT13" s="72">
        <f t="shared" si="10"/>
        <v>-0.47937894998651776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0.15517694081864869</v>
      </c>
      <c r="C14" s="708">
        <v>3.6043720558351167</v>
      </c>
      <c r="D14" s="709">
        <v>-1.147403460568837</v>
      </c>
      <c r="E14" s="710">
        <v>-0.88476121279145259</v>
      </c>
      <c r="F14" s="708">
        <v>0.45069575733765771</v>
      </c>
      <c r="G14" s="711">
        <v>0.11862095370394438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0.15517694081864869</v>
      </c>
      <c r="O14" s="629">
        <f t="shared" si="3"/>
        <v>3.6043720558351167</v>
      </c>
      <c r="P14" s="633">
        <f t="shared" si="4"/>
        <v>-1.147403460568837</v>
      </c>
      <c r="Q14" s="585">
        <f t="shared" si="113"/>
        <v>87.534800355930798</v>
      </c>
      <c r="R14" s="629">
        <f t="shared" si="79"/>
        <v>3.607710880856017</v>
      </c>
      <c r="S14" s="634">
        <f t="shared" si="80"/>
        <v>-1.147403460568837</v>
      </c>
      <c r="T14" s="635">
        <f t="shared" si="81"/>
        <v>3.6063802411960095</v>
      </c>
      <c r="U14" s="629">
        <f t="shared" si="82"/>
        <v>-9.7976302022010436E-2</v>
      </c>
      <c r="V14" s="636">
        <f t="shared" si="114"/>
        <v>-1.147403460568837</v>
      </c>
      <c r="W14" s="585">
        <f t="shared" si="5"/>
        <v>358.44380022468744</v>
      </c>
      <c r="X14" s="629">
        <f t="shared" si="83"/>
        <v>3.607710880856017</v>
      </c>
      <c r="Y14" s="630">
        <f t="shared" ref="Y14:Y75" si="223">IF(M14="","",S14)</f>
        <v>-1.147403460568837</v>
      </c>
      <c r="Z14" s="632">
        <f t="shared" si="6"/>
        <v>0.88476121279145259</v>
      </c>
      <c r="AA14" s="629">
        <f t="shared" si="7"/>
        <v>-0.45069575733765771</v>
      </c>
      <c r="AB14" s="629">
        <f t="shared" si="8"/>
        <v>-0.11862095370394438</v>
      </c>
      <c r="AC14" s="636">
        <f t="shared" si="84"/>
        <v>1</v>
      </c>
      <c r="AD14" s="637">
        <f>IF(M14="","",Z14*(1/SQRT(Z14^2+AA14^2+AB14^2)))</f>
        <v>0.88476121279145259</v>
      </c>
      <c r="AE14" s="629">
        <f t="shared" si="85"/>
        <v>-0.45069575733765771</v>
      </c>
      <c r="AF14" s="633">
        <f t="shared" si="86"/>
        <v>-0.11862095370394438</v>
      </c>
      <c r="AG14" s="602">
        <f t="shared" si="87"/>
        <v>-75.254438930157605</v>
      </c>
      <c r="AH14" s="603">
        <f t="shared" si="88"/>
        <v>27.777849622497421</v>
      </c>
      <c r="AI14" s="585">
        <f t="shared" si="89"/>
        <v>-83.187479414473628</v>
      </c>
      <c r="AJ14" s="586">
        <f t="shared" si="90"/>
        <v>63.005789068358261</v>
      </c>
      <c r="AK14" s="635">
        <f>IF(M14="","",(COS(RADIANS((90-$Q$8)-W14))*AD14)+(-SIN(RADIANS((90-$Q$8)-W14))*AE14))</f>
        <v>0.9033279794201905</v>
      </c>
      <c r="AL14" s="629">
        <f t="shared" si="91"/>
        <v>-0.41222279284266039</v>
      </c>
      <c r="AM14" s="634">
        <f t="shared" si="92"/>
        <v>-0.11862095370394438</v>
      </c>
      <c r="AN14" s="581">
        <f t="shared" si="93"/>
        <v>-73.946333635013175</v>
      </c>
      <c r="AO14" s="582">
        <f t="shared" si="94"/>
        <v>25.400976888737702</v>
      </c>
      <c r="AP14" s="585">
        <f>IF(M14="","",DEGREES(ATAN2(AK14,AL14)))</f>
        <v>-24.529011287572505</v>
      </c>
      <c r="AQ14" s="586">
        <f t="shared" si="9"/>
        <v>0.63187829702389975</v>
      </c>
      <c r="AS14" s="52">
        <f t="shared" si="116"/>
        <v>-1.5561997753125638</v>
      </c>
      <c r="AT14" s="72">
        <f t="shared" si="10"/>
        <v>-1.1456915163715666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0.16499936313482874</v>
      </c>
      <c r="C15" s="708">
        <v>3.6832171826962794</v>
      </c>
      <c r="D15" s="709">
        <v>-1.9392058486448396</v>
      </c>
      <c r="E15" s="710">
        <v>-0.84278140031771642</v>
      </c>
      <c r="F15" s="708">
        <v>0.53825599047153783</v>
      </c>
      <c r="G15" s="711">
        <v>1.1339743348047648E-7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90</v>
      </c>
      <c r="M15" s="168">
        <f t="shared" si="1"/>
        <v>1.1299999999999999</v>
      </c>
      <c r="N15" s="632">
        <f t="shared" si="2"/>
        <v>0.16499936313482874</v>
      </c>
      <c r="O15" s="629">
        <f t="shared" si="3"/>
        <v>3.6832171826962794</v>
      </c>
      <c r="P15" s="633">
        <f t="shared" si="4"/>
        <v>-1.9392058486448396</v>
      </c>
      <c r="Q15" s="585">
        <f t="shared" si="113"/>
        <v>87.435000370340134</v>
      </c>
      <c r="R15" s="629">
        <f t="shared" si="79"/>
        <v>3.6869111197239368</v>
      </c>
      <c r="S15" s="634">
        <f t="shared" si="80"/>
        <v>-1.9392058486448396</v>
      </c>
      <c r="T15" s="635">
        <f t="shared" si="81"/>
        <v>3.6853712722170888</v>
      </c>
      <c r="U15" s="629">
        <f t="shared" si="82"/>
        <v>-0.10654665954880585</v>
      </c>
      <c r="V15" s="636">
        <f t="shared" si="114"/>
        <v>-1.9392058486448396</v>
      </c>
      <c r="W15" s="585">
        <f t="shared" ref="W15:W78" si="224">IF(M15="","",IF(Q15-$Q$8&lt;0,360+Q15-$Q$8,Q15-$Q$8))</f>
        <v>358.34400023909683</v>
      </c>
      <c r="X15" s="629">
        <f>IF(M15="","",R15)</f>
        <v>3.6869111197239368</v>
      </c>
      <c r="Y15" s="630">
        <f>IF(M15="","",S15)</f>
        <v>-1.9392058486448396</v>
      </c>
      <c r="Z15" s="632">
        <f t="shared" si="6"/>
        <v>0.84278140031771642</v>
      </c>
      <c r="AA15" s="629">
        <f t="shared" si="7"/>
        <v>-0.53825599047153783</v>
      </c>
      <c r="AB15" s="629">
        <f t="shared" si="8"/>
        <v>-1.1339743348047648E-7</v>
      </c>
      <c r="AC15" s="636">
        <f t="shared" si="84"/>
        <v>1</v>
      </c>
      <c r="AD15" s="637">
        <f t="shared" si="115"/>
        <v>0.84278140031771642</v>
      </c>
      <c r="AE15" s="629">
        <f t="shared" si="85"/>
        <v>-0.53825599047153783</v>
      </c>
      <c r="AF15" s="633">
        <f t="shared" si="86"/>
        <v>-1.1339743348047648E-7</v>
      </c>
      <c r="AG15" s="602">
        <f t="shared" si="87"/>
        <v>-89.999987929174111</v>
      </c>
      <c r="AH15" s="603">
        <f t="shared" si="88"/>
        <v>32.564995298196344</v>
      </c>
      <c r="AI15" s="585">
        <f t="shared" si="89"/>
        <v>-89.999993502805651</v>
      </c>
      <c r="AJ15" s="586">
        <f t="shared" si="90"/>
        <v>57.435004701804232</v>
      </c>
      <c r="AK15" s="635">
        <f t="shared" si="211"/>
        <v>0.86602544158358552</v>
      </c>
      <c r="AL15" s="629">
        <f t="shared" si="91"/>
        <v>-0.49999993452993863</v>
      </c>
      <c r="AM15" s="634">
        <f t="shared" si="92"/>
        <v>-1.1339743348047648E-7</v>
      </c>
      <c r="AN15" s="581">
        <f>IF(M15="","",DEGREES(ATAN2(-AM15,AL15)))</f>
        <v>-89.999987005609611</v>
      </c>
      <c r="AO15" s="582">
        <f t="shared" si="94"/>
        <v>29.999995668536549</v>
      </c>
      <c r="AP15" s="585">
        <f t="shared" si="95"/>
        <v>-29.999995668535913</v>
      </c>
      <c r="AQ15" s="586">
        <f t="shared" si="9"/>
        <v>0.61830569314593531</v>
      </c>
      <c r="AS15" s="52">
        <f t="shared" si="116"/>
        <v>-1.6559997609031711</v>
      </c>
      <c r="AT15" s="72">
        <f t="shared" si="10"/>
        <v>-1.9374245989020202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0.84664451138934105</v>
      </c>
      <c r="C16" s="708">
        <v>2.4073690957275056</v>
      </c>
      <c r="D16" s="709">
        <v>-6.7500203580614149E-2</v>
      </c>
      <c r="E16" s="710">
        <v>-0.83436064895461359</v>
      </c>
      <c r="F16" s="708">
        <v>0.44852539122902285</v>
      </c>
      <c r="G16" s="711">
        <v>0.32041735424113377</v>
      </c>
      <c r="H16" s="710">
        <v>0.26600000000000001</v>
      </c>
      <c r="I16" s="708">
        <v>0.52</v>
      </c>
      <c r="J16" s="570">
        <v>1.212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1.212</v>
      </c>
      <c r="N16" s="632">
        <f t="shared" si="2"/>
        <v>0.84664451138934105</v>
      </c>
      <c r="O16" s="629">
        <f t="shared" si="3"/>
        <v>2.4073690957275056</v>
      </c>
      <c r="P16" s="633">
        <f t="shared" si="4"/>
        <v>-6.7500203580614149E-2</v>
      </c>
      <c r="Q16" s="585">
        <f>IF(M16="","",IF(DEGREES(ATAN2(N16,O16))&lt;0,DEGREES(ATAN2(N16,O16))+360,IF(DEGREES(ATAN2(N16,O16))&gt;360,DEGREES(ATAN2(N16,O16))-360,DEGREES(ATAN2(N16,O16)))))</f>
        <v>70.623802797576744</v>
      </c>
      <c r="R16" s="629">
        <f t="shared" si="79"/>
        <v>2.5519076965536125</v>
      </c>
      <c r="S16" s="634">
        <f t="shared" si="80"/>
        <v>-6.7500203580614149E-2</v>
      </c>
      <c r="T16" s="635">
        <f t="shared" si="81"/>
        <v>2.4204976213561222</v>
      </c>
      <c r="U16" s="629">
        <f t="shared" si="82"/>
        <v>-0.80834655732483851</v>
      </c>
      <c r="V16" s="636">
        <f t="shared" si="114"/>
        <v>-6.7500203580614149E-2</v>
      </c>
      <c r="W16" s="585">
        <f>IF(M16="","",IF(Q16-$Q$8&lt;0,360+Q16-$Q$8,Q16-$Q$8))</f>
        <v>341.5328026663334</v>
      </c>
      <c r="X16" s="629">
        <f t="shared" si="83"/>
        <v>2.5519076965536125</v>
      </c>
      <c r="Y16" s="630">
        <f t="shared" si="223"/>
        <v>-6.7500203580614149E-2</v>
      </c>
      <c r="Z16" s="632">
        <f t="shared" si="6"/>
        <v>0.83436064895461359</v>
      </c>
      <c r="AA16" s="629">
        <f t="shared" si="7"/>
        <v>-0.44852539122902285</v>
      </c>
      <c r="AB16" s="629">
        <f t="shared" si="8"/>
        <v>-0.32041735424113377</v>
      </c>
      <c r="AC16" s="636">
        <f t="shared" si="84"/>
        <v>1</v>
      </c>
      <c r="AD16" s="637">
        <f t="shared" si="115"/>
        <v>0.83436064895461359</v>
      </c>
      <c r="AE16" s="629">
        <f t="shared" si="85"/>
        <v>-0.44852539122902285</v>
      </c>
      <c r="AF16" s="633">
        <f t="shared" si="86"/>
        <v>-0.32041735424113377</v>
      </c>
      <c r="AG16" s="602">
        <f t="shared" si="87"/>
        <v>-54.458763415530896</v>
      </c>
      <c r="AH16" s="603">
        <f t="shared" si="88"/>
        <v>33.450676827052924</v>
      </c>
      <c r="AI16" s="585">
        <f t="shared" si="89"/>
        <v>-71.311833428561741</v>
      </c>
      <c r="AJ16" s="586">
        <f t="shared" si="90"/>
        <v>61.738958006532179</v>
      </c>
      <c r="AK16" s="635">
        <f t="shared" si="211"/>
        <v>0.93590987045213281</v>
      </c>
      <c r="AL16" s="629">
        <f t="shared" si="91"/>
        <v>-0.14630595849583161</v>
      </c>
      <c r="AM16" s="634">
        <f t="shared" si="92"/>
        <v>-0.32041735424113377</v>
      </c>
      <c r="AN16" s="581">
        <f t="shared" si="93"/>
        <v>-24.541941316455958</v>
      </c>
      <c r="AO16" s="582">
        <f t="shared" si="94"/>
        <v>20.624358522645291</v>
      </c>
      <c r="AP16" s="585">
        <f t="shared" si="95"/>
        <v>-8.8848447910445696</v>
      </c>
      <c r="AQ16" s="586">
        <f t="shared" si="9"/>
        <v>0.89326973927312614</v>
      </c>
      <c r="AS16" s="52">
        <f t="shared" si="116"/>
        <v>-18.467197333666604</v>
      </c>
      <c r="AT16" s="72">
        <f t="shared" si="10"/>
        <v>-5.404451107893133E-2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734" cm="1">
        <f t="array" ref="II16">IFERROR(ROUND(VALUE(IF($IH16&lt;1,$IH16+LARGE((IF($M$9:$M$150="",0,$M$9:$M$150)-MOD(IF($M$9:$M$150="",0,$M$9:$M$150),1)),1),$IH16)),4),"")</f>
        <v>1.1120000000000001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18.467197333666604</v>
      </c>
      <c r="IM16" s="759">
        <v>1.12027556275087E-2</v>
      </c>
      <c r="IN16" s="5">
        <f>IF(ISNUMBER($II16),(($IO16*12)/60)/$AS$3,"")</f>
        <v>0.22</v>
      </c>
      <c r="IO16" s="771">
        <v>110</v>
      </c>
      <c r="IP16" s="9">
        <f>IF(ISNUMBER($II16),(INDEX($X$9:$X$150,MATCH($II16,$M$9:$M$150,0))*-1),"")</f>
        <v>-2.5297076295982102</v>
      </c>
      <c r="IQ16" s="5">
        <f>IF(ISNUMBER($II16),INDEX($Y$9:$Y$150,MATCH($II16,$M$9:$M$150,0)),"")</f>
        <v>-0.10330031155373964</v>
      </c>
      <c r="IR16" s="5">
        <f t="shared" si="71"/>
        <v>0.314</v>
      </c>
      <c r="IS16" s="5">
        <f>IF(ISNUMBER($II16),$IR16*COS(RADIANS(INDEX($AO$9:$AO$150,MATCH($II16,$M$9:$M$150,0)))),"")</f>
        <v>0.30239711870324509</v>
      </c>
      <c r="IT16" s="727">
        <f>IF(ISNUMBER($II16),(-1*INDEX($AN$9:$AN$150,MATCH($II16,$M$9:$M$150,0))),"")</f>
        <v>24.54194365811097</v>
      </c>
      <c r="IU16" s="9">
        <f>IF(ISNUMBER($II16),-$X16,"")</f>
        <v>-2.5519076965536125</v>
      </c>
      <c r="IV16" s="5">
        <f>IF(ISNUMBER($II16),$Y16,"")</f>
        <v>-6.7500203580614149E-2</v>
      </c>
      <c r="IW16" s="5">
        <f t="shared" si="76"/>
        <v>0.26600000000000001</v>
      </c>
      <c r="IX16" s="5">
        <f>IF(ISNUMBER($II16),$IW16*COS(RADIANS($AO16)),"")</f>
        <v>0.24895202554026735</v>
      </c>
      <c r="IY16" s="762">
        <f>IF(ISNUMBER($II16),(-1*$AN16),"")</f>
        <v>24.541941316455958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0.9976442194611741</v>
      </c>
      <c r="C17" s="708">
        <v>3.0976181790806057</v>
      </c>
      <c r="D17" s="709">
        <v>-0.45930138525297814</v>
      </c>
      <c r="E17" s="710">
        <v>-0.76658652147053274</v>
      </c>
      <c r="F17" s="708">
        <v>0.59200780553881116</v>
      </c>
      <c r="G17" s="711">
        <v>0.24874055415398127</v>
      </c>
      <c r="H17" s="710">
        <v>0.26600000000000001</v>
      </c>
      <c r="I17" s="708">
        <v>0.52</v>
      </c>
      <c r="J17" s="570">
        <v>1.218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1.218</v>
      </c>
      <c r="N17" s="632">
        <f t="shared" si="2"/>
        <v>0.9976442194611741</v>
      </c>
      <c r="O17" s="629">
        <f t="shared" si="3"/>
        <v>3.0976181790806057</v>
      </c>
      <c r="P17" s="633">
        <f t="shared" si="4"/>
        <v>-0.45930138525297814</v>
      </c>
      <c r="Q17" s="585">
        <f>IF(M17="","",IF(DEGREES(ATAN2(N17,O17))&lt;0,DEGREES(ATAN2(N17,O17))+360,IF(DEGREES(ATAN2(N17,O17))&gt;360,DEGREES(ATAN2(N17,O17))-360,DEGREES(ATAN2(N17,O17)))))</f>
        <v>72.147902577523965</v>
      </c>
      <c r="R17" s="629">
        <f>IF(M17="","",SQRT(N17^2+O17^2))</f>
        <v>3.2543098149984035</v>
      </c>
      <c r="S17" s="634">
        <f>IF(M17="","",P17)</f>
        <v>-0.45930138525297814</v>
      </c>
      <c r="T17" s="635">
        <f>IF(M17="","",X17*COS(RADIANS(W17)))</f>
        <v>3.1130553548580013</v>
      </c>
      <c r="U17" s="629">
        <f>IF(M17="","",X17*SIN(RADIANS(W17)))</f>
        <v>-0.94837689216095244</v>
      </c>
      <c r="V17" s="636">
        <f>IF(M17="","",Y17)</f>
        <v>-0.45930138525297814</v>
      </c>
      <c r="W17" s="585">
        <f t="shared" si="224"/>
        <v>343.05690244628062</v>
      </c>
      <c r="X17" s="629">
        <f>IF(M17="","",R17)</f>
        <v>3.2543098149984035</v>
      </c>
      <c r="Y17" s="630">
        <f t="shared" si="223"/>
        <v>-0.45930138525297814</v>
      </c>
      <c r="Z17" s="632">
        <f t="shared" si="6"/>
        <v>0.76658652147053274</v>
      </c>
      <c r="AA17" s="629">
        <f t="shared" si="7"/>
        <v>-0.59200780553881116</v>
      </c>
      <c r="AB17" s="629">
        <f t="shared" si="8"/>
        <v>-0.24874055415398127</v>
      </c>
      <c r="AC17" s="636">
        <f>IF(M17="","",SQRT(Z17^2+AA17^2+AB17^2))</f>
        <v>1</v>
      </c>
      <c r="AD17" s="637">
        <f>IF(M17="","",Z17*(1/SQRT(Z17^2+AA17^2+AB17^2)))</f>
        <v>0.76658652147053274</v>
      </c>
      <c r="AE17" s="629">
        <f>IF(M17="","",AA17*(1/SQRT(Z17^2+AA17^2+AB17^2)))</f>
        <v>-0.59200780553881116</v>
      </c>
      <c r="AF17" s="633">
        <f>IF(M17="","",AB17*(1/SQRT(Z17^2+AA17^2+AB17^2)))</f>
        <v>-0.24874055415398127</v>
      </c>
      <c r="AG17" s="602">
        <f>IF(M17="","",DEGREES(ATAN2(-AF17,AE17)))</f>
        <v>-67.209591880885455</v>
      </c>
      <c r="AH17" s="603">
        <f>IF(M17="","",DEGREES(ACOS(AD17)))</f>
        <v>39.951656770878976</v>
      </c>
      <c r="AI17" s="585">
        <f>IF(M17="","",DEGREES(-ACOS(-AF17)))</f>
        <v>-75.597002813748119</v>
      </c>
      <c r="AJ17" s="586">
        <f>IF(M17="","",DEGREES(ATAN2(-AE17,AD17)))</f>
        <v>52.322353442234338</v>
      </c>
      <c r="AK17" s="635">
        <f>IF(M17="","",(COS(RADIANS((90-$Q$8)-W17))*AD17)+(-SIN(RADIANS((90-$Q$8)-W17))*AE17))</f>
        <v>0.91116263612978488</v>
      </c>
      <c r="AL17" s="629">
        <f>IF(M17="","",(SIN(RADIANS((90-$Q$8)-W17))*AD17)+(COS(RADIANS((90-$Q$8)-W17))*AE17))</f>
        <v>-0.32849777356961141</v>
      </c>
      <c r="AM17" s="634">
        <f>IF(M17="","",AF17)</f>
        <v>-0.24874055415398127</v>
      </c>
      <c r="AN17" s="581">
        <f>IF(M17="","",DEGREES(ATAN2(-AM17,AL17)))</f>
        <v>-52.866768409497205</v>
      </c>
      <c r="AO17" s="582">
        <f t="shared" si="94"/>
        <v>24.333483082800441</v>
      </c>
      <c r="AP17" s="585">
        <f>IF(M17="","",DEGREES(ATAN2(AK17,AL17)))</f>
        <v>-19.825549135289588</v>
      </c>
      <c r="AQ17" s="586">
        <f t="shared" si="9"/>
        <v>0.70049048046405404</v>
      </c>
      <c r="AS17" s="52">
        <f t="shared" si="116"/>
        <v>-16.943097553719383</v>
      </c>
      <c r="AT17" s="72">
        <f t="shared" si="10"/>
        <v>-0.44690409537625869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1.218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734" cm="1">
        <f t="array" ref="II17">IFERROR(ROUND(VALUE(IF($IH17&lt;1,$IH17+LARGE((IF($M$9:$M$150="",0,$M$9:$M$150)-MOD(IF($M$9:$M$150="",0,$M$9:$M$150),1)),1),$IH17)),4),"")</f>
        <v>1.1180000000000001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15.94769769743732</v>
      </c>
      <c r="IM17" s="759">
        <v>5.5927440746486798E-3</v>
      </c>
      <c r="IN17" s="5">
        <f t="shared" ref="IN17:IN80" si="226">IF(ISNUMBER($II17),(($IO17*12)/60)/$AS$3,"")</f>
        <v>0.2</v>
      </c>
      <c r="IO17" s="771">
        <v>100</v>
      </c>
      <c r="IP17" s="9">
        <f t="shared" ref="IP17:IP80" si="227">IF(ISNUMBER($II17),(INDEX($X$9:$X$150,MATCH($II17,$M$9:$M$150,0))*-1),"")</f>
        <v>-3.2113096853100114</v>
      </c>
      <c r="IQ17" s="5">
        <f t="shared" ref="IQ17:IQ80" si="228">IF(ISNUMBER($II17),INDEX($Y$9:$Y$150,MATCH($II17,$M$9:$M$150,0)),"")</f>
        <v>-0.48070144979557244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0.2962927979773109</v>
      </c>
      <c r="IT17" s="727">
        <f t="shared" ref="IT17:IT80" si="230">IF(ISNUMBER($II17),(-1*INDEX($AN$9:$AN$150,MATCH($II17,$M$9:$M$150,0))),"")</f>
        <v>52.866771483808151</v>
      </c>
      <c r="IU17" s="9">
        <f t="shared" ref="IU17:IU80" si="231">IF(ISNUMBER($II17),-$X17,"")</f>
        <v>-3.2543098149984035</v>
      </c>
      <c r="IV17" s="5">
        <f t="shared" ref="IV17:IV80" si="232">IF(ISNUMBER($II17),$Y17,"")</f>
        <v>-0.45930138525297814</v>
      </c>
      <c r="IW17" s="5">
        <f t="shared" si="76"/>
        <v>0.26600000000000001</v>
      </c>
      <c r="IX17" s="5">
        <f t="shared" ref="IX17:IX80" si="233">IF(ISNUMBER($II17),$IW17*COS(RADIANS($AO17)),"")</f>
        <v>0.24236926121052282</v>
      </c>
      <c r="IY17" s="762">
        <f t="shared" ref="IY17:IY80" si="234">IF(ISNUMBER($II17),(-1*$AN17),"")</f>
        <v>52.866768409497205</v>
      </c>
    </row>
    <row r="18" spans="1:269" ht="15" customHeight="1" x14ac:dyDescent="0.25">
      <c r="A18" s="79"/>
      <c r="B18" s="707">
        <v>1.27882226272345</v>
      </c>
      <c r="C18" s="708">
        <v>3.4014588759333568</v>
      </c>
      <c r="D18" s="709">
        <v>-1.1524034756488841</v>
      </c>
      <c r="E18" s="710">
        <v>0.28325273916114929</v>
      </c>
      <c r="F18" s="708">
        <v>0.75340678371732617</v>
      </c>
      <c r="G18" s="711">
        <v>0.59341899531984998</v>
      </c>
      <c r="H18" s="710">
        <v>0.25700000000000001</v>
      </c>
      <c r="I18" s="708">
        <v>0.41499999999999992</v>
      </c>
      <c r="J18" s="570">
        <v>1.224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1.224</v>
      </c>
      <c r="N18" s="632">
        <f t="shared" si="2"/>
        <v>1.27882226272345</v>
      </c>
      <c r="O18" s="629">
        <f t="shared" si="3"/>
        <v>3.4014588759333568</v>
      </c>
      <c r="P18" s="633">
        <f t="shared" si="4"/>
        <v>-1.1524034756488841</v>
      </c>
      <c r="Q18" s="585">
        <f t="shared" si="113"/>
        <v>69.395602974906865</v>
      </c>
      <c r="R18" s="629">
        <f>IF(M18="","",SQRT(N18^2+O18^2))</f>
        <v>3.6339109598754535</v>
      </c>
      <c r="S18" s="634">
        <f>IF(M18="","",P18)</f>
        <v>-1.1524034756488841</v>
      </c>
      <c r="T18" s="635">
        <f>IF(M18="","",X18*COS(RADIANS(W18)))</f>
        <v>3.421318528177907</v>
      </c>
      <c r="U18" s="629">
        <f>IF(M18="","",X18*SIN(RADIANS(W18)))</f>
        <v>-1.2246993071972814</v>
      </c>
      <c r="V18" s="636">
        <f>IF(M18="","",Y18)</f>
        <v>-1.1524034756488841</v>
      </c>
      <c r="W18" s="585">
        <f t="shared" si="224"/>
        <v>340.30460284366353</v>
      </c>
      <c r="X18" s="629">
        <f>IF(M18="","",R18)</f>
        <v>3.6339109598754535</v>
      </c>
      <c r="Y18" s="630">
        <f t="shared" si="223"/>
        <v>-1.1524034756488841</v>
      </c>
      <c r="Z18" s="632">
        <f t="shared" si="6"/>
        <v>-0.28325273916114929</v>
      </c>
      <c r="AA18" s="629">
        <f t="shared" si="7"/>
        <v>-0.75340678371732617</v>
      </c>
      <c r="AB18" s="629">
        <f t="shared" si="8"/>
        <v>-0.59341899531984998</v>
      </c>
      <c r="AC18" s="636">
        <f>IF(M18="","",SQRT(Z18^2+AA18^2+AB18^2))</f>
        <v>1</v>
      </c>
      <c r="AD18" s="637">
        <f>IF(M18="","",Z18*(1/SQRT(Z18^2+AA18^2+AB18^2)))</f>
        <v>-0.28325273916114929</v>
      </c>
      <c r="AE18" s="629">
        <f>IF(M18="","",AA18*(1/SQRT(Z18^2+AA18^2+AB18^2)))</f>
        <v>-0.75340678371732617</v>
      </c>
      <c r="AF18" s="633">
        <f>IF(M18="","",AB18*(1/SQRT(Z18^2+AA18^2+AB18^2)))</f>
        <v>-0.59341899531984998</v>
      </c>
      <c r="AG18" s="602">
        <f>IF(M18="","",DEGREES(ATAN2(-AF18,AE18)))</f>
        <v>-51.774350873429057</v>
      </c>
      <c r="AH18" s="603">
        <f>IF(M18="","",DEGREES(ACOS(AD18)))</f>
        <v>106.45443466984685</v>
      </c>
      <c r="AI18" s="585">
        <f>IF(M18="","",DEGREES(-ACOS(-AF18)))</f>
        <v>-53.599992261119652</v>
      </c>
      <c r="AJ18" s="586">
        <f>IF(M18="","",DEGREES(ATAN2(-AE18,AD18)))</f>
        <v>-20.604380880861772</v>
      </c>
      <c r="AK18" s="635">
        <f>IF(M18="","",(COS(RADIANS((90-$Q$8)-W18))*AD18)+(-SIN(RADIANS((90-$Q$8)-W18))*AE18))</f>
        <v>2.2679489708465894E-7</v>
      </c>
      <c r="AL18" s="629">
        <f>IF(M18="","",(SIN(RADIANS((90-$Q$8)-W18))*AD18)+(COS(RADIANS((90-$Q$8)-W18))*AE18))</f>
        <v>-0.80489371720341352</v>
      </c>
      <c r="AM18" s="634">
        <f>IF(M18="","",AF18)</f>
        <v>-0.59341899531984998</v>
      </c>
      <c r="AN18" s="581">
        <f>IF(M18="","",DEGREES(ATAN2(-AM18,AL18)))</f>
        <v>-53.59999226111858</v>
      </c>
      <c r="AO18" s="582">
        <f t="shared" si="94"/>
        <v>0</v>
      </c>
      <c r="AP18" s="585">
        <f>IF(M18="","",DEGREES(ATAN2(AK18,AL18)))</f>
        <v>-89.999983855768619</v>
      </c>
      <c r="AQ18" s="586">
        <f t="shared" si="9"/>
        <v>0.62732289276197351</v>
      </c>
      <c r="AS18" s="52">
        <f t="shared" si="116"/>
        <v>-19.695397156336469</v>
      </c>
      <c r="AT18" s="72">
        <f t="shared" si="10"/>
        <v>-1.1380948666036805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1.224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734" cm="1">
        <f t="array" ref="II18">IFERROR(ROUND(VALUE(IF($IH18&lt;1,$IH18+LARGE((IF($M$9:$M$150="",0,$M$9:$M$150)-MOD(IF($M$9:$M$150="",0,$M$9:$M$150),1)),1),$IH18)),4),"")</f>
        <v>1.1240000000000001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18.139197381023905</v>
      </c>
      <c r="IM18" s="759">
        <v>2.0276663651224202E-3</v>
      </c>
      <c r="IN18" s="5">
        <f t="shared" si="226"/>
        <v>0.06</v>
      </c>
      <c r="IO18" s="771">
        <v>30</v>
      </c>
      <c r="IP18" s="9">
        <f t="shared" si="227"/>
        <v>-3.607710880856017</v>
      </c>
      <c r="IQ18" s="5">
        <f t="shared" si="228"/>
        <v>-1.147403460568837</v>
      </c>
      <c r="IR18" s="5">
        <f t="shared" si="71"/>
        <v>0.314</v>
      </c>
      <c r="IS18" s="5">
        <f t="shared" si="229"/>
        <v>0.28364498553793982</v>
      </c>
      <c r="IT18" s="727">
        <f t="shared" si="230"/>
        <v>73.946333635013175</v>
      </c>
      <c r="IU18" s="9">
        <f t="shared" si="231"/>
        <v>-3.6339109598754535</v>
      </c>
      <c r="IV18" s="5">
        <f t="shared" si="232"/>
        <v>-1.1524034756488841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53.59999226111858</v>
      </c>
    </row>
    <row r="19" spans="1:269" ht="15" customHeight="1" thickBot="1" x14ac:dyDescent="0.3">
      <c r="A19" s="79"/>
      <c r="B19" s="707">
        <v>1.3328679030114661</v>
      </c>
      <c r="C19" s="708">
        <v>3.4542802568994917</v>
      </c>
      <c r="D19" s="709">
        <v>-1.9521058875513571</v>
      </c>
      <c r="E19" s="710">
        <v>0.3599900336721219</v>
      </c>
      <c r="F19" s="708">
        <v>0.93295614883910449</v>
      </c>
      <c r="G19" s="711">
        <v>2.2679489633423987E-7</v>
      </c>
      <c r="H19" s="710">
        <v>0.25700000000000001</v>
      </c>
      <c r="I19" s="708">
        <v>0.41499999999999992</v>
      </c>
      <c r="J19" s="570">
        <v>1.23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1.23</v>
      </c>
      <c r="N19" s="632">
        <f t="shared" si="2"/>
        <v>1.3328679030114661</v>
      </c>
      <c r="O19" s="629">
        <f t="shared" si="3"/>
        <v>3.4542802568994917</v>
      </c>
      <c r="P19" s="633">
        <f t="shared" si="4"/>
        <v>-1.9521058875513571</v>
      </c>
      <c r="Q19" s="585">
        <f t="shared" si="113"/>
        <v>68.90040304640489</v>
      </c>
      <c r="R19" s="629">
        <f>IF(M19="","",SQRT(N19^2+O19^2))</f>
        <v>3.7025111667736805</v>
      </c>
      <c r="S19" s="634">
        <f>IF(M19="","",P19)</f>
        <v>-1.9521058875513571</v>
      </c>
      <c r="T19" s="635">
        <f>IF(M19="","",X19*COS(RADIANS(W19)))</f>
        <v>3.4749906620345588</v>
      </c>
      <c r="U19" s="629">
        <f>IF(M19="","",X19*SIN(RADIANS(W19)))</f>
        <v>-1.277900167797321</v>
      </c>
      <c r="V19" s="636">
        <f>IF(M19="","",Y19)</f>
        <v>-1.9521058875513571</v>
      </c>
      <c r="W19" s="585">
        <f t="shared" si="224"/>
        <v>339.80940291516157</v>
      </c>
      <c r="X19" s="629">
        <f>IF(M19="","",R19)</f>
        <v>3.7025111667736805</v>
      </c>
      <c r="Y19" s="630">
        <f t="shared" si="223"/>
        <v>-1.9521058875513571</v>
      </c>
      <c r="Z19" s="632">
        <f t="shared" si="6"/>
        <v>-0.3599900336721219</v>
      </c>
      <c r="AA19" s="629">
        <f t="shared" si="7"/>
        <v>-0.93295614883910449</v>
      </c>
      <c r="AB19" s="629">
        <f t="shared" si="8"/>
        <v>-2.2679489633423987E-7</v>
      </c>
      <c r="AC19" s="636">
        <f>IF(M19="","",SQRT(Z19^2+AA19^2+AB19^2))</f>
        <v>1</v>
      </c>
      <c r="AD19" s="637">
        <f>IF(M19="","",Z19*(1/SQRT(Z19^2+AA19^2+AB19^2)))</f>
        <v>-0.3599900336721219</v>
      </c>
      <c r="AE19" s="629">
        <f>IF(M19="","",AA19*(1/SQRT(Z19^2+AA19^2+AB19^2)))</f>
        <v>-0.93295614883910449</v>
      </c>
      <c r="AF19" s="633">
        <f>IF(M19="","",AB19*(1/SQRT(Z19^2+AA19^2+AB19^2)))</f>
        <v>-2.2679489633423987E-7</v>
      </c>
      <c r="AG19" s="602">
        <f>IF(M19="","",DEGREES(ATAN2(-AF19,AE19)))</f>
        <v>-89.999986071810142</v>
      </c>
      <c r="AH19" s="603">
        <f>IF(M19="","",DEGREES(ACOS(AD19)))</f>
        <v>111.09958395920417</v>
      </c>
      <c r="AI19" s="585">
        <f>IF(M19="","",DEGREES(-ACOS(-AF19)))</f>
        <v>-89.999987005609626</v>
      </c>
      <c r="AJ19" s="586">
        <f>IF(M19="","",DEGREES(ATAN2(-AE19,AD19)))</f>
        <v>-21.099583959204729</v>
      </c>
      <c r="AK19" s="635">
        <f>IF(M19="","",(COS(RADIANS((90-$Q$8)-W19))*AD19)+(-SIN(RADIANS((90-$Q$8)-W19))*AE19))</f>
        <v>2.2679489591892477E-7</v>
      </c>
      <c r="AL19" s="629">
        <f>IF(M19="","",(SIN(RADIANS((90-$Q$8)-W19))*AD19)+(COS(RADIANS((90-$Q$8)-W19))*AE19))</f>
        <v>-0.99999999999994871</v>
      </c>
      <c r="AM19" s="634">
        <f>IF(M19="","",AF19)</f>
        <v>-2.2679489633423987E-7</v>
      </c>
      <c r="AN19" s="581">
        <f>IF(M19="","",DEGREES(ATAN2(-AM19,AL19)))</f>
        <v>-89.999987005609626</v>
      </c>
      <c r="AO19" s="582">
        <f t="shared" si="94"/>
        <v>0</v>
      </c>
      <c r="AP19" s="585">
        <f>IF(M19="","",DEGREES(ATAN2(AK19,AL19)))</f>
        <v>-89.999987005609654</v>
      </c>
      <c r="AQ19" s="586">
        <f t="shared" si="9"/>
        <v>0.61570074386815055</v>
      </c>
      <c r="AS19" s="52">
        <f t="shared" si="116"/>
        <v>-20.19059708483843</v>
      </c>
      <c r="AT19" s="72">
        <f t="shared" si="10"/>
        <v>-1.9374533896669159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1.23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734" cm="1">
        <f t="array" ref="II19">IFERROR(ROUND(VALUE(IF($IH19&lt;1,$IH19+LARGE((IF($M$9:$M$150="",0,$M$9:$M$150)-MOD(IF($M$9:$M$150="",0,$M$9:$M$150),1)),1),$IH19)),4),"")</f>
        <v>1.1299999999999999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18.534597323935259</v>
      </c>
      <c r="IM19" s="759">
        <v>3.7233002313805202E-5</v>
      </c>
      <c r="IN19" s="5">
        <f t="shared" si="226"/>
        <v>0</v>
      </c>
      <c r="IO19" s="771">
        <v>0</v>
      </c>
      <c r="IP19" s="9">
        <f t="shared" si="227"/>
        <v>-3.6869111197239368</v>
      </c>
      <c r="IQ19" s="5">
        <f t="shared" si="228"/>
        <v>-1.9392058486448396</v>
      </c>
      <c r="IR19" s="5">
        <f t="shared" si="71"/>
        <v>0.314</v>
      </c>
      <c r="IS19" s="5">
        <f t="shared" si="229"/>
        <v>0.27193198865724588</v>
      </c>
      <c r="IT19" s="727">
        <f t="shared" si="230"/>
        <v>89.999987005609611</v>
      </c>
      <c r="IU19" s="9">
        <f t="shared" si="231"/>
        <v>-3.7025111667736805</v>
      </c>
      <c r="IV19" s="5">
        <f t="shared" si="232"/>
        <v>-1.9521058875513571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89.999987005609626</v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707">
        <v>2.004517902641386</v>
      </c>
      <c r="C20" s="708">
        <v>1.3150929272216629</v>
      </c>
      <c r="D20" s="709">
        <v>-8.7700234343906697E-2</v>
      </c>
      <c r="E20" s="710">
        <v>-0.45733358446225991</v>
      </c>
      <c r="F20" s="708">
        <v>0.8525782579904051</v>
      </c>
      <c r="G20" s="711">
        <v>0.25289584125672615</v>
      </c>
      <c r="H20" s="710">
        <v>0.314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100</v>
      </c>
      <c r="M20" s="168">
        <f t="shared" si="1"/>
        <v>2.1110000000000002</v>
      </c>
      <c r="N20" s="632">
        <f t="shared" si="2"/>
        <v>2.004517902641386</v>
      </c>
      <c r="O20" s="629">
        <f t="shared" si="3"/>
        <v>1.3150929272216629</v>
      </c>
      <c r="P20" s="633">
        <f t="shared" si="4"/>
        <v>-8.7700234343906697E-2</v>
      </c>
      <c r="Q20" s="585">
        <f t="shared" si="113"/>
        <v>33.26745621359678</v>
      </c>
      <c r="R20" s="629">
        <f>IF(M20="","",SQRT(N20^2+O20^2))</f>
        <v>2.3974072305802081</v>
      </c>
      <c r="S20" s="634">
        <f>IF(M20="","",P20)</f>
        <v>-8.7700234343906697E-2</v>
      </c>
      <c r="T20" s="635">
        <f>IF(M20="","",X20*COS(RADIANS(W20)))</f>
        <v>1.3467278504325448</v>
      </c>
      <c r="U20" s="629">
        <f>IF(M20="","",X20*SIN(RADIANS(W20)))</f>
        <v>-1.9834025123780599</v>
      </c>
      <c r="V20" s="636">
        <f>IF(M20="","",Y20)</f>
        <v>-8.7700234343906697E-2</v>
      </c>
      <c r="W20" s="585">
        <f t="shared" si="224"/>
        <v>304.17645608235347</v>
      </c>
      <c r="X20" s="629">
        <f>IF(M20="","",R20)</f>
        <v>2.3974072305802081</v>
      </c>
      <c r="Y20" s="630">
        <f t="shared" si="223"/>
        <v>-8.7700234343906697E-2</v>
      </c>
      <c r="Z20" s="632">
        <f t="shared" si="6"/>
        <v>0.45733358446225991</v>
      </c>
      <c r="AA20" s="629">
        <f t="shared" si="7"/>
        <v>-0.8525782579904051</v>
      </c>
      <c r="AB20" s="629">
        <f t="shared" si="8"/>
        <v>-0.25289584125672615</v>
      </c>
      <c r="AC20" s="636">
        <f>IF(M20="","",SQRT(Z20^2+AA20^2+AB20^2))</f>
        <v>1</v>
      </c>
      <c r="AD20" s="637">
        <f>IF(M20="","",Z20*(1/SQRT(Z20^2+AA20^2+AB20^2)))</f>
        <v>0.45733358446225991</v>
      </c>
      <c r="AE20" s="629">
        <f>IF(M20="","",AA20*(1/SQRT(Z20^2+AA20^2+AB20^2)))</f>
        <v>-0.8525782579904051</v>
      </c>
      <c r="AF20" s="633">
        <f>IF(M20="","",AB20*(1/SQRT(Z20^2+AA20^2+AB20^2)))</f>
        <v>-0.25289584125672615</v>
      </c>
      <c r="AG20" s="602">
        <f>IF(M20="","",DEGREES(ATAN2(-AF20,AE20)))</f>
        <v>-73.478338197775273</v>
      </c>
      <c r="AH20" s="603">
        <f>IF(M20="","",DEGREES(ACOS(AD20)))</f>
        <v>62.784818028297238</v>
      </c>
      <c r="AI20" s="585">
        <f>IF(M20="","",DEGREES(-ACOS(-AF20)))</f>
        <v>-75.351060438167252</v>
      </c>
      <c r="AJ20" s="586">
        <f>IF(M20="","",DEGREES(ATAN2(-AE20,AD20)))</f>
        <v>28.209662401881271</v>
      </c>
      <c r="AK20" s="635">
        <f>IF(M20="","",(COS(RADIANS((90-$Q$8)-W20))*AD20)+(-SIN(RADIANS((90-$Q$8)-W20))*AE20))</f>
        <v>0.96372636003632151</v>
      </c>
      <c r="AL20" s="629">
        <f>IF(M20="","",(SIN(RADIANS((90-$Q$8)-W20))*AD20)+(COS(RADIANS((90-$Q$8)-W20))*AE20))</f>
        <v>-8.52947621263761E-2</v>
      </c>
      <c r="AM20" s="634">
        <f>IF(M20="","",AF20)</f>
        <v>-0.25289584125672615</v>
      </c>
      <c r="AN20" s="581">
        <f>IF(M20="","",DEGREES(ATAN2(-AM20,AL20)))</f>
        <v>-18.637825802790374</v>
      </c>
      <c r="AO20" s="582">
        <f t="shared" si="94"/>
        <v>15.479424299784572</v>
      </c>
      <c r="AP20" s="585">
        <f>IF(M20="","",DEGREES(ATAN2(AK20,AL20)))</f>
        <v>-5.0577938117155412</v>
      </c>
      <c r="AQ20" s="586">
        <f t="shared" si="9"/>
        <v>0.95082609391948592</v>
      </c>
      <c r="AS20" s="52">
        <f t="shared" si="116"/>
        <v>-55.823543917646532</v>
      </c>
      <c r="AT20" s="72">
        <f t="shared" si="10"/>
        <v>-4.8302634492237817E-2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707">
        <v>2.6335201066285352</v>
      </c>
      <c r="C21" s="708">
        <v>1.6612519433421369</v>
      </c>
      <c r="D21" s="709">
        <v>-0.40370118740278144</v>
      </c>
      <c r="E21" s="710">
        <v>-0.30634558908872223</v>
      </c>
      <c r="F21" s="708">
        <v>0.92949528969156847</v>
      </c>
      <c r="G21" s="711">
        <v>0.2054042027006043</v>
      </c>
      <c r="H21" s="710">
        <v>0.314</v>
      </c>
      <c r="I21" s="708">
        <v>0.52</v>
      </c>
      <c r="J21" s="570">
        <v>2.117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2.117</v>
      </c>
      <c r="N21" s="632">
        <f t="shared" si="2"/>
        <v>2.6335201066285352</v>
      </c>
      <c r="O21" s="629">
        <f t="shared" si="3"/>
        <v>1.6612519433421369</v>
      </c>
      <c r="P21" s="633">
        <f t="shared" si="4"/>
        <v>-0.40370118740278144</v>
      </c>
      <c r="Q21" s="585">
        <f t="shared" si="113"/>
        <v>32.244156361342988</v>
      </c>
      <c r="R21" s="629">
        <f>IF(M21="","",SQRT(N21^2+O21^2))</f>
        <v>3.1137093909475237</v>
      </c>
      <c r="S21" s="634">
        <f>IF(M21="","",P21)</f>
        <v>-0.40370118740278144</v>
      </c>
      <c r="T21" s="635">
        <f>IF(M21="","",X21*COS(RADIANS(W21)))</f>
        <v>1.702822030329739</v>
      </c>
      <c r="U21" s="629">
        <f>IF(M21="","",X21*SIN(RADIANS(W21)))</f>
        <v>-2.6068339617817062</v>
      </c>
      <c r="V21" s="636">
        <f>IF(M21="","",Y21)</f>
        <v>-0.40370118740278144</v>
      </c>
      <c r="W21" s="585">
        <f t="shared" si="224"/>
        <v>303.15315623009968</v>
      </c>
      <c r="X21" s="629">
        <f>IF(M21="","",R21)</f>
        <v>3.1137093909475237</v>
      </c>
      <c r="Y21" s="630">
        <f t="shared" si="223"/>
        <v>-0.40370118740278144</v>
      </c>
      <c r="Z21" s="632">
        <f t="shared" si="6"/>
        <v>0.30634558908872223</v>
      </c>
      <c r="AA21" s="629">
        <f t="shared" si="7"/>
        <v>-0.92949528969156847</v>
      </c>
      <c r="AB21" s="629">
        <f t="shared" si="8"/>
        <v>-0.2054042027006043</v>
      </c>
      <c r="AC21" s="636">
        <f>IF(M21="","",SQRT(Z21^2+AA21^2+AB21^2))</f>
        <v>1</v>
      </c>
      <c r="AD21" s="637">
        <f>IF(M21="","",Z21*(1/SQRT(Z21^2+AA21^2+AB21^2)))</f>
        <v>0.30634558908872223</v>
      </c>
      <c r="AE21" s="629">
        <f>IF(M21="","",AA21*(1/SQRT(Z21^2+AA21^2+AB21^2)))</f>
        <v>-0.92949528969156847</v>
      </c>
      <c r="AF21" s="633">
        <f>IF(M21="","",AB21*(1/SQRT(Z21^2+AA21^2+AB21^2)))</f>
        <v>-0.2054042027006043</v>
      </c>
      <c r="AG21" s="602">
        <f>IF(M21="","",DEGREES(ATAN2(-AF21,AE21)))</f>
        <v>-77.53878013473269</v>
      </c>
      <c r="AH21" s="603">
        <f>IF(M21="","",DEGREES(ACOS(AD21)))</f>
        <v>72.160863906738811</v>
      </c>
      <c r="AI21" s="585">
        <f>IF(M21="","",DEGREES(-ACOS(-AF21)))</f>
        <v>-78.14683829197584</v>
      </c>
      <c r="AJ21" s="586">
        <f>IF(M21="","",DEGREES(ATAN2(-AE21,AD21)))</f>
        <v>18.241326998287672</v>
      </c>
      <c r="AK21" s="635">
        <f>IF(M21="","",(COS(RADIANS((90-$Q$8)-W21))*AD21)+(-SIN(RADIANS((90-$Q$8)-W21))*AE21))</f>
        <v>0.94959463725914006</v>
      </c>
      <c r="AL21" s="629">
        <f>IF(M21="","",(SIN(RADIANS((90-$Q$8)-W21))*AD21)+(COS(RADIANS((90-$Q$8)-W21))*AE21))</f>
        <v>-0.23681034268293943</v>
      </c>
      <c r="AM21" s="634">
        <f>IF(M21="","",AF21)</f>
        <v>-0.2054042027006043</v>
      </c>
      <c r="AN21" s="581">
        <f>IF(M21="","",DEGREES(ATAN2(-AM21,AL21)))</f>
        <v>-49.062333633727519</v>
      </c>
      <c r="AO21" s="582">
        <f>IF(ROUND(IF(M21="",0,DEGREES(ACOS(AK21))),4)=90,0,IF(M21="","",DEGREES(ACOS(AK21))))</f>
        <v>18.269107411626702</v>
      </c>
      <c r="AP21" s="585">
        <f>IF(M21="","",DEGREES(ATAN2(AK21,AL21)))</f>
        <v>-14.002829363055369</v>
      </c>
      <c r="AQ21" s="586">
        <f t="shared" si="9"/>
        <v>0.73211795677487956</v>
      </c>
      <c r="AS21" s="52">
        <f t="shared" si="116"/>
        <v>-56.846843769900318</v>
      </c>
      <c r="AT21" s="72">
        <f t="shared" si="10"/>
        <v>-0.3635929626537141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707">
        <v>3.0385004887182956</v>
      </c>
      <c r="C22" s="708">
        <v>1.8676795954551488</v>
      </c>
      <c r="D22" s="709">
        <v>-1.0333030862821084</v>
      </c>
      <c r="E22" s="710">
        <v>-0.14428291619969261</v>
      </c>
      <c r="F22" s="708">
        <v>0.98001765418559605</v>
      </c>
      <c r="G22" s="711">
        <v>0.13692274309797517</v>
      </c>
      <c r="H22" s="710">
        <v>0.314</v>
      </c>
      <c r="I22" s="708">
        <v>0.52</v>
      </c>
      <c r="J22" s="570">
        <v>2.1230000000000002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30</v>
      </c>
      <c r="M22" s="168">
        <f t="shared" si="1"/>
        <v>2.1230000000000002</v>
      </c>
      <c r="N22" s="632">
        <f t="shared" si="2"/>
        <v>3.0385004887182956</v>
      </c>
      <c r="O22" s="629">
        <f t="shared" si="3"/>
        <v>1.8676795954551488</v>
      </c>
      <c r="P22" s="633">
        <f t="shared" si="4"/>
        <v>-1.0333030862821084</v>
      </c>
      <c r="Q22" s="585">
        <f t="shared" si="113"/>
        <v>31.577856457544797</v>
      </c>
      <c r="R22" s="629">
        <f t="shared" si="79"/>
        <v>3.5666107568980427</v>
      </c>
      <c r="S22" s="634">
        <f t="shared" si="80"/>
        <v>-1.0333030862821084</v>
      </c>
      <c r="T22" s="635">
        <f t="shared" si="81"/>
        <v>1.9156484647998424</v>
      </c>
      <c r="U22" s="629">
        <f t="shared" si="82"/>
        <v>-3.0084885325576427</v>
      </c>
      <c r="V22" s="636">
        <f t="shared" si="114"/>
        <v>-1.0333030862821084</v>
      </c>
      <c r="W22" s="585">
        <f t="shared" si="224"/>
        <v>302.48685632630145</v>
      </c>
      <c r="X22" s="629">
        <f t="shared" si="83"/>
        <v>3.5666107568980427</v>
      </c>
      <c r="Y22" s="630">
        <f t="shared" si="223"/>
        <v>-1.0333030862821084</v>
      </c>
      <c r="Z22" s="632">
        <f t="shared" si="6"/>
        <v>0.14428291619969261</v>
      </c>
      <c r="AA22" s="629">
        <f t="shared" si="7"/>
        <v>-0.98001765418559605</v>
      </c>
      <c r="AB22" s="629">
        <f t="shared" si="8"/>
        <v>-0.13692274309797517</v>
      </c>
      <c r="AC22" s="636">
        <f t="shared" si="84"/>
        <v>1</v>
      </c>
      <c r="AD22" s="637">
        <f t="shared" si="115"/>
        <v>0.14428291619969261</v>
      </c>
      <c r="AE22" s="629">
        <f t="shared" si="85"/>
        <v>-0.98001765418559605</v>
      </c>
      <c r="AF22" s="633">
        <f t="shared" si="86"/>
        <v>-0.13692274309797517</v>
      </c>
      <c r="AG22" s="602">
        <f t="shared" si="87"/>
        <v>-82.046429910395133</v>
      </c>
      <c r="AH22" s="603">
        <f t="shared" si="88"/>
        <v>81.704243332698596</v>
      </c>
      <c r="AI22" s="585">
        <f t="shared" si="89"/>
        <v>-82.130182462648136</v>
      </c>
      <c r="AJ22" s="586">
        <f t="shared" si="90"/>
        <v>8.3751950933141739</v>
      </c>
      <c r="AK22" s="635">
        <f t="shared" si="211"/>
        <v>0.91046054674568222</v>
      </c>
      <c r="AL22" s="629">
        <f t="shared" si="91"/>
        <v>-0.39027394896672202</v>
      </c>
      <c r="AM22" s="634">
        <f t="shared" si="92"/>
        <v>-0.13692274309797517</v>
      </c>
      <c r="AN22" s="581">
        <f t="shared" si="93"/>
        <v>-70.667215574279538</v>
      </c>
      <c r="AO22" s="582">
        <f t="shared" si="94"/>
        <v>24.430926546875913</v>
      </c>
      <c r="AP22" s="585">
        <f t="shared" si="95"/>
        <v>-23.202661364230583</v>
      </c>
      <c r="AQ22" s="586">
        <f t="shared" si="9"/>
        <v>0.63915919641851238</v>
      </c>
      <c r="AS22" s="52">
        <f t="shared" si="116"/>
        <v>-57.513143673698551</v>
      </c>
      <c r="AT22" s="72">
        <f t="shared" si="10"/>
        <v>-0.99273215326651454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2.1230000000000002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3.1457933782631851</v>
      </c>
      <c r="C23" s="708">
        <v>1.9228358302778674</v>
      </c>
      <c r="D23" s="709">
        <v>-1.8256054758661155</v>
      </c>
      <c r="E23" s="710">
        <v>-2.5042172658557578E-2</v>
      </c>
      <c r="F23" s="708">
        <v>0.99968639562040962</v>
      </c>
      <c r="G23" s="711">
        <v>1.1339743353153852E-7</v>
      </c>
      <c r="H23" s="710">
        <v>0.314</v>
      </c>
      <c r="I23" s="708">
        <v>0.52</v>
      </c>
      <c r="J23" s="570">
        <v>2.129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2.129</v>
      </c>
      <c r="N23" s="632">
        <f t="shared" si="2"/>
        <v>3.1457933782631851</v>
      </c>
      <c r="O23" s="629">
        <f t="shared" si="3"/>
        <v>1.9228358302778674</v>
      </c>
      <c r="P23" s="633">
        <f t="shared" si="4"/>
        <v>-1.8256054758661155</v>
      </c>
      <c r="Q23" s="585">
        <f t="shared" si="113"/>
        <v>31.434956493438374</v>
      </c>
      <c r="R23" s="629">
        <f t="shared" si="79"/>
        <v>3.6869111202909242</v>
      </c>
      <c r="S23" s="634">
        <f t="shared" si="80"/>
        <v>-1.8256054758661155</v>
      </c>
      <c r="T23" s="635">
        <f t="shared" si="81"/>
        <v>1.9724998930127058</v>
      </c>
      <c r="U23" s="629">
        <f t="shared" si="82"/>
        <v>-3.114892900404401</v>
      </c>
      <c r="V23" s="636">
        <f t="shared" si="114"/>
        <v>-1.8256054758661155</v>
      </c>
      <c r="W23" s="585">
        <f t="shared" si="224"/>
        <v>302.34395636219506</v>
      </c>
      <c r="X23" s="629">
        <f t="shared" si="83"/>
        <v>3.6869111202909242</v>
      </c>
      <c r="Y23" s="630">
        <f t="shared" si="223"/>
        <v>-1.8256054758661155</v>
      </c>
      <c r="Z23" s="632">
        <f t="shared" si="6"/>
        <v>2.5042172658557578E-2</v>
      </c>
      <c r="AA23" s="629">
        <f t="shared" si="7"/>
        <v>-0.99968639562040962</v>
      </c>
      <c r="AB23" s="629">
        <f t="shared" si="8"/>
        <v>-1.1339743353153852E-7</v>
      </c>
      <c r="AC23" s="636">
        <f t="shared" si="84"/>
        <v>1</v>
      </c>
      <c r="AD23" s="637">
        <f t="shared" si="115"/>
        <v>2.5042172658557578E-2</v>
      </c>
      <c r="AE23" s="629">
        <f t="shared" si="85"/>
        <v>-0.99968639562040962</v>
      </c>
      <c r="AF23" s="633">
        <f t="shared" si="86"/>
        <v>-1.1339743353153852E-7</v>
      </c>
      <c r="AG23" s="602">
        <f t="shared" si="87"/>
        <v>-89.999993500767474</v>
      </c>
      <c r="AH23" s="603">
        <f t="shared" si="88"/>
        <v>88.565039190358917</v>
      </c>
      <c r="AI23" s="585">
        <f t="shared" si="89"/>
        <v>-89.999993502805651</v>
      </c>
      <c r="AJ23" s="586">
        <f t="shared" si="90"/>
        <v>1.4349608096410889</v>
      </c>
      <c r="AK23" s="635">
        <f t="shared" si="211"/>
        <v>0.86602544145040472</v>
      </c>
      <c r="AL23" s="629">
        <f t="shared" si="91"/>
        <v>-0.49999993476061461</v>
      </c>
      <c r="AM23" s="634">
        <f t="shared" si="92"/>
        <v>-1.1339743353153852E-7</v>
      </c>
      <c r="AN23" s="581">
        <f t="shared" si="93"/>
        <v>-89.999987005609611</v>
      </c>
      <c r="AO23" s="582">
        <f t="shared" si="94"/>
        <v>29.999995683797945</v>
      </c>
      <c r="AP23" s="585">
        <f t="shared" si="95"/>
        <v>-29.999995683797309</v>
      </c>
      <c r="AQ23" s="586">
        <f t="shared" si="9"/>
        <v>0.61830569305085725</v>
      </c>
      <c r="AS23" s="52">
        <f t="shared" si="116"/>
        <v>-57.656043637804942</v>
      </c>
      <c r="AT23" s="72">
        <f t="shared" si="10"/>
        <v>-1.7849353067643368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90</v>
      </c>
    </row>
    <row r="24" spans="1:269" ht="15" customHeight="1" x14ac:dyDescent="0.25">
      <c r="A24" s="79"/>
      <c r="B24" s="707">
        <v>3.0739018584798523</v>
      </c>
      <c r="C24" s="708">
        <v>0.66593548858381058</v>
      </c>
      <c r="D24" s="709">
        <v>-0.39020114668665834</v>
      </c>
      <c r="E24" s="710">
        <v>0.4421770833238059</v>
      </c>
      <c r="F24" s="708">
        <v>9.5794250726952232E-2</v>
      </c>
      <c r="G24" s="711">
        <v>0.89179756027414303</v>
      </c>
      <c r="H24" s="710">
        <v>0.25700000000000001</v>
      </c>
      <c r="I24" s="708">
        <v>0.41499999999999992</v>
      </c>
      <c r="J24" s="570">
        <v>2.2170000000000001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2.2170000000000001</v>
      </c>
      <c r="N24" s="632">
        <f t="shared" si="2"/>
        <v>3.0739018584798523</v>
      </c>
      <c r="O24" s="629">
        <f t="shared" si="3"/>
        <v>0.66593548858381058</v>
      </c>
      <c r="P24" s="633">
        <f t="shared" si="4"/>
        <v>-0.39020114668665834</v>
      </c>
      <c r="Q24" s="585">
        <f t="shared" si="113"/>
        <v>12.223759251930693</v>
      </c>
      <c r="R24" s="629">
        <f t="shared" si="79"/>
        <v>3.1452094859518098</v>
      </c>
      <c r="S24" s="634">
        <f t="shared" si="80"/>
        <v>-0.39020114668665834</v>
      </c>
      <c r="T24" s="635">
        <f t="shared" si="81"/>
        <v>0.7146172145681422</v>
      </c>
      <c r="U24" s="629">
        <f t="shared" si="82"/>
        <v>-3.0629503664219104</v>
      </c>
      <c r="V24" s="636">
        <f t="shared" si="114"/>
        <v>-0.39020114668665834</v>
      </c>
      <c r="W24" s="585">
        <f t="shared" si="224"/>
        <v>283.13275912068735</v>
      </c>
      <c r="X24" s="629">
        <f t="shared" si="83"/>
        <v>3.1452094859518098</v>
      </c>
      <c r="Y24" s="630">
        <f t="shared" si="223"/>
        <v>-0.39020114668665834</v>
      </c>
      <c r="Z24" s="632">
        <f t="shared" si="6"/>
        <v>-0.4421770833238059</v>
      </c>
      <c r="AA24" s="629">
        <f t="shared" si="7"/>
        <v>-9.5794250726952232E-2</v>
      </c>
      <c r="AB24" s="629">
        <f t="shared" si="8"/>
        <v>-0.89179756027414303</v>
      </c>
      <c r="AC24" s="636">
        <f t="shared" si="84"/>
        <v>1</v>
      </c>
      <c r="AD24" s="637">
        <f t="shared" si="115"/>
        <v>-0.4421770833238059</v>
      </c>
      <c r="AE24" s="629">
        <f t="shared" si="85"/>
        <v>-9.5794250726952232E-2</v>
      </c>
      <c r="AF24" s="633">
        <f t="shared" si="86"/>
        <v>-0.89179756027414303</v>
      </c>
      <c r="AG24" s="602">
        <f t="shared" si="87"/>
        <v>-6.1310341223710569</v>
      </c>
      <c r="AH24" s="603">
        <f t="shared" si="88"/>
        <v>116.24287032866236</v>
      </c>
      <c r="AI24" s="585">
        <f t="shared" si="89"/>
        <v>-26.899996116124001</v>
      </c>
      <c r="AJ24" s="586">
        <f t="shared" si="90"/>
        <v>-77.776212027036507</v>
      </c>
      <c r="AK24" s="635">
        <f>IF(M24="","",(COS(RADIANS((90-$Q$8)-W24))*AD24)+(-SIN(RADIANS((90-$Q$8)-W24))*AE24))</f>
        <v>2.2679489670995867E-7</v>
      </c>
      <c r="AL24" s="629">
        <f t="shared" si="91"/>
        <v>-0.45243464885995938</v>
      </c>
      <c r="AM24" s="634">
        <f t="shared" si="92"/>
        <v>-0.89179756027414303</v>
      </c>
      <c r="AN24" s="581">
        <f t="shared" si="93"/>
        <v>-26.899996116121095</v>
      </c>
      <c r="AO24" s="582">
        <f t="shared" si="94"/>
        <v>0</v>
      </c>
      <c r="AP24" s="585">
        <f t="shared" si="95"/>
        <v>-89.999971278967195</v>
      </c>
      <c r="AQ24" s="586">
        <f t="shared" si="9"/>
        <v>0.72478639024546099</v>
      </c>
      <c r="AS24" s="52">
        <f t="shared" si="116"/>
        <v>-76.867240879312646</v>
      </c>
      <c r="AT24" s="72">
        <f t="shared" si="10"/>
        <v>-0.33618986838938797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734" cm="1">
        <f t="array" ref="II24">IFERROR(ROUND(VALUE(IF($IH24&lt;1,$IH24+LARGE((IF($M$9:$M$150="",0,$M$9:$M$150)-MOD(IF($M$9:$M$150="",0,$M$9:$M$150),1)),1),$IH24)),4),"")</f>
        <v>2.117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20.020397109412329</v>
      </c>
      <c r="IM24" s="759">
        <v>7.7068400031821103E-3</v>
      </c>
      <c r="IN24" s="5">
        <f t="shared" si="226"/>
        <v>0.2</v>
      </c>
      <c r="IO24" s="771">
        <v>100</v>
      </c>
      <c r="IP24" s="9">
        <f t="shared" si="227"/>
        <v>-3.1137093909475237</v>
      </c>
      <c r="IQ24" s="5">
        <f t="shared" si="228"/>
        <v>-0.40370118740278144</v>
      </c>
      <c r="IR24" s="5">
        <f t="shared" si="71"/>
        <v>0.314</v>
      </c>
      <c r="IS24" s="5">
        <f t="shared" si="229"/>
        <v>0.29817271609936996</v>
      </c>
      <c r="IT24" s="727">
        <f t="shared" si="230"/>
        <v>49.062333633727519</v>
      </c>
      <c r="IU24" s="9">
        <f t="shared" si="231"/>
        <v>-3.1452094859518098</v>
      </c>
      <c r="IV24" s="5">
        <f t="shared" si="232"/>
        <v>-0.39020114668665834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26.899996116121095</v>
      </c>
      <c r="JA24" s="798" t="str">
        <v>CPS-32193r1</v>
      </c>
      <c r="JB24" s="856" cm="1">
        <f t="array" ref="JB24">IF($JA24="","",COUNT(IF(IF($II$9:$II$150&lt;&gt;"",$IK$9:$IK$150,"")=$JA24,$IG$9:$IG$150,"")))</f>
        <v>15</v>
      </c>
      <c r="JC24" s="5"/>
      <c r="JD24" s="5"/>
      <c r="JE24" s="10"/>
      <c r="JF24" s="247">
        <v>1</v>
      </c>
      <c r="JG24" s="803">
        <v>6</v>
      </c>
      <c r="JH24" s="787">
        <v>100</v>
      </c>
      <c r="JI24" s="803">
        <v>30</v>
      </c>
    </row>
    <row r="25" spans="1:269" ht="15" customHeight="1" x14ac:dyDescent="0.25">
      <c r="A25" s="79"/>
      <c r="B25" s="707">
        <v>3.498108371668621</v>
      </c>
      <c r="C25" s="708">
        <v>0.82688935562731947</v>
      </c>
      <c r="D25" s="709">
        <v>-1.0362030950285341</v>
      </c>
      <c r="E25" s="710">
        <v>0.74331137929035329</v>
      </c>
      <c r="F25" s="708">
        <v>0.17570555779419242</v>
      </c>
      <c r="G25" s="711">
        <v>0.64545778357511852</v>
      </c>
      <c r="H25" s="710">
        <v>0.25700000000000001</v>
      </c>
      <c r="I25" s="708">
        <v>0.41499999999999992</v>
      </c>
      <c r="J25" s="570">
        <v>2.2229999999999999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2.2229999999999999</v>
      </c>
      <c r="N25" s="632">
        <f t="shared" si="2"/>
        <v>3.498108371668621</v>
      </c>
      <c r="O25" s="629">
        <f t="shared" si="3"/>
        <v>0.82688935562731947</v>
      </c>
      <c r="P25" s="633">
        <f t="shared" si="4"/>
        <v>-1.0362030950285341</v>
      </c>
      <c r="Q25" s="585">
        <f t="shared" si="113"/>
        <v>13.299559096604415</v>
      </c>
      <c r="R25" s="629">
        <f>IF(M25="","",SQRT(N25^2+O25^2))</f>
        <v>3.5945108410446971</v>
      </c>
      <c r="S25" s="634">
        <f>IF(M25="","",P25)</f>
        <v>-1.0362030950285341</v>
      </c>
      <c r="T25" s="635">
        <f>IF(M25="","",X25*COS(RADIANS(W25)))</f>
        <v>0.88228059726861263</v>
      </c>
      <c r="U25" s="629">
        <f>IF(M25="","",X25*SIN(RADIANS(W25)))</f>
        <v>-3.4845500619263885</v>
      </c>
      <c r="V25" s="636">
        <f>IF(M25="","",Y25)</f>
        <v>-1.0362030950285341</v>
      </c>
      <c r="W25" s="585">
        <f t="shared" si="224"/>
        <v>284.20855896536108</v>
      </c>
      <c r="X25" s="629">
        <f>IF(M25="","",R25)</f>
        <v>3.5945108410446971</v>
      </c>
      <c r="Y25" s="630">
        <f t="shared" si="223"/>
        <v>-1.0362030950285341</v>
      </c>
      <c r="Z25" s="632">
        <f t="shared" si="6"/>
        <v>-0.74331137929035329</v>
      </c>
      <c r="AA25" s="629">
        <f t="shared" si="7"/>
        <v>-0.17570555779419242</v>
      </c>
      <c r="AB25" s="629">
        <f t="shared" si="8"/>
        <v>-0.64545778357511852</v>
      </c>
      <c r="AC25" s="636">
        <f>IF(M25="","",SQRT(Z25^2+AA25^2+AB25^2))</f>
        <v>1</v>
      </c>
      <c r="AD25" s="637">
        <f>IF(M25="","",Z25*(1/SQRT(Z25^2+AA25^2+AB25^2)))</f>
        <v>-0.74331137929035329</v>
      </c>
      <c r="AE25" s="629">
        <f>IF(M25="","",AA25*(1/SQRT(Z25^2+AA25^2+AB25^2)))</f>
        <v>-0.17570555779419242</v>
      </c>
      <c r="AF25" s="633">
        <f>IF(M25="","",AB25*(1/SQRT(Z25^2+AA25^2+AB25^2)))</f>
        <v>-0.64545778357511852</v>
      </c>
      <c r="AG25" s="602">
        <f>IF(M25="","",DEGREES(ATAN2(-AF25,AE25)))</f>
        <v>-15.227983456485958</v>
      </c>
      <c r="AH25" s="603">
        <f>IF(M25="","",DEGREES(ACOS(AD25)))</f>
        <v>138.0142635084143</v>
      </c>
      <c r="AI25" s="585">
        <f>IF(M25="","",DEGREES(-ACOS(-AF25)))</f>
        <v>-49.799992809771886</v>
      </c>
      <c r="AJ25" s="586">
        <f>IF(M25="","",DEGREES(ATAN2(-AE25,AD25)))</f>
        <v>-76.700423890487315</v>
      </c>
      <c r="AK25" s="635">
        <f>IF(M25="","",(COS(RADIANS((90-$Q$8)-W25))*AD25)+(-SIN(RADIANS((90-$Q$8)-W25))*AE25))</f>
        <v>2.2679489658505858E-7</v>
      </c>
      <c r="AL25" s="629">
        <f>IF(M25="","",(SIN(RADIANS((90-$Q$8)-W25))*AD25)+(COS(RADIANS((90-$Q$8)-W25))*AE25))</f>
        <v>-0.76379594763408132</v>
      </c>
      <c r="AM25" s="634">
        <f>IF(M25="","",AF25)</f>
        <v>-0.64545778357511852</v>
      </c>
      <c r="AN25" s="581">
        <f>IF(M25="","",DEGREES(ATAN2(-AM25,AL25)))</f>
        <v>-49.79999280977065</v>
      </c>
      <c r="AO25" s="582">
        <f>IF(ROUND(IF(M25="",0,DEGREES(ACOS(AK25))),4)=90,0,IF(M25="","",DEGREES(ACOS(AK25))))</f>
        <v>0</v>
      </c>
      <c r="AP25" s="585">
        <f>IF(M25="","",DEGREES(ATAN2(AK25,AL25)))</f>
        <v>-89.999982987091741</v>
      </c>
      <c r="AQ25" s="586">
        <f t="shared" si="9"/>
        <v>0.63419854003692633</v>
      </c>
      <c r="AS25" s="52">
        <f t="shared" si="116"/>
        <v>-75.791441034638922</v>
      </c>
      <c r="AT25" s="72">
        <f t="shared" si="10"/>
        <v>-0.98293889995673167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2.2229999999999999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734" cm="1">
        <f t="array" ref="II25">IFERROR(ROUND(VALUE(IF($IH25&lt;1,$IH25+LARGE((IF($M$9:$M$150="",0,$M$9:$M$150)-MOD(IF($M$9:$M$150="",0,$M$9:$M$150),1)),1),$IH25)),4),"")</f>
        <v>2.1230000000000002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18.278297360940371</v>
      </c>
      <c r="IM25" s="759">
        <v>2.6720288610227799E-3</v>
      </c>
      <c r="IN25" s="5">
        <f t="shared" si="226"/>
        <v>0.1</v>
      </c>
      <c r="IO25" s="771">
        <v>50</v>
      </c>
      <c r="IP25" s="9">
        <f t="shared" si="227"/>
        <v>-3.5666107568980427</v>
      </c>
      <c r="IQ25" s="5">
        <f t="shared" si="228"/>
        <v>-1.0333030862821084</v>
      </c>
      <c r="IR25" s="5">
        <f t="shared" si="71"/>
        <v>0.314</v>
      </c>
      <c r="IS25" s="5">
        <f t="shared" si="229"/>
        <v>0.28588461167814422</v>
      </c>
      <c r="IT25" s="727">
        <f t="shared" si="230"/>
        <v>70.667215574279538</v>
      </c>
      <c r="IU25" s="9">
        <f t="shared" si="231"/>
        <v>-3.5945108410446971</v>
      </c>
      <c r="IV25" s="5">
        <f t="shared" si="232"/>
        <v>-1.0362030950285341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49.79999280977065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3.6090590271785929</v>
      </c>
      <c r="C26" s="708">
        <v>0.82660867114899905</v>
      </c>
      <c r="D26" s="709">
        <v>-1.8385055147726317</v>
      </c>
      <c r="E26" s="710">
        <v>0.97475974411225386</v>
      </c>
      <c r="F26" s="708">
        <v>0.22325644729360483</v>
      </c>
      <c r="G26" s="711">
        <v>2.2679489701100133E-7</v>
      </c>
      <c r="H26" s="710">
        <v>0.25700000000000001</v>
      </c>
      <c r="I26" s="708">
        <v>0.41499999999999992</v>
      </c>
      <c r="J26" s="570">
        <v>2.2290000000000001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CPS-32193r1</v>
      </c>
      <c r="L26" s="320"/>
      <c r="M26" s="168">
        <f t="shared" si="1"/>
        <v>2.2290000000000001</v>
      </c>
      <c r="N26" s="632">
        <f t="shared" si="2"/>
        <v>3.6090590271785929</v>
      </c>
      <c r="O26" s="629">
        <f t="shared" si="3"/>
        <v>0.82660867114899905</v>
      </c>
      <c r="P26" s="633">
        <f t="shared" si="4"/>
        <v>-1.8385055147726317</v>
      </c>
      <c r="Q26" s="585">
        <f t="shared" si="113"/>
        <v>12.900359154241766</v>
      </c>
      <c r="R26" s="629">
        <f>IF(M26="","",SQRT(N26^2+O26^2))</f>
        <v>3.7025111690416286</v>
      </c>
      <c r="S26" s="634">
        <f>IF(M26="","",P26)</f>
        <v>-1.8385055147726317</v>
      </c>
      <c r="T26" s="635">
        <f>IF(M26="","",X26*COS(RADIANS(W26)))</f>
        <v>0.88376011092813955</v>
      </c>
      <c r="U26" s="629">
        <f>IF(M26="","",X26*SIN(RADIANS(W26)))</f>
        <v>-3.5954912075000669</v>
      </c>
      <c r="V26" s="636">
        <f>IF(M26="","",Y26)</f>
        <v>-1.8385055147726317</v>
      </c>
      <c r="W26" s="585">
        <f t="shared" si="224"/>
        <v>283.80935902299842</v>
      </c>
      <c r="X26" s="629">
        <f>IF(M26="","",R26)</f>
        <v>3.7025111690416286</v>
      </c>
      <c r="Y26" s="630">
        <f t="shared" si="223"/>
        <v>-1.8385055147726317</v>
      </c>
      <c r="Z26" s="632">
        <f t="shared" si="6"/>
        <v>-0.97475974411225386</v>
      </c>
      <c r="AA26" s="629">
        <f t="shared" si="7"/>
        <v>-0.22325644729360483</v>
      </c>
      <c r="AB26" s="629">
        <f t="shared" si="8"/>
        <v>-2.2679489701100133E-7</v>
      </c>
      <c r="AC26" s="636">
        <f>IF(M26="","",SQRT(Z26^2+AA26^2+AB26^2))</f>
        <v>1</v>
      </c>
      <c r="AD26" s="637">
        <f>IF(M26="","",Z26*(1/SQRT(Z26^2+AA26^2+AB26^2)))</f>
        <v>-0.97475974411225386</v>
      </c>
      <c r="AE26" s="629">
        <f>IF(M26="","",AA26*(1/SQRT(Z26^2+AA26^2+AB26^2)))</f>
        <v>-0.22325644729360483</v>
      </c>
      <c r="AF26" s="633">
        <f>IF(M26="","",AB26*(1/SQRT(Z26^2+AA26^2+AB26^2)))</f>
        <v>-2.2679489701100133E-7</v>
      </c>
      <c r="AG26" s="602">
        <f>IF(M26="","",DEGREES(ATAN2(-AF26,AE26)))</f>
        <v>-89.99994179612473</v>
      </c>
      <c r="AH26" s="603">
        <f>IF(M26="","",DEGREES(ACOS(AD26)))</f>
        <v>167.09962785136142</v>
      </c>
      <c r="AI26" s="585">
        <f>IF(M26="","",DEGREES(-ACOS(-AF26)))</f>
        <v>-89.999987005609583</v>
      </c>
      <c r="AJ26" s="586">
        <f>IF(M26="","",DEGREES(ATAN2(-AE26,AD26)))</f>
        <v>-77.099627851367856</v>
      </c>
      <c r="AK26" s="635">
        <f>IF(M26="","",(COS(RADIANS((90-$Q$8)-W26))*AD26)+(-SIN(RADIANS((90-$Q$8)-W26))*AE26))</f>
        <v>2.2679489672383646E-7</v>
      </c>
      <c r="AL26" s="629">
        <f>IF(M26="","",(SIN(RADIANS((90-$Q$8)-W26))*AD26)+(COS(RADIANS((90-$Q$8)-W26))*AE26))</f>
        <v>-0.9999999999999486</v>
      </c>
      <c r="AM26" s="634">
        <f>IF(M26="","",AF26)</f>
        <v>-2.2679489701100133E-7</v>
      </c>
      <c r="AN26" s="581">
        <f>IF(M26="","",DEGREES(ATAN2(-AM26,AL26)))</f>
        <v>-89.999987005609597</v>
      </c>
      <c r="AO26" s="582">
        <f t="shared" si="94"/>
        <v>0</v>
      </c>
      <c r="AP26" s="585">
        <f>IF(M26="","",DEGREES(ATAN2(AK26,AL26)))</f>
        <v>-89.999987005609611</v>
      </c>
      <c r="AQ26" s="586">
        <f t="shared" si="9"/>
        <v>0.61570074349103632</v>
      </c>
      <c r="AS26" s="52">
        <f t="shared" si="116"/>
        <v>-76.190640977001578</v>
      </c>
      <c r="AT26" s="72">
        <f t="shared" si="10"/>
        <v>-1.7849640975186329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2.2290000000000001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734" cm="1">
        <f t="array" ref="II26">IFERROR(ROUND(VALUE(IF($IH26&lt;1,$IH26+LARGE((IF($M$9:$M$150="",0,$M$9:$M$150)-MOD(IF($M$9:$M$150="",0,$M$9:$M$150),1)),1),$IH26)),4),"")</f>
        <v>2.129</v>
      </c>
      <c r="IJ26" s="533">
        <f t="shared" si="112"/>
        <v>1613</v>
      </c>
      <c r="IK26" s="533" t="str">
        <f t="shared" si="66"/>
        <v>CPS-32193r1</v>
      </c>
      <c r="IL26" s="727">
        <f t="shared" si="225"/>
        <v>18.534597339196637</v>
      </c>
      <c r="IM26" s="759">
        <v>3.7231743499857597E-5</v>
      </c>
      <c r="IN26" s="5">
        <f t="shared" si="226"/>
        <v>0</v>
      </c>
      <c r="IO26" s="771">
        <v>0</v>
      </c>
      <c r="IP26" s="9">
        <f t="shared" si="227"/>
        <v>-3.6869111202909242</v>
      </c>
      <c r="IQ26" s="5">
        <f t="shared" si="228"/>
        <v>-1.8256054758661155</v>
      </c>
      <c r="IR26" s="5">
        <f t="shared" si="71"/>
        <v>0.314</v>
      </c>
      <c r="IS26" s="5">
        <f t="shared" si="229"/>
        <v>0.27193198861542706</v>
      </c>
      <c r="IT26" s="727">
        <f t="shared" si="230"/>
        <v>89.999987005609611</v>
      </c>
      <c r="IU26" s="9">
        <f t="shared" si="231"/>
        <v>-3.7025111690416286</v>
      </c>
      <c r="IV26" s="5">
        <f t="shared" si="232"/>
        <v>-1.8385055147726317</v>
      </c>
      <c r="IW26" s="5">
        <f t="shared" si="76"/>
        <v>0.25700000000000001</v>
      </c>
      <c r="IX26" s="5">
        <f t="shared" si="233"/>
        <v>0.25700000000000001</v>
      </c>
      <c r="IY26" s="762">
        <f t="shared" si="234"/>
        <v>89.999987005609597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0.69914417297184839</v>
      </c>
      <c r="C27" s="708">
        <v>-0.40365164024502692</v>
      </c>
      <c r="D27" s="709">
        <v>-0.37940114427385113</v>
      </c>
      <c r="E27" s="710">
        <v>0.42495075868149662</v>
      </c>
      <c r="F27" s="708">
        <v>0.87000969481008184</v>
      </c>
      <c r="G27" s="711">
        <v>0.2499999672649757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0.69914417297184839</v>
      </c>
      <c r="O27" s="629">
        <f t="shared" si="3"/>
        <v>-0.40365164024502692</v>
      </c>
      <c r="P27" s="633">
        <f t="shared" si="4"/>
        <v>-0.37940114427385113</v>
      </c>
      <c r="Q27" s="585">
        <f t="shared" si="113"/>
        <v>329.99996534829228</v>
      </c>
      <c r="R27" s="629">
        <f t="shared" si="79"/>
        <v>0.80730243482414354</v>
      </c>
      <c r="S27" s="634">
        <f t="shared" si="80"/>
        <v>-0.37940114427385113</v>
      </c>
      <c r="T27" s="635">
        <f t="shared" si="81"/>
        <v>-0.39250935645391954</v>
      </c>
      <c r="U27" s="629">
        <f t="shared" si="82"/>
        <v>-0.70545986871623001</v>
      </c>
      <c r="V27" s="636">
        <f t="shared" si="114"/>
        <v>-0.37940114427385113</v>
      </c>
      <c r="W27" s="585">
        <f t="shared" si="224"/>
        <v>240.90896521704894</v>
      </c>
      <c r="X27" s="629">
        <f t="shared" si="83"/>
        <v>0.80730243482414354</v>
      </c>
      <c r="Y27" s="630">
        <f t="shared" si="223"/>
        <v>-0.37940114427385113</v>
      </c>
      <c r="Z27" s="632">
        <f t="shared" si="6"/>
        <v>-0.42495075868149662</v>
      </c>
      <c r="AA27" s="629">
        <f t="shared" si="7"/>
        <v>-0.87000969481008184</v>
      </c>
      <c r="AB27" s="629">
        <f t="shared" si="8"/>
        <v>-0.2499999672649757</v>
      </c>
      <c r="AC27" s="636">
        <f t="shared" si="84"/>
        <v>1</v>
      </c>
      <c r="AD27" s="637">
        <f t="shared" si="115"/>
        <v>-0.42495075868149662</v>
      </c>
      <c r="AE27" s="629">
        <f t="shared" si="85"/>
        <v>-0.87000969481008184</v>
      </c>
      <c r="AF27" s="633">
        <f t="shared" si="86"/>
        <v>-0.2499999672649757</v>
      </c>
      <c r="AG27" s="602">
        <f t="shared" si="87"/>
        <v>-73.967832110835701</v>
      </c>
      <c r="AH27" s="603">
        <f t="shared" si="88"/>
        <v>115.14754663787646</v>
      </c>
      <c r="AI27" s="585">
        <f t="shared" si="89"/>
        <v>-75.522489751159455</v>
      </c>
      <c r="AJ27" s="586">
        <f t="shared" si="90"/>
        <v>-26.03290500662116</v>
      </c>
      <c r="AK27" s="635">
        <f t="shared" si="211"/>
        <v>0.96592583607220761</v>
      </c>
      <c r="AL27" s="629">
        <f t="shared" si="91"/>
        <v>6.6987279208207129E-2</v>
      </c>
      <c r="AM27" s="634">
        <f t="shared" si="92"/>
        <v>-0.2499999672649757</v>
      </c>
      <c r="AN27" s="581">
        <f t="shared" si="93"/>
        <v>14.999997834268251</v>
      </c>
      <c r="AO27" s="582">
        <f t="shared" si="94"/>
        <v>14.999997834268203</v>
      </c>
      <c r="AP27" s="585">
        <f t="shared" si="95"/>
        <v>3.9671296450865663</v>
      </c>
      <c r="AQ27" s="586">
        <f t="shared" si="9"/>
        <v>2.8215985914167723</v>
      </c>
      <c r="AS27" s="52">
        <f t="shared" si="116"/>
        <v>-119.09103478295106</v>
      </c>
      <c r="AT27" s="72">
        <f t="shared" si="10"/>
        <v>-0.29606778687683188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1.283366468384717</v>
      </c>
      <c r="C28" s="708">
        <v>-0.7409530108746506</v>
      </c>
      <c r="D28" s="709">
        <v>-0.17470052689678911</v>
      </c>
      <c r="E28" s="710">
        <v>0.42495075868149673</v>
      </c>
      <c r="F28" s="708">
        <v>0.87000969481008172</v>
      </c>
      <c r="G28" s="711">
        <v>0.2499999672649757</v>
      </c>
      <c r="H28" s="710">
        <v>0.28999999999999998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1513</v>
      </c>
      <c r="L28" s="320"/>
      <c r="M28" s="168">
        <f t="shared" si="1"/>
        <v>3.1059999999999999</v>
      </c>
      <c r="N28" s="632">
        <f t="shared" si="2"/>
        <v>1.283366468384717</v>
      </c>
      <c r="O28" s="629">
        <f t="shared" si="3"/>
        <v>-0.7409530108746506</v>
      </c>
      <c r="P28" s="633">
        <f t="shared" si="4"/>
        <v>-0.17470052689678911</v>
      </c>
      <c r="Q28" s="585">
        <f t="shared" si="113"/>
        <v>329.99996534829228</v>
      </c>
      <c r="R28" s="629">
        <f t="shared" si="79"/>
        <v>1.4819044694238799</v>
      </c>
      <c r="S28" s="634">
        <f t="shared" si="80"/>
        <v>-0.17470052689678911</v>
      </c>
      <c r="T28" s="635">
        <f t="shared" si="81"/>
        <v>-0.72049995705321856</v>
      </c>
      <c r="U28" s="629">
        <f t="shared" si="82"/>
        <v>-1.2949597168965454</v>
      </c>
      <c r="V28" s="636">
        <f t="shared" si="114"/>
        <v>-0.17470052689678911</v>
      </c>
      <c r="W28" s="585">
        <f t="shared" si="224"/>
        <v>240.90896521704894</v>
      </c>
      <c r="X28" s="629">
        <f t="shared" si="83"/>
        <v>1.4819044694238799</v>
      </c>
      <c r="Y28" s="630">
        <f t="shared" si="223"/>
        <v>-0.17470052689678911</v>
      </c>
      <c r="Z28" s="632">
        <f t="shared" si="6"/>
        <v>-0.42495075868149673</v>
      </c>
      <c r="AA28" s="629">
        <f t="shared" si="7"/>
        <v>-0.87000969481008172</v>
      </c>
      <c r="AB28" s="629">
        <f t="shared" si="8"/>
        <v>-0.2499999672649757</v>
      </c>
      <c r="AC28" s="636">
        <f t="shared" si="84"/>
        <v>1</v>
      </c>
      <c r="AD28" s="637">
        <f t="shared" si="115"/>
        <v>-0.42495075868149673</v>
      </c>
      <c r="AE28" s="629">
        <f t="shared" si="85"/>
        <v>-0.87000969481008172</v>
      </c>
      <c r="AF28" s="633">
        <f t="shared" si="86"/>
        <v>-0.2499999672649757</v>
      </c>
      <c r="AG28" s="602">
        <f t="shared" si="87"/>
        <v>-73.967832110835701</v>
      </c>
      <c r="AH28" s="603">
        <f t="shared" si="88"/>
        <v>115.14754663787647</v>
      </c>
      <c r="AI28" s="585">
        <f t="shared" si="89"/>
        <v>-75.522489751159455</v>
      </c>
      <c r="AJ28" s="586">
        <f t="shared" si="90"/>
        <v>-26.032905006621167</v>
      </c>
      <c r="AK28" s="635">
        <f t="shared" si="211"/>
        <v>0.9659258360722075</v>
      </c>
      <c r="AL28" s="629">
        <f t="shared" si="91"/>
        <v>6.6987279208206962E-2</v>
      </c>
      <c r="AM28" s="634">
        <f t="shared" si="92"/>
        <v>-0.2499999672649757</v>
      </c>
      <c r="AN28" s="581">
        <f t="shared" si="93"/>
        <v>14.999997834268218</v>
      </c>
      <c r="AO28" s="582">
        <f t="shared" si="94"/>
        <v>14.99999783426823</v>
      </c>
      <c r="AP28" s="585">
        <f t="shared" si="95"/>
        <v>3.967129645086557</v>
      </c>
      <c r="AQ28" s="586">
        <f t="shared" si="9"/>
        <v>1.5380067280998726</v>
      </c>
      <c r="AS28" s="52">
        <f t="shared" si="116"/>
        <v>-119.09103478295106</v>
      </c>
      <c r="AT28" s="72">
        <f t="shared" si="10"/>
        <v>-9.1367169499769862E-2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1513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1.948826035481696</v>
      </c>
      <c r="C29" s="708">
        <v>-1.1509278312086666</v>
      </c>
      <c r="D29" s="709">
        <v>-6.4500194532586666E-2</v>
      </c>
      <c r="E29" s="710">
        <v>0.54072642560476181</v>
      </c>
      <c r="F29" s="708">
        <v>0.80059624759117443</v>
      </c>
      <c r="G29" s="711">
        <v>0.25818710462691369</v>
      </c>
      <c r="H29" s="710">
        <v>0.314</v>
      </c>
      <c r="I29" s="708">
        <v>0.52</v>
      </c>
      <c r="J29" s="570">
        <v>3.11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3.11</v>
      </c>
      <c r="N29" s="632">
        <f t="shared" si="2"/>
        <v>1.948826035481696</v>
      </c>
      <c r="O29" s="629">
        <f t="shared" si="3"/>
        <v>-1.1509278312086666</v>
      </c>
      <c r="P29" s="633">
        <f t="shared" si="4"/>
        <v>-6.4500194532586666E-2</v>
      </c>
      <c r="Q29" s="585">
        <f t="shared" si="113"/>
        <v>329.43496542986816</v>
      </c>
      <c r="R29" s="629">
        <f>IF(M29="","",SQRT(N29^2+O29^2))</f>
        <v>2.263306826133388</v>
      </c>
      <c r="S29" s="634">
        <f>IF(M29="","",P29)</f>
        <v>-6.4500194532586666E-2</v>
      </c>
      <c r="T29" s="635">
        <f>IF(M29="","",X29*COS(RADIANS(W29)))</f>
        <v>-1.1198660830642053</v>
      </c>
      <c r="U29" s="629">
        <f>IF(M29="","",X29*SIN(RADIANS(W29)))</f>
        <v>-1.9668395321490832</v>
      </c>
      <c r="V29" s="636">
        <f>IF(M29="","",Y29)</f>
        <v>-6.4500194532586666E-2</v>
      </c>
      <c r="W29" s="585">
        <f t="shared" si="224"/>
        <v>240.34396529862482</v>
      </c>
      <c r="X29" s="629">
        <f>IF(M29="","",R29)</f>
        <v>2.263306826133388</v>
      </c>
      <c r="Y29" s="630">
        <f t="shared" si="223"/>
        <v>-6.4500194532586666E-2</v>
      </c>
      <c r="Z29" s="632">
        <f t="shared" si="6"/>
        <v>-0.54072642560476181</v>
      </c>
      <c r="AA29" s="629">
        <f t="shared" si="7"/>
        <v>-0.80059624759117443</v>
      </c>
      <c r="AB29" s="629">
        <f t="shared" si="8"/>
        <v>-0.25818710462691369</v>
      </c>
      <c r="AC29" s="636">
        <f>IF(M29="","",SQRT(Z29^2+AA29^2+AB29^2))</f>
        <v>1</v>
      </c>
      <c r="AD29" s="637">
        <f>IF(M29="","",Z29*(1/SQRT(Z29^2+AA29^2+AB29^2)))</f>
        <v>-0.54072642560476181</v>
      </c>
      <c r="AE29" s="629">
        <f>IF(M29="","",AA29*(1/SQRT(Z29^2+AA29^2+AB29^2)))</f>
        <v>-0.80059624759117443</v>
      </c>
      <c r="AF29" s="633">
        <f>IF(M29="","",AB29*(1/SQRT(Z29^2+AA29^2+AB29^2)))</f>
        <v>-0.25818710462691369</v>
      </c>
      <c r="AG29" s="602">
        <f>IF(M29="","",DEGREES(ATAN2(-AF29,AE29)))</f>
        <v>-72.125824761501804</v>
      </c>
      <c r="AH29" s="603">
        <f>IF(M29="","",DEGREES(ACOS(AD29)))</f>
        <v>122.7331034856075</v>
      </c>
      <c r="AI29" s="585">
        <f>IF(M29="","",DEGREES(-ACOS(-AF29)))</f>
        <v>-75.037481502924763</v>
      </c>
      <c r="AJ29" s="586">
        <f>IF(M29="","",DEGREES(ATAN2(-AE29,AD29)))</f>
        <v>-34.035274549567959</v>
      </c>
      <c r="AK29" s="635">
        <f>IF(M29="","",(COS(RADIANS((90-$Q$8)-W29))*AD29)+(-SIN(RADIANS((90-$Q$8)-W29))*AE29))</f>
        <v>0.96432347497568349</v>
      </c>
      <c r="AL29" s="629">
        <f>IF(M29="","",(SIN(RADIANS((90-$Q$8)-W29))*AD29)+(COS(RADIANS((90-$Q$8)-W29))*AE29))</f>
        <v>-5.8477813016505786E-2</v>
      </c>
      <c r="AM29" s="634">
        <f>IF(M29="","",AF29)</f>
        <v>-0.25818710462691369</v>
      </c>
      <c r="AN29" s="581">
        <f>IF(M29="","",DEGREES(ATAN2(-AM29,AL29)))</f>
        <v>-12.761828988183282</v>
      </c>
      <c r="AO29" s="582">
        <f t="shared" si="94"/>
        <v>15.350715017630963</v>
      </c>
      <c r="AP29" s="585">
        <f>IF(M29="","",DEGREES(ATAN2(AK29,AL29)))</f>
        <v>-3.4702399794361316</v>
      </c>
      <c r="AQ29" s="586">
        <f t="shared" si="9"/>
        <v>1.0071510397132282</v>
      </c>
      <c r="AS29" s="52">
        <f t="shared" si="116"/>
        <v>-119.65603470137518</v>
      </c>
      <c r="AT29" s="72">
        <f t="shared" si="10"/>
        <v>1.9225523918893775E-2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90</v>
      </c>
    </row>
    <row r="30" spans="1:269" ht="15" customHeight="1" x14ac:dyDescent="0.25">
      <c r="A30" s="79"/>
      <c r="B30" s="707">
        <v>2.5628477512823231</v>
      </c>
      <c r="C30" s="708">
        <v>-1.576497771828681</v>
      </c>
      <c r="D30" s="709">
        <v>-0.31550095155086993</v>
      </c>
      <c r="E30" s="710">
        <v>0.67904308753029707</v>
      </c>
      <c r="F30" s="708">
        <v>0.70389054562942599</v>
      </c>
      <c r="G30" s="711">
        <v>0.20841925307137604</v>
      </c>
      <c r="H30" s="710">
        <v>0.314</v>
      </c>
      <c r="I30" s="708">
        <v>0.52</v>
      </c>
      <c r="J30" s="570">
        <v>3.1160000000000001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3.1160000000000001</v>
      </c>
      <c r="N30" s="632">
        <f t="shared" si="2"/>
        <v>2.5628477512823231</v>
      </c>
      <c r="O30" s="629">
        <f t="shared" si="3"/>
        <v>-1.576497771828681</v>
      </c>
      <c r="P30" s="633">
        <f t="shared" si="4"/>
        <v>-0.31550095155086993</v>
      </c>
      <c r="Q30" s="585">
        <f t="shared" si="113"/>
        <v>328.40286557888493</v>
      </c>
      <c r="R30" s="629">
        <f>IF(M30="","",SQRT(N30^2+O30^2))</f>
        <v>3.0089090748697704</v>
      </c>
      <c r="S30" s="634">
        <f>IF(M30="","",P30)</f>
        <v>-0.31550095155086993</v>
      </c>
      <c r="T30" s="635">
        <f>IF(M30="","",X30*COS(RADIANS(W30)))</f>
        <v>-1.5356413961265976</v>
      </c>
      <c r="U30" s="629">
        <f>IF(M30="","",X30*SIN(RADIANS(W30)))</f>
        <v>-2.5875353762482192</v>
      </c>
      <c r="V30" s="636">
        <f>IF(M30="","",Y30)</f>
        <v>-0.31550095155086993</v>
      </c>
      <c r="W30" s="585">
        <f t="shared" si="224"/>
        <v>239.31186544764159</v>
      </c>
      <c r="X30" s="629">
        <f>IF(M30="","",R30)</f>
        <v>3.0089090748697704</v>
      </c>
      <c r="Y30" s="630">
        <f t="shared" si="223"/>
        <v>-0.31550095155086993</v>
      </c>
      <c r="Z30" s="632">
        <f t="shared" si="6"/>
        <v>-0.67904308753029707</v>
      </c>
      <c r="AA30" s="629">
        <f t="shared" si="7"/>
        <v>-0.70389054562942599</v>
      </c>
      <c r="AB30" s="629">
        <f t="shared" si="8"/>
        <v>-0.20841925307137604</v>
      </c>
      <c r="AC30" s="636">
        <f>IF(M30="","",SQRT(Z30^2+AA30^2+AB30^2))</f>
        <v>1</v>
      </c>
      <c r="AD30" s="637">
        <f>IF(M30="","",Z30*(1/SQRT(Z30^2+AA30^2+AB30^2)))</f>
        <v>-0.67904308753029707</v>
      </c>
      <c r="AE30" s="629">
        <f>IF(M30="","",AA30*(1/SQRT(Z30^2+AA30^2+AB30^2)))</f>
        <v>-0.70389054562942599</v>
      </c>
      <c r="AF30" s="633">
        <f>IF(M30="","",AB30*(1/SQRT(Z30^2+AA30^2+AB30^2)))</f>
        <v>-0.20841925307137604</v>
      </c>
      <c r="AG30" s="602">
        <f>IF(M30="","",DEGREES(ATAN2(-AF30,AE30)))</f>
        <v>-73.506183288601378</v>
      </c>
      <c r="AH30" s="603">
        <f>IF(M30="","",DEGREES(ACOS(AD30)))</f>
        <v>132.76891170750133</v>
      </c>
      <c r="AI30" s="585">
        <f>IF(M30="","",DEGREES(-ACOS(-AF30)))</f>
        <v>-77.970267493167384</v>
      </c>
      <c r="AJ30" s="586">
        <f>IF(M30="","",DEGREES(ATAN2(-AE30,AD30)))</f>
        <v>-43.970665488756495</v>
      </c>
      <c r="AK30" s="635">
        <f>IF(M30="","",(COS(RADIANS((90-$Q$8)-W30))*AD30)+(-SIN(RADIANS((90-$Q$8)-W30))*AE30))</f>
        <v>0.95532106320190291</v>
      </c>
      <c r="AL30" s="629">
        <f>IF(M30="","",(SIN(RADIANS((90-$Q$8)-W30))*AD30)+(COS(RADIANS((90-$Q$8)-W30))*AE30))</f>
        <v>-0.20957834132360958</v>
      </c>
      <c r="AM30" s="634">
        <f>IF(M30="","",AF30)</f>
        <v>-0.20841925307137604</v>
      </c>
      <c r="AN30" s="581">
        <f>IF(M30="","",DEGREES(ATAN2(-AM30,AL30)))</f>
        <v>-45.158878174444837</v>
      </c>
      <c r="AO30" s="582">
        <f>IF(ROUND(IF(M30="",0,DEGREES(ACOS(AK30))),4)=90,0,IF(M30="","",DEGREES(ACOS(AK30))))</f>
        <v>17.191724396514115</v>
      </c>
      <c r="AP30" s="585">
        <f>IF(M30="","",DEGREES(ATAN2(AK30,AL30)))</f>
        <v>-12.373531067641446</v>
      </c>
      <c r="AQ30" s="586">
        <f t="shared" si="9"/>
        <v>0.75761470617114635</v>
      </c>
      <c r="AS30" s="52">
        <f t="shared" si="116"/>
        <v>-120.68813455235841</v>
      </c>
      <c r="AT30" s="72">
        <f t="shared" si="10"/>
        <v>-0.23105849709176224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3.1160000000000001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15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100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30</v>
      </c>
    </row>
    <row r="31" spans="1:269" ht="15" customHeight="1" x14ac:dyDescent="0.25">
      <c r="A31" s="79"/>
      <c r="B31" s="707">
        <v>2.9693513441928721</v>
      </c>
      <c r="C31" s="708">
        <v>-1.8810242214799751</v>
      </c>
      <c r="D31" s="709">
        <v>-0.90320272405941571</v>
      </c>
      <c r="E31" s="710">
        <v>0.80096711722681257</v>
      </c>
      <c r="F31" s="708">
        <v>0.57866545935251423</v>
      </c>
      <c r="G31" s="711">
        <v>0.1536162858349121</v>
      </c>
      <c r="H31" s="710">
        <v>0.314</v>
      </c>
      <c r="I31" s="708">
        <v>0.52</v>
      </c>
      <c r="J31" s="570">
        <v>3.1219999999999999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3.1219999999999999</v>
      </c>
      <c r="N31" s="632">
        <f t="shared" si="2"/>
        <v>2.9693513441928721</v>
      </c>
      <c r="O31" s="629">
        <f t="shared" si="3"/>
        <v>-1.8810242214799751</v>
      </c>
      <c r="P31" s="633">
        <f t="shared" si="4"/>
        <v>-0.90320272405941571</v>
      </c>
      <c r="Q31" s="585">
        <f t="shared" si="113"/>
        <v>327.64656568808113</v>
      </c>
      <c r="R31" s="629">
        <f>IF(M31="","",SQRT(N31^2+O31^2))</f>
        <v>3.5150106012719737</v>
      </c>
      <c r="S31" s="634">
        <f>IF(M31="","",P31)</f>
        <v>-0.90320272405941571</v>
      </c>
      <c r="T31" s="635">
        <f>IF(M31="","",X31*COS(RADIANS(W31)))</f>
        <v>-1.8336805965323284</v>
      </c>
      <c r="U31" s="629">
        <f>IF(M31="","",X31*SIN(RADIANS(W31)))</f>
        <v>-2.998818933672923</v>
      </c>
      <c r="V31" s="636">
        <f>IF(M31="","",Y31)</f>
        <v>-0.90320272405941571</v>
      </c>
      <c r="W31" s="585">
        <f t="shared" si="224"/>
        <v>238.55556555683779</v>
      </c>
      <c r="X31" s="629">
        <f>IF(M31="","",R31)</f>
        <v>3.5150106012719737</v>
      </c>
      <c r="Y31" s="630">
        <f t="shared" si="223"/>
        <v>-0.90320272405941571</v>
      </c>
      <c r="Z31" s="632">
        <f t="shared" si="6"/>
        <v>-0.80096711722681257</v>
      </c>
      <c r="AA31" s="629">
        <f t="shared" si="7"/>
        <v>-0.57866545935251423</v>
      </c>
      <c r="AB31" s="629">
        <f t="shared" si="8"/>
        <v>-0.1536162858349121</v>
      </c>
      <c r="AC31" s="636">
        <f>IF(M31="","",SQRT(Z31^2+AA31^2+AB31^2))</f>
        <v>1</v>
      </c>
      <c r="AD31" s="637">
        <f>IF(M31="","",Z31*(1/SQRT(Z31^2+AA31^2+AB31^2)))</f>
        <v>-0.80096711722681257</v>
      </c>
      <c r="AE31" s="629">
        <f>IF(M31="","",AA31*(1/SQRT(Z31^2+AA31^2+AB31^2)))</f>
        <v>-0.57866545935251423</v>
      </c>
      <c r="AF31" s="633">
        <f>IF(M31="","",AB31*(1/SQRT(Z31^2+AA31^2+AB31^2)))</f>
        <v>-0.1536162858349121</v>
      </c>
      <c r="AG31" s="602">
        <f>IF(M31="","",DEGREES(ATAN2(-AF31,AE31)))</f>
        <v>-75.132801961446347</v>
      </c>
      <c r="AH31" s="603">
        <f>IF(M31="","",DEGREES(ACOS(AD31)))</f>
        <v>143.22255474059619</v>
      </c>
      <c r="AI31" s="585">
        <f>IF(M31="","",DEGREES(-ACOS(-AF31)))</f>
        <v>-81.163445813235711</v>
      </c>
      <c r="AJ31" s="586">
        <f>IF(M31="","",DEGREES(ATAN2(-AE31,AD31)))</f>
        <v>-54.153453050599033</v>
      </c>
      <c r="AK31" s="635">
        <f>IF(M31="","",(COS(RADIANS((90-$Q$8)-W31))*AD31)+(-SIN(RADIANS((90-$Q$8)-W31))*AE31))</f>
        <v>0.91746511561359401</v>
      </c>
      <c r="AL31" s="629">
        <f>IF(M31="","",(SIN(RADIANS((90-$Q$8)-W31))*AD31)+(COS(RADIANS((90-$Q$8)-W31))*AE31))</f>
        <v>-0.36696021359054892</v>
      </c>
      <c r="AM31" s="634">
        <f>IF(M31="","",AF31)</f>
        <v>-0.1536162858349121</v>
      </c>
      <c r="AN31" s="581">
        <f>IF(M31="","",DEGREES(ATAN2(-AM31,AL31)))</f>
        <v>-67.284918902108984</v>
      </c>
      <c r="AO31" s="582">
        <f t="shared" si="94"/>
        <v>23.441731956865834</v>
      </c>
      <c r="AP31" s="585">
        <f>IF(M31="","",DEGREES(ATAN2(AK31,AL31)))</f>
        <v>-21.800018738680134</v>
      </c>
      <c r="AQ31" s="586">
        <f t="shared" si="9"/>
        <v>0.64854122142954496</v>
      </c>
      <c r="AS31" s="52">
        <f t="shared" si="116"/>
        <v>-121.44443444316221</v>
      </c>
      <c r="AT31" s="72">
        <f t="shared" si="10"/>
        <v>-0.81823506134280533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3.1219999999999999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3.1072587661024023</v>
      </c>
      <c r="C32" s="708">
        <v>-1.984504110659334</v>
      </c>
      <c r="D32" s="709">
        <v>-1.7094051555659495</v>
      </c>
      <c r="E32" s="710">
        <v>0.88753434029675882</v>
      </c>
      <c r="F32" s="708">
        <v>0.46074157050778952</v>
      </c>
      <c r="G32" s="711">
        <v>1.1339743404472288E-7</v>
      </c>
      <c r="H32" s="710">
        <v>0.314</v>
      </c>
      <c r="I32" s="708">
        <v>0.52</v>
      </c>
      <c r="J32" s="570">
        <v>3.1280000000000001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3.1280000000000001</v>
      </c>
      <c r="N32" s="632">
        <f t="shared" si="2"/>
        <v>3.1072587661024023</v>
      </c>
      <c r="O32" s="629">
        <f t="shared" si="3"/>
        <v>-1.984504110659334</v>
      </c>
      <c r="P32" s="633">
        <f t="shared" si="4"/>
        <v>-1.7094051555659495</v>
      </c>
      <c r="Q32" s="585">
        <f t="shared" si="113"/>
        <v>327.43496571863238</v>
      </c>
      <c r="R32" s="629">
        <f t="shared" si="79"/>
        <v>3.6869111197239373</v>
      </c>
      <c r="S32" s="634">
        <f t="shared" si="80"/>
        <v>-1.7094051555659495</v>
      </c>
      <c r="T32" s="635">
        <f t="shared" si="81"/>
        <v>-1.9349596479982987</v>
      </c>
      <c r="U32" s="629">
        <f t="shared" si="82"/>
        <v>-3.1383506441062821</v>
      </c>
      <c r="V32" s="636">
        <f t="shared" si="114"/>
        <v>-1.7094051555659495</v>
      </c>
      <c r="W32" s="585">
        <f t="shared" si="224"/>
        <v>238.34396558738905</v>
      </c>
      <c r="X32" s="629">
        <f t="shared" si="83"/>
        <v>3.6869111197239373</v>
      </c>
      <c r="Y32" s="630">
        <f t="shared" si="223"/>
        <v>-1.7094051555659495</v>
      </c>
      <c r="Z32" s="632">
        <f t="shared" si="6"/>
        <v>-0.88753434029675882</v>
      </c>
      <c r="AA32" s="629">
        <f t="shared" si="7"/>
        <v>-0.46074157050778952</v>
      </c>
      <c r="AB32" s="629">
        <f t="shared" si="8"/>
        <v>-1.1339743404472288E-7</v>
      </c>
      <c r="AC32" s="636">
        <f t="shared" si="84"/>
        <v>1</v>
      </c>
      <c r="AD32" s="637">
        <f t="shared" si="115"/>
        <v>-0.88753434029675882</v>
      </c>
      <c r="AE32" s="629">
        <f t="shared" si="85"/>
        <v>-0.46074157050778952</v>
      </c>
      <c r="AF32" s="633">
        <f t="shared" si="86"/>
        <v>-1.1339743404472288E-7</v>
      </c>
      <c r="AG32" s="602">
        <f t="shared" si="87"/>
        <v>-89.999985898397725</v>
      </c>
      <c r="AH32" s="603">
        <f t="shared" si="88"/>
        <v>152.56502994990279</v>
      </c>
      <c r="AI32" s="585">
        <f t="shared" si="89"/>
        <v>-89.999993502805623</v>
      </c>
      <c r="AJ32" s="586">
        <f t="shared" si="90"/>
        <v>-62.565029949903497</v>
      </c>
      <c r="AK32" s="635">
        <f t="shared" si="211"/>
        <v>0.86602544158358574</v>
      </c>
      <c r="AL32" s="629">
        <f t="shared" si="91"/>
        <v>-0.49999993452993818</v>
      </c>
      <c r="AM32" s="634">
        <f t="shared" si="92"/>
        <v>-1.1339743404472288E-7</v>
      </c>
      <c r="AN32" s="581">
        <f t="shared" si="93"/>
        <v>-89.99998700560954</v>
      </c>
      <c r="AO32" s="582">
        <f t="shared" si="94"/>
        <v>29.99999566853651</v>
      </c>
      <c r="AP32" s="585">
        <f t="shared" si="95"/>
        <v>-29.999995668535888</v>
      </c>
      <c r="AQ32" s="586">
        <f t="shared" si="9"/>
        <v>0.6183056931459352</v>
      </c>
      <c r="AS32" s="52">
        <f t="shared" si="116"/>
        <v>-121.65603441261095</v>
      </c>
      <c r="AT32" s="72">
        <f t="shared" si="10"/>
        <v>-1.624290548426111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3.1280000000000001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1.5222630123958121</v>
      </c>
      <c r="C33" s="708">
        <v>-1.6908064801589497</v>
      </c>
      <c r="D33" s="709">
        <v>-2.4600074193823769E-2</v>
      </c>
      <c r="E33" s="710">
        <v>0.74818930669042416</v>
      </c>
      <c r="F33" s="708">
        <v>0.57023965739964944</v>
      </c>
      <c r="G33" s="711">
        <v>0.33917472559557421</v>
      </c>
      <c r="H33" s="710">
        <v>0.26600000000000001</v>
      </c>
      <c r="I33" s="708">
        <v>0.52</v>
      </c>
      <c r="J33" s="570">
        <v>3.21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</v>
      </c>
      <c r="N33" s="632">
        <f t="shared" si="2"/>
        <v>1.5222630123958121</v>
      </c>
      <c r="O33" s="629">
        <f t="shared" si="3"/>
        <v>-1.6908064801589497</v>
      </c>
      <c r="P33" s="633">
        <f t="shared" si="4"/>
        <v>-2.4600074193823769E-2</v>
      </c>
      <c r="Q33" s="585">
        <f t="shared" si="113"/>
        <v>311.9972679475602</v>
      </c>
      <c r="R33" s="629">
        <f t="shared" si="79"/>
        <v>2.2751068617222949</v>
      </c>
      <c r="S33" s="634">
        <f t="shared" si="80"/>
        <v>-2.4600074193823769E-2</v>
      </c>
      <c r="T33" s="635">
        <f t="shared" si="81"/>
        <v>-1.666443945636938</v>
      </c>
      <c r="U33" s="629">
        <f t="shared" si="82"/>
        <v>-1.548895028175203</v>
      </c>
      <c r="V33" s="636">
        <f t="shared" si="114"/>
        <v>-2.4600074193823769E-2</v>
      </c>
      <c r="W33" s="585">
        <f t="shared" si="224"/>
        <v>222.90626781631687</v>
      </c>
      <c r="X33" s="629">
        <f t="shared" si="83"/>
        <v>2.2751068617222949</v>
      </c>
      <c r="Y33" s="630">
        <f t="shared" si="223"/>
        <v>-2.4600074193823769E-2</v>
      </c>
      <c r="Z33" s="632">
        <f t="shared" si="6"/>
        <v>-0.74818930669042416</v>
      </c>
      <c r="AA33" s="629">
        <f t="shared" si="7"/>
        <v>-0.57023965739964944</v>
      </c>
      <c r="AB33" s="629">
        <f t="shared" si="8"/>
        <v>-0.33917472559557421</v>
      </c>
      <c r="AC33" s="636">
        <f t="shared" si="84"/>
        <v>1</v>
      </c>
      <c r="AD33" s="637">
        <f t="shared" si="115"/>
        <v>-0.74818930669042416</v>
      </c>
      <c r="AE33" s="629">
        <f t="shared" si="85"/>
        <v>-0.57023965739964944</v>
      </c>
      <c r="AF33" s="633">
        <f t="shared" si="86"/>
        <v>-0.33917472559557421</v>
      </c>
      <c r="AG33" s="602">
        <f t="shared" si="87"/>
        <v>-59.256101936057121</v>
      </c>
      <c r="AH33" s="603">
        <f t="shared" si="88"/>
        <v>138.43377254992959</v>
      </c>
      <c r="AI33" s="585">
        <f t="shared" si="89"/>
        <v>-70.173398121589543</v>
      </c>
      <c r="AJ33" s="586">
        <f t="shared" si="90"/>
        <v>-52.686814798589921</v>
      </c>
      <c r="AK33" s="635">
        <f t="shared" si="211"/>
        <v>0.93758148361600713</v>
      </c>
      <c r="AL33" s="629">
        <f t="shared" si="91"/>
        <v>-7.6821006876857001E-2</v>
      </c>
      <c r="AM33" s="634">
        <f t="shared" si="92"/>
        <v>-0.33917472559557421</v>
      </c>
      <c r="AN33" s="581">
        <f t="shared" si="93"/>
        <v>-12.76182721867711</v>
      </c>
      <c r="AO33" s="582">
        <f t="shared" si="94"/>
        <v>20.350714293356685</v>
      </c>
      <c r="AP33" s="585">
        <f t="shared" si="95"/>
        <v>-4.6840827461501116</v>
      </c>
      <c r="AQ33" s="586">
        <f t="shared" si="9"/>
        <v>1.0019284326514544</v>
      </c>
      <c r="AS33" s="52">
        <f t="shared" si="116"/>
        <v>-137.09373218368313</v>
      </c>
      <c r="AT33" s="72">
        <f t="shared" si="10"/>
        <v>7.1235156398148314E-2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734" cm="1">
        <f t="array" ref="II33">IFERROR(ROUND(VALUE(IF($IH33&lt;1,$IH33+LARGE((IF($M$9:$M$150="",0,$M$9:$M$150)-MOD(IF($M$9:$M$150="",0,$M$9:$M$150),1)),1),$IH33)),4),"")</f>
        <v>3.11</v>
      </c>
      <c r="IJ33" s="533">
        <f t="shared" si="112"/>
        <v>1613</v>
      </c>
      <c r="IK33" s="533">
        <f t="shared" si="66"/>
        <v>1313</v>
      </c>
      <c r="IL33" s="727">
        <f t="shared" si="225"/>
        <v>17.437697482307954</v>
      </c>
      <c r="IM33" s="759">
        <v>1.17640974198729E-2</v>
      </c>
      <c r="IN33" s="5">
        <f t="shared" si="226"/>
        <v>0.22</v>
      </c>
      <c r="IO33" s="771">
        <v>110</v>
      </c>
      <c r="IP33" s="9">
        <f t="shared" si="227"/>
        <v>-2.263306826133388</v>
      </c>
      <c r="IQ33" s="5">
        <f t="shared" si="228"/>
        <v>-6.4500194532586666E-2</v>
      </c>
      <c r="IR33" s="5">
        <f t="shared" si="71"/>
        <v>0.314</v>
      </c>
      <c r="IS33" s="5">
        <f t="shared" si="229"/>
        <v>0.30279757114236461</v>
      </c>
      <c r="IT33" s="727">
        <f t="shared" si="230"/>
        <v>12.761828988183282</v>
      </c>
      <c r="IU33" s="9">
        <f t="shared" si="231"/>
        <v>-2.2751068617222949</v>
      </c>
      <c r="IV33" s="5">
        <f t="shared" si="232"/>
        <v>-2.4600074193823769E-2</v>
      </c>
      <c r="IW33" s="5">
        <f t="shared" si="76"/>
        <v>0.26600000000000001</v>
      </c>
      <c r="IX33" s="5">
        <f t="shared" si="233"/>
        <v>0.24939667464185791</v>
      </c>
      <c r="IY33" s="762">
        <f t="shared" si="234"/>
        <v>12.76182721867711</v>
      </c>
    </row>
    <row r="34" spans="1:267" ht="15" customHeight="1" x14ac:dyDescent="0.25">
      <c r="A34" s="79"/>
      <c r="B34" s="707">
        <v>2.0164473761380544</v>
      </c>
      <c r="C34" s="708">
        <v>-2.2842056799229229</v>
      </c>
      <c r="D34" s="709">
        <v>-0.28950087313463335</v>
      </c>
      <c r="E34" s="710">
        <v>0.87138991561834622</v>
      </c>
      <c r="F34" s="708">
        <v>0.41199987442480035</v>
      </c>
      <c r="G34" s="711">
        <v>0.26633760236324189</v>
      </c>
      <c r="H34" s="710">
        <v>0.26600000000000001</v>
      </c>
      <c r="I34" s="708">
        <v>0.52</v>
      </c>
      <c r="J34" s="570">
        <v>3.2160000000000002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3.2160000000000002</v>
      </c>
      <c r="N34" s="632">
        <f t="shared" si="2"/>
        <v>2.0164473761380544</v>
      </c>
      <c r="O34" s="629">
        <f t="shared" si="3"/>
        <v>-2.2842056799229229</v>
      </c>
      <c r="P34" s="633">
        <f t="shared" si="4"/>
        <v>-0.28950087313463335</v>
      </c>
      <c r="Q34" s="585">
        <f t="shared" si="113"/>
        <v>311.43736802839976</v>
      </c>
      <c r="R34" s="629">
        <f>IF(M34="","",SQRT(N34^2+O34^2))</f>
        <v>3.0469091894781153</v>
      </c>
      <c r="S34" s="634">
        <f>IF(M34="","",P34)</f>
        <v>-0.28950087313463335</v>
      </c>
      <c r="T34" s="635">
        <f>IF(M34="","",X34*COS(RADIANS(W34)))</f>
        <v>-2.251928541716651</v>
      </c>
      <c r="U34" s="629">
        <f>IF(M34="","",X34*SIN(RADIANS(W34)))</f>
        <v>-2.0524311077178945</v>
      </c>
      <c r="V34" s="636">
        <f>IF(M34="","",Y34)</f>
        <v>-0.28950087313463335</v>
      </c>
      <c r="W34" s="585">
        <f t="shared" si="224"/>
        <v>222.34636789715643</v>
      </c>
      <c r="X34" s="629">
        <f>IF(M34="","",R34)</f>
        <v>3.0469091894781153</v>
      </c>
      <c r="Y34" s="630">
        <f t="shared" si="223"/>
        <v>-0.28950087313463335</v>
      </c>
      <c r="Z34" s="632">
        <f t="shared" si="6"/>
        <v>-0.87138991561834622</v>
      </c>
      <c r="AA34" s="629">
        <f t="shared" si="7"/>
        <v>-0.41199987442480035</v>
      </c>
      <c r="AB34" s="629">
        <f t="shared" si="8"/>
        <v>-0.26633760236324189</v>
      </c>
      <c r="AC34" s="636">
        <f>IF(M34="","",SQRT(Z34^2+AA34^2+AB34^2))</f>
        <v>1</v>
      </c>
      <c r="AD34" s="637">
        <f>IF(M34="","",Z34*(1/SQRT(Z34^2+AA34^2+AB34^2)))</f>
        <v>-0.87138991561834622</v>
      </c>
      <c r="AE34" s="629">
        <f>IF(M34="","",AA34*(1/SQRT(Z34^2+AA34^2+AB34^2)))</f>
        <v>-0.41199987442480035</v>
      </c>
      <c r="AF34" s="633">
        <f>IF(M34="","",AB34*(1/SQRT(Z34^2+AA34^2+AB34^2)))</f>
        <v>-0.26633760236324189</v>
      </c>
      <c r="AG34" s="602">
        <f>IF(M34="","",DEGREES(ATAN2(-AF34,AE34)))</f>
        <v>-57.119324369561944</v>
      </c>
      <c r="AH34" s="603">
        <f>IF(M34="","",DEGREES(ACOS(AD34)))</f>
        <v>150.62056056531029</v>
      </c>
      <c r="AI34" s="585">
        <f>IF(M34="","",DEGREES(-ACOS(-AF34)))</f>
        <v>-74.553551495403966</v>
      </c>
      <c r="AJ34" s="586">
        <f>IF(M34="","",DEGREES(ATAN2(-AE34,AD34)))</f>
        <v>-64.694854363006485</v>
      </c>
      <c r="AK34" s="635">
        <f>IF(M34="","",(COS(RADIANS((90-$Q$8)-W34))*AD34)+(-SIN(RADIANS((90-$Q$8)-W34))*AE34))</f>
        <v>0.92592515398179787</v>
      </c>
      <c r="AL34" s="629">
        <f>IF(M34="","",(SIN(RADIANS((90-$Q$8)-W34))*AD34)+(COS(RADIANS((90-$Q$8)-W34))*AE34))</f>
        <v>-0.26781876482275041</v>
      </c>
      <c r="AM34" s="634">
        <f>IF(M34="","",AF34)</f>
        <v>-0.26633760236324189</v>
      </c>
      <c r="AN34" s="581">
        <f>IF(M34="","",DEGREES(ATAN2(-AM34,AL34)))</f>
        <v>-45.158875088664452</v>
      </c>
      <c r="AO34" s="582">
        <f t="shared" si="94"/>
        <v>22.191723665628874</v>
      </c>
      <c r="AP34" s="585">
        <f>IF(M34="","",DEGREES(ATAN2(AK34,AL34)))</f>
        <v>-16.132222391406238</v>
      </c>
      <c r="AQ34" s="586">
        <f t="shared" si="9"/>
        <v>0.74816704931081268</v>
      </c>
      <c r="AS34" s="52">
        <f t="shared" si="116"/>
        <v>-137.65363210284357</v>
      </c>
      <c r="AT34" s="72">
        <f t="shared" si="10"/>
        <v>-0.1932768231543554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3.2160000000000002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734" cm="1">
        <f t="array" ref="II34">IFERROR(ROUND(VALUE(IF($IH34&lt;1,$IH34+LARGE((IF($M$9:$M$150="",0,$M$9:$M$150)-MOD(IF($M$9:$M$150="",0,$M$9:$M$150),1)),1),$IH34)),4),"")</f>
        <v>3.1160000000000001</v>
      </c>
      <c r="IJ34" s="533">
        <f t="shared" si="112"/>
        <v>1613</v>
      </c>
      <c r="IK34" s="533">
        <f t="shared" si="66"/>
        <v>1313</v>
      </c>
      <c r="IL34" s="727">
        <f t="shared" si="225"/>
        <v>16.965497550485168</v>
      </c>
      <c r="IM34" s="759">
        <v>7.3623362860785703E-3</v>
      </c>
      <c r="IN34" s="5">
        <f t="shared" si="226"/>
        <v>0.22</v>
      </c>
      <c r="IO34" s="771">
        <v>110</v>
      </c>
      <c r="IP34" s="9">
        <f t="shared" si="227"/>
        <v>-3.0089090748697704</v>
      </c>
      <c r="IQ34" s="5">
        <f t="shared" si="228"/>
        <v>-0.31550095155086993</v>
      </c>
      <c r="IR34" s="5">
        <f t="shared" si="71"/>
        <v>0.314</v>
      </c>
      <c r="IS34" s="5">
        <f t="shared" si="229"/>
        <v>0.29997081384539753</v>
      </c>
      <c r="IT34" s="727">
        <f t="shared" si="230"/>
        <v>45.158878174444837</v>
      </c>
      <c r="IU34" s="9">
        <f t="shared" si="231"/>
        <v>-3.0469091894781153</v>
      </c>
      <c r="IV34" s="5">
        <f t="shared" si="232"/>
        <v>-0.28950087313463335</v>
      </c>
      <c r="IW34" s="5">
        <f t="shared" si="76"/>
        <v>0.26600000000000001</v>
      </c>
      <c r="IX34" s="5">
        <f t="shared" si="233"/>
        <v>0.24629609095915825</v>
      </c>
      <c r="IY34" s="762">
        <f t="shared" si="234"/>
        <v>45.158875088664452</v>
      </c>
      <c r="JG34" s="470"/>
    </row>
    <row r="35" spans="1:267" ht="15" customHeight="1" x14ac:dyDescent="0.25">
      <c r="A35" s="79"/>
      <c r="B35" s="707">
        <v>2.23840845716812</v>
      </c>
      <c r="C35" s="708">
        <v>-2.7479004693231119</v>
      </c>
      <c r="D35" s="709">
        <v>-0.90380272586902133</v>
      </c>
      <c r="E35" s="710">
        <v>0.45431179937053406</v>
      </c>
      <c r="F35" s="708">
        <v>-0.5577189448613028</v>
      </c>
      <c r="G35" s="711">
        <v>0.69465845384296798</v>
      </c>
      <c r="H35" s="710">
        <v>0.25700000000000001</v>
      </c>
      <c r="I35" s="708">
        <v>0.41499999999999992</v>
      </c>
      <c r="J35" s="570">
        <v>3.222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CPS-32193r1</v>
      </c>
      <c r="L35" s="320"/>
      <c r="M35" s="168">
        <f t="shared" si="1"/>
        <v>3.222</v>
      </c>
      <c r="N35" s="632">
        <f t="shared" si="2"/>
        <v>2.23840845716812</v>
      </c>
      <c r="O35" s="629">
        <f t="shared" si="3"/>
        <v>-2.7479004693231119</v>
      </c>
      <c r="P35" s="633">
        <f t="shared" si="4"/>
        <v>-0.90380272586902133</v>
      </c>
      <c r="Q35" s="585">
        <f t="shared" si="113"/>
        <v>309.16586835636372</v>
      </c>
      <c r="R35" s="629">
        <f>IF(M35="","",SQRT(N35^2+O35^2))</f>
        <v>3.5442106893394389</v>
      </c>
      <c r="S35" s="634">
        <f>IF(M35="","",P35)</f>
        <v>-0.90380272586902133</v>
      </c>
      <c r="T35" s="635">
        <f>IF(M35="","",X35*COS(RADIANS(W35)))</f>
        <v>-2.7120437026214854</v>
      </c>
      <c r="U35" s="629">
        <f>IF(M35="","",X35*SIN(RADIANS(W35)))</f>
        <v>-2.2817204836480482</v>
      </c>
      <c r="V35" s="636">
        <f>IF(M35="","",Y35)</f>
        <v>-0.90380272586902133</v>
      </c>
      <c r="W35" s="585">
        <f t="shared" si="224"/>
        <v>220.07486822512038</v>
      </c>
      <c r="X35" s="629">
        <f>IF(M35="","",R35)</f>
        <v>3.5442106893394389</v>
      </c>
      <c r="Y35" s="630">
        <f t="shared" si="223"/>
        <v>-0.90380272586902133</v>
      </c>
      <c r="Z35" s="632">
        <f t="shared" si="6"/>
        <v>-0.45431179937053406</v>
      </c>
      <c r="AA35" s="629">
        <f t="shared" si="7"/>
        <v>0.5577189448613028</v>
      </c>
      <c r="AB35" s="629">
        <f t="shared" si="8"/>
        <v>-0.69465845384296798</v>
      </c>
      <c r="AC35" s="636">
        <f>IF(M35="","",SQRT(Z35^2+AA35^2+AB35^2))</f>
        <v>1</v>
      </c>
      <c r="AD35" s="637">
        <f>IF(M35="","",Z35*(1/SQRT(Z35^2+AA35^2+AB35^2)))</f>
        <v>-0.45431179937053406</v>
      </c>
      <c r="AE35" s="629">
        <f>IF(M35="","",AA35*(1/SQRT(Z35^2+AA35^2+AB35^2)))</f>
        <v>0.5577189448613028</v>
      </c>
      <c r="AF35" s="633">
        <f>IF(M35="","",AB35*(1/SQRT(Z35^2+AA35^2+AB35^2)))</f>
        <v>-0.69465845384296798</v>
      </c>
      <c r="AG35" s="602">
        <f>IF(M35="","",DEGREES(ATAN2(-AF35,AE35)))</f>
        <v>38.759860962405703</v>
      </c>
      <c r="AH35" s="603">
        <f>IF(M35="","",DEGREES(ACOS(AD35)))</f>
        <v>117.02066292921205</v>
      </c>
      <c r="AI35" s="585">
        <f>IF(M35="","",DEGREES(-ACOS(-AF35)))</f>
        <v>-45.999993358424121</v>
      </c>
      <c r="AJ35" s="586">
        <f>IF(M35="","",DEGREES(ATAN2(-AE35,AD35)))</f>
        <v>-140.83411357930584</v>
      </c>
      <c r="AK35" s="635">
        <f>IF(M35="","",(COS(RADIANS((90-$Q$8)-W35))*AD35)+(-SIN(RADIANS((90-$Q$8)-W35))*AE35))</f>
        <v>2.2679489652954743E-7</v>
      </c>
      <c r="AL35" s="629">
        <f>IF(M35="","",(SIN(RADIANS((90-$Q$8)-W35))*AD35)+(COS(RADIANS((90-$Q$8)-W35))*AE35))</f>
        <v>-0.71933971981564171</v>
      </c>
      <c r="AM35" s="634">
        <f>IF(M35="","",AF35)</f>
        <v>-0.69465845384296798</v>
      </c>
      <c r="AN35" s="581">
        <f>IF(M35="","",DEGREES(ATAN2(-AM35,AL35)))</f>
        <v>-45.999993358422707</v>
      </c>
      <c r="AO35" s="582">
        <f t="shared" si="94"/>
        <v>0</v>
      </c>
      <c r="AP35" s="585">
        <f>IF(M35="","",DEGREES(ATAN2(AK35,AL35)))</f>
        <v>-89.999981935669581</v>
      </c>
      <c r="AQ35" s="586">
        <f t="shared" si="9"/>
        <v>0.64319846253197488</v>
      </c>
      <c r="AS35" s="52">
        <f t="shared" si="116"/>
        <v>-139.92513177487962</v>
      </c>
      <c r="AT35" s="72">
        <f t="shared" si="10"/>
        <v>-0.80600124556094055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3.222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734" cm="1">
        <f t="array" ref="II35">IFERROR(ROUND(VALUE(IF($IH35&lt;1,$IH35+LARGE((IF($M$9:$M$150="",0,$M$9:$M$150)-MOD(IF($M$9:$M$150="",0,$M$9:$M$150),1)),1),$IH35)),4),"")</f>
        <v>3.1219999999999999</v>
      </c>
      <c r="IJ35" s="533">
        <f t="shared" si="112"/>
        <v>1613</v>
      </c>
      <c r="IK35" s="533" t="str">
        <f t="shared" si="66"/>
        <v>CPS-32193r1</v>
      </c>
      <c r="IL35" s="727">
        <f t="shared" si="225"/>
        <v>18.480697331717408</v>
      </c>
      <c r="IM35" s="759">
        <v>3.5171796725857098E-3</v>
      </c>
      <c r="IN35" s="5">
        <f t="shared" si="226"/>
        <v>0.14000000000000001</v>
      </c>
      <c r="IO35" s="771">
        <v>70</v>
      </c>
      <c r="IP35" s="9">
        <f t="shared" si="227"/>
        <v>-3.5150106012719737</v>
      </c>
      <c r="IQ35" s="5">
        <f t="shared" si="228"/>
        <v>-0.90320272405941571</v>
      </c>
      <c r="IR35" s="5">
        <f t="shared" si="71"/>
        <v>0.314</v>
      </c>
      <c r="IS35" s="5">
        <f t="shared" si="229"/>
        <v>0.28808404630266854</v>
      </c>
      <c r="IT35" s="727">
        <f t="shared" si="230"/>
        <v>67.284918902108984</v>
      </c>
      <c r="IU35" s="9">
        <f t="shared" si="231"/>
        <v>-3.5442106893394389</v>
      </c>
      <c r="IV35" s="5">
        <f t="shared" si="232"/>
        <v>-0.90380272586902133</v>
      </c>
      <c r="IW35" s="5">
        <f t="shared" si="76"/>
        <v>0.25700000000000001</v>
      </c>
      <c r="IX35" s="5">
        <f t="shared" si="233"/>
        <v>0.25700000000000001</v>
      </c>
      <c r="IY35" s="762">
        <f t="shared" si="234"/>
        <v>45.999993358422707</v>
      </c>
    </row>
    <row r="36" spans="1:267" ht="15" customHeight="1" x14ac:dyDescent="0.25">
      <c r="A36" s="79"/>
      <c r="B36" s="707">
        <v>2.3250587601055943</v>
      </c>
      <c r="C36" s="708">
        <v>-2.8814389985109923</v>
      </c>
      <c r="D36" s="709">
        <v>-1.7223051944724665</v>
      </c>
      <c r="E36" s="710">
        <v>0.62796823800727708</v>
      </c>
      <c r="F36" s="708">
        <v>-0.77823896847561203</v>
      </c>
      <c r="G36" s="711">
        <v>2.2679489709822973E-7</v>
      </c>
      <c r="H36" s="710">
        <v>0.25700000000000001</v>
      </c>
      <c r="I36" s="708">
        <v>0.41499999999999992</v>
      </c>
      <c r="J36" s="570">
        <v>3.2280000000000002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3.2280000000000002</v>
      </c>
      <c r="N36" s="632">
        <f t="shared" si="2"/>
        <v>2.3250587601055943</v>
      </c>
      <c r="O36" s="629">
        <f t="shared" si="3"/>
        <v>-2.8814389985109923</v>
      </c>
      <c r="P36" s="633">
        <f t="shared" si="4"/>
        <v>-1.7223051944724665</v>
      </c>
      <c r="Q36" s="585">
        <f t="shared" si="113"/>
        <v>308.90036839469718</v>
      </c>
      <c r="R36" s="629">
        <f>IF(M36="","",SQRT(N36^2+O36^2))</f>
        <v>3.7025111667736792</v>
      </c>
      <c r="S36" s="634">
        <f>IF(M36="","",P36)</f>
        <v>-1.7223051944724665</v>
      </c>
      <c r="T36" s="635">
        <f>IF(M36="","",X36*COS(RADIANS(W36)))</f>
        <v>-2.8441907734637439</v>
      </c>
      <c r="U36" s="629">
        <f>IF(M36="","",X36*SIN(RADIANS(W36)))</f>
        <v>-2.3704783872095314</v>
      </c>
      <c r="V36" s="636">
        <f>IF(M36="","",Y36)</f>
        <v>-1.7223051944724665</v>
      </c>
      <c r="W36" s="585">
        <f t="shared" si="224"/>
        <v>219.80936826345385</v>
      </c>
      <c r="X36" s="629">
        <f>IF(M36="","",R36)</f>
        <v>3.7025111667736792</v>
      </c>
      <c r="Y36" s="630">
        <f t="shared" si="223"/>
        <v>-1.7223051944724665</v>
      </c>
      <c r="Z36" s="632">
        <f t="shared" si="6"/>
        <v>-0.62796823800727708</v>
      </c>
      <c r="AA36" s="629">
        <f t="shared" si="7"/>
        <v>0.77823896847561203</v>
      </c>
      <c r="AB36" s="629">
        <f t="shared" si="8"/>
        <v>-2.2679489709822973E-7</v>
      </c>
      <c r="AC36" s="636">
        <f>IF(M36="","",SQRT(Z36^2+AA36^2+AB36^2))</f>
        <v>1</v>
      </c>
      <c r="AD36" s="637">
        <f>IF(M36="","",Z36*(1/SQRT(Z36^2+AA36^2+AB36^2)))</f>
        <v>-0.62796823800727708</v>
      </c>
      <c r="AE36" s="629">
        <f>IF(M36="","",AA36*(1/SQRT(Z36^2+AA36^2+AB36^2)))</f>
        <v>0.77823896847561203</v>
      </c>
      <c r="AF36" s="633">
        <f>IF(M36="","",AB36*(1/SQRT(Z36^2+AA36^2+AB36^2)))</f>
        <v>-2.2679489709822973E-7</v>
      </c>
      <c r="AG36" s="602">
        <f>IF(M36="","",DEGREES(ATAN2(-AF36,AE36)))</f>
        <v>89.999983302827346</v>
      </c>
      <c r="AH36" s="603">
        <f>IF(M36="","",DEGREES(ACOS(AD36)))</f>
        <v>128.90038138908636</v>
      </c>
      <c r="AI36" s="585">
        <f>IF(M36="","",DEGREES(-ACOS(-AF36)))</f>
        <v>-89.999987005609583</v>
      </c>
      <c r="AJ36" s="586">
        <f>IF(M36="","",DEGREES(ATAN2(-AE36,AD36)))</f>
        <v>-141.09961861091244</v>
      </c>
      <c r="AK36" s="635">
        <f>IF(M36="","",(COS(RADIANS((90-$Q$8)-W36))*AD36)+(-SIN(RADIANS((90-$Q$8)-W36))*AE36))</f>
        <v>2.2679489625199167E-7</v>
      </c>
      <c r="AL36" s="629">
        <f>IF(M36="","",(SIN(RADIANS((90-$Q$8)-W36))*AD36)+(COS(RADIANS((90-$Q$8)-W36))*AE36))</f>
        <v>-0.99999999999994871</v>
      </c>
      <c r="AM36" s="634">
        <f>IF(M36="","",AF36)</f>
        <v>-2.2679489709822973E-7</v>
      </c>
      <c r="AN36" s="581">
        <f>IF(M36="","",DEGREES(ATAN2(-AM36,AL36)))</f>
        <v>-89.999987005609583</v>
      </c>
      <c r="AO36" s="582">
        <f t="shared" si="94"/>
        <v>0</v>
      </c>
      <c r="AP36" s="585">
        <f>IF(M36="","",DEGREES(ATAN2(AK36,AL36)))</f>
        <v>-89.999987005609626</v>
      </c>
      <c r="AQ36" s="586">
        <f t="shared" si="9"/>
        <v>0.61570074386815077</v>
      </c>
      <c r="AS36" s="52">
        <f t="shared" si="116"/>
        <v>-140.19063173654615</v>
      </c>
      <c r="AT36" s="72">
        <f t="shared" si="10"/>
        <v>-1.6243193391910062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3.2280000000000002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734" cm="1">
        <f t="array" ref="II36">IFERROR(ROUND(VALUE(IF($IH36&lt;1,$IH36+LARGE((IF($M$9:$M$150="",0,$M$9:$M$150)-MOD(IF($M$9:$M$150="",0,$M$9:$M$150),1)),1),$IH36)),4),"")</f>
        <v>3.1280000000000001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18.534597323935202</v>
      </c>
      <c r="IM36" s="759">
        <v>3.7233002314111997E-5</v>
      </c>
      <c r="IN36" s="5">
        <f t="shared" si="226"/>
        <v>0</v>
      </c>
      <c r="IO36" s="771">
        <v>0</v>
      </c>
      <c r="IP36" s="9">
        <f t="shared" si="227"/>
        <v>-3.6869111197239373</v>
      </c>
      <c r="IQ36" s="5">
        <f t="shared" si="228"/>
        <v>-1.7094051555659495</v>
      </c>
      <c r="IR36" s="5">
        <f t="shared" si="71"/>
        <v>0.314</v>
      </c>
      <c r="IS36" s="5">
        <f t="shared" si="229"/>
        <v>0.27193198865724594</v>
      </c>
      <c r="IT36" s="727">
        <f t="shared" si="230"/>
        <v>89.99998700560954</v>
      </c>
      <c r="IU36" s="9">
        <f t="shared" si="231"/>
        <v>-3.7025111667736792</v>
      </c>
      <c r="IV36" s="5">
        <f t="shared" si="232"/>
        <v>-1.7223051944724665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89.999987005609583</v>
      </c>
    </row>
    <row r="37" spans="1:267" ht="15" customHeight="1" x14ac:dyDescent="0.25">
      <c r="A37" s="79"/>
      <c r="B37" s="707">
        <v>-1.517578186205449E-2</v>
      </c>
      <c r="C37" s="708">
        <v>-2.1164519759604583</v>
      </c>
      <c r="D37" s="709">
        <v>-7.4200193627784003E-2</v>
      </c>
      <c r="E37" s="710">
        <v>0.96458042631082186</v>
      </c>
      <c r="F37" s="708">
        <v>-3.8218014805665335E-2</v>
      </c>
      <c r="G37" s="711">
        <v>0.26100571741313866</v>
      </c>
      <c r="H37" s="710">
        <v>0.314</v>
      </c>
      <c r="I37" s="708">
        <v>0.52</v>
      </c>
      <c r="J37" s="570">
        <v>4.109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4.109</v>
      </c>
      <c r="N37" s="632">
        <f t="shared" si="2"/>
        <v>-1.517578186205449E-2</v>
      </c>
      <c r="O37" s="629">
        <f t="shared" si="3"/>
        <v>-2.1164519759604583</v>
      </c>
      <c r="P37" s="633">
        <f t="shared" si="4"/>
        <v>-7.4200193627784003E-2</v>
      </c>
      <c r="Q37" s="585">
        <f t="shared" si="113"/>
        <v>269.58917407053139</v>
      </c>
      <c r="R37" s="629">
        <f t="shared" si="79"/>
        <v>2.116506383383252</v>
      </c>
      <c r="S37" s="634">
        <f t="shared" si="80"/>
        <v>-7.4200193627784003E-2</v>
      </c>
      <c r="T37" s="635">
        <f t="shared" si="81"/>
        <v>-2.1164263808763986</v>
      </c>
      <c r="U37" s="629">
        <f t="shared" si="82"/>
        <v>-1.840231595434404E-2</v>
      </c>
      <c r="V37" s="636">
        <f t="shared" si="114"/>
        <v>-7.4200193627784003E-2</v>
      </c>
      <c r="W37" s="585">
        <f t="shared" si="224"/>
        <v>180.49817393928805</v>
      </c>
      <c r="X37" s="629">
        <f t="shared" si="83"/>
        <v>2.116506383383252</v>
      </c>
      <c r="Y37" s="630">
        <f t="shared" si="223"/>
        <v>-7.4200193627784003E-2</v>
      </c>
      <c r="Z37" s="632">
        <f t="shared" si="6"/>
        <v>-0.96458042631082186</v>
      </c>
      <c r="AA37" s="629">
        <f t="shared" si="7"/>
        <v>3.8218014805665335E-2</v>
      </c>
      <c r="AB37" s="629">
        <f t="shared" si="8"/>
        <v>-0.26100571741313866</v>
      </c>
      <c r="AC37" s="636">
        <f t="shared" si="84"/>
        <v>1</v>
      </c>
      <c r="AD37" s="637">
        <f t="shared" si="115"/>
        <v>-0.96458042631082186</v>
      </c>
      <c r="AE37" s="629">
        <f t="shared" si="85"/>
        <v>3.8218014805665335E-2</v>
      </c>
      <c r="AF37" s="633">
        <f t="shared" si="86"/>
        <v>-0.26100571741313866</v>
      </c>
      <c r="AG37" s="602">
        <f t="shared" si="87"/>
        <v>8.3303905086553236</v>
      </c>
      <c r="AH37" s="603">
        <f t="shared" si="88"/>
        <v>164.70499658082494</v>
      </c>
      <c r="AI37" s="585">
        <f t="shared" si="89"/>
        <v>-74.870253781304712</v>
      </c>
      <c r="AJ37" s="586">
        <f t="shared" si="90"/>
        <v>-92.268951468678338</v>
      </c>
      <c r="AK37" s="635">
        <f t="shared" si="211"/>
        <v>0.96482966152454963</v>
      </c>
      <c r="AL37" s="629">
        <f t="shared" si="91"/>
        <v>-3.1300794240335508E-2</v>
      </c>
      <c r="AM37" s="634">
        <f t="shared" si="92"/>
        <v>-0.26100571741313866</v>
      </c>
      <c r="AN37" s="581">
        <f t="shared" si="93"/>
        <v>-6.838468717046764</v>
      </c>
      <c r="AO37" s="582">
        <f t="shared" si="94"/>
        <v>15.240774905545813</v>
      </c>
      <c r="AP37" s="585">
        <f t="shared" si="95"/>
        <v>-1.8581255392097251</v>
      </c>
      <c r="AQ37" s="586">
        <f t="shared" si="9"/>
        <v>1.0769909063231773</v>
      </c>
      <c r="AS37" s="52">
        <f t="shared" si="116"/>
        <v>-179.50182606071195</v>
      </c>
      <c r="AT37" s="72">
        <f t="shared" si="10"/>
        <v>5.1085102156569209E-2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-7.2343252358680027E-2</v>
      </c>
      <c r="C38" s="708">
        <v>-2.89670551821489</v>
      </c>
      <c r="D38" s="709">
        <v>-0.25700074495424674</v>
      </c>
      <c r="E38" s="710">
        <v>0.95591107028923383</v>
      </c>
      <c r="F38" s="708">
        <v>-0.20643048737301925</v>
      </c>
      <c r="G38" s="711">
        <v>0.20885516412439833</v>
      </c>
      <c r="H38" s="710">
        <v>0.314</v>
      </c>
      <c r="I38" s="708">
        <v>0.52</v>
      </c>
      <c r="J38" s="570">
        <v>4.1150000000000002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4.1150000000000002</v>
      </c>
      <c r="N38" s="632">
        <f t="shared" si="2"/>
        <v>-7.2343252358680027E-2</v>
      </c>
      <c r="O38" s="629">
        <f t="shared" si="3"/>
        <v>-2.89670551821489</v>
      </c>
      <c r="P38" s="633">
        <f t="shared" si="4"/>
        <v>-0.25700074495424674</v>
      </c>
      <c r="Q38" s="585">
        <f t="shared" si="113"/>
        <v>268.56937421777229</v>
      </c>
      <c r="R38" s="629">
        <f t="shared" si="79"/>
        <v>2.8976087391879575</v>
      </c>
      <c r="S38" s="634">
        <f t="shared" si="80"/>
        <v>-0.25700074495424674</v>
      </c>
      <c r="T38" s="635">
        <f t="shared" si="81"/>
        <v>-2.8974886566663267</v>
      </c>
      <c r="U38" s="629">
        <f t="shared" si="82"/>
        <v>2.6379725328159426E-2</v>
      </c>
      <c r="V38" s="636">
        <f t="shared" si="114"/>
        <v>-0.25700074495424674</v>
      </c>
      <c r="W38" s="585">
        <f t="shared" si="224"/>
        <v>179.47837408652896</v>
      </c>
      <c r="X38" s="629">
        <f t="shared" si="83"/>
        <v>2.8976087391879575</v>
      </c>
      <c r="Y38" s="630">
        <f t="shared" si="223"/>
        <v>-0.25700074495424674</v>
      </c>
      <c r="Z38" s="632">
        <f t="shared" si="6"/>
        <v>-0.95591107028923383</v>
      </c>
      <c r="AA38" s="629">
        <f t="shared" si="7"/>
        <v>0.20643048737301925</v>
      </c>
      <c r="AB38" s="629">
        <f t="shared" si="8"/>
        <v>-0.20885516412439833</v>
      </c>
      <c r="AC38" s="636">
        <f t="shared" si="84"/>
        <v>1</v>
      </c>
      <c r="AD38" s="637">
        <f t="shared" si="115"/>
        <v>-0.95591107028923383</v>
      </c>
      <c r="AE38" s="629">
        <f t="shared" si="85"/>
        <v>0.20643048737301925</v>
      </c>
      <c r="AF38" s="633">
        <f t="shared" si="86"/>
        <v>-0.20885516412439833</v>
      </c>
      <c r="AG38" s="602">
        <f t="shared" si="87"/>
        <v>44.665478049916032</v>
      </c>
      <c r="AH38" s="603">
        <f t="shared" si="88"/>
        <v>162.92301895547342</v>
      </c>
      <c r="AI38" s="585">
        <f t="shared" si="89"/>
        <v>-77.944729620082612</v>
      </c>
      <c r="AJ38" s="586">
        <f t="shared" si="90"/>
        <v>-102.18598151506737</v>
      </c>
      <c r="AK38" s="635">
        <f t="shared" si="211"/>
        <v>0.96076695497966369</v>
      </c>
      <c r="AL38" s="629">
        <f t="shared" si="91"/>
        <v>-0.18250035243164811</v>
      </c>
      <c r="AM38" s="634">
        <f t="shared" si="92"/>
        <v>-0.20885516412439833</v>
      </c>
      <c r="AN38" s="581">
        <f t="shared" si="93"/>
        <v>-41.147382717355327</v>
      </c>
      <c r="AO38" s="582">
        <f t="shared" si="94"/>
        <v>16.102520271270254</v>
      </c>
      <c r="AP38" s="585">
        <f t="shared" si="95"/>
        <v>-10.755355732839675</v>
      </c>
      <c r="AQ38" s="586">
        <f t="shared" si="9"/>
        <v>0.7867119296709294</v>
      </c>
      <c r="AS38" s="52">
        <f t="shared" si="116"/>
        <v>-180.52162591347104</v>
      </c>
      <c r="AT38" s="72">
        <f t="shared" si="10"/>
        <v>-0.1310072548276997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4.1150000000000002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-0.13651343048525225</v>
      </c>
      <c r="C39" s="708">
        <v>-3.450511013277727</v>
      </c>
      <c r="D39" s="709">
        <v>-0.79810237691676944</v>
      </c>
      <c r="E39" s="710">
        <v>0.91004607594236597</v>
      </c>
      <c r="F39" s="708">
        <v>-0.37851231018471132</v>
      </c>
      <c r="G39" s="711">
        <v>0.16895138561294609</v>
      </c>
      <c r="H39" s="710">
        <v>0.314</v>
      </c>
      <c r="I39" s="708">
        <v>0.52</v>
      </c>
      <c r="J39" s="570">
        <v>4.1210000000000004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4.1210000000000004</v>
      </c>
      <c r="N39" s="632">
        <f t="shared" si="2"/>
        <v>-0.13651343048525225</v>
      </c>
      <c r="O39" s="629">
        <f t="shared" si="3"/>
        <v>-3.450511013277727</v>
      </c>
      <c r="P39" s="633">
        <f t="shared" si="4"/>
        <v>-0.79810237691676944</v>
      </c>
      <c r="Q39" s="585">
        <f t="shared" si="113"/>
        <v>267.73437433833135</v>
      </c>
      <c r="R39" s="629">
        <f t="shared" si="79"/>
        <v>3.4532104148826117</v>
      </c>
      <c r="S39" s="634">
        <f t="shared" si="80"/>
        <v>-0.79810237691676944</v>
      </c>
      <c r="T39" s="635">
        <f t="shared" si="81"/>
        <v>-3.4522424766790007</v>
      </c>
      <c r="U39" s="629">
        <f t="shared" si="82"/>
        <v>8.17560497270996E-2</v>
      </c>
      <c r="V39" s="636">
        <f t="shared" si="114"/>
        <v>-0.79810237691676944</v>
      </c>
      <c r="W39" s="585">
        <f t="shared" si="224"/>
        <v>178.64337420708802</v>
      </c>
      <c r="X39" s="629">
        <f t="shared" si="83"/>
        <v>3.4532104148826117</v>
      </c>
      <c r="Y39" s="630">
        <f t="shared" si="223"/>
        <v>-0.79810237691676944</v>
      </c>
      <c r="Z39" s="632">
        <f t="shared" si="6"/>
        <v>-0.91004607594236597</v>
      </c>
      <c r="AA39" s="629">
        <f t="shared" si="7"/>
        <v>0.37851231018471132</v>
      </c>
      <c r="AB39" s="629">
        <f t="shared" si="8"/>
        <v>-0.16895138561294609</v>
      </c>
      <c r="AC39" s="636">
        <f t="shared" si="84"/>
        <v>1</v>
      </c>
      <c r="AD39" s="637">
        <f t="shared" si="115"/>
        <v>-0.91004607594236597</v>
      </c>
      <c r="AE39" s="629">
        <f t="shared" si="85"/>
        <v>0.37851231018471132</v>
      </c>
      <c r="AF39" s="633">
        <f t="shared" si="86"/>
        <v>-0.16895138561294609</v>
      </c>
      <c r="AG39" s="602">
        <f t="shared" si="87"/>
        <v>65.946099412767666</v>
      </c>
      <c r="AH39" s="603">
        <f t="shared" si="88"/>
        <v>155.51171965822937</v>
      </c>
      <c r="AI39" s="585">
        <f t="shared" si="89"/>
        <v>-80.273143994175939</v>
      </c>
      <c r="AJ39" s="586">
        <f t="shared" si="90"/>
        <v>-112.58372212720879</v>
      </c>
      <c r="AK39" s="635">
        <f t="shared" si="211"/>
        <v>0.92429815681591665</v>
      </c>
      <c r="AL39" s="629">
        <f t="shared" si="91"/>
        <v>-0.34224018847319015</v>
      </c>
      <c r="AM39" s="634">
        <f t="shared" si="92"/>
        <v>-0.16895138561294609</v>
      </c>
      <c r="AN39" s="581">
        <f t="shared" si="93"/>
        <v>-63.726142065862959</v>
      </c>
      <c r="AO39" s="582">
        <f t="shared" si="94"/>
        <v>22.437240118831113</v>
      </c>
      <c r="AP39" s="585">
        <f t="shared" si="95"/>
        <v>-20.318096465540137</v>
      </c>
      <c r="AQ39" s="586">
        <f t="shared" si="9"/>
        <v>0.66014678487179701</v>
      </c>
      <c r="AS39" s="52">
        <f t="shared" si="116"/>
        <v>-181.35662579291198</v>
      </c>
      <c r="AT39" s="72">
        <f t="shared" si="10"/>
        <v>-0.67152902576283291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4.1210000000000004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-0.16500103284884099</v>
      </c>
      <c r="C40" s="708">
        <v>-3.6832171084642429</v>
      </c>
      <c r="D40" s="709">
        <v>-1.6045048090265044</v>
      </c>
      <c r="E40" s="710">
        <v>0.84278115617020621</v>
      </c>
      <c r="F40" s="708">
        <v>-0.53825637274852378</v>
      </c>
      <c r="G40" s="711">
        <v>1.1339743345366201E-7</v>
      </c>
      <c r="H40" s="710">
        <v>0.314</v>
      </c>
      <c r="I40" s="708">
        <v>0.52</v>
      </c>
      <c r="J40" s="570">
        <v>4.1269999999999998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4.1269999999999998</v>
      </c>
      <c r="N40" s="632">
        <f t="shared" si="2"/>
        <v>-0.16500103284884099</v>
      </c>
      <c r="O40" s="629">
        <f t="shared" si="3"/>
        <v>-3.6832171084642429</v>
      </c>
      <c r="P40" s="633">
        <f t="shared" si="4"/>
        <v>-1.6045048090265044</v>
      </c>
      <c r="Q40" s="585">
        <f t="shared" si="113"/>
        <v>267.43497439682073</v>
      </c>
      <c r="R40" s="629">
        <f t="shared" si="79"/>
        <v>3.6869111202909246</v>
      </c>
      <c r="S40" s="634">
        <f t="shared" si="80"/>
        <v>-1.6045048090265044</v>
      </c>
      <c r="T40" s="635">
        <f t="shared" si="81"/>
        <v>-3.6853712244833639</v>
      </c>
      <c r="U40" s="629">
        <f t="shared" si="82"/>
        <v>0.1065483302303353</v>
      </c>
      <c r="V40" s="636">
        <f t="shared" si="114"/>
        <v>-1.6045048090265044</v>
      </c>
      <c r="W40" s="585">
        <f t="shared" si="224"/>
        <v>178.3439742655774</v>
      </c>
      <c r="X40" s="629">
        <f t="shared" si="83"/>
        <v>3.6869111202909246</v>
      </c>
      <c r="Y40" s="630">
        <f t="shared" si="223"/>
        <v>-1.6045048090265044</v>
      </c>
      <c r="Z40" s="632">
        <f t="shared" si="6"/>
        <v>-0.84278115617020621</v>
      </c>
      <c r="AA40" s="629">
        <f t="shared" si="7"/>
        <v>0.53825637274852378</v>
      </c>
      <c r="AB40" s="629">
        <f t="shared" si="8"/>
        <v>-1.1339743345366201E-7</v>
      </c>
      <c r="AC40" s="636">
        <f t="shared" si="84"/>
        <v>1</v>
      </c>
      <c r="AD40" s="637">
        <f t="shared" si="115"/>
        <v>-0.84278115617020621</v>
      </c>
      <c r="AE40" s="629">
        <f t="shared" si="85"/>
        <v>0.53825637274852378</v>
      </c>
      <c r="AF40" s="633">
        <f t="shared" si="86"/>
        <v>-1.1339743345366201E-7</v>
      </c>
      <c r="AG40" s="602">
        <f t="shared" si="87"/>
        <v>89.999987929182694</v>
      </c>
      <c r="AH40" s="603">
        <f t="shared" si="88"/>
        <v>147.43497871302287</v>
      </c>
      <c r="AI40" s="585">
        <f t="shared" si="89"/>
        <v>-89.999993502805651</v>
      </c>
      <c r="AJ40" s="586">
        <f t="shared" si="90"/>
        <v>-122.56502128697656</v>
      </c>
      <c r="AK40" s="635">
        <f t="shared" si="211"/>
        <v>0.86602544145040483</v>
      </c>
      <c r="AL40" s="629">
        <f t="shared" si="91"/>
        <v>-0.4999999347606145</v>
      </c>
      <c r="AM40" s="634">
        <f t="shared" si="92"/>
        <v>-1.1339743345366201E-7</v>
      </c>
      <c r="AN40" s="581">
        <f t="shared" si="93"/>
        <v>-89.999987005609626</v>
      </c>
      <c r="AO40" s="582">
        <f t="shared" si="94"/>
        <v>29.99999568379793</v>
      </c>
      <c r="AP40" s="585">
        <f t="shared" si="95"/>
        <v>-29.999995683797309</v>
      </c>
      <c r="AQ40" s="586">
        <f t="shared" si="9"/>
        <v>0.61830569305085714</v>
      </c>
      <c r="AS40" s="52">
        <f t="shared" si="116"/>
        <v>-181.6560257344226</v>
      </c>
      <c r="AT40" s="72">
        <f t="shared" si="10"/>
        <v>-1.4777235412465188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4.1269999999999998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-1.1395165909916409</v>
      </c>
      <c r="C41" s="708">
        <v>-2.6965207937901527</v>
      </c>
      <c r="D41" s="709">
        <v>-0.23780068704687241</v>
      </c>
      <c r="E41" s="710">
        <v>-0.12865506397876553</v>
      </c>
      <c r="F41" s="708">
        <v>-0.30444639587443434</v>
      </c>
      <c r="G41" s="711">
        <v>0.94380096765774035</v>
      </c>
      <c r="H41" s="710">
        <v>0.25700000000000001</v>
      </c>
      <c r="I41" s="708">
        <v>0.41499999999999992</v>
      </c>
      <c r="J41" s="570">
        <v>4.2149999999999999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CPS-32193r1</v>
      </c>
      <c r="L41" s="320"/>
      <c r="M41" s="168">
        <f t="shared" ref="M41:M72" si="239">IF(J41="","",VALUE(J41))</f>
        <v>4.2149999999999999</v>
      </c>
      <c r="N41" s="632">
        <f t="shared" ref="N41:N72" si="240">IF(M41="","",B41)</f>
        <v>-1.1395165909916409</v>
      </c>
      <c r="O41" s="629">
        <f t="shared" ref="O41:O72" si="241">IF(M41="","",C41)</f>
        <v>-2.6965207937901527</v>
      </c>
      <c r="P41" s="633">
        <f t="shared" ref="P41:P72" si="242">IF(M41="","",D41)</f>
        <v>-0.23780068704687241</v>
      </c>
      <c r="Q41" s="585">
        <f t="shared" si="113"/>
        <v>247.09167731876801</v>
      </c>
      <c r="R41" s="629">
        <f t="shared" si="79"/>
        <v>2.9274088290650293</v>
      </c>
      <c r="S41" s="634">
        <f t="shared" si="80"/>
        <v>-0.23780068704687241</v>
      </c>
      <c r="T41" s="635">
        <f t="shared" si="81"/>
        <v>-2.7142591630327861</v>
      </c>
      <c r="U41" s="629">
        <f t="shared" si="82"/>
        <v>1.0965945688268051</v>
      </c>
      <c r="V41" s="636">
        <f t="shared" si="114"/>
        <v>-0.23780068704687241</v>
      </c>
      <c r="W41" s="585">
        <f t="shared" si="224"/>
        <v>158.00067718752467</v>
      </c>
      <c r="X41" s="629">
        <f t="shared" si="83"/>
        <v>2.9274088290650293</v>
      </c>
      <c r="Y41" s="630">
        <f t="shared" si="223"/>
        <v>-0.23780068704687241</v>
      </c>
      <c r="Z41" s="632">
        <f t="shared" ref="Z41:Z72" si="243">IF(M41="","",-E41)</f>
        <v>0.12865506397876553</v>
      </c>
      <c r="AA41" s="629">
        <f t="shared" ref="AA41:AA72" si="244">IF(M41="","",-F41)</f>
        <v>0.30444639587443434</v>
      </c>
      <c r="AB41" s="629">
        <f t="shared" ref="AB41:AB72" si="245">IF(M41="","",-G41)</f>
        <v>-0.94380096765774035</v>
      </c>
      <c r="AC41" s="636">
        <f t="shared" si="84"/>
        <v>1</v>
      </c>
      <c r="AD41" s="637">
        <f t="shared" si="115"/>
        <v>0.12865506397876553</v>
      </c>
      <c r="AE41" s="629">
        <f t="shared" si="85"/>
        <v>0.30444639587443434</v>
      </c>
      <c r="AF41" s="633">
        <f t="shared" si="86"/>
        <v>-0.94380096765774035</v>
      </c>
      <c r="AG41" s="602">
        <f t="shared" si="87"/>
        <v>17.878392569361662</v>
      </c>
      <c r="AH41" s="603">
        <f t="shared" si="88"/>
        <v>82.6081194765259</v>
      </c>
      <c r="AI41" s="585">
        <f t="shared" si="89"/>
        <v>-19.299997213429375</v>
      </c>
      <c r="AJ41" s="586">
        <f t="shared" si="90"/>
        <v>157.09171663443018</v>
      </c>
      <c r="AK41" s="635">
        <f t="shared" si="211"/>
        <v>2.2679489691812549E-7</v>
      </c>
      <c r="AL41" s="629">
        <f t="shared" si="91"/>
        <v>-0.33051434681154401</v>
      </c>
      <c r="AM41" s="634">
        <f t="shared" si="92"/>
        <v>-0.94380096765774035</v>
      </c>
      <c r="AN41" s="581">
        <f t="shared" si="93"/>
        <v>-19.299997213425172</v>
      </c>
      <c r="AO41" s="582">
        <f t="shared" si="94"/>
        <v>0</v>
      </c>
      <c r="AP41" s="585">
        <f t="shared" si="95"/>
        <v>-89.999960684337807</v>
      </c>
      <c r="AQ41" s="586">
        <f t="shared" ref="AQ41:AQ72" si="246">IF(M41="","",DEGREES(ATAN(($AS$5*SIN(RADIANS(90)))/(($X41*2*PI())-($AS$5*COS(RADIANS(90)))))))</f>
        <v>0.77870444391259241</v>
      </c>
      <c r="AS41" s="52">
        <f t="shared" si="116"/>
        <v>-201.99932281247533</v>
      </c>
      <c r="AT41" s="72">
        <f t="shared" ref="AT41:AT72" si="247">IF(M41="","",Y41+(((AS41-$AS$9)*$AS$6)*-1))</f>
        <v>-9.6892129629350177E-2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4.2149999999999999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734" cm="1">
        <f t="array" ref="II41">IFERROR(ROUND(VALUE(IF($IH41&lt;1,$IH41+LARGE((IF($M$9:$M$150="",0,$M$9:$M$150)-MOD(IF($M$9:$M$150="",0,$M$9:$M$150),1)),1),$IH41)),4),"")</f>
        <v>4.1150000000000002</v>
      </c>
      <c r="IJ41" s="533">
        <f t="shared" si="112"/>
        <v>1613</v>
      </c>
      <c r="IK41" s="533" t="str">
        <f t="shared" ref="IK41:IK72" si="382">IF(ISNUMBER($II41),INDEX($K$9:$K$150,MATCH($IG41,$M$9:$M$150,0)),"")</f>
        <v>CPS-32193r1</v>
      </c>
      <c r="IL41" s="727">
        <f t="shared" si="225"/>
        <v>21.477696899004286</v>
      </c>
      <c r="IM41" s="759">
        <v>9.8055691070021399E-3</v>
      </c>
      <c r="IN41" s="5">
        <f t="shared" si="226"/>
        <v>0.2</v>
      </c>
      <c r="IO41" s="771">
        <v>100</v>
      </c>
      <c r="IP41" s="9">
        <f t="shared" si="227"/>
        <v>-2.8976087391879575</v>
      </c>
      <c r="IQ41" s="5">
        <f t="shared" si="228"/>
        <v>-0.25700074495424674</v>
      </c>
      <c r="IR41" s="5">
        <f t="shared" ref="IR41:IR72" si="383">IF(ISNUMBER($II41),INDEX($H$9:$H$150,MATCH($II41,$M$9:$M$150,0)),"")</f>
        <v>0.314</v>
      </c>
      <c r="IS41" s="5">
        <f t="shared" si="229"/>
        <v>0.30168082386361439</v>
      </c>
      <c r="IT41" s="727">
        <f t="shared" si="230"/>
        <v>41.147382717355327</v>
      </c>
      <c r="IU41" s="9">
        <f t="shared" si="231"/>
        <v>-2.9274088290650293</v>
      </c>
      <c r="IV41" s="5">
        <f t="shared" si="232"/>
        <v>-0.23780068704687241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19.299997213425172</v>
      </c>
    </row>
    <row r="42" spans="1:267" ht="15" customHeight="1" x14ac:dyDescent="0.25">
      <c r="A42" s="79"/>
      <c r="B42" s="707">
        <v>-1.2493276674518394</v>
      </c>
      <c r="C42" s="708">
        <v>-3.2517727206274278</v>
      </c>
      <c r="D42" s="709">
        <v>-0.79610237088475089</v>
      </c>
      <c r="E42" s="710">
        <v>-0.24044184357329543</v>
      </c>
      <c r="F42" s="708">
        <v>-0.62582702540008761</v>
      </c>
      <c r="G42" s="711">
        <v>0.74197591210089364</v>
      </c>
      <c r="H42" s="710">
        <v>0.25700000000000001</v>
      </c>
      <c r="I42" s="708">
        <v>0.41499999999999992</v>
      </c>
      <c r="J42" s="570">
        <v>4.2210000000000001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4.2210000000000001</v>
      </c>
      <c r="N42" s="632">
        <f t="shared" si="240"/>
        <v>-1.2493276674518394</v>
      </c>
      <c r="O42" s="629">
        <f t="shared" si="241"/>
        <v>-3.2517727206274278</v>
      </c>
      <c r="P42" s="633">
        <f t="shared" si="242"/>
        <v>-0.79610237088475089</v>
      </c>
      <c r="Q42" s="585">
        <f t="shared" si="113"/>
        <v>248.9832770456548</v>
      </c>
      <c r="R42" s="629">
        <f t="shared" ref="R42:R47" si="385">IF(M42="","",SQRT(N42^2+O42^2))</f>
        <v>3.4835105062676872</v>
      </c>
      <c r="S42" s="634">
        <f t="shared" ref="S42:S47" si="386">IF(M42="","",P42)</f>
        <v>-0.79610237088475089</v>
      </c>
      <c r="T42" s="635">
        <f t="shared" ref="T42:T47" si="387">IF(M42="","",X42*COS(RADIANS(W42)))</f>
        <v>-3.2711832971208366</v>
      </c>
      <c r="U42" s="629">
        <f t="shared" ref="U42:U47" si="388">IF(M42="","",X42*SIN(RADIANS(W42)))</f>
        <v>1.1975831010476941</v>
      </c>
      <c r="V42" s="636">
        <f t="shared" ref="V42:V47" si="389">IF(M42="","",Y42)</f>
        <v>-0.79610237088475089</v>
      </c>
      <c r="W42" s="585">
        <f t="shared" si="224"/>
        <v>159.89227691441147</v>
      </c>
      <c r="X42" s="629">
        <f t="shared" ref="X42:X47" si="390">IF(M42="","",R42)</f>
        <v>3.4835105062676872</v>
      </c>
      <c r="Y42" s="630">
        <f t="shared" si="223"/>
        <v>-0.79610237088475089</v>
      </c>
      <c r="Z42" s="632">
        <f t="shared" si="243"/>
        <v>0.24044184357329543</v>
      </c>
      <c r="AA42" s="629">
        <f t="shared" si="244"/>
        <v>0.62582702540008761</v>
      </c>
      <c r="AB42" s="629">
        <f t="shared" si="245"/>
        <v>-0.74197591210089364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0.24044184357329543</v>
      </c>
      <c r="AE42" s="629">
        <f t="shared" ref="AE42:AE47" si="393">IF(M42="","",AA42*(1/SQRT(Z42^2+AA42^2+AB42^2)))</f>
        <v>0.62582702540008761</v>
      </c>
      <c r="AF42" s="633">
        <f t="shared" ref="AF42:AF47" si="394">IF(M42="","",AB42*(1/SQRT(Z42^2+AA42^2+AB42^2)))</f>
        <v>-0.74197591210089364</v>
      </c>
      <c r="AG42" s="602">
        <f t="shared" ref="AG42:AG47" si="395">IF(M42="","",DEGREES(ATAN2(-AF42,AE42)))</f>
        <v>40.146293292437932</v>
      </c>
      <c r="AH42" s="603">
        <f t="shared" ref="AH42:AH47" si="396">IF(M42="","",DEGREES(ACOS(AD42)))</f>
        <v>76.08738021383418</v>
      </c>
      <c r="AI42" s="585">
        <f t="shared" ref="AI42:AI47" si="397">IF(M42="","",DEGREES(-ACOS(-AF42)))</f>
        <v>-42.099993921514553</v>
      </c>
      <c r="AJ42" s="586">
        <f t="shared" ref="AJ42:AJ47" si="398">IF(M42="","",DEGREES(ATAN2(-AE42,AD42)))</f>
        <v>158.98329642792808</v>
      </c>
      <c r="AK42" s="635">
        <f t="shared" ref="AK42:AK47" si="399">IF(M42="","",(COS(RADIANS((90-$Q$8)-W42))*AD42)+(-SIN(RADIANS((90-$Q$8)-W42))*AE42))</f>
        <v>2.2679489675159203E-7</v>
      </c>
      <c r="AL42" s="629">
        <f t="shared" ref="AL42:AL47" si="400">IF(M42="","",(SIN(RADIANS((90-$Q$8)-W42))*AD42)+(COS(RADIANS((90-$Q$8)-W42))*AE42))</f>
        <v>-0.67042654024284831</v>
      </c>
      <c r="AM42" s="634">
        <f t="shared" ref="AM42:AM47" si="401">IF(M42="","",AF42)</f>
        <v>-0.74197591210089364</v>
      </c>
      <c r="AN42" s="581">
        <f t="shared" ref="AN42:AN47" si="402">IF(M42="","",DEGREES(ATAN2(-AM42,AL42)))</f>
        <v>-42.099993921512926</v>
      </c>
      <c r="AO42" s="582">
        <f t="shared" si="94"/>
        <v>0</v>
      </c>
      <c r="AP42" s="585">
        <f t="shared" ref="AP42:AP47" si="403">IF(M42="","",DEGREES(ATAN2(AK42,AL42)))</f>
        <v>-89.999980617726749</v>
      </c>
      <c r="AQ42" s="586">
        <f t="shared" si="246"/>
        <v>0.65440523171162002</v>
      </c>
      <c r="AS42" s="52">
        <f t="shared" si="116"/>
        <v>-200.10772308558853</v>
      </c>
      <c r="AT42" s="72">
        <f t="shared" si="247"/>
        <v>-0.65650742438867782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4.2210000000000001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734" cm="1">
        <f t="array" ref="II42">IFERROR(ROUND(VALUE(IF($IH42&lt;1,$IH42+LARGE((IF($M$9:$M$150="",0,$M$9:$M$150)-MOD(IF($M$9:$M$150="",0,$M$9:$M$150),1)),1),$IH42)),4),"")</f>
        <v>4.1210000000000004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18.751097292676548</v>
      </c>
      <c r="IM42" s="759">
        <v>4.3071049838960497E-3</v>
      </c>
      <c r="IN42" s="5">
        <f t="shared" si="226"/>
        <v>0.16</v>
      </c>
      <c r="IO42" s="771">
        <v>80</v>
      </c>
      <c r="IP42" s="9">
        <f t="shared" si="227"/>
        <v>-3.4532104148826117</v>
      </c>
      <c r="IQ42" s="5">
        <f t="shared" si="228"/>
        <v>-0.79810237691676944</v>
      </c>
      <c r="IR42" s="5">
        <f t="shared" si="383"/>
        <v>0.314</v>
      </c>
      <c r="IS42" s="5">
        <f t="shared" si="229"/>
        <v>0.29022962124019785</v>
      </c>
      <c r="IT42" s="727">
        <f t="shared" si="230"/>
        <v>63.726142065862959</v>
      </c>
      <c r="IU42" s="9">
        <f t="shared" si="231"/>
        <v>-3.4835105062676872</v>
      </c>
      <c r="IV42" s="5">
        <f t="shared" si="232"/>
        <v>-0.79610237088475089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42.099993921512926</v>
      </c>
    </row>
    <row r="43" spans="1:267" ht="15" customHeight="1" x14ac:dyDescent="0.25">
      <c r="A43" s="79"/>
      <c r="B43" s="707">
        <v>-1.3328694706540369</v>
      </c>
      <c r="C43" s="708">
        <v>-3.4542796544397545</v>
      </c>
      <c r="D43" s="709">
        <v>-1.6174048479330205</v>
      </c>
      <c r="E43" s="710">
        <v>-0.35999045685147152</v>
      </c>
      <c r="F43" s="708">
        <v>-0.93295598555120351</v>
      </c>
      <c r="G43" s="711">
        <v>2.2679489705657792E-7</v>
      </c>
      <c r="H43" s="710">
        <v>0.25700000000000001</v>
      </c>
      <c r="I43" s="708">
        <v>0.41499999999999992</v>
      </c>
      <c r="J43" s="570">
        <v>4.2270000000000003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4.2270000000000003</v>
      </c>
      <c r="N43" s="632">
        <f t="shared" si="240"/>
        <v>-1.3328694706540369</v>
      </c>
      <c r="O43" s="629">
        <f t="shared" si="241"/>
        <v>-3.4542796544397545</v>
      </c>
      <c r="P43" s="633">
        <f t="shared" si="242"/>
        <v>-1.6174048479330205</v>
      </c>
      <c r="Q43" s="585">
        <f t="shared" si="113"/>
        <v>248.9003770576241</v>
      </c>
      <c r="R43" s="629">
        <f t="shared" si="385"/>
        <v>3.7025111690416277</v>
      </c>
      <c r="S43" s="634">
        <f t="shared" si="386"/>
        <v>-1.6174048479330205</v>
      </c>
      <c r="T43" s="635">
        <f t="shared" si="387"/>
        <v>-3.4749900845203086</v>
      </c>
      <c r="U43" s="629">
        <f t="shared" si="388"/>
        <v>1.2779017448002563</v>
      </c>
      <c r="V43" s="636">
        <f t="shared" si="389"/>
        <v>-1.6174048479330205</v>
      </c>
      <c r="W43" s="585">
        <f t="shared" si="224"/>
        <v>159.80937692638076</v>
      </c>
      <c r="X43" s="629">
        <f t="shared" si="390"/>
        <v>3.7025111690416277</v>
      </c>
      <c r="Y43" s="630">
        <f t="shared" si="223"/>
        <v>-1.6174048479330205</v>
      </c>
      <c r="Z43" s="632">
        <f t="shared" si="243"/>
        <v>0.35999045685147152</v>
      </c>
      <c r="AA43" s="629">
        <f t="shared" si="244"/>
        <v>0.93295598555120351</v>
      </c>
      <c r="AB43" s="629">
        <f t="shared" si="245"/>
        <v>-2.2679489705657792E-7</v>
      </c>
      <c r="AC43" s="636">
        <f t="shared" si="391"/>
        <v>1</v>
      </c>
      <c r="AD43" s="637">
        <f t="shared" si="392"/>
        <v>0.35999045685147152</v>
      </c>
      <c r="AE43" s="629">
        <f t="shared" si="393"/>
        <v>0.93295598555120351</v>
      </c>
      <c r="AF43" s="633">
        <f t="shared" si="394"/>
        <v>-2.2679489705657792E-7</v>
      </c>
      <c r="AG43" s="602">
        <f t="shared" si="395"/>
        <v>89.999986071807655</v>
      </c>
      <c r="AH43" s="603">
        <f t="shared" si="396"/>
        <v>68.900390052015055</v>
      </c>
      <c r="AI43" s="585">
        <f t="shared" si="397"/>
        <v>-89.999987005609583</v>
      </c>
      <c r="AJ43" s="586">
        <f t="shared" si="398"/>
        <v>158.9003900520145</v>
      </c>
      <c r="AK43" s="635">
        <f t="shared" si="399"/>
        <v>2.2679489680710319E-7</v>
      </c>
      <c r="AL43" s="629">
        <f t="shared" si="400"/>
        <v>-0.99999999999994849</v>
      </c>
      <c r="AM43" s="634">
        <f t="shared" si="401"/>
        <v>-2.2679489705657792E-7</v>
      </c>
      <c r="AN43" s="581">
        <f t="shared" si="402"/>
        <v>-89.999987005609583</v>
      </c>
      <c r="AO43" s="582">
        <f t="shared" si="94"/>
        <v>0</v>
      </c>
      <c r="AP43" s="585">
        <f t="shared" si="403"/>
        <v>-89.999987005609611</v>
      </c>
      <c r="AQ43" s="586">
        <f t="shared" si="246"/>
        <v>0.61570074349103643</v>
      </c>
      <c r="AS43" s="52">
        <f t="shared" ref="AS43:AS74" si="406">IF(G43="","",IF(AND(W43&lt;(AS42+180),W43&gt;(AS42-180)),W43,IF(W43&gt;(AS42+180),W43-360,IF(W43&lt;(AS42-180),W43+360,"Error"))))</f>
        <v>-200.19062307361924</v>
      </c>
      <c r="AT43" s="72">
        <f t="shared" si="247"/>
        <v>-1.477752332000815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4.2270000000000003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734" cm="1">
        <f t="array" ref="II43">IFERROR(ROUND(VALUE(IF($IH43&lt;1,$IH43+LARGE((IF($M$9:$M$150="",0,$M$9:$M$150)-MOD(IF($M$9:$M$150="",0,$M$9:$M$150),1)),1),$IH43)),4),"")</f>
        <v>4.1269999999999998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18.534597339196637</v>
      </c>
      <c r="IM43" s="759">
        <v>3.7231743506913002E-5</v>
      </c>
      <c r="IN43" s="5">
        <f t="shared" si="226"/>
        <v>0</v>
      </c>
      <c r="IO43" s="771">
        <v>0</v>
      </c>
      <c r="IP43" s="9">
        <f t="shared" si="227"/>
        <v>-3.6869111202909246</v>
      </c>
      <c r="IQ43" s="5">
        <f t="shared" si="228"/>
        <v>-1.6045048090265044</v>
      </c>
      <c r="IR43" s="5">
        <f t="shared" si="383"/>
        <v>0.314</v>
      </c>
      <c r="IS43" s="5">
        <f t="shared" si="229"/>
        <v>0.27193198861542711</v>
      </c>
      <c r="IT43" s="727">
        <f t="shared" si="230"/>
        <v>89.999987005609626</v>
      </c>
      <c r="IU43" s="9">
        <f t="shared" si="231"/>
        <v>-3.7025111690416277</v>
      </c>
      <c r="IV43" s="5">
        <f t="shared" si="232"/>
        <v>-1.6174048479330205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89.999987005609583</v>
      </c>
    </row>
    <row r="44" spans="1:267" ht="15" customHeight="1" x14ac:dyDescent="0.25">
      <c r="A44" s="79"/>
      <c r="B44" s="707">
        <v>-0.51671832930855399</v>
      </c>
      <c r="C44" s="708">
        <v>-0.25202018133867077</v>
      </c>
      <c r="D44" s="709">
        <v>-0.44170133217121788</v>
      </c>
      <c r="E44" s="710">
        <v>0.4880334306401819</v>
      </c>
      <c r="F44" s="708">
        <v>-0.82307756169972091</v>
      </c>
      <c r="G44" s="711">
        <v>0.29045946017304536</v>
      </c>
      <c r="H44" s="710">
        <v>0.314</v>
      </c>
      <c r="I44" s="708">
        <v>0.52</v>
      </c>
      <c r="J44" s="570">
        <v>5.1020000000000003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5.1020000000000003</v>
      </c>
      <c r="N44" s="632">
        <f t="shared" si="240"/>
        <v>-0.51671832930855399</v>
      </c>
      <c r="O44" s="629">
        <f t="shared" si="241"/>
        <v>-0.25202018133867077</v>
      </c>
      <c r="P44" s="633">
        <f t="shared" si="242"/>
        <v>-0.44170133217121788</v>
      </c>
      <c r="Q44" s="585">
        <f t="shared" si="113"/>
        <v>205.99998325167462</v>
      </c>
      <c r="R44" s="629">
        <f t="shared" si="385"/>
        <v>0.57490173390362964</v>
      </c>
      <c r="S44" s="634">
        <f t="shared" si="386"/>
        <v>-0.44170133217121788</v>
      </c>
      <c r="T44" s="635">
        <f t="shared" si="387"/>
        <v>-0.26018587871288273</v>
      </c>
      <c r="U44" s="629">
        <f t="shared" si="388"/>
        <v>0.51265515911166337</v>
      </c>
      <c r="V44" s="636">
        <f t="shared" si="389"/>
        <v>-0.44170133217121788</v>
      </c>
      <c r="W44" s="585">
        <f t="shared" si="224"/>
        <v>116.90898312043127</v>
      </c>
      <c r="X44" s="629">
        <f t="shared" si="390"/>
        <v>0.57490173390362964</v>
      </c>
      <c r="Y44" s="630">
        <f t="shared" si="223"/>
        <v>-0.44170133217121788</v>
      </c>
      <c r="Z44" s="632">
        <f t="shared" si="243"/>
        <v>-0.4880334306401819</v>
      </c>
      <c r="AA44" s="629">
        <f t="shared" si="244"/>
        <v>0.82307756169972091</v>
      </c>
      <c r="AB44" s="629">
        <f t="shared" si="245"/>
        <v>-0.29045946017304536</v>
      </c>
      <c r="AC44" s="636">
        <f t="shared" si="391"/>
        <v>1</v>
      </c>
      <c r="AD44" s="637">
        <f t="shared" si="392"/>
        <v>-0.4880334306401819</v>
      </c>
      <c r="AE44" s="629">
        <f t="shared" si="393"/>
        <v>0.82307756169972091</v>
      </c>
      <c r="AF44" s="633">
        <f t="shared" si="394"/>
        <v>-0.29045946017304536</v>
      </c>
      <c r="AG44" s="602">
        <f t="shared" si="395"/>
        <v>70.562348560179586</v>
      </c>
      <c r="AH44" s="603">
        <f t="shared" si="396"/>
        <v>119.2114064334851</v>
      </c>
      <c r="AI44" s="585">
        <f t="shared" si="397"/>
        <v>-73.114534769632428</v>
      </c>
      <c r="AJ44" s="586">
        <f t="shared" si="398"/>
        <v>-149.3347147995427</v>
      </c>
      <c r="AK44" s="635">
        <f t="shared" si="399"/>
        <v>0.95371696400905337</v>
      </c>
      <c r="AL44" s="629">
        <f t="shared" si="400"/>
        <v>7.782836601996157E-2</v>
      </c>
      <c r="AM44" s="634">
        <f t="shared" si="401"/>
        <v>-0.29045946017304536</v>
      </c>
      <c r="AN44" s="581">
        <f t="shared" si="402"/>
        <v>14.999997834268274</v>
      </c>
      <c r="AO44" s="582">
        <f t="shared" si="94"/>
        <v>17.49999747331298</v>
      </c>
      <c r="AP44" s="585">
        <f t="shared" si="403"/>
        <v>4.6653019487827061</v>
      </c>
      <c r="AQ44" s="586">
        <f t="shared" si="246"/>
        <v>3.959106366147545</v>
      </c>
      <c r="AS44" s="52">
        <f t="shared" si="406"/>
        <v>-243.09101687956871</v>
      </c>
      <c r="AT44" s="72">
        <f t="shared" si="247"/>
        <v>-0.27225687609599192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-1.1299674440889094</v>
      </c>
      <c r="C45" s="708">
        <v>-0.55112153762215477</v>
      </c>
      <c r="D45" s="709">
        <v>-0.23490070846053665</v>
      </c>
      <c r="E45" s="710">
        <v>0.48364153900886331</v>
      </c>
      <c r="F45" s="708">
        <v>-0.8388032415964124</v>
      </c>
      <c r="G45" s="711">
        <v>0.24999996726497556</v>
      </c>
      <c r="H45" s="710">
        <v>0.28999999999999998</v>
      </c>
      <c r="I45" s="708">
        <v>0.52</v>
      </c>
      <c r="J45" s="570">
        <v>5.1050000000000004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1513</v>
      </c>
      <c r="L45" s="320"/>
      <c r="M45" s="168">
        <f t="shared" si="239"/>
        <v>5.1050000000000004</v>
      </c>
      <c r="N45" s="632">
        <f t="shared" si="240"/>
        <v>-1.1299674440889094</v>
      </c>
      <c r="O45" s="629">
        <f t="shared" si="241"/>
        <v>-0.55112153762215477</v>
      </c>
      <c r="P45" s="633">
        <f t="shared" si="242"/>
        <v>-0.23490070846053665</v>
      </c>
      <c r="Q45" s="585">
        <f t="shared" si="113"/>
        <v>205.99998325167462</v>
      </c>
      <c r="R45" s="629">
        <f t="shared" si="385"/>
        <v>1.2572037917266359</v>
      </c>
      <c r="S45" s="634">
        <f t="shared" si="386"/>
        <v>-0.23490070846053665</v>
      </c>
      <c r="T45" s="635">
        <f t="shared" si="387"/>
        <v>-0.56897840792805032</v>
      </c>
      <c r="U45" s="629">
        <f t="shared" si="388"/>
        <v>1.1210820421554757</v>
      </c>
      <c r="V45" s="636">
        <f t="shared" si="389"/>
        <v>-0.23490070846053665</v>
      </c>
      <c r="W45" s="585">
        <f t="shared" si="224"/>
        <v>116.90898312043127</v>
      </c>
      <c r="X45" s="629">
        <f t="shared" si="390"/>
        <v>1.2572037917266359</v>
      </c>
      <c r="Y45" s="630">
        <f t="shared" si="223"/>
        <v>-0.23490070846053665</v>
      </c>
      <c r="Z45" s="632">
        <f t="shared" si="243"/>
        <v>-0.48364153900886331</v>
      </c>
      <c r="AA45" s="629">
        <f t="shared" si="244"/>
        <v>0.8388032415964124</v>
      </c>
      <c r="AB45" s="629">
        <f t="shared" si="245"/>
        <v>-0.24999996726497556</v>
      </c>
      <c r="AC45" s="636">
        <f t="shared" si="391"/>
        <v>1</v>
      </c>
      <c r="AD45" s="637">
        <f t="shared" si="392"/>
        <v>-0.48364153900886331</v>
      </c>
      <c r="AE45" s="629">
        <f t="shared" si="393"/>
        <v>0.8388032415964124</v>
      </c>
      <c r="AF45" s="633">
        <f t="shared" si="394"/>
        <v>-0.24999996726497556</v>
      </c>
      <c r="AG45" s="602">
        <f t="shared" si="395"/>
        <v>73.40364725137006</v>
      </c>
      <c r="AH45" s="603">
        <f t="shared" si="396"/>
        <v>118.92350802287865</v>
      </c>
      <c r="AI45" s="585">
        <f t="shared" si="397"/>
        <v>-75.522489751159469</v>
      </c>
      <c r="AJ45" s="586">
        <f t="shared" si="398"/>
        <v>-150.03288710323878</v>
      </c>
      <c r="AK45" s="635">
        <f t="shared" si="399"/>
        <v>0.96592583607220739</v>
      </c>
      <c r="AL45" s="629">
        <f t="shared" si="400"/>
        <v>6.6987279208207462E-2</v>
      </c>
      <c r="AM45" s="634">
        <f t="shared" si="401"/>
        <v>-0.24999996726497556</v>
      </c>
      <c r="AN45" s="581">
        <f t="shared" si="402"/>
        <v>14.999997834268331</v>
      </c>
      <c r="AO45" s="582">
        <f t="shared" si="94"/>
        <v>14.999997834268255</v>
      </c>
      <c r="AP45" s="585">
        <f t="shared" si="403"/>
        <v>3.9671296450865872</v>
      </c>
      <c r="AQ45" s="586">
        <f t="shared" si="246"/>
        <v>1.812725950827738</v>
      </c>
      <c r="AS45" s="52">
        <f t="shared" si="406"/>
        <v>-243.09101687956871</v>
      </c>
      <c r="AT45" s="72">
        <f t="shared" si="247"/>
        <v>-6.5456252385310693E-2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1513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-1.7426768369873544</v>
      </c>
      <c r="C46" s="708">
        <v>-0.83964478983134827</v>
      </c>
      <c r="D46" s="709">
        <v>-6.0500182468550309E-2</v>
      </c>
      <c r="E46" s="710">
        <v>0.41529835988587444</v>
      </c>
      <c r="F46" s="708">
        <v>-0.87133832506999065</v>
      </c>
      <c r="G46" s="711">
        <v>0.26133655607343975</v>
      </c>
      <c r="H46" s="710">
        <v>0.28999999999999998</v>
      </c>
      <c r="I46" s="708">
        <v>0.52</v>
      </c>
      <c r="J46" s="570">
        <v>5.1079999999999997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1513</v>
      </c>
      <c r="L46" s="320"/>
      <c r="M46" s="168">
        <f t="shared" si="239"/>
        <v>5.1079999999999997</v>
      </c>
      <c r="N46" s="632">
        <f t="shared" si="240"/>
        <v>-1.7426768369873544</v>
      </c>
      <c r="O46" s="629">
        <f t="shared" si="241"/>
        <v>-0.83964478983134827</v>
      </c>
      <c r="P46" s="633">
        <f t="shared" si="242"/>
        <v>-6.0500182468550309E-2</v>
      </c>
      <c r="Q46" s="585">
        <f t="shared" si="113"/>
        <v>205.72538329132192</v>
      </c>
      <c r="R46" s="629">
        <f t="shared" si="385"/>
        <v>1.9344058341679957</v>
      </c>
      <c r="S46" s="634">
        <f t="shared" si="386"/>
        <v>-6.0500182468550309E-2</v>
      </c>
      <c r="T46" s="635">
        <f t="shared" si="387"/>
        <v>-0.86718560194245409</v>
      </c>
      <c r="U46" s="629">
        <f t="shared" si="388"/>
        <v>1.729137086250504</v>
      </c>
      <c r="V46" s="636">
        <f t="shared" si="389"/>
        <v>-6.0500182468550309E-2</v>
      </c>
      <c r="W46" s="585">
        <f t="shared" si="224"/>
        <v>116.63438316007857</v>
      </c>
      <c r="X46" s="629">
        <f t="shared" si="390"/>
        <v>1.9344058341679957</v>
      </c>
      <c r="Y46" s="630">
        <f t="shared" si="223"/>
        <v>-6.0500182468550309E-2</v>
      </c>
      <c r="Z46" s="632">
        <f t="shared" si="243"/>
        <v>-0.41529835988587444</v>
      </c>
      <c r="AA46" s="629">
        <f t="shared" si="244"/>
        <v>0.87133832506999065</v>
      </c>
      <c r="AB46" s="629">
        <f t="shared" si="245"/>
        <v>-0.26133655607343975</v>
      </c>
      <c r="AC46" s="636">
        <f t="shared" si="391"/>
        <v>1</v>
      </c>
      <c r="AD46" s="637">
        <f t="shared" si="392"/>
        <v>-0.41529835988587444</v>
      </c>
      <c r="AE46" s="629">
        <f t="shared" si="393"/>
        <v>0.87133832506999065</v>
      </c>
      <c r="AF46" s="633">
        <f t="shared" si="394"/>
        <v>-0.26133655607343975</v>
      </c>
      <c r="AG46" s="602">
        <f t="shared" si="395"/>
        <v>73.304673547324356</v>
      </c>
      <c r="AH46" s="603">
        <f t="shared" si="396"/>
        <v>114.53810702958212</v>
      </c>
      <c r="AI46" s="585">
        <f t="shared" si="397"/>
        <v>-74.850616563802447</v>
      </c>
      <c r="AJ46" s="586">
        <f t="shared" si="398"/>
        <v>-154.5165390804344</v>
      </c>
      <c r="AK46" s="635">
        <f t="shared" si="399"/>
        <v>0.96523913824194629</v>
      </c>
      <c r="AL46" s="629">
        <f t="shared" si="400"/>
        <v>-4.0755938977148909E-3</v>
      </c>
      <c r="AM46" s="634">
        <f t="shared" si="401"/>
        <v>-0.26133655607343975</v>
      </c>
      <c r="AN46" s="581">
        <f t="shared" si="402"/>
        <v>-0.89346628198404487</v>
      </c>
      <c r="AO46" s="582">
        <f t="shared" si="94"/>
        <v>15.151269737293189</v>
      </c>
      <c r="AP46" s="585">
        <f t="shared" si="403"/>
        <v>-0.2419223717563343</v>
      </c>
      <c r="AQ46" s="586">
        <f t="shared" si="246"/>
        <v>1.1783490150352798</v>
      </c>
      <c r="AS46" s="52">
        <f t="shared" si="406"/>
        <v>-243.36561683992142</v>
      </c>
      <c r="AT46" s="72">
        <f t="shared" si="247"/>
        <v>0.10913496802358726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5.1079999999999997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1513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-2.5254462317241821</v>
      </c>
      <c r="C47" s="708">
        <v>-1.1638128982226632</v>
      </c>
      <c r="D47" s="709">
        <v>-0.18860056881931542</v>
      </c>
      <c r="E47" s="710">
        <v>0.25684651212439569</v>
      </c>
      <c r="F47" s="708">
        <v>-0.94039273221789854</v>
      </c>
      <c r="G47" s="711">
        <v>0.22291563067961079</v>
      </c>
      <c r="H47" s="710">
        <v>0.314</v>
      </c>
      <c r="I47" s="708">
        <v>0.52</v>
      </c>
      <c r="J47" s="570">
        <v>5.1139999999999999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5.1139999999999999</v>
      </c>
      <c r="N47" s="632">
        <f t="shared" si="240"/>
        <v>-2.5254462317241821</v>
      </c>
      <c r="O47" s="629">
        <f t="shared" si="241"/>
        <v>-1.1638128982226632</v>
      </c>
      <c r="P47" s="633">
        <f t="shared" si="242"/>
        <v>-0.18860056881931542</v>
      </c>
      <c r="Q47" s="585">
        <f t="shared" si="113"/>
        <v>204.74188343332176</v>
      </c>
      <c r="R47" s="629">
        <f t="shared" si="385"/>
        <v>2.7807083866164941</v>
      </c>
      <c r="S47" s="634">
        <f t="shared" si="386"/>
        <v>-0.18860056881931542</v>
      </c>
      <c r="T47" s="635">
        <f t="shared" si="387"/>
        <v>-1.2037310619920665</v>
      </c>
      <c r="U47" s="629">
        <f t="shared" si="388"/>
        <v>2.5066652472547579</v>
      </c>
      <c r="V47" s="636">
        <f t="shared" si="389"/>
        <v>-0.18860056881931542</v>
      </c>
      <c r="W47" s="585">
        <f t="shared" si="224"/>
        <v>115.65088330207841</v>
      </c>
      <c r="X47" s="629">
        <f t="shared" si="390"/>
        <v>2.7807083866164941</v>
      </c>
      <c r="Y47" s="630">
        <f t="shared" si="223"/>
        <v>-0.18860056881931542</v>
      </c>
      <c r="Z47" s="632">
        <f t="shared" si="243"/>
        <v>-0.25684651212439569</v>
      </c>
      <c r="AA47" s="629">
        <f t="shared" si="244"/>
        <v>0.94039273221789854</v>
      </c>
      <c r="AB47" s="629">
        <f t="shared" si="245"/>
        <v>-0.22291563067961079</v>
      </c>
      <c r="AC47" s="636">
        <f t="shared" si="391"/>
        <v>1</v>
      </c>
      <c r="AD47" s="637">
        <f t="shared" si="392"/>
        <v>-0.25684651212439569</v>
      </c>
      <c r="AE47" s="629">
        <f t="shared" si="393"/>
        <v>0.94039273221789854</v>
      </c>
      <c r="AF47" s="633">
        <f t="shared" si="394"/>
        <v>-0.22291563067961079</v>
      </c>
      <c r="AG47" s="602">
        <f t="shared" si="395"/>
        <v>76.664448103232431</v>
      </c>
      <c r="AH47" s="603">
        <f t="shared" si="396"/>
        <v>104.88302726136251</v>
      </c>
      <c r="AI47" s="585">
        <f t="shared" si="397"/>
        <v>-77.119660041108219</v>
      </c>
      <c r="AJ47" s="586">
        <f t="shared" si="398"/>
        <v>-164.72357392317087</v>
      </c>
      <c r="AK47" s="635">
        <f t="shared" si="399"/>
        <v>0.96156525382650315</v>
      </c>
      <c r="AL47" s="629">
        <f t="shared" si="400"/>
        <v>-0.16031495323981573</v>
      </c>
      <c r="AM47" s="634">
        <f t="shared" si="401"/>
        <v>-0.22291563067961079</v>
      </c>
      <c r="AN47" s="581">
        <f t="shared" si="402"/>
        <v>-35.722677273405424</v>
      </c>
      <c r="AO47" s="582">
        <f t="shared" si="94"/>
        <v>15.936778823704183</v>
      </c>
      <c r="AP47" s="585">
        <f t="shared" si="403"/>
        <v>-9.4654573564926139</v>
      </c>
      <c r="AQ47" s="586">
        <f t="shared" si="246"/>
        <v>0.81978069900996131</v>
      </c>
      <c r="AS47" s="52">
        <f t="shared" si="406"/>
        <v>-244.3491166979216</v>
      </c>
      <c r="AT47" s="72">
        <f t="shared" si="247"/>
        <v>-1.8282432314677716E-2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5.1139999999999999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-3.0931172852012097</v>
      </c>
      <c r="C48" s="708">
        <v>-1.3667161364160108</v>
      </c>
      <c r="D48" s="709">
        <v>-0.67870204696537362</v>
      </c>
      <c r="E48" s="710">
        <v>8.6412929204772476E-2</v>
      </c>
      <c r="F48" s="708">
        <v>-0.97958502357756672</v>
      </c>
      <c r="G48" s="711">
        <v>0.18151029515922523</v>
      </c>
      <c r="H48" s="710">
        <v>0.314</v>
      </c>
      <c r="I48" s="708">
        <v>0.52</v>
      </c>
      <c r="J48" s="570">
        <v>5.12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5.12</v>
      </c>
      <c r="N48" s="632">
        <f t="shared" si="240"/>
        <v>-3.0931172852012097</v>
      </c>
      <c r="O48" s="629">
        <f t="shared" si="241"/>
        <v>-1.3667161364160108</v>
      </c>
      <c r="P48" s="633">
        <f t="shared" si="242"/>
        <v>-0.67870204696537362</v>
      </c>
      <c r="Q48" s="585">
        <f t="shared" si="113"/>
        <v>203.83858356374213</v>
      </c>
      <c r="R48" s="629">
        <f t="shared" si="79"/>
        <v>3.3816101989363601</v>
      </c>
      <c r="S48" s="634">
        <f t="shared" si="80"/>
        <v>-0.67870204696537362</v>
      </c>
      <c r="T48" s="635">
        <f t="shared" si="81"/>
        <v>-1.4156145119129404</v>
      </c>
      <c r="U48" s="629">
        <f t="shared" si="82"/>
        <v>3.0710459278903492</v>
      </c>
      <c r="V48" s="636">
        <f t="shared" si="114"/>
        <v>-0.67870204696537362</v>
      </c>
      <c r="W48" s="585">
        <f t="shared" si="224"/>
        <v>114.74758343249879</v>
      </c>
      <c r="X48" s="629">
        <f t="shared" si="83"/>
        <v>3.3816101989363601</v>
      </c>
      <c r="Y48" s="630">
        <f t="shared" si="223"/>
        <v>-0.67870204696537362</v>
      </c>
      <c r="Z48" s="632">
        <f t="shared" si="243"/>
        <v>-8.6412929204772476E-2</v>
      </c>
      <c r="AA48" s="629">
        <f t="shared" si="244"/>
        <v>0.97958502357756672</v>
      </c>
      <c r="AB48" s="629">
        <f t="shared" si="245"/>
        <v>-0.18151029515922523</v>
      </c>
      <c r="AC48" s="636">
        <f t="shared" si="84"/>
        <v>1</v>
      </c>
      <c r="AD48" s="637">
        <f t="shared" si="115"/>
        <v>-8.6412929204772476E-2</v>
      </c>
      <c r="AE48" s="629">
        <f t="shared" si="85"/>
        <v>0.97958502357756672</v>
      </c>
      <c r="AF48" s="633">
        <f t="shared" si="86"/>
        <v>-0.18151029515922523</v>
      </c>
      <c r="AG48" s="602">
        <f t="shared" si="87"/>
        <v>79.502547908313758</v>
      </c>
      <c r="AH48" s="603">
        <f t="shared" si="88"/>
        <v>94.957278735910748</v>
      </c>
      <c r="AI48" s="585">
        <f t="shared" si="89"/>
        <v>-79.542257405388639</v>
      </c>
      <c r="AJ48" s="586">
        <f t="shared" si="90"/>
        <v>-174.95877025358507</v>
      </c>
      <c r="AK48" s="635">
        <f t="shared" si="211"/>
        <v>0.93093914682458889</v>
      </c>
      <c r="AL48" s="629">
        <f t="shared" si="91"/>
        <v>-0.31686955937848904</v>
      </c>
      <c r="AM48" s="634">
        <f t="shared" si="92"/>
        <v>-0.18151029515922523</v>
      </c>
      <c r="AN48" s="581">
        <f t="shared" si="93"/>
        <v>-60.194909618973895</v>
      </c>
      <c r="AO48" s="582">
        <f t="shared" si="94"/>
        <v>21.418312808829008</v>
      </c>
      <c r="AP48" s="585">
        <f t="shared" si="95"/>
        <v>-18.797353817327206</v>
      </c>
      <c r="AQ48" s="586">
        <f t="shared" si="246"/>
        <v>0.67412306622820928</v>
      </c>
      <c r="AS48" s="52">
        <f t="shared" si="406"/>
        <v>-245.2524165675012</v>
      </c>
      <c r="AT48" s="72">
        <f t="shared" si="247"/>
        <v>-0.50775661888463897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-3.3540224972803023</v>
      </c>
      <c r="C49" s="708">
        <v>-1.4577359748477117</v>
      </c>
      <c r="D49" s="709">
        <v>-1.4039042341751706</v>
      </c>
      <c r="E49" s="710">
        <v>-9.1781355511733484E-2</v>
      </c>
      <c r="F49" s="708">
        <v>-0.99158836716850862</v>
      </c>
      <c r="G49" s="711">
        <v>9.126167254943178E-2</v>
      </c>
      <c r="H49" s="710">
        <v>0.314</v>
      </c>
      <c r="I49" s="708">
        <v>0.52</v>
      </c>
      <c r="J49" s="570">
        <v>5.1260000000000003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5.1260000000000003</v>
      </c>
      <c r="N49" s="632">
        <f t="shared" si="240"/>
        <v>-3.3540224972803023</v>
      </c>
      <c r="O49" s="629">
        <f t="shared" si="241"/>
        <v>-1.4577359748477117</v>
      </c>
      <c r="P49" s="633">
        <f t="shared" si="242"/>
        <v>-1.4039042341751706</v>
      </c>
      <c r="Q49" s="585">
        <f t="shared" si="113"/>
        <v>203.49088361394379</v>
      </c>
      <c r="R49" s="629">
        <f t="shared" si="79"/>
        <v>3.6571110298468659</v>
      </c>
      <c r="S49" s="634">
        <f t="shared" si="80"/>
        <v>-1.4039042341751706</v>
      </c>
      <c r="T49" s="635">
        <f t="shared" si="81"/>
        <v>-1.5107619939054402</v>
      </c>
      <c r="U49" s="629">
        <f t="shared" si="82"/>
        <v>3.3304743329439521</v>
      </c>
      <c r="V49" s="636">
        <f t="shared" si="114"/>
        <v>-1.4039042341751706</v>
      </c>
      <c r="W49" s="585">
        <f t="shared" si="224"/>
        <v>114.39988348270045</v>
      </c>
      <c r="X49" s="629">
        <f t="shared" si="83"/>
        <v>3.6571110298468659</v>
      </c>
      <c r="Y49" s="630">
        <f t="shared" si="223"/>
        <v>-1.4039042341751706</v>
      </c>
      <c r="Z49" s="632">
        <f t="shared" si="243"/>
        <v>9.1781355511733484E-2</v>
      </c>
      <c r="AA49" s="629">
        <f t="shared" si="244"/>
        <v>0.99158836716850862</v>
      </c>
      <c r="AB49" s="629">
        <f t="shared" si="245"/>
        <v>-9.126167254943178E-2</v>
      </c>
      <c r="AC49" s="636">
        <f t="shared" si="84"/>
        <v>1</v>
      </c>
      <c r="AD49" s="637">
        <f t="shared" si="115"/>
        <v>9.1781355511733484E-2</v>
      </c>
      <c r="AE49" s="629">
        <f t="shared" si="85"/>
        <v>0.99158836716850862</v>
      </c>
      <c r="AF49" s="633">
        <f t="shared" si="86"/>
        <v>-9.126167254943178E-2</v>
      </c>
      <c r="AG49" s="602">
        <f t="shared" si="87"/>
        <v>84.741548576160952</v>
      </c>
      <c r="AH49" s="603">
        <f t="shared" si="88"/>
        <v>84.73390453048188</v>
      </c>
      <c r="AI49" s="585">
        <f t="shared" si="89"/>
        <v>-84.763805663340094</v>
      </c>
      <c r="AJ49" s="586">
        <f t="shared" si="90"/>
        <v>174.71177399665606</v>
      </c>
      <c r="AK49" s="635">
        <f t="shared" si="211"/>
        <v>0.87282466452995167</v>
      </c>
      <c r="AL49" s="629">
        <f t="shared" si="91"/>
        <v>-0.47942508498373082</v>
      </c>
      <c r="AM49" s="634">
        <f t="shared" si="92"/>
        <v>-9.126167254943178E-2</v>
      </c>
      <c r="AN49" s="581">
        <f t="shared" si="93"/>
        <v>-79.222320937018765</v>
      </c>
      <c r="AO49" s="582">
        <f t="shared" si="94"/>
        <v>29.211438417011127</v>
      </c>
      <c r="AP49" s="585">
        <f t="shared" si="95"/>
        <v>-28.779109617287745</v>
      </c>
      <c r="AQ49" s="586">
        <f t="shared" si="246"/>
        <v>0.62334358154208047</v>
      </c>
      <c r="AS49" s="52">
        <f t="shared" si="406"/>
        <v>-245.60011651729957</v>
      </c>
      <c r="AT49" s="72">
        <f t="shared" si="247"/>
        <v>-1.232717347795965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5.1260000000000003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-3.3827850636947034</v>
      </c>
      <c r="C50" s="708">
        <v>-1.4663147061896482</v>
      </c>
      <c r="D50" s="709">
        <v>-2.1690065417237303</v>
      </c>
      <c r="E50" s="710">
        <v>-0.11433052106755759</v>
      </c>
      <c r="F50" s="708">
        <v>-0.99344276732603376</v>
      </c>
      <c r="G50" s="711">
        <v>1.1339743362162163E-7</v>
      </c>
      <c r="H50" s="710">
        <v>0.314</v>
      </c>
      <c r="I50" s="708">
        <v>0.52</v>
      </c>
      <c r="J50" s="570">
        <v>5.1319999999999997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5.1319999999999997</v>
      </c>
      <c r="N50" s="632">
        <f t="shared" si="240"/>
        <v>-3.3827850636947034</v>
      </c>
      <c r="O50" s="629">
        <f t="shared" si="241"/>
        <v>-1.4663147061896482</v>
      </c>
      <c r="P50" s="633">
        <f t="shared" si="242"/>
        <v>-2.1690065417237303</v>
      </c>
      <c r="Q50" s="585">
        <f t="shared" si="113"/>
        <v>203.43498362201476</v>
      </c>
      <c r="R50" s="629">
        <f t="shared" si="79"/>
        <v>3.6869111197239364</v>
      </c>
      <c r="S50" s="634">
        <f t="shared" si="80"/>
        <v>-2.1690065417237303</v>
      </c>
      <c r="T50" s="635">
        <f t="shared" si="81"/>
        <v>-1.5197959457806647</v>
      </c>
      <c r="U50" s="629">
        <f t="shared" si="82"/>
        <v>3.3590971834605599</v>
      </c>
      <c r="V50" s="636">
        <f t="shared" si="114"/>
        <v>-2.1690065417237303</v>
      </c>
      <c r="W50" s="585">
        <f t="shared" si="224"/>
        <v>114.34398349077141</v>
      </c>
      <c r="X50" s="629">
        <f t="shared" si="83"/>
        <v>3.6869111197239364</v>
      </c>
      <c r="Y50" s="630">
        <f t="shared" si="223"/>
        <v>-2.1690065417237303</v>
      </c>
      <c r="Z50" s="632">
        <f t="shared" si="243"/>
        <v>0.11433052106755759</v>
      </c>
      <c r="AA50" s="629">
        <f t="shared" si="244"/>
        <v>0.99344276732603376</v>
      </c>
      <c r="AB50" s="629">
        <f t="shared" si="245"/>
        <v>-1.1339743362162163E-7</v>
      </c>
      <c r="AC50" s="636">
        <f t="shared" si="84"/>
        <v>1</v>
      </c>
      <c r="AD50" s="637">
        <f t="shared" si="115"/>
        <v>0.11433052106755759</v>
      </c>
      <c r="AE50" s="629">
        <f t="shared" si="85"/>
        <v>0.99344276732603376</v>
      </c>
      <c r="AF50" s="633">
        <f t="shared" si="86"/>
        <v>-1.1339743362162163E-7</v>
      </c>
      <c r="AG50" s="602">
        <f t="shared" si="87"/>
        <v>89.99999345992083</v>
      </c>
      <c r="AH50" s="603">
        <f t="shared" si="88"/>
        <v>83.434987953478881</v>
      </c>
      <c r="AI50" s="585">
        <f t="shared" si="89"/>
        <v>-89.999993502805637</v>
      </c>
      <c r="AJ50" s="586">
        <f t="shared" si="90"/>
        <v>173.43498795347884</v>
      </c>
      <c r="AK50" s="635">
        <f t="shared" si="211"/>
        <v>0.86602544158358552</v>
      </c>
      <c r="AL50" s="629">
        <f t="shared" si="91"/>
        <v>-0.49999993452993868</v>
      </c>
      <c r="AM50" s="634">
        <f t="shared" si="92"/>
        <v>-1.1339743362162163E-7</v>
      </c>
      <c r="AN50" s="581">
        <f t="shared" si="93"/>
        <v>-89.999987005609597</v>
      </c>
      <c r="AO50" s="582">
        <f t="shared" si="94"/>
        <v>29.999995668536549</v>
      </c>
      <c r="AP50" s="585">
        <f t="shared" si="95"/>
        <v>-29.99999566853592</v>
      </c>
      <c r="AQ50" s="586">
        <f t="shared" si="246"/>
        <v>0.61830569314593531</v>
      </c>
      <c r="AS50" s="52">
        <f t="shared" si="406"/>
        <v>-245.65601650922861</v>
      </c>
      <c r="AT50" s="72">
        <f t="shared" si="247"/>
        <v>-1.997780835905685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5.1319999999999997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-2.7863195257919822</v>
      </c>
      <c r="C51" s="708">
        <v>-0.37848752173986566</v>
      </c>
      <c r="D51" s="709">
        <v>-0.15700047351342813</v>
      </c>
      <c r="E51" s="710">
        <v>-8.1022787033921975E-2</v>
      </c>
      <c r="F51" s="708">
        <v>-0.95355867626698099</v>
      </c>
      <c r="G51" s="711">
        <v>0.29010542721089988</v>
      </c>
      <c r="H51" s="710">
        <v>0.26600000000000001</v>
      </c>
      <c r="I51" s="708">
        <v>0.52</v>
      </c>
      <c r="J51" s="570">
        <v>5.2140000000000004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5.2140000000000004</v>
      </c>
      <c r="N51" s="632">
        <f t="shared" si="240"/>
        <v>-2.7863195257919822</v>
      </c>
      <c r="O51" s="629">
        <f t="shared" si="241"/>
        <v>-0.37848752173986566</v>
      </c>
      <c r="P51" s="633">
        <f t="shared" si="242"/>
        <v>-0.15700047351342813</v>
      </c>
      <c r="Q51" s="585">
        <f t="shared" si="113"/>
        <v>187.73558588872734</v>
      </c>
      <c r="R51" s="629">
        <f t="shared" si="79"/>
        <v>2.8119084807159784</v>
      </c>
      <c r="S51" s="634">
        <f t="shared" si="80"/>
        <v>-0.15700047351342813</v>
      </c>
      <c r="T51" s="635">
        <f t="shared" si="81"/>
        <v>-0.42264310822965273</v>
      </c>
      <c r="U51" s="629">
        <f t="shared" si="82"/>
        <v>2.7799644075038841</v>
      </c>
      <c r="V51" s="636">
        <f t="shared" si="114"/>
        <v>-0.15700047351342813</v>
      </c>
      <c r="W51" s="585">
        <f t="shared" si="224"/>
        <v>98.644585757483995</v>
      </c>
      <c r="X51" s="629">
        <f t="shared" si="83"/>
        <v>2.8119084807159784</v>
      </c>
      <c r="Y51" s="630">
        <f t="shared" si="223"/>
        <v>-0.15700047351342813</v>
      </c>
      <c r="Z51" s="632">
        <f t="shared" si="243"/>
        <v>8.1022787033921975E-2</v>
      </c>
      <c r="AA51" s="629">
        <f t="shared" si="244"/>
        <v>0.95355867626698099</v>
      </c>
      <c r="AB51" s="629">
        <f t="shared" si="245"/>
        <v>-0.29010542721089988</v>
      </c>
      <c r="AC51" s="636">
        <f t="shared" si="84"/>
        <v>1</v>
      </c>
      <c r="AD51" s="637">
        <f t="shared" si="115"/>
        <v>8.1022787033921975E-2</v>
      </c>
      <c r="AE51" s="629">
        <f t="shared" si="85"/>
        <v>0.95355867626698099</v>
      </c>
      <c r="AF51" s="633">
        <f t="shared" si="86"/>
        <v>-0.29010542721089988</v>
      </c>
      <c r="AG51" s="602">
        <f t="shared" si="87"/>
        <v>73.078430869784256</v>
      </c>
      <c r="AH51" s="603">
        <f t="shared" si="88"/>
        <v>85.352642023279898</v>
      </c>
      <c r="AI51" s="585">
        <f t="shared" si="89"/>
        <v>-73.135732099881324</v>
      </c>
      <c r="AJ51" s="586">
        <f t="shared" si="90"/>
        <v>175.14330887349658</v>
      </c>
      <c r="AK51" s="635">
        <f t="shared" si="211"/>
        <v>0.93397529215937092</v>
      </c>
      <c r="AL51" s="629">
        <f t="shared" si="91"/>
        <v>-0.20863603413264739</v>
      </c>
      <c r="AM51" s="634">
        <f t="shared" si="92"/>
        <v>-0.29010542721089988</v>
      </c>
      <c r="AN51" s="581">
        <f t="shared" si="93"/>
        <v>-35.722674431428835</v>
      </c>
      <c r="AO51" s="582">
        <f t="shared" si="94"/>
        <v>20.936778095590238</v>
      </c>
      <c r="AP51" s="585">
        <f t="shared" si="95"/>
        <v>-12.592277015230765</v>
      </c>
      <c r="AQ51" s="586">
        <f t="shared" si="246"/>
        <v>0.81068587873395748</v>
      </c>
      <c r="AS51" s="52">
        <f t="shared" si="406"/>
        <v>-261.35541424251602</v>
      </c>
      <c r="AT51" s="72">
        <f t="shared" si="247"/>
        <v>2.512759184162236E-2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5.2140000000000004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734" cm="1">
        <f t="array" ref="II51">IFERROR(ROUND(VALUE(IF($IH51&lt;1,$IH51+LARGE((IF($M$9:$M$150="",0,$M$9:$M$150)-MOD(IF($M$9:$M$150="",0,$M$9:$M$150),1)),1),$IH51)),4),"")</f>
        <v>5.1139999999999999</v>
      </c>
      <c r="IJ51" s="533">
        <f t="shared" si="112"/>
        <v>1613</v>
      </c>
      <c r="IK51" s="533">
        <f t="shared" si="382"/>
        <v>1313</v>
      </c>
      <c r="IL51" s="727">
        <f t="shared" si="225"/>
        <v>17.006297544594418</v>
      </c>
      <c r="IM51" s="759">
        <v>8.9042956224804001E-3</v>
      </c>
      <c r="IN51" s="5">
        <f t="shared" si="226"/>
        <v>0.22</v>
      </c>
      <c r="IO51" s="771">
        <v>110</v>
      </c>
      <c r="IP51" s="9">
        <f t="shared" si="227"/>
        <v>-2.7807083866164941</v>
      </c>
      <c r="IQ51" s="5">
        <f t="shared" si="228"/>
        <v>-0.18860056881931542</v>
      </c>
      <c r="IR51" s="5">
        <f t="shared" si="383"/>
        <v>0.314</v>
      </c>
      <c r="IS51" s="5">
        <f t="shared" si="229"/>
        <v>0.301931489701522</v>
      </c>
      <c r="IT51" s="727">
        <f t="shared" si="230"/>
        <v>35.722677273405424</v>
      </c>
      <c r="IU51" s="9">
        <f t="shared" si="231"/>
        <v>-2.8119084807159784</v>
      </c>
      <c r="IV51" s="5">
        <f t="shared" si="232"/>
        <v>-0.15700047351342813</v>
      </c>
      <c r="IW51" s="5">
        <f t="shared" si="384"/>
        <v>0.26600000000000001</v>
      </c>
      <c r="IX51" s="5">
        <f t="shared" si="233"/>
        <v>0.24843742771439267</v>
      </c>
      <c r="IY51" s="762">
        <f t="shared" si="234"/>
        <v>35.722674431428835</v>
      </c>
    </row>
    <row r="52" spans="1:259" ht="15" customHeight="1" x14ac:dyDescent="0.25">
      <c r="A52" s="79"/>
      <c r="B52" s="707">
        <v>-3.3900090138170644</v>
      </c>
      <c r="C52" s="708">
        <v>-0.51236904705584863</v>
      </c>
      <c r="D52" s="709">
        <v>-0.66240199780442577</v>
      </c>
      <c r="E52" s="710">
        <v>-0.2478951663567488</v>
      </c>
      <c r="F52" s="708">
        <v>-0.94320795414322234</v>
      </c>
      <c r="G52" s="711">
        <v>0.22114868694594839</v>
      </c>
      <c r="H52" s="710">
        <v>0.26600000000000001</v>
      </c>
      <c r="I52" s="708">
        <v>0.52</v>
      </c>
      <c r="J52" s="570">
        <v>5.22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5.22</v>
      </c>
      <c r="N52" s="632">
        <f t="shared" si="240"/>
        <v>-3.3900090138170644</v>
      </c>
      <c r="O52" s="629">
        <f t="shared" si="241"/>
        <v>-0.51236904705584863</v>
      </c>
      <c r="P52" s="633">
        <f t="shared" si="242"/>
        <v>-0.66240199780442577</v>
      </c>
      <c r="Q52" s="585">
        <f t="shared" si="113"/>
        <v>188.59468576468865</v>
      </c>
      <c r="R52" s="629">
        <f t="shared" si="79"/>
        <v>3.428510340387187</v>
      </c>
      <c r="S52" s="634">
        <f t="shared" si="80"/>
        <v>-0.66240199780442577</v>
      </c>
      <c r="T52" s="635">
        <f t="shared" si="81"/>
        <v>-0.56608494141225263</v>
      </c>
      <c r="U52" s="629">
        <f t="shared" si="82"/>
        <v>3.3814539762132134</v>
      </c>
      <c r="V52" s="636">
        <f t="shared" si="114"/>
        <v>-0.66240199780442577</v>
      </c>
      <c r="W52" s="585">
        <f t="shared" si="224"/>
        <v>99.503685633445301</v>
      </c>
      <c r="X52" s="629">
        <f t="shared" si="83"/>
        <v>3.428510340387187</v>
      </c>
      <c r="Y52" s="630">
        <f t="shared" si="223"/>
        <v>-0.66240199780442577</v>
      </c>
      <c r="Z52" s="632">
        <f t="shared" si="243"/>
        <v>0.2478951663567488</v>
      </c>
      <c r="AA52" s="629">
        <f t="shared" si="244"/>
        <v>0.94320795414322234</v>
      </c>
      <c r="AB52" s="629">
        <f t="shared" si="245"/>
        <v>-0.22114868694594839</v>
      </c>
      <c r="AC52" s="636">
        <f t="shared" si="84"/>
        <v>1</v>
      </c>
      <c r="AD52" s="637">
        <f t="shared" si="115"/>
        <v>0.2478951663567488</v>
      </c>
      <c r="AE52" s="629">
        <f t="shared" si="85"/>
        <v>0.94320795414322234</v>
      </c>
      <c r="AF52" s="633">
        <f t="shared" si="86"/>
        <v>-0.22114868694594839</v>
      </c>
      <c r="AG52" s="602">
        <f t="shared" si="87"/>
        <v>76.804533868899625</v>
      </c>
      <c r="AH52" s="603">
        <f t="shared" si="88"/>
        <v>75.647006142417425</v>
      </c>
      <c r="AI52" s="585">
        <f t="shared" si="89"/>
        <v>-77.223490143254907</v>
      </c>
      <c r="AJ52" s="586">
        <f t="shared" si="90"/>
        <v>165.27447359781158</v>
      </c>
      <c r="AK52" s="635">
        <f t="shared" si="211"/>
        <v>0.89556960646260286</v>
      </c>
      <c r="AL52" s="629">
        <f t="shared" si="91"/>
        <v>-0.3860677896982625</v>
      </c>
      <c r="AM52" s="634">
        <f t="shared" si="92"/>
        <v>-0.22114868694594839</v>
      </c>
      <c r="AN52" s="581">
        <f t="shared" si="93"/>
        <v>-60.194906610870241</v>
      </c>
      <c r="AO52" s="582">
        <f t="shared" si="94"/>
        <v>26.418312069829476</v>
      </c>
      <c r="AP52" s="585">
        <f t="shared" si="95"/>
        <v>-23.320212166877056</v>
      </c>
      <c r="AQ52" s="586">
        <f t="shared" si="246"/>
        <v>0.66490226596937163</v>
      </c>
      <c r="AS52" s="52">
        <f t="shared" si="406"/>
        <v>-260.49631436655471</v>
      </c>
      <c r="AT52" s="72">
        <f t="shared" si="247"/>
        <v>-0.48087052958545951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734" cm="1">
        <f t="array" ref="II52">IFERROR(ROUND(VALUE(IF($IH52&lt;1,$IH52+LARGE((IF($M$9:$M$150="",0,$M$9:$M$150)-MOD(IF($M$9:$M$150="",0,$M$9:$M$150),1)),1),$IH52)),4),"")</f>
        <v>5.12</v>
      </c>
      <c r="IJ52" s="533">
        <f t="shared" si="112"/>
        <v>1613</v>
      </c>
      <c r="IK52" s="533">
        <f t="shared" si="382"/>
        <v>1313</v>
      </c>
      <c r="IL52" s="727">
        <f t="shared" si="225"/>
        <v>15.243897799053485</v>
      </c>
      <c r="IM52" s="759">
        <v>4.1258178927831204E-3</v>
      </c>
      <c r="IN52" s="5">
        <f t="shared" si="226"/>
        <v>0.18</v>
      </c>
      <c r="IO52" s="771">
        <v>90</v>
      </c>
      <c r="IP52" s="9">
        <f t="shared" si="227"/>
        <v>-3.3816101989363601</v>
      </c>
      <c r="IQ52" s="5">
        <f t="shared" si="228"/>
        <v>-0.67870204696537362</v>
      </c>
      <c r="IR52" s="5">
        <f t="shared" si="383"/>
        <v>0.314</v>
      </c>
      <c r="IS52" s="5">
        <f t="shared" si="229"/>
        <v>0.29231489210292089</v>
      </c>
      <c r="IT52" s="727">
        <f t="shared" si="230"/>
        <v>60.194909618973895</v>
      </c>
      <c r="IU52" s="9">
        <f t="shared" si="231"/>
        <v>-3.428510340387187</v>
      </c>
      <c r="IV52" s="5">
        <f t="shared" si="232"/>
        <v>-0.66240199780442577</v>
      </c>
      <c r="IW52" s="5">
        <f t="shared" si="384"/>
        <v>0.26600000000000001</v>
      </c>
      <c r="IX52" s="5">
        <f t="shared" si="233"/>
        <v>0.23822151531905236</v>
      </c>
      <c r="IY52" s="762">
        <f t="shared" si="234"/>
        <v>60.194906610870241</v>
      </c>
    </row>
    <row r="53" spans="1:259" ht="15" customHeight="1" x14ac:dyDescent="0.25">
      <c r="A53" s="79"/>
      <c r="B53" s="707">
        <v>-3.6585893256456874</v>
      </c>
      <c r="C53" s="708">
        <v>-0.34169553758250987</v>
      </c>
      <c r="D53" s="709">
        <v>-1.413204262224055</v>
      </c>
      <c r="E53" s="710">
        <v>-0.87250952424857997</v>
      </c>
      <c r="F53" s="708">
        <v>-8.1488633393343154E-2</v>
      </c>
      <c r="G53" s="711">
        <v>0.48175380924617722</v>
      </c>
      <c r="H53" s="710">
        <v>0.25700000000000001</v>
      </c>
      <c r="I53" s="708">
        <v>0.41499999999999992</v>
      </c>
      <c r="J53" s="570">
        <v>5.226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5.226</v>
      </c>
      <c r="N53" s="632">
        <f t="shared" si="240"/>
        <v>-3.6585893256456874</v>
      </c>
      <c r="O53" s="629">
        <f t="shared" si="241"/>
        <v>-0.34169553758250987</v>
      </c>
      <c r="P53" s="633">
        <f t="shared" si="242"/>
        <v>-1.413204262224055</v>
      </c>
      <c r="Q53" s="585">
        <f t="shared" si="113"/>
        <v>185.33568623522999</v>
      </c>
      <c r="R53" s="629">
        <f t="shared" ref="R53:R58" si="410">IF(M53="","",SQRT(N53^2+O53^2))</f>
        <v>3.674511082325425</v>
      </c>
      <c r="S53" s="634">
        <f t="shared" ref="S53:S58" si="411">IF(M53="","",P53)</f>
        <v>-1.413204262224055</v>
      </c>
      <c r="T53" s="635">
        <f t="shared" ref="T53:T58" si="412">IF(M53="","",X53*COS(RADIANS(W53)))</f>
        <v>-0.39969376951432667</v>
      </c>
      <c r="U53" s="629">
        <f t="shared" ref="U53:U58" si="413">IF(M53="","",X53*SIN(RADIANS(W53)))</f>
        <v>3.6527081165545918</v>
      </c>
      <c r="V53" s="636">
        <f t="shared" ref="V53:V58" si="414">IF(M53="","",Y53)</f>
        <v>-1.413204262224055</v>
      </c>
      <c r="W53" s="585">
        <f t="shared" si="224"/>
        <v>96.244686103986638</v>
      </c>
      <c r="X53" s="629">
        <f t="shared" ref="X53:X58" si="415">IF(M53="","",R53)</f>
        <v>3.674511082325425</v>
      </c>
      <c r="Y53" s="630">
        <f t="shared" si="223"/>
        <v>-1.413204262224055</v>
      </c>
      <c r="Z53" s="632">
        <f t="shared" si="243"/>
        <v>0.87250952424857997</v>
      </c>
      <c r="AA53" s="629">
        <f t="shared" si="244"/>
        <v>8.1488633393343154E-2</v>
      </c>
      <c r="AB53" s="629">
        <f t="shared" si="245"/>
        <v>-0.48175380924617722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0.87250952424857997</v>
      </c>
      <c r="AE53" s="629">
        <f t="shared" ref="AE53:AE58" si="418">IF(M53="","",AA53*(1/SQRT(Z53^2+AA53^2+AB53^2)))</f>
        <v>8.1488633393343154E-2</v>
      </c>
      <c r="AF53" s="633">
        <f t="shared" ref="AF53:AF58" si="419">IF(M53="","",AB53*(1/SQRT(Z53^2+AA53^2+AB53^2)))</f>
        <v>-0.48175380924617722</v>
      </c>
      <c r="AG53" s="602">
        <f t="shared" ref="AG53:AG58" si="420">IF(M53="","",DEGREES(ATAN2(-AF53,AE53)))</f>
        <v>9.6007024929214779</v>
      </c>
      <c r="AH53" s="603">
        <f t="shared" ref="AH53:AH58" si="421">IF(M53="","",DEGREES(ACOS(AD53)))</f>
        <v>29.248414935358579</v>
      </c>
      <c r="AI53" s="585">
        <f t="shared" ref="AI53:AI58" si="422">IF(M53="","",DEGREES(-ACOS(-AF53)))</f>
        <v>-61.199991163815362</v>
      </c>
      <c r="AJ53" s="586">
        <f t="shared" ref="AJ53:AJ58" si="423">IF(M53="","",DEGREES(ATAN2(-AE53,AD53)))</f>
        <v>95.335701063818846</v>
      </c>
      <c r="AK53" s="635">
        <f t="shared" ref="AK53:AK58" si="424">IF(M53="","",(COS(RADIANS((90-$Q$8)-W53))*AD53)+(-SIN(RADIANS((90-$Q$8)-W53))*AE53))</f>
        <v>2.2679489641852513E-7</v>
      </c>
      <c r="AL53" s="629">
        <f t="shared" ref="AL53:AL58" si="425">IF(M53="","",(SIN(RADIANS((90-$Q$8)-W53))*AD53)+(COS(RADIANS((90-$Q$8)-W53))*AE53))</f>
        <v>-0.87630660574752406</v>
      </c>
      <c r="AM53" s="634">
        <f t="shared" ref="AM53:AM58" si="426">IF(M53="","",AF53)</f>
        <v>-0.48175380924617722</v>
      </c>
      <c r="AN53" s="581">
        <f t="shared" ref="AN53:AN58" si="427">IF(M53="","",DEGREES(ATAN2(-AM53,AL53)))</f>
        <v>-61.199991163814559</v>
      </c>
      <c r="AO53" s="582">
        <f t="shared" si="94"/>
        <v>0</v>
      </c>
      <c r="AP53" s="585">
        <f t="shared" ref="AP53:AP58" si="428">IF(M53="","",DEGREES(ATAN2(AK53,AL53)))</f>
        <v>-89.99998517141114</v>
      </c>
      <c r="AQ53" s="586">
        <f t="shared" si="246"/>
        <v>0.62039207016292819</v>
      </c>
      <c r="AS53" s="52">
        <f t="shared" si="406"/>
        <v>-263.75531389601338</v>
      </c>
      <c r="AT53" s="72">
        <f t="shared" si="247"/>
        <v>-1.2294095998874091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5.226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734" cm="1">
        <f t="array" ref="II53">IFERROR(ROUND(VALUE(IF($IH53&lt;1,$IH53+LARGE((IF($M$9:$M$150="",0,$M$9:$M$150)-MOD(IF($M$9:$M$150="",0,$M$9:$M$150),1)),1),$IH53)),4),"")</f>
        <v>5.1260000000000003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18.155197378713808</v>
      </c>
      <c r="IM53" s="759">
        <v>9.5338810491014904E-4</v>
      </c>
      <c r="IN53" s="5">
        <f t="shared" si="226"/>
        <v>0</v>
      </c>
      <c r="IO53" s="771">
        <v>0</v>
      </c>
      <c r="IP53" s="9">
        <f t="shared" si="227"/>
        <v>-3.6571110298468659</v>
      </c>
      <c r="IQ53" s="5">
        <f t="shared" si="228"/>
        <v>-1.4039042341751706</v>
      </c>
      <c r="IR53" s="5">
        <f t="shared" si="383"/>
        <v>0.314</v>
      </c>
      <c r="IS53" s="5">
        <f t="shared" si="229"/>
        <v>0.27406694466240483</v>
      </c>
      <c r="IT53" s="727">
        <f t="shared" si="230"/>
        <v>79.222320937018765</v>
      </c>
      <c r="IU53" s="9">
        <f t="shared" si="231"/>
        <v>-3.674511082325425</v>
      </c>
      <c r="IV53" s="5">
        <f t="shared" si="232"/>
        <v>-1.413204262224055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61.199991163814559</v>
      </c>
    </row>
    <row r="54" spans="1:259" ht="15" customHeight="1" x14ac:dyDescent="0.25">
      <c r="A54" s="79"/>
      <c r="B54" s="707">
        <v>-3.6889774527651342</v>
      </c>
      <c r="C54" s="708">
        <v>-0.3162819834803271</v>
      </c>
      <c r="D54" s="709">
        <v>-2.1819065806302476</v>
      </c>
      <c r="E54" s="710">
        <v>-0.99634470089885852</v>
      </c>
      <c r="F54" s="708">
        <v>-8.5423866634054185E-2</v>
      </c>
      <c r="G54" s="711">
        <v>2.2679489568523886E-7</v>
      </c>
      <c r="H54" s="710">
        <v>0.25700000000000001</v>
      </c>
      <c r="I54" s="708">
        <v>0.41499999999999992</v>
      </c>
      <c r="J54" s="570">
        <v>5.2320000000000002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5.2320000000000002</v>
      </c>
      <c r="N54" s="632">
        <f t="shared" si="240"/>
        <v>-3.6889774527651342</v>
      </c>
      <c r="O54" s="629">
        <f t="shared" si="241"/>
        <v>-0.3162819834803271</v>
      </c>
      <c r="P54" s="633">
        <f t="shared" si="242"/>
        <v>-2.1819065806302476</v>
      </c>
      <c r="Q54" s="585">
        <f t="shared" si="113"/>
        <v>184.9003862980795</v>
      </c>
      <c r="R54" s="629">
        <f t="shared" si="410"/>
        <v>3.7025111667736788</v>
      </c>
      <c r="S54" s="634">
        <f t="shared" si="411"/>
        <v>-2.1819065806302476</v>
      </c>
      <c r="T54" s="635">
        <f t="shared" si="412"/>
        <v>-0.37476550228129896</v>
      </c>
      <c r="U54" s="629">
        <f t="shared" si="413"/>
        <v>3.6834955895702701</v>
      </c>
      <c r="V54" s="636">
        <f t="shared" si="414"/>
        <v>-2.1819065806302476</v>
      </c>
      <c r="W54" s="585">
        <f t="shared" si="224"/>
        <v>95.809386166836148</v>
      </c>
      <c r="X54" s="629">
        <f t="shared" si="415"/>
        <v>3.7025111667736788</v>
      </c>
      <c r="Y54" s="630">
        <f t="shared" si="223"/>
        <v>-2.1819065806302476</v>
      </c>
      <c r="Z54" s="632">
        <f t="shared" si="243"/>
        <v>0.99634470089885852</v>
      </c>
      <c r="AA54" s="629">
        <f t="shared" si="244"/>
        <v>8.5423866634054185E-2</v>
      </c>
      <c r="AB54" s="629">
        <f t="shared" si="245"/>
        <v>-2.2679489568523886E-7</v>
      </c>
      <c r="AC54" s="636">
        <f t="shared" si="416"/>
        <v>1</v>
      </c>
      <c r="AD54" s="637">
        <f t="shared" si="417"/>
        <v>0.99634470089885852</v>
      </c>
      <c r="AE54" s="629">
        <f t="shared" si="418"/>
        <v>8.5423866634054185E-2</v>
      </c>
      <c r="AF54" s="633">
        <f t="shared" si="419"/>
        <v>-2.2679489568523886E-7</v>
      </c>
      <c r="AG54" s="602">
        <f t="shared" si="420"/>
        <v>89.9998478833744</v>
      </c>
      <c r="AH54" s="603">
        <f t="shared" si="421"/>
        <v>4.9003992924870916</v>
      </c>
      <c r="AI54" s="585">
        <f t="shared" si="422"/>
        <v>-89.999987005609654</v>
      </c>
      <c r="AJ54" s="586">
        <f t="shared" si="423"/>
        <v>94.900399292469885</v>
      </c>
      <c r="AK54" s="635">
        <f t="shared" si="424"/>
        <v>2.2679489676546982E-7</v>
      </c>
      <c r="AL54" s="629">
        <f t="shared" si="425"/>
        <v>-0.9999999999999486</v>
      </c>
      <c r="AM54" s="634">
        <f t="shared" si="426"/>
        <v>-2.2679489568523886E-7</v>
      </c>
      <c r="AN54" s="581">
        <f t="shared" si="427"/>
        <v>-89.999987005609668</v>
      </c>
      <c r="AO54" s="582">
        <f t="shared" si="94"/>
        <v>0</v>
      </c>
      <c r="AP54" s="585">
        <f t="shared" si="428"/>
        <v>-89.999987005609611</v>
      </c>
      <c r="AQ54" s="586">
        <f t="shared" si="246"/>
        <v>0.61570074386815088</v>
      </c>
      <c r="AS54" s="52">
        <f t="shared" si="406"/>
        <v>-264.19061383316387</v>
      </c>
      <c r="AT54" s="72">
        <f t="shared" si="247"/>
        <v>-1.9978096266705805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5.2320000000000002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734" cm="1">
        <f t="array" ref="II54">IFERROR(ROUND(VALUE(IF($IH54&lt;1,$IH54+LARGE((IF($M$9:$M$150="",0,$M$9:$M$150)-MOD(IF($M$9:$M$150="",0,$M$9:$M$150),1)),1),$IH54)),4),"")</f>
        <v>5.1319999999999997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18.534597323935259</v>
      </c>
      <c r="IM54" s="759">
        <v>3.7233002314111997E-5</v>
      </c>
      <c r="IN54" s="5">
        <f t="shared" si="226"/>
        <v>0</v>
      </c>
      <c r="IO54" s="771">
        <v>0</v>
      </c>
      <c r="IP54" s="9">
        <f t="shared" si="227"/>
        <v>-3.6869111197239364</v>
      </c>
      <c r="IQ54" s="5">
        <f t="shared" si="228"/>
        <v>-2.1690065417237303</v>
      </c>
      <c r="IR54" s="5">
        <f t="shared" si="383"/>
        <v>0.314</v>
      </c>
      <c r="IS54" s="5">
        <f t="shared" si="229"/>
        <v>0.27193198865724588</v>
      </c>
      <c r="IT54" s="727">
        <f t="shared" si="230"/>
        <v>89.999987005609597</v>
      </c>
      <c r="IU54" s="9">
        <f t="shared" si="231"/>
        <v>-3.7025111667736788</v>
      </c>
      <c r="IV54" s="5">
        <f t="shared" si="232"/>
        <v>-2.1819065806302476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89.999987005609668</v>
      </c>
    </row>
    <row r="55" spans="1:259" ht="15" customHeight="1" x14ac:dyDescent="0.25">
      <c r="A55" s="79"/>
      <c r="B55" s="707">
        <v>-2.2772210685013694</v>
      </c>
      <c r="C55" s="708">
        <v>1.3728029185944386</v>
      </c>
      <c r="D55" s="709">
        <v>-0.15090042495568154</v>
      </c>
      <c r="E55" s="710">
        <v>-0.61390791293990643</v>
      </c>
      <c r="F55" s="708">
        <v>-0.75358065056281187</v>
      </c>
      <c r="G55" s="711">
        <v>0.23501761109988684</v>
      </c>
      <c r="H55" s="710">
        <v>0.314</v>
      </c>
      <c r="I55" s="708">
        <v>0.52</v>
      </c>
      <c r="J55" s="570">
        <v>6.1130000000000004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6.1130000000000004</v>
      </c>
      <c r="N55" s="632">
        <f t="shared" si="240"/>
        <v>-2.2772210685013694</v>
      </c>
      <c r="O55" s="629">
        <f t="shared" si="241"/>
        <v>1.3728029185944386</v>
      </c>
      <c r="P55" s="633">
        <f t="shared" si="242"/>
        <v>-0.15090042495568154</v>
      </c>
      <c r="Q55" s="585">
        <f t="shared" si="113"/>
        <v>148.9166914934822</v>
      </c>
      <c r="R55" s="629">
        <f t="shared" si="410"/>
        <v>2.6590080195681862</v>
      </c>
      <c r="S55" s="634">
        <f t="shared" si="411"/>
        <v>-0.15090042495568154</v>
      </c>
      <c r="T55" s="635">
        <f t="shared" si="412"/>
        <v>1.3365034661312425</v>
      </c>
      <c r="U55" s="629">
        <f t="shared" si="413"/>
        <v>2.298713147208042</v>
      </c>
      <c r="V55" s="636">
        <f t="shared" si="414"/>
        <v>-0.15090042495568154</v>
      </c>
      <c r="W55" s="585">
        <f t="shared" si="224"/>
        <v>59.825691362238857</v>
      </c>
      <c r="X55" s="629">
        <f t="shared" si="415"/>
        <v>2.6590080195681862</v>
      </c>
      <c r="Y55" s="630">
        <f t="shared" si="223"/>
        <v>-0.15090042495568154</v>
      </c>
      <c r="Z55" s="632">
        <f t="shared" si="243"/>
        <v>0.61390791293990643</v>
      </c>
      <c r="AA55" s="629">
        <f t="shared" si="244"/>
        <v>0.75358065056281187</v>
      </c>
      <c r="AB55" s="629">
        <f t="shared" si="245"/>
        <v>-0.23501761109988684</v>
      </c>
      <c r="AC55" s="636">
        <f t="shared" si="416"/>
        <v>1</v>
      </c>
      <c r="AD55" s="637">
        <f t="shared" si="417"/>
        <v>0.61390791293990643</v>
      </c>
      <c r="AE55" s="629">
        <f t="shared" si="418"/>
        <v>0.75358065056281187</v>
      </c>
      <c r="AF55" s="633">
        <f t="shared" si="419"/>
        <v>-0.23501761109988684</v>
      </c>
      <c r="AG55" s="602">
        <f t="shared" si="420"/>
        <v>72.678976106304802</v>
      </c>
      <c r="AH55" s="603">
        <f t="shared" si="421"/>
        <v>52.127389908779669</v>
      </c>
      <c r="AI55" s="585">
        <f t="shared" si="422"/>
        <v>-76.407339110092934</v>
      </c>
      <c r="AJ55" s="586">
        <f t="shared" si="423"/>
        <v>140.83186071772002</v>
      </c>
      <c r="AK55" s="635">
        <f t="shared" si="424"/>
        <v>0.9623304217503923</v>
      </c>
      <c r="AL55" s="629">
        <f t="shared" si="425"/>
        <v>-0.13669997017781216</v>
      </c>
      <c r="AM55" s="634">
        <f t="shared" si="426"/>
        <v>-0.23501761109988684</v>
      </c>
      <c r="AN55" s="581">
        <f t="shared" si="427"/>
        <v>-30.184783396444487</v>
      </c>
      <c r="AO55" s="582">
        <f>IF(ROUND(IF(M55="",0,DEGREES(ACOS(AK55))),4)=90,0,IF(M55="","",DEGREES(ACOS(AK55))))</f>
        <v>15.776324505550711</v>
      </c>
      <c r="AP55" s="585">
        <f t="shared" si="428"/>
        <v>-8.0848307757621871</v>
      </c>
      <c r="AQ55" s="586">
        <f t="shared" si="246"/>
        <v>0.85729583510069207</v>
      </c>
      <c r="AS55" s="52">
        <f t="shared" si="406"/>
        <v>-300.17430863776116</v>
      </c>
      <c r="AT55" s="72">
        <f t="shared" si="247"/>
        <v>5.8185205951622521E-2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6.1130000000000004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-2.7980510206408318</v>
      </c>
      <c r="C56" s="708">
        <v>1.7510730557349514</v>
      </c>
      <c r="D56" s="709">
        <v>-0.58600173722123916</v>
      </c>
      <c r="E56" s="710">
        <v>-0.74367053331530897</v>
      </c>
      <c r="F56" s="708">
        <v>-0.64041723636767811</v>
      </c>
      <c r="G56" s="711">
        <v>0.19188512511841424</v>
      </c>
      <c r="H56" s="710">
        <v>0.314</v>
      </c>
      <c r="I56" s="708">
        <v>0.52</v>
      </c>
      <c r="J56" s="570">
        <v>6.1189999999999998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6.1189999999999998</v>
      </c>
      <c r="N56" s="632">
        <f t="shared" si="240"/>
        <v>-2.7980510206408318</v>
      </c>
      <c r="O56" s="629">
        <f t="shared" si="241"/>
        <v>1.7510730557349514</v>
      </c>
      <c r="P56" s="633">
        <f t="shared" si="242"/>
        <v>-0.58600173722123916</v>
      </c>
      <c r="Q56" s="585">
        <f t="shared" si="113"/>
        <v>147.96089163148264</v>
      </c>
      <c r="R56" s="629">
        <f t="shared" si="410"/>
        <v>3.3008099552428249</v>
      </c>
      <c r="S56" s="634">
        <f t="shared" si="411"/>
        <v>-0.58600173722123916</v>
      </c>
      <c r="T56" s="635">
        <f t="shared" si="412"/>
        <v>1.7064633573512391</v>
      </c>
      <c r="U56" s="629">
        <f t="shared" si="413"/>
        <v>2.8254785737371426</v>
      </c>
      <c r="V56" s="636">
        <f t="shared" si="414"/>
        <v>-0.58600173722123916</v>
      </c>
      <c r="W56" s="585">
        <f t="shared" si="224"/>
        <v>58.869891500239291</v>
      </c>
      <c r="X56" s="629">
        <f t="shared" si="415"/>
        <v>3.3008099552428249</v>
      </c>
      <c r="Y56" s="630">
        <f t="shared" si="223"/>
        <v>-0.58600173722123916</v>
      </c>
      <c r="Z56" s="632">
        <f t="shared" si="243"/>
        <v>0.74367053331530897</v>
      </c>
      <c r="AA56" s="629">
        <f t="shared" si="244"/>
        <v>0.64041723636767811</v>
      </c>
      <c r="AB56" s="629">
        <f t="shared" si="245"/>
        <v>-0.19188512511841424</v>
      </c>
      <c r="AC56" s="636">
        <f t="shared" si="416"/>
        <v>1</v>
      </c>
      <c r="AD56" s="637">
        <f t="shared" si="417"/>
        <v>0.74367053331530897</v>
      </c>
      <c r="AE56" s="629">
        <f t="shared" si="418"/>
        <v>0.64041723636767811</v>
      </c>
      <c r="AF56" s="633">
        <f t="shared" si="419"/>
        <v>-0.19188512511841424</v>
      </c>
      <c r="AG56" s="602">
        <f t="shared" si="420"/>
        <v>73.320460564945719</v>
      </c>
      <c r="AH56" s="603">
        <f t="shared" si="421"/>
        <v>41.95496544947737</v>
      </c>
      <c r="AI56" s="585">
        <f t="shared" si="422"/>
        <v>-78.937181572961322</v>
      </c>
      <c r="AJ56" s="586">
        <f t="shared" si="423"/>
        <v>130.73362308644957</v>
      </c>
      <c r="AK56" s="635">
        <f t="shared" si="424"/>
        <v>0.9373885734234646</v>
      </c>
      <c r="AL56" s="629">
        <f t="shared" si="425"/>
        <v>-0.2906591838793548</v>
      </c>
      <c r="AM56" s="634">
        <f t="shared" si="426"/>
        <v>-0.19188512511841424</v>
      </c>
      <c r="AN56" s="581">
        <f t="shared" si="427"/>
        <v>-56.568315060175287</v>
      </c>
      <c r="AO56" s="582">
        <f t="shared" ref="AO56:AO119" si="461">IF(ROUND(IF(M56="",0,DEGREES(ACOS(AK56))),4)=90,0,IF(M56="","",DEGREES(ACOS(AK56))))</f>
        <v>20.382473287351626</v>
      </c>
      <c r="AP56" s="585">
        <f t="shared" si="428"/>
        <v>-17.227268545033077</v>
      </c>
      <c r="AQ56" s="586">
        <f t="shared" si="246"/>
        <v>0.69062328769740422</v>
      </c>
      <c r="AS56" s="52">
        <f t="shared" si="406"/>
        <v>-301.13010849976069</v>
      </c>
      <c r="AT56" s="72">
        <f t="shared" si="247"/>
        <v>-0.37625235640976873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6.1189999999999998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-3.0679780040260058</v>
      </c>
      <c r="C57" s="708">
        <v>1.9549698735710321</v>
      </c>
      <c r="D57" s="709">
        <v>-1.2846038442051937</v>
      </c>
      <c r="E57" s="710">
        <v>-0.8539031684263314</v>
      </c>
      <c r="F57" s="708">
        <v>-0.50944198785948935</v>
      </c>
      <c r="G57" s="711">
        <v>0.10638721707632147</v>
      </c>
      <c r="H57" s="710">
        <v>0.314</v>
      </c>
      <c r="I57" s="708">
        <v>0.52</v>
      </c>
      <c r="J57" s="570">
        <v>6.125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6.125</v>
      </c>
      <c r="N57" s="632">
        <f t="shared" si="240"/>
        <v>-3.0679780040260058</v>
      </c>
      <c r="O57" s="629">
        <f t="shared" si="241"/>
        <v>1.9549698735710321</v>
      </c>
      <c r="P57" s="633">
        <f t="shared" si="242"/>
        <v>-1.2846038442051937</v>
      </c>
      <c r="Q57" s="585">
        <f t="shared" si="113"/>
        <v>147.49399169889463</v>
      </c>
      <c r="R57" s="629">
        <f t="shared" si="410"/>
        <v>3.6379109719394909</v>
      </c>
      <c r="S57" s="634">
        <f t="shared" si="411"/>
        <v>-1.2846038442051937</v>
      </c>
      <c r="T57" s="635">
        <f t="shared" si="412"/>
        <v>1.9060522924516476</v>
      </c>
      <c r="U57" s="629">
        <f t="shared" si="413"/>
        <v>3.098606283185644</v>
      </c>
      <c r="V57" s="636">
        <f t="shared" si="414"/>
        <v>-1.2846038442051937</v>
      </c>
      <c r="W57" s="585">
        <f t="shared" si="224"/>
        <v>58.402991567651284</v>
      </c>
      <c r="X57" s="629">
        <f t="shared" si="415"/>
        <v>3.6379109719394909</v>
      </c>
      <c r="Y57" s="630">
        <f t="shared" si="223"/>
        <v>-1.2846038442051937</v>
      </c>
      <c r="Z57" s="632">
        <f t="shared" si="243"/>
        <v>0.8539031684263314</v>
      </c>
      <c r="AA57" s="629">
        <f t="shared" si="244"/>
        <v>0.50944198785948935</v>
      </c>
      <c r="AB57" s="629">
        <f t="shared" si="245"/>
        <v>-0.10638721707632147</v>
      </c>
      <c r="AC57" s="636">
        <f t="shared" si="416"/>
        <v>1</v>
      </c>
      <c r="AD57" s="637">
        <f t="shared" si="417"/>
        <v>0.8539031684263314</v>
      </c>
      <c r="AE57" s="629">
        <f t="shared" si="418"/>
        <v>0.50944198785948935</v>
      </c>
      <c r="AF57" s="633">
        <f t="shared" si="419"/>
        <v>-0.10638721707632147</v>
      </c>
      <c r="AG57" s="602">
        <f t="shared" si="420"/>
        <v>78.204392456508899</v>
      </c>
      <c r="AH57" s="603">
        <f t="shared" si="421"/>
        <v>31.361228013131228</v>
      </c>
      <c r="AI57" s="585">
        <f t="shared" si="422"/>
        <v>-83.892904044419552</v>
      </c>
      <c r="AJ57" s="586">
        <f t="shared" si="423"/>
        <v>120.82046835150275</v>
      </c>
      <c r="AK57" s="635">
        <f t="shared" si="424"/>
        <v>0.88850766476488952</v>
      </c>
      <c r="AL57" s="629">
        <f t="shared" si="425"/>
        <v>-0.4463584766718322</v>
      </c>
      <c r="AM57" s="634">
        <f t="shared" si="426"/>
        <v>-0.10638721707632147</v>
      </c>
      <c r="AN57" s="581">
        <f t="shared" si="427"/>
        <v>-76.59397184876164</v>
      </c>
      <c r="AO57" s="582">
        <f t="shared" si="461"/>
        <v>27.313684359921854</v>
      </c>
      <c r="AP57" s="585">
        <f t="shared" si="428"/>
        <v>-26.673523347391875</v>
      </c>
      <c r="AQ57" s="586">
        <f t="shared" si="246"/>
        <v>0.62663318403761259</v>
      </c>
      <c r="AS57" s="52">
        <f t="shared" si="406"/>
        <v>-301.59700843234873</v>
      </c>
      <c r="AT57" s="72">
        <f t="shared" si="247"/>
        <v>-1.0745302273294262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6.125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-3.1072596672593336</v>
      </c>
      <c r="C58" s="708">
        <v>1.9845027007157989</v>
      </c>
      <c r="D58" s="709">
        <v>-2.064106195184285</v>
      </c>
      <c r="E58" s="710">
        <v>-0.88753413130899372</v>
      </c>
      <c r="F58" s="708">
        <v>-0.46074197308426018</v>
      </c>
      <c r="G58" s="711">
        <v>1.1339743381742591E-7</v>
      </c>
      <c r="H58" s="710">
        <v>0.314</v>
      </c>
      <c r="I58" s="708">
        <v>0.52</v>
      </c>
      <c r="J58" s="570">
        <v>6.1310000000000002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6.1310000000000002</v>
      </c>
      <c r="N58" s="632">
        <f t="shared" si="240"/>
        <v>-3.1072596672593336</v>
      </c>
      <c r="O58" s="629">
        <f t="shared" si="241"/>
        <v>1.9845027007157989</v>
      </c>
      <c r="P58" s="633">
        <f t="shared" si="242"/>
        <v>-2.064106195184285</v>
      </c>
      <c r="Q58" s="585">
        <f t="shared" si="113"/>
        <v>147.43499172267457</v>
      </c>
      <c r="R58" s="629">
        <f t="shared" si="410"/>
        <v>3.686911120290925</v>
      </c>
      <c r="S58" s="634">
        <f t="shared" si="411"/>
        <v>-2.064106195184285</v>
      </c>
      <c r="T58" s="635">
        <f t="shared" si="412"/>
        <v>1.9349582239359104</v>
      </c>
      <c r="U58" s="629">
        <f t="shared" si="413"/>
        <v>3.1383515227819321</v>
      </c>
      <c r="V58" s="636">
        <f t="shared" si="414"/>
        <v>-2.064106195184285</v>
      </c>
      <c r="W58" s="585">
        <f t="shared" si="224"/>
        <v>58.343991591431219</v>
      </c>
      <c r="X58" s="629">
        <f t="shared" si="415"/>
        <v>3.686911120290925</v>
      </c>
      <c r="Y58" s="630">
        <f t="shared" si="223"/>
        <v>-2.064106195184285</v>
      </c>
      <c r="Z58" s="632">
        <f t="shared" si="243"/>
        <v>0.88753413130899372</v>
      </c>
      <c r="AA58" s="629">
        <f t="shared" si="244"/>
        <v>0.46074197308426018</v>
      </c>
      <c r="AB58" s="629">
        <f t="shared" si="245"/>
        <v>-1.1339743381742591E-7</v>
      </c>
      <c r="AC58" s="636">
        <f t="shared" si="416"/>
        <v>1</v>
      </c>
      <c r="AD58" s="637">
        <f t="shared" si="417"/>
        <v>0.88753413130899372</v>
      </c>
      <c r="AE58" s="629">
        <f t="shared" si="418"/>
        <v>0.46074197308426018</v>
      </c>
      <c r="AF58" s="633">
        <f t="shared" si="419"/>
        <v>-1.1339743381742591E-7</v>
      </c>
      <c r="AG58" s="602">
        <f t="shared" si="420"/>
        <v>89.999985898410074</v>
      </c>
      <c r="AH58" s="603">
        <f t="shared" si="421"/>
        <v>27.434996038878001</v>
      </c>
      <c r="AI58" s="585">
        <f t="shared" si="422"/>
        <v>-89.999993502805637</v>
      </c>
      <c r="AJ58" s="586">
        <f t="shared" si="423"/>
        <v>117.4349960388773</v>
      </c>
      <c r="AK58" s="635">
        <f t="shared" si="424"/>
        <v>0.86602544145040505</v>
      </c>
      <c r="AL58" s="629">
        <f t="shared" si="425"/>
        <v>-0.49999993476061411</v>
      </c>
      <c r="AM58" s="634">
        <f t="shared" si="426"/>
        <v>-1.1339743381742591E-7</v>
      </c>
      <c r="AN58" s="581">
        <f t="shared" si="427"/>
        <v>-89.999987005609583</v>
      </c>
      <c r="AO58" s="582">
        <f t="shared" si="461"/>
        <v>29.999995683797906</v>
      </c>
      <c r="AP58" s="585">
        <f t="shared" si="428"/>
        <v>-29.999995683797277</v>
      </c>
      <c r="AQ58" s="586">
        <f t="shared" si="246"/>
        <v>0.61830569305085703</v>
      </c>
      <c r="AS58" s="52">
        <f t="shared" si="406"/>
        <v>-301.65600840856877</v>
      </c>
      <c r="AT58" s="72">
        <f t="shared" si="247"/>
        <v>-1.853991606102809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6.1310000000000002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-2.0972162738542131</v>
      </c>
      <c r="C59" s="708">
        <v>2.589846933642876</v>
      </c>
      <c r="D59" s="709">
        <v>-0.57830171399796915</v>
      </c>
      <c r="E59" s="710">
        <v>-0.35645108241790358</v>
      </c>
      <c r="F59" s="708">
        <v>0.44018015619384376</v>
      </c>
      <c r="G59" s="711">
        <v>0.82412623786424155</v>
      </c>
      <c r="H59" s="710">
        <v>0.25700000000000001</v>
      </c>
      <c r="I59" s="708">
        <v>0.41499999999999992</v>
      </c>
      <c r="J59" s="570">
        <v>6.2190000000000003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CPS-32193r1</v>
      </c>
      <c r="L59" s="320"/>
      <c r="M59" s="168">
        <f t="shared" si="239"/>
        <v>6.2190000000000003</v>
      </c>
      <c r="N59" s="632">
        <f t="shared" si="240"/>
        <v>-2.0972162738542131</v>
      </c>
      <c r="O59" s="629">
        <f t="shared" si="241"/>
        <v>2.589846933642876</v>
      </c>
      <c r="P59" s="633">
        <f t="shared" si="242"/>
        <v>-0.57830171399796915</v>
      </c>
      <c r="Q59" s="585">
        <f t="shared" si="113"/>
        <v>128.99999436909749</v>
      </c>
      <c r="R59" s="629">
        <f t="shared" si="79"/>
        <v>3.3325100508503129</v>
      </c>
      <c r="S59" s="634">
        <f t="shared" si="80"/>
        <v>-0.57830171399796915</v>
      </c>
      <c r="T59" s="635">
        <f t="shared" si="81"/>
        <v>2.5562499832776906</v>
      </c>
      <c r="U59" s="629">
        <f t="shared" si="82"/>
        <v>2.1380386483904261</v>
      </c>
      <c r="V59" s="636">
        <f t="shared" si="114"/>
        <v>-0.57830171399796915</v>
      </c>
      <c r="W59" s="585">
        <f t="shared" si="224"/>
        <v>39.908994237854145</v>
      </c>
      <c r="X59" s="629">
        <f t="shared" si="83"/>
        <v>3.3325100508503129</v>
      </c>
      <c r="Y59" s="630">
        <f t="shared" si="223"/>
        <v>-0.57830171399796915</v>
      </c>
      <c r="Z59" s="632">
        <f t="shared" si="243"/>
        <v>0.35645108241790358</v>
      </c>
      <c r="AA59" s="629">
        <f t="shared" si="244"/>
        <v>-0.44018015619384376</v>
      </c>
      <c r="AB59" s="629">
        <f t="shared" si="245"/>
        <v>-0.82412623786424155</v>
      </c>
      <c r="AC59" s="636">
        <f t="shared" si="84"/>
        <v>1</v>
      </c>
      <c r="AD59" s="637">
        <f t="shared" si="115"/>
        <v>0.35645108241790358</v>
      </c>
      <c r="AE59" s="629">
        <f t="shared" si="85"/>
        <v>-0.44018015619384376</v>
      </c>
      <c r="AF59" s="633">
        <f t="shared" si="86"/>
        <v>-0.82412623786424155</v>
      </c>
      <c r="AG59" s="602">
        <f t="shared" si="87"/>
        <v>-28.107450364016696</v>
      </c>
      <c r="AH59" s="603">
        <f t="shared" si="88"/>
        <v>69.117595895093231</v>
      </c>
      <c r="AI59" s="585">
        <f t="shared" si="89"/>
        <v>-34.499995018819156</v>
      </c>
      <c r="AJ59" s="586">
        <f t="shared" si="90"/>
        <v>39.000017310921216</v>
      </c>
      <c r="AK59" s="635">
        <f t="shared" si="211"/>
        <v>2.2679489669608088E-7</v>
      </c>
      <c r="AL59" s="629">
        <f t="shared" si="91"/>
        <v>-0.56640616527689769</v>
      </c>
      <c r="AM59" s="634">
        <f t="shared" si="92"/>
        <v>-0.82412623786424155</v>
      </c>
      <c r="AN59" s="581">
        <f t="shared" si="93"/>
        <v>-34.499995018817025</v>
      </c>
      <c r="AO59" s="582">
        <f t="shared" si="461"/>
        <v>0</v>
      </c>
      <c r="AP59" s="585">
        <f t="shared" si="95"/>
        <v>-89.999977058176285</v>
      </c>
      <c r="AQ59" s="586">
        <f t="shared" si="246"/>
        <v>0.68405444511712277</v>
      </c>
      <c r="AS59" s="52">
        <f t="shared" si="406"/>
        <v>-320.09100576214587</v>
      </c>
      <c r="AT59" s="72">
        <f t="shared" si="247"/>
        <v>-0.35538504342095345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6.2190000000000003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734" cm="1">
        <f t="array" ref="II59">IFERROR(ROUND(VALUE(IF($IH59&lt;1,$IH59+LARGE((IF($M$9:$M$150="",0,$M$9:$M$150)-MOD(IF($M$9:$M$150="",0,$M$9:$M$150),1)),1),$IH59)),4),"")</f>
        <v>6.1189999999999998</v>
      </c>
      <c r="IJ59" s="533">
        <f t="shared" si="112"/>
        <v>1613</v>
      </c>
      <c r="IK59" s="533" t="str">
        <f>IF(ISNUMBER($II59),INDEX($K$9:$K$150,MATCH($IG59,$M$9:$M$150,0)),"")</f>
        <v>CPS-32193r1</v>
      </c>
      <c r="IL59" s="727">
        <f t="shared" si="225"/>
        <v>18.960897262385146</v>
      </c>
      <c r="IM59" s="759">
        <v>5.7903251948550399E-3</v>
      </c>
      <c r="IN59" s="5">
        <f t="shared" si="226"/>
        <v>0.18</v>
      </c>
      <c r="IO59" s="771">
        <v>90</v>
      </c>
      <c r="IP59" s="9">
        <f t="shared" si="227"/>
        <v>-3.3008099552428249</v>
      </c>
      <c r="IQ59" s="5">
        <f t="shared" si="228"/>
        <v>-0.58600173722123916</v>
      </c>
      <c r="IR59" s="5">
        <f t="shared" si="383"/>
        <v>0.314</v>
      </c>
      <c r="IS59" s="5">
        <f t="shared" si="229"/>
        <v>0.2943400120549679</v>
      </c>
      <c r="IT59" s="727">
        <f t="shared" si="230"/>
        <v>56.568315060175287</v>
      </c>
      <c r="IU59" s="9">
        <f t="shared" si="231"/>
        <v>-3.3325100508503129</v>
      </c>
      <c r="IV59" s="5">
        <f t="shared" si="232"/>
        <v>-0.57830171399796915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34.499995018817025</v>
      </c>
    </row>
    <row r="60" spans="1:259" ht="15" customHeight="1" x14ac:dyDescent="0.25">
      <c r="A60" s="79"/>
      <c r="B60" s="707">
        <v>-2.3213239490385424</v>
      </c>
      <c r="C60" s="708">
        <v>2.8295589641902628</v>
      </c>
      <c r="D60" s="709">
        <v>-1.2919038662220608</v>
      </c>
      <c r="E60" s="710">
        <v>-0.53433139916927197</v>
      </c>
      <c r="F60" s="708">
        <v>0.65131855936988392</v>
      </c>
      <c r="G60" s="711">
        <v>0.53877090686315565</v>
      </c>
      <c r="H60" s="710">
        <v>0.25700000000000001</v>
      </c>
      <c r="I60" s="708">
        <v>0.41499999999999992</v>
      </c>
      <c r="J60" s="570">
        <v>6.2249999999999996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6.2249999999999996</v>
      </c>
      <c r="N60" s="632">
        <f t="shared" si="240"/>
        <v>-2.3213239490385424</v>
      </c>
      <c r="O60" s="629">
        <f t="shared" si="241"/>
        <v>2.8295589641902628</v>
      </c>
      <c r="P60" s="633">
        <f t="shared" si="242"/>
        <v>-1.2919038662220608</v>
      </c>
      <c r="Q60" s="585">
        <f t="shared" si="113"/>
        <v>129.36489431641249</v>
      </c>
      <c r="R60" s="629">
        <f t="shared" si="79"/>
        <v>3.6599110382916913</v>
      </c>
      <c r="S60" s="634">
        <f t="shared" si="80"/>
        <v>-1.2919038662220608</v>
      </c>
      <c r="T60" s="635">
        <f t="shared" si="81"/>
        <v>2.7923765185393949</v>
      </c>
      <c r="U60" s="629">
        <f t="shared" si="82"/>
        <v>2.3659210018339945</v>
      </c>
      <c r="V60" s="636">
        <f t="shared" si="114"/>
        <v>-1.2919038662220608</v>
      </c>
      <c r="W60" s="585">
        <f t="shared" si="224"/>
        <v>40.273894185169141</v>
      </c>
      <c r="X60" s="629">
        <f t="shared" si="83"/>
        <v>3.6599110382916913</v>
      </c>
      <c r="Y60" s="630">
        <f t="shared" si="223"/>
        <v>-1.2919038662220608</v>
      </c>
      <c r="Z60" s="632">
        <f t="shared" si="243"/>
        <v>0.53433139916927197</v>
      </c>
      <c r="AA60" s="629">
        <f t="shared" si="244"/>
        <v>-0.65131855936988392</v>
      </c>
      <c r="AB60" s="629">
        <f t="shared" si="245"/>
        <v>-0.53877090686315565</v>
      </c>
      <c r="AC60" s="636">
        <f t="shared" si="84"/>
        <v>1</v>
      </c>
      <c r="AD60" s="637">
        <f t="shared" si="115"/>
        <v>0.53433139916927197</v>
      </c>
      <c r="AE60" s="629">
        <f t="shared" si="85"/>
        <v>-0.65131855936988392</v>
      </c>
      <c r="AF60" s="633">
        <f t="shared" si="86"/>
        <v>-0.53877090686315565</v>
      </c>
      <c r="AG60" s="602">
        <f t="shared" si="87"/>
        <v>-50.402437236977541</v>
      </c>
      <c r="AH60" s="603">
        <f t="shared" si="88"/>
        <v>57.70142009229172</v>
      </c>
      <c r="AI60" s="585">
        <f t="shared" si="89"/>
        <v>-57.399991712467539</v>
      </c>
      <c r="AJ60" s="586">
        <f t="shared" si="90"/>
        <v>39.364909740894191</v>
      </c>
      <c r="AK60" s="635">
        <f t="shared" si="211"/>
        <v>2.2679489641852513E-7</v>
      </c>
      <c r="AL60" s="629">
        <f t="shared" si="91"/>
        <v>-0.84245231907675422</v>
      </c>
      <c r="AM60" s="634">
        <f t="shared" si="92"/>
        <v>-0.53877090686315565</v>
      </c>
      <c r="AN60" s="581">
        <f t="shared" si="93"/>
        <v>-57.39999171246658</v>
      </c>
      <c r="AO60" s="582">
        <f t="shared" si="461"/>
        <v>0</v>
      </c>
      <c r="AP60" s="585">
        <f t="shared" si="95"/>
        <v>-89.999984575518297</v>
      </c>
      <c r="AQ60" s="586">
        <f t="shared" si="246"/>
        <v>0.62286673122722058</v>
      </c>
      <c r="AS60" s="52">
        <f t="shared" si="406"/>
        <v>-319.72610581483087</v>
      </c>
      <c r="AT60" s="72">
        <f t="shared" si="247"/>
        <v>-1.0692405983862361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6.2249999999999996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734" cm="1">
        <f t="array" ref="II60">IFERROR(ROUND(VALUE(IF($IH60&lt;1,$IH60+LARGE((IF($M$9:$M$150="",0,$M$9:$M$150)-MOD(IF($M$9:$M$150="",0,$M$9:$M$150),1)),1),$IH60)),4),"")</f>
        <v>6.125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18.129097382482144</v>
      </c>
      <c r="IM60" s="759">
        <v>1.51252935870098E-3</v>
      </c>
      <c r="IN60" s="5">
        <f t="shared" si="226"/>
        <v>0</v>
      </c>
      <c r="IO60" s="771">
        <v>0</v>
      </c>
      <c r="IP60" s="9">
        <f t="shared" si="227"/>
        <v>-3.6379109719394909</v>
      </c>
      <c r="IQ60" s="5">
        <f t="shared" si="228"/>
        <v>-1.2846038442051937</v>
      </c>
      <c r="IR60" s="5">
        <f t="shared" si="383"/>
        <v>0.314</v>
      </c>
      <c r="IS60" s="5">
        <f t="shared" si="229"/>
        <v>0.27899140673617528</v>
      </c>
      <c r="IT60" s="727">
        <f t="shared" si="230"/>
        <v>76.59397184876164</v>
      </c>
      <c r="IU60" s="9">
        <f t="shared" si="231"/>
        <v>-3.6599110382916913</v>
      </c>
      <c r="IV60" s="5">
        <f t="shared" si="232"/>
        <v>-1.2919038662220608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57.39999171246658</v>
      </c>
    </row>
    <row r="61" spans="1:259" ht="15" customHeight="1" x14ac:dyDescent="0.25">
      <c r="A61" s="79"/>
      <c r="B61" s="707">
        <v>-2.3250600685208762</v>
      </c>
      <c r="C61" s="708">
        <v>2.8814379456527792</v>
      </c>
      <c r="D61" s="709">
        <v>-2.0770062340908018</v>
      </c>
      <c r="E61" s="710">
        <v>-0.62796859100846547</v>
      </c>
      <c r="F61" s="708">
        <v>0.77823868363554849</v>
      </c>
      <c r="G61" s="711">
        <v>2.2679489724587369E-7</v>
      </c>
      <c r="H61" s="710">
        <v>0.25700000000000001</v>
      </c>
      <c r="I61" s="708">
        <v>0.41499999999999992</v>
      </c>
      <c r="J61" s="570">
        <v>6.2309999999999999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CPS-32193r1</v>
      </c>
      <c r="L61" s="320"/>
      <c r="M61" s="168">
        <f t="shared" si="239"/>
        <v>6.2309999999999999</v>
      </c>
      <c r="N61" s="632">
        <f t="shared" si="240"/>
        <v>-2.3250600685208762</v>
      </c>
      <c r="O61" s="629">
        <f t="shared" si="241"/>
        <v>2.8814379456527792</v>
      </c>
      <c r="P61" s="633">
        <f t="shared" si="242"/>
        <v>-2.0770062340908018</v>
      </c>
      <c r="Q61" s="585">
        <f t="shared" si="113"/>
        <v>128.90039438347796</v>
      </c>
      <c r="R61" s="629">
        <f t="shared" si="79"/>
        <v>3.702511169041629</v>
      </c>
      <c r="S61" s="634">
        <f t="shared" si="80"/>
        <v>-2.0770062340908018</v>
      </c>
      <c r="T61" s="635">
        <f t="shared" si="81"/>
        <v>2.8441896999808405</v>
      </c>
      <c r="U61" s="629">
        <f t="shared" si="82"/>
        <v>2.3704796787572144</v>
      </c>
      <c r="V61" s="636">
        <f t="shared" si="114"/>
        <v>-2.0770062340908018</v>
      </c>
      <c r="W61" s="585">
        <f t="shared" si="224"/>
        <v>39.809394252234611</v>
      </c>
      <c r="X61" s="629">
        <f t="shared" si="83"/>
        <v>3.702511169041629</v>
      </c>
      <c r="Y61" s="630">
        <f t="shared" si="223"/>
        <v>-2.0770062340908018</v>
      </c>
      <c r="Z61" s="632">
        <f t="shared" si="243"/>
        <v>0.62796859100846547</v>
      </c>
      <c r="AA61" s="629">
        <f t="shared" si="244"/>
        <v>-0.77823868363554849</v>
      </c>
      <c r="AB61" s="629">
        <f t="shared" si="245"/>
        <v>-2.2679489724587369E-7</v>
      </c>
      <c r="AC61" s="636">
        <f t="shared" si="84"/>
        <v>1</v>
      </c>
      <c r="AD61" s="637">
        <f t="shared" si="115"/>
        <v>0.62796859100846547</v>
      </c>
      <c r="AE61" s="629">
        <f t="shared" si="85"/>
        <v>-0.77823868363554849</v>
      </c>
      <c r="AF61" s="633">
        <f t="shared" si="86"/>
        <v>-2.2679489724587369E-7</v>
      </c>
      <c r="AG61" s="602">
        <f t="shared" si="87"/>
        <v>-89.999983302821235</v>
      </c>
      <c r="AH61" s="603">
        <f t="shared" si="88"/>
        <v>51.099592622132832</v>
      </c>
      <c r="AI61" s="585">
        <f t="shared" si="89"/>
        <v>-89.999987005609569</v>
      </c>
      <c r="AJ61" s="586">
        <f t="shared" si="90"/>
        <v>38.900407377868362</v>
      </c>
      <c r="AK61" s="635">
        <f t="shared" si="211"/>
        <v>2.2679489680710319E-7</v>
      </c>
      <c r="AL61" s="629">
        <f t="shared" si="91"/>
        <v>-0.99999999999994871</v>
      </c>
      <c r="AM61" s="634">
        <f t="shared" si="92"/>
        <v>-2.2679489724587369E-7</v>
      </c>
      <c r="AN61" s="581">
        <f t="shared" si="93"/>
        <v>-89.999987005609583</v>
      </c>
      <c r="AO61" s="582">
        <f t="shared" si="461"/>
        <v>0</v>
      </c>
      <c r="AP61" s="585">
        <f t="shared" si="95"/>
        <v>-89.999987005609611</v>
      </c>
      <c r="AQ61" s="586">
        <f t="shared" si="246"/>
        <v>0.61570074349103621</v>
      </c>
      <c r="AS61" s="52">
        <f t="shared" si="406"/>
        <v>-320.1906057477654</v>
      </c>
      <c r="AT61" s="72">
        <f t="shared" si="247"/>
        <v>-1.8540203968571058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>Gage</v>
      </c>
      <c r="IG61" s="847">
        <f t="shared" si="210"/>
        <v>6.2309999999999999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734" cm="1">
        <f t="array" ref="II61">IFERROR(ROUND(VALUE(IF($IH61&lt;1,$IH61+LARGE((IF($M$9:$M$150="",0,$M$9:$M$150)-MOD(IF($M$9:$M$150="",0,$M$9:$M$150),1)),1),$IH61)),4),"")</f>
        <v>6.1310000000000002</v>
      </c>
      <c r="IJ61" s="533">
        <f t="shared" si="112"/>
        <v>1613</v>
      </c>
      <c r="IK61" s="533" t="str">
        <f t="shared" si="382"/>
        <v>CPS-32193r1</v>
      </c>
      <c r="IL61" s="727">
        <f t="shared" si="225"/>
        <v>18.534597339196608</v>
      </c>
      <c r="IM61" s="759">
        <v>3.7231743507075497E-5</v>
      </c>
      <c r="IN61" s="5">
        <f t="shared" si="226"/>
        <v>0</v>
      </c>
      <c r="IO61" s="771">
        <v>0</v>
      </c>
      <c r="IP61" s="9">
        <f t="shared" si="227"/>
        <v>-3.686911120290925</v>
      </c>
      <c r="IQ61" s="5">
        <f t="shared" si="228"/>
        <v>-2.064106195184285</v>
      </c>
      <c r="IR61" s="5">
        <f t="shared" si="383"/>
        <v>0.314</v>
      </c>
      <c r="IS61" s="5">
        <f t="shared" si="229"/>
        <v>0.27193198861542717</v>
      </c>
      <c r="IT61" s="727">
        <f t="shared" si="230"/>
        <v>89.999987005609583</v>
      </c>
      <c r="IU61" s="9">
        <f t="shared" si="231"/>
        <v>-3.702511169041629</v>
      </c>
      <c r="IV61" s="5">
        <f t="shared" si="232"/>
        <v>-2.0770062340908018</v>
      </c>
      <c r="IW61" s="5">
        <f t="shared" si="384"/>
        <v>0.25700000000000001</v>
      </c>
      <c r="IX61" s="5">
        <f t="shared" si="233"/>
        <v>0.25700000000000001</v>
      </c>
      <c r="IY61" s="762">
        <f t="shared" si="234"/>
        <v>89.999987005609583</v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8.852130215629557E-2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5.0271535051510788E-2</v>
      </c>
      <c r="G156" s="170">
        <f t="shared" si="929"/>
        <v>-0.2538898421988795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0.96115222939803513</v>
      </c>
      <c r="F157" s="170">
        <f t="shared" si="929"/>
        <v>-0.12713249436304336</v>
      </c>
      <c r="G157" s="170">
        <f t="shared" si="929"/>
        <v>-0.24499738937429033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0.93431531721094707</v>
      </c>
      <c r="F158" s="170">
        <f t="shared" si="929"/>
        <v>-0.29514909530410416</v>
      </c>
      <c r="G158" s="170">
        <f t="shared" si="929"/>
        <v>-0.1998546961324057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0.88476121279145259</v>
      </c>
      <c r="F159" s="170">
        <f t="shared" si="929"/>
        <v>-0.45069575733765771</v>
      </c>
      <c r="G159" s="170">
        <f t="shared" si="929"/>
        <v>-0.11862095370394438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0.84278140031771642</v>
      </c>
      <c r="F160" s="170">
        <f t="shared" si="929"/>
        <v>-0.53825599047153783</v>
      </c>
      <c r="G160" s="170">
        <f t="shared" si="929"/>
        <v>-1.1339743348047648E-7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0.83436064895461359</v>
      </c>
      <c r="F161" s="170">
        <f t="shared" si="929"/>
        <v>-0.44852539122902285</v>
      </c>
      <c r="G161" s="170">
        <f t="shared" si="929"/>
        <v>-0.32041735424113377</v>
      </c>
      <c r="H161" s="139"/>
      <c r="I161" s="86"/>
      <c r="J161" s="79">
        <f t="shared" si="930"/>
        <v>1.212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0.76658652147053274</v>
      </c>
      <c r="F162" s="170">
        <f t="shared" si="929"/>
        <v>-0.59200780553881116</v>
      </c>
      <c r="G162" s="170">
        <f t="shared" si="929"/>
        <v>-0.24874055415398127</v>
      </c>
      <c r="H162" s="139"/>
      <c r="I162" s="86"/>
      <c r="J162" s="79">
        <f t="shared" si="930"/>
        <v>1.218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-0.28325273916114929</v>
      </c>
      <c r="F163" s="170">
        <f t="shared" si="929"/>
        <v>-0.75340678371732617</v>
      </c>
      <c r="G163" s="170">
        <f t="shared" si="929"/>
        <v>-0.59341899531984998</v>
      </c>
      <c r="H163" s="139"/>
      <c r="I163" s="86"/>
      <c r="J163" s="79">
        <f t="shared" si="930"/>
        <v>1.224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-0.3599900336721219</v>
      </c>
      <c r="F164" s="170">
        <f t="shared" si="929"/>
        <v>-0.93295614883910449</v>
      </c>
      <c r="G164" s="170">
        <f t="shared" si="929"/>
        <v>-2.2679489633423987E-7</v>
      </c>
      <c r="H164" s="139"/>
      <c r="I164" s="86"/>
      <c r="J164" s="79">
        <f t="shared" si="930"/>
        <v>1.23</v>
      </c>
    </row>
    <row r="165" spans="5:16" x14ac:dyDescent="0.25">
      <c r="E165" s="170">
        <f t="shared" si="929"/>
        <v>0.45733358446225991</v>
      </c>
      <c r="F165" s="170">
        <f t="shared" si="929"/>
        <v>-0.8525782579904051</v>
      </c>
      <c r="G165" s="170">
        <f t="shared" si="929"/>
        <v>-0.25289584125672615</v>
      </c>
      <c r="H165" s="139"/>
      <c r="I165" s="86"/>
      <c r="J165" s="79">
        <f t="shared" si="930"/>
        <v>2.1110000000000002</v>
      </c>
    </row>
    <row r="166" spans="5:16" x14ac:dyDescent="0.25">
      <c r="E166" s="170">
        <f t="shared" si="929"/>
        <v>0.30634558908872223</v>
      </c>
      <c r="F166" s="170">
        <f t="shared" si="929"/>
        <v>-0.92949528969156847</v>
      </c>
      <c r="G166" s="170">
        <f t="shared" si="929"/>
        <v>-0.2054042027006043</v>
      </c>
      <c r="H166" s="139"/>
      <c r="I166" s="86"/>
      <c r="J166" s="79">
        <f t="shared" si="930"/>
        <v>2.117</v>
      </c>
    </row>
    <row r="167" spans="5:16" x14ac:dyDescent="0.25">
      <c r="E167" s="170">
        <f t="shared" si="929"/>
        <v>0.14428291619969261</v>
      </c>
      <c r="F167" s="170">
        <f t="shared" si="929"/>
        <v>-0.98001765418559605</v>
      </c>
      <c r="G167" s="170">
        <f t="shared" si="929"/>
        <v>-0.13692274309797517</v>
      </c>
      <c r="H167" s="139"/>
      <c r="I167" s="86"/>
      <c r="J167" s="79">
        <f t="shared" si="930"/>
        <v>2.1230000000000002</v>
      </c>
    </row>
    <row r="168" spans="5:16" x14ac:dyDescent="0.25">
      <c r="E168" s="170">
        <f t="shared" si="929"/>
        <v>2.5042172658557578E-2</v>
      </c>
      <c r="F168" s="170">
        <f t="shared" si="929"/>
        <v>-0.99968639562040962</v>
      </c>
      <c r="G168" s="170">
        <f t="shared" si="929"/>
        <v>-1.1339743353153852E-7</v>
      </c>
      <c r="H168" s="139"/>
      <c r="I168" s="86"/>
      <c r="J168" s="79">
        <f t="shared" si="930"/>
        <v>2.129</v>
      </c>
    </row>
    <row r="169" spans="5:16" x14ac:dyDescent="0.25">
      <c r="E169" s="170">
        <f t="shared" si="929"/>
        <v>-0.4421770833238059</v>
      </c>
      <c r="F169" s="170">
        <f t="shared" si="929"/>
        <v>-9.5794250726952232E-2</v>
      </c>
      <c r="G169" s="170">
        <f t="shared" si="929"/>
        <v>-0.89179756027414303</v>
      </c>
      <c r="H169" s="139"/>
      <c r="I169" s="86"/>
      <c r="J169" s="79">
        <f t="shared" si="930"/>
        <v>2.2170000000000001</v>
      </c>
    </row>
    <row r="170" spans="5:16" x14ac:dyDescent="0.25">
      <c r="E170" s="170">
        <f t="shared" si="929"/>
        <v>-0.74331137929035329</v>
      </c>
      <c r="F170" s="170">
        <f t="shared" si="929"/>
        <v>-0.17570555779419242</v>
      </c>
      <c r="G170" s="170">
        <f t="shared" si="929"/>
        <v>-0.64545778357511852</v>
      </c>
      <c r="H170" s="139"/>
      <c r="I170" s="86"/>
      <c r="J170" s="79">
        <f t="shared" si="930"/>
        <v>2.2229999999999999</v>
      </c>
    </row>
    <row r="171" spans="5:16" x14ac:dyDescent="0.25">
      <c r="E171" s="170">
        <f t="shared" si="929"/>
        <v>-0.97475974411225386</v>
      </c>
      <c r="F171" s="170">
        <f t="shared" si="929"/>
        <v>-0.22325644729360483</v>
      </c>
      <c r="G171" s="170">
        <f t="shared" si="929"/>
        <v>-2.2679489701100133E-7</v>
      </c>
      <c r="H171" s="139"/>
      <c r="I171" s="86"/>
      <c r="J171" s="79">
        <f t="shared" si="930"/>
        <v>2.2290000000000001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-0.42495075868149662</v>
      </c>
      <c r="F172" s="170">
        <f t="shared" si="929"/>
        <v>-0.87000969481008184</v>
      </c>
      <c r="G172" s="170">
        <f t="shared" si="929"/>
        <v>-0.2499999672649757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-0.42495075868149673</v>
      </c>
      <c r="F173" s="170">
        <f t="shared" si="929"/>
        <v>-0.87000969481008172</v>
      </c>
      <c r="G173" s="170">
        <f t="shared" si="929"/>
        <v>-0.2499999672649757</v>
      </c>
      <c r="H173" s="139"/>
      <c r="I173" s="86"/>
      <c r="J173" s="79">
        <f t="shared" si="930"/>
        <v>3.1059999999999999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-0.54072642560476181</v>
      </c>
      <c r="F174" s="170">
        <f t="shared" si="933"/>
        <v>-0.80059624759117443</v>
      </c>
      <c r="G174" s="170">
        <f t="shared" si="933"/>
        <v>-0.25818710462691369</v>
      </c>
      <c r="H174" s="139"/>
      <c r="I174" s="86"/>
      <c r="J174" s="79">
        <f t="shared" si="930"/>
        <v>3.11</v>
      </c>
    </row>
    <row r="175" spans="5:16" x14ac:dyDescent="0.25">
      <c r="E175" s="170">
        <f t="shared" si="933"/>
        <v>-0.67904308753029707</v>
      </c>
      <c r="F175" s="170">
        <f t="shared" si="933"/>
        <v>-0.70389054562942599</v>
      </c>
      <c r="G175" s="170">
        <f t="shared" si="933"/>
        <v>-0.20841925307137604</v>
      </c>
      <c r="H175" s="139"/>
      <c r="I175" s="86"/>
      <c r="J175" s="79">
        <f t="shared" si="930"/>
        <v>3.1160000000000001</v>
      </c>
    </row>
    <row r="176" spans="5:16" x14ac:dyDescent="0.25">
      <c r="E176" s="170">
        <f t="shared" si="933"/>
        <v>-0.80096711722681257</v>
      </c>
      <c r="F176" s="170">
        <f t="shared" si="933"/>
        <v>-0.57866545935251423</v>
      </c>
      <c r="G176" s="170">
        <f t="shared" si="933"/>
        <v>-0.1536162858349121</v>
      </c>
      <c r="H176" s="139"/>
      <c r="I176" s="86"/>
      <c r="J176" s="79">
        <f t="shared" si="930"/>
        <v>3.1219999999999999</v>
      </c>
    </row>
    <row r="177" spans="5:10" x14ac:dyDescent="0.25">
      <c r="E177" s="170">
        <f t="shared" si="933"/>
        <v>-0.88753434029675882</v>
      </c>
      <c r="F177" s="170">
        <f t="shared" si="933"/>
        <v>-0.46074157050778952</v>
      </c>
      <c r="G177" s="170">
        <f t="shared" si="933"/>
        <v>-1.1339743404472288E-7</v>
      </c>
      <c r="H177" s="139"/>
      <c r="I177" s="86"/>
      <c r="J177" s="79">
        <f t="shared" si="930"/>
        <v>3.1280000000000001</v>
      </c>
    </row>
    <row r="178" spans="5:10" x14ac:dyDescent="0.25">
      <c r="E178" s="170">
        <f t="shared" si="933"/>
        <v>-0.74818930669042416</v>
      </c>
      <c r="F178" s="170">
        <f t="shared" si="933"/>
        <v>-0.57023965739964944</v>
      </c>
      <c r="G178" s="170">
        <f t="shared" si="933"/>
        <v>-0.33917472559557421</v>
      </c>
      <c r="H178" s="139"/>
      <c r="I178" s="86"/>
      <c r="J178" s="79">
        <f t="shared" si="930"/>
        <v>3.21</v>
      </c>
    </row>
    <row r="179" spans="5:10" x14ac:dyDescent="0.25">
      <c r="E179" s="170">
        <f t="shared" si="933"/>
        <v>-0.87138991561834622</v>
      </c>
      <c r="F179" s="170">
        <f t="shared" si="933"/>
        <v>-0.41199987442480035</v>
      </c>
      <c r="G179" s="170">
        <f t="shared" si="933"/>
        <v>-0.26633760236324189</v>
      </c>
      <c r="H179" s="139"/>
      <c r="I179" s="86"/>
      <c r="J179" s="79">
        <f t="shared" si="930"/>
        <v>3.2160000000000002</v>
      </c>
    </row>
    <row r="180" spans="5:10" x14ac:dyDescent="0.25">
      <c r="E180" s="170">
        <f t="shared" si="933"/>
        <v>-0.45431179937053406</v>
      </c>
      <c r="F180" s="170">
        <f t="shared" si="933"/>
        <v>0.5577189448613028</v>
      </c>
      <c r="G180" s="170">
        <f t="shared" si="933"/>
        <v>-0.69465845384296798</v>
      </c>
      <c r="H180" s="139"/>
      <c r="I180" s="86"/>
      <c r="J180" s="79">
        <f t="shared" si="930"/>
        <v>3.222</v>
      </c>
    </row>
    <row r="181" spans="5:10" x14ac:dyDescent="0.25">
      <c r="E181" s="170">
        <f t="shared" si="933"/>
        <v>-0.62796823800727708</v>
      </c>
      <c r="F181" s="170">
        <f t="shared" si="933"/>
        <v>0.77823896847561203</v>
      </c>
      <c r="G181" s="170">
        <f t="shared" si="933"/>
        <v>-2.2679489709822973E-7</v>
      </c>
      <c r="H181" s="139"/>
      <c r="I181" s="86"/>
      <c r="J181" s="79">
        <f t="shared" si="930"/>
        <v>3.2280000000000002</v>
      </c>
    </row>
    <row r="182" spans="5:10" x14ac:dyDescent="0.25">
      <c r="E182" s="170">
        <f t="shared" si="933"/>
        <v>-0.96458042631082186</v>
      </c>
      <c r="F182" s="170">
        <f t="shared" si="933"/>
        <v>3.8218014805665335E-2</v>
      </c>
      <c r="G182" s="170">
        <f t="shared" si="933"/>
        <v>-0.26100571741313866</v>
      </c>
      <c r="H182" s="139"/>
      <c r="I182" s="86"/>
      <c r="J182" s="79">
        <f t="shared" si="930"/>
        <v>4.109</v>
      </c>
    </row>
    <row r="183" spans="5:10" x14ac:dyDescent="0.25">
      <c r="E183" s="170">
        <f t="shared" si="933"/>
        <v>-0.95591107028923383</v>
      </c>
      <c r="F183" s="170">
        <f t="shared" si="933"/>
        <v>0.20643048737301925</v>
      </c>
      <c r="G183" s="170">
        <f t="shared" si="933"/>
        <v>-0.20885516412439833</v>
      </c>
      <c r="H183" s="139"/>
      <c r="I183" s="86"/>
      <c r="J183" s="79">
        <f t="shared" si="930"/>
        <v>4.1150000000000002</v>
      </c>
    </row>
    <row r="184" spans="5:10" x14ac:dyDescent="0.25">
      <c r="E184" s="170">
        <f t="shared" si="933"/>
        <v>-0.91004607594236597</v>
      </c>
      <c r="F184" s="170">
        <f t="shared" si="933"/>
        <v>0.37851231018471132</v>
      </c>
      <c r="G184" s="170">
        <f t="shared" si="933"/>
        <v>-0.16895138561294609</v>
      </c>
      <c r="H184" s="139"/>
      <c r="I184" s="86"/>
      <c r="J184" s="79">
        <f t="shared" si="930"/>
        <v>4.1210000000000004</v>
      </c>
    </row>
    <row r="185" spans="5:10" x14ac:dyDescent="0.25">
      <c r="E185" s="170">
        <f t="shared" si="933"/>
        <v>-0.84278115617020621</v>
      </c>
      <c r="F185" s="170">
        <f t="shared" si="933"/>
        <v>0.53825637274852378</v>
      </c>
      <c r="G185" s="170">
        <f t="shared" si="933"/>
        <v>-1.1339743345366201E-7</v>
      </c>
      <c r="H185" s="139"/>
      <c r="I185" s="86"/>
      <c r="J185" s="79">
        <f t="shared" si="930"/>
        <v>4.1269999999999998</v>
      </c>
    </row>
    <row r="186" spans="5:10" x14ac:dyDescent="0.25">
      <c r="E186" s="170">
        <f t="shared" si="933"/>
        <v>0.12865506397876553</v>
      </c>
      <c r="F186" s="170">
        <f t="shared" si="933"/>
        <v>0.30444639587443434</v>
      </c>
      <c r="G186" s="170">
        <f t="shared" si="933"/>
        <v>-0.94380096765774035</v>
      </c>
      <c r="H186" s="139"/>
      <c r="I186" s="86"/>
      <c r="J186" s="79">
        <f t="shared" si="930"/>
        <v>4.2149999999999999</v>
      </c>
    </row>
    <row r="187" spans="5:10" x14ac:dyDescent="0.25">
      <c r="E187" s="170">
        <f t="shared" si="933"/>
        <v>0.24044184357329543</v>
      </c>
      <c r="F187" s="170">
        <f t="shared" si="933"/>
        <v>0.62582702540008761</v>
      </c>
      <c r="G187" s="170">
        <f t="shared" si="933"/>
        <v>-0.74197591210089364</v>
      </c>
      <c r="H187" s="139"/>
      <c r="I187" s="86"/>
      <c r="J187" s="79">
        <f t="shared" si="930"/>
        <v>4.2210000000000001</v>
      </c>
    </row>
    <row r="188" spans="5:10" x14ac:dyDescent="0.25">
      <c r="E188" s="170">
        <f t="shared" si="933"/>
        <v>0.35999045685147152</v>
      </c>
      <c r="F188" s="170">
        <f t="shared" si="933"/>
        <v>0.93295598555120351</v>
      </c>
      <c r="G188" s="170">
        <f t="shared" si="933"/>
        <v>-2.2679489705657792E-7</v>
      </c>
      <c r="H188" s="139"/>
      <c r="I188" s="86"/>
      <c r="J188" s="79">
        <f t="shared" si="930"/>
        <v>4.2270000000000003</v>
      </c>
    </row>
    <row r="189" spans="5:10" x14ac:dyDescent="0.25">
      <c r="E189" s="170">
        <f t="shared" si="933"/>
        <v>-0.4880334306401819</v>
      </c>
      <c r="F189" s="170">
        <f t="shared" si="933"/>
        <v>0.82307756169972091</v>
      </c>
      <c r="G189" s="170">
        <f t="shared" si="933"/>
        <v>-0.29045946017304536</v>
      </c>
      <c r="H189" s="139"/>
      <c r="I189" s="86"/>
      <c r="J189" s="79">
        <f t="shared" si="930"/>
        <v>5.1020000000000003</v>
      </c>
    </row>
    <row r="190" spans="5:10" x14ac:dyDescent="0.25">
      <c r="E190" s="170">
        <f t="shared" si="933"/>
        <v>-0.48364153900886331</v>
      </c>
      <c r="F190" s="170">
        <f t="shared" si="933"/>
        <v>0.8388032415964124</v>
      </c>
      <c r="G190" s="170">
        <f t="shared" si="933"/>
        <v>-0.24999996726497556</v>
      </c>
      <c r="H190" s="139"/>
      <c r="I190" s="86"/>
      <c r="J190" s="79">
        <f t="shared" si="930"/>
        <v>5.1050000000000004</v>
      </c>
    </row>
    <row r="191" spans="5:10" x14ac:dyDescent="0.25">
      <c r="E191" s="170">
        <f t="shared" si="933"/>
        <v>-0.41529835988587444</v>
      </c>
      <c r="F191" s="170">
        <f t="shared" si="933"/>
        <v>0.87133832506999065</v>
      </c>
      <c r="G191" s="170">
        <f t="shared" si="933"/>
        <v>-0.26133655607343975</v>
      </c>
      <c r="H191" s="139"/>
      <c r="I191" s="86"/>
      <c r="J191" s="79">
        <f t="shared" si="930"/>
        <v>5.1079999999999997</v>
      </c>
    </row>
    <row r="192" spans="5:10" x14ac:dyDescent="0.25">
      <c r="E192" s="170">
        <f t="shared" si="933"/>
        <v>-0.25684651212439569</v>
      </c>
      <c r="F192" s="170">
        <f t="shared" si="933"/>
        <v>0.94039273221789854</v>
      </c>
      <c r="G192" s="170">
        <f t="shared" si="933"/>
        <v>-0.22291563067961079</v>
      </c>
      <c r="H192" s="139"/>
      <c r="I192" s="86"/>
      <c r="J192" s="79">
        <f t="shared" si="930"/>
        <v>5.1139999999999999</v>
      </c>
    </row>
    <row r="193" spans="5:10" x14ac:dyDescent="0.25">
      <c r="E193" s="170">
        <f t="shared" si="933"/>
        <v>-8.6412929204772476E-2</v>
      </c>
      <c r="F193" s="170">
        <f t="shared" si="933"/>
        <v>0.97958502357756672</v>
      </c>
      <c r="G193" s="170">
        <f t="shared" si="933"/>
        <v>-0.18151029515922523</v>
      </c>
      <c r="H193" s="139"/>
      <c r="I193" s="86"/>
      <c r="J193" s="79">
        <f t="shared" si="930"/>
        <v>5.12</v>
      </c>
    </row>
    <row r="194" spans="5:10" x14ac:dyDescent="0.25">
      <c r="E194" s="170">
        <f t="shared" ref="E194:G213" si="934">E49*-1</f>
        <v>9.1781355511733484E-2</v>
      </c>
      <c r="F194" s="170">
        <f t="shared" si="934"/>
        <v>0.99158836716850862</v>
      </c>
      <c r="G194" s="170">
        <f t="shared" si="934"/>
        <v>-9.126167254943178E-2</v>
      </c>
      <c r="H194" s="139"/>
      <c r="I194" s="86"/>
      <c r="J194" s="79">
        <f t="shared" si="930"/>
        <v>5.1260000000000003</v>
      </c>
    </row>
    <row r="195" spans="5:10" x14ac:dyDescent="0.25">
      <c r="E195" s="170">
        <f t="shared" si="934"/>
        <v>0.11433052106755759</v>
      </c>
      <c r="F195" s="170">
        <f t="shared" si="934"/>
        <v>0.99344276732603376</v>
      </c>
      <c r="G195" s="170">
        <f t="shared" si="934"/>
        <v>-1.1339743362162163E-7</v>
      </c>
      <c r="H195" s="139"/>
      <c r="I195" s="86"/>
      <c r="J195" s="79">
        <f t="shared" si="930"/>
        <v>5.1319999999999997</v>
      </c>
    </row>
    <row r="196" spans="5:10" x14ac:dyDescent="0.25">
      <c r="E196" s="170">
        <f t="shared" si="934"/>
        <v>8.1022787033921975E-2</v>
      </c>
      <c r="F196" s="170">
        <f t="shared" si="934"/>
        <v>0.95355867626698099</v>
      </c>
      <c r="G196" s="170">
        <f t="shared" si="934"/>
        <v>-0.29010542721089988</v>
      </c>
      <c r="H196" s="139"/>
      <c r="I196" s="86"/>
      <c r="J196" s="79">
        <f t="shared" si="930"/>
        <v>5.2140000000000004</v>
      </c>
    </row>
    <row r="197" spans="5:10" x14ac:dyDescent="0.25">
      <c r="E197" s="170">
        <f t="shared" si="934"/>
        <v>0.2478951663567488</v>
      </c>
      <c r="F197" s="170">
        <f t="shared" si="934"/>
        <v>0.94320795414322234</v>
      </c>
      <c r="G197" s="170">
        <f t="shared" si="934"/>
        <v>-0.22114868694594839</v>
      </c>
      <c r="H197" s="139"/>
      <c r="I197" s="86"/>
      <c r="J197" s="79">
        <f t="shared" si="930"/>
        <v>5.22</v>
      </c>
    </row>
    <row r="198" spans="5:10" x14ac:dyDescent="0.25">
      <c r="E198" s="170">
        <f t="shared" si="934"/>
        <v>0.87250952424857997</v>
      </c>
      <c r="F198" s="170">
        <f t="shared" si="934"/>
        <v>8.1488633393343154E-2</v>
      </c>
      <c r="G198" s="170">
        <f t="shared" si="934"/>
        <v>-0.48175380924617722</v>
      </c>
      <c r="H198" s="139"/>
      <c r="I198" s="86"/>
      <c r="J198" s="79">
        <f t="shared" si="930"/>
        <v>5.226</v>
      </c>
    </row>
    <row r="199" spans="5:10" x14ac:dyDescent="0.25">
      <c r="E199" s="170">
        <f t="shared" si="934"/>
        <v>0.99634470089885852</v>
      </c>
      <c r="F199" s="170">
        <f t="shared" si="934"/>
        <v>8.5423866634054185E-2</v>
      </c>
      <c r="G199" s="170">
        <f t="shared" si="934"/>
        <v>-2.2679489568523886E-7</v>
      </c>
      <c r="H199" s="139"/>
      <c r="I199" s="86"/>
      <c r="J199" s="79">
        <f t="shared" si="930"/>
        <v>5.2320000000000002</v>
      </c>
    </row>
    <row r="200" spans="5:10" x14ac:dyDescent="0.25">
      <c r="E200" s="170">
        <f t="shared" si="934"/>
        <v>0.61390791293990643</v>
      </c>
      <c r="F200" s="170">
        <f t="shared" si="934"/>
        <v>0.75358065056281187</v>
      </c>
      <c r="G200" s="170">
        <f t="shared" si="934"/>
        <v>-0.23501761109988684</v>
      </c>
      <c r="H200" s="139"/>
      <c r="I200" s="86"/>
      <c r="J200" s="79">
        <f t="shared" si="930"/>
        <v>6.1130000000000004</v>
      </c>
    </row>
    <row r="201" spans="5:10" x14ac:dyDescent="0.25">
      <c r="E201" s="170">
        <f t="shared" si="934"/>
        <v>0.74367053331530897</v>
      </c>
      <c r="F201" s="170">
        <f t="shared" si="934"/>
        <v>0.64041723636767811</v>
      </c>
      <c r="G201" s="170">
        <f t="shared" si="934"/>
        <v>-0.19188512511841424</v>
      </c>
      <c r="H201" s="139"/>
      <c r="I201" s="86"/>
      <c r="J201" s="79">
        <f t="shared" si="930"/>
        <v>6.1189999999999998</v>
      </c>
    </row>
    <row r="202" spans="5:10" x14ac:dyDescent="0.25">
      <c r="E202" s="170">
        <f t="shared" si="934"/>
        <v>0.8539031684263314</v>
      </c>
      <c r="F202" s="170">
        <f t="shared" si="934"/>
        <v>0.50944198785948935</v>
      </c>
      <c r="G202" s="170">
        <f t="shared" si="934"/>
        <v>-0.10638721707632147</v>
      </c>
      <c r="H202" s="139"/>
      <c r="I202" s="86"/>
      <c r="J202" s="79">
        <f t="shared" si="930"/>
        <v>6.125</v>
      </c>
    </row>
    <row r="203" spans="5:10" x14ac:dyDescent="0.25">
      <c r="E203" s="170">
        <f t="shared" si="934"/>
        <v>0.88753413130899372</v>
      </c>
      <c r="F203" s="170">
        <f t="shared" si="934"/>
        <v>0.46074197308426018</v>
      </c>
      <c r="G203" s="170">
        <f t="shared" si="934"/>
        <v>-1.1339743381742591E-7</v>
      </c>
      <c r="H203" s="139"/>
      <c r="I203" s="86"/>
      <c r="J203" s="79">
        <f t="shared" si="930"/>
        <v>6.1310000000000002</v>
      </c>
    </row>
    <row r="204" spans="5:10" x14ac:dyDescent="0.25">
      <c r="E204" s="170">
        <f t="shared" si="934"/>
        <v>0.35645108241790358</v>
      </c>
      <c r="F204" s="170">
        <f t="shared" si="934"/>
        <v>-0.44018015619384376</v>
      </c>
      <c r="G204" s="170">
        <f t="shared" si="934"/>
        <v>-0.82412623786424155</v>
      </c>
      <c r="H204" s="139"/>
      <c r="I204" s="86"/>
      <c r="J204" s="79">
        <f t="shared" si="930"/>
        <v>6.2190000000000003</v>
      </c>
    </row>
    <row r="205" spans="5:10" x14ac:dyDescent="0.25">
      <c r="E205" s="170">
        <f t="shared" si="934"/>
        <v>0.53433139916927197</v>
      </c>
      <c r="F205" s="170">
        <f t="shared" si="934"/>
        <v>-0.65131855936988392</v>
      </c>
      <c r="G205" s="170">
        <f t="shared" si="934"/>
        <v>-0.53877090686315565</v>
      </c>
      <c r="H205" s="139"/>
      <c r="I205" s="86"/>
      <c r="J205" s="79">
        <f t="shared" si="930"/>
        <v>6.2249999999999996</v>
      </c>
    </row>
    <row r="206" spans="5:10" x14ac:dyDescent="0.25">
      <c r="E206" s="170">
        <f t="shared" si="934"/>
        <v>0.62796859100846547</v>
      </c>
      <c r="F206" s="170">
        <f t="shared" si="934"/>
        <v>-0.77823868363554849</v>
      </c>
      <c r="G206" s="170">
        <f t="shared" si="934"/>
        <v>-2.2679489724587369E-7</v>
      </c>
      <c r="H206" s="139"/>
      <c r="I206" s="86"/>
      <c r="J206" s="79">
        <f t="shared" si="930"/>
        <v>6.2309999999999999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D614ED8-3CF3-42C3-846E-D5D49A5DC23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1CD9026-0837-4E9D-BBAC-F92F3C3112EE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3" t="str">
        <f>CONCATENATE(Settings!$C$19," ",Settings!$B$28)</f>
        <v>7.875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M1" s="107" t="s">
        <v>319</v>
      </c>
      <c r="N1" s="1310" t="s">
        <v>321</v>
      </c>
      <c r="O1" s="131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6" t="str">
        <f>Settings!B28</f>
        <v xml:space="preserve"> Job# --- Assy# --- Post Braze --- yy.mm.dd</v>
      </c>
      <c r="C2" s="1307"/>
      <c r="D2" s="1307"/>
      <c r="E2" s="1307"/>
      <c r="F2" s="1307"/>
      <c r="G2" s="1307"/>
      <c r="H2" s="1307"/>
      <c r="I2" s="1307"/>
      <c r="J2" s="1307"/>
      <c r="K2" s="1308"/>
      <c r="L2" s="992" t="str" cm="1">
        <f t="array" ref="L2">IF(OR($K$9:$K$150="Undefined"),"Undefined Element","")</f>
        <v/>
      </c>
      <c r="M2" s="1303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300" t="str">
        <f>M2</f>
        <v>CS-Name</v>
      </c>
      <c r="AW2" s="1279"/>
      <c r="AX2" s="1279"/>
      <c r="AY2" s="1279"/>
      <c r="AZ2" s="1279"/>
      <c r="BA2" s="1279"/>
      <c r="BB2" s="1279"/>
      <c r="BC2" s="1280"/>
      <c r="BF2" s="1272" t="s">
        <v>322</v>
      </c>
      <c r="BG2" s="1273"/>
      <c r="BH2" s="1273"/>
      <c r="BI2" s="1273"/>
      <c r="BJ2" s="1273"/>
      <c r="BK2" s="1274"/>
      <c r="BM2" s="1262" t="s">
        <v>279</v>
      </c>
      <c r="BN2" s="984"/>
      <c r="BO2" s="984"/>
      <c r="BP2" s="985"/>
      <c r="BR2" s="1262" t="s">
        <v>279</v>
      </c>
      <c r="BS2" s="984"/>
      <c r="BT2" s="984"/>
      <c r="BU2" s="98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9"/>
      <c r="C3" s="1000"/>
      <c r="D3" s="1000"/>
      <c r="E3" s="1000"/>
      <c r="F3" s="1000"/>
      <c r="G3" s="1000"/>
      <c r="H3" s="1000"/>
      <c r="I3" s="1000"/>
      <c r="J3" s="1000"/>
      <c r="K3" s="1001"/>
      <c r="L3" s="992"/>
      <c r="M3" s="1304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101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102"/>
      <c r="AS3" s="466">
        <v>100</v>
      </c>
      <c r="AT3" s="463" t="s">
        <v>45</v>
      </c>
      <c r="AV3" s="1301"/>
      <c r="AW3" s="1281"/>
      <c r="AX3" s="1281"/>
      <c r="AY3" s="1281"/>
      <c r="AZ3" s="1281"/>
      <c r="BA3" s="1281"/>
      <c r="BB3" s="1281"/>
      <c r="BC3" s="1282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0" t="s">
        <v>316</v>
      </c>
      <c r="C4" s="874"/>
      <c r="D4" s="874"/>
      <c r="E4" s="874"/>
      <c r="F4" s="874"/>
      <c r="G4" s="874"/>
      <c r="H4" s="874"/>
      <c r="I4" s="874"/>
      <c r="J4" s="874"/>
      <c r="K4" s="1309"/>
      <c r="L4" s="992"/>
      <c r="M4" s="1304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Q4</f>
        <v>Polar XY; Cartesian Z</v>
      </c>
      <c r="X4" s="997"/>
      <c r="Y4" s="998"/>
      <c r="Z4" s="1311" t="s">
        <v>3</v>
      </c>
      <c r="AA4" s="1286"/>
      <c r="AB4" s="1286"/>
      <c r="AC4" s="1286"/>
      <c r="AD4" s="1286"/>
      <c r="AE4" s="1286"/>
      <c r="AF4" s="1286"/>
      <c r="AG4" s="1285" t="s">
        <v>31</v>
      </c>
      <c r="AH4" s="1286"/>
      <c r="AI4" s="1286"/>
      <c r="AJ4" s="1287"/>
      <c r="AK4" s="1265" t="s">
        <v>32</v>
      </c>
      <c r="AL4" s="1266"/>
      <c r="AM4" s="1266"/>
      <c r="AN4" s="1266"/>
      <c r="AO4" s="1266"/>
      <c r="AP4" s="1266"/>
      <c r="AQ4" s="1267"/>
      <c r="AS4" s="467">
        <v>125</v>
      </c>
      <c r="AT4" s="464" t="s">
        <v>46</v>
      </c>
      <c r="AV4" s="1301"/>
      <c r="AW4" s="1283"/>
      <c r="AX4" s="1283"/>
      <c r="AY4" s="1283"/>
      <c r="AZ4" s="1284"/>
      <c r="BA4" s="1283" t="str">
        <f>Z2</f>
        <v>PDC Orientation</v>
      </c>
      <c r="BB4" s="1283"/>
      <c r="BC4" s="1284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9" t="str">
        <f>CONCATENATE(B7," ; ",E7," ; ",H8)</f>
        <v>Absolute-Point ; Incremental-Vector Point ; Radius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304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&amp; Z; Z Axis")</f>
        <v>Relative to 's θ &amp; Z; Z Axis</v>
      </c>
      <c r="U5" s="1022"/>
      <c r="V5" s="1073"/>
      <c r="W5" s="1022" t="str">
        <f>CONCATENATE("Relative to ",M8,"'s θ &amp; Z; Z Axis")</f>
        <v>Relative to 's θ &amp; Z;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301"/>
      <c r="AW5" s="1030" t="str">
        <f>W4</f>
        <v>Polar XY; Cartesian Z</v>
      </c>
      <c r="AX5" s="997"/>
      <c r="AY5" s="997"/>
      <c r="AZ5" s="1238" t="s">
        <v>104</v>
      </c>
      <c r="BA5" s="997" t="str">
        <f>AK4</f>
        <v>Polar Z Projection → XZ Plane</v>
      </c>
      <c r="BB5" s="997"/>
      <c r="BC5" s="1106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/>
      </c>
      <c r="M6" s="1304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Q6</f>
        <v>Projected XY</v>
      </c>
      <c r="X6" s="1019"/>
      <c r="Y6" s="1067" t="str">
        <f>S6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30" t="str">
        <f>AD6</f>
        <v>Unit Vector</v>
      </c>
      <c r="AL6" s="997"/>
      <c r="AM6" s="1106"/>
      <c r="AN6" s="34" t="s">
        <v>15</v>
      </c>
      <c r="AO6" s="35" t="s">
        <v>16</v>
      </c>
      <c r="AP6" s="737" t="s">
        <v>17</v>
      </c>
      <c r="AQ6" s="1312" t="s">
        <v>108</v>
      </c>
      <c r="AS6" s="172">
        <f>(AS5/360)</f>
        <v>6.9444444444444447E-4</v>
      </c>
      <c r="AT6" s="465" t="s">
        <v>48</v>
      </c>
      <c r="AV6" s="1301"/>
      <c r="AW6" s="1046" t="str">
        <f>W5</f>
        <v>Relative to 's θ &amp; Z; Z Axis</v>
      </c>
      <c r="AX6" s="1022"/>
      <c r="AY6" s="1022"/>
      <c r="AZ6" s="1297"/>
      <c r="BA6" s="1022" t="str">
        <f>AK5</f>
        <v>Vector Along X Axis</v>
      </c>
      <c r="BB6" s="1022"/>
      <c r="BC6" s="1047"/>
      <c r="BD6" s="468"/>
      <c r="BF6" s="461">
        <f>SUM(AZ9:AZ150)</f>
        <v>0</v>
      </c>
      <c r="BG6" s="1290" t="s">
        <v>318</v>
      </c>
      <c r="BH6" s="1290"/>
      <c r="BI6" s="1290"/>
      <c r="BJ6" s="1290"/>
      <c r="BK6" s="1290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3" t="s">
        <v>40</v>
      </c>
      <c r="C7" s="1024"/>
      <c r="D7" s="1025"/>
      <c r="E7" s="1026" t="s">
        <v>41</v>
      </c>
      <c r="F7" s="1024"/>
      <c r="G7" s="1027"/>
      <c r="H7" s="897" t="s">
        <v>314</v>
      </c>
      <c r="I7" s="917"/>
      <c r="J7" s="898"/>
      <c r="K7" s="539"/>
      <c r="L7" s="992"/>
      <c r="M7" s="1305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Q7</f>
        <v>&lt; θ°</v>
      </c>
      <c r="X7" s="27" t="str">
        <f>R7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3"/>
      <c r="AS7" s="1288" t="s">
        <v>54</v>
      </c>
      <c r="AT7" s="1263" t="s">
        <v>53</v>
      </c>
      <c r="AV7" s="1301"/>
      <c r="AW7" s="1296" t="str">
        <f>$W$6</f>
        <v>Projected XY</v>
      </c>
      <c r="AX7" s="1019"/>
      <c r="AY7" s="1298" t="str">
        <f>$Y$6</f>
        <v>Z</v>
      </c>
      <c r="AZ7" s="1297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0"/>
      <c r="BH7" s="1290"/>
      <c r="BI7" s="1290"/>
      <c r="BJ7" s="1290"/>
      <c r="BK7" s="1290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1261" t="s">
        <v>364</v>
      </c>
      <c r="JC7" s="981"/>
      <c r="JD7" s="981"/>
      <c r="JE7" s="98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2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9"/>
      <c r="AT8" s="1264"/>
      <c r="AV8" s="1302"/>
      <c r="AW8" s="46" t="str">
        <f>$W$7</f>
        <v>&lt; θ°</v>
      </c>
      <c r="AX8" s="27" t="str">
        <f>$X$7</f>
        <v>r</v>
      </c>
      <c r="AY8" s="1299"/>
      <c r="AZ8" s="1239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4" t="str">
        <f>$W$6</f>
        <v>Projected XY</v>
      </c>
      <c r="AX152" s="1295"/>
      <c r="AY152" s="1277" t="str">
        <f>$Y$6</f>
        <v>Z</v>
      </c>
      <c r="AZ152" s="1275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8"/>
      <c r="AZ153" s="1276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5" t="s">
        <v>42</v>
      </c>
      <c r="C157" s="1006"/>
      <c r="D157" s="1006"/>
      <c r="E157" s="1006"/>
      <c r="F157" s="1006"/>
      <c r="G157" s="1006"/>
      <c r="H157" s="1006"/>
      <c r="I157" s="1006"/>
      <c r="J157" s="1006"/>
      <c r="K157" s="1007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8"/>
      <c r="C158" s="1009"/>
      <c r="D158" s="1009"/>
      <c r="E158" s="1009"/>
      <c r="F158" s="1009"/>
      <c r="G158" s="1009"/>
      <c r="H158" s="1009"/>
      <c r="I158" s="1009"/>
      <c r="J158" s="1009"/>
      <c r="K158" s="1010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1"/>
      <c r="C159" s="1012"/>
      <c r="D159" s="1012"/>
      <c r="E159" s="1012"/>
      <c r="F159" s="1012"/>
      <c r="G159" s="1012"/>
      <c r="H159" s="1012"/>
      <c r="I159" s="1012"/>
      <c r="J159" s="1012"/>
      <c r="K159" s="1013"/>
      <c r="AQ159" s="166"/>
      <c r="BD159" s="468"/>
    </row>
    <row r="160" spans="1:259" ht="15" customHeight="1" x14ac:dyDescent="0.25">
      <c r="B160" s="999" t="str">
        <f>CONCATENATE(B162," ; ",E162," ; ",H163)</f>
        <v>Absolute-Point ; Incremental-Vector Point ; Radius</v>
      </c>
      <c r="C160" s="1000"/>
      <c r="D160" s="1000"/>
      <c r="E160" s="1000"/>
      <c r="F160" s="1000"/>
      <c r="G160" s="1000"/>
      <c r="H160" s="1000"/>
      <c r="I160" s="1000"/>
      <c r="J160" s="1000"/>
      <c r="K160" s="1001"/>
      <c r="AQ160" s="166"/>
      <c r="BD160" s="468"/>
    </row>
    <row r="161" spans="2:56" ht="15" customHeight="1" x14ac:dyDescent="0.25">
      <c r="B161" s="1002"/>
      <c r="C161" s="1003"/>
      <c r="D161" s="1003"/>
      <c r="E161" s="1003"/>
      <c r="F161" s="1003"/>
      <c r="G161" s="1003"/>
      <c r="H161" s="1003"/>
      <c r="I161" s="1003"/>
      <c r="J161" s="1003"/>
      <c r="K161" s="1004"/>
      <c r="AQ161" s="166"/>
      <c r="BD161" s="468"/>
    </row>
    <row r="162" spans="2:56" ht="15" customHeight="1" x14ac:dyDescent="0.25">
      <c r="B162" s="1023" t="s">
        <v>40</v>
      </c>
      <c r="C162" s="1024"/>
      <c r="D162" s="1025"/>
      <c r="E162" s="1026" t="s">
        <v>41</v>
      </c>
      <c r="F162" s="1024"/>
      <c r="G162" s="1027"/>
      <c r="H162" s="897" t="s">
        <v>314</v>
      </c>
      <c r="I162" s="917"/>
      <c r="J162" s="898"/>
      <c r="K162" s="539"/>
      <c r="M162" s="1192" t="s">
        <v>313</v>
      </c>
      <c r="N162" s="1291"/>
      <c r="O162" s="1268" t="s">
        <v>292</v>
      </c>
      <c r="P162" s="1269"/>
      <c r="Q162" s="1270"/>
      <c r="R162" s="1271" t="s">
        <v>41</v>
      </c>
      <c r="S162" s="1269"/>
      <c r="T162" s="1270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2"/>
      <c r="N163" s="12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1513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1.212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1.218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1.224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1.23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2.1230000000000002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2.2170000000000001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2.2229999999999999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2.2290000000000001</v>
      </c>
      <c r="N181" s="869" t="str">
        <f>Assy.Model!K26</f>
        <v>CPS-32193r1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1513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3.1160000000000001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3.1219999999999999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3.1280000000000001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3.2160000000000002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3.222</v>
      </c>
      <c r="N190" s="869" t="str">
        <f>Assy.Model!K35</f>
        <v>CPS-32193r1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3.2280000000000002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4.1150000000000002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4.1210000000000004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4.1269999999999998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4.2149999999999999</v>
      </c>
      <c r="N196" s="869" t="str">
        <f>Assy.Model!K41</f>
        <v>CPS-32193r1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4.2210000000000001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4.2270000000000003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5.1020000000000003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5.1050000000000004</v>
      </c>
      <c r="N200" s="869">
        <f>Assy.Model!K45</f>
        <v>1513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5.1079999999999997</v>
      </c>
      <c r="N201" s="869">
        <f>Assy.Model!K46</f>
        <v>1513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5.1139999999999999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5.1260000000000003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5.1319999999999997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5.2140000000000004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5.22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5.226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5.2320000000000002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6.1130000000000004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6.1189999999999998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6.125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6.1310000000000002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6.2190000000000003</v>
      </c>
      <c r="N214" s="869" t="str">
        <f>Assy.Model!K59</f>
        <v>CPS-32193r1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6.2249999999999996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6.2309999999999999</v>
      </c>
      <c r="N216" s="869" t="str">
        <f>Assy.Model!K61</f>
        <v>CPS-32193r1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2025-12-09T21:46:13Z</dcterms:modified>
</cp:coreProperties>
</file>