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1\"/>
    </mc:Choice>
  </mc:AlternateContent>
  <xr:revisionPtr revIDLastSave="0" documentId="13_ncr:1_{79E880AA-DB80-46F4-9387-0AD506FA001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K91" i="1"/>
  <c r="IW91" i="1"/>
  <c r="IR91" i="1"/>
  <c r="IN91" i="1"/>
  <c r="IU11" i="1"/>
  <c r="IE11" i="1" s="1"/>
  <c r="IL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10" i="1"/>
  <c r="IV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IS11" i="1"/>
  <c r="IX11" i="1"/>
  <c r="IR11" i="1"/>
  <c r="IW11" i="1"/>
  <c r="IT11" i="1"/>
  <c r="IP11" i="1"/>
  <c r="IY11" i="1"/>
  <c r="IQ11" i="1"/>
  <c r="IN11" i="1"/>
  <c r="IK11" i="1"/>
  <c r="IN10" i="1"/>
  <c r="IL10" i="1"/>
  <c r="IY10" i="1"/>
  <c r="IX10" i="1"/>
  <c r="IT10" i="1"/>
  <c r="IQ10" i="1"/>
  <c r="IS10" i="1"/>
  <c r="IK10" i="1"/>
  <c r="JA23" i="1" s="1" a="1"/>
  <c r="JA23" i="1" s="1"/>
  <c r="IU10" i="1"/>
  <c r="IE10" i="1" s="1"/>
  <c r="IP10" i="1"/>
  <c r="IR10" i="1"/>
  <c r="JA9" i="1" a="1"/>
  <c r="JA9" i="1" s="1"/>
  <c r="IF85" i="1"/>
  <c r="IF129" i="1"/>
  <c r="IF73" i="1"/>
  <c r="IF138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135" i="1"/>
  <c r="IF109" i="1"/>
  <c r="IF145" i="1"/>
  <c r="IF106" i="1"/>
  <c r="IF69" i="1"/>
  <c r="IF88" i="1"/>
  <c r="IF103" i="1"/>
  <c r="IF13" i="1"/>
  <c r="IF108" i="1"/>
  <c r="IF131" i="1"/>
  <c r="IF123" i="1"/>
  <c r="IF141" i="1"/>
  <c r="IF89" i="1"/>
  <c r="IF124" i="1"/>
  <c r="IF107" i="1"/>
  <c r="IF146" i="1"/>
  <c r="IF134" i="1"/>
  <c r="IF84" i="1"/>
  <c r="IF12" i="1"/>
  <c r="IF71" i="1"/>
  <c r="IF56" i="1"/>
  <c r="IF133" i="1"/>
  <c r="IF149" i="1"/>
  <c r="IF87" i="1"/>
  <c r="IF104" i="1"/>
  <c r="IF13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IF11" i="1"/>
  <c r="IF10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48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47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Q61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20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91" i="1" l="1"/>
  <c r="IU91" i="1"/>
  <c r="IE91" i="1" s="1"/>
  <c r="IQ76" i="1"/>
  <c r="IQ64" i="1"/>
  <c r="IQ93" i="1"/>
  <c r="IQ91" i="1"/>
  <c r="AE69" i="1"/>
  <c r="Q91" i="1"/>
  <c r="IQ54" i="1"/>
  <c r="IV50" i="1"/>
  <c r="IV42" i="1"/>
  <c r="IQ50" i="1"/>
  <c r="AD86" i="1"/>
  <c r="AH86" i="1" s="1"/>
  <c r="IV41" i="1"/>
  <c r="IQ49" i="1"/>
  <c r="IQ94" i="1"/>
  <c r="IQ92" i="1"/>
  <c r="IQ52" i="1"/>
  <c r="IV48" i="1"/>
  <c r="IV83" i="1"/>
  <c r="IQ90" i="1"/>
  <c r="IQ77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IP48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P92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20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IP91" i="1" s="1"/>
  <c r="Q84" i="1"/>
  <c r="R83" i="1"/>
  <c r="X83" i="1" s="1"/>
  <c r="IP90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IP47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42" i="1" l="1"/>
  <c r="IE42" i="1" s="1"/>
  <c r="IP50" i="1"/>
  <c r="IP52" i="1"/>
  <c r="IU48" i="1"/>
  <c r="IE48" i="1" s="1"/>
  <c r="IP54" i="1"/>
  <c r="IU50" i="1"/>
  <c r="IE50" i="1" s="1"/>
  <c r="IU41" i="1"/>
  <c r="IE41" i="1" s="1"/>
  <c r="IP49" i="1"/>
  <c r="AQ92" i="1"/>
  <c r="IU92" i="1"/>
  <c r="IE92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0" i="1" s="1"/>
  <c r="W84" i="1"/>
  <c r="IL91" i="1" s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IL49" i="1" s="1"/>
  <c r="W42" i="1"/>
  <c r="IL50" i="1" s="1"/>
  <c r="W39" i="1"/>
  <c r="IL47" i="1" s="1"/>
  <c r="W40" i="1"/>
  <c r="IL48" i="1" s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2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IF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IT48" i="1" s="1"/>
  <c r="U40" i="1"/>
  <c r="T40" i="1"/>
  <c r="T39" i="1"/>
  <c r="AL39" i="1"/>
  <c r="AN39" i="1" s="1"/>
  <c r="IT47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2" i="1" l="1"/>
  <c r="IT50" i="1"/>
  <c r="IT77" i="1"/>
  <c r="IY41" i="1"/>
  <c r="IT49" i="1"/>
  <c r="IS77" i="1"/>
  <c r="IT99" i="1"/>
  <c r="IY90" i="1"/>
  <c r="IX41" i="1"/>
  <c r="IS49" i="1"/>
  <c r="IT94" i="1"/>
  <c r="IT92" i="1"/>
  <c r="IY83" i="1"/>
  <c r="IT90" i="1"/>
  <c r="IS94" i="1"/>
  <c r="IS92" i="1"/>
  <c r="IT93" i="1"/>
  <c r="IT91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AP83" i="1"/>
  <c r="AO83" i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AP42" i="1"/>
  <c r="AP41" i="1"/>
  <c r="AO40" i="1"/>
  <c r="IS48" i="1" s="1"/>
  <c r="AP40" i="1"/>
  <c r="AO39" i="1"/>
  <c r="IS47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IS34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X90" i="1"/>
  <c r="IS20" i="1"/>
  <c r="IS52" i="1"/>
  <c r="IX48" i="1"/>
  <c r="IF48" i="1" s="1"/>
  <c r="IT29" i="1"/>
  <c r="IY47" i="1"/>
  <c r="IF47" i="1" s="1"/>
  <c r="IS54" i="1"/>
  <c r="IX50" i="1"/>
  <c r="IF50" i="1" s="1"/>
  <c r="IX83" i="1"/>
  <c r="IF83" i="1" s="1"/>
  <c r="IS90" i="1"/>
  <c r="IX42" i="1"/>
  <c r="IF42" i="1" s="1"/>
  <c r="IS50" i="1"/>
  <c r="IF90" i="1"/>
  <c r="IS78" i="1"/>
  <c r="IS93" i="1"/>
  <c r="IS91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<sst xmlns="http://schemas.openxmlformats.org/spreadsheetml/2006/main" count="734" uniqueCount="391">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</sst>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topLeftCell="W1"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55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89.999999999999986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-0.28390085624498246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-0.77780234585187513</v>
      </c>
      <c r="E9" s="705">
        <v>-0.90630778703665005</v>
      </c>
      <c r="F9" s="703">
        <v>-0.10938163951632578</v>
      </c>
      <c r="G9" s="706">
        <v>0.40821789781126816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-0.77780234585187513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-0.77780234585187513</v>
      </c>
      <c r="T9" s="627">
        <f>IF(M9="","",X9*COS(RADIANS(W9)))</f>
        <v>0.29580089213549071</v>
      </c>
      <c r="U9" s="624">
        <f>IF(M9="","",X9*SIN(RADIANS(W9)))</f>
        <v>7.3366372505758386E-17</v>
      </c>
      <c r="V9" s="628">
        <f>IF(M9="","",Y9)</f>
        <v>-0.77780234585187513</v>
      </c>
      <c r="W9" s="583">
        <f t="shared" ref="W9:W14" si="5">IF(M9="","",IF(Q9-$Q$8&lt;0,360+Q9-$Q$8,Q9-$Q$8))</f>
        <v>1.4210854715202004E-14</v>
      </c>
      <c r="X9" s="629">
        <f>IF(M9="","",R9)</f>
        <v>0.29580089213549071</v>
      </c>
      <c r="Y9" s="630">
        <f>IF(M9="","",S9)</f>
        <v>-0.77780234585187513</v>
      </c>
      <c r="Z9" s="623">
        <f t="shared" ref="Z9:Z40" si="6">IF(M9="","",-E9)</f>
        <v>0.90630778703665005</v>
      </c>
      <c r="AA9" s="624">
        <f t="shared" ref="AA9:AA40" si="7">IF(M9="","",-F9)</f>
        <v>0.10938163951632578</v>
      </c>
      <c r="AB9" s="624">
        <f t="shared" ref="AB9:AB40" si="8">IF(M9="","",-G9)</f>
        <v>-0.40821789781126816</v>
      </c>
      <c r="AC9" s="628">
        <f>IF(M9="","",SQRT(Z9^2+AA9^2+AB9^2))</f>
        <v>1</v>
      </c>
      <c r="AD9" s="631">
        <f>IF(M9="","",Z9*(1/SQRT(Z9^2+AA9^2+AB9^2)))</f>
        <v>0.90630778703665005</v>
      </c>
      <c r="AE9" s="624">
        <f>IF(M9="","",AA9*(1/SQRT(Z9^2+AA9^2+AB9^2)))</f>
        <v>0.10938163951632578</v>
      </c>
      <c r="AF9" s="625">
        <f>IF(M9="","",AB9*(1/SQRT(Z9^2+AA9^2+AB9^2)))</f>
        <v>-0.40821789781126816</v>
      </c>
      <c r="AG9" s="599">
        <f>IF(M9="","",DEGREES(ATAN2(-AF9,AE9)))</f>
        <v>14.999997834268264</v>
      </c>
      <c r="AH9" s="600">
        <f>IF(M9="","",DEGREES(ACOS(AD9)))</f>
        <v>24.999999999999986</v>
      </c>
      <c r="AI9" s="583">
        <f>IF(M9="","",DEGREES(-ACOS(-AF9)))</f>
        <v>-65.907065009739355</v>
      </c>
      <c r="AJ9" s="601">
        <f>IF(M9="","",DEGREES(ATAN2(-AE9,AD9)))</f>
        <v>96.88170276999341</v>
      </c>
      <c r="AK9" s="627">
        <f>IF(M9="","",(COS(RADIANS((90-$Q$8)-W9))*AD9)+(-SIN(RADIANS((90-$Q$8)-W9))*AE9))</f>
        <v>0.90630778703665005</v>
      </c>
      <c r="AL9" s="624">
        <f>IF(M9="","",(SIN(RADIANS((90-$Q$8)-W9))*AD9)+(COS(RADIANS((90-$Q$8)-W9))*AE9))</f>
        <v>0.10938163951632578</v>
      </c>
      <c r="AM9" s="626">
        <f>IF(M9="","",AF9)</f>
        <v>-0.40821789781126816</v>
      </c>
      <c r="AN9" s="581">
        <f>IF(M9="","",DEGREES(ATAN2(-AM9,AL9)))</f>
        <v>14.999997834268264</v>
      </c>
      <c r="AO9" s="582">
        <f>IF(ROUND(IF(M9="",0,DEGREES(ACOS(AK9))),4)=90,0,IF(M9="","",DEGREES(ACOS(AK9))))</f>
        <v>24.999999999999986</v>
      </c>
      <c r="AP9" s="781">
        <f>IF(M9="","",DEGREES(ATAN2(AK9,AL9)))</f>
        <v>6.8817027699934208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1.4210854715202004E-14</v>
      </c>
      <c r="AT9" s="71">
        <f t="shared" ref="AT9:AT40" si="10">IF(M9="","",Y9+(((AS9-$AS$9)*$AS$6)*-1))</f>
        <v>-0.77780234585187513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0.95530288119348972</v>
      </c>
      <c r="D10" s="709">
        <v>-0.65600197850196729</v>
      </c>
      <c r="E10" s="710">
        <v>-0.95371696400905337</v>
      </c>
      <c r="F10" s="708">
        <v>-7.7828366019961556E-2</v>
      </c>
      <c r="G10" s="711">
        <v>0.29045946017304541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0.95530288119348972</v>
      </c>
      <c r="P10" s="633">
        <f t="shared" si="4"/>
        <v>-0.65600197850196729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0.95530288119348972</v>
      </c>
      <c r="S10" s="634">
        <f t="shared" ref="S10:S105" si="80">IF(M10="","",P10)</f>
        <v>-0.65600197850196729</v>
      </c>
      <c r="T10" s="635">
        <f t="shared" ref="T10:T105" si="81">IF(M10="","",X10*COS(RADIANS(W10)))</f>
        <v>0.95530288119348972</v>
      </c>
      <c r="U10" s="629">
        <f t="shared" ref="U10:U105" si="82">IF(M10="","",X10*SIN(RADIANS(W10)))</f>
        <v>2.3694014758198437E-16</v>
      </c>
      <c r="V10" s="636">
        <f>IF(M10="","",Y10)</f>
        <v>-0.65600197850196729</v>
      </c>
      <c r="W10" s="585">
        <f t="shared" si="5"/>
        <v>1.4210854715202004E-14</v>
      </c>
      <c r="X10" s="629">
        <f t="shared" ref="X10:X105" si="83">IF(M10="","",R10)</f>
        <v>0.95530288119348972</v>
      </c>
      <c r="Y10" s="630">
        <f>IF(M10="","",S10)</f>
        <v>-0.65600197850196729</v>
      </c>
      <c r="Z10" s="632">
        <f t="shared" si="6"/>
        <v>0.95371696400905337</v>
      </c>
      <c r="AA10" s="629">
        <f t="shared" si="7"/>
        <v>7.7828366019961556E-2</v>
      </c>
      <c r="AB10" s="629">
        <f t="shared" si="8"/>
        <v>-0.29045946017304541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0.95371696400905337</v>
      </c>
      <c r="AE10" s="629">
        <f t="shared" ref="AE10:AE105" si="85">IF(M10="","",AA10*(1/SQRT(Z10^2+AA10^2+AB10^2)))</f>
        <v>7.7828366019961556E-2</v>
      </c>
      <c r="AF10" s="633">
        <f t="shared" ref="AF10:AF105" si="86">IF(M10="","",AB10*(1/SQRT(Z10^2+AA10^2+AB10^2)))</f>
        <v>-0.29045946017304541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17.49999747331298</v>
      </c>
      <c r="AI10" s="585">
        <f t="shared" ref="AI10:AI105" si="89">IF(M10="","",DEGREES(-ACOS(-AF10)))</f>
        <v>-73.114534769632428</v>
      </c>
      <c r="AJ10" s="586">
        <f t="shared" ref="AJ10:AJ105" si="90">IF(M10="","",DEGREES(ATAN2(-AE10,AD10)))</f>
        <v>94.665301948782698</v>
      </c>
      <c r="AK10" s="635">
        <f>IF(M10="","",(COS(RADIANS((90-$Q$8)-W10))*AD10)+(-SIN(RADIANS((90-$Q$8)-W10))*AE10))</f>
        <v>0.95371696400905337</v>
      </c>
      <c r="AL10" s="629">
        <f t="shared" ref="AL10:AL105" si="91">IF(M10="","",(SIN(RADIANS((90-$Q$8)-W10))*AD10)+(COS(RADIANS((90-$Q$8)-W10))*AE10))</f>
        <v>7.7828366019961556E-2</v>
      </c>
      <c r="AM10" s="634">
        <f t="shared" ref="AM10:AM105" si="92">IF(M10="","",AF10)</f>
        <v>-0.29045946017304541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17.49999747331298</v>
      </c>
      <c r="AP10" s="585">
        <f t="shared" ref="AP10:AP105" si="95">IF(M10="","",DEGREES(ATAN2(AK10,AL10)))</f>
        <v>4.6653019487827061</v>
      </c>
      <c r="AQ10" s="586">
        <f t="shared" si="9"/>
        <v>2.3850129541352585</v>
      </c>
      <c r="AS10" s="52">
        <f>IF($M10="","",IF(AND($W10&lt;($AS$9+180),$W10&gt;($AS$9-180)),$W10,IF($W10&gt;($AS$9+180),$W10-360,IF($W10&lt;($AS$9-180),$W10+360,"Error"))))</f>
        <v>1.4210854715202004E-14</v>
      </c>
      <c r="AT10" s="72">
        <f t="shared" si="10"/>
        <v>-0.65600197850196729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2.0702285576986995E-16</v>
      </c>
      <c r="C11" s="708">
        <v>1.6496049752086053</v>
      </c>
      <c r="D11" s="709">
        <v>-0.46990141722267453</v>
      </c>
      <c r="E11" s="710">
        <v>-0.95371696400905337</v>
      </c>
      <c r="F11" s="708">
        <v>-7.7828366019961556E-2</v>
      </c>
      <c r="G11" s="711">
        <v>0.29045946017304541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2.0702285576986995E-16</v>
      </c>
      <c r="O11" s="629">
        <f t="shared" si="3"/>
        <v>1.6496049752086053</v>
      </c>
      <c r="P11" s="633">
        <f t="shared" si="4"/>
        <v>-0.46990141722267453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1.6496049752086053</v>
      </c>
      <c r="S11" s="634">
        <f t="shared" si="80"/>
        <v>-0.46990141722267453</v>
      </c>
      <c r="T11" s="635">
        <f t="shared" si="81"/>
        <v>1.6496049752086053</v>
      </c>
      <c r="U11" s="629">
        <f t="shared" si="82"/>
        <v>4.0914526060006432E-16</v>
      </c>
      <c r="V11" s="636">
        <f t="shared" ref="V11:V105" si="114">IF(M11="","",Y11)</f>
        <v>-0.46990141722267453</v>
      </c>
      <c r="W11" s="585">
        <f t="shared" si="5"/>
        <v>1.4210854715202004E-14</v>
      </c>
      <c r="X11" s="629">
        <f>IF(M11="","",R11)</f>
        <v>1.6496049752086053</v>
      </c>
      <c r="Y11" s="630">
        <f>IF(M11="","",S11)</f>
        <v>-0.46990141722267453</v>
      </c>
      <c r="Z11" s="632">
        <f t="shared" si="6"/>
        <v>0.95371696400905337</v>
      </c>
      <c r="AA11" s="629">
        <f t="shared" si="7"/>
        <v>7.7828366019961556E-2</v>
      </c>
      <c r="AB11" s="629">
        <f t="shared" si="8"/>
        <v>-0.29045946017304541</v>
      </c>
      <c r="AC11" s="636">
        <f t="shared" si="84"/>
        <v>1</v>
      </c>
      <c r="AD11" s="637">
        <f t="shared" ref="AD11:AD105" si="115">IF(M11="","",Z11*(1/SQRT(Z11^2+AA11^2+AB11^2)))</f>
        <v>0.95371696400905337</v>
      </c>
      <c r="AE11" s="629">
        <f t="shared" si="85"/>
        <v>7.7828366019961556E-2</v>
      </c>
      <c r="AF11" s="633">
        <f t="shared" si="86"/>
        <v>-0.29045946017304541</v>
      </c>
      <c r="AG11" s="602">
        <f>IF(M11="","",DEGREES(ATAN2(-AF11,AE11)))</f>
        <v>14.999997834268267</v>
      </c>
      <c r="AH11" s="603">
        <f t="shared" si="88"/>
        <v>17.49999747331298</v>
      </c>
      <c r="AI11" s="585">
        <f t="shared" si="89"/>
        <v>-73.114534769632428</v>
      </c>
      <c r="AJ11" s="586">
        <f t="shared" si="90"/>
        <v>94.665301948782698</v>
      </c>
      <c r="AK11" s="635">
        <f>IF(M11="","",(COS(RADIANS((90-$Q$8)-W11))*AD11)+(-SIN(RADIANS((90-$Q$8)-W11))*AE11))</f>
        <v>0.95371696400905337</v>
      </c>
      <c r="AL11" s="629">
        <f t="shared" si="91"/>
        <v>7.7828366019961556E-2</v>
      </c>
      <c r="AM11" s="634">
        <f t="shared" si="92"/>
        <v>-0.29045946017304541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17.49999747331298</v>
      </c>
      <c r="AP11" s="585">
        <f t="shared" si="95"/>
        <v>4.6653019487827061</v>
      </c>
      <c r="AQ11" s="586">
        <f t="shared" si="9"/>
        <v>1.3817154525322066</v>
      </c>
      <c r="AS11" s="52">
        <f t="shared" ref="AS11:AS42" si="116">IF(G11="","",IF(AND(W11&lt;(AS10+180),W11&gt;(AS10-180)),W11,IF(W11&gt;(AS10+180),W11-360,IF(W11&lt;(AS10-180),W11+360,"Error"))))</f>
        <v>1.4210854715202004E-14</v>
      </c>
      <c r="AT11" s="72">
        <f t="shared" si="10"/>
        <v>-0.46990141722267453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5.8478621114375639E-16</v>
      </c>
      <c r="C12" s="708">
        <v>2.3439070692237212</v>
      </c>
      <c r="D12" s="709">
        <v>-0.28390085624498246</v>
      </c>
      <c r="E12" s="710">
        <v>-0.95630476848795665</v>
      </c>
      <c r="F12" s="708">
        <v>-7.5671344153417044E-2</v>
      </c>
      <c r="G12" s="711">
        <v>0.28240934375691407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5.8478621114375639E-16</v>
      </c>
      <c r="O12" s="629">
        <f t="shared" si="3"/>
        <v>2.3439070692237212</v>
      </c>
      <c r="P12" s="633">
        <f t="shared" si="4"/>
        <v>-0.28390085624498246</v>
      </c>
      <c r="Q12" s="585">
        <f>IF(M12="","",IF(DEGREES(ATAN2(N12,O12))&lt;0,DEGREES(ATAN2(N12,O12))+360,IF(DEGREES(ATAN2(N12,O12))&gt;360,DEGREES(ATAN2(N12,O12))-360,DEGREES(ATAN2(N12,O12)))))</f>
        <v>89.999999999999986</v>
      </c>
      <c r="R12" s="629">
        <f t="shared" si="79"/>
        <v>2.3439070692237212</v>
      </c>
      <c r="S12" s="634">
        <f t="shared" si="80"/>
        <v>-0.28390085624498246</v>
      </c>
      <c r="T12" s="635">
        <f>IF(M12="","",X12*COS(RADIANS(W12)))</f>
        <v>2.3439070692237212</v>
      </c>
      <c r="U12" s="629">
        <f t="shared" si="82"/>
        <v>0</v>
      </c>
      <c r="V12" s="636">
        <f t="shared" si="114"/>
        <v>-0.28390085624498246</v>
      </c>
      <c r="W12" s="585">
        <f>IF(M12="","",IF(Q12-$Q$8&lt;0,360+Q12-$Q$8,Q12-$Q$8))</f>
        <v>0</v>
      </c>
      <c r="X12" s="629">
        <f t="shared" si="83"/>
        <v>2.3439070692237212</v>
      </c>
      <c r="Y12" s="630">
        <f>IF(M12="","",S12)</f>
        <v>-0.28390085624498246</v>
      </c>
      <c r="Z12" s="632">
        <f t="shared" si="6"/>
        <v>0.95630476848795665</v>
      </c>
      <c r="AA12" s="629">
        <f t="shared" si="7"/>
        <v>7.5671344153417044E-2</v>
      </c>
      <c r="AB12" s="629">
        <f t="shared" si="8"/>
        <v>-0.28240934375691407</v>
      </c>
      <c r="AC12" s="636">
        <f t="shared" si="84"/>
        <v>1</v>
      </c>
      <c r="AD12" s="637">
        <f t="shared" si="115"/>
        <v>0.95630476848795665</v>
      </c>
      <c r="AE12" s="629">
        <f t="shared" si="85"/>
        <v>7.5671344153417044E-2</v>
      </c>
      <c r="AF12" s="633">
        <f t="shared" si="86"/>
        <v>-0.28240934375691407</v>
      </c>
      <c r="AG12" s="602">
        <f t="shared" si="87"/>
        <v>14.999997834268264</v>
      </c>
      <c r="AH12" s="603">
        <f t="shared" si="88"/>
        <v>16.999997545504019</v>
      </c>
      <c r="AI12" s="585">
        <f t="shared" si="89"/>
        <v>-73.595945358587798</v>
      </c>
      <c r="AJ12" s="586">
        <f t="shared" si="90"/>
        <v>94.524324864999215</v>
      </c>
      <c r="AK12" s="635">
        <f t="shared" ref="AK12:AK105" si="211">IF(M12="","",(COS(RADIANS((90-$Q$8)-W12))*AD12)+(-SIN(RADIANS((90-$Q$8)-W12))*AE12))</f>
        <v>0.95630476848795665</v>
      </c>
      <c r="AL12" s="629">
        <f>IF(M12="","",(SIN(RADIANS((90-$Q$8)-W12))*AD12)+(COS(RADIANS((90-$Q$8)-W12))*AE12))</f>
        <v>7.567134415341728E-2</v>
      </c>
      <c r="AM12" s="634">
        <f t="shared" si="92"/>
        <v>-0.28240934375691407</v>
      </c>
      <c r="AN12" s="581">
        <f>IF(M12="","",DEGREES(ATAN2(-AM12,AL12)))</f>
        <v>14.99999783426831</v>
      </c>
      <c r="AO12" s="582">
        <f t="shared" si="94"/>
        <v>16.999997545504019</v>
      </c>
      <c r="AP12" s="585">
        <f t="shared" si="95"/>
        <v>4.5243248649992367</v>
      </c>
      <c r="AQ12" s="586">
        <f t="shared" si="9"/>
        <v>0.97252477347170041</v>
      </c>
      <c r="AS12" s="52">
        <f t="shared" si="116"/>
        <v>0</v>
      </c>
      <c r="AT12" s="72">
        <f>IF(M12="","",Y12+(((AS12-$AS$9)*$AS$6)*-1))</f>
        <v>-0.28390085624498246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1.9954311332655683E-2</v>
      </c>
      <c r="C13" s="708">
        <v>3.1067452885343969</v>
      </c>
      <c r="D13" s="709">
        <v>-0.10060030341051504</v>
      </c>
      <c r="E13" s="710">
        <v>-0.96417774386692023</v>
      </c>
      <c r="F13" s="708">
        <v>5.9715029040725655E-2</v>
      </c>
      <c r="G13" s="711">
        <v>0.25844804804517452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100</v>
      </c>
      <c r="M13" s="168">
        <f t="shared" si="1"/>
        <v>1.1160000000000001</v>
      </c>
      <c r="N13" s="632">
        <f t="shared" si="2"/>
        <v>1.9954311332655683E-2</v>
      </c>
      <c r="O13" s="629">
        <f t="shared" si="3"/>
        <v>3.1067452885343969</v>
      </c>
      <c r="P13" s="633">
        <f t="shared" si="4"/>
        <v>-0.10060030341051504</v>
      </c>
      <c r="Q13" s="585">
        <f t="shared" si="113"/>
        <v>89.632000053132614</v>
      </c>
      <c r="R13" s="629">
        <f t="shared" si="79"/>
        <v>3.1068093701370598</v>
      </c>
      <c r="S13" s="634">
        <f t="shared" si="80"/>
        <v>-0.10060030341051504</v>
      </c>
      <c r="T13" s="635">
        <f>IF(M13="","",X13*COS(RADIANS(W13)))</f>
        <v>3.1067452885343969</v>
      </c>
      <c r="U13" s="629">
        <f t="shared" si="82"/>
        <v>-1.9954311332654455E-2</v>
      </c>
      <c r="V13" s="636">
        <f t="shared" si="114"/>
        <v>-0.10060030341051504</v>
      </c>
      <c r="W13" s="585">
        <f t="shared" si="5"/>
        <v>359.63200005313263</v>
      </c>
      <c r="X13" s="629">
        <f t="shared" si="83"/>
        <v>3.1068093701370598</v>
      </c>
      <c r="Y13" s="630">
        <f>IF(M13="","",S13)</f>
        <v>-0.10060030341051504</v>
      </c>
      <c r="Z13" s="632">
        <f t="shared" si="6"/>
        <v>0.96417774386692023</v>
      </c>
      <c r="AA13" s="629">
        <f t="shared" si="7"/>
        <v>-5.9715029040725655E-2</v>
      </c>
      <c r="AB13" s="629">
        <f t="shared" si="8"/>
        <v>-0.25844804804517452</v>
      </c>
      <c r="AC13" s="636">
        <f t="shared" si="84"/>
        <v>1</v>
      </c>
      <c r="AD13" s="637">
        <f>IF(M13="","",Z13*(1/SQRT(Z13^2+AA13^2+AB13^2)))</f>
        <v>0.96417774386692023</v>
      </c>
      <c r="AE13" s="629">
        <f t="shared" si="85"/>
        <v>-5.9715029040725655E-2</v>
      </c>
      <c r="AF13" s="633">
        <f t="shared" si="86"/>
        <v>-0.25844804804517452</v>
      </c>
      <c r="AG13" s="602">
        <f>IF(M13="","",DEGREES(ATAN2(-AF13,AE13)))</f>
        <v>-13.010017222530557</v>
      </c>
      <c r="AH13" s="603">
        <f t="shared" si="88"/>
        <v>15.38222457879486</v>
      </c>
      <c r="AI13" s="585">
        <f t="shared" si="89"/>
        <v>-75.022005284301741</v>
      </c>
      <c r="AJ13" s="586">
        <f t="shared" si="90"/>
        <v>86.455991022308964</v>
      </c>
      <c r="AK13" s="635">
        <f t="shared" si="211"/>
        <v>0.96454139225696878</v>
      </c>
      <c r="AL13" s="629">
        <f t="shared" si="91"/>
        <v>-5.3521108776138596E-2</v>
      </c>
      <c r="AM13" s="634">
        <f t="shared" si="92"/>
        <v>-0.25844804804517452</v>
      </c>
      <c r="AN13" s="581">
        <f t="shared" si="93"/>
        <v>-11.699806774220612</v>
      </c>
      <c r="AO13" s="582">
        <f t="shared" si="94"/>
        <v>15.3034794450015</v>
      </c>
      <c r="AP13" s="585">
        <f t="shared" si="95"/>
        <v>-3.1760090308236886</v>
      </c>
      <c r="AQ13" s="586">
        <f t="shared" si="9"/>
        <v>0.73374376539540498</v>
      </c>
      <c r="AS13" s="52">
        <f t="shared" si="116"/>
        <v>-0.36799994686737136</v>
      </c>
      <c r="AT13" s="72">
        <f t="shared" si="10"/>
        <v>-0.10034474789185713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9.4222025530009468E-2</v>
      </c>
      <c r="C14" s="708">
        <v>3.8914712345335127</v>
      </c>
      <c r="D14" s="709">
        <v>-0.17010051302314744</v>
      </c>
      <c r="E14" s="710">
        <v>-0.95586018115585403</v>
      </c>
      <c r="F14" s="708">
        <v>0.1854289707309883</v>
      </c>
      <c r="G14" s="711">
        <v>0.22791974660907327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9.4222025530009468E-2</v>
      </c>
      <c r="O14" s="629">
        <f t="shared" si="3"/>
        <v>3.8914712345335127</v>
      </c>
      <c r="P14" s="633">
        <f t="shared" si="4"/>
        <v>-0.17010051302314744</v>
      </c>
      <c r="Q14" s="585">
        <f t="shared" si="113"/>
        <v>88.613000200258</v>
      </c>
      <c r="R14" s="629">
        <f t="shared" si="79"/>
        <v>3.8926117401170077</v>
      </c>
      <c r="S14" s="634">
        <f t="shared" si="80"/>
        <v>-0.17010051302314744</v>
      </c>
      <c r="T14" s="635">
        <f t="shared" si="81"/>
        <v>3.8914712345335127</v>
      </c>
      <c r="U14" s="629">
        <f t="shared" si="82"/>
        <v>-9.4222025530010745E-2</v>
      </c>
      <c r="V14" s="636">
        <f t="shared" si="114"/>
        <v>-0.17010051302314744</v>
      </c>
      <c r="W14" s="585">
        <f t="shared" si="5"/>
        <v>358.613000200258</v>
      </c>
      <c r="X14" s="629">
        <f t="shared" si="83"/>
        <v>3.8926117401170077</v>
      </c>
      <c r="Y14" s="630">
        <f t="shared" ref="Y14:Y75" si="223">IF(M14="","",S14)</f>
        <v>-0.17010051302314744</v>
      </c>
      <c r="Z14" s="632">
        <f t="shared" si="6"/>
        <v>0.95586018115585403</v>
      </c>
      <c r="AA14" s="629">
        <f t="shared" si="7"/>
        <v>-0.1854289707309883</v>
      </c>
      <c r="AB14" s="629">
        <f t="shared" si="8"/>
        <v>-0.22791974660907327</v>
      </c>
      <c r="AC14" s="636">
        <f t="shared" si="84"/>
        <v>1</v>
      </c>
      <c r="AD14" s="637">
        <f>IF(M14="","",Z14*(1/SQRT(Z14^2+AA14^2+AB14^2)))</f>
        <v>0.95586018115585403</v>
      </c>
      <c r="AE14" s="629">
        <f t="shared" si="85"/>
        <v>-0.1854289707309883</v>
      </c>
      <c r="AF14" s="633">
        <f t="shared" si="86"/>
        <v>-0.22791974660907327</v>
      </c>
      <c r="AG14" s="602">
        <f t="shared" si="87"/>
        <v>-39.130813448835397</v>
      </c>
      <c r="AH14" s="603">
        <f t="shared" si="88"/>
        <v>17.08690731068619</v>
      </c>
      <c r="AI14" s="585">
        <f t="shared" si="89"/>
        <v>-76.825370594170181</v>
      </c>
      <c r="AJ14" s="586">
        <f t="shared" si="90"/>
        <v>79.021454886018375</v>
      </c>
      <c r="AK14" s="635">
        <f>IF(M14="","",(COS(RADIANS((90-$Q$8)-W14))*AD14)+(-SIN(RADIANS((90-$Q$8)-W14))*AE14))</f>
        <v>0.96006849434870223</v>
      </c>
      <c r="AL14" s="629">
        <f t="shared" si="91"/>
        <v>-0.1622377122147371</v>
      </c>
      <c r="AM14" s="634">
        <f t="shared" si="92"/>
        <v>-0.22791974660907327</v>
      </c>
      <c r="AN14" s="581">
        <f t="shared" si="93"/>
        <v>-35.444001353265456</v>
      </c>
      <c r="AO14" s="582">
        <f t="shared" si="94"/>
        <v>16.246182978857814</v>
      </c>
      <c r="AP14" s="585">
        <f>IF(M14="","",DEGREES(ATAN2(AK14,AL14)))</f>
        <v>-9.591545314239605</v>
      </c>
      <c r="AQ14" s="586">
        <f t="shared" si="9"/>
        <v>0.58563437428215326</v>
      </c>
      <c r="AS14" s="52">
        <f t="shared" si="116"/>
        <v>-1.3869997997420001</v>
      </c>
      <c r="AT14" s="72">
        <f t="shared" si="10"/>
        <v>-0.16913731871777105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0.17909798563868753</v>
      </c>
      <c r="C15" s="708">
        <v>4.5869187018133273</v>
      </c>
      <c r="D15" s="709">
        <v>-0.53800162261289419</v>
      </c>
      <c r="E15" s="710">
        <v>-0.93230915244551815</v>
      </c>
      <c r="F15" s="708">
        <v>0.31764567031328539</v>
      </c>
      <c r="G15" s="711">
        <v>0.17291868724213477</v>
      </c>
      <c r="H15" s="710">
        <v>0.314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80</v>
      </c>
      <c r="M15" s="168">
        <f t="shared" si="1"/>
        <v>1.1279999999999999</v>
      </c>
      <c r="N15" s="632">
        <f t="shared" si="2"/>
        <v>0.17909798563868753</v>
      </c>
      <c r="O15" s="629">
        <f t="shared" si="3"/>
        <v>4.5869187018133273</v>
      </c>
      <c r="P15" s="633">
        <f t="shared" si="4"/>
        <v>-0.53800162261289419</v>
      </c>
      <c r="Q15" s="585">
        <f t="shared" si="113"/>
        <v>87.764000322838399</v>
      </c>
      <c r="R15" s="629">
        <f t="shared" si="79"/>
        <v>4.5904138446881557</v>
      </c>
      <c r="S15" s="634">
        <f t="shared" si="80"/>
        <v>-0.53800162261289419</v>
      </c>
      <c r="T15" s="635">
        <f t="shared" si="81"/>
        <v>4.5869187018133273</v>
      </c>
      <c r="U15" s="629">
        <f t="shared" si="82"/>
        <v>-0.17909798563868953</v>
      </c>
      <c r="V15" s="636">
        <f t="shared" si="114"/>
        <v>-0.53800162261289419</v>
      </c>
      <c r="W15" s="585">
        <f t="shared" ref="W15:W78" si="224">IF(M15="","",IF(Q15-$Q$8&lt;0,360+Q15-$Q$8,Q15-$Q$8))</f>
        <v>357.7640003228384</v>
      </c>
      <c r="X15" s="629">
        <f>IF(M15="","",R15)</f>
        <v>4.5904138446881557</v>
      </c>
      <c r="Y15" s="630">
        <f>IF(M15="","",S15)</f>
        <v>-0.53800162261289419</v>
      </c>
      <c r="Z15" s="632">
        <f t="shared" si="6"/>
        <v>0.93230915244551815</v>
      </c>
      <c r="AA15" s="629">
        <f t="shared" si="7"/>
        <v>-0.31764567031328539</v>
      </c>
      <c r="AB15" s="629">
        <f t="shared" si="8"/>
        <v>-0.17291868724213477</v>
      </c>
      <c r="AC15" s="636">
        <f t="shared" si="84"/>
        <v>1</v>
      </c>
      <c r="AD15" s="637">
        <f t="shared" si="115"/>
        <v>0.93230915244551815</v>
      </c>
      <c r="AE15" s="629">
        <f t="shared" si="85"/>
        <v>-0.31764567031328539</v>
      </c>
      <c r="AF15" s="633">
        <f t="shared" si="86"/>
        <v>-0.17291868724213477</v>
      </c>
      <c r="AG15" s="602">
        <f t="shared" si="87"/>
        <v>-61.437187134224857</v>
      </c>
      <c r="AH15" s="603">
        <f t="shared" si="88"/>
        <v>21.202320829231589</v>
      </c>
      <c r="AI15" s="585">
        <f t="shared" si="89"/>
        <v>-80.042438736885444</v>
      </c>
      <c r="AJ15" s="586">
        <f t="shared" si="90"/>
        <v>71.185586029457639</v>
      </c>
      <c r="AK15" s="635">
        <f t="shared" si="211"/>
        <v>0.94399244458936549</v>
      </c>
      <c r="AL15" s="629">
        <f t="shared" si="91"/>
        <v>-0.28102916603201611</v>
      </c>
      <c r="AM15" s="634">
        <f t="shared" si="92"/>
        <v>-0.17291868724213477</v>
      </c>
      <c r="AN15" s="581">
        <f>IF(M15="","",DEGREES(ATAN2(-AM15,AL15)))</f>
        <v>-58.395801159179946</v>
      </c>
      <c r="AO15" s="582">
        <f t="shared" si="94"/>
        <v>19.26677653669795</v>
      </c>
      <c r="AP15" s="585">
        <f t="shared" si="95"/>
        <v>-16.578414293380749</v>
      </c>
      <c r="AQ15" s="586">
        <f t="shared" si="9"/>
        <v>0.49661525502500264</v>
      </c>
      <c r="AS15" s="52">
        <f t="shared" si="116"/>
        <v>-2.2359996771616011</v>
      </c>
      <c r="AT15" s="72">
        <f t="shared" si="10"/>
        <v>-0.53644884505930979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0.28446667968757811</v>
      </c>
      <c r="C16" s="708">
        <v>5.1607815115827105</v>
      </c>
      <c r="D16" s="709">
        <v>-1.0747032413049757</v>
      </c>
      <c r="E16" s="710">
        <v>-0.90499966962955947</v>
      </c>
      <c r="F16" s="708">
        <v>0.40976023889093377</v>
      </c>
      <c r="G16" s="711">
        <v>0.11433347976176172</v>
      </c>
      <c r="H16" s="710">
        <v>0.314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1.1339999999999999</v>
      </c>
      <c r="N16" s="632">
        <f t="shared" si="2"/>
        <v>0.28446667968757811</v>
      </c>
      <c r="O16" s="629">
        <f t="shared" si="3"/>
        <v>5.1607815115827105</v>
      </c>
      <c r="P16" s="633">
        <f t="shared" si="4"/>
        <v>-1.0747032413049757</v>
      </c>
      <c r="Q16" s="585">
        <f>IF(M16="","",IF(DEGREES(ATAN2(N16,O16))&lt;0,DEGREES(ATAN2(N16,O16))+360,IF(DEGREES(ATAN2(N16,O16))&gt;360,DEGREES(ATAN2(N16,O16))-360,DEGREES(ATAN2(N16,O16)))))</f>
        <v>86.845000455525579</v>
      </c>
      <c r="R16" s="629">
        <f t="shared" si="79"/>
        <v>5.1686155885446157</v>
      </c>
      <c r="S16" s="634">
        <f t="shared" si="80"/>
        <v>-1.0747032413049757</v>
      </c>
      <c r="T16" s="635">
        <f t="shared" si="81"/>
        <v>5.1607815115827105</v>
      </c>
      <c r="U16" s="629">
        <f t="shared" si="82"/>
        <v>-0.28446667968757927</v>
      </c>
      <c r="V16" s="636">
        <f t="shared" si="114"/>
        <v>-1.0747032413049757</v>
      </c>
      <c r="W16" s="585">
        <f>IF(M16="","",IF(Q16-$Q$8&lt;0,360+Q16-$Q$8,Q16-$Q$8))</f>
        <v>356.84500045552556</v>
      </c>
      <c r="X16" s="629">
        <f t="shared" si="83"/>
        <v>5.1686155885446157</v>
      </c>
      <c r="Y16" s="630">
        <f t="shared" si="223"/>
        <v>-1.0747032413049757</v>
      </c>
      <c r="Z16" s="632">
        <f t="shared" si="6"/>
        <v>0.90499966962955947</v>
      </c>
      <c r="AA16" s="629">
        <f t="shared" si="7"/>
        <v>-0.40976023889093377</v>
      </c>
      <c r="AB16" s="629">
        <f t="shared" si="8"/>
        <v>-0.11433347976176172</v>
      </c>
      <c r="AC16" s="636">
        <f t="shared" si="84"/>
        <v>1</v>
      </c>
      <c r="AD16" s="637">
        <f t="shared" si="115"/>
        <v>0.90499966962955947</v>
      </c>
      <c r="AE16" s="629">
        <f t="shared" si="85"/>
        <v>-0.40976023889093377</v>
      </c>
      <c r="AF16" s="633">
        <f t="shared" si="86"/>
        <v>-0.11433347976176172</v>
      </c>
      <c r="AG16" s="602">
        <f t="shared" si="87"/>
        <v>-74.40955199767815</v>
      </c>
      <c r="AH16" s="603">
        <f t="shared" si="88"/>
        <v>25.176761435912208</v>
      </c>
      <c r="AI16" s="585">
        <f t="shared" si="89"/>
        <v>-83.434817313835211</v>
      </c>
      <c r="AJ16" s="586">
        <f t="shared" si="90"/>
        <v>65.640222881901494</v>
      </c>
      <c r="AK16" s="635">
        <f t="shared" si="211"/>
        <v>0.9261800603333189</v>
      </c>
      <c r="AL16" s="629">
        <f t="shared" si="91"/>
        <v>-0.35933042070848464</v>
      </c>
      <c r="AM16" s="634">
        <f t="shared" si="92"/>
        <v>-0.11433347976176172</v>
      </c>
      <c r="AN16" s="581">
        <f t="shared" si="93"/>
        <v>-72.34972039258399</v>
      </c>
      <c r="AO16" s="582">
        <f t="shared" si="94"/>
        <v>22.153023935110369</v>
      </c>
      <c r="AP16" s="585">
        <f t="shared" si="95"/>
        <v>-21.20477757362406</v>
      </c>
      <c r="AQ16" s="586">
        <f t="shared" si="9"/>
        <v>0.44106232341054225</v>
      </c>
      <c r="AS16" s="52">
        <f t="shared" si="116"/>
        <v>-3.1549995444744354</v>
      </c>
      <c r="AT16" s="72">
        <f t="shared" si="10"/>
        <v>-1.0725122693990907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0.37357246759820412</v>
      </c>
      <c r="C17" s="708">
        <v>5.5641903359774867</v>
      </c>
      <c r="D17" s="709">
        <v>-1.7030051362634906</v>
      </c>
      <c r="E17" s="710">
        <v>-0.8643867520936086</v>
      </c>
      <c r="F17" s="708">
        <v>0.49755378539724004</v>
      </c>
      <c r="G17" s="711">
        <v>7.2634519630406541E-2</v>
      </c>
      <c r="H17" s="710">
        <v>0.314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1.1399999999999999</v>
      </c>
      <c r="N17" s="632">
        <f t="shared" si="2"/>
        <v>0.37357246759820412</v>
      </c>
      <c r="O17" s="629">
        <f t="shared" si="3"/>
        <v>5.5641903359774867</v>
      </c>
      <c r="P17" s="633">
        <f t="shared" si="4"/>
        <v>-1.7030051362634906</v>
      </c>
      <c r="Q17" s="585">
        <f>IF(M17="","",IF(DEGREES(ATAN2(N17,O17))&lt;0,DEGREES(ATAN2(N17,O17))+360,IF(DEGREES(ATAN2(N17,O17))&gt;360,DEGREES(ATAN2(N17,O17))-360,DEGREES(ATAN2(N17,O17)))))</f>
        <v>86.159000554571719</v>
      </c>
      <c r="R17" s="629">
        <f>IF(M17="","",SQRT(N17^2+O17^2))</f>
        <v>5.5767168193779275</v>
      </c>
      <c r="S17" s="634">
        <f>IF(M17="","",P17)</f>
        <v>-1.7030051362634906</v>
      </c>
      <c r="T17" s="635">
        <f>IF(M17="","",X17*COS(RADIANS(W17)))</f>
        <v>5.5641903359774867</v>
      </c>
      <c r="U17" s="629">
        <f>IF(M17="","",X17*SIN(RADIANS(W17)))</f>
        <v>-0.37357246759820206</v>
      </c>
      <c r="V17" s="636">
        <f>IF(M17="","",Y17)</f>
        <v>-1.7030051362634906</v>
      </c>
      <c r="W17" s="585">
        <f t="shared" si="224"/>
        <v>356.15900055457172</v>
      </c>
      <c r="X17" s="629">
        <f>IF(M17="","",R17)</f>
        <v>5.5767168193779275</v>
      </c>
      <c r="Y17" s="630">
        <f t="shared" si="223"/>
        <v>-1.7030051362634906</v>
      </c>
      <c r="Z17" s="632">
        <f t="shared" si="6"/>
        <v>0.8643867520936086</v>
      </c>
      <c r="AA17" s="629">
        <f t="shared" si="7"/>
        <v>-0.49755378539724004</v>
      </c>
      <c r="AB17" s="629">
        <f t="shared" si="8"/>
        <v>-7.2634519630406541E-2</v>
      </c>
      <c r="AC17" s="636">
        <f>IF(M17="","",SQRT(Z17^2+AA17^2+AB17^2))</f>
        <v>1.0000000000000002</v>
      </c>
      <c r="AD17" s="637">
        <f>IF(M17="","",Z17*(1/SQRT(Z17^2+AA17^2+AB17^2)))</f>
        <v>0.86438675209360838</v>
      </c>
      <c r="AE17" s="629">
        <f>IF(M17="","",AA17*(1/SQRT(Z17^2+AA17^2+AB17^2)))</f>
        <v>-0.49755378539723993</v>
      </c>
      <c r="AF17" s="633">
        <f>IF(M17="","",AB17*(1/SQRT(Z17^2+AA17^2+AB17^2)))</f>
        <v>-7.2634519630406527E-2</v>
      </c>
      <c r="AG17" s="602">
        <f>IF(M17="","",DEGREES(ATAN2(-AF17,AE17)))</f>
        <v>-81.694444380346823</v>
      </c>
      <c r="AH17" s="603">
        <f>IF(M17="","",DEGREES(ACOS(AD17)))</f>
        <v>30.187246037711386</v>
      </c>
      <c r="AI17" s="585">
        <f>IF(M17="","",DEGREES(-ACOS(-AF17)))</f>
        <v>-85.834680541574514</v>
      </c>
      <c r="AJ17" s="586">
        <f>IF(M17="","",DEGREES(ATAN2(-AE17,AD17)))</f>
        <v>60.074633434502687</v>
      </c>
      <c r="AK17" s="635">
        <f>IF(M17="","",(COS(RADIANS((90-$Q$8)-W17))*AD17)+(-SIN(RADIANS((90-$Q$8)-W17))*AE17))</f>
        <v>0.89577523294021844</v>
      </c>
      <c r="AL17" s="629">
        <f>IF(M17="","",(SIN(RADIANS((90-$Q$8)-W17))*AD17)+(COS(RADIANS((90-$Q$8)-W17))*AE17))</f>
        <v>-0.43853273379413471</v>
      </c>
      <c r="AM17" s="634">
        <f>IF(M17="","",AF17)</f>
        <v>-7.2634519630406527E-2</v>
      </c>
      <c r="AN17" s="581">
        <f>IF(M17="","",DEGREES(ATAN2(-AM17,AL17)))</f>
        <v>-80.595435190875463</v>
      </c>
      <c r="AO17" s="582">
        <f t="shared" si="94"/>
        <v>26.391819718470654</v>
      </c>
      <c r="AP17" s="585">
        <f>IF(M17="","",DEGREES(ATAN2(AK17,AL17)))</f>
        <v>-26.084367120069039</v>
      </c>
      <c r="AQ17" s="586">
        <f t="shared" si="9"/>
        <v>0.40878675098128614</v>
      </c>
      <c r="AS17" s="52">
        <f t="shared" si="116"/>
        <v>-3.840999445428281</v>
      </c>
      <c r="AT17" s="72">
        <f t="shared" si="10"/>
        <v>-1.7003377755374987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0.4316458554460546</v>
      </c>
      <c r="C18" s="708">
        <v>5.8002785799487784</v>
      </c>
      <c r="D18" s="709">
        <v>-2.4257073159332645</v>
      </c>
      <c r="E18" s="710">
        <v>-0.82354452791852717</v>
      </c>
      <c r="F18" s="708">
        <v>0.56701356068580688</v>
      </c>
      <c r="G18" s="711">
        <v>1.6432666668954932E-2</v>
      </c>
      <c r="H18" s="710">
        <v>0.314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1.1459999999999999</v>
      </c>
      <c r="N18" s="632">
        <f t="shared" si="2"/>
        <v>0.4316458554460546</v>
      </c>
      <c r="O18" s="629">
        <f t="shared" si="3"/>
        <v>5.8002785799487784</v>
      </c>
      <c r="P18" s="633">
        <f t="shared" si="4"/>
        <v>-2.4257073159332645</v>
      </c>
      <c r="Q18" s="585">
        <f t="shared" si="113"/>
        <v>85.744000614490275</v>
      </c>
      <c r="R18" s="629">
        <f>IF(M18="","",SQRT(N18^2+O18^2))</f>
        <v>5.8163175420137065</v>
      </c>
      <c r="S18" s="634">
        <f>IF(M18="","",P18)</f>
        <v>-2.4257073159332645</v>
      </c>
      <c r="T18" s="635">
        <f>IF(M18="","",X18*COS(RADIANS(W18)))</f>
        <v>5.8002785799487775</v>
      </c>
      <c r="U18" s="629">
        <f>IF(M18="","",X18*SIN(RADIANS(W18)))</f>
        <v>-0.43164585544605494</v>
      </c>
      <c r="V18" s="636">
        <f>IF(M18="","",Y18)</f>
        <v>-2.4257073159332645</v>
      </c>
      <c r="W18" s="585">
        <f t="shared" si="224"/>
        <v>355.74400061449029</v>
      </c>
      <c r="X18" s="629">
        <f>IF(M18="","",R18)</f>
        <v>5.8163175420137065</v>
      </c>
      <c r="Y18" s="630">
        <f t="shared" si="223"/>
        <v>-2.4257073159332645</v>
      </c>
      <c r="Z18" s="632">
        <f t="shared" si="6"/>
        <v>0.82354452791852717</v>
      </c>
      <c r="AA18" s="629">
        <f t="shared" si="7"/>
        <v>-0.56701356068580688</v>
      </c>
      <c r="AB18" s="629">
        <f t="shared" si="8"/>
        <v>-1.6432666668954932E-2</v>
      </c>
      <c r="AC18" s="636">
        <f>IF(M18="","",SQRT(Z18^2+AA18^2+AB18^2))</f>
        <v>1</v>
      </c>
      <c r="AD18" s="637">
        <f>IF(M18="","",Z18*(1/SQRT(Z18^2+AA18^2+AB18^2)))</f>
        <v>0.82354452791852717</v>
      </c>
      <c r="AE18" s="629">
        <f>IF(M18="","",AA18*(1/SQRT(Z18^2+AA18^2+AB18^2)))</f>
        <v>-0.56701356068580688</v>
      </c>
      <c r="AF18" s="633">
        <f>IF(M18="","",AB18*(1/SQRT(Z18^2+AA18^2+AB18^2)))</f>
        <v>-1.6432666668954932E-2</v>
      </c>
      <c r="AG18" s="602">
        <f>IF(M18="","",DEGREES(ATAN2(-AF18,AE18)))</f>
        <v>-88.339970948822327</v>
      </c>
      <c r="AH18" s="603">
        <f>IF(M18="","",DEGREES(ACOS(AD18)))</f>
        <v>34.558794988324983</v>
      </c>
      <c r="AI18" s="585">
        <f>IF(M18="","",DEGREES(-ACOS(-AF18)))</f>
        <v>-89.058435174958433</v>
      </c>
      <c r="AJ18" s="586">
        <f>IF(M18="","",DEGREES(ATAN2(-AE18,AD18)))</f>
        <v>55.452439928292399</v>
      </c>
      <c r="AK18" s="635">
        <f>IF(M18="","",(COS(RADIANS((90-$Q$8)-W18))*AD18)+(-SIN(RADIANS((90-$Q$8)-W18))*AE18))</f>
        <v>0.86335326469006024</v>
      </c>
      <c r="AL18" s="629">
        <f>IF(M18="","",(SIN(RADIANS((90-$Q$8)-W18))*AD18)+(COS(RADIANS((90-$Q$8)-W18))*AE18))</f>
        <v>-0.50433233865692351</v>
      </c>
      <c r="AM18" s="634">
        <f>IF(M18="","",AF18)</f>
        <v>-1.6432666668954932E-2</v>
      </c>
      <c r="AN18" s="581">
        <f>IF(M18="","",DEGREES(ATAN2(-AM18,AL18)))</f>
        <v>-88.133791160566417</v>
      </c>
      <c r="AO18" s="582">
        <f t="shared" si="94"/>
        <v>30.304801780366649</v>
      </c>
      <c r="AP18" s="585">
        <f>IF(M18="","",DEGREES(ATAN2(AK18,AL18)))</f>
        <v>-30.291560686197876</v>
      </c>
      <c r="AQ18" s="586">
        <f t="shared" si="9"/>
        <v>0.39194749161007525</v>
      </c>
      <c r="AS18" s="52">
        <f t="shared" si="116"/>
        <v>-4.2559993855097105</v>
      </c>
      <c r="AT18" s="72">
        <f t="shared" si="10"/>
        <v>-2.4227517608044384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0.46457871593623495</v>
      </c>
      <c r="C19" s="708">
        <v>5.9268376733963555</v>
      </c>
      <c r="D19" s="709">
        <v>-3.093709330627342</v>
      </c>
      <c r="E19" s="710">
        <v>-0.68572198161877473</v>
      </c>
      <c r="F19" s="708">
        <v>0.72723314954825724</v>
      </c>
      <c r="G19" s="711">
        <v>3.0287128007505187E-2</v>
      </c>
      <c r="H19" s="710">
        <v>0.26600000000000001</v>
      </c>
      <c r="I19" s="708">
        <v>0.52</v>
      </c>
      <c r="J19" s="570">
        <v>1.1519999999999999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1.1519999999999999</v>
      </c>
      <c r="N19" s="632">
        <f t="shared" si="2"/>
        <v>0.46457871593623495</v>
      </c>
      <c r="O19" s="629">
        <f t="shared" si="3"/>
        <v>5.9268376733963555</v>
      </c>
      <c r="P19" s="633">
        <f t="shared" si="4"/>
        <v>-3.093709330627342</v>
      </c>
      <c r="Q19" s="585">
        <f t="shared" si="113"/>
        <v>85.518000647120644</v>
      </c>
      <c r="R19" s="629">
        <f>IF(M19="","",SQRT(N19^2+O19^2))</f>
        <v>5.9450179301740782</v>
      </c>
      <c r="S19" s="634">
        <f>IF(M19="","",P19)</f>
        <v>-3.093709330627342</v>
      </c>
      <c r="T19" s="635">
        <f>IF(M19="","",X19*COS(RADIANS(W19)))</f>
        <v>5.9268376733963546</v>
      </c>
      <c r="U19" s="629">
        <f>IF(M19="","",X19*SIN(RADIANS(W19)))</f>
        <v>-0.46457871593623629</v>
      </c>
      <c r="V19" s="636">
        <f>IF(M19="","",Y19)</f>
        <v>-3.093709330627342</v>
      </c>
      <c r="W19" s="585">
        <f t="shared" si="224"/>
        <v>355.51800064712063</v>
      </c>
      <c r="X19" s="629">
        <f>IF(M19="","",R19)</f>
        <v>5.9450179301740782</v>
      </c>
      <c r="Y19" s="630">
        <f t="shared" si="223"/>
        <v>-3.093709330627342</v>
      </c>
      <c r="Z19" s="632">
        <f t="shared" si="6"/>
        <v>0.68572198161877473</v>
      </c>
      <c r="AA19" s="629">
        <f t="shared" si="7"/>
        <v>-0.72723314954825724</v>
      </c>
      <c r="AB19" s="629">
        <f t="shared" si="8"/>
        <v>-3.0287128007505187E-2</v>
      </c>
      <c r="AC19" s="636">
        <f>IF(M19="","",SQRT(Z19^2+AA19^2+AB19^2))</f>
        <v>1</v>
      </c>
      <c r="AD19" s="637">
        <f>IF(M19="","",Z19*(1/SQRT(Z19^2+AA19^2+AB19^2)))</f>
        <v>0.68572198161877473</v>
      </c>
      <c r="AE19" s="629">
        <f>IF(M19="","",AA19*(1/SQRT(Z19^2+AA19^2+AB19^2)))</f>
        <v>-0.72723314954825724</v>
      </c>
      <c r="AF19" s="633">
        <f>IF(M19="","",AB19*(1/SQRT(Z19^2+AA19^2+AB19^2)))</f>
        <v>-3.0287128007505187E-2</v>
      </c>
      <c r="AG19" s="602">
        <f>IF(M19="","",DEGREES(ATAN2(-AF19,AE19)))</f>
        <v>-87.61517697858703</v>
      </c>
      <c r="AH19" s="603">
        <f>IF(M19="","",DEGREES(ACOS(AD19)))</f>
        <v>46.707586605485027</v>
      </c>
      <c r="AI19" s="585">
        <f>IF(M19="","",DEGREES(-ACOS(-AF19)))</f>
        <v>-88.264409976884153</v>
      </c>
      <c r="AJ19" s="586">
        <f>IF(M19="","",DEGREES(ATAN2(-AE19,AD19)))</f>
        <v>43.317192996557267</v>
      </c>
      <c r="AK19" s="635">
        <f>IF(M19="","",(COS(RADIANS((90-$Q$8)-W19))*AD19)+(-SIN(RADIANS((90-$Q$8)-W19))*AE19))</f>
        <v>0.74045528014221706</v>
      </c>
      <c r="AL19" s="629">
        <f>IF(M19="","",(SIN(RADIANS((90-$Q$8)-W19))*AD19)+(COS(RADIANS((90-$Q$8)-W19))*AE19))</f>
        <v>-0.6714228682332527</v>
      </c>
      <c r="AM19" s="634">
        <f>IF(M19="","",AF19)</f>
        <v>-3.0287128007505187E-2</v>
      </c>
      <c r="AN19" s="581">
        <f>IF(M19="","",DEGREES(ATAN2(-AM19,AL19)))</f>
        <v>-87.417202918500337</v>
      </c>
      <c r="AO19" s="582">
        <f t="shared" si="94"/>
        <v>42.22978709606403</v>
      </c>
      <c r="AP19" s="585">
        <f>IF(M19="","",DEGREES(ATAN2(AK19,AL19)))</f>
        <v>-42.200807650563362</v>
      </c>
      <c r="AQ19" s="586">
        <f t="shared" si="9"/>
        <v>0.38346269443547887</v>
      </c>
      <c r="AS19" s="52">
        <f t="shared" si="116"/>
        <v>-4.4819993528793702</v>
      </c>
      <c r="AT19" s="72">
        <f t="shared" si="10"/>
        <v>-3.0905968310767311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0.97477023851973221</v>
      </c>
      <c r="C20" s="708">
        <v>2.1212529724130924</v>
      </c>
      <c r="D20" s="709">
        <v>-0.26593288859718611</v>
      </c>
      <c r="E20" s="710">
        <v>-0.10807004756889957</v>
      </c>
      <c r="F20" s="708">
        <v>-0.23517683565077369</v>
      </c>
      <c r="G20" s="711">
        <v>0.96592583607218252</v>
      </c>
      <c r="H20" s="710">
        <v>0.26250000000000001</v>
      </c>
      <c r="I20" s="708">
        <v>0.40699999999999997</v>
      </c>
      <c r="J20" s="570">
        <v>1.21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120</v>
      </c>
      <c r="M20" s="168">
        <f t="shared" si="1"/>
        <v>1.21</v>
      </c>
      <c r="N20" s="632">
        <f t="shared" si="2"/>
        <v>0.97477023851973221</v>
      </c>
      <c r="O20" s="629">
        <f t="shared" si="3"/>
        <v>2.1212529724130924</v>
      </c>
      <c r="P20" s="633">
        <f t="shared" si="4"/>
        <v>-0.26593288859718611</v>
      </c>
      <c r="Q20" s="585">
        <f t="shared" si="113"/>
        <v>65.320003563350596</v>
      </c>
      <c r="R20" s="629">
        <f>IF(M20="","",SQRT(N20^2+O20^2))</f>
        <v>2.3345002015153469</v>
      </c>
      <c r="S20" s="634">
        <f>IF(M20="","",P20)</f>
        <v>-0.26593288859718611</v>
      </c>
      <c r="T20" s="635">
        <f>IF(M20="","",X20*COS(RADIANS(W20)))</f>
        <v>2.1212529724130924</v>
      </c>
      <c r="U20" s="629">
        <f>IF(M20="","",X20*SIN(RADIANS(W20)))</f>
        <v>-0.97477023851973188</v>
      </c>
      <c r="V20" s="636">
        <f>IF(M20="","",Y20)</f>
        <v>-0.26593288859718611</v>
      </c>
      <c r="W20" s="585">
        <f t="shared" si="224"/>
        <v>335.32000356335061</v>
      </c>
      <c r="X20" s="629">
        <f>IF(M20="","",R20)</f>
        <v>2.3345002015153469</v>
      </c>
      <c r="Y20" s="630">
        <f t="shared" si="223"/>
        <v>-0.26593288859718611</v>
      </c>
      <c r="Z20" s="632">
        <f t="shared" si="6"/>
        <v>0.10807004756889957</v>
      </c>
      <c r="AA20" s="629">
        <f t="shared" si="7"/>
        <v>0.23517683565077369</v>
      </c>
      <c r="AB20" s="629">
        <f t="shared" si="8"/>
        <v>-0.96592583607218252</v>
      </c>
      <c r="AC20" s="636">
        <f>IF(M20="","",SQRT(Z20^2+AA20^2+AB20^2))</f>
        <v>1</v>
      </c>
      <c r="AD20" s="637">
        <f>IF(M20="","",Z20*(1/SQRT(Z20^2+AA20^2+AB20^2)))</f>
        <v>0.10807004756889957</v>
      </c>
      <c r="AE20" s="629">
        <f>IF(M20="","",AA20*(1/SQRT(Z20^2+AA20^2+AB20^2)))</f>
        <v>0.23517683565077369</v>
      </c>
      <c r="AF20" s="633">
        <f>IF(M20="","",AB20*(1/SQRT(Z20^2+AA20^2+AB20^2)))</f>
        <v>-0.96592583607218252</v>
      </c>
      <c r="AG20" s="602">
        <f>IF(M20="","",DEGREES(ATAN2(-AF20,AE20)))</f>
        <v>13.683733770962672</v>
      </c>
      <c r="AH20" s="603">
        <f>IF(M20="","",DEGREES(ACOS(AD20)))</f>
        <v>83.795925808873022</v>
      </c>
      <c r="AI20" s="585">
        <f>IF(M20="","",DEGREES(-ACOS(-AF20)))</f>
        <v>-14.999997834273763</v>
      </c>
      <c r="AJ20" s="586">
        <f>IF(M20="","",DEGREES(ATAN2(-AE20,AD20)))</f>
        <v>155.31995335687441</v>
      </c>
      <c r="AK20" s="635">
        <f>IF(M20="","",(COS(RADIANS((90-$Q$8)-W20))*AD20)+(-SIN(RADIANS((90-$Q$8)-W20))*AE20))</f>
        <v>2.2679489672383646E-7</v>
      </c>
      <c r="AL20" s="629">
        <f>IF(M20="","",(SIN(RADIANS((90-$Q$8)-W20))*AD20)+(COS(RADIANS((90-$Q$8)-W20))*AE20))</f>
        <v>0.25881900859133938</v>
      </c>
      <c r="AM20" s="634">
        <f>IF(M20="","",AF20)</f>
        <v>-0.96592583607218252</v>
      </c>
      <c r="AN20" s="581">
        <f>IF(M20="","",DEGREES(ATAN2(-AM20,AL20)))</f>
        <v>14.999997834268274</v>
      </c>
      <c r="AO20" s="582">
        <f t="shared" si="94"/>
        <v>0</v>
      </c>
      <c r="AP20" s="585">
        <f>IF(M20="","",DEGREES(ATAN2(AK20,AL20)))</f>
        <v>89.999949793523797</v>
      </c>
      <c r="AQ20" s="586">
        <f t="shared" si="9"/>
        <v>0.97644280448910525</v>
      </c>
      <c r="AS20" s="52">
        <f t="shared" si="116"/>
        <v>-24.67999643664939</v>
      </c>
      <c r="AT20" s="72">
        <f t="shared" si="10"/>
        <v>-0.24879400218284625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1.1100000000000001</v>
      </c>
      <c r="II20" s="734" cm="1">
        <f t="array" ref="II20">IFERROR(ROUND(VALUE(IF($IH20&lt;1,$IH20+LARGE((IF($M$9:$M$150="",0,$M$9:$M$150)-MOD(IF($M$9:$M$150="",0,$M$9:$M$150),1)),1),$IH20)),4),"")</f>
        <v>1.1100000000000001</v>
      </c>
      <c r="IJ20" s="533">
        <f t="shared" si="112"/>
        <v>1613</v>
      </c>
      <c r="IK20" s="533" t="str">
        <f t="shared" si="66"/>
        <v>Inactive</v>
      </c>
      <c r="IL20" s="727">
        <f t="shared" si="225"/>
        <v>24.67999643664939</v>
      </c>
      <c r="IM20" s="759">
        <v>1.7801115733828501E-2</v>
      </c>
      <c r="IN20" s="5">
        <f t="shared" si="226"/>
        <v>0.26</v>
      </c>
      <c r="IO20" s="771">
        <v>130</v>
      </c>
      <c r="IP20" s="9">
        <f t="shared" si="227"/>
        <v>-2.3439070692237212</v>
      </c>
      <c r="IQ20" s="5">
        <f t="shared" si="228"/>
        <v>-0.28390085624498246</v>
      </c>
      <c r="IR20" s="5">
        <f t="shared" si="71"/>
        <v>0.314</v>
      </c>
      <c r="IS20" s="5">
        <f t="shared" si="229"/>
        <v>0.30027969730521836</v>
      </c>
      <c r="IT20" s="727">
        <f t="shared" si="230"/>
        <v>-14.99999783426831</v>
      </c>
      <c r="IU20" s="9">
        <f t="shared" si="231"/>
        <v>-2.3345002015153469</v>
      </c>
      <c r="IV20" s="5">
        <f t="shared" si="232"/>
        <v>-0.26593288859718611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-14.999997834268274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1.0958453190276216</v>
      </c>
      <c r="C21" s="708">
        <v>2.9071270180603888</v>
      </c>
      <c r="D21" s="709">
        <v>-7.5335906497760174E-2</v>
      </c>
      <c r="E21" s="710">
        <v>-2.1221822556275659E-7</v>
      </c>
      <c r="F21" s="708">
        <v>7.9995936761805435E-8</v>
      </c>
      <c r="G21" s="711">
        <v>0.99999999999997435</v>
      </c>
      <c r="H21" s="710">
        <v>0.26250000000000001</v>
      </c>
      <c r="I21" s="708">
        <v>0.40699999999999997</v>
      </c>
      <c r="J21" s="570">
        <v>1.216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1.216</v>
      </c>
      <c r="N21" s="632">
        <f t="shared" si="2"/>
        <v>1.0958453190276216</v>
      </c>
      <c r="O21" s="629">
        <f t="shared" si="3"/>
        <v>2.9071270180603888</v>
      </c>
      <c r="P21" s="633">
        <f t="shared" si="4"/>
        <v>-7.5335906497760174E-2</v>
      </c>
      <c r="Q21" s="585">
        <f t="shared" si="113"/>
        <v>69.346000000000004</v>
      </c>
      <c r="R21" s="629">
        <f>IF(M21="","",SQRT(N21^2+O21^2))</f>
        <v>3.1068093701370603</v>
      </c>
      <c r="S21" s="634">
        <f>IF(M21="","",P21)</f>
        <v>-7.5335906497760174E-2</v>
      </c>
      <c r="T21" s="635">
        <f>IF(M21="","",X21*COS(RADIANS(W21)))</f>
        <v>2.9071270180603888</v>
      </c>
      <c r="U21" s="629">
        <f>IF(M21="","",X21*SIN(RADIANS(W21)))</f>
        <v>-1.0958453190276214</v>
      </c>
      <c r="V21" s="636">
        <f>IF(M21="","",Y21)</f>
        <v>-7.5335906497760174E-2</v>
      </c>
      <c r="W21" s="585">
        <f t="shared" si="224"/>
        <v>339.346</v>
      </c>
      <c r="X21" s="629">
        <f>IF(M21="","",R21)</f>
        <v>3.1068093701370603</v>
      </c>
      <c r="Y21" s="630">
        <f t="shared" si="223"/>
        <v>-7.5335906497760174E-2</v>
      </c>
      <c r="Z21" s="632">
        <f t="shared" si="6"/>
        <v>2.1221822556275659E-7</v>
      </c>
      <c r="AA21" s="629">
        <f t="shared" si="7"/>
        <v>-7.9995936761805435E-8</v>
      </c>
      <c r="AB21" s="629">
        <f t="shared" si="8"/>
        <v>-0.99999999999997435</v>
      </c>
      <c r="AC21" s="636">
        <f>IF(M21="","",SQRT(Z21^2+AA21^2+AB21^2))</f>
        <v>1</v>
      </c>
      <c r="AD21" s="637">
        <f>IF(M21="","",Z21*(1/SQRT(Z21^2+AA21^2+AB21^2)))</f>
        <v>2.1221822556275659E-7</v>
      </c>
      <c r="AE21" s="629">
        <f>IF(M21="","",AA21*(1/SQRT(Z21^2+AA21^2+AB21^2)))</f>
        <v>-7.9995936761805435E-8</v>
      </c>
      <c r="AF21" s="633">
        <f>IF(M21="","",AB21*(1/SQRT(Z21^2+AA21^2+AB21^2)))</f>
        <v>-0.99999999999997435</v>
      </c>
      <c r="AG21" s="602">
        <f>IF(M21="","",DEGREES(ATAN2(-AF21,AE21)))</f>
        <v>-4.5834295546469886E-6</v>
      </c>
      <c r="AH21" s="603">
        <f>IF(M21="","",DEGREES(ACOS(AD21)))</f>
        <v>89.999987840791334</v>
      </c>
      <c r="AI21" s="585">
        <f>IF(M21="","",DEGREES(-ACOS(-AF21)))</f>
        <v>-1.2976235990044085E-5</v>
      </c>
      <c r="AJ21" s="586">
        <f>IF(M21="","",DEGREES(ATAN2(-AE21,AD21)))</f>
        <v>69.346000000000004</v>
      </c>
      <c r="AK21" s="635">
        <f>IF(M21="","",(COS(RADIANS((90-$Q$8)-W21))*AD21)+(-SIN(RADIANS((90-$Q$8)-W21))*AE21))</f>
        <v>2.2679489667848306E-7</v>
      </c>
      <c r="AL21" s="629">
        <f>IF(M21="","",(SIN(RADIANS((90-$Q$8)-W21))*AD21)+(COS(RADIANS((90-$Q$8)-W21))*AE21))</f>
        <v>-5.2939559203393771E-23</v>
      </c>
      <c r="AM21" s="634">
        <f>IF(M21="","",AF21)</f>
        <v>-0.99999999999997435</v>
      </c>
      <c r="AN21" s="581">
        <f>IF(M21="","",DEGREES(ATAN2(-AM21,AL21)))</f>
        <v>-3.0332133116374958E-21</v>
      </c>
      <c r="AO21" s="582">
        <f>IF(ROUND(IF(M21="",0,DEGREES(ACOS(AK21))),4)=90,0,IF(M21="","",DEGREES(ACOS(AK21))))</f>
        <v>0</v>
      </c>
      <c r="AP21" s="585">
        <f>IF(M21="","",DEGREES(ATAN2(AK21,AL21)))</f>
        <v>-1.3374257340267527E-14</v>
      </c>
      <c r="AQ21" s="586">
        <f t="shared" si="9"/>
        <v>0.73374376539540476</v>
      </c>
      <c r="AS21" s="52">
        <f t="shared" si="116"/>
        <v>-20.653999999999996</v>
      </c>
      <c r="AT21" s="72">
        <f t="shared" si="10"/>
        <v>-6.0992850942204607E-2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1.216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1.1160000000000001</v>
      </c>
      <c r="II21" s="734" cm="1">
        <f t="array" ref="II21">IFERROR(ROUND(VALUE(IF($IH21&lt;1,$IH21+LARGE((IF($M$9:$M$150="",0,$M$9:$M$150)-MOD(IF($M$9:$M$150="",0,$M$9:$M$150),1)),1),$IH21)),4),"")</f>
        <v>1.1160000000000001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20.286000053132625</v>
      </c>
      <c r="IM21" s="759">
        <v>1.53517832386396E-2</v>
      </c>
      <c r="IN21" s="5">
        <f t="shared" si="226"/>
        <v>0.26</v>
      </c>
      <c r="IO21" s="771">
        <v>130</v>
      </c>
      <c r="IP21" s="9">
        <f t="shared" si="227"/>
        <v>-3.1068093701370598</v>
      </c>
      <c r="IQ21" s="5">
        <f t="shared" si="228"/>
        <v>-0.10060030341051504</v>
      </c>
      <c r="IR21" s="5">
        <f t="shared" si="71"/>
        <v>0.314</v>
      </c>
      <c r="IS21" s="5">
        <f t="shared" si="229"/>
        <v>0.30286599716868817</v>
      </c>
      <c r="IT21" s="727">
        <f t="shared" si="230"/>
        <v>11.699806774220612</v>
      </c>
      <c r="IU21" s="9">
        <f t="shared" si="231"/>
        <v>-3.1068093701370603</v>
      </c>
      <c r="IV21" s="5">
        <f t="shared" si="232"/>
        <v>-7.5335906497760174E-2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3.0332133116374958E-21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1.2663050856780664</v>
      </c>
      <c r="C22" s="708">
        <v>3.6897469603974185</v>
      </c>
      <c r="D22" s="709">
        <v>-0.14384288377647353</v>
      </c>
      <c r="E22" s="710">
        <v>6.9151740354997049E-2</v>
      </c>
      <c r="F22" s="708">
        <v>0.20149434081294113</v>
      </c>
      <c r="G22" s="711">
        <v>0.9770455810381794</v>
      </c>
      <c r="H22" s="710">
        <v>0.26250000000000001</v>
      </c>
      <c r="I22" s="708">
        <v>0.40699999999999997</v>
      </c>
      <c r="J22" s="570">
        <v>1.222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 t="str">
        <f>IF($L21=$JH$22,$JH$30,IF($L21=$JI$22,$JI$30,""))</f>
        <v/>
      </c>
      <c r="M22" s="168">
        <f t="shared" si="1"/>
        <v>1.222</v>
      </c>
      <c r="N22" s="632">
        <f t="shared" si="2"/>
        <v>1.2663050856780664</v>
      </c>
      <c r="O22" s="629">
        <f t="shared" si="3"/>
        <v>3.6897469603974185</v>
      </c>
      <c r="P22" s="633">
        <f t="shared" si="4"/>
        <v>-0.14384288377647353</v>
      </c>
      <c r="Q22" s="585">
        <f t="shared" si="113"/>
        <v>71.058002734886031</v>
      </c>
      <c r="R22" s="629">
        <f t="shared" si="79"/>
        <v>3.9009948989682264</v>
      </c>
      <c r="S22" s="634">
        <f t="shared" si="80"/>
        <v>-0.14384288377647353</v>
      </c>
      <c r="T22" s="635">
        <f t="shared" si="81"/>
        <v>3.689746960397418</v>
      </c>
      <c r="U22" s="629">
        <f t="shared" si="82"/>
        <v>-1.2663050856780671</v>
      </c>
      <c r="V22" s="636">
        <f t="shared" si="114"/>
        <v>-0.14384288377647353</v>
      </c>
      <c r="W22" s="585">
        <f t="shared" si="224"/>
        <v>341.05800273488603</v>
      </c>
      <c r="X22" s="629">
        <f t="shared" si="83"/>
        <v>3.9009948989682264</v>
      </c>
      <c r="Y22" s="630">
        <f t="shared" si="223"/>
        <v>-0.14384288377647353</v>
      </c>
      <c r="Z22" s="632">
        <f t="shared" si="6"/>
        <v>-6.9151740354997049E-2</v>
      </c>
      <c r="AA22" s="629">
        <f t="shared" si="7"/>
        <v>-0.20149434081294113</v>
      </c>
      <c r="AB22" s="629">
        <f t="shared" si="8"/>
        <v>-0.9770455810381794</v>
      </c>
      <c r="AC22" s="636">
        <f t="shared" si="84"/>
        <v>1</v>
      </c>
      <c r="AD22" s="637">
        <f t="shared" si="115"/>
        <v>-6.9151740354997049E-2</v>
      </c>
      <c r="AE22" s="629">
        <f t="shared" si="85"/>
        <v>-0.20149434081294113</v>
      </c>
      <c r="AF22" s="633">
        <f t="shared" si="86"/>
        <v>-0.9770455810381794</v>
      </c>
      <c r="AG22" s="602">
        <f t="shared" si="87"/>
        <v>-11.652641897101018</v>
      </c>
      <c r="AH22" s="603">
        <f t="shared" si="88"/>
        <v>93.965267454568632</v>
      </c>
      <c r="AI22" s="585">
        <f t="shared" si="89"/>
        <v>-12.299998224106707</v>
      </c>
      <c r="AJ22" s="586">
        <f t="shared" si="90"/>
        <v>-18.941936267279484</v>
      </c>
      <c r="AK22" s="635">
        <f t="shared" si="211"/>
        <v>2.2679489672383646E-7</v>
      </c>
      <c r="AL22" s="629">
        <f t="shared" si="91"/>
        <v>-0.21303035599114778</v>
      </c>
      <c r="AM22" s="634">
        <f t="shared" si="92"/>
        <v>-0.9770455810381794</v>
      </c>
      <c r="AN22" s="581">
        <f t="shared" si="93"/>
        <v>-12.299998224099978</v>
      </c>
      <c r="AO22" s="582">
        <f t="shared" si="94"/>
        <v>0</v>
      </c>
      <c r="AP22" s="585">
        <f t="shared" si="95"/>
        <v>-89.999939002165519</v>
      </c>
      <c r="AQ22" s="586">
        <f t="shared" si="9"/>
        <v>0.58437594527026915</v>
      </c>
      <c r="AS22" s="52">
        <f t="shared" si="116"/>
        <v>-18.941997265113969</v>
      </c>
      <c r="AT22" s="72">
        <f t="shared" si="10"/>
        <v>-0.13068871900903326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1.222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1.1220000000000001</v>
      </c>
      <c r="II22" s="734" cm="1">
        <f t="array" ref="II22">IFERROR(ROUND(VALUE(IF($IH22&lt;1,$IH22+LARGE((IF($M$9:$M$150="",0,$M$9:$M$150)-MOD(IF($M$9:$M$150="",0,$M$9:$M$150),1)),1),$IH22)),4),"")</f>
        <v>1.1220000000000001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17.554997465371969</v>
      </c>
      <c r="IM22" s="759">
        <v>1.2032315164396699E-2</v>
      </c>
      <c r="IN22" s="5">
        <f t="shared" si="226"/>
        <v>0.24</v>
      </c>
      <c r="IO22" s="771">
        <v>120</v>
      </c>
      <c r="IP22" s="9">
        <f t="shared" si="227"/>
        <v>-3.8926117401170077</v>
      </c>
      <c r="IQ22" s="5">
        <f t="shared" si="228"/>
        <v>-0.17010051302314744</v>
      </c>
      <c r="IR22" s="5">
        <f t="shared" si="71"/>
        <v>0.314</v>
      </c>
      <c r="IS22" s="5">
        <f t="shared" si="229"/>
        <v>0.30146150722549248</v>
      </c>
      <c r="IT22" s="727">
        <f t="shared" si="230"/>
        <v>35.444001353265456</v>
      </c>
      <c r="IU22" s="9">
        <f t="shared" si="231"/>
        <v>-3.9009948989682264</v>
      </c>
      <c r="IV22" s="5">
        <f t="shared" si="232"/>
        <v>-0.14384288377647353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12.299998224099978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1.1146983674289672</v>
      </c>
      <c r="C23" s="708">
        <v>4.4801376126839063</v>
      </c>
      <c r="D23" s="709">
        <v>-0.49944999703275911</v>
      </c>
      <c r="E23" s="710">
        <v>-0.81069241601535991</v>
      </c>
      <c r="F23" s="708">
        <v>0.53236936634505516</v>
      </c>
      <c r="G23" s="711">
        <v>0.24364044079861458</v>
      </c>
      <c r="H23" s="710">
        <v>0.26600000000000001</v>
      </c>
      <c r="I23" s="708">
        <v>0.52</v>
      </c>
      <c r="J23" s="570">
        <v>1.228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1.228</v>
      </c>
      <c r="N23" s="632">
        <f t="shared" si="2"/>
        <v>1.1146983674289672</v>
      </c>
      <c r="O23" s="629">
        <f t="shared" si="3"/>
        <v>4.4801376126839063</v>
      </c>
      <c r="P23" s="633">
        <f t="shared" si="4"/>
        <v>-0.49944999703275911</v>
      </c>
      <c r="Q23" s="585">
        <f t="shared" si="113"/>
        <v>76.028002017306918</v>
      </c>
      <c r="R23" s="629">
        <f t="shared" si="79"/>
        <v>4.6167288721489648</v>
      </c>
      <c r="S23" s="634">
        <f t="shared" si="80"/>
        <v>-0.49944999703275911</v>
      </c>
      <c r="T23" s="635">
        <f t="shared" si="81"/>
        <v>4.4801376126839054</v>
      </c>
      <c r="U23" s="629">
        <f t="shared" si="82"/>
        <v>-1.1146983674289703</v>
      </c>
      <c r="V23" s="636">
        <f t="shared" si="114"/>
        <v>-0.49944999703275911</v>
      </c>
      <c r="W23" s="585">
        <f t="shared" si="224"/>
        <v>346.0280020173069</v>
      </c>
      <c r="X23" s="629">
        <f t="shared" si="83"/>
        <v>4.6167288721489648</v>
      </c>
      <c r="Y23" s="630">
        <f t="shared" si="223"/>
        <v>-0.49944999703275911</v>
      </c>
      <c r="Z23" s="632">
        <f t="shared" si="6"/>
        <v>0.81069241601535991</v>
      </c>
      <c r="AA23" s="629">
        <f t="shared" si="7"/>
        <v>-0.53236936634505516</v>
      </c>
      <c r="AB23" s="629">
        <f t="shared" si="8"/>
        <v>-0.24364044079861458</v>
      </c>
      <c r="AC23" s="636">
        <f t="shared" si="84"/>
        <v>1</v>
      </c>
      <c r="AD23" s="637">
        <f t="shared" si="115"/>
        <v>0.81069241601535991</v>
      </c>
      <c r="AE23" s="629">
        <f t="shared" si="85"/>
        <v>-0.53236936634505516</v>
      </c>
      <c r="AF23" s="633">
        <f t="shared" si="86"/>
        <v>-0.24364044079861458</v>
      </c>
      <c r="AG23" s="602">
        <f t="shared" si="87"/>
        <v>-65.408656446522741</v>
      </c>
      <c r="AH23" s="603">
        <f t="shared" si="88"/>
        <v>35.836362401447552</v>
      </c>
      <c r="AI23" s="585">
        <f t="shared" si="89"/>
        <v>-75.898497760659566</v>
      </c>
      <c r="AJ23" s="586">
        <f t="shared" si="90"/>
        <v>56.70770347539505</v>
      </c>
      <c r="AK23" s="635">
        <f t="shared" si="211"/>
        <v>0.91524647989025132</v>
      </c>
      <c r="AL23" s="629">
        <f t="shared" si="91"/>
        <v>-0.32087881926976847</v>
      </c>
      <c r="AM23" s="634">
        <f t="shared" si="92"/>
        <v>-0.24364044079861458</v>
      </c>
      <c r="AN23" s="581">
        <f t="shared" si="93"/>
        <v>-52.79091983211201</v>
      </c>
      <c r="AO23" s="582">
        <f t="shared" si="94"/>
        <v>23.759245262283656</v>
      </c>
      <c r="AP23" s="585">
        <f t="shared" si="95"/>
        <v>-19.320298541911832</v>
      </c>
      <c r="AQ23" s="586">
        <f t="shared" si="9"/>
        <v>0.49378472381916649</v>
      </c>
      <c r="AS23" s="52">
        <f t="shared" si="116"/>
        <v>-13.971997982693097</v>
      </c>
      <c r="AT23" s="72">
        <f t="shared" si="10"/>
        <v>-0.48974722065588888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1.228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1.1279999999999999</v>
      </c>
      <c r="II23" s="734" cm="1">
        <f t="array" ref="II23">IFERROR(ROUND(VALUE(IF($IH23&lt;1,$IH23+LARGE((IF($M$9:$M$150="",0,$M$9:$M$150)-MOD(IF($M$9:$M$150="",0,$M$9:$M$150),1)),1),$IH23)),4),"")</f>
        <v>1.1279999999999999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11.735998305531496</v>
      </c>
      <c r="IM23" s="759">
        <v>6.9281906443989004E-3</v>
      </c>
      <c r="IN23" s="5">
        <f t="shared" si="226"/>
        <v>0.2</v>
      </c>
      <c r="IO23" s="771">
        <v>100</v>
      </c>
      <c r="IP23" s="9">
        <f t="shared" si="227"/>
        <v>-4.5904138446881557</v>
      </c>
      <c r="IQ23" s="5">
        <f t="shared" si="228"/>
        <v>-0.53800162261289419</v>
      </c>
      <c r="IR23" s="5">
        <f t="shared" si="71"/>
        <v>0.314</v>
      </c>
      <c r="IS23" s="5">
        <f t="shared" si="229"/>
        <v>0.29641362760106077</v>
      </c>
      <c r="IT23" s="727">
        <f t="shared" si="230"/>
        <v>58.395801159179946</v>
      </c>
      <c r="IU23" s="9">
        <f t="shared" si="231"/>
        <v>-4.6167288721489648</v>
      </c>
      <c r="IV23" s="5">
        <f t="shared" si="232"/>
        <v>-0.49944999703275911</v>
      </c>
      <c r="IW23" s="5">
        <f t="shared" si="76"/>
        <v>0.26600000000000001</v>
      </c>
      <c r="IX23" s="5">
        <f t="shared" si="233"/>
        <v>0.24345556365080687</v>
      </c>
      <c r="IY23" s="762">
        <f t="shared" si="234"/>
        <v>52.79091983211201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5</v>
      </c>
      <c r="JG23" s="801">
        <v>13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100</v>
      </c>
      <c r="JI23" s="801">
        <v>80</v>
      </c>
    </row>
    <row r="24" spans="1:269" ht="15" customHeight="1" x14ac:dyDescent="0.25">
      <c r="A24" s="79"/>
      <c r="B24" s="707">
        <v>1.2468037090513484</v>
      </c>
      <c r="C24" s="708">
        <v>5.0517100597787614</v>
      </c>
      <c r="D24" s="709">
        <v>-1.0409552142748806</v>
      </c>
      <c r="E24" s="710">
        <v>-0.77041746329474337</v>
      </c>
      <c r="F24" s="708">
        <v>0.61300816900574651</v>
      </c>
      <c r="G24" s="711">
        <v>0.17515112612459907</v>
      </c>
      <c r="H24" s="710">
        <v>0.26600000000000001</v>
      </c>
      <c r="I24" s="708">
        <v>0.52</v>
      </c>
      <c r="J24" s="570">
        <v>1.234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1.234</v>
      </c>
      <c r="N24" s="632">
        <f t="shared" si="2"/>
        <v>1.2468037090513484</v>
      </c>
      <c r="O24" s="629">
        <f t="shared" si="3"/>
        <v>5.0517100597787614</v>
      </c>
      <c r="P24" s="633">
        <f t="shared" si="4"/>
        <v>-1.0409552142748806</v>
      </c>
      <c r="Q24" s="585">
        <f t="shared" si="113"/>
        <v>76.136002001713649</v>
      </c>
      <c r="R24" s="629">
        <f t="shared" si="79"/>
        <v>5.2032964567641287</v>
      </c>
      <c r="S24" s="634">
        <f t="shared" si="80"/>
        <v>-1.0409552142748806</v>
      </c>
      <c r="T24" s="635">
        <f t="shared" si="81"/>
        <v>5.0517100597787623</v>
      </c>
      <c r="U24" s="629">
        <f t="shared" si="82"/>
        <v>-1.2468037090513451</v>
      </c>
      <c r="V24" s="636">
        <f t="shared" si="114"/>
        <v>-1.0409552142748806</v>
      </c>
      <c r="W24" s="585">
        <f t="shared" si="224"/>
        <v>346.13600200171368</v>
      </c>
      <c r="X24" s="629">
        <f t="shared" si="83"/>
        <v>5.2032964567641287</v>
      </c>
      <c r="Y24" s="630">
        <f t="shared" si="223"/>
        <v>-1.0409552142748806</v>
      </c>
      <c r="Z24" s="632">
        <f t="shared" si="6"/>
        <v>0.77041746329474337</v>
      </c>
      <c r="AA24" s="629">
        <f t="shared" si="7"/>
        <v>-0.61300816900574651</v>
      </c>
      <c r="AB24" s="629">
        <f t="shared" si="8"/>
        <v>-0.17515112612459907</v>
      </c>
      <c r="AC24" s="636">
        <f t="shared" si="84"/>
        <v>1</v>
      </c>
      <c r="AD24" s="637">
        <f t="shared" si="115"/>
        <v>0.77041746329474337</v>
      </c>
      <c r="AE24" s="629">
        <f t="shared" si="85"/>
        <v>-0.61300816900574651</v>
      </c>
      <c r="AF24" s="633">
        <f t="shared" si="86"/>
        <v>-0.17515112612459907</v>
      </c>
      <c r="AG24" s="602">
        <f t="shared" si="87"/>
        <v>-74.054091243907934</v>
      </c>
      <c r="AH24" s="603">
        <f t="shared" si="88"/>
        <v>39.608608495831568</v>
      </c>
      <c r="AI24" s="585">
        <f t="shared" si="89"/>
        <v>-79.912547168579223</v>
      </c>
      <c r="AJ24" s="586">
        <f t="shared" si="90"/>
        <v>51.491326206524285</v>
      </c>
      <c r="AK24" s="635">
        <f>IF(M24="","",(COS(RADIANS((90-$Q$8)-W24))*AD24)+(-SIN(RADIANS((90-$Q$8)-W24))*AE24))</f>
        <v>0.89486089194427398</v>
      </c>
      <c r="AL24" s="629">
        <f t="shared" si="91"/>
        <v>-0.41054362385254928</v>
      </c>
      <c r="AM24" s="634">
        <f t="shared" si="92"/>
        <v>-0.17515112612459907</v>
      </c>
      <c r="AN24" s="581">
        <f t="shared" si="93"/>
        <v>-66.895344214122147</v>
      </c>
      <c r="AO24" s="582">
        <f t="shared" si="94"/>
        <v>26.509432602177583</v>
      </c>
      <c r="AP24" s="585">
        <f t="shared" si="95"/>
        <v>-24.644675795189407</v>
      </c>
      <c r="AQ24" s="586">
        <f t="shared" si="9"/>
        <v>0.43812268193980886</v>
      </c>
      <c r="AS24" s="52">
        <f t="shared" si="116"/>
        <v>-13.863997998286322</v>
      </c>
      <c r="AT24" s="72">
        <f t="shared" si="10"/>
        <v>-1.0313274378871817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1.234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1.1339999999999999</v>
      </c>
      <c r="II24" s="734" cm="1">
        <f t="array" ref="II24">IFERROR(ROUND(VALUE(IF($IH24&lt;1,$IH24+LARGE((IF($M$9:$M$150="",0,$M$9:$M$150)-MOD(IF($M$9:$M$150="",0,$M$9:$M$150),1)),1),$IH24)),4),"")</f>
        <v>1.1339999999999999</v>
      </c>
      <c r="IJ24" s="533">
        <f t="shared" si="112"/>
        <v>1613</v>
      </c>
      <c r="IK24" s="533">
        <f t="shared" si="66"/>
        <v>1313</v>
      </c>
      <c r="IL24" s="727">
        <f t="shared" si="225"/>
        <v>10.708998453811887</v>
      </c>
      <c r="IM24" s="759">
        <v>5.3626901645646898E-3</v>
      </c>
      <c r="IN24" s="5">
        <f t="shared" si="226"/>
        <v>0.18</v>
      </c>
      <c r="IO24" s="771">
        <v>90</v>
      </c>
      <c r="IP24" s="9">
        <f t="shared" si="227"/>
        <v>-5.1686155885446157</v>
      </c>
      <c r="IQ24" s="5">
        <f t="shared" si="228"/>
        <v>-1.0747032413049757</v>
      </c>
      <c r="IR24" s="5">
        <f t="shared" si="71"/>
        <v>0.314</v>
      </c>
      <c r="IS24" s="5">
        <f t="shared" si="229"/>
        <v>0.29082053894466214</v>
      </c>
      <c r="IT24" s="727">
        <f t="shared" si="230"/>
        <v>72.34972039258399</v>
      </c>
      <c r="IU24" s="9">
        <f t="shared" si="231"/>
        <v>-5.2032964567641287</v>
      </c>
      <c r="IV24" s="5">
        <f t="shared" si="232"/>
        <v>-1.0409552142748806</v>
      </c>
      <c r="IW24" s="5">
        <f t="shared" si="76"/>
        <v>0.26600000000000001</v>
      </c>
      <c r="IX24" s="5">
        <f t="shared" si="233"/>
        <v>0.23803299725717689</v>
      </c>
      <c r="IY24" s="762">
        <f t="shared" si="234"/>
        <v>66.895344214122147</v>
      </c>
      <c r="JA24" s="798" t="str">
        <v>Inactive</v>
      </c>
      <c r="JB24" s="856" cm="1">
        <f t="array" ref="JB24">IF($JA24="","",COUNT(IF(IF($II$9:$II$150&lt;&gt;"",$IK$9:$IK$150,"")=$JA24,$IG$9:$IG$150,"")))</f>
        <v>12</v>
      </c>
      <c r="JC24" s="5"/>
      <c r="JD24" s="5"/>
      <c r="JE24" s="10"/>
      <c r="JF24" s="247">
        <v>12</v>
      </c>
      <c r="JG24" s="803" t="str">
        <v/>
      </c>
      <c r="JH24" s="787">
        <v>120</v>
      </c>
      <c r="JI24" s="803" t="str">
        <v/>
      </c>
    </row>
    <row r="25" spans="1:269" ht="15" customHeight="1" x14ac:dyDescent="0.25">
      <c r="A25" s="79"/>
      <c r="B25" s="707">
        <v>1.3551694413349948</v>
      </c>
      <c r="C25" s="708">
        <v>5.4519055825635636</v>
      </c>
      <c r="D25" s="709">
        <v>-1.6748127574795122</v>
      </c>
      <c r="E25" s="710">
        <v>-0.71403223566811036</v>
      </c>
      <c r="F25" s="708">
        <v>0.68931247286983632</v>
      </c>
      <c r="G25" s="711">
        <v>0.12250012723614433</v>
      </c>
      <c r="H25" s="710">
        <v>0.26600000000000001</v>
      </c>
      <c r="I25" s="708">
        <v>0.52</v>
      </c>
      <c r="J25" s="570">
        <v>1.24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</v>
      </c>
      <c r="N25" s="632">
        <f t="shared" si="2"/>
        <v>1.3551694413349948</v>
      </c>
      <c r="O25" s="629">
        <f t="shared" si="3"/>
        <v>5.4519055825635636</v>
      </c>
      <c r="P25" s="633">
        <f t="shared" si="4"/>
        <v>-1.6748127574795122</v>
      </c>
      <c r="Q25" s="585">
        <f t="shared" si="113"/>
        <v>76.041002015429953</v>
      </c>
      <c r="R25" s="629">
        <f>IF(M25="","",SQRT(N25^2+O25^2))</f>
        <v>5.6178072854020149</v>
      </c>
      <c r="S25" s="634">
        <f>IF(M25="","",P25)</f>
        <v>-1.6748127574795122</v>
      </c>
      <c r="T25" s="635">
        <f>IF(M25="","",X25*COS(RADIANS(W25)))</f>
        <v>5.4519055825635636</v>
      </c>
      <c r="U25" s="629">
        <f>IF(M25="","",X25*SIN(RADIANS(W25)))</f>
        <v>-1.3551694413349948</v>
      </c>
      <c r="V25" s="636">
        <f>IF(M25="","",Y25)</f>
        <v>-1.6748127574795122</v>
      </c>
      <c r="W25" s="585">
        <f t="shared" si="224"/>
        <v>346.04100201542997</v>
      </c>
      <c r="X25" s="629">
        <f>IF(M25="","",R25)</f>
        <v>5.6178072854020149</v>
      </c>
      <c r="Y25" s="630">
        <f t="shared" si="223"/>
        <v>-1.6748127574795122</v>
      </c>
      <c r="Z25" s="632">
        <f t="shared" si="6"/>
        <v>0.71403223566811036</v>
      </c>
      <c r="AA25" s="629">
        <f t="shared" si="7"/>
        <v>-0.68931247286983632</v>
      </c>
      <c r="AB25" s="629">
        <f t="shared" si="8"/>
        <v>-0.12250012723614433</v>
      </c>
      <c r="AC25" s="636">
        <f>IF(M25="","",SQRT(Z25^2+AA25^2+AB25^2))</f>
        <v>1</v>
      </c>
      <c r="AD25" s="637">
        <f>IF(M25="","",Z25*(1/SQRT(Z25^2+AA25^2+AB25^2)))</f>
        <v>0.71403223566811036</v>
      </c>
      <c r="AE25" s="629">
        <f>IF(M25="","",AA25*(1/SQRT(Z25^2+AA25^2+AB25^2)))</f>
        <v>-0.68931247286983632</v>
      </c>
      <c r="AF25" s="633">
        <f>IF(M25="","",AB25*(1/SQRT(Z25^2+AA25^2+AB25^2)))</f>
        <v>-0.12250012723614433</v>
      </c>
      <c r="AG25" s="602">
        <f>IF(M25="","",DEGREES(ATAN2(-AF25,AE25)))</f>
        <v>-79.922972462992561</v>
      </c>
      <c r="AH25" s="603">
        <f>IF(M25="","",DEGREES(ACOS(AD25)))</f>
        <v>44.436056592610441</v>
      </c>
      <c r="AI25" s="585">
        <f>IF(M25="","",DEGREES(-ACOS(-AF25)))</f>
        <v>-82.963585910967851</v>
      </c>
      <c r="AJ25" s="586">
        <f>IF(M25="","",DEGREES(ATAN2(-AE25,AD25)))</f>
        <v>46.009154492388092</v>
      </c>
      <c r="AK25" s="635">
        <f>IF(M25="","",(COS(RADIANS((90-$Q$8)-W25))*AD25)+(-SIN(RADIANS((90-$Q$8)-W25))*AE25))</f>
        <v>0.85922696976034674</v>
      </c>
      <c r="AL25" s="629">
        <f>IF(M25="","",(SIN(RADIANS((90-$Q$8)-W25))*AD25)+(COS(RADIANS((90-$Q$8)-W25))*AE25))</f>
        <v>-0.49671192180536672</v>
      </c>
      <c r="AM25" s="634">
        <f>IF(M25="","",AF25)</f>
        <v>-0.12250012723614433</v>
      </c>
      <c r="AN25" s="581">
        <f>IF(M25="","",DEGREES(ATAN2(-AM25,AL25)))</f>
        <v>-76.146056639835422</v>
      </c>
      <c r="AO25" s="582">
        <f>IF(ROUND(IF(M25="",0,DEGREES(ACOS(AK25))),4)=90,0,IF(M25="","",DEGREES(ACOS(AK25))))</f>
        <v>30.770102411374904</v>
      </c>
      <c r="AP25" s="585">
        <f>IF(M25="","",DEGREES(ATAN2(AK25,AL25)))</f>
        <v>-30.031847523041858</v>
      </c>
      <c r="AQ25" s="586">
        <f t="shared" si="9"/>
        <v>0.40579685234880586</v>
      </c>
      <c r="AS25" s="52">
        <f t="shared" si="116"/>
        <v>-13.958997984570033</v>
      </c>
      <c r="AT25" s="72">
        <f t="shared" si="10"/>
        <v>-1.6651190088791163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1.1399999999999999</v>
      </c>
      <c r="II25" s="734" cm="1">
        <f t="array" ref="II25">IFERROR(ROUND(VALUE(IF($IH25&lt;1,$IH25+LARGE((IF($M$9:$M$150="",0,$M$9:$M$150)-MOD(IF($M$9:$M$150="",0,$M$9:$M$150),1)),1),$IH25)),4),"")</f>
        <v>1.1399999999999999</v>
      </c>
      <c r="IJ25" s="533">
        <f t="shared" si="112"/>
        <v>1613</v>
      </c>
      <c r="IK25" s="533">
        <f t="shared" si="66"/>
        <v>1313</v>
      </c>
      <c r="IL25" s="727">
        <f t="shared" si="225"/>
        <v>10.117998539141752</v>
      </c>
      <c r="IM25" s="759">
        <v>4.07094422390911E-3</v>
      </c>
      <c r="IN25" s="5">
        <f t="shared" si="226"/>
        <v>0.16</v>
      </c>
      <c r="IO25" s="771">
        <v>80</v>
      </c>
      <c r="IP25" s="9">
        <f t="shared" si="227"/>
        <v>-5.5767168193779275</v>
      </c>
      <c r="IQ25" s="5">
        <f t="shared" si="228"/>
        <v>-1.7030051362634906</v>
      </c>
      <c r="IR25" s="5">
        <f t="shared" si="71"/>
        <v>0.314</v>
      </c>
      <c r="IS25" s="5">
        <f t="shared" si="229"/>
        <v>0.28127342314322856</v>
      </c>
      <c r="IT25" s="727">
        <f t="shared" si="230"/>
        <v>80.595435190875463</v>
      </c>
      <c r="IU25" s="9">
        <f t="shared" si="231"/>
        <v>-5.6178072854020149</v>
      </c>
      <c r="IV25" s="5">
        <f t="shared" si="232"/>
        <v>-1.6748127574795122</v>
      </c>
      <c r="IW25" s="5">
        <f t="shared" si="76"/>
        <v>0.26600000000000001</v>
      </c>
      <c r="IX25" s="5">
        <f t="shared" si="233"/>
        <v>0.22855437395625225</v>
      </c>
      <c r="IY25" s="762">
        <f t="shared" si="234"/>
        <v>76.146056639835422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2.6906772805105499</v>
      </c>
      <c r="C26" s="708">
        <v>1.2403598519739438</v>
      </c>
      <c r="D26" s="709">
        <v>-0.12250036946111431</v>
      </c>
      <c r="E26" s="710">
        <v>-0.37508046727942568</v>
      </c>
      <c r="F26" s="708">
        <v>0.88972076504303765</v>
      </c>
      <c r="G26" s="711">
        <v>0.26021453325415861</v>
      </c>
      <c r="H26" s="710">
        <v>0.314</v>
      </c>
      <c r="I26" s="708">
        <v>0.52</v>
      </c>
      <c r="J26" s="570">
        <v>2.1150000000000002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2.1150000000000002</v>
      </c>
      <c r="N26" s="632">
        <f t="shared" si="2"/>
        <v>2.6906772805105499</v>
      </c>
      <c r="O26" s="629">
        <f t="shared" si="3"/>
        <v>1.2403598519739438</v>
      </c>
      <c r="P26" s="633">
        <f t="shared" si="4"/>
        <v>-0.12250036946111431</v>
      </c>
      <c r="Q26" s="585">
        <f t="shared" si="113"/>
        <v>24.748957443515863</v>
      </c>
      <c r="R26" s="629">
        <f>IF(M26="","",SQRT(N26^2+O26^2))</f>
        <v>2.9628089358317511</v>
      </c>
      <c r="S26" s="634">
        <f>IF(M26="","",P26)</f>
        <v>-0.12250036946111431</v>
      </c>
      <c r="T26" s="635">
        <f>IF(M26="","",X26*COS(RADIANS(W26)))</f>
        <v>1.2403598519739425</v>
      </c>
      <c r="U26" s="629">
        <f>IF(M26="","",X26*SIN(RADIANS(W26)))</f>
        <v>-2.6906772805105508</v>
      </c>
      <c r="V26" s="636">
        <f>IF(M26="","",Y26)</f>
        <v>-0.12250036946111431</v>
      </c>
      <c r="W26" s="585">
        <f t="shared" si="224"/>
        <v>294.74895744351585</v>
      </c>
      <c r="X26" s="629">
        <f>IF(M26="","",R26)</f>
        <v>2.9628089358317511</v>
      </c>
      <c r="Y26" s="630">
        <f t="shared" si="223"/>
        <v>-0.12250036946111431</v>
      </c>
      <c r="Z26" s="632">
        <f t="shared" si="6"/>
        <v>0.37508046727942568</v>
      </c>
      <c r="AA26" s="629">
        <f t="shared" si="7"/>
        <v>-0.88972076504303765</v>
      </c>
      <c r="AB26" s="629">
        <f t="shared" si="8"/>
        <v>-0.26021453325415861</v>
      </c>
      <c r="AC26" s="636">
        <f>IF(M26="","",SQRT(Z26^2+AA26^2+AB26^2))</f>
        <v>1</v>
      </c>
      <c r="AD26" s="637">
        <f>IF(M26="","",Z26*(1/SQRT(Z26^2+AA26^2+AB26^2)))</f>
        <v>0.37508046727942568</v>
      </c>
      <c r="AE26" s="629">
        <f>IF(M26="","",AA26*(1/SQRT(Z26^2+AA26^2+AB26^2)))</f>
        <v>-0.88972076504303765</v>
      </c>
      <c r="AF26" s="633">
        <f>IF(M26="","",AB26*(1/SQRT(Z26^2+AA26^2+AB26^2)))</f>
        <v>-0.26021453325415861</v>
      </c>
      <c r="AG26" s="602">
        <f>IF(M26="","",DEGREES(ATAN2(-AF26,AE26)))</f>
        <v>-73.697509925444749</v>
      </c>
      <c r="AH26" s="603">
        <f>IF(M26="","",DEGREES(ACOS(AD26)))</f>
        <v>67.970713707665624</v>
      </c>
      <c r="AI26" s="585">
        <f>IF(M26="","",DEGREES(-ACOS(-AF26)))</f>
        <v>-74.917207834263323</v>
      </c>
      <c r="AJ26" s="586">
        <f>IF(M26="","",DEGREES(ATAN2(-AE26,AD26)))</f>
        <v>22.858877010553279</v>
      </c>
      <c r="AK26" s="635">
        <f>IF(M26="","",(COS(RADIANS((90-$Q$8)-W26))*AD26)+(-SIN(RADIANS((90-$Q$8)-W26))*AE26))</f>
        <v>0.96502550900067796</v>
      </c>
      <c r="AL26" s="629">
        <f>IF(M26="","",(SIN(RADIANS((90-$Q$8)-W26))*AD26)+(COS(RADIANS((90-$Q$8)-W26))*AE26))</f>
        <v>-3.184593633892413E-2</v>
      </c>
      <c r="AM26" s="634">
        <f>IF(M26="","",AF26)</f>
        <v>-0.26021453325415861</v>
      </c>
      <c r="AN26" s="581">
        <f>IF(M26="","",DEGREES(ATAN2(-AM26,AL26)))</f>
        <v>-6.9773548051724372</v>
      </c>
      <c r="AO26" s="582">
        <f t="shared" si="94"/>
        <v>15.198029944955188</v>
      </c>
      <c r="AP26" s="585">
        <f>IF(M26="","",DEGREES(ATAN2(AK26,AL26)))</f>
        <v>-1.8900804329625587</v>
      </c>
      <c r="AQ26" s="586">
        <f t="shared" si="9"/>
        <v>0.76940148608370695</v>
      </c>
      <c r="AS26" s="52">
        <f t="shared" si="116"/>
        <v>-65.251042556484151</v>
      </c>
      <c r="AT26" s="72">
        <f t="shared" si="10"/>
        <v>-7.7187145463555859E-2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2.1150000000000002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3.4413174724550859</v>
      </c>
      <c r="C27" s="708">
        <v>1.5265600661269618</v>
      </c>
      <c r="D27" s="709">
        <v>-0.13580040957403519</v>
      </c>
      <c r="E27" s="710">
        <v>-0.26035268992204236</v>
      </c>
      <c r="F27" s="708">
        <v>0.93582603174512669</v>
      </c>
      <c r="G27" s="711">
        <v>0.23758391182596122</v>
      </c>
      <c r="H27" s="710">
        <v>0.314</v>
      </c>
      <c r="I27" s="708">
        <v>0.52</v>
      </c>
      <c r="J27" s="570">
        <v>2.121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2.121</v>
      </c>
      <c r="N27" s="632">
        <f t="shared" si="2"/>
        <v>3.4413174724550859</v>
      </c>
      <c r="O27" s="629">
        <f t="shared" si="3"/>
        <v>1.5265600661269618</v>
      </c>
      <c r="P27" s="633">
        <f t="shared" si="4"/>
        <v>-0.13580040957403519</v>
      </c>
      <c r="Q27" s="585">
        <f t="shared" si="113"/>
        <v>23.921957562919868</v>
      </c>
      <c r="R27" s="629">
        <f t="shared" si="79"/>
        <v>3.7647113543694442</v>
      </c>
      <c r="S27" s="634">
        <f t="shared" si="80"/>
        <v>-0.13580040957403519</v>
      </c>
      <c r="T27" s="635">
        <f t="shared" si="81"/>
        <v>1.5265600661269618</v>
      </c>
      <c r="U27" s="629">
        <f t="shared" si="82"/>
        <v>-3.4413174724550859</v>
      </c>
      <c r="V27" s="636">
        <f t="shared" si="114"/>
        <v>-0.13580040957403519</v>
      </c>
      <c r="W27" s="585">
        <f t="shared" si="224"/>
        <v>293.92195756291989</v>
      </c>
      <c r="X27" s="629">
        <f t="shared" si="83"/>
        <v>3.7647113543694442</v>
      </c>
      <c r="Y27" s="630">
        <f t="shared" si="223"/>
        <v>-0.13580040957403519</v>
      </c>
      <c r="Z27" s="632">
        <f t="shared" si="6"/>
        <v>0.26035268992204236</v>
      </c>
      <c r="AA27" s="629">
        <f t="shared" si="7"/>
        <v>-0.93582603174512669</v>
      </c>
      <c r="AB27" s="629">
        <f t="shared" si="8"/>
        <v>-0.23758391182596122</v>
      </c>
      <c r="AC27" s="636">
        <f t="shared" si="84"/>
        <v>1</v>
      </c>
      <c r="AD27" s="637">
        <f t="shared" si="115"/>
        <v>0.26035268992204236</v>
      </c>
      <c r="AE27" s="629">
        <f t="shared" si="85"/>
        <v>-0.93582603174512669</v>
      </c>
      <c r="AF27" s="633">
        <f t="shared" si="86"/>
        <v>-0.23758391182596122</v>
      </c>
      <c r="AG27" s="602">
        <f t="shared" si="87"/>
        <v>-75.754924722580327</v>
      </c>
      <c r="AH27" s="603">
        <f t="shared" si="88"/>
        <v>74.909009460415902</v>
      </c>
      <c r="AI27" s="585">
        <f t="shared" si="89"/>
        <v>-76.256015365125151</v>
      </c>
      <c r="AJ27" s="586">
        <f t="shared" si="90"/>
        <v>15.546901771579726</v>
      </c>
      <c r="AK27" s="635">
        <f t="shared" si="211"/>
        <v>0.96100820307710078</v>
      </c>
      <c r="AL27" s="629">
        <f t="shared" si="91"/>
        <v>-0.14148186618784736</v>
      </c>
      <c r="AM27" s="634">
        <f t="shared" si="92"/>
        <v>-0.23758391182596122</v>
      </c>
      <c r="AN27" s="581">
        <f t="shared" si="93"/>
        <v>-30.77391361039389</v>
      </c>
      <c r="AO27" s="582">
        <f t="shared" si="94"/>
        <v>16.052608458668644</v>
      </c>
      <c r="AP27" s="585">
        <f t="shared" si="95"/>
        <v>-8.3750557913401398</v>
      </c>
      <c r="AQ27" s="586">
        <f t="shared" si="9"/>
        <v>0.60552896105638054</v>
      </c>
      <c r="AS27" s="52">
        <f t="shared" si="116"/>
        <v>-66.078042437080114</v>
      </c>
      <c r="AT27" s="72">
        <f t="shared" si="10"/>
        <v>-8.9912880103840659E-2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4.1277913535969653</v>
      </c>
      <c r="C28" s="708">
        <v>1.7461063309780582</v>
      </c>
      <c r="D28" s="709">
        <v>-0.46270139550740941</v>
      </c>
      <c r="E28" s="710">
        <v>-0.12373090120521547</v>
      </c>
      <c r="F28" s="708">
        <v>0.97391041776539722</v>
      </c>
      <c r="G28" s="711">
        <v>0.19023449281077981</v>
      </c>
      <c r="H28" s="710">
        <v>0.314</v>
      </c>
      <c r="I28" s="708">
        <v>0.52</v>
      </c>
      <c r="J28" s="570">
        <v>2.1269999999999998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2.1269999999999998</v>
      </c>
      <c r="N28" s="632">
        <f t="shared" si="2"/>
        <v>4.1277913535969653</v>
      </c>
      <c r="O28" s="629">
        <f t="shared" si="3"/>
        <v>1.7461063309780582</v>
      </c>
      <c r="P28" s="633">
        <f t="shared" si="4"/>
        <v>-0.46270139550740941</v>
      </c>
      <c r="Q28" s="585">
        <f t="shared" si="113"/>
        <v>22.928957706291307</v>
      </c>
      <c r="R28" s="629">
        <f t="shared" si="79"/>
        <v>4.4819135174511704</v>
      </c>
      <c r="S28" s="634">
        <f t="shared" si="80"/>
        <v>-0.46270139550740941</v>
      </c>
      <c r="T28" s="635">
        <f t="shared" si="81"/>
        <v>1.7461063309780602</v>
      </c>
      <c r="U28" s="629">
        <f t="shared" si="82"/>
        <v>-4.1277913535969644</v>
      </c>
      <c r="V28" s="636">
        <f t="shared" si="114"/>
        <v>-0.46270139550740941</v>
      </c>
      <c r="W28" s="585">
        <f t="shared" si="224"/>
        <v>292.92895770629133</v>
      </c>
      <c r="X28" s="629">
        <f t="shared" si="83"/>
        <v>4.4819135174511704</v>
      </c>
      <c r="Y28" s="630">
        <f t="shared" si="223"/>
        <v>-0.46270139550740941</v>
      </c>
      <c r="Z28" s="632">
        <f t="shared" si="6"/>
        <v>0.12373090120521547</v>
      </c>
      <c r="AA28" s="629">
        <f t="shared" si="7"/>
        <v>-0.97391041776539722</v>
      </c>
      <c r="AB28" s="629">
        <f t="shared" si="8"/>
        <v>-0.19023449281077981</v>
      </c>
      <c r="AC28" s="636">
        <f t="shared" si="84"/>
        <v>1</v>
      </c>
      <c r="AD28" s="637">
        <f t="shared" si="115"/>
        <v>0.12373090120521547</v>
      </c>
      <c r="AE28" s="629">
        <f t="shared" si="85"/>
        <v>-0.97391041776539722</v>
      </c>
      <c r="AF28" s="633">
        <f t="shared" si="86"/>
        <v>-0.19023449281077981</v>
      </c>
      <c r="AG28" s="602">
        <f t="shared" si="87"/>
        <v>-78.9475447914119</v>
      </c>
      <c r="AH28" s="603">
        <f t="shared" si="88"/>
        <v>82.892527161964324</v>
      </c>
      <c r="AI28" s="585">
        <f t="shared" si="89"/>
        <v>-79.033530756538653</v>
      </c>
      <c r="AJ28" s="586">
        <f t="shared" si="90"/>
        <v>7.2403805986004901</v>
      </c>
      <c r="AK28" s="635">
        <f t="shared" si="211"/>
        <v>0.94516467019451222</v>
      </c>
      <c r="AL28" s="629">
        <f t="shared" si="91"/>
        <v>-0.26547049546253587</v>
      </c>
      <c r="AM28" s="634">
        <f t="shared" si="92"/>
        <v>-0.19023449281077981</v>
      </c>
      <c r="AN28" s="581">
        <f t="shared" si="93"/>
        <v>-54.374853689148807</v>
      </c>
      <c r="AO28" s="582">
        <f t="shared" si="94"/>
        <v>19.062184776890042</v>
      </c>
      <c r="AP28" s="585">
        <f t="shared" si="95"/>
        <v>-15.68857710769085</v>
      </c>
      <c r="AQ28" s="586">
        <f t="shared" si="9"/>
        <v>0.50863693282646794</v>
      </c>
      <c r="AS28" s="52">
        <f t="shared" si="116"/>
        <v>-67.071042293708672</v>
      </c>
      <c r="AT28" s="72">
        <f t="shared" si="10"/>
        <v>-0.41612428280344504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2.1269999999999998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4.7128177769452186</v>
      </c>
      <c r="C29" s="708">
        <v>1.9011037890003322</v>
      </c>
      <c r="D29" s="709">
        <v>-0.97580294302167569</v>
      </c>
      <c r="E29" s="710">
        <v>-2.10240628028215E-2</v>
      </c>
      <c r="F29" s="708">
        <v>0.99148863434454815</v>
      </c>
      <c r="G29" s="711">
        <v>0.12848453894864467</v>
      </c>
      <c r="H29" s="710">
        <v>0.314</v>
      </c>
      <c r="I29" s="708">
        <v>0.52</v>
      </c>
      <c r="J29" s="570">
        <v>2.133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2.133</v>
      </c>
      <c r="N29" s="632">
        <f t="shared" si="2"/>
        <v>4.7128177769452186</v>
      </c>
      <c r="O29" s="629">
        <f t="shared" si="3"/>
        <v>1.9011037890003322</v>
      </c>
      <c r="P29" s="633">
        <f t="shared" si="4"/>
        <v>-0.97580294302167569</v>
      </c>
      <c r="Q29" s="585">
        <f t="shared" si="113"/>
        <v>21.968657844941458</v>
      </c>
      <c r="R29" s="629">
        <f>IF(M29="","",SQRT(N29^2+O29^2))</f>
        <v>5.0818153267550263</v>
      </c>
      <c r="S29" s="634">
        <f>IF(M29="","",P29)</f>
        <v>-0.97580294302167569</v>
      </c>
      <c r="T29" s="635">
        <f>IF(M29="","",X29*COS(RADIANS(W29)))</f>
        <v>1.9011037890003297</v>
      </c>
      <c r="U29" s="629">
        <f>IF(M29="","",X29*SIN(RADIANS(W29)))</f>
        <v>-4.7128177769452195</v>
      </c>
      <c r="V29" s="636">
        <f>IF(M29="","",Y29)</f>
        <v>-0.97580294302167569</v>
      </c>
      <c r="W29" s="585">
        <f t="shared" si="224"/>
        <v>291.96865784494145</v>
      </c>
      <c r="X29" s="629">
        <f>IF(M29="","",R29)</f>
        <v>5.0818153267550263</v>
      </c>
      <c r="Y29" s="630">
        <f t="shared" si="223"/>
        <v>-0.97580294302167569</v>
      </c>
      <c r="Z29" s="632">
        <f t="shared" si="6"/>
        <v>2.10240628028215E-2</v>
      </c>
      <c r="AA29" s="629">
        <f t="shared" si="7"/>
        <v>-0.99148863434454815</v>
      </c>
      <c r="AB29" s="629">
        <f t="shared" si="8"/>
        <v>-0.12848453894864467</v>
      </c>
      <c r="AC29" s="636">
        <f>IF(M29="","",SQRT(Z29^2+AA29^2+AB29^2))</f>
        <v>1</v>
      </c>
      <c r="AD29" s="637">
        <f>IF(M29="","",Z29*(1/SQRT(Z29^2+AA29^2+AB29^2)))</f>
        <v>2.10240628028215E-2</v>
      </c>
      <c r="AE29" s="629">
        <f>IF(M29="","",AA29*(1/SQRT(Z29^2+AA29^2+AB29^2)))</f>
        <v>-0.99148863434454815</v>
      </c>
      <c r="AF29" s="633">
        <f>IF(M29="","",AB29*(1/SQRT(Z29^2+AA29^2+AB29^2)))</f>
        <v>-0.12848453894864467</v>
      </c>
      <c r="AG29" s="602">
        <f>IF(M29="","",DEGREES(ATAN2(-AF29,AE29)))</f>
        <v>-82.616330504663921</v>
      </c>
      <c r="AH29" s="603">
        <f>IF(M29="","",DEGREES(ACOS(AD29)))</f>
        <v>88.795321175137943</v>
      </c>
      <c r="AI29" s="585">
        <f>IF(M29="","",DEGREES(-ACOS(-AF29)))</f>
        <v>-82.617971609216355</v>
      </c>
      <c r="AJ29" s="586">
        <f>IF(M29="","",DEGREES(ATAN2(-AE29,AD29)))</f>
        <v>1.2147487452651786</v>
      </c>
      <c r="AK29" s="635">
        <f>IF(M29="","",(COS(RADIANS((90-$Q$8)-W29))*AD29)+(-SIN(RADIANS((90-$Q$8)-W29))*AE29))</f>
        <v>0.92736037892231116</v>
      </c>
      <c r="AL29" s="629">
        <f>IF(M29="","",(SIN(RADIANS((90-$Q$8)-W29))*AD29)+(COS(RADIANS((90-$Q$8)-W29))*AE29))</f>
        <v>-0.35141777253892742</v>
      </c>
      <c r="AM29" s="634">
        <f>IF(M29="","",AF29)</f>
        <v>-0.12848453894864467</v>
      </c>
      <c r="AN29" s="581">
        <f>IF(M29="","",DEGREES(ATAN2(-AM29,AL29)))</f>
        <v>-69.916695900745381</v>
      </c>
      <c r="AO29" s="582">
        <f t="shared" si="94"/>
        <v>21.972984976344872</v>
      </c>
      <c r="AP29" s="585">
        <f>IF(M29="","",DEGREES(ATAN2(AK29,AL29)))</f>
        <v>-20.753909099676253</v>
      </c>
      <c r="AQ29" s="586">
        <f t="shared" si="9"/>
        <v>0.44859561048679519</v>
      </c>
      <c r="AS29" s="52">
        <f t="shared" si="116"/>
        <v>-68.031342155058553</v>
      </c>
      <c r="AT29" s="72">
        <f t="shared" si="10"/>
        <v>-0.92855895541399613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2.133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100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80</v>
      </c>
    </row>
    <row r="30" spans="1:269" ht="15" customHeight="1" x14ac:dyDescent="0.25">
      <c r="A30" s="79"/>
      <c r="B30" s="707">
        <v>5.1443976890797058</v>
      </c>
      <c r="C30" s="708">
        <v>2.0011627165766379</v>
      </c>
      <c r="D30" s="709">
        <v>-1.5921048017880823</v>
      </c>
      <c r="E30" s="710">
        <v>7.9461272025170171E-2</v>
      </c>
      <c r="F30" s="708">
        <v>0.99300570876846372</v>
      </c>
      <c r="G30" s="711">
        <v>8.7324501724218087E-2</v>
      </c>
      <c r="H30" s="710">
        <v>0.314</v>
      </c>
      <c r="I30" s="708">
        <v>0.52</v>
      </c>
      <c r="J30" s="570">
        <v>2.1389999999999998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2.1389999999999998</v>
      </c>
      <c r="N30" s="632">
        <f t="shared" si="2"/>
        <v>5.1443976890797058</v>
      </c>
      <c r="O30" s="629">
        <f t="shared" si="3"/>
        <v>2.0011627165766379</v>
      </c>
      <c r="P30" s="633">
        <f t="shared" si="4"/>
        <v>-1.5921048017880823</v>
      </c>
      <c r="Q30" s="585">
        <f t="shared" si="113"/>
        <v>21.255957947842592</v>
      </c>
      <c r="R30" s="629">
        <f>IF(M30="","",SQRT(N30^2+O30^2))</f>
        <v>5.5199166480686106</v>
      </c>
      <c r="S30" s="634">
        <f>IF(M30="","",P30)</f>
        <v>-1.5921048017880823</v>
      </c>
      <c r="T30" s="635">
        <f>IF(M30="","",X30*COS(RADIANS(W30)))</f>
        <v>2.0011627165766388</v>
      </c>
      <c r="U30" s="629">
        <f>IF(M30="","",X30*SIN(RADIANS(W30)))</f>
        <v>-5.1443976890797058</v>
      </c>
      <c r="V30" s="636">
        <f>IF(M30="","",Y30)</f>
        <v>-1.5921048017880823</v>
      </c>
      <c r="W30" s="585">
        <f t="shared" si="224"/>
        <v>291.2559579478426</v>
      </c>
      <c r="X30" s="629">
        <f>IF(M30="","",R30)</f>
        <v>5.5199166480686106</v>
      </c>
      <c r="Y30" s="630">
        <f t="shared" si="223"/>
        <v>-1.5921048017880823</v>
      </c>
      <c r="Z30" s="632">
        <f t="shared" si="6"/>
        <v>-7.9461272025170171E-2</v>
      </c>
      <c r="AA30" s="629">
        <f t="shared" si="7"/>
        <v>-0.99300570876846372</v>
      </c>
      <c r="AB30" s="629">
        <f t="shared" si="8"/>
        <v>-8.7324501724218087E-2</v>
      </c>
      <c r="AC30" s="636">
        <f>IF(M30="","",SQRT(Z30^2+AA30^2+AB30^2))</f>
        <v>1</v>
      </c>
      <c r="AD30" s="637">
        <f>IF(M30="","",Z30*(1/SQRT(Z30^2+AA30^2+AB30^2)))</f>
        <v>-7.9461272025170171E-2</v>
      </c>
      <c r="AE30" s="629">
        <f>IF(M30="","",AA30*(1/SQRT(Z30^2+AA30^2+AB30^2)))</f>
        <v>-0.99300570876846372</v>
      </c>
      <c r="AF30" s="633">
        <f>IF(M30="","",AB30*(1/SQRT(Z30^2+AA30^2+AB30^2)))</f>
        <v>-8.7324501724218087E-2</v>
      </c>
      <c r="AG30" s="602">
        <f>IF(M30="","",DEGREES(ATAN2(-AF30,AE30)))</f>
        <v>-84.974361830730146</v>
      </c>
      <c r="AH30" s="603">
        <f>IF(M30="","",DEGREES(ACOS(AD30)))</f>
        <v>94.557600316032932</v>
      </c>
      <c r="AI30" s="585">
        <f>IF(M30="","",DEGREES(-ACOS(-AF30)))</f>
        <v>-84.990293816228302</v>
      </c>
      <c r="AJ30" s="586">
        <f>IF(M30="","",DEGREES(ATAN2(-AE30,AD30)))</f>
        <v>-4.5751146507522629</v>
      </c>
      <c r="AK30" s="635">
        <f>IF(M30="","",(COS(RADIANS((90-$Q$8)-W30))*AD30)+(-SIN(RADIANS((90-$Q$8)-W30))*AE30))</f>
        <v>0.89664421657067672</v>
      </c>
      <c r="AL30" s="629">
        <f>IF(M30="","",(SIN(RADIANS((90-$Q$8)-W30))*AD30)+(COS(RADIANS((90-$Q$8)-W30))*AE30))</f>
        <v>-0.4340548125398157</v>
      </c>
      <c r="AM30" s="634">
        <f>IF(M30="","",AF30)</f>
        <v>-8.7324501724218087E-2</v>
      </c>
      <c r="AN30" s="581">
        <f>IF(M30="","",DEGREES(ATAN2(-AM30,AL30)))</f>
        <v>-78.624901784199423</v>
      </c>
      <c r="AO30" s="582">
        <f>IF(ROUND(IF(M30="",0,DEGREES(ACOS(AK30))),4)=90,0,IF(M30="","",DEGREES(ACOS(AK30))))</f>
        <v>26.279588512200032</v>
      </c>
      <c r="AP30" s="585">
        <f>IF(M30="","",DEGREES(ATAN2(AK30,AL30)))</f>
        <v>-25.831072598594861</v>
      </c>
      <c r="AQ30" s="586">
        <f t="shared" si="9"/>
        <v>0.41299303865026699</v>
      </c>
      <c r="AS30" s="52">
        <f t="shared" si="116"/>
        <v>-68.744042052157397</v>
      </c>
      <c r="AT30" s="72">
        <f t="shared" si="10"/>
        <v>-1.5443658836963063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2.1389999999999998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12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120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5.4130172672845003</v>
      </c>
      <c r="C31" s="708">
        <v>2.0551268287786679</v>
      </c>
      <c r="D31" s="709">
        <v>-2.3013069407417324</v>
      </c>
      <c r="E31" s="710">
        <v>0.14820300665637398</v>
      </c>
      <c r="F31" s="708">
        <v>0.98827232172253021</v>
      </c>
      <c r="G31" s="711">
        <v>3.6792484764834557E-2</v>
      </c>
      <c r="H31" s="710">
        <v>0.314</v>
      </c>
      <c r="I31" s="708">
        <v>0.52</v>
      </c>
      <c r="J31" s="570">
        <v>2.145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2.145</v>
      </c>
      <c r="N31" s="632">
        <f t="shared" si="2"/>
        <v>5.4130172672845003</v>
      </c>
      <c r="O31" s="629">
        <f t="shared" si="3"/>
        <v>2.0551268287786679</v>
      </c>
      <c r="P31" s="633">
        <f t="shared" si="4"/>
        <v>-2.3013069407417324</v>
      </c>
      <c r="Q31" s="585">
        <f t="shared" si="113"/>
        <v>20.789958015124661</v>
      </c>
      <c r="R31" s="629">
        <f>IF(M31="","",SQRT(N31^2+O31^2))</f>
        <v>5.7900174626926662</v>
      </c>
      <c r="S31" s="634">
        <f>IF(M31="","",P31)</f>
        <v>-2.3013069407417324</v>
      </c>
      <c r="T31" s="635">
        <f>IF(M31="","",X31*COS(RADIANS(W31)))</f>
        <v>2.0551268287786701</v>
      </c>
      <c r="U31" s="629">
        <f>IF(M31="","",X31*SIN(RADIANS(W31)))</f>
        <v>-5.4130172672844994</v>
      </c>
      <c r="V31" s="636">
        <f>IF(M31="","",Y31)</f>
        <v>-2.3013069407417324</v>
      </c>
      <c r="W31" s="585">
        <f t="shared" si="224"/>
        <v>290.78995801512468</v>
      </c>
      <c r="X31" s="629">
        <f>IF(M31="","",R31)</f>
        <v>5.7900174626926662</v>
      </c>
      <c r="Y31" s="630">
        <f t="shared" si="223"/>
        <v>-2.3013069407417324</v>
      </c>
      <c r="Z31" s="632">
        <f t="shared" si="6"/>
        <v>-0.14820300665637398</v>
      </c>
      <c r="AA31" s="629">
        <f t="shared" si="7"/>
        <v>-0.98827232172253021</v>
      </c>
      <c r="AB31" s="629">
        <f t="shared" si="8"/>
        <v>-3.6792484764834557E-2</v>
      </c>
      <c r="AC31" s="636">
        <f>IF(M31="","",SQRT(Z31^2+AA31^2+AB31^2))</f>
        <v>1</v>
      </c>
      <c r="AD31" s="637">
        <f>IF(M31="","",Z31*(1/SQRT(Z31^2+AA31^2+AB31^2)))</f>
        <v>-0.14820300665637398</v>
      </c>
      <c r="AE31" s="629">
        <f>IF(M31="","",AA31*(1/SQRT(Z31^2+AA31^2+AB31^2)))</f>
        <v>-0.98827232172253021</v>
      </c>
      <c r="AF31" s="633">
        <f>IF(M31="","",AB31*(1/SQRT(Z31^2+AA31^2+AB31^2)))</f>
        <v>-3.6792484764834557E-2</v>
      </c>
      <c r="AG31" s="602">
        <f>IF(M31="","",DEGREES(ATAN2(-AF31,AE31)))</f>
        <v>-87.867914609435999</v>
      </c>
      <c r="AH31" s="603">
        <f>IF(M31="","",DEGREES(ACOS(AD31)))</f>
        <v>98.522802499563454</v>
      </c>
      <c r="AI31" s="585">
        <f>IF(M31="","",DEGREES(-ACOS(-AF31)))</f>
        <v>-87.891470007673462</v>
      </c>
      <c r="AJ31" s="586">
        <f>IF(M31="","",DEGREES(ATAN2(-AE31,AD31)))</f>
        <v>-8.5286199809182577</v>
      </c>
      <c r="AK31" s="635">
        <f>IF(M31="","",(COS(RADIANS((90-$Q$8)-W31))*AD31)+(-SIN(RADIANS((90-$Q$8)-W31))*AE31))</f>
        <v>0.87132019889142875</v>
      </c>
      <c r="AL31" s="629">
        <f>IF(M31="","",(SIN(RADIANS((90-$Q$8)-W31))*AD31)+(COS(RADIANS((90-$Q$8)-W31))*AE31))</f>
        <v>-0.48933365311271049</v>
      </c>
      <c r="AM31" s="634">
        <f>IF(M31="","",AF31)</f>
        <v>-3.6792484764834557E-2</v>
      </c>
      <c r="AN31" s="581">
        <f>IF(M31="","",DEGREES(ATAN2(-AM31,AL31)))</f>
        <v>-85.700081203031473</v>
      </c>
      <c r="AO31" s="582">
        <f t="shared" si="94"/>
        <v>29.387580573676651</v>
      </c>
      <c r="AP31" s="585">
        <f>IF(M31="","",DEGREES(ATAN2(AK31,AL31)))</f>
        <v>-29.318577996042947</v>
      </c>
      <c r="AQ31" s="586">
        <f t="shared" si="9"/>
        <v>0.3937277843989751</v>
      </c>
      <c r="AS31" s="52">
        <f t="shared" si="116"/>
        <v>-69.210041984875318</v>
      </c>
      <c r="AT31" s="72">
        <f t="shared" si="10"/>
        <v>-2.2532444115855688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2.145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5.5678801342868232</v>
      </c>
      <c r="C32" s="708">
        <v>2.0837343881371835</v>
      </c>
      <c r="D32" s="709">
        <v>-2.9723089644838367</v>
      </c>
      <c r="E32" s="710">
        <v>0.36929912498471312</v>
      </c>
      <c r="F32" s="708">
        <v>0.92881690669506145</v>
      </c>
      <c r="G32" s="711">
        <v>3.0287128007504896E-2</v>
      </c>
      <c r="H32" s="710">
        <v>0.26600000000000001</v>
      </c>
      <c r="I32" s="708">
        <v>0.52</v>
      </c>
      <c r="J32" s="570">
        <v>2.1509999999999998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2.1509999999999998</v>
      </c>
      <c r="N32" s="632">
        <f t="shared" si="2"/>
        <v>5.5678801342868232</v>
      </c>
      <c r="O32" s="629">
        <f t="shared" si="3"/>
        <v>2.0837343881371835</v>
      </c>
      <c r="P32" s="633">
        <f t="shared" si="4"/>
        <v>-2.9723089644838367</v>
      </c>
      <c r="Q32" s="585">
        <f t="shared" si="113"/>
        <v>20.517958054396583</v>
      </c>
      <c r="R32" s="629">
        <f t="shared" si="79"/>
        <v>5.9450179301740791</v>
      </c>
      <c r="S32" s="634">
        <f t="shared" si="80"/>
        <v>-2.9723089644838367</v>
      </c>
      <c r="T32" s="635">
        <f t="shared" si="81"/>
        <v>2.0837343881371795</v>
      </c>
      <c r="U32" s="629">
        <f t="shared" si="82"/>
        <v>-5.567880134286824</v>
      </c>
      <c r="V32" s="636">
        <f t="shared" si="114"/>
        <v>-2.9723089644838367</v>
      </c>
      <c r="W32" s="585">
        <f t="shared" si="224"/>
        <v>290.51795805439656</v>
      </c>
      <c r="X32" s="629">
        <f t="shared" si="83"/>
        <v>5.9450179301740791</v>
      </c>
      <c r="Y32" s="630">
        <f t="shared" si="223"/>
        <v>-2.9723089644838367</v>
      </c>
      <c r="Z32" s="632">
        <f t="shared" si="6"/>
        <v>-0.36929912498471312</v>
      </c>
      <c r="AA32" s="629">
        <f t="shared" si="7"/>
        <v>-0.92881690669506145</v>
      </c>
      <c r="AB32" s="629">
        <f t="shared" si="8"/>
        <v>-3.0287128007504896E-2</v>
      </c>
      <c r="AC32" s="636">
        <f t="shared" si="84"/>
        <v>1</v>
      </c>
      <c r="AD32" s="637">
        <f t="shared" si="115"/>
        <v>-0.36929912498471312</v>
      </c>
      <c r="AE32" s="629">
        <f t="shared" si="85"/>
        <v>-0.92881690669506145</v>
      </c>
      <c r="AF32" s="633">
        <f t="shared" si="86"/>
        <v>-3.0287128007504896E-2</v>
      </c>
      <c r="AG32" s="602">
        <f t="shared" si="87"/>
        <v>-88.132344565544059</v>
      </c>
      <c r="AH32" s="603">
        <f t="shared" si="88"/>
        <v>111.67239900461119</v>
      </c>
      <c r="AI32" s="585">
        <f t="shared" si="89"/>
        <v>-88.264409976884167</v>
      </c>
      <c r="AJ32" s="586">
        <f t="shared" si="90"/>
        <v>-21.682849596166786</v>
      </c>
      <c r="AK32" s="635">
        <f t="shared" si="211"/>
        <v>0.74045528014221751</v>
      </c>
      <c r="AL32" s="629">
        <f t="shared" si="91"/>
        <v>-0.67142286823325237</v>
      </c>
      <c r="AM32" s="634">
        <f t="shared" si="92"/>
        <v>-3.0287128007504896E-2</v>
      </c>
      <c r="AN32" s="581">
        <f t="shared" si="93"/>
        <v>-87.417202918500365</v>
      </c>
      <c r="AO32" s="582">
        <f t="shared" si="94"/>
        <v>42.229787096063987</v>
      </c>
      <c r="AP32" s="585">
        <f t="shared" si="95"/>
        <v>-42.200807650563341</v>
      </c>
      <c r="AQ32" s="586">
        <f t="shared" si="9"/>
        <v>0.38346269443547876</v>
      </c>
      <c r="AS32" s="52">
        <f t="shared" si="116"/>
        <v>-69.482041945603441</v>
      </c>
      <c r="AT32" s="72">
        <f t="shared" si="10"/>
        <v>-2.9240575464660568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2.1509999999999998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3.7512907474630404</v>
      </c>
      <c r="C33" s="708">
        <v>0.38639833622157255</v>
      </c>
      <c r="D33" s="709">
        <v>-0.1095053916641871</v>
      </c>
      <c r="E33" s="710">
        <v>0.16246631830760658</v>
      </c>
      <c r="F33" s="708">
        <v>1.6734925279661892E-2</v>
      </c>
      <c r="G33" s="711">
        <v>0.98657216547572213</v>
      </c>
      <c r="H33" s="710">
        <v>0.26250000000000001</v>
      </c>
      <c r="I33" s="708">
        <v>0.40699999999999997</v>
      </c>
      <c r="J33" s="570">
        <v>2.2210000000000001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Inactive</v>
      </c>
      <c r="L33" s="320"/>
      <c r="M33" s="168">
        <f t="shared" si="1"/>
        <v>2.2210000000000001</v>
      </c>
      <c r="N33" s="632">
        <f t="shared" si="2"/>
        <v>3.7512907474630404</v>
      </c>
      <c r="O33" s="629">
        <f t="shared" si="3"/>
        <v>0.38639833622157255</v>
      </c>
      <c r="P33" s="633">
        <f t="shared" si="4"/>
        <v>-0.1095053916641871</v>
      </c>
      <c r="Q33" s="585">
        <f t="shared" si="113"/>
        <v>5.8809601677176104</v>
      </c>
      <c r="R33" s="629">
        <f t="shared" si="79"/>
        <v>3.7711385477381518</v>
      </c>
      <c r="S33" s="634">
        <f t="shared" si="80"/>
        <v>-0.1095053916641871</v>
      </c>
      <c r="T33" s="635">
        <f t="shared" si="81"/>
        <v>0.38639833622157055</v>
      </c>
      <c r="U33" s="629">
        <f t="shared" si="82"/>
        <v>-3.7512907474630408</v>
      </c>
      <c r="V33" s="636">
        <f t="shared" si="114"/>
        <v>-0.1095053916641871</v>
      </c>
      <c r="W33" s="585">
        <f t="shared" si="224"/>
        <v>275.8809601677176</v>
      </c>
      <c r="X33" s="629">
        <f t="shared" si="83"/>
        <v>3.7711385477381518</v>
      </c>
      <c r="Y33" s="630">
        <f t="shared" si="223"/>
        <v>-0.1095053916641871</v>
      </c>
      <c r="Z33" s="632">
        <f t="shared" si="6"/>
        <v>-0.16246631830760658</v>
      </c>
      <c r="AA33" s="629">
        <f t="shared" si="7"/>
        <v>-1.6734925279661892E-2</v>
      </c>
      <c r="AB33" s="629">
        <f t="shared" si="8"/>
        <v>-0.98657216547572213</v>
      </c>
      <c r="AC33" s="636">
        <f t="shared" si="84"/>
        <v>1</v>
      </c>
      <c r="AD33" s="637">
        <f t="shared" si="115"/>
        <v>-0.16246631830760658</v>
      </c>
      <c r="AE33" s="629">
        <f t="shared" si="85"/>
        <v>-1.6734925279661892E-2</v>
      </c>
      <c r="AF33" s="633">
        <f t="shared" si="86"/>
        <v>-0.98657216547572213</v>
      </c>
      <c r="AG33" s="602">
        <f t="shared" si="87"/>
        <v>-0.97179778126804484</v>
      </c>
      <c r="AH33" s="603">
        <f t="shared" si="88"/>
        <v>99.350079248616851</v>
      </c>
      <c r="AI33" s="585">
        <f t="shared" si="89"/>
        <v>-9.3999986428170015</v>
      </c>
      <c r="AJ33" s="586">
        <f t="shared" si="90"/>
        <v>-84.118960271188257</v>
      </c>
      <c r="AK33" s="635">
        <f t="shared" si="211"/>
        <v>2.267948967932254E-7</v>
      </c>
      <c r="AL33" s="629">
        <f t="shared" si="91"/>
        <v>-0.16332593887222255</v>
      </c>
      <c r="AM33" s="634">
        <f t="shared" si="92"/>
        <v>-0.98657216547572213</v>
      </c>
      <c r="AN33" s="581">
        <f t="shared" si="93"/>
        <v>-9.3999986428081161</v>
      </c>
      <c r="AO33" s="582">
        <f t="shared" si="94"/>
        <v>0</v>
      </c>
      <c r="AP33" s="585">
        <f t="shared" si="95"/>
        <v>-89.999920438905846</v>
      </c>
      <c r="AQ33" s="586">
        <f t="shared" si="9"/>
        <v>0.6044970279607178</v>
      </c>
      <c r="AS33" s="52">
        <f t="shared" si="116"/>
        <v>-84.119039832282397</v>
      </c>
      <c r="AT33" s="72">
        <f t="shared" si="10"/>
        <v>-5.1089391780657648E-2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2.2210000000000001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2.121</v>
      </c>
      <c r="II33" s="734" cm="1">
        <f t="array" ref="II33">IFERROR(ROUND(VALUE(IF($IH33&lt;1,$IH33+LARGE((IF($M$9:$M$150="",0,$M$9:$M$150)-MOD(IF($M$9:$M$150="",0,$M$9:$M$150),1)),1),$IH33)),4),"")</f>
        <v>2.121</v>
      </c>
      <c r="IJ33" s="533">
        <f t="shared" si="112"/>
        <v>1613</v>
      </c>
      <c r="IK33" s="533" t="str">
        <f t="shared" si="66"/>
        <v>Inactive</v>
      </c>
      <c r="IL33" s="727">
        <f t="shared" si="225"/>
        <v>18.040997395202282</v>
      </c>
      <c r="IM33" s="759">
        <v>1.27745630782789E-2</v>
      </c>
      <c r="IN33" s="5">
        <f t="shared" si="226"/>
        <v>0.24</v>
      </c>
      <c r="IO33" s="771">
        <v>120</v>
      </c>
      <c r="IP33" s="9">
        <f t="shared" si="227"/>
        <v>-3.7647113543694442</v>
      </c>
      <c r="IQ33" s="5">
        <f t="shared" si="228"/>
        <v>-0.13580040957403519</v>
      </c>
      <c r="IR33" s="5">
        <f t="shared" si="71"/>
        <v>0.314</v>
      </c>
      <c r="IS33" s="5">
        <f t="shared" si="229"/>
        <v>0.30175657576620962</v>
      </c>
      <c r="IT33" s="727">
        <f t="shared" si="230"/>
        <v>30.77391361039389</v>
      </c>
      <c r="IU33" s="9">
        <f t="shared" si="231"/>
        <v>-3.7711385477381518</v>
      </c>
      <c r="IV33" s="5">
        <f t="shared" si="232"/>
        <v>-0.1095053916641871</v>
      </c>
      <c r="IW33" s="5">
        <f t="shared" si="76"/>
        <v>0.26250000000000001</v>
      </c>
      <c r="IX33" s="5">
        <f t="shared" si="233"/>
        <v>0.26250000000000001</v>
      </c>
      <c r="IY33" s="762">
        <f t="shared" si="234"/>
        <v>9.3999986428081161</v>
      </c>
    </row>
    <row r="34" spans="1:267" ht="15" customHeight="1" x14ac:dyDescent="0.25">
      <c r="A34" s="79"/>
      <c r="B34" s="707">
        <v>4.4236095026531705</v>
      </c>
      <c r="C34" s="708">
        <v>0.85729565262507823</v>
      </c>
      <c r="D34" s="709">
        <v>-0.42307629272112002</v>
      </c>
      <c r="E34" s="710">
        <v>0.12199800272775582</v>
      </c>
      <c r="F34" s="708">
        <v>0.95707656897189897</v>
      </c>
      <c r="G34" s="711">
        <v>0.2629085933464641</v>
      </c>
      <c r="H34" s="710">
        <v>0.26600000000000001</v>
      </c>
      <c r="I34" s="708">
        <v>0.52</v>
      </c>
      <c r="J34" s="570">
        <v>2.2269999999999999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2.2269999999999999</v>
      </c>
      <c r="N34" s="632">
        <f t="shared" si="2"/>
        <v>4.4236095026531705</v>
      </c>
      <c r="O34" s="629">
        <f t="shared" si="3"/>
        <v>0.85729565262507823</v>
      </c>
      <c r="P34" s="633">
        <f t="shared" si="4"/>
        <v>-0.42307629272112002</v>
      </c>
      <c r="Q34" s="585">
        <f t="shared" si="113"/>
        <v>10.967959433245793</v>
      </c>
      <c r="R34" s="629">
        <f>IF(M34="","",SQRT(N34^2+O34^2))</f>
        <v>4.5059157635239133</v>
      </c>
      <c r="S34" s="634">
        <f>IF(M34="","",P34)</f>
        <v>-0.42307629272112002</v>
      </c>
      <c r="T34" s="635">
        <f>IF(M34="","",X34*COS(RADIANS(W34)))</f>
        <v>0.85729565262507557</v>
      </c>
      <c r="U34" s="629">
        <f>IF(M34="","",X34*SIN(RADIANS(W34)))</f>
        <v>-4.4236095026531714</v>
      </c>
      <c r="V34" s="636">
        <f>IF(M34="","",Y34)</f>
        <v>-0.42307629272112002</v>
      </c>
      <c r="W34" s="585">
        <f t="shared" si="224"/>
        <v>280.96795943324577</v>
      </c>
      <c r="X34" s="629">
        <f>IF(M34="","",R34)</f>
        <v>4.5059157635239133</v>
      </c>
      <c r="Y34" s="630">
        <f t="shared" si="223"/>
        <v>-0.42307629272112002</v>
      </c>
      <c r="Z34" s="632">
        <f t="shared" si="6"/>
        <v>-0.12199800272775582</v>
      </c>
      <c r="AA34" s="629">
        <f t="shared" si="7"/>
        <v>-0.95707656897189897</v>
      </c>
      <c r="AB34" s="629">
        <f t="shared" si="8"/>
        <v>-0.2629085933464641</v>
      </c>
      <c r="AC34" s="636">
        <f>IF(M34="","",SQRT(Z34^2+AA34^2+AB34^2))</f>
        <v>1</v>
      </c>
      <c r="AD34" s="637">
        <f>IF(M34="","",Z34*(1/SQRT(Z34^2+AA34^2+AB34^2)))</f>
        <v>-0.12199800272775582</v>
      </c>
      <c r="AE34" s="629">
        <f>IF(M34="","",AA34*(1/SQRT(Z34^2+AA34^2+AB34^2)))</f>
        <v>-0.95707656897189897</v>
      </c>
      <c r="AF34" s="633">
        <f>IF(M34="","",AB34*(1/SQRT(Z34^2+AA34^2+AB34^2)))</f>
        <v>-0.2629085933464641</v>
      </c>
      <c r="AG34" s="602">
        <f>IF(M34="","",DEGREES(ATAN2(-AF34,AE34)))</f>
        <v>-74.639749139997122</v>
      </c>
      <c r="AH34" s="603">
        <f>IF(M34="","",DEGREES(ACOS(AD34)))</f>
        <v>97.007427055007369</v>
      </c>
      <c r="AI34" s="585">
        <f>IF(M34="","",DEGREES(-ACOS(-AF34)))</f>
        <v>-74.757281968053363</v>
      </c>
      <c r="AJ34" s="586">
        <f>IF(M34="","",DEGREES(ATAN2(-AE34,AD34)))</f>
        <v>-7.2642848093234447</v>
      </c>
      <c r="AK34" s="635">
        <f>IF(M34="","",(COS(RADIANS((90-$Q$8)-W34))*AD34)+(-SIN(RADIANS((90-$Q$8)-W34))*AE34))</f>
        <v>0.91638300949374263</v>
      </c>
      <c r="AL34" s="629">
        <f>IF(M34="","",(SIN(RADIANS((90-$Q$8)-W34))*AD34)+(COS(RADIANS((90-$Q$8)-W34))*AE34))</f>
        <v>-0.30186296800994827</v>
      </c>
      <c r="AM34" s="634">
        <f>IF(M34="","",AF34)</f>
        <v>-0.2629085933464641</v>
      </c>
      <c r="AN34" s="581">
        <f>IF(M34="","",DEGREES(ATAN2(-AM34,AL34)))</f>
        <v>-48.945651879873111</v>
      </c>
      <c r="AO34" s="582">
        <f t="shared" si="94"/>
        <v>23.597097478050834</v>
      </c>
      <c r="AP34" s="585">
        <f>IF(M34="","",DEGREES(ATAN2(AK34,AL34)))</f>
        <v>-18.232244242569205</v>
      </c>
      <c r="AQ34" s="586">
        <f t="shared" si="9"/>
        <v>0.50592765170031051</v>
      </c>
      <c r="AS34" s="52">
        <f t="shared" si="116"/>
        <v>-79.032040566754233</v>
      </c>
      <c r="AT34" s="72">
        <f t="shared" si="10"/>
        <v>-0.36819293121642954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Nose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2.2269999999999999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2.1269999999999998</v>
      </c>
      <c r="II34" s="734" cm="1">
        <f t="array" ref="II34">IFERROR(ROUND(VALUE(IF($IH34&lt;1,$IH34+LARGE((IF($M$9:$M$150="",0,$M$9:$M$150)-MOD(IF($M$9:$M$150="",0,$M$9:$M$150),1)),1),$IH34)),4),"")</f>
        <v>2.1269999999999998</v>
      </c>
      <c r="IJ34" s="533">
        <f t="shared" si="112"/>
        <v>1613</v>
      </c>
      <c r="IK34" s="533">
        <f t="shared" si="66"/>
        <v>1313</v>
      </c>
      <c r="IL34" s="727">
        <f t="shared" si="225"/>
        <v>11.960998273045561</v>
      </c>
      <c r="IM34" s="759">
        <v>7.270846564733E-3</v>
      </c>
      <c r="IN34" s="5">
        <f t="shared" si="226"/>
        <v>0.2</v>
      </c>
      <c r="IO34" s="771">
        <v>100</v>
      </c>
      <c r="IP34" s="9">
        <f t="shared" si="227"/>
        <v>-4.4819135174511704</v>
      </c>
      <c r="IQ34" s="5">
        <f t="shared" si="228"/>
        <v>-0.46270139550740941</v>
      </c>
      <c r="IR34" s="5">
        <f t="shared" si="71"/>
        <v>0.314</v>
      </c>
      <c r="IS34" s="5">
        <f t="shared" si="229"/>
        <v>0.29678170644107682</v>
      </c>
      <c r="IT34" s="727">
        <f t="shared" si="230"/>
        <v>54.374853689148807</v>
      </c>
      <c r="IU34" s="9">
        <f t="shared" si="231"/>
        <v>-4.5059157635239133</v>
      </c>
      <c r="IV34" s="5">
        <f t="shared" si="232"/>
        <v>-0.42307629272112002</v>
      </c>
      <c r="IW34" s="5">
        <f t="shared" si="76"/>
        <v>0.26600000000000001</v>
      </c>
      <c r="IX34" s="5">
        <f t="shared" si="233"/>
        <v>0.24375788052533556</v>
      </c>
      <c r="IY34" s="762">
        <f t="shared" si="234"/>
        <v>48.945651879873111</v>
      </c>
      <c r="JG34" s="470"/>
    </row>
    <row r="35" spans="1:267" ht="15" customHeight="1" x14ac:dyDescent="0.25">
      <c r="A35" s="79"/>
      <c r="B35" s="707">
        <v>5.0189504238750438</v>
      </c>
      <c r="C35" s="708">
        <v>0.98831448836925651</v>
      </c>
      <c r="D35" s="709">
        <v>-0.94118575192477671</v>
      </c>
      <c r="E35" s="710">
        <v>0.22030773833150216</v>
      </c>
      <c r="F35" s="708">
        <v>0.95659006029018667</v>
      </c>
      <c r="G35" s="711">
        <v>0.19078772755414714</v>
      </c>
      <c r="H35" s="710">
        <v>0.26600000000000001</v>
      </c>
      <c r="I35" s="708">
        <v>0.52</v>
      </c>
      <c r="J35" s="570">
        <v>2.2330000000000001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2.2330000000000001</v>
      </c>
      <c r="N35" s="632">
        <f t="shared" si="2"/>
        <v>5.0189504238750438</v>
      </c>
      <c r="O35" s="629">
        <f t="shared" si="3"/>
        <v>0.98831448836925651</v>
      </c>
      <c r="P35" s="633">
        <f t="shared" si="4"/>
        <v>-0.94118575192477671</v>
      </c>
      <c r="Q35" s="585">
        <f t="shared" si="113"/>
        <v>11.139959408412073</v>
      </c>
      <c r="R35" s="629">
        <f>IF(M35="","",SQRT(N35^2+O35^2))</f>
        <v>5.1153327247830189</v>
      </c>
      <c r="S35" s="634">
        <f>IF(M35="","",P35)</f>
        <v>-0.94118575192477671</v>
      </c>
      <c r="T35" s="635">
        <f>IF(M35="","",X35*COS(RADIANS(W35)))</f>
        <v>0.98831448836925895</v>
      </c>
      <c r="U35" s="629">
        <f>IF(M35="","",X35*SIN(RADIANS(W35)))</f>
        <v>-5.0189504238750438</v>
      </c>
      <c r="V35" s="636">
        <f>IF(M35="","",Y35)</f>
        <v>-0.94118575192477671</v>
      </c>
      <c r="W35" s="585">
        <f t="shared" si="224"/>
        <v>281.1399594084121</v>
      </c>
      <c r="X35" s="629">
        <f>IF(M35="","",R35)</f>
        <v>5.1153327247830189</v>
      </c>
      <c r="Y35" s="630">
        <f t="shared" si="223"/>
        <v>-0.94118575192477671</v>
      </c>
      <c r="Z35" s="632">
        <f t="shared" si="6"/>
        <v>-0.22030773833150216</v>
      </c>
      <c r="AA35" s="629">
        <f t="shared" si="7"/>
        <v>-0.95659006029018667</v>
      </c>
      <c r="AB35" s="629">
        <f t="shared" si="8"/>
        <v>-0.19078772755414714</v>
      </c>
      <c r="AC35" s="636">
        <f>IF(M35="","",SQRT(Z35^2+AA35^2+AB35^2))</f>
        <v>1</v>
      </c>
      <c r="AD35" s="637">
        <f>IF(M35="","",Z35*(1/SQRT(Z35^2+AA35^2+AB35^2)))</f>
        <v>-0.22030773833150216</v>
      </c>
      <c r="AE35" s="629">
        <f>IF(M35="","",AA35*(1/SQRT(Z35^2+AA35^2+AB35^2)))</f>
        <v>-0.95659006029018667</v>
      </c>
      <c r="AF35" s="633">
        <f>IF(M35="","",AB35*(1/SQRT(Z35^2+AA35^2+AB35^2)))</f>
        <v>-0.19078772755414714</v>
      </c>
      <c r="AG35" s="602">
        <f>IF(M35="","",DEGREES(ATAN2(-AF35,AE35)))</f>
        <v>-78.720611013552755</v>
      </c>
      <c r="AH35" s="603">
        <f>IF(M35="","",DEGREES(ACOS(AD35)))</f>
        <v>102.72710858380479</v>
      </c>
      <c r="AI35" s="585">
        <f>IF(M35="","",DEGREES(-ACOS(-AF35)))</f>
        <v>-79.001241361198581</v>
      </c>
      <c r="AJ35" s="586">
        <f>IF(M35="","",DEGREES(ATAN2(-AE35,AD35)))</f>
        <v>-12.9693756712904</v>
      </c>
      <c r="AK35" s="635">
        <f>IF(M35="","",(COS(RADIANS((90-$Q$8)-W35))*AD35)+(-SIN(RADIANS((90-$Q$8)-W35))*AE35))</f>
        <v>0.89600129756361335</v>
      </c>
      <c r="AL35" s="629">
        <f>IF(M35="","",(SIN(RADIANS((90-$Q$8)-W35))*AD35)+(COS(RADIANS((90-$Q$8)-W35))*AE35))</f>
        <v>-0.40097595660967755</v>
      </c>
      <c r="AM35" s="634">
        <f>IF(M35="","",AF35)</f>
        <v>-0.19078772755414714</v>
      </c>
      <c r="AN35" s="581">
        <f>IF(M35="","",DEGREES(ATAN2(-AM35,AL35)))</f>
        <v>-64.554502569919293</v>
      </c>
      <c r="AO35" s="582">
        <f t="shared" si="94"/>
        <v>26.362665655402342</v>
      </c>
      <c r="AP35" s="585">
        <f>IF(M35="","",DEGREES(ATAN2(AK35,AL35)))</f>
        <v>-24.1093350797025</v>
      </c>
      <c r="AQ35" s="586">
        <f t="shared" si="9"/>
        <v>0.44565637857264245</v>
      </c>
      <c r="AS35" s="52">
        <f t="shared" si="116"/>
        <v>-78.860040591587904</v>
      </c>
      <c r="AT35" s="72">
        <f t="shared" si="10"/>
        <v>-0.8864218348472851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2.2330000000000001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2.133</v>
      </c>
      <c r="II35" s="734" cm="1">
        <f t="array" ref="II35">IFERROR(ROUND(VALUE(IF($IH35&lt;1,$IH35+LARGE((IF($M$9:$M$150="",0,$M$9:$M$150)-MOD(IF($M$9:$M$150="",0,$M$9:$M$150),1)),1),$IH35)),4),"")</f>
        <v>2.133</v>
      </c>
      <c r="IJ35" s="533">
        <f t="shared" si="112"/>
        <v>1613</v>
      </c>
      <c r="IK35" s="533">
        <f t="shared" si="66"/>
        <v>1313</v>
      </c>
      <c r="IL35" s="727">
        <f t="shared" si="225"/>
        <v>10.828698436529351</v>
      </c>
      <c r="IM35" s="759">
        <v>5.5798385292481203E-3</v>
      </c>
      <c r="IN35" s="5">
        <f t="shared" si="226"/>
        <v>0.18</v>
      </c>
      <c r="IO35" s="771">
        <v>90</v>
      </c>
      <c r="IP35" s="9">
        <f t="shared" si="227"/>
        <v>-5.0818153267550263</v>
      </c>
      <c r="IQ35" s="5">
        <f t="shared" si="228"/>
        <v>-0.97580294302167569</v>
      </c>
      <c r="IR35" s="5">
        <f t="shared" si="71"/>
        <v>0.314</v>
      </c>
      <c r="IS35" s="5">
        <f t="shared" si="229"/>
        <v>0.29119115898160569</v>
      </c>
      <c r="IT35" s="727">
        <f t="shared" si="230"/>
        <v>69.916695900745381</v>
      </c>
      <c r="IU35" s="9">
        <f t="shared" si="231"/>
        <v>-5.1153327247830189</v>
      </c>
      <c r="IV35" s="5">
        <f t="shared" si="232"/>
        <v>-0.94118575192477671</v>
      </c>
      <c r="IW35" s="5">
        <f t="shared" si="76"/>
        <v>0.26600000000000001</v>
      </c>
      <c r="IX35" s="5">
        <f t="shared" si="233"/>
        <v>0.23833634515192118</v>
      </c>
      <c r="IY35" s="762">
        <f t="shared" si="234"/>
        <v>64.554502569919293</v>
      </c>
    </row>
    <row r="36" spans="1:267" ht="15" customHeight="1" x14ac:dyDescent="0.25">
      <c r="A36" s="79"/>
      <c r="B36" s="707">
        <v>5.4567664899460446</v>
      </c>
      <c r="C36" s="708">
        <v>1.0668131306965287</v>
      </c>
      <c r="D36" s="709">
        <v>-1.5629016465353356</v>
      </c>
      <c r="E36" s="710">
        <v>0.31682175005099489</v>
      </c>
      <c r="F36" s="708">
        <v>0.93828224905670921</v>
      </c>
      <c r="G36" s="711">
        <v>0.13874581002577546</v>
      </c>
      <c r="H36" s="710">
        <v>0.26600000000000001</v>
      </c>
      <c r="I36" s="708">
        <v>0.52</v>
      </c>
      <c r="J36" s="570">
        <v>2.2389999999999999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2.2389999999999999</v>
      </c>
      <c r="N36" s="632">
        <f t="shared" si="2"/>
        <v>5.4567664899460446</v>
      </c>
      <c r="O36" s="629">
        <f t="shared" si="3"/>
        <v>1.0668131306965287</v>
      </c>
      <c r="P36" s="633">
        <f t="shared" si="4"/>
        <v>-1.5629016465353356</v>
      </c>
      <c r="Q36" s="585">
        <f t="shared" si="113"/>
        <v>11.061959419673871</v>
      </c>
      <c r="R36" s="629">
        <f>IF(M36="","",SQRT(N36^2+O36^2))</f>
        <v>5.5600711130006788</v>
      </c>
      <c r="S36" s="634">
        <f>IF(M36="","",P36)</f>
        <v>-1.5629016465353356</v>
      </c>
      <c r="T36" s="635">
        <f>IF(M36="","",X36*COS(RADIANS(W36)))</f>
        <v>1.0668131306965301</v>
      </c>
      <c r="U36" s="629">
        <f>IF(M36="","",X36*SIN(RADIANS(W36)))</f>
        <v>-5.4567664899460446</v>
      </c>
      <c r="V36" s="636">
        <f>IF(M36="","",Y36)</f>
        <v>-1.5629016465353356</v>
      </c>
      <c r="W36" s="585">
        <f t="shared" si="224"/>
        <v>281.06195941967388</v>
      </c>
      <c r="X36" s="629">
        <f>IF(M36="","",R36)</f>
        <v>5.5600711130006788</v>
      </c>
      <c r="Y36" s="630">
        <f t="shared" si="223"/>
        <v>-1.5629016465353356</v>
      </c>
      <c r="Z36" s="632">
        <f t="shared" si="6"/>
        <v>-0.31682175005099489</v>
      </c>
      <c r="AA36" s="629">
        <f t="shared" si="7"/>
        <v>-0.93828224905670921</v>
      </c>
      <c r="AB36" s="629">
        <f t="shared" si="8"/>
        <v>-0.13874581002577546</v>
      </c>
      <c r="AC36" s="636">
        <f>IF(M36="","",SQRT(Z36^2+AA36^2+AB36^2))</f>
        <v>1</v>
      </c>
      <c r="AD36" s="637">
        <f>IF(M36="","",Z36*(1/SQRT(Z36^2+AA36^2+AB36^2)))</f>
        <v>-0.31682175005099489</v>
      </c>
      <c r="AE36" s="629">
        <f>IF(M36="","",AA36*(1/SQRT(Z36^2+AA36^2+AB36^2)))</f>
        <v>-0.93828224905670921</v>
      </c>
      <c r="AF36" s="633">
        <f>IF(M36="","",AB36*(1/SQRT(Z36^2+AA36^2+AB36^2)))</f>
        <v>-0.13874581002577546</v>
      </c>
      <c r="AG36" s="602">
        <f>IF(M36="","",DEGREES(ATAN2(-AF36,AE36)))</f>
        <v>-81.588505713022286</v>
      </c>
      <c r="AH36" s="603">
        <f>IF(M36="","",DEGREES(ACOS(AD36)))</f>
        <v>108.47082626768356</v>
      </c>
      <c r="AI36" s="585">
        <f>IF(M36="","",DEGREES(-ACOS(-AF36)))</f>
        <v>-82.024721816666414</v>
      </c>
      <c r="AJ36" s="586">
        <f>IF(M36="","",DEGREES(ATAN2(-AE36,AD36)))</f>
        <v>-18.657843111986484</v>
      </c>
      <c r="AK36" s="635">
        <f>IF(M36="","",(COS(RADIANS((90-$Q$8)-W36))*AD36)+(-SIN(RADIANS((90-$Q$8)-W36))*AE36))</f>
        <v>0.86006049824395847</v>
      </c>
      <c r="AL36" s="629">
        <f>IF(M36="","",(SIN(RADIANS((90-$Q$8)-W36))*AD36)+(COS(RADIANS((90-$Q$8)-W36))*AE36))</f>
        <v>-0.4909638882449967</v>
      </c>
      <c r="AM36" s="634">
        <f>IF(M36="","",AF36)</f>
        <v>-0.13874581002577546</v>
      </c>
      <c r="AN36" s="581">
        <f>IF(M36="","",DEGREES(ATAN2(-AM36,AL36)))</f>
        <v>-74.219771265166557</v>
      </c>
      <c r="AO36" s="582">
        <f t="shared" si="94"/>
        <v>30.676623691480696</v>
      </c>
      <c r="AP36" s="585">
        <f>IF(M36="","",DEGREES(ATAN2(AK36,AL36)))</f>
        <v>-29.719802531660363</v>
      </c>
      <c r="AQ36" s="586">
        <f t="shared" si="9"/>
        <v>0.41001053250075292</v>
      </c>
      <c r="AS36" s="52">
        <f t="shared" si="116"/>
        <v>-78.938040580326117</v>
      </c>
      <c r="AT36" s="72">
        <f t="shared" si="10"/>
        <v>-1.5080835627989979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2.2389999999999999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2.1389999999999998</v>
      </c>
      <c r="II36" s="734" cm="1">
        <f t="array" ref="II36">IFERROR(ROUND(VALUE(IF($IH36&lt;1,$IH36+LARGE((IF($M$9:$M$150="",0,$M$9:$M$150)-MOD(IF($M$9:$M$150="",0,$M$9:$M$150),1)),1),$IH36)),4),"")</f>
        <v>2.1389999999999998</v>
      </c>
      <c r="IJ36" s="533">
        <f t="shared" si="112"/>
        <v>1613</v>
      </c>
      <c r="IK36" s="533">
        <f t="shared" si="66"/>
        <v>1313</v>
      </c>
      <c r="IL36" s="727">
        <f t="shared" si="225"/>
        <v>10.19399852816872</v>
      </c>
      <c r="IM36" s="759">
        <v>4.2617687125070603E-3</v>
      </c>
      <c r="IN36" s="5">
        <f t="shared" si="226"/>
        <v>0.16</v>
      </c>
      <c r="IO36" s="771">
        <v>80</v>
      </c>
      <c r="IP36" s="9">
        <f t="shared" si="227"/>
        <v>-5.5199166480686106</v>
      </c>
      <c r="IQ36" s="5">
        <f t="shared" si="228"/>
        <v>-1.5921048017880823</v>
      </c>
      <c r="IR36" s="5">
        <f t="shared" si="71"/>
        <v>0.314</v>
      </c>
      <c r="IS36" s="5">
        <f t="shared" si="229"/>
        <v>0.28154628400319248</v>
      </c>
      <c r="IT36" s="727">
        <f t="shared" si="230"/>
        <v>78.624901784199423</v>
      </c>
      <c r="IU36" s="9">
        <f t="shared" si="231"/>
        <v>-5.5600711130006788</v>
      </c>
      <c r="IV36" s="5">
        <f t="shared" si="232"/>
        <v>-1.5629016465353356</v>
      </c>
      <c r="IW36" s="5">
        <f t="shared" si="76"/>
        <v>0.26600000000000001</v>
      </c>
      <c r="IX36" s="5">
        <f t="shared" si="233"/>
        <v>0.22877609253289297</v>
      </c>
      <c r="IY36" s="762">
        <f t="shared" si="234"/>
        <v>74.219771265166557</v>
      </c>
    </row>
    <row r="37" spans="1:267" ht="15" customHeight="1" x14ac:dyDescent="0.25">
      <c r="A37" s="79"/>
      <c r="B37" s="707">
        <v>0.6037985425351422</v>
      </c>
      <c r="C37" s="708">
        <v>-0.42278482391383132</v>
      </c>
      <c r="D37" s="709">
        <v>-0.74400224391076764</v>
      </c>
      <c r="E37" s="710">
        <v>0.4664736348621018</v>
      </c>
      <c r="F37" s="708">
        <v>0.8205246022327658</v>
      </c>
      <c r="G37" s="711">
        <v>0.33036604714967333</v>
      </c>
      <c r="H37" s="710">
        <v>0.314</v>
      </c>
      <c r="I37" s="708">
        <v>0.52</v>
      </c>
      <c r="J37" s="570">
        <v>3.1030000000000002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3.1030000000000002</v>
      </c>
      <c r="N37" s="632">
        <f t="shared" si="2"/>
        <v>0.6037985425351422</v>
      </c>
      <c r="O37" s="629">
        <f t="shared" si="3"/>
        <v>-0.42278482391383132</v>
      </c>
      <c r="P37" s="633">
        <f t="shared" si="4"/>
        <v>-0.74400224391076764</v>
      </c>
      <c r="Q37" s="585">
        <f t="shared" si="113"/>
        <v>324.9999660702029</v>
      </c>
      <c r="R37" s="629">
        <f t="shared" si="79"/>
        <v>0.7371022231003046</v>
      </c>
      <c r="S37" s="634">
        <f t="shared" si="80"/>
        <v>-0.74400224391076764</v>
      </c>
      <c r="T37" s="635">
        <f t="shared" si="81"/>
        <v>-0.42278482391383138</v>
      </c>
      <c r="U37" s="629">
        <f t="shared" si="82"/>
        <v>-0.60379854253514209</v>
      </c>
      <c r="V37" s="636">
        <f t="shared" si="114"/>
        <v>-0.74400224391076764</v>
      </c>
      <c r="W37" s="585">
        <f t="shared" si="224"/>
        <v>234.9999660702029</v>
      </c>
      <c r="X37" s="629">
        <f t="shared" si="83"/>
        <v>0.7371022231003046</v>
      </c>
      <c r="Y37" s="630">
        <f t="shared" si="223"/>
        <v>-0.74400224391076764</v>
      </c>
      <c r="Z37" s="632">
        <f t="shared" si="6"/>
        <v>-0.4664736348621018</v>
      </c>
      <c r="AA37" s="629">
        <f t="shared" si="7"/>
        <v>-0.8205246022327658</v>
      </c>
      <c r="AB37" s="629">
        <f t="shared" si="8"/>
        <v>-0.33036604714967333</v>
      </c>
      <c r="AC37" s="636">
        <f t="shared" si="84"/>
        <v>1</v>
      </c>
      <c r="AD37" s="637">
        <f t="shared" si="115"/>
        <v>-0.4664736348621018</v>
      </c>
      <c r="AE37" s="629">
        <f t="shared" si="85"/>
        <v>-0.8205246022327658</v>
      </c>
      <c r="AF37" s="633">
        <f t="shared" si="86"/>
        <v>-0.33036604714967333</v>
      </c>
      <c r="AG37" s="602">
        <f t="shared" si="87"/>
        <v>-68.068911637548212</v>
      </c>
      <c r="AH37" s="603">
        <f t="shared" si="88"/>
        <v>117.80563492584972</v>
      </c>
      <c r="AI37" s="585">
        <f t="shared" si="89"/>
        <v>-70.709005437865216</v>
      </c>
      <c r="AJ37" s="586">
        <f t="shared" si="90"/>
        <v>-29.618515167557632</v>
      </c>
      <c r="AK37" s="635">
        <f t="shared" si="211"/>
        <v>0.93969263802333469</v>
      </c>
      <c r="AL37" s="629">
        <f t="shared" si="91"/>
        <v>8.8521302156295611E-2</v>
      </c>
      <c r="AM37" s="634">
        <f t="shared" si="92"/>
        <v>-0.33036604714967333</v>
      </c>
      <c r="AN37" s="581">
        <f t="shared" si="93"/>
        <v>14.999997834268274</v>
      </c>
      <c r="AO37" s="582">
        <f t="shared" si="94"/>
        <v>19.999997112357665</v>
      </c>
      <c r="AP37" s="585">
        <f t="shared" si="95"/>
        <v>5.3815187622394802</v>
      </c>
      <c r="AQ37" s="586">
        <f t="shared" si="9"/>
        <v>3.0898241454479356</v>
      </c>
      <c r="AS37" s="52">
        <f t="shared" si="116"/>
        <v>-125.0000339297971</v>
      </c>
      <c r="AT37" s="72">
        <f t="shared" si="10"/>
        <v>-0.65719666479285299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3.1030000000000002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1.1617244512594476</v>
      </c>
      <c r="C38" s="708">
        <v>-0.81344924335177848</v>
      </c>
      <c r="D38" s="709">
        <v>-0.53190160421523858</v>
      </c>
      <c r="E38" s="710">
        <v>0.483276801449807</v>
      </c>
      <c r="F38" s="708">
        <v>0.82587943137992426</v>
      </c>
      <c r="G38" s="711">
        <v>0.29045946017304541</v>
      </c>
      <c r="H38" s="710">
        <v>0.314</v>
      </c>
      <c r="I38" s="708">
        <v>0.52</v>
      </c>
      <c r="J38" s="570">
        <v>3.1059999999999999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3.1059999999999999</v>
      </c>
      <c r="N38" s="632">
        <f t="shared" si="2"/>
        <v>1.1617244512594476</v>
      </c>
      <c r="O38" s="629">
        <f t="shared" si="3"/>
        <v>-0.81344924335177848</v>
      </c>
      <c r="P38" s="633">
        <f t="shared" si="4"/>
        <v>-0.53190160421523858</v>
      </c>
      <c r="Q38" s="585">
        <f t="shared" si="113"/>
        <v>324.99996607020285</v>
      </c>
      <c r="R38" s="629">
        <f t="shared" si="79"/>
        <v>1.4182042773041004</v>
      </c>
      <c r="S38" s="634">
        <f t="shared" si="80"/>
        <v>-0.53190160421523858</v>
      </c>
      <c r="T38" s="635">
        <f t="shared" si="81"/>
        <v>-0.81344924335177959</v>
      </c>
      <c r="U38" s="629">
        <f t="shared" si="82"/>
        <v>-1.1617244512594469</v>
      </c>
      <c r="V38" s="636">
        <f t="shared" si="114"/>
        <v>-0.53190160421523858</v>
      </c>
      <c r="W38" s="585">
        <f t="shared" si="224"/>
        <v>234.99996607020285</v>
      </c>
      <c r="X38" s="629">
        <f t="shared" si="83"/>
        <v>1.4182042773041004</v>
      </c>
      <c r="Y38" s="630">
        <f t="shared" si="223"/>
        <v>-0.53190160421523858</v>
      </c>
      <c r="Z38" s="632">
        <f t="shared" si="6"/>
        <v>-0.483276801449807</v>
      </c>
      <c r="AA38" s="629">
        <f t="shared" si="7"/>
        <v>-0.82587943137992426</v>
      </c>
      <c r="AB38" s="629">
        <f t="shared" si="8"/>
        <v>-0.29045946017304541</v>
      </c>
      <c r="AC38" s="636">
        <f t="shared" si="84"/>
        <v>1</v>
      </c>
      <c r="AD38" s="637">
        <f t="shared" si="115"/>
        <v>-0.483276801449807</v>
      </c>
      <c r="AE38" s="629">
        <f t="shared" si="85"/>
        <v>-0.82587943137992426</v>
      </c>
      <c r="AF38" s="633">
        <f t="shared" si="86"/>
        <v>-0.29045946017304541</v>
      </c>
      <c r="AG38" s="602">
        <f t="shared" si="87"/>
        <v>-70.623370912380253</v>
      </c>
      <c r="AH38" s="603">
        <f t="shared" si="88"/>
        <v>118.89963469300343</v>
      </c>
      <c r="AI38" s="585">
        <f t="shared" si="89"/>
        <v>-73.114534769632428</v>
      </c>
      <c r="AJ38" s="586">
        <f t="shared" si="90"/>
        <v>-30.334731981014421</v>
      </c>
      <c r="AK38" s="635">
        <f t="shared" si="211"/>
        <v>0.95371696400905337</v>
      </c>
      <c r="AL38" s="629">
        <f t="shared" si="91"/>
        <v>7.7828366019962292E-2</v>
      </c>
      <c r="AM38" s="634">
        <f t="shared" si="92"/>
        <v>-0.29045946017304541</v>
      </c>
      <c r="AN38" s="581">
        <f t="shared" si="93"/>
        <v>14.999997834268401</v>
      </c>
      <c r="AO38" s="582">
        <f t="shared" si="94"/>
        <v>17.49999747331298</v>
      </c>
      <c r="AP38" s="585">
        <f t="shared" si="95"/>
        <v>4.6653019487827496</v>
      </c>
      <c r="AQ38" s="586">
        <f t="shared" si="9"/>
        <v>1.6070525303488554</v>
      </c>
      <c r="AS38" s="52">
        <f t="shared" si="116"/>
        <v>-125.00003392979715</v>
      </c>
      <c r="AT38" s="72">
        <f t="shared" si="10"/>
        <v>-0.44509602509732388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3.1059999999999999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1.7303812796787883</v>
      </c>
      <c r="C39" s="708">
        <v>-1.2116275431224763</v>
      </c>
      <c r="D39" s="709">
        <v>-0.34590104323754617</v>
      </c>
      <c r="E39" s="710">
        <v>0.48327680144980723</v>
      </c>
      <c r="F39" s="708">
        <v>0.82587943137992403</v>
      </c>
      <c r="G39" s="711">
        <v>0.29045946017304541</v>
      </c>
      <c r="H39" s="710">
        <v>0.314</v>
      </c>
      <c r="I39" s="708">
        <v>0.52</v>
      </c>
      <c r="J39" s="570">
        <v>3.109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3.109</v>
      </c>
      <c r="N39" s="632">
        <f t="shared" si="2"/>
        <v>1.7303812796787883</v>
      </c>
      <c r="O39" s="629">
        <f t="shared" si="3"/>
        <v>-1.2116275431224763</v>
      </c>
      <c r="P39" s="633">
        <f t="shared" si="4"/>
        <v>-0.34590104323754617</v>
      </c>
      <c r="Q39" s="585">
        <f t="shared" si="113"/>
        <v>324.9999660702029</v>
      </c>
      <c r="R39" s="629">
        <f t="shared" si="79"/>
        <v>2.1124063710176149</v>
      </c>
      <c r="S39" s="634">
        <f t="shared" si="80"/>
        <v>-0.34590104323754617</v>
      </c>
      <c r="T39" s="635">
        <f t="shared" si="81"/>
        <v>-1.2116275431224768</v>
      </c>
      <c r="U39" s="629">
        <f t="shared" si="82"/>
        <v>-1.7303812796787879</v>
      </c>
      <c r="V39" s="636">
        <f t="shared" si="114"/>
        <v>-0.34590104323754617</v>
      </c>
      <c r="W39" s="585">
        <f t="shared" si="224"/>
        <v>234.9999660702029</v>
      </c>
      <c r="X39" s="629">
        <f t="shared" si="83"/>
        <v>2.1124063710176149</v>
      </c>
      <c r="Y39" s="630">
        <f t="shared" si="223"/>
        <v>-0.34590104323754617</v>
      </c>
      <c r="Z39" s="632">
        <f t="shared" si="6"/>
        <v>-0.48327680144980723</v>
      </c>
      <c r="AA39" s="629">
        <f t="shared" si="7"/>
        <v>-0.82587943137992403</v>
      </c>
      <c r="AB39" s="629">
        <f t="shared" si="8"/>
        <v>-0.29045946017304541</v>
      </c>
      <c r="AC39" s="636">
        <f t="shared" si="84"/>
        <v>1</v>
      </c>
      <c r="AD39" s="637">
        <f t="shared" si="115"/>
        <v>-0.48327680144980723</v>
      </c>
      <c r="AE39" s="629">
        <f t="shared" si="85"/>
        <v>-0.82587943137992403</v>
      </c>
      <c r="AF39" s="633">
        <f t="shared" si="86"/>
        <v>-0.29045946017304541</v>
      </c>
      <c r="AG39" s="602">
        <f t="shared" si="87"/>
        <v>-70.623370912380253</v>
      </c>
      <c r="AH39" s="603">
        <f t="shared" si="88"/>
        <v>118.89963469300346</v>
      </c>
      <c r="AI39" s="585">
        <f t="shared" si="89"/>
        <v>-73.114534769632428</v>
      </c>
      <c r="AJ39" s="586">
        <f t="shared" si="90"/>
        <v>-30.334731981014439</v>
      </c>
      <c r="AK39" s="635">
        <f t="shared" si="211"/>
        <v>0.95371696400905337</v>
      </c>
      <c r="AL39" s="629">
        <f t="shared" si="91"/>
        <v>7.7828366019961071E-2</v>
      </c>
      <c r="AM39" s="634">
        <f t="shared" si="92"/>
        <v>-0.29045946017304541</v>
      </c>
      <c r="AN39" s="581">
        <f t="shared" si="93"/>
        <v>14.999997834268179</v>
      </c>
      <c r="AO39" s="582">
        <f t="shared" si="94"/>
        <v>17.49999747331298</v>
      </c>
      <c r="AP39" s="585">
        <f t="shared" si="95"/>
        <v>4.6653019487826759</v>
      </c>
      <c r="AQ39" s="586">
        <f t="shared" si="9"/>
        <v>1.0790807660279518</v>
      </c>
      <c r="AS39" s="52">
        <f t="shared" si="116"/>
        <v>-125.0000339297971</v>
      </c>
      <c r="AT39" s="72">
        <f t="shared" si="10"/>
        <v>-0.25909546411963152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3.109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2.3197636658452487</v>
      </c>
      <c r="C40" s="708">
        <v>-1.6342334179515678</v>
      </c>
      <c r="D40" s="709">
        <v>-0.1516004572269789</v>
      </c>
      <c r="E40" s="710">
        <v>0.5653656769138784</v>
      </c>
      <c r="F40" s="708">
        <v>0.78257093758109419</v>
      </c>
      <c r="G40" s="711">
        <v>0.26066142603223647</v>
      </c>
      <c r="H40" s="710">
        <v>0.314</v>
      </c>
      <c r="I40" s="708">
        <v>0.52</v>
      </c>
      <c r="J40" s="570">
        <v>3.1139999999999999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3.1139999999999999</v>
      </c>
      <c r="N40" s="632">
        <f t="shared" si="2"/>
        <v>2.3197636658452487</v>
      </c>
      <c r="O40" s="629">
        <f t="shared" si="3"/>
        <v>-1.6342334179515678</v>
      </c>
      <c r="P40" s="633">
        <f t="shared" si="4"/>
        <v>-0.1516004572269789</v>
      </c>
      <c r="Q40" s="585">
        <f t="shared" si="113"/>
        <v>324.83596609388155</v>
      </c>
      <c r="R40" s="629">
        <f t="shared" si="79"/>
        <v>2.8376085582274118</v>
      </c>
      <c r="S40" s="634">
        <f t="shared" si="80"/>
        <v>-0.1516004572269789</v>
      </c>
      <c r="T40" s="635">
        <f t="shared" si="81"/>
        <v>-1.6342334179515683</v>
      </c>
      <c r="U40" s="629">
        <f t="shared" si="82"/>
        <v>-2.3197636658452483</v>
      </c>
      <c r="V40" s="636">
        <f t="shared" si="114"/>
        <v>-0.1516004572269789</v>
      </c>
      <c r="W40" s="585">
        <f t="shared" si="224"/>
        <v>234.83596609388155</v>
      </c>
      <c r="X40" s="629">
        <f t="shared" si="83"/>
        <v>2.8376085582274118</v>
      </c>
      <c r="Y40" s="630">
        <f t="shared" si="223"/>
        <v>-0.1516004572269789</v>
      </c>
      <c r="Z40" s="632">
        <f t="shared" si="6"/>
        <v>-0.5653656769138784</v>
      </c>
      <c r="AA40" s="629">
        <f t="shared" si="7"/>
        <v>-0.78257093758109419</v>
      </c>
      <c r="AB40" s="629">
        <f t="shared" si="8"/>
        <v>-0.26066142603223647</v>
      </c>
      <c r="AC40" s="636">
        <f t="shared" si="84"/>
        <v>1</v>
      </c>
      <c r="AD40" s="637">
        <f t="shared" si="115"/>
        <v>-0.5653656769138784</v>
      </c>
      <c r="AE40" s="629">
        <f t="shared" si="85"/>
        <v>-0.78257093758109419</v>
      </c>
      <c r="AF40" s="633">
        <f t="shared" si="86"/>
        <v>-0.26066142603223647</v>
      </c>
      <c r="AG40" s="602">
        <f t="shared" si="87"/>
        <v>-71.577937791046224</v>
      </c>
      <c r="AH40" s="603">
        <f t="shared" si="88"/>
        <v>124.42768841988318</v>
      </c>
      <c r="AI40" s="585">
        <f t="shared" si="89"/>
        <v>-74.890687564769664</v>
      </c>
      <c r="AJ40" s="586">
        <f t="shared" si="90"/>
        <v>-35.846099220731162</v>
      </c>
      <c r="AK40" s="635">
        <f t="shared" si="211"/>
        <v>0.96536187191151224</v>
      </c>
      <c r="AL40" s="629">
        <f t="shared" si="91"/>
        <v>-1.149248616887294E-2</v>
      </c>
      <c r="AM40" s="634">
        <f t="shared" si="92"/>
        <v>-0.26066142603223647</v>
      </c>
      <c r="AN40" s="581">
        <f t="shared" si="93"/>
        <v>-2.5245192309820212</v>
      </c>
      <c r="AO40" s="582">
        <f t="shared" si="94"/>
        <v>15.124341342865796</v>
      </c>
      <c r="AP40" s="585">
        <f t="shared" si="95"/>
        <v>-0.68206531461270548</v>
      </c>
      <c r="AQ40" s="586">
        <f t="shared" si="9"/>
        <v>0.80334450428073001</v>
      </c>
      <c r="AS40" s="52">
        <f t="shared" si="116"/>
        <v>-125.16403390611845</v>
      </c>
      <c r="AT40" s="72">
        <f t="shared" si="10"/>
        <v>-6.4680989236618858E-2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3.1139999999999999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2.9435590469348436</v>
      </c>
      <c r="C41" s="708">
        <v>-2.1322720081139988</v>
      </c>
      <c r="D41" s="709">
        <v>-0.11040033296740434</v>
      </c>
      <c r="E41" s="710">
        <v>0.66183722266841849</v>
      </c>
      <c r="F41" s="708">
        <v>0.7083033535196499</v>
      </c>
      <c r="G41" s="711">
        <v>0.24551547829693393</v>
      </c>
      <c r="H41" s="710">
        <v>0.314</v>
      </c>
      <c r="I41" s="708">
        <v>0.52</v>
      </c>
      <c r="J41" s="570">
        <v>3.12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3.12</v>
      </c>
      <c r="N41" s="632">
        <f t="shared" ref="N41:N72" si="240">IF(M41="","",B41)</f>
        <v>2.9435590469348436</v>
      </c>
      <c r="O41" s="629">
        <f t="shared" ref="O41:O72" si="241">IF(M41="","",C41)</f>
        <v>-2.1322720081139988</v>
      </c>
      <c r="P41" s="633">
        <f t="shared" ref="P41:P72" si="242">IF(M41="","",D41)</f>
        <v>-0.11040033296740434</v>
      </c>
      <c r="Q41" s="585">
        <f t="shared" si="113"/>
        <v>324.08096620289007</v>
      </c>
      <c r="R41" s="629">
        <f t="shared" si="79"/>
        <v>3.634710962288263</v>
      </c>
      <c r="S41" s="634">
        <f t="shared" si="80"/>
        <v>-0.11040033296740434</v>
      </c>
      <c r="T41" s="635">
        <f t="shared" si="81"/>
        <v>-2.1322720081139983</v>
      </c>
      <c r="U41" s="629">
        <f t="shared" si="82"/>
        <v>-2.943559046934844</v>
      </c>
      <c r="V41" s="636">
        <f t="shared" si="114"/>
        <v>-0.11040033296740434</v>
      </c>
      <c r="W41" s="585">
        <f t="shared" si="224"/>
        <v>234.08096620289007</v>
      </c>
      <c r="X41" s="629">
        <f t="shared" si="83"/>
        <v>3.634710962288263</v>
      </c>
      <c r="Y41" s="630">
        <f t="shared" si="223"/>
        <v>-0.11040033296740434</v>
      </c>
      <c r="Z41" s="632">
        <f t="shared" ref="Z41:Z72" si="243">IF(M41="","",-E41)</f>
        <v>-0.66183722266841849</v>
      </c>
      <c r="AA41" s="629">
        <f t="shared" ref="AA41:AA72" si="244">IF(M41="","",-F41)</f>
        <v>-0.7083033535196499</v>
      </c>
      <c r="AB41" s="629">
        <f t="shared" ref="AB41:AB72" si="245">IF(M41="","",-G41)</f>
        <v>-0.24551547829693393</v>
      </c>
      <c r="AC41" s="636">
        <f t="shared" si="84"/>
        <v>1</v>
      </c>
      <c r="AD41" s="637">
        <f t="shared" si="115"/>
        <v>-0.66183722266841849</v>
      </c>
      <c r="AE41" s="629">
        <f t="shared" si="85"/>
        <v>-0.7083033535196499</v>
      </c>
      <c r="AF41" s="633">
        <f t="shared" si="86"/>
        <v>-0.24551547829693393</v>
      </c>
      <c r="AG41" s="602">
        <f t="shared" si="87"/>
        <v>-70.882417291994031</v>
      </c>
      <c r="AH41" s="603">
        <f t="shared" si="88"/>
        <v>131.44014080187441</v>
      </c>
      <c r="AI41" s="585">
        <f t="shared" si="89"/>
        <v>-75.787701069263704</v>
      </c>
      <c r="AJ41" s="586">
        <f t="shared" si="90"/>
        <v>-43.057649500268248</v>
      </c>
      <c r="AK41" s="635">
        <f t="shared" si="211"/>
        <v>0.96187833484558682</v>
      </c>
      <c r="AL41" s="629">
        <f t="shared" si="91"/>
        <v>-0.12046667120539667</v>
      </c>
      <c r="AM41" s="634">
        <f t="shared" si="92"/>
        <v>-0.24551547829693393</v>
      </c>
      <c r="AN41" s="581">
        <f t="shared" si="93"/>
        <v>-26.135724681141184</v>
      </c>
      <c r="AO41" s="582">
        <f t="shared" si="94"/>
        <v>15.871317350720524</v>
      </c>
      <c r="AP41" s="585">
        <f t="shared" si="95"/>
        <v>-7.1386157031583126</v>
      </c>
      <c r="AQ41" s="586">
        <f t="shared" ref="AQ41:AQ72" si="246">IF(M41="","",DEGREES(ATAN(($AS$5*SIN(RADIANS(90)))/(($X41*2*PI())-($AS$5*COS(RADIANS(90)))))))</f>
        <v>0.627184829587353</v>
      </c>
      <c r="AS41" s="52">
        <f t="shared" si="116"/>
        <v>-125.91903379710993</v>
      </c>
      <c r="AT41" s="72">
        <f t="shared" ref="AT41:AT72" si="247">IF(M41="","",Y41+(((AS41-$AS$9)*$AS$6)*-1))</f>
        <v>-2.2956559497189097E-2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3.12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3.4949500575026349</v>
      </c>
      <c r="C42" s="708">
        <v>-2.6247536971617098</v>
      </c>
      <c r="D42" s="709">
        <v>-0.39120117986275899</v>
      </c>
      <c r="E42" s="710">
        <v>0.76686510184795109</v>
      </c>
      <c r="F42" s="708">
        <v>0.60753107356355485</v>
      </c>
      <c r="G42" s="711">
        <v>0.20693938779856827</v>
      </c>
      <c r="H42" s="710">
        <v>0.314</v>
      </c>
      <c r="I42" s="708">
        <v>0.52</v>
      </c>
      <c r="J42" s="570">
        <v>3.1259999999999999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3.1259999999999999</v>
      </c>
      <c r="N42" s="632">
        <f t="shared" si="240"/>
        <v>3.4949500575026349</v>
      </c>
      <c r="O42" s="629">
        <f t="shared" si="241"/>
        <v>-2.6247536971617098</v>
      </c>
      <c r="P42" s="633">
        <f t="shared" si="242"/>
        <v>-0.39120117986275899</v>
      </c>
      <c r="Q42" s="585">
        <f t="shared" si="113"/>
        <v>323.09296634553959</v>
      </c>
      <c r="R42" s="629">
        <f t="shared" ref="R42:R47" si="385">IF(M42="","",SQRT(N42^2+O42^2))</f>
        <v>4.3708131823725589</v>
      </c>
      <c r="S42" s="634">
        <f t="shared" ref="S42:S47" si="386">IF(M42="","",P42)</f>
        <v>-0.39120117986275899</v>
      </c>
      <c r="T42" s="635">
        <f t="shared" ref="T42:T47" si="387">IF(M42="","",X42*COS(RADIANS(W42)))</f>
        <v>-2.6247536971617076</v>
      </c>
      <c r="U42" s="629">
        <f t="shared" ref="U42:U47" si="388">IF(M42="","",X42*SIN(RADIANS(W42)))</f>
        <v>-3.4949500575026362</v>
      </c>
      <c r="V42" s="636">
        <f t="shared" ref="V42:V47" si="389">IF(M42="","",Y42)</f>
        <v>-0.39120117986275899</v>
      </c>
      <c r="W42" s="585">
        <f t="shared" si="224"/>
        <v>233.09296634553959</v>
      </c>
      <c r="X42" s="629">
        <f t="shared" ref="X42:X47" si="390">IF(M42="","",R42)</f>
        <v>4.3708131823725589</v>
      </c>
      <c r="Y42" s="630">
        <f t="shared" si="223"/>
        <v>-0.39120117986275899</v>
      </c>
      <c r="Z42" s="632">
        <f t="shared" si="243"/>
        <v>-0.76686510184795109</v>
      </c>
      <c r="AA42" s="629">
        <f t="shared" si="244"/>
        <v>-0.60753107356355485</v>
      </c>
      <c r="AB42" s="629">
        <f t="shared" si="245"/>
        <v>-0.20693938779856827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-0.76686510184795109</v>
      </c>
      <c r="AE42" s="629">
        <f t="shared" ref="AE42:AE47" si="393">IF(M42="","",AA42*(1/SQRT(Z42^2+AA42^2+AB42^2)))</f>
        <v>-0.60753107356355485</v>
      </c>
      <c r="AF42" s="633">
        <f t="shared" ref="AF42:AF47" si="394">IF(M42="","",AB42*(1/SQRT(Z42^2+AA42^2+AB42^2)))</f>
        <v>-0.20693938779856827</v>
      </c>
      <c r="AG42" s="602">
        <f t="shared" ref="AG42:AG47" si="395">IF(M42="","",DEGREES(ATAN2(-AF42,AE42)))</f>
        <v>-71.189948412163403</v>
      </c>
      <c r="AH42" s="603">
        <f t="shared" ref="AH42:AH47" si="396">IF(M42="","",DEGREES(ACOS(AD42)))</f>
        <v>140.07320632772218</v>
      </c>
      <c r="AI42" s="585">
        <f t="shared" ref="AI42:AI47" si="397">IF(M42="","",DEGREES(-ACOS(-AF42)))</f>
        <v>-78.056947422366122</v>
      </c>
      <c r="AJ42" s="586">
        <f t="shared" ref="AJ42:AJ47" si="398">IF(M42="","",DEGREES(ATAN2(-AE42,AD42)))</f>
        <v>-51.612791917346463</v>
      </c>
      <c r="AK42" s="635">
        <f t="shared" ref="AK42:AK47" si="399">IF(M42="","",(COS(RADIANS((90-$Q$8)-W42))*AD42)+(-SIN(RADIANS((90-$Q$8)-W42))*AE42))</f>
        <v>0.94630509225748216</v>
      </c>
      <c r="AL42" s="629">
        <f t="shared" ref="AL42:AL47" si="400">IF(M42="","",(SIN(RADIANS((90-$Q$8)-W42))*AD42)+(COS(RADIANS((90-$Q$8)-W42))*AE42))</f>
        <v>-0.2483601460482579</v>
      </c>
      <c r="AM42" s="634">
        <f t="shared" ref="AM42:AM47" si="401">IF(M42="","",AF42)</f>
        <v>-0.20693938779856827</v>
      </c>
      <c r="AN42" s="581">
        <f t="shared" ref="AN42:AN47" si="402">IF(M42="","",DEGREES(ATAN2(-AM42,AL42)))</f>
        <v>-50.198159661896554</v>
      </c>
      <c r="AO42" s="582">
        <f t="shared" si="94"/>
        <v>18.86109410766279</v>
      </c>
      <c r="AP42" s="585">
        <f t="shared" ref="AP42:AP47" si="403">IF(M42="","",DEGREES(ATAN2(AK42,AL42)))</f>
        <v>-14.705758262886064</v>
      </c>
      <c r="AQ42" s="586">
        <f t="shared" si="246"/>
        <v>0.5215651107791649</v>
      </c>
      <c r="AS42" s="52">
        <f t="shared" si="116"/>
        <v>-126.90703365446041</v>
      </c>
      <c r="AT42" s="72">
        <f t="shared" si="247"/>
        <v>-0.30307129538049482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3.1259999999999999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3.9402008742591867</v>
      </c>
      <c r="C43" s="708">
        <v>-3.0635026242481826</v>
      </c>
      <c r="D43" s="709">
        <v>-0.88060265589761044</v>
      </c>
      <c r="E43" s="710">
        <v>0.83600337025299964</v>
      </c>
      <c r="F43" s="708">
        <v>0.53309126522195605</v>
      </c>
      <c r="G43" s="711">
        <v>0.13004640660041378</v>
      </c>
      <c r="H43" s="710">
        <v>0.314</v>
      </c>
      <c r="I43" s="708">
        <v>0.52</v>
      </c>
      <c r="J43" s="570">
        <v>3.1320000000000001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3.1320000000000001</v>
      </c>
      <c r="N43" s="632">
        <f t="shared" si="240"/>
        <v>3.9402008742591867</v>
      </c>
      <c r="O43" s="629">
        <f t="shared" si="241"/>
        <v>-3.0635026242481826</v>
      </c>
      <c r="P43" s="633">
        <f t="shared" si="242"/>
        <v>-0.88060265589761044</v>
      </c>
      <c r="Q43" s="585">
        <f t="shared" si="113"/>
        <v>322.13496648385768</v>
      </c>
      <c r="R43" s="629">
        <f t="shared" si="385"/>
        <v>4.9910150529013997</v>
      </c>
      <c r="S43" s="634">
        <f t="shared" si="386"/>
        <v>-0.88060265589761044</v>
      </c>
      <c r="T43" s="635">
        <f t="shared" si="387"/>
        <v>-3.0635026242481813</v>
      </c>
      <c r="U43" s="629">
        <f t="shared" si="388"/>
        <v>-3.9402008742591876</v>
      </c>
      <c r="V43" s="636">
        <f t="shared" si="389"/>
        <v>-0.88060265589761044</v>
      </c>
      <c r="W43" s="585">
        <f t="shared" si="224"/>
        <v>232.13496648385768</v>
      </c>
      <c r="X43" s="629">
        <f t="shared" si="390"/>
        <v>4.9910150529013997</v>
      </c>
      <c r="Y43" s="630">
        <f t="shared" si="223"/>
        <v>-0.88060265589761044</v>
      </c>
      <c r="Z43" s="632">
        <f t="shared" si="243"/>
        <v>-0.83600337025299964</v>
      </c>
      <c r="AA43" s="629">
        <f t="shared" si="244"/>
        <v>-0.53309126522195605</v>
      </c>
      <c r="AB43" s="629">
        <f t="shared" si="245"/>
        <v>-0.13004640660041378</v>
      </c>
      <c r="AC43" s="636">
        <f t="shared" si="391"/>
        <v>1</v>
      </c>
      <c r="AD43" s="637">
        <f t="shared" si="392"/>
        <v>-0.83600337025299964</v>
      </c>
      <c r="AE43" s="629">
        <f t="shared" si="393"/>
        <v>-0.53309126522195605</v>
      </c>
      <c r="AF43" s="633">
        <f t="shared" si="394"/>
        <v>-0.13004640660041378</v>
      </c>
      <c r="AG43" s="602">
        <f t="shared" si="395"/>
        <v>-76.290589482972749</v>
      </c>
      <c r="AH43" s="603">
        <f t="shared" si="396"/>
        <v>146.72046096312809</v>
      </c>
      <c r="AI43" s="585">
        <f t="shared" si="397"/>
        <v>-82.527726016434613</v>
      </c>
      <c r="AJ43" s="586">
        <f t="shared" si="398"/>
        <v>-57.475710624620348</v>
      </c>
      <c r="AK43" s="635">
        <f t="shared" si="399"/>
        <v>0.93399541747083736</v>
      </c>
      <c r="AL43" s="629">
        <f t="shared" si="400"/>
        <v>-0.33277694071824765</v>
      </c>
      <c r="AM43" s="634">
        <f t="shared" si="401"/>
        <v>-0.13004640660041378</v>
      </c>
      <c r="AN43" s="581">
        <f t="shared" si="402"/>
        <v>-68.654863357024837</v>
      </c>
      <c r="AO43" s="582">
        <f t="shared" si="94"/>
        <v>20.933550950385641</v>
      </c>
      <c r="AP43" s="585">
        <f t="shared" si="403"/>
        <v>-19.610677108478033</v>
      </c>
      <c r="AQ43" s="586">
        <f t="shared" si="246"/>
        <v>0.45675645423290678</v>
      </c>
      <c r="AS43" s="52">
        <f t="shared" ref="AS43:AS74" si="406">IF(G43="","",IF(AND(W43&lt;(AS42+180),W43&gt;(AS42-180)),W43,IF(W43&gt;(AS42+180),W43-360,IF(W43&lt;(AS42-180),W43+360,"Error"))))</f>
        <v>-127.86503351614232</v>
      </c>
      <c r="AT43" s="72">
        <f t="shared" si="247"/>
        <v>-0.79180749373362269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3.1320000000000001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4.2636399893735968</v>
      </c>
      <c r="C44" s="708">
        <v>-3.4084993374200927</v>
      </c>
      <c r="D44" s="709">
        <v>-1.4836044745510946</v>
      </c>
      <c r="E44" s="710">
        <v>0.89064356821307056</v>
      </c>
      <c r="F44" s="708">
        <v>0.44545460278325577</v>
      </c>
      <c r="G44" s="711">
        <v>9.1237225187428425E-2</v>
      </c>
      <c r="H44" s="710">
        <v>0.314</v>
      </c>
      <c r="I44" s="708">
        <v>0.52</v>
      </c>
      <c r="J44" s="570">
        <v>3.1379999999999999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3.1379999999999999</v>
      </c>
      <c r="N44" s="632">
        <f t="shared" si="240"/>
        <v>4.2636399893735968</v>
      </c>
      <c r="O44" s="629">
        <f t="shared" si="241"/>
        <v>-3.4084993374200927</v>
      </c>
      <c r="P44" s="633">
        <f t="shared" si="242"/>
        <v>-1.4836044745510946</v>
      </c>
      <c r="Q44" s="585">
        <f t="shared" si="113"/>
        <v>321.3599665957538</v>
      </c>
      <c r="R44" s="629">
        <f t="shared" si="385"/>
        <v>5.4586164631872514</v>
      </c>
      <c r="S44" s="634">
        <f t="shared" si="386"/>
        <v>-1.4836044745510946</v>
      </c>
      <c r="T44" s="635">
        <f t="shared" si="387"/>
        <v>-3.4084993374200927</v>
      </c>
      <c r="U44" s="629">
        <f t="shared" si="388"/>
        <v>-4.2636399893735968</v>
      </c>
      <c r="V44" s="636">
        <f t="shared" si="389"/>
        <v>-1.4836044745510946</v>
      </c>
      <c r="W44" s="585">
        <f t="shared" si="224"/>
        <v>231.3599665957538</v>
      </c>
      <c r="X44" s="629">
        <f t="shared" si="390"/>
        <v>5.4586164631872514</v>
      </c>
      <c r="Y44" s="630">
        <f t="shared" si="223"/>
        <v>-1.4836044745510946</v>
      </c>
      <c r="Z44" s="632">
        <f t="shared" si="243"/>
        <v>-0.89064356821307056</v>
      </c>
      <c r="AA44" s="629">
        <f t="shared" si="244"/>
        <v>-0.44545460278325577</v>
      </c>
      <c r="AB44" s="629">
        <f t="shared" si="245"/>
        <v>-9.1237225187428425E-2</v>
      </c>
      <c r="AC44" s="636">
        <f t="shared" si="391"/>
        <v>1</v>
      </c>
      <c r="AD44" s="637">
        <f t="shared" si="392"/>
        <v>-0.89064356821307056</v>
      </c>
      <c r="AE44" s="629">
        <f t="shared" si="393"/>
        <v>-0.44545460278325577</v>
      </c>
      <c r="AF44" s="633">
        <f t="shared" si="394"/>
        <v>-9.1237225187428425E-2</v>
      </c>
      <c r="AG44" s="602">
        <f t="shared" si="395"/>
        <v>-78.424868527454663</v>
      </c>
      <c r="AH44" s="603">
        <f t="shared" si="396"/>
        <v>152.95422909009829</v>
      </c>
      <c r="AI44" s="585">
        <f t="shared" si="397"/>
        <v>-84.765212262240183</v>
      </c>
      <c r="AJ44" s="586">
        <f t="shared" si="398"/>
        <v>-63.428113769312965</v>
      </c>
      <c r="AK44" s="635">
        <f t="shared" si="399"/>
        <v>0.9040781859818402</v>
      </c>
      <c r="AL44" s="629">
        <f t="shared" si="400"/>
        <v>-0.41751455348512567</v>
      </c>
      <c r="AM44" s="634">
        <f t="shared" si="401"/>
        <v>-9.1237225187428425E-2</v>
      </c>
      <c r="AN44" s="581">
        <f t="shared" si="402"/>
        <v>-77.673234818533459</v>
      </c>
      <c r="AO44" s="582">
        <f t="shared" si="94"/>
        <v>25.300585031205504</v>
      </c>
      <c r="AP44" s="585">
        <f t="shared" si="403"/>
        <v>-24.788080365066762</v>
      </c>
      <c r="AQ44" s="586">
        <f t="shared" si="246"/>
        <v>0.41763078121214009</v>
      </c>
      <c r="AS44" s="52">
        <f t="shared" si="406"/>
        <v>-128.6400334042462</v>
      </c>
      <c r="AT44" s="72">
        <f t="shared" si="247"/>
        <v>-1.394271118020368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3.1379999999999999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4.4651395815038697</v>
      </c>
      <c r="C45" s="708">
        <v>-3.6357178278668432</v>
      </c>
      <c r="D45" s="709">
        <v>-2.1782065694710133</v>
      </c>
      <c r="E45" s="710">
        <v>0.9281180502979387</v>
      </c>
      <c r="F45" s="708">
        <v>0.36857631124161361</v>
      </c>
      <c r="G45" s="711">
        <v>5.2425065595364799E-2</v>
      </c>
      <c r="H45" s="710">
        <v>0.314</v>
      </c>
      <c r="I45" s="708">
        <v>0.52</v>
      </c>
      <c r="J45" s="570">
        <v>3.1440000000000001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3.1440000000000001</v>
      </c>
      <c r="N45" s="632">
        <f t="shared" si="240"/>
        <v>4.4651395815038697</v>
      </c>
      <c r="O45" s="629">
        <f t="shared" si="241"/>
        <v>-3.6357178278668432</v>
      </c>
      <c r="P45" s="633">
        <f t="shared" si="242"/>
        <v>-2.1782065694710133</v>
      </c>
      <c r="Q45" s="585">
        <f t="shared" si="113"/>
        <v>320.84596666996617</v>
      </c>
      <c r="R45" s="629">
        <f t="shared" si="385"/>
        <v>5.7581173664819785</v>
      </c>
      <c r="S45" s="634">
        <f t="shared" si="386"/>
        <v>-2.1782065694710133</v>
      </c>
      <c r="T45" s="635">
        <f t="shared" si="387"/>
        <v>-3.6357178278668472</v>
      </c>
      <c r="U45" s="629">
        <f t="shared" si="388"/>
        <v>-4.4651395815038679</v>
      </c>
      <c r="V45" s="636">
        <f t="shared" si="389"/>
        <v>-2.1782065694710133</v>
      </c>
      <c r="W45" s="585">
        <f t="shared" si="224"/>
        <v>230.84596666996617</v>
      </c>
      <c r="X45" s="629">
        <f t="shared" si="390"/>
        <v>5.7581173664819785</v>
      </c>
      <c r="Y45" s="630">
        <f t="shared" si="223"/>
        <v>-2.1782065694710133</v>
      </c>
      <c r="Z45" s="632">
        <f t="shared" si="243"/>
        <v>-0.9281180502979387</v>
      </c>
      <c r="AA45" s="629">
        <f t="shared" si="244"/>
        <v>-0.36857631124161361</v>
      </c>
      <c r="AB45" s="629">
        <f t="shared" si="245"/>
        <v>-5.2425065595364799E-2</v>
      </c>
      <c r="AC45" s="636">
        <f t="shared" si="391"/>
        <v>1</v>
      </c>
      <c r="AD45" s="637">
        <f t="shared" si="392"/>
        <v>-0.9281180502979387</v>
      </c>
      <c r="AE45" s="629">
        <f t="shared" si="393"/>
        <v>-0.36857631124161361</v>
      </c>
      <c r="AF45" s="633">
        <f t="shared" si="394"/>
        <v>-5.2425065595364799E-2</v>
      </c>
      <c r="AG45" s="602">
        <f t="shared" si="395"/>
        <v>-81.904740371846671</v>
      </c>
      <c r="AH45" s="603">
        <f t="shared" si="396"/>
        <v>158.14332835369618</v>
      </c>
      <c r="AI45" s="585">
        <f t="shared" si="397"/>
        <v>-86.994887391594204</v>
      </c>
      <c r="AJ45" s="586">
        <f t="shared" si="398"/>
        <v>-68.340872782589713</v>
      </c>
      <c r="AK45" s="635">
        <f t="shared" si="399"/>
        <v>0.87183356962902303</v>
      </c>
      <c r="AL45" s="629">
        <f t="shared" si="400"/>
        <v>-0.48698854130794234</v>
      </c>
      <c r="AM45" s="634">
        <f t="shared" si="401"/>
        <v>-5.2425065595364799E-2</v>
      </c>
      <c r="AN45" s="581">
        <f t="shared" si="402"/>
        <v>-83.855683485270816</v>
      </c>
      <c r="AO45" s="582">
        <f t="shared" si="94"/>
        <v>29.327583714889784</v>
      </c>
      <c r="AP45" s="585">
        <f t="shared" si="403"/>
        <v>-29.186839452555851</v>
      </c>
      <c r="AQ45" s="586">
        <f t="shared" si="246"/>
        <v>0.39590897569977662</v>
      </c>
      <c r="AS45" s="52">
        <f t="shared" si="406"/>
        <v>-129.15403333003383</v>
      </c>
      <c r="AT45" s="72">
        <f t="shared" si="247"/>
        <v>-2.0885162685473788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3.1440000000000001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4.5885075535413602</v>
      </c>
      <c r="C46" s="708">
        <v>-3.7800577536838187</v>
      </c>
      <c r="D46" s="709">
        <v>-2.8550086107059713</v>
      </c>
      <c r="E46" s="710">
        <v>0.98902857729383331</v>
      </c>
      <c r="F46" s="708">
        <v>0.14458617905316221</v>
      </c>
      <c r="G46" s="711">
        <v>3.0287128007504313E-2</v>
      </c>
      <c r="H46" s="710">
        <v>0.26600000000000001</v>
      </c>
      <c r="I46" s="708">
        <v>0.52</v>
      </c>
      <c r="J46" s="570">
        <v>3.15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3.15</v>
      </c>
      <c r="N46" s="632">
        <f t="shared" si="240"/>
        <v>4.5885075535413602</v>
      </c>
      <c r="O46" s="629">
        <f t="shared" si="241"/>
        <v>-3.7800577536838187</v>
      </c>
      <c r="P46" s="633">
        <f t="shared" si="242"/>
        <v>-2.8550086107059713</v>
      </c>
      <c r="Q46" s="585">
        <f t="shared" si="113"/>
        <v>320.51796671732353</v>
      </c>
      <c r="R46" s="629">
        <f t="shared" si="385"/>
        <v>5.9450179301740782</v>
      </c>
      <c r="S46" s="634">
        <f t="shared" si="386"/>
        <v>-2.8550086107059713</v>
      </c>
      <c r="T46" s="635">
        <f t="shared" si="387"/>
        <v>-3.7800577536838191</v>
      </c>
      <c r="U46" s="629">
        <f t="shared" si="388"/>
        <v>-4.5885075535413602</v>
      </c>
      <c r="V46" s="636">
        <f t="shared" si="389"/>
        <v>-2.8550086107059713</v>
      </c>
      <c r="W46" s="585">
        <f t="shared" si="224"/>
        <v>230.51796671732353</v>
      </c>
      <c r="X46" s="629">
        <f t="shared" si="390"/>
        <v>5.9450179301740782</v>
      </c>
      <c r="Y46" s="630">
        <f t="shared" si="223"/>
        <v>-2.8550086107059713</v>
      </c>
      <c r="Z46" s="632">
        <f t="shared" si="243"/>
        <v>-0.98902857729383331</v>
      </c>
      <c r="AA46" s="629">
        <f t="shared" si="244"/>
        <v>-0.14458617905316221</v>
      </c>
      <c r="AB46" s="629">
        <f t="shared" si="245"/>
        <v>-3.0287128007504313E-2</v>
      </c>
      <c r="AC46" s="636">
        <f t="shared" si="391"/>
        <v>1</v>
      </c>
      <c r="AD46" s="637">
        <f t="shared" si="392"/>
        <v>-0.98902857729383331</v>
      </c>
      <c r="AE46" s="629">
        <f t="shared" si="393"/>
        <v>-0.14458617905316221</v>
      </c>
      <c r="AF46" s="633">
        <f t="shared" si="394"/>
        <v>-3.0287128007504313E-2</v>
      </c>
      <c r="AG46" s="602">
        <f t="shared" si="395"/>
        <v>-78.169057171476595</v>
      </c>
      <c r="AH46" s="603">
        <f t="shared" si="396"/>
        <v>171.50492975640026</v>
      </c>
      <c r="AI46" s="585">
        <f t="shared" si="397"/>
        <v>-88.264409976884195</v>
      </c>
      <c r="AJ46" s="586">
        <f t="shared" si="398"/>
        <v>-81.682840933239859</v>
      </c>
      <c r="AK46" s="635">
        <f t="shared" si="399"/>
        <v>0.74045528014221684</v>
      </c>
      <c r="AL46" s="629">
        <f t="shared" si="400"/>
        <v>-0.67142286823325303</v>
      </c>
      <c r="AM46" s="634">
        <f t="shared" si="401"/>
        <v>-3.0287128007504313E-2</v>
      </c>
      <c r="AN46" s="581">
        <f t="shared" si="402"/>
        <v>-87.417202918500408</v>
      </c>
      <c r="AO46" s="582">
        <f t="shared" si="94"/>
        <v>42.229787096064037</v>
      </c>
      <c r="AP46" s="585">
        <f t="shared" si="403"/>
        <v>-42.200807650563391</v>
      </c>
      <c r="AQ46" s="586">
        <f t="shared" si="246"/>
        <v>0.38346269443547887</v>
      </c>
      <c r="AS46" s="52">
        <f t="shared" si="406"/>
        <v>-129.48203328267647</v>
      </c>
      <c r="AT46" s="72">
        <f t="shared" si="247"/>
        <v>-2.7650905320374459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3.15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0.98739562629396993</v>
      </c>
      <c r="C47" s="708">
        <v>-1.8570237391045739</v>
      </c>
      <c r="D47" s="709">
        <v>-0.33194824919303789</v>
      </c>
      <c r="E47" s="710">
        <v>-0.12150782886533557</v>
      </c>
      <c r="F47" s="708">
        <v>0.2285237990509687</v>
      </c>
      <c r="G47" s="711">
        <v>0.96592583607218252</v>
      </c>
      <c r="H47" s="710">
        <v>0.26250000000000001</v>
      </c>
      <c r="I47" s="708">
        <v>0.40699999999999997</v>
      </c>
      <c r="J47" s="570">
        <v>3.2090000000000001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3.2090000000000001</v>
      </c>
      <c r="N47" s="632">
        <f t="shared" si="240"/>
        <v>0.98739562629396993</v>
      </c>
      <c r="O47" s="629">
        <f t="shared" si="241"/>
        <v>-1.8570237391045739</v>
      </c>
      <c r="P47" s="633">
        <f t="shared" si="242"/>
        <v>-0.33194824919303789</v>
      </c>
      <c r="Q47" s="585">
        <f t="shared" si="113"/>
        <v>297.99996607020285</v>
      </c>
      <c r="R47" s="629">
        <f t="shared" si="385"/>
        <v>2.1032088080888198</v>
      </c>
      <c r="S47" s="634">
        <f t="shared" si="386"/>
        <v>-0.33194824919303789</v>
      </c>
      <c r="T47" s="635">
        <f t="shared" si="387"/>
        <v>-1.857023739104575</v>
      </c>
      <c r="U47" s="629">
        <f t="shared" si="388"/>
        <v>-0.98739562629396838</v>
      </c>
      <c r="V47" s="636">
        <f t="shared" si="389"/>
        <v>-0.33194824919303789</v>
      </c>
      <c r="W47" s="585">
        <f t="shared" si="224"/>
        <v>207.99996607020285</v>
      </c>
      <c r="X47" s="629">
        <f t="shared" si="390"/>
        <v>2.1032088080888198</v>
      </c>
      <c r="Y47" s="630">
        <f t="shared" si="223"/>
        <v>-0.33194824919303789</v>
      </c>
      <c r="Z47" s="632">
        <f t="shared" si="243"/>
        <v>0.12150782886533557</v>
      </c>
      <c r="AA47" s="629">
        <f t="shared" si="244"/>
        <v>-0.2285237990509687</v>
      </c>
      <c r="AB47" s="629">
        <f t="shared" si="245"/>
        <v>-0.96592583607218252</v>
      </c>
      <c r="AC47" s="636">
        <f t="shared" si="391"/>
        <v>1</v>
      </c>
      <c r="AD47" s="637">
        <f t="shared" si="392"/>
        <v>0.12150782886533557</v>
      </c>
      <c r="AE47" s="629">
        <f t="shared" si="393"/>
        <v>-0.2285237990509687</v>
      </c>
      <c r="AF47" s="633">
        <f t="shared" si="394"/>
        <v>-0.96592583607218252</v>
      </c>
      <c r="AG47" s="602">
        <f t="shared" si="395"/>
        <v>-13.31059505486701</v>
      </c>
      <c r="AH47" s="603">
        <f t="shared" si="396"/>
        <v>83.020868344148667</v>
      </c>
      <c r="AI47" s="585">
        <f t="shared" si="397"/>
        <v>-14.999997834273763</v>
      </c>
      <c r="AJ47" s="586">
        <f t="shared" si="398"/>
        <v>27.999915863726674</v>
      </c>
      <c r="AK47" s="635">
        <f t="shared" si="399"/>
        <v>2.2679489650179185E-7</v>
      </c>
      <c r="AL47" s="629">
        <f t="shared" si="400"/>
        <v>0.25881900859133933</v>
      </c>
      <c r="AM47" s="634">
        <f t="shared" si="401"/>
        <v>-0.96592583607218252</v>
      </c>
      <c r="AN47" s="581">
        <f t="shared" si="402"/>
        <v>14.999997834268271</v>
      </c>
      <c r="AO47" s="582">
        <f t="shared" si="94"/>
        <v>0</v>
      </c>
      <c r="AP47" s="585">
        <f t="shared" si="403"/>
        <v>89.99994979352384</v>
      </c>
      <c r="AQ47" s="586">
        <f t="shared" si="246"/>
        <v>1.0837985815145486</v>
      </c>
      <c r="AS47" s="52">
        <f t="shared" si="406"/>
        <v>-152.00003392979715</v>
      </c>
      <c r="AT47" s="72">
        <f t="shared" si="247"/>
        <v>-0.2263926700751232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3.2090000000000001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3.109</v>
      </c>
      <c r="II47" s="734" cm="1">
        <f t="array" ref="II47">IFERROR(ROUND(VALUE(IF($IH47&lt;1,$IH47+LARGE((IF($M$9:$M$150="",0,$M$9:$M$150)-MOD(IF($M$9:$M$150="",0,$M$9:$M$150),1)),1),$IH47)),4),"")</f>
        <v>3.109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27.000000000000057</v>
      </c>
      <c r="IM47" s="759">
        <v>2.0814854972881599E-2</v>
      </c>
      <c r="IN47" s="5">
        <f t="shared" si="226"/>
        <v>0.28000000000000003</v>
      </c>
      <c r="IO47" s="771">
        <v>140</v>
      </c>
      <c r="IP47" s="9">
        <f t="shared" si="227"/>
        <v>-2.1124063710176149</v>
      </c>
      <c r="IQ47" s="5">
        <f t="shared" si="228"/>
        <v>-0.34590104323754617</v>
      </c>
      <c r="IR47" s="5">
        <f t="shared" si="383"/>
        <v>0.314</v>
      </c>
      <c r="IS47" s="5">
        <f t="shared" si="229"/>
        <v>0.29946712669884273</v>
      </c>
      <c r="IT47" s="727">
        <f t="shared" si="230"/>
        <v>-14.999997834268179</v>
      </c>
      <c r="IU47" s="9">
        <f t="shared" si="231"/>
        <v>-2.1032088080888198</v>
      </c>
      <c r="IV47" s="5">
        <f t="shared" si="232"/>
        <v>-0.33194824919303789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-14.999997834268271</v>
      </c>
    </row>
    <row r="48" spans="1:267" ht="15" customHeight="1" x14ac:dyDescent="0.25">
      <c r="A48" s="79"/>
      <c r="B48" s="707">
        <v>1.5436030049369258</v>
      </c>
      <c r="C48" s="708">
        <v>-2.3769432669472912</v>
      </c>
      <c r="D48" s="709">
        <v>-0.12855803479638267</v>
      </c>
      <c r="E48" s="710">
        <v>-4.746817929777776E-2</v>
      </c>
      <c r="F48" s="708">
        <v>7.3095097374470897E-2</v>
      </c>
      <c r="G48" s="711">
        <v>0.99619469918985759</v>
      </c>
      <c r="H48" s="710">
        <v>0.26250000000000001</v>
      </c>
      <c r="I48" s="708">
        <v>0.40699999999999997</v>
      </c>
      <c r="J48" s="570">
        <v>3.214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Inactive</v>
      </c>
      <c r="L48" s="320"/>
      <c r="M48" s="168">
        <f t="shared" si="239"/>
        <v>3.214</v>
      </c>
      <c r="N48" s="632">
        <f t="shared" si="240"/>
        <v>1.5436030049369258</v>
      </c>
      <c r="O48" s="629">
        <f t="shared" si="241"/>
        <v>-2.3769432669472912</v>
      </c>
      <c r="P48" s="633">
        <f t="shared" si="242"/>
        <v>-0.12855803479638267</v>
      </c>
      <c r="Q48" s="585">
        <f t="shared" si="113"/>
        <v>302.9999660702029</v>
      </c>
      <c r="R48" s="629">
        <f t="shared" si="79"/>
        <v>2.8341788107203763</v>
      </c>
      <c r="S48" s="634">
        <f t="shared" si="80"/>
        <v>-0.12855803479638267</v>
      </c>
      <c r="T48" s="635">
        <f t="shared" si="81"/>
        <v>-2.3769432669472903</v>
      </c>
      <c r="U48" s="629">
        <f t="shared" si="82"/>
        <v>-1.543603004936926</v>
      </c>
      <c r="V48" s="636">
        <f t="shared" si="114"/>
        <v>-0.12855803479638267</v>
      </c>
      <c r="W48" s="585">
        <f t="shared" si="224"/>
        <v>212.9999660702029</v>
      </c>
      <c r="X48" s="629">
        <f t="shared" si="83"/>
        <v>2.8341788107203763</v>
      </c>
      <c r="Y48" s="630">
        <f t="shared" si="223"/>
        <v>-0.12855803479638267</v>
      </c>
      <c r="Z48" s="632">
        <f t="shared" si="243"/>
        <v>4.746817929777776E-2</v>
      </c>
      <c r="AA48" s="629">
        <f t="shared" si="244"/>
        <v>-7.3095097374470897E-2</v>
      </c>
      <c r="AB48" s="629">
        <f t="shared" si="245"/>
        <v>-0.99619469918985759</v>
      </c>
      <c r="AC48" s="636">
        <f t="shared" si="84"/>
        <v>1</v>
      </c>
      <c r="AD48" s="637">
        <f t="shared" si="115"/>
        <v>4.746817929777776E-2</v>
      </c>
      <c r="AE48" s="629">
        <f t="shared" si="85"/>
        <v>-7.3095097374470897E-2</v>
      </c>
      <c r="AF48" s="633">
        <f t="shared" si="86"/>
        <v>-0.99619469918985759</v>
      </c>
      <c r="AG48" s="602">
        <f t="shared" si="87"/>
        <v>-4.1965179384998734</v>
      </c>
      <c r="AH48" s="603">
        <f t="shared" si="88"/>
        <v>87.27925126745555</v>
      </c>
      <c r="AI48" s="585">
        <f t="shared" si="89"/>
        <v>-4.9999992781061904</v>
      </c>
      <c r="AJ48" s="586">
        <f t="shared" si="90"/>
        <v>32.999816976272164</v>
      </c>
      <c r="AK48" s="635">
        <f t="shared" si="211"/>
        <v>2.2679489680016429E-7</v>
      </c>
      <c r="AL48" s="629">
        <f t="shared" si="91"/>
        <v>8.7155730195885128E-2</v>
      </c>
      <c r="AM48" s="634">
        <f t="shared" si="92"/>
        <v>-0.99619469918985759</v>
      </c>
      <c r="AN48" s="581">
        <f t="shared" si="93"/>
        <v>4.9999992780894198</v>
      </c>
      <c r="AO48" s="582">
        <f t="shared" si="94"/>
        <v>0</v>
      </c>
      <c r="AP48" s="585">
        <f t="shared" si="95"/>
        <v>89.999850906069256</v>
      </c>
      <c r="AQ48" s="586">
        <f t="shared" si="246"/>
        <v>0.80431653436436645</v>
      </c>
      <c r="AS48" s="52">
        <f t="shared" si="406"/>
        <v>-147.0000339297971</v>
      </c>
      <c r="AT48" s="72">
        <f t="shared" si="247"/>
        <v>-2.6474677900690233E-2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3.214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3.1139999999999999</v>
      </c>
      <c r="II48" s="734" cm="1">
        <f t="array" ref="II48">IFERROR(ROUND(VALUE(IF($IH48&lt;1,$IH48+LARGE((IF($M$9:$M$150="",0,$M$9:$M$150)-MOD(IF($M$9:$M$150="",0,$M$9:$M$150),1)),1),$IH48)),4),"")</f>
        <v>3.1139999999999999</v>
      </c>
      <c r="IJ48" s="533">
        <f t="shared" si="112"/>
        <v>1613</v>
      </c>
      <c r="IK48" s="533" t="str">
        <f t="shared" si="382"/>
        <v>Inactive</v>
      </c>
      <c r="IL48" s="727">
        <f t="shared" si="225"/>
        <v>21.83600002367865</v>
      </c>
      <c r="IM48" s="759">
        <v>1.7550372869883198E-2</v>
      </c>
      <c r="IN48" s="5">
        <f t="shared" si="226"/>
        <v>0.28000000000000003</v>
      </c>
      <c r="IO48" s="771">
        <v>140</v>
      </c>
      <c r="IP48" s="9">
        <f t="shared" si="227"/>
        <v>-2.8376085582274118</v>
      </c>
      <c r="IQ48" s="5">
        <f t="shared" si="228"/>
        <v>-0.1516004572269789</v>
      </c>
      <c r="IR48" s="5">
        <f t="shared" si="383"/>
        <v>0.314</v>
      </c>
      <c r="IS48" s="5">
        <f t="shared" si="229"/>
        <v>0.30312362778021484</v>
      </c>
      <c r="IT48" s="727">
        <f t="shared" si="230"/>
        <v>2.5245192309820212</v>
      </c>
      <c r="IU48" s="9">
        <f t="shared" si="231"/>
        <v>-2.8341788107203763</v>
      </c>
      <c r="IV48" s="5">
        <f t="shared" si="232"/>
        <v>-0.12855803479638267</v>
      </c>
      <c r="IW48" s="5">
        <f t="shared" si="384"/>
        <v>0.26250000000000001</v>
      </c>
      <c r="IX48" s="5">
        <f t="shared" si="233"/>
        <v>0.26250000000000001</v>
      </c>
      <c r="IY48" s="762">
        <f t="shared" si="234"/>
        <v>-4.9999992780894198</v>
      </c>
    </row>
    <row r="49" spans="1:259" ht="15" customHeight="1" x14ac:dyDescent="0.25">
      <c r="A49" s="79"/>
      <c r="B49" s="707">
        <v>2.0926809586645487</v>
      </c>
      <c r="C49" s="708">
        <v>-2.9773663254497</v>
      </c>
      <c r="D49" s="709">
        <v>-8.4489088954801089E-2</v>
      </c>
      <c r="E49" s="710">
        <v>6.6092872693534713E-2</v>
      </c>
      <c r="F49" s="708">
        <v>-9.4033382076477975E-2</v>
      </c>
      <c r="G49" s="711">
        <v>0.99337276751196246</v>
      </c>
      <c r="H49" s="710">
        <v>0.26250000000000001</v>
      </c>
      <c r="I49" s="708">
        <v>0.40699999999999997</v>
      </c>
      <c r="J49" s="570">
        <v>3.22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Inactive</v>
      </c>
      <c r="L49" s="320"/>
      <c r="M49" s="168">
        <f t="shared" si="239"/>
        <v>3.22</v>
      </c>
      <c r="N49" s="632">
        <f t="shared" si="240"/>
        <v>2.0926809586645487</v>
      </c>
      <c r="O49" s="629">
        <f t="shared" si="241"/>
        <v>-2.9773663254497</v>
      </c>
      <c r="P49" s="633">
        <f t="shared" si="242"/>
        <v>-8.4489088954801089E-2</v>
      </c>
      <c r="Q49" s="585">
        <f t="shared" si="113"/>
        <v>305.10196894311821</v>
      </c>
      <c r="R49" s="629">
        <f t="shared" si="79"/>
        <v>3.6392339620693561</v>
      </c>
      <c r="S49" s="634">
        <f t="shared" si="80"/>
        <v>-8.4489088954801089E-2</v>
      </c>
      <c r="T49" s="635">
        <f t="shared" si="81"/>
        <v>-2.9773663254497009</v>
      </c>
      <c r="U49" s="629">
        <f t="shared" si="82"/>
        <v>-2.0926809586645474</v>
      </c>
      <c r="V49" s="636">
        <f t="shared" si="114"/>
        <v>-8.4489088954801089E-2</v>
      </c>
      <c r="W49" s="585">
        <f t="shared" si="224"/>
        <v>215.10196894311821</v>
      </c>
      <c r="X49" s="629">
        <f t="shared" si="83"/>
        <v>3.6392339620693561</v>
      </c>
      <c r="Y49" s="630">
        <f t="shared" si="223"/>
        <v>-8.4489088954801089E-2</v>
      </c>
      <c r="Z49" s="632">
        <f t="shared" si="243"/>
        <v>-6.6092872693534713E-2</v>
      </c>
      <c r="AA49" s="629">
        <f t="shared" si="244"/>
        <v>9.4033382076477975E-2</v>
      </c>
      <c r="AB49" s="629">
        <f t="shared" si="245"/>
        <v>-0.99337276751196246</v>
      </c>
      <c r="AC49" s="636">
        <f t="shared" si="84"/>
        <v>1</v>
      </c>
      <c r="AD49" s="637">
        <f t="shared" si="115"/>
        <v>-6.6092872693534713E-2</v>
      </c>
      <c r="AE49" s="629">
        <f t="shared" si="85"/>
        <v>9.4033382076477975E-2</v>
      </c>
      <c r="AF49" s="633">
        <f t="shared" si="86"/>
        <v>-0.99337276751196246</v>
      </c>
      <c r="AG49" s="602">
        <f t="shared" si="87"/>
        <v>5.4075464810232425</v>
      </c>
      <c r="AH49" s="603">
        <f t="shared" si="88"/>
        <v>93.789605085331246</v>
      </c>
      <c r="AI49" s="585">
        <f t="shared" si="89"/>
        <v>-6.5999990470907379</v>
      </c>
      <c r="AJ49" s="586">
        <f t="shared" si="90"/>
        <v>-144.89791800037906</v>
      </c>
      <c r="AK49" s="635">
        <f t="shared" si="211"/>
        <v>2.2679489676546982E-7</v>
      </c>
      <c r="AL49" s="629">
        <f t="shared" si="91"/>
        <v>-0.11493713397145955</v>
      </c>
      <c r="AM49" s="634">
        <f t="shared" si="92"/>
        <v>-0.99337276751196246</v>
      </c>
      <c r="AN49" s="581">
        <f t="shared" si="93"/>
        <v>-6.599999047078037</v>
      </c>
      <c r="AO49" s="582">
        <f t="shared" si="94"/>
        <v>0</v>
      </c>
      <c r="AP49" s="585">
        <f t="shared" si="95"/>
        <v>-89.999886943497273</v>
      </c>
      <c r="AQ49" s="586">
        <f t="shared" si="246"/>
        <v>0.62640539888973756</v>
      </c>
      <c r="AS49" s="52">
        <f t="shared" si="406"/>
        <v>-144.89803105688179</v>
      </c>
      <c r="AT49" s="72">
        <f t="shared" si="247"/>
        <v>1.6134543723589051E-2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3.22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3.12</v>
      </c>
      <c r="II49" s="734" cm="1">
        <f t="array" ref="II49">IFERROR(ROUND(VALUE(IF($IH49&lt;1,$IH49+LARGE((IF($M$9:$M$150="",0,$M$9:$M$150)-MOD(IF($M$9:$M$150="",0,$M$9:$M$150),1)),1),$IH49)),4),"")</f>
        <v>3.12</v>
      </c>
      <c r="IJ49" s="533">
        <f t="shared" si="112"/>
        <v>1613</v>
      </c>
      <c r="IK49" s="533" t="str">
        <f t="shared" si="382"/>
        <v>Inactive</v>
      </c>
      <c r="IL49" s="727">
        <f t="shared" si="225"/>
        <v>18.978997259771859</v>
      </c>
      <c r="IM49" s="759">
        <v>1.3738380407452601E-2</v>
      </c>
      <c r="IN49" s="5">
        <f t="shared" si="226"/>
        <v>0.24</v>
      </c>
      <c r="IO49" s="771">
        <v>120</v>
      </c>
      <c r="IP49" s="9">
        <f t="shared" si="227"/>
        <v>-3.634710962288263</v>
      </c>
      <c r="IQ49" s="5">
        <f t="shared" si="228"/>
        <v>-0.11040033296740434</v>
      </c>
      <c r="IR49" s="5">
        <f t="shared" si="383"/>
        <v>0.314</v>
      </c>
      <c r="IS49" s="5">
        <f t="shared" si="229"/>
        <v>0.30202979714151429</v>
      </c>
      <c r="IT49" s="727">
        <f t="shared" si="230"/>
        <v>26.135724681141184</v>
      </c>
      <c r="IU49" s="9">
        <f t="shared" si="231"/>
        <v>-3.6392339620693561</v>
      </c>
      <c r="IV49" s="5">
        <f t="shared" si="232"/>
        <v>-8.4489088954801089E-2</v>
      </c>
      <c r="IW49" s="5">
        <f t="shared" si="384"/>
        <v>0.26250000000000001</v>
      </c>
      <c r="IX49" s="5">
        <f t="shared" si="233"/>
        <v>0.26250000000000001</v>
      </c>
      <c r="IY49" s="762">
        <f t="shared" si="234"/>
        <v>6.599999047078037</v>
      </c>
    </row>
    <row r="50" spans="1:259" ht="15" customHeight="1" x14ac:dyDescent="0.25">
      <c r="A50" s="79"/>
      <c r="B50" s="707">
        <v>2.8753917316755295</v>
      </c>
      <c r="C50" s="708">
        <v>-3.3203834312849643</v>
      </c>
      <c r="D50" s="709">
        <v>-0.35058978302321991</v>
      </c>
      <c r="E50" s="710">
        <v>0.87756854694957442</v>
      </c>
      <c r="F50" s="708">
        <v>0.38814758145355954</v>
      </c>
      <c r="G50" s="711">
        <v>0.28145141750676095</v>
      </c>
      <c r="H50" s="710">
        <v>0.26600000000000001</v>
      </c>
      <c r="I50" s="708">
        <v>0.52</v>
      </c>
      <c r="J50" s="570">
        <v>3.226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3.226</v>
      </c>
      <c r="N50" s="632">
        <f t="shared" si="240"/>
        <v>2.8753917316755295</v>
      </c>
      <c r="O50" s="629">
        <f t="shared" si="241"/>
        <v>-3.3203834312849643</v>
      </c>
      <c r="P50" s="633">
        <f t="shared" si="242"/>
        <v>-0.35058978302321991</v>
      </c>
      <c r="Q50" s="585">
        <f t="shared" si="113"/>
        <v>310.89196810714577</v>
      </c>
      <c r="R50" s="629">
        <f t="shared" si="79"/>
        <v>4.3923597008145538</v>
      </c>
      <c r="S50" s="634">
        <f t="shared" si="80"/>
        <v>-0.35058978302321991</v>
      </c>
      <c r="T50" s="635">
        <f t="shared" si="81"/>
        <v>-3.3203834312849638</v>
      </c>
      <c r="U50" s="629">
        <f t="shared" si="82"/>
        <v>-2.87539173167553</v>
      </c>
      <c r="V50" s="636">
        <f t="shared" si="114"/>
        <v>-0.35058978302321991</v>
      </c>
      <c r="W50" s="585">
        <f t="shared" si="224"/>
        <v>220.89196810714577</v>
      </c>
      <c r="X50" s="629">
        <f t="shared" si="83"/>
        <v>4.3923597008145538</v>
      </c>
      <c r="Y50" s="630">
        <f t="shared" si="223"/>
        <v>-0.35058978302321991</v>
      </c>
      <c r="Z50" s="632">
        <f t="shared" si="243"/>
        <v>-0.87756854694957442</v>
      </c>
      <c r="AA50" s="629">
        <f t="shared" si="244"/>
        <v>-0.38814758145355954</v>
      </c>
      <c r="AB50" s="629">
        <f t="shared" si="245"/>
        <v>-0.28145141750676095</v>
      </c>
      <c r="AC50" s="636">
        <f t="shared" si="84"/>
        <v>1</v>
      </c>
      <c r="AD50" s="637">
        <f t="shared" si="115"/>
        <v>-0.87756854694957442</v>
      </c>
      <c r="AE50" s="629">
        <f t="shared" si="85"/>
        <v>-0.38814758145355954</v>
      </c>
      <c r="AF50" s="633">
        <f t="shared" si="86"/>
        <v>-0.28145141750676095</v>
      </c>
      <c r="AG50" s="602">
        <f t="shared" si="87"/>
        <v>-54.053590368189703</v>
      </c>
      <c r="AH50" s="603">
        <f t="shared" si="88"/>
        <v>151.35043537341085</v>
      </c>
      <c r="AI50" s="585">
        <f t="shared" si="89"/>
        <v>-73.653151049231397</v>
      </c>
      <c r="AJ50" s="586">
        <f t="shared" si="90"/>
        <v>-66.140247320069292</v>
      </c>
      <c r="AK50" s="635">
        <f t="shared" si="211"/>
        <v>0.91748870401990601</v>
      </c>
      <c r="AL50" s="629">
        <f t="shared" si="91"/>
        <v>-0.28106863499741153</v>
      </c>
      <c r="AM50" s="634">
        <f t="shared" si="92"/>
        <v>-0.28145141750676095</v>
      </c>
      <c r="AN50" s="581">
        <f t="shared" si="93"/>
        <v>-44.961011489680523</v>
      </c>
      <c r="AO50" s="582">
        <f t="shared" si="94"/>
        <v>23.438334386806726</v>
      </c>
      <c r="AP50" s="585">
        <f t="shared" si="95"/>
        <v>-17.032215427215075</v>
      </c>
      <c r="AQ50" s="586">
        <f t="shared" si="246"/>
        <v>0.51900673742329184</v>
      </c>
      <c r="AS50" s="52">
        <f t="shared" si="406"/>
        <v>-139.10803189285423</v>
      </c>
      <c r="AT50" s="72">
        <f t="shared" si="247"/>
        <v>-0.25398698309762668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Nose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3.226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3.1259999999999999</v>
      </c>
      <c r="II50" s="734" cm="1">
        <f t="array" ref="II50">IFERROR(ROUND(VALUE(IF($IH50&lt;1,$IH50+LARGE((IF($M$9:$M$150="",0,$M$9:$M$150)-MOD(IF($M$9:$M$150="",0,$M$9:$M$150),1)),1),$IH50)),4),"")</f>
        <v>3.1259999999999999</v>
      </c>
      <c r="IJ50" s="533">
        <f t="shared" si="112"/>
        <v>1613</v>
      </c>
      <c r="IK50" s="533">
        <f t="shared" si="382"/>
        <v>1313</v>
      </c>
      <c r="IL50" s="727">
        <f t="shared" si="225"/>
        <v>12.200998238393822</v>
      </c>
      <c r="IM50" s="759">
        <v>7.6297370086270697E-3</v>
      </c>
      <c r="IN50" s="5">
        <f t="shared" si="226"/>
        <v>0.2</v>
      </c>
      <c r="IO50" s="771">
        <v>100</v>
      </c>
      <c r="IP50" s="9">
        <f t="shared" si="227"/>
        <v>-4.3708131823725589</v>
      </c>
      <c r="IQ50" s="5">
        <f t="shared" si="228"/>
        <v>-0.39120117986275899</v>
      </c>
      <c r="IR50" s="5">
        <f t="shared" si="383"/>
        <v>0.314</v>
      </c>
      <c r="IS50" s="5">
        <f t="shared" si="229"/>
        <v>0.2971397989688494</v>
      </c>
      <c r="IT50" s="727">
        <f t="shared" si="230"/>
        <v>50.198159661896554</v>
      </c>
      <c r="IU50" s="9">
        <f t="shared" si="231"/>
        <v>-4.3923597008145538</v>
      </c>
      <c r="IV50" s="5">
        <f t="shared" si="232"/>
        <v>-0.35058978302321991</v>
      </c>
      <c r="IW50" s="5">
        <f t="shared" si="384"/>
        <v>0.26600000000000001</v>
      </c>
      <c r="IX50" s="5">
        <f t="shared" si="233"/>
        <v>0.24405199526929502</v>
      </c>
      <c r="IY50" s="762">
        <f t="shared" si="234"/>
        <v>44.961011489680523</v>
      </c>
    </row>
    <row r="51" spans="1:259" ht="15" customHeight="1" x14ac:dyDescent="0.25">
      <c r="A51" s="79"/>
      <c r="B51" s="707">
        <v>3.3045700715952488</v>
      </c>
      <c r="C51" s="708">
        <v>-3.7831695161669927</v>
      </c>
      <c r="D51" s="709">
        <v>-0.84521544933508586</v>
      </c>
      <c r="E51" s="710">
        <v>0.93137644058658076</v>
      </c>
      <c r="F51" s="708">
        <v>0.30787010054688269</v>
      </c>
      <c r="G51" s="711">
        <v>0.19430369813650974</v>
      </c>
      <c r="H51" s="710">
        <v>0.26600000000000001</v>
      </c>
      <c r="I51" s="708">
        <v>0.52</v>
      </c>
      <c r="J51" s="570">
        <v>3.2320000000000002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3.2320000000000002</v>
      </c>
      <c r="N51" s="632">
        <f t="shared" si="240"/>
        <v>3.3045700715952488</v>
      </c>
      <c r="O51" s="629">
        <f t="shared" si="241"/>
        <v>-3.7831695161669927</v>
      </c>
      <c r="P51" s="633">
        <f t="shared" si="242"/>
        <v>-0.84521544933508586</v>
      </c>
      <c r="Q51" s="585">
        <f t="shared" si="113"/>
        <v>311.13696807177217</v>
      </c>
      <c r="R51" s="629">
        <f t="shared" si="79"/>
        <v>5.0232016628977005</v>
      </c>
      <c r="S51" s="634">
        <f t="shared" si="80"/>
        <v>-0.84521544933508586</v>
      </c>
      <c r="T51" s="635">
        <f t="shared" si="81"/>
        <v>-3.7831695161669918</v>
      </c>
      <c r="U51" s="629">
        <f t="shared" si="82"/>
        <v>-3.3045700715952497</v>
      </c>
      <c r="V51" s="636">
        <f t="shared" si="114"/>
        <v>-0.84521544933508586</v>
      </c>
      <c r="W51" s="585">
        <f t="shared" si="224"/>
        <v>221.13696807177217</v>
      </c>
      <c r="X51" s="629">
        <f t="shared" si="83"/>
        <v>5.0232016628977005</v>
      </c>
      <c r="Y51" s="630">
        <f t="shared" si="223"/>
        <v>-0.84521544933508586</v>
      </c>
      <c r="Z51" s="632">
        <f t="shared" si="243"/>
        <v>-0.93137644058658076</v>
      </c>
      <c r="AA51" s="629">
        <f t="shared" si="244"/>
        <v>-0.30787010054688269</v>
      </c>
      <c r="AB51" s="629">
        <f t="shared" si="245"/>
        <v>-0.19430369813650974</v>
      </c>
      <c r="AC51" s="636">
        <f t="shared" si="84"/>
        <v>1</v>
      </c>
      <c r="AD51" s="637">
        <f t="shared" si="115"/>
        <v>-0.93137644058658076</v>
      </c>
      <c r="AE51" s="629">
        <f t="shared" si="85"/>
        <v>-0.30787010054688269</v>
      </c>
      <c r="AF51" s="633">
        <f t="shared" si="86"/>
        <v>-0.19430369813650974</v>
      </c>
      <c r="AG51" s="602">
        <f t="shared" si="87"/>
        <v>-57.743061271430776</v>
      </c>
      <c r="AH51" s="603">
        <f t="shared" si="88"/>
        <v>158.65040355636589</v>
      </c>
      <c r="AI51" s="585">
        <f t="shared" si="89"/>
        <v>-78.79594954628638</v>
      </c>
      <c r="AJ51" s="586">
        <f t="shared" si="90"/>
        <v>-71.708496095809437</v>
      </c>
      <c r="AK51" s="635">
        <f t="shared" si="211"/>
        <v>0.90399183290802243</v>
      </c>
      <c r="AL51" s="629">
        <f t="shared" si="91"/>
        <v>-0.3808475271366093</v>
      </c>
      <c r="AM51" s="634">
        <f t="shared" si="92"/>
        <v>-0.19430369813650974</v>
      </c>
      <c r="AN51" s="581">
        <f t="shared" si="93"/>
        <v>-62.969887560177163</v>
      </c>
      <c r="AO51" s="582">
        <f t="shared" si="94"/>
        <v>25.312159646550043</v>
      </c>
      <c r="AP51" s="585">
        <f t="shared" si="95"/>
        <v>-22.8454641675816</v>
      </c>
      <c r="AQ51" s="586">
        <f t="shared" si="246"/>
        <v>0.45382986956436133</v>
      </c>
      <c r="AS51" s="52">
        <f t="shared" si="406"/>
        <v>-138.86303192822783</v>
      </c>
      <c r="AT51" s="72">
        <f t="shared" si="247"/>
        <v>-0.7487827882738165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3.2320000000000002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3.1320000000000001</v>
      </c>
      <c r="II51" s="734" cm="1">
        <f t="array" ref="II51">IFERROR(ROUND(VALUE(IF($IH51&lt;1,$IH51+LARGE((IF($M$9:$M$150="",0,$M$9:$M$150)-MOD(IF($M$9:$M$150="",0,$M$9:$M$150),1)),1),$IH51)),4),"")</f>
        <v>3.1320000000000001</v>
      </c>
      <c r="IJ51" s="533">
        <f t="shared" si="112"/>
        <v>1613</v>
      </c>
      <c r="IK51" s="533">
        <f t="shared" si="382"/>
        <v>1313</v>
      </c>
      <c r="IL51" s="727">
        <f t="shared" si="225"/>
        <v>10.997998412085508</v>
      </c>
      <c r="IM51" s="759">
        <v>5.8534103575733796E-3</v>
      </c>
      <c r="IN51" s="5">
        <f t="shared" si="226"/>
        <v>0.18</v>
      </c>
      <c r="IO51" s="771">
        <v>90</v>
      </c>
      <c r="IP51" s="9">
        <f t="shared" si="227"/>
        <v>-4.9910150529013997</v>
      </c>
      <c r="IQ51" s="5">
        <f t="shared" si="228"/>
        <v>-0.88060265589761044</v>
      </c>
      <c r="IR51" s="5">
        <f t="shared" si="383"/>
        <v>0.314</v>
      </c>
      <c r="IS51" s="5">
        <f t="shared" si="229"/>
        <v>0.29327456108584293</v>
      </c>
      <c r="IT51" s="727">
        <f t="shared" si="230"/>
        <v>68.654863357024837</v>
      </c>
      <c r="IU51" s="9">
        <f t="shared" si="231"/>
        <v>-5.0232016628977005</v>
      </c>
      <c r="IV51" s="5">
        <f t="shared" si="232"/>
        <v>-0.84521544933508586</v>
      </c>
      <c r="IW51" s="5">
        <f t="shared" si="384"/>
        <v>0.26600000000000001</v>
      </c>
      <c r="IX51" s="5">
        <f t="shared" si="233"/>
        <v>0.24046182755353399</v>
      </c>
      <c r="IY51" s="762">
        <f t="shared" si="234"/>
        <v>62.969887560177163</v>
      </c>
    </row>
    <row r="52" spans="1:259" ht="15" customHeight="1" x14ac:dyDescent="0.25">
      <c r="A52" s="79"/>
      <c r="B52" s="707">
        <v>3.6127250066074201</v>
      </c>
      <c r="C52" s="708">
        <v>-4.1441224369448229</v>
      </c>
      <c r="D52" s="709">
        <v>-1.4534522778014463</v>
      </c>
      <c r="E52" s="710">
        <v>0.96608169659038401</v>
      </c>
      <c r="F52" s="708">
        <v>0.21394365240700303</v>
      </c>
      <c r="G52" s="711">
        <v>0.14461766526879427</v>
      </c>
      <c r="H52" s="710">
        <v>0.26600000000000001</v>
      </c>
      <c r="I52" s="708">
        <v>0.52</v>
      </c>
      <c r="J52" s="570">
        <v>3.238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3.238</v>
      </c>
      <c r="N52" s="632">
        <f t="shared" si="240"/>
        <v>3.6127250066074201</v>
      </c>
      <c r="O52" s="629">
        <f t="shared" si="241"/>
        <v>-4.1441224369448229</v>
      </c>
      <c r="P52" s="633">
        <f t="shared" si="242"/>
        <v>-1.4534522778014463</v>
      </c>
      <c r="Q52" s="585">
        <f t="shared" si="113"/>
        <v>311.08096807985754</v>
      </c>
      <c r="R52" s="629">
        <f t="shared" si="79"/>
        <v>5.4977752542056573</v>
      </c>
      <c r="S52" s="634">
        <f t="shared" si="80"/>
        <v>-1.4534522778014463</v>
      </c>
      <c r="T52" s="635">
        <f t="shared" si="81"/>
        <v>-4.1441224369448237</v>
      </c>
      <c r="U52" s="629">
        <f t="shared" si="82"/>
        <v>-3.6127250066074192</v>
      </c>
      <c r="V52" s="636">
        <f t="shared" si="114"/>
        <v>-1.4534522778014463</v>
      </c>
      <c r="W52" s="585">
        <f t="shared" si="224"/>
        <v>221.08096807985754</v>
      </c>
      <c r="X52" s="629">
        <f t="shared" si="83"/>
        <v>5.4977752542056573</v>
      </c>
      <c r="Y52" s="630">
        <f t="shared" si="223"/>
        <v>-1.4534522778014463</v>
      </c>
      <c r="Z52" s="632">
        <f t="shared" si="243"/>
        <v>-0.96608169659038401</v>
      </c>
      <c r="AA52" s="629">
        <f t="shared" si="244"/>
        <v>-0.21394365240700303</v>
      </c>
      <c r="AB52" s="629">
        <f t="shared" si="245"/>
        <v>-0.14461766526879427</v>
      </c>
      <c r="AC52" s="636">
        <f t="shared" si="84"/>
        <v>1</v>
      </c>
      <c r="AD52" s="637">
        <f t="shared" si="115"/>
        <v>-0.96608169659038401</v>
      </c>
      <c r="AE52" s="629">
        <f t="shared" si="85"/>
        <v>-0.21394365240700303</v>
      </c>
      <c r="AF52" s="633">
        <f t="shared" si="86"/>
        <v>-0.14461766526879427</v>
      </c>
      <c r="AG52" s="602">
        <f t="shared" si="87"/>
        <v>-55.942821944127232</v>
      </c>
      <c r="AH52" s="603">
        <f t="shared" si="88"/>
        <v>165.03454448187506</v>
      </c>
      <c r="AI52" s="585">
        <f t="shared" si="89"/>
        <v>-81.684860336006409</v>
      </c>
      <c r="AJ52" s="586">
        <f t="shared" si="90"/>
        <v>-77.513087333518229</v>
      </c>
      <c r="AK52" s="635">
        <f t="shared" si="211"/>
        <v>0.86880241497026489</v>
      </c>
      <c r="AL52" s="629">
        <f t="shared" si="91"/>
        <v>-0.4735695246044016</v>
      </c>
      <c r="AM52" s="634">
        <f t="shared" si="92"/>
        <v>-0.14461766526879427</v>
      </c>
      <c r="AN52" s="581">
        <f t="shared" si="93"/>
        <v>-73.018487072839406</v>
      </c>
      <c r="AO52" s="582">
        <f t="shared" si="94"/>
        <v>29.680230758781512</v>
      </c>
      <c r="AP52" s="585">
        <f t="shared" si="95"/>
        <v>-28.594055413375767</v>
      </c>
      <c r="AQ52" s="586">
        <f t="shared" si="246"/>
        <v>0.41465624284844232</v>
      </c>
      <c r="AS52" s="52">
        <f t="shared" si="406"/>
        <v>-138.91903192014246</v>
      </c>
      <c r="AT52" s="72">
        <f t="shared" si="247"/>
        <v>-1.3569807278569028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3.238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3.1379999999999999</v>
      </c>
      <c r="II52" s="734" cm="1">
        <f t="array" ref="II52">IFERROR(ROUND(VALUE(IF($IH52&lt;1,$IH52+LARGE((IF($M$9:$M$150="",0,$M$9:$M$150)-MOD(IF($M$9:$M$150="",0,$M$9:$M$150),1)),1),$IH52)),4),"")</f>
        <v>3.1379999999999999</v>
      </c>
      <c r="IJ52" s="533">
        <f t="shared" si="112"/>
        <v>1613</v>
      </c>
      <c r="IK52" s="533">
        <f t="shared" si="382"/>
        <v>1313</v>
      </c>
      <c r="IL52" s="727">
        <f t="shared" si="225"/>
        <v>10.278998515896262</v>
      </c>
      <c r="IM52" s="759">
        <v>4.4768683352205E-3</v>
      </c>
      <c r="IN52" s="5">
        <f t="shared" si="226"/>
        <v>0.16</v>
      </c>
      <c r="IO52" s="771">
        <v>80</v>
      </c>
      <c r="IP52" s="9">
        <f t="shared" si="227"/>
        <v>-5.4586164631872514</v>
      </c>
      <c r="IQ52" s="5">
        <f t="shared" si="228"/>
        <v>-1.4836044745510946</v>
      </c>
      <c r="IR52" s="5">
        <f t="shared" si="383"/>
        <v>0.314</v>
      </c>
      <c r="IS52" s="5">
        <f t="shared" si="229"/>
        <v>0.28388055039829785</v>
      </c>
      <c r="IT52" s="727">
        <f t="shared" si="230"/>
        <v>77.673234818533459</v>
      </c>
      <c r="IU52" s="9">
        <f t="shared" si="231"/>
        <v>-5.4977752542056573</v>
      </c>
      <c r="IV52" s="5">
        <f t="shared" si="232"/>
        <v>-1.4534522778014463</v>
      </c>
      <c r="IW52" s="5">
        <f t="shared" si="384"/>
        <v>0.26600000000000001</v>
      </c>
      <c r="IX52" s="5">
        <f t="shared" si="233"/>
        <v>0.23110144238209046</v>
      </c>
      <c r="IY52" s="762">
        <f t="shared" si="234"/>
        <v>73.018487072839406</v>
      </c>
    </row>
    <row r="53" spans="1:259" ht="15" customHeight="1" x14ac:dyDescent="0.25">
      <c r="A53" s="79"/>
      <c r="B53" s="707">
        <v>-0.47528846026655025</v>
      </c>
      <c r="C53" s="708">
        <v>-2.6701370110974074</v>
      </c>
      <c r="D53" s="709">
        <v>-0.18520055856488457</v>
      </c>
      <c r="E53" s="710">
        <v>0.95024202564132898</v>
      </c>
      <c r="F53" s="708">
        <v>-0.17166760407183604</v>
      </c>
      <c r="G53" s="711">
        <v>0.25994292915426509</v>
      </c>
      <c r="H53" s="710">
        <v>0.314</v>
      </c>
      <c r="I53" s="708">
        <v>0.52</v>
      </c>
      <c r="J53" s="570">
        <v>4.1130000000000004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4.1130000000000004</v>
      </c>
      <c r="N53" s="632">
        <f t="shared" si="240"/>
        <v>-0.47528846026655025</v>
      </c>
      <c r="O53" s="629">
        <f t="shared" si="241"/>
        <v>-2.6701370110974074</v>
      </c>
      <c r="P53" s="633">
        <f t="shared" si="242"/>
        <v>-0.18520055856488457</v>
      </c>
      <c r="Q53" s="585">
        <f t="shared" si="113"/>
        <v>259.90697546846792</v>
      </c>
      <c r="R53" s="629">
        <f t="shared" ref="R53:R58" si="410">IF(M53="","",SQRT(N53^2+O53^2))</f>
        <v>2.7121081797182693</v>
      </c>
      <c r="S53" s="634">
        <f t="shared" ref="S53:S58" si="411">IF(M53="","",P53)</f>
        <v>-0.18520055856488457</v>
      </c>
      <c r="T53" s="635">
        <f t="shared" ref="T53:T58" si="412">IF(M53="","",X53*COS(RADIANS(W53)))</f>
        <v>-2.6701370110974074</v>
      </c>
      <c r="U53" s="629">
        <f t="shared" ref="U53:U58" si="413">IF(M53="","",X53*SIN(RADIANS(W53)))</f>
        <v>0.4752884602665492</v>
      </c>
      <c r="V53" s="636">
        <f t="shared" ref="V53:V58" si="414">IF(M53="","",Y53)</f>
        <v>-0.18520055856488457</v>
      </c>
      <c r="W53" s="585">
        <f t="shared" si="224"/>
        <v>169.90697546846792</v>
      </c>
      <c r="X53" s="629">
        <f t="shared" ref="X53:X58" si="415">IF(M53="","",R53)</f>
        <v>2.7121081797182693</v>
      </c>
      <c r="Y53" s="630">
        <f t="shared" si="223"/>
        <v>-0.18520055856488457</v>
      </c>
      <c r="Z53" s="632">
        <f t="shared" si="243"/>
        <v>-0.95024202564132898</v>
      </c>
      <c r="AA53" s="629">
        <f t="shared" si="244"/>
        <v>0.17166760407183604</v>
      </c>
      <c r="AB53" s="629">
        <f t="shared" si="245"/>
        <v>-0.25994292915426509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-0.95024202564132898</v>
      </c>
      <c r="AE53" s="629">
        <f t="shared" ref="AE53:AE58" si="418">IF(M53="","",AA53*(1/SQRT(Z53^2+AA53^2+AB53^2)))</f>
        <v>0.17166760407183604</v>
      </c>
      <c r="AF53" s="633">
        <f t="shared" ref="AF53:AF58" si="419">IF(M53="","",AB53*(1/SQRT(Z53^2+AA53^2+AB53^2)))</f>
        <v>-0.25994292915426509</v>
      </c>
      <c r="AG53" s="602">
        <f t="shared" ref="AG53:AG58" si="420">IF(M53="","",DEGREES(ATAN2(-AF53,AE53)))</f>
        <v>33.440971071076063</v>
      </c>
      <c r="AH53" s="603">
        <f t="shared" ref="AH53:AH58" si="421">IF(M53="","",DEGREES(ACOS(AD53)))</f>
        <v>161.84959024866612</v>
      </c>
      <c r="AI53" s="585">
        <f t="shared" ref="AI53:AI58" si="422">IF(M53="","",DEGREES(-ACOS(-AF53)))</f>
        <v>-74.933324209086919</v>
      </c>
      <c r="AJ53" s="586">
        <f t="shared" ref="AJ53:AJ58" si="423">IF(M53="","",DEGREES(ATAN2(-AE53,AD53)))</f>
        <v>-100.24041576090275</v>
      </c>
      <c r="AK53" s="635">
        <f t="shared" ref="AK53:AK58" si="424">IF(M53="","",(COS(RADIANS((90-$Q$8)-W53))*AD53)+(-SIN(RADIANS((90-$Q$8)-W53))*AE53))</f>
        <v>0.96562078642972116</v>
      </c>
      <c r="AL53" s="629">
        <f t="shared" ref="AL53:AL58" si="425">IF(M53="","",(SIN(RADIANS((90-$Q$8)-W53))*AD53)+(COS(RADIANS((90-$Q$8)-W53))*AE53))</f>
        <v>-2.4840284916994859E-3</v>
      </c>
      <c r="AM53" s="634">
        <f t="shared" ref="AM53:AM58" si="426">IF(M53="","",AF53)</f>
        <v>-0.25994292915426509</v>
      </c>
      <c r="AN53" s="581">
        <f t="shared" ref="AN53:AN58" si="427">IF(M53="","",DEGREES(ATAN2(-AM53,AL53)))</f>
        <v>-0.54750485885257194</v>
      </c>
      <c r="AO53" s="582">
        <f t="shared" si="94"/>
        <v>15.067380014448217</v>
      </c>
      <c r="AP53" s="585">
        <f t="shared" ref="AP53:AP58" si="428">IF(M53="","",DEGREES(ATAN2(AK53,AL53)))</f>
        <v>-0.147391229370677</v>
      </c>
      <c r="AQ53" s="586">
        <f t="shared" si="246"/>
        <v>0.84051333705198261</v>
      </c>
      <c r="AS53" s="52">
        <f t="shared" si="406"/>
        <v>-190.09302453153208</v>
      </c>
      <c r="AT53" s="72">
        <f t="shared" si="247"/>
        <v>-5.3191513751320613E-2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4.1130000000000004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-0.65441420832699826</v>
      </c>
      <c r="C54" s="708">
        <v>-3.4416459675102491</v>
      </c>
      <c r="D54" s="709">
        <v>-9.4000283504855078E-2</v>
      </c>
      <c r="E54" s="710">
        <v>0.92733098359869914</v>
      </c>
      <c r="F54" s="708">
        <v>-0.27657561127965002</v>
      </c>
      <c r="G54" s="711">
        <v>0.2521173895294751</v>
      </c>
      <c r="H54" s="710">
        <v>0.314</v>
      </c>
      <c r="I54" s="708">
        <v>0.52</v>
      </c>
      <c r="J54" s="570">
        <v>4.1189999999999998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4.1189999999999998</v>
      </c>
      <c r="N54" s="632">
        <f t="shared" si="240"/>
        <v>-0.65441420832699826</v>
      </c>
      <c r="O54" s="629">
        <f t="shared" si="241"/>
        <v>-3.4416459675102491</v>
      </c>
      <c r="P54" s="633">
        <f t="shared" si="242"/>
        <v>-9.4000283504855078E-2</v>
      </c>
      <c r="Q54" s="585">
        <f t="shared" si="113"/>
        <v>259.23397556563702</v>
      </c>
      <c r="R54" s="629">
        <f t="shared" si="410"/>
        <v>3.5033105659846675</v>
      </c>
      <c r="S54" s="634">
        <f t="shared" si="411"/>
        <v>-9.4000283504855078E-2</v>
      </c>
      <c r="T54" s="635">
        <f t="shared" si="412"/>
        <v>-3.4416459675102486</v>
      </c>
      <c r="U54" s="629">
        <f t="shared" si="413"/>
        <v>0.65441420832700103</v>
      </c>
      <c r="V54" s="636">
        <f t="shared" si="414"/>
        <v>-9.4000283504855078E-2</v>
      </c>
      <c r="W54" s="585">
        <f t="shared" si="224"/>
        <v>169.23397556563702</v>
      </c>
      <c r="X54" s="629">
        <f t="shared" si="415"/>
        <v>3.5033105659846675</v>
      </c>
      <c r="Y54" s="630">
        <f t="shared" si="223"/>
        <v>-9.4000283504855078E-2</v>
      </c>
      <c r="Z54" s="632">
        <f t="shared" si="243"/>
        <v>-0.92733098359869914</v>
      </c>
      <c r="AA54" s="629">
        <f t="shared" si="244"/>
        <v>0.27657561127965002</v>
      </c>
      <c r="AB54" s="629">
        <f t="shared" si="245"/>
        <v>-0.2521173895294751</v>
      </c>
      <c r="AC54" s="636">
        <f t="shared" si="416"/>
        <v>1</v>
      </c>
      <c r="AD54" s="637">
        <f t="shared" si="417"/>
        <v>-0.92733098359869914</v>
      </c>
      <c r="AE54" s="629">
        <f t="shared" si="418"/>
        <v>0.27657561127965002</v>
      </c>
      <c r="AF54" s="633">
        <f t="shared" si="419"/>
        <v>-0.2521173895294751</v>
      </c>
      <c r="AG54" s="602">
        <f t="shared" si="420"/>
        <v>47.648710049350186</v>
      </c>
      <c r="AH54" s="603">
        <f t="shared" si="421"/>
        <v>158.02251421701732</v>
      </c>
      <c r="AI54" s="585">
        <f t="shared" si="422"/>
        <v>-75.397156162338632</v>
      </c>
      <c r="AJ54" s="586">
        <f t="shared" si="423"/>
        <v>-106.60716286089014</v>
      </c>
      <c r="AK54" s="635">
        <f t="shared" si="424"/>
        <v>0.96267227424640034</v>
      </c>
      <c r="AL54" s="629">
        <f t="shared" si="425"/>
        <v>-9.8483066027140714E-2</v>
      </c>
      <c r="AM54" s="634">
        <f t="shared" si="426"/>
        <v>-0.2521173895294751</v>
      </c>
      <c r="AN54" s="581">
        <f t="shared" si="427"/>
        <v>-21.336802258172003</v>
      </c>
      <c r="AO54" s="582">
        <f t="shared" si="94"/>
        <v>15.704122428409409</v>
      </c>
      <c r="AP54" s="585">
        <f t="shared" si="428"/>
        <v>-5.8411384265271673</v>
      </c>
      <c r="AQ54" s="586">
        <f t="shared" si="246"/>
        <v>0.65070697398494592</v>
      </c>
      <c r="AS54" s="52">
        <f t="shared" si="406"/>
        <v>-190.76602443436298</v>
      </c>
      <c r="AT54" s="72">
        <f t="shared" si="247"/>
        <v>3.8476122352341449E-2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4.1189999999999998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-0.86630502140190524</v>
      </c>
      <c r="C55" s="708">
        <v>-4.1678318737027213</v>
      </c>
      <c r="D55" s="709">
        <v>-0.32430097809174979</v>
      </c>
      <c r="E55" s="710">
        <v>0.88669634623444238</v>
      </c>
      <c r="F55" s="708">
        <v>-0.41364448721200681</v>
      </c>
      <c r="G55" s="711">
        <v>0.20656192237100704</v>
      </c>
      <c r="H55" s="710">
        <v>0.314</v>
      </c>
      <c r="I55" s="708">
        <v>0.52</v>
      </c>
      <c r="J55" s="570">
        <v>4.125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4.125</v>
      </c>
      <c r="N55" s="632">
        <f t="shared" si="240"/>
        <v>-0.86630502140190524</v>
      </c>
      <c r="O55" s="629">
        <f t="shared" si="241"/>
        <v>-4.1678318737027213</v>
      </c>
      <c r="P55" s="633">
        <f t="shared" si="242"/>
        <v>-0.32430097809174979</v>
      </c>
      <c r="Q55" s="585">
        <f t="shared" si="113"/>
        <v>258.25797570655402</v>
      </c>
      <c r="R55" s="629">
        <f t="shared" si="410"/>
        <v>4.2569128388491224</v>
      </c>
      <c r="S55" s="634">
        <f t="shared" si="411"/>
        <v>-0.32430097809174979</v>
      </c>
      <c r="T55" s="635">
        <f t="shared" si="412"/>
        <v>-4.1678318737027213</v>
      </c>
      <c r="U55" s="629">
        <f t="shared" si="413"/>
        <v>0.86630502140190524</v>
      </c>
      <c r="V55" s="636">
        <f t="shared" si="414"/>
        <v>-0.32430097809174979</v>
      </c>
      <c r="W55" s="585">
        <f t="shared" si="224"/>
        <v>168.25797570655402</v>
      </c>
      <c r="X55" s="629">
        <f t="shared" si="415"/>
        <v>4.2569128388491224</v>
      </c>
      <c r="Y55" s="630">
        <f t="shared" si="223"/>
        <v>-0.32430097809174979</v>
      </c>
      <c r="Z55" s="632">
        <f t="shared" si="243"/>
        <v>-0.88669634623444238</v>
      </c>
      <c r="AA55" s="629">
        <f t="shared" si="244"/>
        <v>0.41364448721200681</v>
      </c>
      <c r="AB55" s="629">
        <f t="shared" si="245"/>
        <v>-0.20656192237100704</v>
      </c>
      <c r="AC55" s="636">
        <f t="shared" si="416"/>
        <v>1</v>
      </c>
      <c r="AD55" s="637">
        <f t="shared" si="417"/>
        <v>-0.88669634623444238</v>
      </c>
      <c r="AE55" s="629">
        <f t="shared" si="418"/>
        <v>0.41364448721200681</v>
      </c>
      <c r="AF55" s="633">
        <f t="shared" si="419"/>
        <v>-0.20656192237100704</v>
      </c>
      <c r="AG55" s="602">
        <f t="shared" si="420"/>
        <v>63.463802706723399</v>
      </c>
      <c r="AH55" s="603">
        <f t="shared" si="421"/>
        <v>152.46100258121911</v>
      </c>
      <c r="AI55" s="585">
        <f t="shared" si="422"/>
        <v>-78.079052201663288</v>
      </c>
      <c r="AJ55" s="586">
        <f t="shared" si="423"/>
        <v>-115.00908545520133</v>
      </c>
      <c r="AK55" s="635">
        <f t="shared" si="424"/>
        <v>0.95232008357836961</v>
      </c>
      <c r="AL55" s="629">
        <f t="shared" si="425"/>
        <v>-0.22454093310503842</v>
      </c>
      <c r="AM55" s="634">
        <f t="shared" si="426"/>
        <v>-0.20656192237100704</v>
      </c>
      <c r="AN55" s="581">
        <f t="shared" si="427"/>
        <v>-47.388118799686595</v>
      </c>
      <c r="AO55" s="582">
        <f>IF(ROUND(IF(M55="",0,DEGREES(ACOS(AK55))),4)=90,0,IF(M55="","",DEGREES(ACOS(AK55))))</f>
        <v>17.764224457787883</v>
      </c>
      <c r="AP55" s="585">
        <f t="shared" si="428"/>
        <v>-13.267061161755338</v>
      </c>
      <c r="AQ55" s="586">
        <f t="shared" si="246"/>
        <v>0.5355195967875015</v>
      </c>
      <c r="AS55" s="52">
        <f t="shared" si="406"/>
        <v>-191.74202429344598</v>
      </c>
      <c r="AT55" s="72">
        <f t="shared" si="247"/>
        <v>-0.19114679455463451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4.125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-1.0775439684693329</v>
      </c>
      <c r="C56" s="708">
        <v>-4.7763769294580189</v>
      </c>
      <c r="D56" s="709">
        <v>-0.78920238023437939</v>
      </c>
      <c r="E56" s="710">
        <v>0.84103301302392686</v>
      </c>
      <c r="F56" s="708">
        <v>-0.52160623729549138</v>
      </c>
      <c r="G56" s="711">
        <v>0.14349356856087653</v>
      </c>
      <c r="H56" s="710">
        <v>0.314</v>
      </c>
      <c r="I56" s="708">
        <v>0.52</v>
      </c>
      <c r="J56" s="570">
        <v>4.1310000000000002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4.1310000000000002</v>
      </c>
      <c r="N56" s="632">
        <f t="shared" si="240"/>
        <v>-1.0775439684693329</v>
      </c>
      <c r="O56" s="629">
        <f t="shared" si="241"/>
        <v>-4.7763769294580189</v>
      </c>
      <c r="P56" s="633">
        <f t="shared" si="242"/>
        <v>-0.78920238023437939</v>
      </c>
      <c r="Q56" s="585">
        <f t="shared" si="113"/>
        <v>257.28697584674904</v>
      </c>
      <c r="R56" s="629">
        <f t="shared" si="410"/>
        <v>4.8964147675869381</v>
      </c>
      <c r="S56" s="634">
        <f t="shared" si="411"/>
        <v>-0.78920238023437939</v>
      </c>
      <c r="T56" s="635">
        <f t="shared" si="412"/>
        <v>-4.7763769294580189</v>
      </c>
      <c r="U56" s="629">
        <f t="shared" si="413"/>
        <v>1.0775439684693322</v>
      </c>
      <c r="V56" s="636">
        <f t="shared" si="414"/>
        <v>-0.78920238023437939</v>
      </c>
      <c r="W56" s="585">
        <f t="shared" si="224"/>
        <v>167.28697584674904</v>
      </c>
      <c r="X56" s="629">
        <f t="shared" si="415"/>
        <v>4.8964147675869381</v>
      </c>
      <c r="Y56" s="630">
        <f t="shared" si="223"/>
        <v>-0.78920238023437939</v>
      </c>
      <c r="Z56" s="632">
        <f t="shared" si="243"/>
        <v>-0.84103301302392686</v>
      </c>
      <c r="AA56" s="629">
        <f t="shared" si="244"/>
        <v>0.52160623729549138</v>
      </c>
      <c r="AB56" s="629">
        <f t="shared" si="245"/>
        <v>-0.14349356856087653</v>
      </c>
      <c r="AC56" s="636">
        <f t="shared" si="416"/>
        <v>1</v>
      </c>
      <c r="AD56" s="637">
        <f t="shared" si="417"/>
        <v>-0.84103301302392686</v>
      </c>
      <c r="AE56" s="629">
        <f t="shared" si="418"/>
        <v>0.52160623729549138</v>
      </c>
      <c r="AF56" s="633">
        <f t="shared" si="419"/>
        <v>-0.14349356856087653</v>
      </c>
      <c r="AG56" s="602">
        <f t="shared" si="420"/>
        <v>74.618453526778382</v>
      </c>
      <c r="AH56" s="603">
        <f t="shared" si="421"/>
        <v>147.24936453877132</v>
      </c>
      <c r="AI56" s="585">
        <f t="shared" si="422"/>
        <v>-81.749945198427284</v>
      </c>
      <c r="AJ56" s="586">
        <f t="shared" si="423"/>
        <v>-121.80706950678021</v>
      </c>
      <c r="AK56" s="635">
        <f t="shared" si="424"/>
        <v>0.93520352188025391</v>
      </c>
      <c r="AL56" s="629">
        <f t="shared" si="425"/>
        <v>-0.32373441034964845</v>
      </c>
      <c r="AM56" s="634">
        <f t="shared" si="426"/>
        <v>-0.14349356856087653</v>
      </c>
      <c r="AN56" s="581">
        <f t="shared" si="427"/>
        <v>-66.094937234307224</v>
      </c>
      <c r="AO56" s="582">
        <f t="shared" ref="AO56:AO119" si="461">IF(ROUND(IF(M56="",0,DEGREES(ACOS(AK56))),4)=90,0,IF(M56="","",DEGREES(ACOS(AK56))))</f>
        <v>20.738949771532734</v>
      </c>
      <c r="AP56" s="585">
        <f t="shared" si="428"/>
        <v>-19.09404535352925</v>
      </c>
      <c r="AQ56" s="586">
        <f t="shared" si="246"/>
        <v>0.4655807489265148</v>
      </c>
      <c r="AS56" s="52">
        <f t="shared" si="406"/>
        <v>-192.71302415325096</v>
      </c>
      <c r="AT56" s="72">
        <f t="shared" si="247"/>
        <v>-0.6553738912390662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4.1310000000000002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-1.2616075190374723</v>
      </c>
      <c r="C57" s="708">
        <v>-5.2432711459156955</v>
      </c>
      <c r="D57" s="709">
        <v>-1.3777041551557316</v>
      </c>
      <c r="E57" s="710">
        <v>0.79229246388156338</v>
      </c>
      <c r="F57" s="708">
        <v>-0.60267214129263658</v>
      </c>
      <c r="G57" s="711">
        <v>9.5178473334205788E-2</v>
      </c>
      <c r="H57" s="710">
        <v>0.314</v>
      </c>
      <c r="I57" s="708">
        <v>0.52</v>
      </c>
      <c r="J57" s="570">
        <v>4.1369999999999996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4.1369999999999996</v>
      </c>
      <c r="N57" s="632">
        <f t="shared" si="240"/>
        <v>-1.2616075190374723</v>
      </c>
      <c r="O57" s="629">
        <f t="shared" si="241"/>
        <v>-5.2432711459156955</v>
      </c>
      <c r="P57" s="633">
        <f t="shared" si="242"/>
        <v>-1.3777041551557316</v>
      </c>
      <c r="Q57" s="585">
        <f t="shared" si="113"/>
        <v>256.47097596456484</v>
      </c>
      <c r="R57" s="629">
        <f t="shared" si="410"/>
        <v>5.3929162650354563</v>
      </c>
      <c r="S57" s="634">
        <f t="shared" si="411"/>
        <v>-1.3777041551557316</v>
      </c>
      <c r="T57" s="635">
        <f t="shared" si="412"/>
        <v>-5.2432711459156955</v>
      </c>
      <c r="U57" s="629">
        <f t="shared" si="413"/>
        <v>1.2616075190374725</v>
      </c>
      <c r="V57" s="636">
        <f t="shared" si="414"/>
        <v>-1.3777041551557316</v>
      </c>
      <c r="W57" s="585">
        <f t="shared" si="224"/>
        <v>166.47097596456484</v>
      </c>
      <c r="X57" s="629">
        <f t="shared" si="415"/>
        <v>5.3929162650354563</v>
      </c>
      <c r="Y57" s="630">
        <f t="shared" si="223"/>
        <v>-1.3777041551557316</v>
      </c>
      <c r="Z57" s="632">
        <f t="shared" si="243"/>
        <v>-0.79229246388156338</v>
      </c>
      <c r="AA57" s="629">
        <f t="shared" si="244"/>
        <v>0.60267214129263658</v>
      </c>
      <c r="AB57" s="629">
        <f t="shared" si="245"/>
        <v>-9.5178473334205788E-2</v>
      </c>
      <c r="AC57" s="636">
        <f t="shared" si="416"/>
        <v>1</v>
      </c>
      <c r="AD57" s="637">
        <f t="shared" si="417"/>
        <v>-0.79229246388156338</v>
      </c>
      <c r="AE57" s="629">
        <f t="shared" si="418"/>
        <v>0.60267214129263658</v>
      </c>
      <c r="AF57" s="633">
        <f t="shared" si="419"/>
        <v>-9.5178473334205788E-2</v>
      </c>
      <c r="AG57" s="602">
        <f t="shared" si="420"/>
        <v>81.02554476460908</v>
      </c>
      <c r="AH57" s="603">
        <f t="shared" si="421"/>
        <v>142.40026486277651</v>
      </c>
      <c r="AI57" s="585">
        <f t="shared" si="422"/>
        <v>-84.538407872359159</v>
      </c>
      <c r="AJ57" s="586">
        <f t="shared" si="423"/>
        <v>-127.25911509434313</v>
      </c>
      <c r="AK57" s="635">
        <f t="shared" si="424"/>
        <v>0.91129542504282657</v>
      </c>
      <c r="AL57" s="629">
        <f t="shared" si="425"/>
        <v>-0.40060168061278045</v>
      </c>
      <c r="AM57" s="634">
        <f t="shared" si="426"/>
        <v>-9.5178473334205788E-2</v>
      </c>
      <c r="AN57" s="581">
        <f t="shared" si="427"/>
        <v>-76.634965347218937</v>
      </c>
      <c r="AO57" s="582">
        <f t="shared" si="461"/>
        <v>24.31501198831721</v>
      </c>
      <c r="AP57" s="585">
        <f t="shared" si="428"/>
        <v>-23.730091058907966</v>
      </c>
      <c r="AQ57" s="586">
        <f t="shared" si="246"/>
        <v>0.42271846179939271</v>
      </c>
      <c r="AS57" s="52">
        <f t="shared" si="406"/>
        <v>-193.52902403543516</v>
      </c>
      <c r="AT57" s="72">
        <f t="shared" si="247"/>
        <v>-1.2433089995755684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4.1369999999999996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-1.3925896859728708</v>
      </c>
      <c r="C58" s="708">
        <v>-5.5486304493190994</v>
      </c>
      <c r="D58" s="709">
        <v>-2.0566062027243075</v>
      </c>
      <c r="E58" s="710">
        <v>0.73837465509854017</v>
      </c>
      <c r="F58" s="708">
        <v>-0.67187974944767859</v>
      </c>
      <c r="G58" s="711">
        <v>5.8141817913069715E-2</v>
      </c>
      <c r="H58" s="710">
        <v>0.314</v>
      </c>
      <c r="I58" s="708">
        <v>0.52</v>
      </c>
      <c r="J58" s="570">
        <v>4.1429999999999998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4.1429999999999998</v>
      </c>
      <c r="N58" s="632">
        <f t="shared" si="240"/>
        <v>-1.3925896859728708</v>
      </c>
      <c r="O58" s="629">
        <f t="shared" si="241"/>
        <v>-5.5486304493190994</v>
      </c>
      <c r="P58" s="633">
        <f t="shared" si="242"/>
        <v>-2.0566062027243075</v>
      </c>
      <c r="Q58" s="585">
        <f t="shared" si="113"/>
        <v>255.91097604541886</v>
      </c>
      <c r="R58" s="629">
        <f t="shared" si="410"/>
        <v>5.7207172536832385</v>
      </c>
      <c r="S58" s="634">
        <f t="shared" si="411"/>
        <v>-2.0566062027243075</v>
      </c>
      <c r="T58" s="635">
        <f t="shared" si="412"/>
        <v>-5.5486304493191003</v>
      </c>
      <c r="U58" s="629">
        <f t="shared" si="413"/>
        <v>1.3925896859728708</v>
      </c>
      <c r="V58" s="636">
        <f t="shared" si="414"/>
        <v>-2.0566062027243075</v>
      </c>
      <c r="W58" s="585">
        <f t="shared" si="224"/>
        <v>165.91097604541886</v>
      </c>
      <c r="X58" s="629">
        <f t="shared" si="415"/>
        <v>5.7207172536832385</v>
      </c>
      <c r="Y58" s="630">
        <f t="shared" si="223"/>
        <v>-2.0566062027243075</v>
      </c>
      <c r="Z58" s="632">
        <f t="shared" si="243"/>
        <v>-0.73837465509854017</v>
      </c>
      <c r="AA58" s="629">
        <f t="shared" si="244"/>
        <v>0.67187974944767859</v>
      </c>
      <c r="AB58" s="629">
        <f t="shared" si="245"/>
        <v>-5.8141817913069715E-2</v>
      </c>
      <c r="AC58" s="636">
        <f t="shared" si="416"/>
        <v>1</v>
      </c>
      <c r="AD58" s="637">
        <f t="shared" si="417"/>
        <v>-0.73837465509854017</v>
      </c>
      <c r="AE58" s="629">
        <f t="shared" si="418"/>
        <v>0.67187974944767859</v>
      </c>
      <c r="AF58" s="633">
        <f t="shared" si="419"/>
        <v>-5.8141817913069715E-2</v>
      </c>
      <c r="AG58" s="602">
        <f t="shared" si="420"/>
        <v>85.054170738968324</v>
      </c>
      <c r="AH58" s="603">
        <f t="shared" si="421"/>
        <v>137.59314456329867</v>
      </c>
      <c r="AI58" s="585">
        <f t="shared" si="422"/>
        <v>-86.666839476461831</v>
      </c>
      <c r="AJ58" s="586">
        <f t="shared" si="423"/>
        <v>-132.30044607104733</v>
      </c>
      <c r="AK58" s="635">
        <f t="shared" si="424"/>
        <v>0.8797185178728959</v>
      </c>
      <c r="AL58" s="629">
        <f t="shared" si="425"/>
        <v>-0.47192675101256853</v>
      </c>
      <c r="AM58" s="634">
        <f t="shared" si="426"/>
        <v>-5.8141817913069715E-2</v>
      </c>
      <c r="AN58" s="581">
        <f t="shared" si="427"/>
        <v>-82.97649891412992</v>
      </c>
      <c r="AO58" s="582">
        <f t="shared" si="461"/>
        <v>28.391572971407566</v>
      </c>
      <c r="AP58" s="585">
        <f t="shared" si="428"/>
        <v>-28.211422116466185</v>
      </c>
      <c r="AQ58" s="586">
        <f t="shared" si="246"/>
        <v>0.39849721135941107</v>
      </c>
      <c r="AS58" s="52">
        <f t="shared" si="406"/>
        <v>-194.08902395458114</v>
      </c>
      <c r="AT58" s="72">
        <f t="shared" si="247"/>
        <v>-1.9218221583114039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4.1429999999999998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-1.4630819918939311</v>
      </c>
      <c r="C59" s="708">
        <v>-5.7621538029556483</v>
      </c>
      <c r="D59" s="709">
        <v>-2.8285000003714345</v>
      </c>
      <c r="E59" s="710">
        <v>0.67960267797009144</v>
      </c>
      <c r="F59" s="708">
        <v>-0.73355072051205972</v>
      </c>
      <c r="G59" s="711">
        <v>-6.5985249956637959E-3</v>
      </c>
      <c r="H59" s="710">
        <v>0.314</v>
      </c>
      <c r="I59" s="708">
        <v>0.52</v>
      </c>
      <c r="J59" s="570">
        <v>4.149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4.149</v>
      </c>
      <c r="N59" s="632">
        <f t="shared" si="240"/>
        <v>-1.4630819918939311</v>
      </c>
      <c r="O59" s="629">
        <f t="shared" si="241"/>
        <v>-5.7621538029556483</v>
      </c>
      <c r="P59" s="633">
        <f t="shared" si="242"/>
        <v>-2.8285000003714345</v>
      </c>
      <c r="Q59" s="585">
        <f t="shared" si="113"/>
        <v>255.75297652352032</v>
      </c>
      <c r="R59" s="629">
        <f t="shared" si="79"/>
        <v>5.9450000306072797</v>
      </c>
      <c r="S59" s="634">
        <f t="shared" si="80"/>
        <v>-2.8285000003714345</v>
      </c>
      <c r="T59" s="635">
        <f t="shared" si="81"/>
        <v>-5.7621538029556492</v>
      </c>
      <c r="U59" s="629">
        <f t="shared" si="82"/>
        <v>1.4630819918939306</v>
      </c>
      <c r="V59" s="636">
        <f t="shared" si="114"/>
        <v>-2.8285000003714345</v>
      </c>
      <c r="W59" s="585">
        <f t="shared" si="224"/>
        <v>165.75297652352032</v>
      </c>
      <c r="X59" s="629">
        <f t="shared" si="83"/>
        <v>5.9450000306072797</v>
      </c>
      <c r="Y59" s="630">
        <f t="shared" si="223"/>
        <v>-2.8285000003714345</v>
      </c>
      <c r="Z59" s="632">
        <f t="shared" si="243"/>
        <v>-0.67960267797009144</v>
      </c>
      <c r="AA59" s="629">
        <f t="shared" si="244"/>
        <v>0.73355072051205972</v>
      </c>
      <c r="AB59" s="629">
        <f t="shared" si="245"/>
        <v>6.5985249956637959E-3</v>
      </c>
      <c r="AC59" s="636">
        <f t="shared" si="84"/>
        <v>1</v>
      </c>
      <c r="AD59" s="637">
        <f t="shared" si="115"/>
        <v>-0.67960267797009144</v>
      </c>
      <c r="AE59" s="629">
        <f t="shared" si="85"/>
        <v>0.73355072051205972</v>
      </c>
      <c r="AF59" s="633">
        <f t="shared" si="86"/>
        <v>6.5985249956637959E-3</v>
      </c>
      <c r="AG59" s="602">
        <f t="shared" si="87"/>
        <v>90.515380090250346</v>
      </c>
      <c r="AH59" s="603">
        <f t="shared" si="88"/>
        <v>132.81260269572937</v>
      </c>
      <c r="AI59" s="585">
        <f t="shared" si="89"/>
        <v>-90.378070376861189</v>
      </c>
      <c r="AJ59" s="586">
        <f t="shared" si="90"/>
        <v>-137.18624169245811</v>
      </c>
      <c r="AK59" s="635">
        <f t="shared" si="211"/>
        <v>0.83922960117740675</v>
      </c>
      <c r="AL59" s="629">
        <f t="shared" si="91"/>
        <v>-0.5437371938496508</v>
      </c>
      <c r="AM59" s="634">
        <f t="shared" si="92"/>
        <v>6.5985249956637959E-3</v>
      </c>
      <c r="AN59" s="581">
        <f t="shared" si="93"/>
        <v>-90.695279042487371</v>
      </c>
      <c r="AO59" s="582">
        <f t="shared" si="461"/>
        <v>32.941143397070078</v>
      </c>
      <c r="AP59" s="585">
        <f t="shared" si="95"/>
        <v>-32.939218215978428</v>
      </c>
      <c r="AQ59" s="586">
        <f t="shared" si="246"/>
        <v>0.38346384895374908</v>
      </c>
      <c r="AS59" s="52">
        <f t="shared" si="406"/>
        <v>-194.24702347647968</v>
      </c>
      <c r="AT59" s="72">
        <f t="shared" si="247"/>
        <v>-2.6936062340683238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4.149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-1.4867077485186799</v>
      </c>
      <c r="C60" s="708">
        <v>-5.7561218073096567</v>
      </c>
      <c r="D60" s="709">
        <v>-3.4886105216493326</v>
      </c>
      <c r="E60" s="710">
        <v>0.54902125493397991</v>
      </c>
      <c r="F60" s="708">
        <v>-0.83525945161235682</v>
      </c>
      <c r="G60" s="711">
        <v>3.0287128007505076E-2</v>
      </c>
      <c r="H60" s="710">
        <v>0.26600000000000001</v>
      </c>
      <c r="I60" s="708">
        <v>0.52</v>
      </c>
      <c r="J60" s="570">
        <v>4.1550000000000002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4.1550000000000002</v>
      </c>
      <c r="N60" s="632">
        <f t="shared" si="240"/>
        <v>-1.4867077485186799</v>
      </c>
      <c r="O60" s="629">
        <f t="shared" si="241"/>
        <v>-5.7561218073096567</v>
      </c>
      <c r="P60" s="633">
        <f t="shared" si="242"/>
        <v>-3.4886105216493326</v>
      </c>
      <c r="Q60" s="585">
        <f t="shared" si="113"/>
        <v>255.51797610216101</v>
      </c>
      <c r="R60" s="629">
        <f t="shared" si="79"/>
        <v>5.9450179301740773</v>
      </c>
      <c r="S60" s="634">
        <f t="shared" si="80"/>
        <v>-3.4886105216493326</v>
      </c>
      <c r="T60" s="635">
        <f t="shared" si="81"/>
        <v>-5.7561218073096567</v>
      </c>
      <c r="U60" s="629">
        <f t="shared" si="82"/>
        <v>1.4867077485186786</v>
      </c>
      <c r="V60" s="636">
        <f t="shared" si="114"/>
        <v>-3.4886105216493326</v>
      </c>
      <c r="W60" s="585">
        <f t="shared" si="224"/>
        <v>165.51797610216101</v>
      </c>
      <c r="X60" s="629">
        <f t="shared" si="83"/>
        <v>5.9450179301740773</v>
      </c>
      <c r="Y60" s="630">
        <f t="shared" si="223"/>
        <v>-3.4886105216493326</v>
      </c>
      <c r="Z60" s="632">
        <f t="shared" si="243"/>
        <v>-0.54902125493397991</v>
      </c>
      <c r="AA60" s="629">
        <f t="shared" si="244"/>
        <v>0.83525945161235682</v>
      </c>
      <c r="AB60" s="629">
        <f t="shared" si="245"/>
        <v>-3.0287128007505076E-2</v>
      </c>
      <c r="AC60" s="636">
        <f t="shared" si="84"/>
        <v>1</v>
      </c>
      <c r="AD60" s="637">
        <f t="shared" si="115"/>
        <v>-0.54902125493397991</v>
      </c>
      <c r="AE60" s="629">
        <f t="shared" si="85"/>
        <v>0.83525945161235682</v>
      </c>
      <c r="AF60" s="633">
        <f t="shared" si="86"/>
        <v>-3.0287128007505076E-2</v>
      </c>
      <c r="AG60" s="602">
        <f t="shared" si="87"/>
        <v>87.92332233345212</v>
      </c>
      <c r="AH60" s="603">
        <f t="shared" si="88"/>
        <v>123.29989284980232</v>
      </c>
      <c r="AI60" s="585">
        <f t="shared" si="89"/>
        <v>-88.264409976884153</v>
      </c>
      <c r="AJ60" s="586">
        <f t="shared" si="90"/>
        <v>-146.68283154840236</v>
      </c>
      <c r="AK60" s="635">
        <f t="shared" si="211"/>
        <v>0.74045528014221706</v>
      </c>
      <c r="AL60" s="629">
        <f t="shared" si="91"/>
        <v>-0.67142286823325281</v>
      </c>
      <c r="AM60" s="634">
        <f t="shared" si="92"/>
        <v>-3.0287128007505076E-2</v>
      </c>
      <c r="AN60" s="581">
        <f t="shared" si="93"/>
        <v>-87.417202918500351</v>
      </c>
      <c r="AO60" s="582">
        <f t="shared" si="461"/>
        <v>42.22978709606403</v>
      </c>
      <c r="AP60" s="585">
        <f t="shared" si="95"/>
        <v>-42.200807650563377</v>
      </c>
      <c r="AQ60" s="586">
        <f t="shared" si="246"/>
        <v>0.38346269443547892</v>
      </c>
      <c r="AS60" s="52">
        <f t="shared" si="406"/>
        <v>-194.48202389783899</v>
      </c>
      <c r="AT60" s="72">
        <f t="shared" si="247"/>
        <v>-3.3535535606091669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4.1550000000000002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1313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-1.7311019998800801</v>
      </c>
      <c r="C61" s="708">
        <v>-3.0486505787362024</v>
      </c>
      <c r="D61" s="709">
        <v>-6.7801935769137553E-2</v>
      </c>
      <c r="E61" s="710">
        <v>-3.1864255217560519E-2</v>
      </c>
      <c r="F61" s="708">
        <v>-5.6116725199116278E-2</v>
      </c>
      <c r="G61" s="711">
        <v>0.99791561887383906</v>
      </c>
      <c r="H61" s="710">
        <v>0.26250000000000001</v>
      </c>
      <c r="I61" s="708">
        <v>0.40699999999999997</v>
      </c>
      <c r="J61" s="570">
        <v>4.2190000000000003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Inactive</v>
      </c>
      <c r="L61" s="320"/>
      <c r="M61" s="168">
        <f t="shared" si="239"/>
        <v>4.2190000000000003</v>
      </c>
      <c r="N61" s="632">
        <f t="shared" si="240"/>
        <v>-1.7311019998800801</v>
      </c>
      <c r="O61" s="629">
        <f t="shared" si="241"/>
        <v>-3.0486505787362024</v>
      </c>
      <c r="P61" s="633">
        <f t="shared" si="242"/>
        <v>-6.7801935769137553E-2</v>
      </c>
      <c r="Q61" s="585">
        <f t="shared" si="113"/>
        <v>240.41097828334165</v>
      </c>
      <c r="R61" s="629">
        <f t="shared" si="79"/>
        <v>3.5058500374684303</v>
      </c>
      <c r="S61" s="634">
        <f t="shared" si="80"/>
        <v>-6.7801935769137553E-2</v>
      </c>
      <c r="T61" s="635">
        <f t="shared" si="81"/>
        <v>-3.0486505787362033</v>
      </c>
      <c r="U61" s="629">
        <f t="shared" si="82"/>
        <v>1.7311019998800785</v>
      </c>
      <c r="V61" s="636">
        <f t="shared" si="114"/>
        <v>-6.7801935769137553E-2</v>
      </c>
      <c r="W61" s="585">
        <f t="shared" si="224"/>
        <v>150.41097828334165</v>
      </c>
      <c r="X61" s="629">
        <f t="shared" si="83"/>
        <v>3.5058500374684303</v>
      </c>
      <c r="Y61" s="630">
        <f t="shared" si="223"/>
        <v>-6.7801935769137553E-2</v>
      </c>
      <c r="Z61" s="632">
        <f t="shared" si="243"/>
        <v>3.1864255217560519E-2</v>
      </c>
      <c r="AA61" s="629">
        <f t="shared" si="244"/>
        <v>5.6116725199116278E-2</v>
      </c>
      <c r="AB61" s="629">
        <f t="shared" si="245"/>
        <v>-0.99791561887383906</v>
      </c>
      <c r="AC61" s="636">
        <f t="shared" si="84"/>
        <v>1</v>
      </c>
      <c r="AD61" s="637">
        <f t="shared" si="115"/>
        <v>3.1864255217560519E-2</v>
      </c>
      <c r="AE61" s="629">
        <f t="shared" si="85"/>
        <v>5.6116725199116278E-2</v>
      </c>
      <c r="AF61" s="633">
        <f t="shared" si="86"/>
        <v>-0.99791561887383906</v>
      </c>
      <c r="AG61" s="602">
        <f t="shared" si="87"/>
        <v>3.2185775229212856</v>
      </c>
      <c r="AH61" s="603">
        <f t="shared" si="88"/>
        <v>88.174003571377469</v>
      </c>
      <c r="AI61" s="585">
        <f t="shared" si="89"/>
        <v>-3.6999994658088688</v>
      </c>
      <c r="AJ61" s="586">
        <f t="shared" si="90"/>
        <v>150.41117964592451</v>
      </c>
      <c r="AK61" s="635">
        <f t="shared" si="211"/>
        <v>2.2679489668567254E-7</v>
      </c>
      <c r="AL61" s="629">
        <f t="shared" si="91"/>
        <v>-6.4532298948600381E-2</v>
      </c>
      <c r="AM61" s="634">
        <f t="shared" si="92"/>
        <v>-0.99791561887383906</v>
      </c>
      <c r="AN61" s="581">
        <f t="shared" si="93"/>
        <v>-3.6999994657861683</v>
      </c>
      <c r="AO61" s="582">
        <f t="shared" si="461"/>
        <v>0</v>
      </c>
      <c r="AP61" s="585">
        <f t="shared" si="95"/>
        <v>-89.999798637417129</v>
      </c>
      <c r="AQ61" s="586">
        <f t="shared" si="246"/>
        <v>0.6502356732004978</v>
      </c>
      <c r="AS61" s="52">
        <f t="shared" si="406"/>
        <v>-209.58902171665835</v>
      </c>
      <c r="AT61" s="72">
        <f t="shared" si="247"/>
        <v>7.7745995978541857E-2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Nose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4.2190000000000003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4.1189999999999998</v>
      </c>
      <c r="II61" s="734" cm="1">
        <f t="array" ref="II61">IFERROR(ROUND(VALUE(IF($IH61&lt;1,$IH61+LARGE((IF($M$9:$M$150="",0,$M$9:$M$150)-MOD(IF($M$9:$M$150="",0,$M$9:$M$150),1)),1),$IH61)),4),"")</f>
        <v>4.1189999999999998</v>
      </c>
      <c r="IJ61" s="533">
        <f t="shared" si="112"/>
        <v>1613</v>
      </c>
      <c r="IK61" s="533" t="str">
        <f t="shared" si="382"/>
        <v>Inactive</v>
      </c>
      <c r="IL61" s="727">
        <f t="shared" si="225"/>
        <v>18.822997282295375</v>
      </c>
      <c r="IM61" s="759">
        <v>1.3932705551732399E-2</v>
      </c>
      <c r="IN61" s="5">
        <f t="shared" si="226"/>
        <v>0.24</v>
      </c>
      <c r="IO61" s="771">
        <v>120</v>
      </c>
      <c r="IP61" s="9">
        <f t="shared" si="227"/>
        <v>-3.5033105659846675</v>
      </c>
      <c r="IQ61" s="5">
        <f t="shared" si="228"/>
        <v>-9.4000283504855078E-2</v>
      </c>
      <c r="IR61" s="5">
        <f t="shared" si="383"/>
        <v>0.314</v>
      </c>
      <c r="IS61" s="5">
        <f t="shared" si="229"/>
        <v>0.30227909411336973</v>
      </c>
      <c r="IT61" s="727">
        <f t="shared" si="230"/>
        <v>21.336802258172003</v>
      </c>
      <c r="IU61" s="9">
        <f t="shared" si="231"/>
        <v>-3.5058500374684303</v>
      </c>
      <c r="IV61" s="5">
        <f t="shared" si="232"/>
        <v>-6.7801935769137553E-2</v>
      </c>
      <c r="IW61" s="5">
        <f t="shared" si="384"/>
        <v>0.26250000000000001</v>
      </c>
      <c r="IX61" s="5">
        <f t="shared" si="233"/>
        <v>0.26250000000000001</v>
      </c>
      <c r="IY61" s="762">
        <f t="shared" si="234"/>
        <v>3.6999994657861683</v>
      </c>
    </row>
    <row r="62" spans="1:259" ht="15" customHeight="1" x14ac:dyDescent="0.25">
      <c r="A62" s="79"/>
      <c r="B62" s="707">
        <v>-1.7530985220768527</v>
      </c>
      <c r="C62" s="708">
        <v>-3.9000887894359151</v>
      </c>
      <c r="D62" s="709">
        <v>-0.28301034036826872</v>
      </c>
      <c r="E62" s="710">
        <v>0.73954358165720391</v>
      </c>
      <c r="F62" s="708">
        <v>-0.61066564888315322</v>
      </c>
      <c r="G62" s="711">
        <v>0.28313028114942446</v>
      </c>
      <c r="H62" s="710">
        <v>0.26600000000000001</v>
      </c>
      <c r="I62" s="708">
        <v>0.52</v>
      </c>
      <c r="J62" s="570">
        <v>4.2249999999999996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4.2249999999999996</v>
      </c>
      <c r="N62" s="632">
        <f t="shared" si="240"/>
        <v>-1.7530985220768527</v>
      </c>
      <c r="O62" s="629">
        <f t="shared" si="241"/>
        <v>-3.9000887894359151</v>
      </c>
      <c r="P62" s="633">
        <f t="shared" si="242"/>
        <v>-0.28301034036826872</v>
      </c>
      <c r="Q62" s="585">
        <f t="shared" si="113"/>
        <v>245.79597750584395</v>
      </c>
      <c r="R62" s="629">
        <f t="shared" si="79"/>
        <v>4.2759849150332307</v>
      </c>
      <c r="S62" s="634">
        <f t="shared" si="80"/>
        <v>-0.28301034036826872</v>
      </c>
      <c r="T62" s="635">
        <f t="shared" si="81"/>
        <v>-3.900088789435916</v>
      </c>
      <c r="U62" s="629">
        <f t="shared" si="82"/>
        <v>1.7530985220768509</v>
      </c>
      <c r="V62" s="636">
        <f t="shared" si="114"/>
        <v>-0.28301034036826872</v>
      </c>
      <c r="W62" s="585">
        <f t="shared" si="224"/>
        <v>155.79597750584395</v>
      </c>
      <c r="X62" s="629">
        <f t="shared" si="83"/>
        <v>4.2759849150332307</v>
      </c>
      <c r="Y62" s="630">
        <f t="shared" si="223"/>
        <v>-0.28301034036826872</v>
      </c>
      <c r="Z62" s="632">
        <f t="shared" si="243"/>
        <v>-0.73954358165720391</v>
      </c>
      <c r="AA62" s="629">
        <f t="shared" si="244"/>
        <v>0.61066564888315322</v>
      </c>
      <c r="AB62" s="629">
        <f t="shared" si="245"/>
        <v>-0.28313028114942446</v>
      </c>
      <c r="AC62" s="636">
        <f t="shared" si="84"/>
        <v>1</v>
      </c>
      <c r="AD62" s="637">
        <f t="shared" si="115"/>
        <v>-0.73954358165720391</v>
      </c>
      <c r="AE62" s="629">
        <f t="shared" si="85"/>
        <v>0.61066564888315322</v>
      </c>
      <c r="AF62" s="633">
        <f t="shared" si="86"/>
        <v>-0.28313028114942446</v>
      </c>
      <c r="AG62" s="602">
        <f t="shared" si="87"/>
        <v>65.125577320186366</v>
      </c>
      <c r="AH62" s="603">
        <f t="shared" si="88"/>
        <v>137.69255023396613</v>
      </c>
      <c r="AI62" s="585">
        <f t="shared" si="89"/>
        <v>-73.552881142001638</v>
      </c>
      <c r="AJ62" s="586">
        <f t="shared" si="90"/>
        <v>-129.54761668008015</v>
      </c>
      <c r="AK62" s="635">
        <f t="shared" si="211"/>
        <v>0.92489631213536871</v>
      </c>
      <c r="AL62" s="629">
        <f t="shared" si="91"/>
        <v>-0.25377954152106652</v>
      </c>
      <c r="AM62" s="634">
        <f t="shared" si="92"/>
        <v>-0.28313028114942446</v>
      </c>
      <c r="AN62" s="581">
        <f t="shared" si="93"/>
        <v>-41.870980424720827</v>
      </c>
      <c r="AO62" s="582">
        <f t="shared" si="461"/>
        <v>22.347275059902973</v>
      </c>
      <c r="AP62" s="585">
        <f t="shared" si="95"/>
        <v>-15.343594185924104</v>
      </c>
      <c r="AQ62" s="586">
        <f t="shared" si="246"/>
        <v>0.53313116934634663</v>
      </c>
      <c r="AS62" s="52">
        <f t="shared" si="406"/>
        <v>-204.20402249415605</v>
      </c>
      <c r="AT62" s="72">
        <f t="shared" si="247"/>
        <v>-0.14120199141399367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4.2249999999999996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4.125</v>
      </c>
      <c r="II62" s="734" cm="1">
        <f t="array" ref="II62">IFERROR(ROUND(VALUE(IF($IH62&lt;1,$IH62+LARGE((IF($M$9:$M$150="",0,$M$9:$M$150)-MOD(IF($M$9:$M$150="",0,$M$9:$M$150),1)),1),$IH62)),4),"")</f>
        <v>4.125</v>
      </c>
      <c r="IJ62" s="533">
        <f t="shared" si="112"/>
        <v>1613</v>
      </c>
      <c r="IK62" s="533">
        <f t="shared" si="382"/>
        <v>1313</v>
      </c>
      <c r="IL62" s="727">
        <f t="shared" si="225"/>
        <v>12.46199820071007</v>
      </c>
      <c r="IM62" s="759">
        <v>7.99236314869246E-3</v>
      </c>
      <c r="IN62" s="5">
        <f t="shared" si="226"/>
        <v>0.2</v>
      </c>
      <c r="IO62" s="771">
        <v>100</v>
      </c>
      <c r="IP62" s="9">
        <f t="shared" si="227"/>
        <v>-4.2569128388491224</v>
      </c>
      <c r="IQ62" s="5">
        <f t="shared" si="228"/>
        <v>-0.32430097809174979</v>
      </c>
      <c r="IR62" s="5">
        <f t="shared" si="383"/>
        <v>0.314</v>
      </c>
      <c r="IS62" s="5">
        <f t="shared" si="229"/>
        <v>0.29902850624360805</v>
      </c>
      <c r="IT62" s="727">
        <f t="shared" si="230"/>
        <v>47.388118799686595</v>
      </c>
      <c r="IU62" s="9">
        <f t="shared" si="231"/>
        <v>-4.2759849150332307</v>
      </c>
      <c r="IV62" s="5">
        <f t="shared" si="232"/>
        <v>-0.28301034036826872</v>
      </c>
      <c r="IW62" s="5">
        <f t="shared" si="384"/>
        <v>0.26600000000000001</v>
      </c>
      <c r="IX62" s="5">
        <f t="shared" si="233"/>
        <v>0.24602241902800809</v>
      </c>
      <c r="IY62" s="762">
        <f t="shared" si="234"/>
        <v>41.870980424720827</v>
      </c>
    </row>
    <row r="63" spans="1:259" ht="15" customHeight="1" x14ac:dyDescent="0.25">
      <c r="A63" s="79"/>
      <c r="B63" s="707">
        <v>-1.9942469094312356</v>
      </c>
      <c r="C63" s="708">
        <v>-4.5057881567828435</v>
      </c>
      <c r="D63" s="709">
        <v>-0.75304644025660394</v>
      </c>
      <c r="E63" s="710">
        <v>0.67794330967620087</v>
      </c>
      <c r="F63" s="708">
        <v>-0.70473254513000383</v>
      </c>
      <c r="G63" s="711">
        <v>0.20915283574426152</v>
      </c>
      <c r="H63" s="710">
        <v>0.26600000000000001</v>
      </c>
      <c r="I63" s="708">
        <v>0.52</v>
      </c>
      <c r="J63" s="570">
        <v>4.2309999999999999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4.2309999999999999</v>
      </c>
      <c r="N63" s="632">
        <f t="shared" si="240"/>
        <v>-1.9942469094312356</v>
      </c>
      <c r="O63" s="629">
        <f t="shared" si="241"/>
        <v>-4.5057881567828435</v>
      </c>
      <c r="P63" s="633">
        <f t="shared" si="242"/>
        <v>-0.75304644025660394</v>
      </c>
      <c r="Q63" s="585">
        <f t="shared" si="113"/>
        <v>246.12597745819784</v>
      </c>
      <c r="R63" s="629">
        <f t="shared" si="79"/>
        <v>4.9273875075521074</v>
      </c>
      <c r="S63" s="634">
        <f t="shared" si="80"/>
        <v>-0.75304644025660394</v>
      </c>
      <c r="T63" s="635">
        <f t="shared" si="81"/>
        <v>-4.5057881567828435</v>
      </c>
      <c r="U63" s="629">
        <f t="shared" si="82"/>
        <v>1.9942469094312358</v>
      </c>
      <c r="V63" s="636">
        <f t="shared" si="114"/>
        <v>-0.75304644025660394</v>
      </c>
      <c r="W63" s="585">
        <f t="shared" si="224"/>
        <v>156.12597745819784</v>
      </c>
      <c r="X63" s="629">
        <f t="shared" si="83"/>
        <v>4.9273875075521074</v>
      </c>
      <c r="Y63" s="630">
        <f t="shared" si="223"/>
        <v>-0.75304644025660394</v>
      </c>
      <c r="Z63" s="632">
        <f t="shared" si="243"/>
        <v>-0.67794330967620087</v>
      </c>
      <c r="AA63" s="629">
        <f t="shared" si="244"/>
        <v>0.70473254513000383</v>
      </c>
      <c r="AB63" s="629">
        <f t="shared" si="245"/>
        <v>-0.20915283574426152</v>
      </c>
      <c r="AC63" s="636">
        <f t="shared" si="84"/>
        <v>1</v>
      </c>
      <c r="AD63" s="637">
        <f t="shared" si="115"/>
        <v>-0.67794330967620087</v>
      </c>
      <c r="AE63" s="629">
        <f t="shared" si="85"/>
        <v>0.70473254513000383</v>
      </c>
      <c r="AF63" s="633">
        <f t="shared" si="86"/>
        <v>-0.20915283574426152</v>
      </c>
      <c r="AG63" s="602">
        <f t="shared" si="87"/>
        <v>73.469991822777061</v>
      </c>
      <c r="AH63" s="603">
        <f t="shared" si="88"/>
        <v>132.68313430879121</v>
      </c>
      <c r="AI63" s="585">
        <f t="shared" si="89"/>
        <v>-77.927289115220688</v>
      </c>
      <c r="AJ63" s="586">
        <f t="shared" si="90"/>
        <v>-136.10996232684593</v>
      </c>
      <c r="AK63" s="635">
        <f t="shared" si="211"/>
        <v>0.90516112828033801</v>
      </c>
      <c r="AL63" s="629">
        <f t="shared" si="91"/>
        <v>-0.37005191953346139</v>
      </c>
      <c r="AM63" s="634">
        <f t="shared" si="92"/>
        <v>-0.20915283574426152</v>
      </c>
      <c r="AN63" s="581">
        <f t="shared" si="93"/>
        <v>-60.524925939893201</v>
      </c>
      <c r="AO63" s="582">
        <f t="shared" si="461"/>
        <v>25.15500692203555</v>
      </c>
      <c r="AP63" s="585">
        <f t="shared" si="95"/>
        <v>-22.235939785043755</v>
      </c>
      <c r="AQ63" s="586">
        <f t="shared" si="246"/>
        <v>0.46265431323605771</v>
      </c>
      <c r="AS63" s="52">
        <f t="shared" si="406"/>
        <v>-203.87402254180216</v>
      </c>
      <c r="AT63" s="72">
        <f t="shared" si="247"/>
        <v>-0.61146725793590795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4.2309999999999999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4.1310000000000002</v>
      </c>
      <c r="II63" s="734" cm="1">
        <f t="array" ref="II63">IFERROR(ROUND(VALUE(IF($IH63&lt;1,$IH63+LARGE((IF($M$9:$M$150="",0,$M$9:$M$150)-MOD(IF($M$9:$M$150="",0,$M$9:$M$150),1)),1),$IH63)),4),"")</f>
        <v>4.1310000000000002</v>
      </c>
      <c r="IJ63" s="533">
        <f t="shared" si="112"/>
        <v>1613</v>
      </c>
      <c r="IK63" s="533">
        <f t="shared" si="382"/>
        <v>1313</v>
      </c>
      <c r="IL63" s="727">
        <f t="shared" si="225"/>
        <v>11.160998388551207</v>
      </c>
      <c r="IM63" s="759">
        <v>6.0816587493906999E-3</v>
      </c>
      <c r="IN63" s="5">
        <f t="shared" si="226"/>
        <v>0.18</v>
      </c>
      <c r="IO63" s="771">
        <v>90</v>
      </c>
      <c r="IP63" s="9">
        <f t="shared" si="227"/>
        <v>-4.8964147675869381</v>
      </c>
      <c r="IQ63" s="5">
        <f t="shared" si="228"/>
        <v>-0.78920238023437939</v>
      </c>
      <c r="IR63" s="5">
        <f t="shared" si="383"/>
        <v>0.314</v>
      </c>
      <c r="IS63" s="5">
        <f t="shared" si="229"/>
        <v>0.29365390587039975</v>
      </c>
      <c r="IT63" s="727">
        <f t="shared" si="230"/>
        <v>66.094937234307224</v>
      </c>
      <c r="IU63" s="9">
        <f t="shared" si="231"/>
        <v>-4.9273875075521074</v>
      </c>
      <c r="IV63" s="5">
        <f t="shared" si="232"/>
        <v>-0.75304644025660394</v>
      </c>
      <c r="IW63" s="5">
        <f t="shared" si="384"/>
        <v>0.26600000000000001</v>
      </c>
      <c r="IX63" s="5">
        <f t="shared" si="233"/>
        <v>0.24077286012256993</v>
      </c>
      <c r="IY63" s="762">
        <f t="shared" si="234"/>
        <v>60.524925939893201</v>
      </c>
    </row>
    <row r="64" spans="1:259" ht="15" customHeight="1" x14ac:dyDescent="0.25">
      <c r="A64" s="79"/>
      <c r="B64" s="707">
        <v>-2.2004027212204518</v>
      </c>
      <c r="C64" s="708">
        <v>-4.9652517339271007</v>
      </c>
      <c r="D64" s="709">
        <v>-1.3465808956079561</v>
      </c>
      <c r="E64" s="710">
        <v>0.61750300022190652</v>
      </c>
      <c r="F64" s="708">
        <v>-0.77201832770751611</v>
      </c>
      <c r="G64" s="711">
        <v>0.15059132246127047</v>
      </c>
      <c r="H64" s="710">
        <v>0.26600000000000001</v>
      </c>
      <c r="I64" s="708">
        <v>0.52</v>
      </c>
      <c r="J64" s="570">
        <v>4.2370000000000001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4.2370000000000001</v>
      </c>
      <c r="N64" s="632">
        <f t="shared" si="240"/>
        <v>-2.2004027212204518</v>
      </c>
      <c r="O64" s="629">
        <f t="shared" si="241"/>
        <v>-4.9652517339271007</v>
      </c>
      <c r="P64" s="633">
        <f t="shared" si="242"/>
        <v>-1.3465808956079561</v>
      </c>
      <c r="Q64" s="585">
        <f t="shared" si="113"/>
        <v>246.09897746209617</v>
      </c>
      <c r="R64" s="629">
        <f t="shared" si="79"/>
        <v>5.43097568737151</v>
      </c>
      <c r="S64" s="634">
        <f t="shared" si="80"/>
        <v>-1.3465808956079561</v>
      </c>
      <c r="T64" s="635">
        <f t="shared" si="81"/>
        <v>-4.9652517339271016</v>
      </c>
      <c r="U64" s="629">
        <f t="shared" si="82"/>
        <v>2.2004027212204496</v>
      </c>
      <c r="V64" s="636">
        <f t="shared" si="114"/>
        <v>-1.3465808956079561</v>
      </c>
      <c r="W64" s="585">
        <f t="shared" si="224"/>
        <v>156.09897746209617</v>
      </c>
      <c r="X64" s="629">
        <f t="shared" si="83"/>
        <v>5.43097568737151</v>
      </c>
      <c r="Y64" s="630">
        <f t="shared" si="223"/>
        <v>-1.3465808956079561</v>
      </c>
      <c r="Z64" s="632">
        <f t="shared" si="243"/>
        <v>-0.61750300022190652</v>
      </c>
      <c r="AA64" s="629">
        <f t="shared" si="244"/>
        <v>0.77201832770751611</v>
      </c>
      <c r="AB64" s="629">
        <f t="shared" si="245"/>
        <v>-0.15059132246127047</v>
      </c>
      <c r="AC64" s="636">
        <f t="shared" si="84"/>
        <v>1</v>
      </c>
      <c r="AD64" s="637">
        <f t="shared" si="115"/>
        <v>-0.61750300022190652</v>
      </c>
      <c r="AE64" s="629">
        <f t="shared" si="85"/>
        <v>0.77201832770751611</v>
      </c>
      <c r="AF64" s="633">
        <f t="shared" si="86"/>
        <v>-0.15059132246127047</v>
      </c>
      <c r="AG64" s="602">
        <f t="shared" si="87"/>
        <v>78.962377162546048</v>
      </c>
      <c r="AH64" s="603">
        <f t="shared" si="88"/>
        <v>128.13401872835732</v>
      </c>
      <c r="AI64" s="585">
        <f t="shared" si="89"/>
        <v>-81.338803894888116</v>
      </c>
      <c r="AJ64" s="586">
        <f t="shared" si="90"/>
        <v>-141.3452451845875</v>
      </c>
      <c r="AK64" s="635">
        <f t="shared" si="211"/>
        <v>0.87733942222502659</v>
      </c>
      <c r="AL64" s="629">
        <f t="shared" si="91"/>
        <v>-0.45562900676890833</v>
      </c>
      <c r="AM64" s="634">
        <f t="shared" si="92"/>
        <v>-0.15059132246127047</v>
      </c>
      <c r="AN64" s="581">
        <f t="shared" si="93"/>
        <v>-71.710606474465934</v>
      </c>
      <c r="AO64" s="582">
        <f t="shared" si="461"/>
        <v>28.676933718356576</v>
      </c>
      <c r="AP64" s="585">
        <f t="shared" si="95"/>
        <v>-27.444222646683684</v>
      </c>
      <c r="AQ64" s="586">
        <f t="shared" si="246"/>
        <v>0.41975622375946087</v>
      </c>
      <c r="AS64" s="52">
        <f t="shared" si="406"/>
        <v>-203.90102253790383</v>
      </c>
      <c r="AT64" s="72">
        <f t="shared" si="247"/>
        <v>-1.2049829632899673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4.2370000000000001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4.1369999999999996</v>
      </c>
      <c r="II64" s="734" cm="1">
        <f t="array" ref="II64">IFERROR(ROUND(VALUE(IF($IH64&lt;1,$IH64+LARGE((IF($M$9:$M$150="",0,$M$9:$M$150)-MOD(IF($M$9:$M$150="",0,$M$9:$M$150),1)),1),$IH64)),4),"")</f>
        <v>4.1369999999999996</v>
      </c>
      <c r="IJ64" s="533">
        <f t="shared" si="112"/>
        <v>1613</v>
      </c>
      <c r="IK64" s="533">
        <f t="shared" si="382"/>
        <v>1313</v>
      </c>
      <c r="IL64" s="727">
        <f t="shared" si="225"/>
        <v>10.371998502468671</v>
      </c>
      <c r="IM64" s="759">
        <v>4.7001526829175098E-3</v>
      </c>
      <c r="IN64" s="5">
        <f t="shared" si="226"/>
        <v>0.16</v>
      </c>
      <c r="IO64" s="771">
        <v>80</v>
      </c>
      <c r="IP64" s="9">
        <f t="shared" si="227"/>
        <v>-5.3929162650354563</v>
      </c>
      <c r="IQ64" s="5">
        <f t="shared" si="228"/>
        <v>-1.3777041551557316</v>
      </c>
      <c r="IR64" s="5">
        <f t="shared" si="383"/>
        <v>0.314</v>
      </c>
      <c r="IS64" s="5">
        <f t="shared" si="229"/>
        <v>0.28614676346344753</v>
      </c>
      <c r="IT64" s="727">
        <f t="shared" si="230"/>
        <v>76.634965347218937</v>
      </c>
      <c r="IU64" s="9">
        <f t="shared" si="231"/>
        <v>-5.43097568737151</v>
      </c>
      <c r="IV64" s="5">
        <f t="shared" si="232"/>
        <v>-1.3465808956079561</v>
      </c>
      <c r="IW64" s="5">
        <f t="shared" si="384"/>
        <v>0.26600000000000001</v>
      </c>
      <c r="IX64" s="5">
        <f t="shared" si="233"/>
        <v>0.23337228631185708</v>
      </c>
      <c r="IY64" s="762">
        <f t="shared" si="234"/>
        <v>71.710606474465934</v>
      </c>
    </row>
    <row r="65" spans="1:259" ht="15" customHeight="1" x14ac:dyDescent="0.25">
      <c r="A65" s="79"/>
      <c r="B65" s="707">
        <v>-0.45841192319982466</v>
      </c>
      <c r="C65" s="708">
        <v>-0.21376082864672824</v>
      </c>
      <c r="D65" s="709">
        <v>-0.77640234162946242</v>
      </c>
      <c r="E65" s="710">
        <v>0.4773585787533558</v>
      </c>
      <c r="F65" s="708">
        <v>-0.81424017475268085</v>
      </c>
      <c r="G65" s="711">
        <v>0.33036604714967344</v>
      </c>
      <c r="H65" s="710">
        <v>0.314</v>
      </c>
      <c r="I65" s="708">
        <v>0.52</v>
      </c>
      <c r="J65" s="570">
        <v>5.1020000000000003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5.1020000000000003</v>
      </c>
      <c r="N65" s="632">
        <f t="shared" si="240"/>
        <v>-0.45841192319982466</v>
      </c>
      <c r="O65" s="629">
        <f t="shared" si="241"/>
        <v>-0.21376082864672824</v>
      </c>
      <c r="P65" s="633">
        <f t="shared" si="242"/>
        <v>-0.77640234162946242</v>
      </c>
      <c r="Q65" s="585">
        <f t="shared" si="113"/>
        <v>204.99998339605671</v>
      </c>
      <c r="R65" s="629">
        <f t="shared" si="79"/>
        <v>0.50580152549740087</v>
      </c>
      <c r="S65" s="634">
        <f t="shared" si="80"/>
        <v>-0.77640234162946242</v>
      </c>
      <c r="T65" s="635">
        <f t="shared" si="81"/>
        <v>-0.21376082864672849</v>
      </c>
      <c r="U65" s="629">
        <f t="shared" si="82"/>
        <v>0.45841192319982454</v>
      </c>
      <c r="V65" s="636">
        <f t="shared" si="114"/>
        <v>-0.77640234162946242</v>
      </c>
      <c r="W65" s="585">
        <f t="shared" si="224"/>
        <v>114.99998339605672</v>
      </c>
      <c r="X65" s="629">
        <f t="shared" si="83"/>
        <v>0.50580152549740087</v>
      </c>
      <c r="Y65" s="630">
        <f t="shared" si="223"/>
        <v>-0.77640234162946242</v>
      </c>
      <c r="Z65" s="632">
        <f t="shared" si="243"/>
        <v>-0.4773585787533558</v>
      </c>
      <c r="AA65" s="629">
        <f t="shared" si="244"/>
        <v>0.81424017475268085</v>
      </c>
      <c r="AB65" s="629">
        <f t="shared" si="245"/>
        <v>-0.33036604714967344</v>
      </c>
      <c r="AC65" s="636">
        <f t="shared" si="84"/>
        <v>1</v>
      </c>
      <c r="AD65" s="637">
        <f t="shared" si="115"/>
        <v>-0.4773585787533558</v>
      </c>
      <c r="AE65" s="629">
        <f t="shared" si="85"/>
        <v>0.81424017475268085</v>
      </c>
      <c r="AF65" s="633">
        <f t="shared" si="86"/>
        <v>-0.33036604714967344</v>
      </c>
      <c r="AG65" s="602">
        <f t="shared" si="87"/>
        <v>67.915864810578043</v>
      </c>
      <c r="AH65" s="603">
        <f t="shared" si="88"/>
        <v>118.51302826614649</v>
      </c>
      <c r="AI65" s="585">
        <f t="shared" si="89"/>
        <v>-70.709005437865216</v>
      </c>
      <c r="AJ65" s="586">
        <f t="shared" si="90"/>
        <v>-149.61849784170383</v>
      </c>
      <c r="AK65" s="635">
        <f t="shared" si="211"/>
        <v>0.93969263802333458</v>
      </c>
      <c r="AL65" s="629">
        <f t="shared" si="91"/>
        <v>8.8521302156295556E-2</v>
      </c>
      <c r="AM65" s="634">
        <f t="shared" si="92"/>
        <v>-0.33036604714967344</v>
      </c>
      <c r="AN65" s="581">
        <f t="shared" si="93"/>
        <v>14.999997834268262</v>
      </c>
      <c r="AO65" s="582">
        <f t="shared" si="461"/>
        <v>19.999997112357679</v>
      </c>
      <c r="AP65" s="585">
        <f t="shared" si="95"/>
        <v>5.3815187622394776</v>
      </c>
      <c r="AQ65" s="586">
        <f t="shared" si="246"/>
        <v>4.4978938946992724</v>
      </c>
      <c r="AS65" s="52">
        <f t="shared" si="406"/>
        <v>-245.00001660394327</v>
      </c>
      <c r="AT65" s="72">
        <f t="shared" si="247"/>
        <v>-0.60626344121005737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5.1020000000000003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-1.0756094710430046</v>
      </c>
      <c r="C66" s="708">
        <v>-0.50156455404890754</v>
      </c>
      <c r="D66" s="709">
        <v>-0.5939017912078024</v>
      </c>
      <c r="E66" s="710">
        <v>0.4735944187439165</v>
      </c>
      <c r="F66" s="708">
        <v>-0.83146955959349167</v>
      </c>
      <c r="G66" s="711">
        <v>0.29045946017304541</v>
      </c>
      <c r="H66" s="710">
        <v>0.314</v>
      </c>
      <c r="I66" s="708">
        <v>0.52</v>
      </c>
      <c r="J66" s="570">
        <v>5.1050000000000004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5.1050000000000004</v>
      </c>
      <c r="N66" s="632">
        <f t="shared" si="240"/>
        <v>-1.0756094710430046</v>
      </c>
      <c r="O66" s="629">
        <f t="shared" si="241"/>
        <v>-0.50156455404890754</v>
      </c>
      <c r="P66" s="633">
        <f t="shared" si="242"/>
        <v>-0.5939017912078024</v>
      </c>
      <c r="Q66" s="585">
        <f t="shared" si="113"/>
        <v>204.99998339605673</v>
      </c>
      <c r="R66" s="629">
        <f t="shared" si="79"/>
        <v>1.1868035793995955</v>
      </c>
      <c r="S66" s="634">
        <f t="shared" si="80"/>
        <v>-0.5939017912078024</v>
      </c>
      <c r="T66" s="635">
        <f t="shared" si="81"/>
        <v>-0.50156455404890798</v>
      </c>
      <c r="U66" s="629">
        <f t="shared" si="82"/>
        <v>1.0756094710430046</v>
      </c>
      <c r="V66" s="636">
        <f t="shared" si="114"/>
        <v>-0.5939017912078024</v>
      </c>
      <c r="W66" s="585">
        <f t="shared" si="224"/>
        <v>114.99998339605675</v>
      </c>
      <c r="X66" s="629">
        <f t="shared" si="83"/>
        <v>1.1868035793995955</v>
      </c>
      <c r="Y66" s="630">
        <f t="shared" si="223"/>
        <v>-0.5939017912078024</v>
      </c>
      <c r="Z66" s="632">
        <f t="shared" si="243"/>
        <v>-0.4735944187439165</v>
      </c>
      <c r="AA66" s="629">
        <f t="shared" si="244"/>
        <v>0.83146955959349167</v>
      </c>
      <c r="AB66" s="629">
        <f t="shared" si="245"/>
        <v>-0.29045946017304541</v>
      </c>
      <c r="AC66" s="636">
        <f t="shared" si="84"/>
        <v>1</v>
      </c>
      <c r="AD66" s="637">
        <f t="shared" si="115"/>
        <v>-0.4735944187439165</v>
      </c>
      <c r="AE66" s="629">
        <f t="shared" si="85"/>
        <v>0.83146955959349167</v>
      </c>
      <c r="AF66" s="633">
        <f t="shared" si="86"/>
        <v>-0.29045946017304541</v>
      </c>
      <c r="AG66" s="602">
        <f t="shared" si="87"/>
        <v>70.744024694262023</v>
      </c>
      <c r="AH66" s="603">
        <f t="shared" si="88"/>
        <v>118.26787216468571</v>
      </c>
      <c r="AI66" s="585">
        <f t="shared" si="89"/>
        <v>-73.114534769632428</v>
      </c>
      <c r="AJ66" s="586">
        <f t="shared" si="90"/>
        <v>-150.33471465516058</v>
      </c>
      <c r="AK66" s="635">
        <f t="shared" si="211"/>
        <v>0.95371696400905348</v>
      </c>
      <c r="AL66" s="629">
        <f t="shared" si="91"/>
        <v>7.7828366019961071E-2</v>
      </c>
      <c r="AM66" s="634">
        <f t="shared" si="92"/>
        <v>-0.29045946017304541</v>
      </c>
      <c r="AN66" s="581">
        <f t="shared" si="93"/>
        <v>14.999997834268179</v>
      </c>
      <c r="AO66" s="582">
        <f t="shared" si="461"/>
        <v>17.499997473312952</v>
      </c>
      <c r="AP66" s="585">
        <f t="shared" si="95"/>
        <v>4.665301948782675</v>
      </c>
      <c r="AQ66" s="586">
        <f t="shared" si="246"/>
        <v>1.9201771184520255</v>
      </c>
      <c r="AS66" s="52">
        <f t="shared" si="406"/>
        <v>-245.00001660394327</v>
      </c>
      <c r="AT66" s="72">
        <f t="shared" si="247"/>
        <v>-0.42376289078839735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5.1050000000000004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-1.704770319373013</v>
      </c>
      <c r="C67" s="708">
        <v>-0.79494685386416863</v>
      </c>
      <c r="D67" s="709">
        <v>-0.40790123023011027</v>
      </c>
      <c r="E67" s="710">
        <v>0.47359441874391645</v>
      </c>
      <c r="F67" s="708">
        <v>-0.83146955959349167</v>
      </c>
      <c r="G67" s="711">
        <v>0.29045946017304541</v>
      </c>
      <c r="H67" s="710">
        <v>0.314</v>
      </c>
      <c r="I67" s="708">
        <v>0.52</v>
      </c>
      <c r="J67" s="570">
        <v>5.1079999999999997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5.1079999999999997</v>
      </c>
      <c r="N67" s="632">
        <f t="shared" si="240"/>
        <v>-1.704770319373013</v>
      </c>
      <c r="O67" s="629">
        <f t="shared" si="241"/>
        <v>-0.79494685386416863</v>
      </c>
      <c r="P67" s="633">
        <f t="shared" si="242"/>
        <v>-0.40790123023011027</v>
      </c>
      <c r="Q67" s="585">
        <f t="shared" si="113"/>
        <v>204.99998339605673</v>
      </c>
      <c r="R67" s="629">
        <f>IF(M67="","",SQRT(N67^2+O67^2))</f>
        <v>1.8810056731131102</v>
      </c>
      <c r="S67" s="634">
        <f>IF(M67="","",P67)</f>
        <v>-0.40790123023011027</v>
      </c>
      <c r="T67" s="635">
        <f>IF(M67="","",X67*COS(RADIANS(W67)))</f>
        <v>-0.79494685386416908</v>
      </c>
      <c r="U67" s="629">
        <f>IF(M67="","",X67*SIN(RADIANS(W67)))</f>
        <v>1.7047703193730128</v>
      </c>
      <c r="V67" s="636">
        <f>IF(M67="","",Y67)</f>
        <v>-0.40790123023011027</v>
      </c>
      <c r="W67" s="585">
        <f t="shared" si="224"/>
        <v>114.99998339605675</v>
      </c>
      <c r="X67" s="629">
        <f>IF(M67="","",R67)</f>
        <v>1.8810056731131102</v>
      </c>
      <c r="Y67" s="630">
        <f t="shared" si="223"/>
        <v>-0.40790123023011027</v>
      </c>
      <c r="Z67" s="632">
        <f t="shared" si="243"/>
        <v>-0.47359441874391645</v>
      </c>
      <c r="AA67" s="629">
        <f t="shared" si="244"/>
        <v>0.83146955959349167</v>
      </c>
      <c r="AB67" s="629">
        <f t="shared" si="245"/>
        <v>-0.29045946017304541</v>
      </c>
      <c r="AC67" s="636">
        <f>IF(M67="","",SQRT(Z67^2+AA67^2+AB67^2))</f>
        <v>1</v>
      </c>
      <c r="AD67" s="637">
        <f>IF(M67="","",Z67*(1/SQRT(Z67^2+AA67^2+AB67^2)))</f>
        <v>-0.47359441874391645</v>
      </c>
      <c r="AE67" s="629">
        <f>IF(M67="","",AA67*(1/SQRT(Z67^2+AA67^2+AB67^2)))</f>
        <v>0.83146955959349167</v>
      </c>
      <c r="AF67" s="633">
        <f>IF(M67="","",AB67*(1/SQRT(Z67^2+AA67^2+AB67^2)))</f>
        <v>-0.29045946017304541</v>
      </c>
      <c r="AG67" s="602">
        <f>IF(M67="","",DEGREES(ATAN2(-AF67,AE67)))</f>
        <v>70.744024694262023</v>
      </c>
      <c r="AH67" s="603">
        <f>IF(M67="","",DEGREES(ACOS(AD67)))</f>
        <v>118.26787216468571</v>
      </c>
      <c r="AI67" s="585">
        <f>IF(M67="","",DEGREES(-ACOS(-AF67)))</f>
        <v>-73.114534769632428</v>
      </c>
      <c r="AJ67" s="586">
        <f>IF(M67="","",DEGREES(ATAN2(-AE67,AD67)))</f>
        <v>-150.33471465516058</v>
      </c>
      <c r="AK67" s="635">
        <f>IF(M67="","",(COS(RADIANS((90-$Q$8)-W67))*AD67)+(-SIN(RADIANS((90-$Q$8)-W67))*AE67))</f>
        <v>0.95371696400905348</v>
      </c>
      <c r="AL67" s="629">
        <f>IF(M67="","",(SIN(RADIANS((90-$Q$8)-W67))*AD67)+(COS(RADIANS((90-$Q$8)-W67))*AE67))</f>
        <v>7.7828366019961015E-2</v>
      </c>
      <c r="AM67" s="634">
        <f>IF(M67="","",AF67)</f>
        <v>-0.29045946017304541</v>
      </c>
      <c r="AN67" s="581">
        <f>IF(M67="","",DEGREES(ATAN2(-AM67,AL67)))</f>
        <v>14.99999783426817</v>
      </c>
      <c r="AO67" s="582">
        <f t="shared" si="461"/>
        <v>17.499997473312952</v>
      </c>
      <c r="AP67" s="585">
        <f>IF(M67="","",DEGREES(ATAN2(AK67,AL67)))</f>
        <v>4.6653019487826723</v>
      </c>
      <c r="AQ67" s="586">
        <f t="shared" si="246"/>
        <v>1.211791510275275</v>
      </c>
      <c r="AS67" s="52">
        <f t="shared" si="406"/>
        <v>-245.00001660394327</v>
      </c>
      <c r="AT67" s="72">
        <f t="shared" si="247"/>
        <v>-0.23776232981070522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5.1079999999999997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-2.3444817348819913</v>
      </c>
      <c r="C68" s="708">
        <v>-1.0912569511164132</v>
      </c>
      <c r="D68" s="709">
        <v>-0.21900066050599204</v>
      </c>
      <c r="E68" s="710">
        <v>0.4237293430396003</v>
      </c>
      <c r="F68" s="708">
        <v>-0.86806880072730452</v>
      </c>
      <c r="G68" s="711">
        <v>0.25866967555376108</v>
      </c>
      <c r="H68" s="710">
        <v>0.314</v>
      </c>
      <c r="I68" s="708">
        <v>0.52</v>
      </c>
      <c r="J68" s="570">
        <v>5.1120000000000001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5.1120000000000001</v>
      </c>
      <c r="N68" s="632">
        <f t="shared" si="240"/>
        <v>-2.3444817348819913</v>
      </c>
      <c r="O68" s="629">
        <f t="shared" si="241"/>
        <v>-1.0912569511164132</v>
      </c>
      <c r="P68" s="633">
        <f t="shared" si="242"/>
        <v>-0.21900066050599204</v>
      </c>
      <c r="Q68" s="585">
        <f t="shared" si="113"/>
        <v>204.95998340183203</v>
      </c>
      <c r="R68" s="629">
        <f>IF(M68="","",SQRT(N68^2+O68^2))</f>
        <v>2.5860077993995225</v>
      </c>
      <c r="S68" s="634">
        <f>IF(M68="","",P68)</f>
        <v>-0.21900066050599204</v>
      </c>
      <c r="T68" s="635">
        <f>IF(M68="","",X68*COS(RADIANS(W68)))</f>
        <v>-1.0912569511164145</v>
      </c>
      <c r="U68" s="629">
        <f>IF(M68="","",X68*SIN(RADIANS(W68)))</f>
        <v>2.3444817348819904</v>
      </c>
      <c r="V68" s="636">
        <f>IF(M68="","",Y68)</f>
        <v>-0.21900066050599204</v>
      </c>
      <c r="W68" s="585">
        <f t="shared" si="224"/>
        <v>114.95998340183205</v>
      </c>
      <c r="X68" s="629">
        <f>IF(M68="","",R68)</f>
        <v>2.5860077993995225</v>
      </c>
      <c r="Y68" s="630">
        <f t="shared" si="223"/>
        <v>-0.21900066050599204</v>
      </c>
      <c r="Z68" s="632">
        <f t="shared" si="243"/>
        <v>-0.4237293430396003</v>
      </c>
      <c r="AA68" s="629">
        <f t="shared" si="244"/>
        <v>0.86806880072730452</v>
      </c>
      <c r="AB68" s="629">
        <f t="shared" si="245"/>
        <v>-0.25866967555376108</v>
      </c>
      <c r="AC68" s="636">
        <f>IF(M68="","",SQRT(Z68^2+AA68^2+AB68^2))</f>
        <v>1</v>
      </c>
      <c r="AD68" s="637">
        <f>IF(M68="","",Z68*(1/SQRT(Z68^2+AA68^2+AB68^2)))</f>
        <v>-0.4237293430396003</v>
      </c>
      <c r="AE68" s="629">
        <f>IF(M68="","",AA68*(1/SQRT(Z68^2+AA68^2+AB68^2)))</f>
        <v>0.86806880072730452</v>
      </c>
      <c r="AF68" s="633">
        <f>IF(M68="","",AB68*(1/SQRT(Z68^2+AA68^2+AB68^2)))</f>
        <v>-0.25866967555376108</v>
      </c>
      <c r="AG68" s="602">
        <f>IF(M68="","",DEGREES(ATAN2(-AF68,AE68)))</f>
        <v>73.406842246670578</v>
      </c>
      <c r="AH68" s="603">
        <f>IF(M68="","",DEGREES(ACOS(AD68)))</f>
        <v>115.07026144167453</v>
      </c>
      <c r="AI68" s="585">
        <f>IF(M68="","",DEGREES(-ACOS(-AF68)))</f>
        <v>-75.008859963398237</v>
      </c>
      <c r="AJ68" s="586">
        <f>IF(M68="","",DEGREES(ATAN2(-AE68,AD68)))</f>
        <v>-153.98166617876882</v>
      </c>
      <c r="AK68" s="635">
        <f>IF(M68="","",(COS(RADIANS((90-$Q$8)-W68))*AD68)+(-SIN(RADIANS((90-$Q$8)-W68))*AE68))</f>
        <v>0.96580104649722132</v>
      </c>
      <c r="AL68" s="629">
        <f>IF(M68="","",(SIN(RADIANS((90-$Q$8)-W68))*AD68)+(COS(RADIANS((90-$Q$8)-W68))*AE68))</f>
        <v>1.7842015967485636E-2</v>
      </c>
      <c r="AM68" s="634">
        <f>IF(M68="","",AF68)</f>
        <v>-0.25866967555376108</v>
      </c>
      <c r="AN68" s="581">
        <f>IF(M68="","",DEGREES(ATAN2(-AM68,AL68)))</f>
        <v>3.9457876245396131</v>
      </c>
      <c r="AO68" s="582">
        <f t="shared" si="461"/>
        <v>15.02759818336348</v>
      </c>
      <c r="AP68" s="585">
        <f>IF(M68="","",DEGREES(ATAN2(AK68,AL68)))</f>
        <v>1.058350419399174</v>
      </c>
      <c r="AQ68" s="586">
        <f t="shared" si="246"/>
        <v>0.88149260871090951</v>
      </c>
      <c r="AS68" s="52">
        <f t="shared" si="406"/>
        <v>-245.04001659816794</v>
      </c>
      <c r="AT68" s="72">
        <f t="shared" si="247"/>
        <v>-4.8833982312819851E-2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5.1120000000000001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-3.0705498507334563</v>
      </c>
      <c r="C69" s="708">
        <v>-1.3914407547647218</v>
      </c>
      <c r="D69" s="709">
        <v>-8.6800261789589772E-2</v>
      </c>
      <c r="E69" s="710">
        <v>0.32830552541860114</v>
      </c>
      <c r="F69" s="708">
        <v>-0.90890881630602927</v>
      </c>
      <c r="G69" s="711">
        <v>0.25709968032027808</v>
      </c>
      <c r="H69" s="710">
        <v>0.314</v>
      </c>
      <c r="I69" s="708">
        <v>0.52</v>
      </c>
      <c r="J69" s="570">
        <v>5.1180000000000003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5.1180000000000003</v>
      </c>
      <c r="N69" s="632">
        <f t="shared" si="240"/>
        <v>-3.0705498507334563</v>
      </c>
      <c r="O69" s="629">
        <f t="shared" si="241"/>
        <v>-1.3914407547647218</v>
      </c>
      <c r="P69" s="633">
        <f t="shared" si="242"/>
        <v>-8.6800261789589772E-2</v>
      </c>
      <c r="Q69" s="585">
        <f t="shared" si="113"/>
        <v>204.37798348586239</v>
      </c>
      <c r="R69" s="629">
        <f t="shared" si="79"/>
        <v>3.3711101672682648</v>
      </c>
      <c r="S69" s="634">
        <f t="shared" si="80"/>
        <v>-8.6800261789589772E-2</v>
      </c>
      <c r="T69" s="635">
        <f t="shared" si="81"/>
        <v>-1.3914407547647223</v>
      </c>
      <c r="U69" s="629">
        <f t="shared" si="82"/>
        <v>3.0705498507334559</v>
      </c>
      <c r="V69" s="636">
        <f t="shared" si="114"/>
        <v>-8.6800261789589772E-2</v>
      </c>
      <c r="W69" s="585">
        <f t="shared" si="224"/>
        <v>114.3779834858624</v>
      </c>
      <c r="X69" s="629">
        <f t="shared" si="83"/>
        <v>3.3711101672682648</v>
      </c>
      <c r="Y69" s="630">
        <f t="shared" si="223"/>
        <v>-8.6800261789589772E-2</v>
      </c>
      <c r="Z69" s="632">
        <f t="shared" si="243"/>
        <v>-0.32830552541860114</v>
      </c>
      <c r="AA69" s="629">
        <f t="shared" si="244"/>
        <v>0.90890881630602927</v>
      </c>
      <c r="AB69" s="629">
        <f t="shared" si="245"/>
        <v>-0.25709968032027808</v>
      </c>
      <c r="AC69" s="636">
        <f t="shared" si="84"/>
        <v>1</v>
      </c>
      <c r="AD69" s="637">
        <f t="shared" si="115"/>
        <v>-0.32830552541860114</v>
      </c>
      <c r="AE69" s="629">
        <f t="shared" si="85"/>
        <v>0.90890881630602927</v>
      </c>
      <c r="AF69" s="633">
        <f t="shared" si="86"/>
        <v>-0.25709968032027808</v>
      </c>
      <c r="AG69" s="602">
        <f t="shared" si="87"/>
        <v>74.205579227984714</v>
      </c>
      <c r="AH69" s="603">
        <f t="shared" si="88"/>
        <v>109.1659600124293</v>
      </c>
      <c r="AI69" s="585">
        <f t="shared" si="89"/>
        <v>-75.101963228449279</v>
      </c>
      <c r="AJ69" s="586">
        <f t="shared" si="90"/>
        <v>-160.13985311938347</v>
      </c>
      <c r="AK69" s="635">
        <f t="shared" si="211"/>
        <v>0.96338219671782266</v>
      </c>
      <c r="AL69" s="629">
        <f t="shared" si="91"/>
        <v>-7.6121596320318285E-2</v>
      </c>
      <c r="AM69" s="634">
        <f t="shared" si="92"/>
        <v>-0.25709968032027808</v>
      </c>
      <c r="AN69" s="581">
        <f t="shared" si="93"/>
        <v>-16.492870286716517</v>
      </c>
      <c r="AO69" s="582">
        <f t="shared" si="461"/>
        <v>15.553137230158599</v>
      </c>
      <c r="AP69" s="585">
        <f t="shared" si="95"/>
        <v>-4.5178366052458721</v>
      </c>
      <c r="AQ69" s="586">
        <f t="shared" si="246"/>
        <v>0.67622256963138128</v>
      </c>
      <c r="AS69" s="52">
        <f t="shared" si="406"/>
        <v>-245.62201651413761</v>
      </c>
      <c r="AT69" s="72">
        <f t="shared" si="247"/>
        <v>8.3770583011894689E-2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5.1180000000000003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-3.7979724763355329</v>
      </c>
      <c r="C70" s="708">
        <v>-1.6454960408906727</v>
      </c>
      <c r="D70" s="709">
        <v>-0.26450079773440593</v>
      </c>
      <c r="E70" s="710">
        <v>0.19012071689473664</v>
      </c>
      <c r="F70" s="708">
        <v>-0.95666450681892101</v>
      </c>
      <c r="G70" s="711">
        <v>0.22056095393414971</v>
      </c>
      <c r="H70" s="710">
        <v>0.314</v>
      </c>
      <c r="I70" s="708">
        <v>0.52</v>
      </c>
      <c r="J70" s="570">
        <v>5.1239999999999997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5.1239999999999997</v>
      </c>
      <c r="N70" s="632">
        <f t="shared" si="240"/>
        <v>-3.7979724763355329</v>
      </c>
      <c r="O70" s="629">
        <f t="shared" si="241"/>
        <v>-1.6454960408906727</v>
      </c>
      <c r="P70" s="633">
        <f t="shared" si="242"/>
        <v>-0.26450079773440593</v>
      </c>
      <c r="Q70" s="585">
        <f t="shared" si="113"/>
        <v>203.42498362345856</v>
      </c>
      <c r="R70" s="629">
        <f t="shared" si="79"/>
        <v>4.1391124835632507</v>
      </c>
      <c r="S70" s="634">
        <f t="shared" si="80"/>
        <v>-0.26450079773440593</v>
      </c>
      <c r="T70" s="635">
        <f t="shared" si="81"/>
        <v>-1.645496040890674</v>
      </c>
      <c r="U70" s="629">
        <f t="shared" si="82"/>
        <v>3.7979724763355325</v>
      </c>
      <c r="V70" s="636">
        <f t="shared" si="114"/>
        <v>-0.26450079773440593</v>
      </c>
      <c r="W70" s="585">
        <f t="shared" si="224"/>
        <v>113.42498362345857</v>
      </c>
      <c r="X70" s="629">
        <f t="shared" si="83"/>
        <v>4.1391124835632507</v>
      </c>
      <c r="Y70" s="630">
        <f t="shared" si="223"/>
        <v>-0.26450079773440593</v>
      </c>
      <c r="Z70" s="632">
        <f t="shared" si="243"/>
        <v>-0.19012071689473664</v>
      </c>
      <c r="AA70" s="629">
        <f t="shared" si="244"/>
        <v>0.95666450681892101</v>
      </c>
      <c r="AB70" s="629">
        <f t="shared" si="245"/>
        <v>-0.22056095393414971</v>
      </c>
      <c r="AC70" s="636">
        <f t="shared" si="84"/>
        <v>1</v>
      </c>
      <c r="AD70" s="637">
        <f t="shared" si="115"/>
        <v>-0.19012071689473664</v>
      </c>
      <c r="AE70" s="629">
        <f t="shared" si="85"/>
        <v>0.95666450681892101</v>
      </c>
      <c r="AF70" s="633">
        <f t="shared" si="86"/>
        <v>-0.22056095393414971</v>
      </c>
      <c r="AG70" s="602">
        <f t="shared" si="87"/>
        <v>77.017198671231</v>
      </c>
      <c r="AH70" s="603">
        <f t="shared" si="88"/>
        <v>100.95982918053481</v>
      </c>
      <c r="AI70" s="585">
        <f t="shared" si="89"/>
        <v>-77.258017355910397</v>
      </c>
      <c r="AJ70" s="586">
        <f t="shared" si="90"/>
        <v>-168.75989140470986</v>
      </c>
      <c r="AK70" s="635">
        <f t="shared" si="211"/>
        <v>0.9533996402846614</v>
      </c>
      <c r="AL70" s="629">
        <f t="shared" si="91"/>
        <v>-0.20586886968343773</v>
      </c>
      <c r="AM70" s="634">
        <f t="shared" si="92"/>
        <v>-0.22056095393414971</v>
      </c>
      <c r="AN70" s="581">
        <f t="shared" si="93"/>
        <v>-43.026729079018679</v>
      </c>
      <c r="AO70" s="582">
        <f t="shared" si="461"/>
        <v>17.56035877079648</v>
      </c>
      <c r="AP70" s="585">
        <f t="shared" si="95"/>
        <v>-12.184875028168422</v>
      </c>
      <c r="AQ70" s="586">
        <f t="shared" si="246"/>
        <v>0.55075971572284366</v>
      </c>
      <c r="AS70" s="52">
        <f t="shared" si="406"/>
        <v>-246.57501637654144</v>
      </c>
      <c r="AT70" s="72">
        <f t="shared" si="247"/>
        <v>-9.3268147472918811E-2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5.1239999999999997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-4.4347367290122133</v>
      </c>
      <c r="C71" s="708">
        <v>-1.8316693539654991</v>
      </c>
      <c r="D71" s="709">
        <v>-0.70170211633358281</v>
      </c>
      <c r="E71" s="710">
        <v>6.9169503111783839E-2</v>
      </c>
      <c r="F71" s="708">
        <v>-0.98740807608005721</v>
      </c>
      <c r="G71" s="711">
        <v>0.14227041551618896</v>
      </c>
      <c r="H71" s="710">
        <v>0.314</v>
      </c>
      <c r="I71" s="708">
        <v>0.52</v>
      </c>
      <c r="J71" s="570">
        <v>5.13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5.13</v>
      </c>
      <c r="N71" s="632">
        <f t="shared" si="240"/>
        <v>-4.4347367290122133</v>
      </c>
      <c r="O71" s="629">
        <f t="shared" si="241"/>
        <v>-1.8316693539654991</v>
      </c>
      <c r="P71" s="633">
        <f t="shared" si="242"/>
        <v>-0.70170211633358281</v>
      </c>
      <c r="Q71" s="585">
        <f t="shared" si="113"/>
        <v>202.44198376538617</v>
      </c>
      <c r="R71" s="629">
        <f t="shared" si="79"/>
        <v>4.7981144711132453</v>
      </c>
      <c r="S71" s="634">
        <f t="shared" si="80"/>
        <v>-0.70170211633358281</v>
      </c>
      <c r="T71" s="635">
        <f t="shared" si="81"/>
        <v>-1.8316693539655009</v>
      </c>
      <c r="U71" s="629">
        <f t="shared" si="82"/>
        <v>4.4347367290122133</v>
      </c>
      <c r="V71" s="636">
        <f t="shared" si="114"/>
        <v>-0.70170211633358281</v>
      </c>
      <c r="W71" s="585">
        <f t="shared" si="224"/>
        <v>112.44198376538618</v>
      </c>
      <c r="X71" s="629">
        <f t="shared" si="83"/>
        <v>4.7981144711132453</v>
      </c>
      <c r="Y71" s="630">
        <f t="shared" si="223"/>
        <v>-0.70170211633358281</v>
      </c>
      <c r="Z71" s="632">
        <f t="shared" si="243"/>
        <v>-6.9169503111783839E-2</v>
      </c>
      <c r="AA71" s="629">
        <f t="shared" si="244"/>
        <v>0.98740807608005721</v>
      </c>
      <c r="AB71" s="629">
        <f t="shared" si="245"/>
        <v>-0.14227041551618896</v>
      </c>
      <c r="AC71" s="636">
        <f t="shared" si="84"/>
        <v>1</v>
      </c>
      <c r="AD71" s="637">
        <f t="shared" si="115"/>
        <v>-6.9169503111783839E-2</v>
      </c>
      <c r="AE71" s="629">
        <f t="shared" si="85"/>
        <v>0.98740807608005721</v>
      </c>
      <c r="AF71" s="633">
        <f t="shared" si="86"/>
        <v>-0.14227041551618896</v>
      </c>
      <c r="AG71" s="602">
        <f t="shared" si="87"/>
        <v>81.80098127062665</v>
      </c>
      <c r="AH71" s="603">
        <f t="shared" si="88"/>
        <v>93.966287628332893</v>
      </c>
      <c r="AI71" s="585">
        <f t="shared" si="89"/>
        <v>-81.820753219625885</v>
      </c>
      <c r="AJ71" s="586">
        <f t="shared" si="90"/>
        <v>-175.9928857437593</v>
      </c>
      <c r="AK71" s="635">
        <f t="shared" si="211"/>
        <v>0.93903356156257289</v>
      </c>
      <c r="AL71" s="629">
        <f t="shared" si="91"/>
        <v>-0.31300974286427674</v>
      </c>
      <c r="AM71" s="634">
        <f t="shared" si="92"/>
        <v>-0.14227041551618896</v>
      </c>
      <c r="AN71" s="581">
        <f t="shared" si="93"/>
        <v>-65.557067763694249</v>
      </c>
      <c r="AO71" s="582">
        <f t="shared" si="461"/>
        <v>20.110116032743655</v>
      </c>
      <c r="AP71" s="585">
        <f t="shared" si="95"/>
        <v>-18.434869509145468</v>
      </c>
      <c r="AQ71" s="586">
        <f t="shared" si="246"/>
        <v>0.47511879745694385</v>
      </c>
      <c r="AS71" s="52">
        <f t="shared" si="406"/>
        <v>-247.55801623461383</v>
      </c>
      <c r="AT71" s="72">
        <f t="shared" si="247"/>
        <v>-0.52978682728176762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-4.9494988390577515</v>
      </c>
      <c r="C72" s="708">
        <v>-1.9585445001812121</v>
      </c>
      <c r="D72" s="709">
        <v>-1.2746038442051937</v>
      </c>
      <c r="E72" s="710">
        <v>-1.8867166679253186E-2</v>
      </c>
      <c r="F72" s="708">
        <v>-0.9950365713721927</v>
      </c>
      <c r="G72" s="711">
        <v>9.7704921336484576E-2</v>
      </c>
      <c r="H72" s="710">
        <v>0.314</v>
      </c>
      <c r="I72" s="708">
        <v>0.52</v>
      </c>
      <c r="J72" s="570">
        <v>5.1360000000000001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5.1360000000000001</v>
      </c>
      <c r="N72" s="632">
        <f t="shared" si="240"/>
        <v>-4.9494988390577515</v>
      </c>
      <c r="O72" s="629">
        <f t="shared" si="241"/>
        <v>-1.9585445001812121</v>
      </c>
      <c r="P72" s="633">
        <f t="shared" si="242"/>
        <v>-1.2746038442051937</v>
      </c>
      <c r="Q72" s="585">
        <f t="shared" si="113"/>
        <v>201.58898388854411</v>
      </c>
      <c r="R72" s="629">
        <f t="shared" si="79"/>
        <v>5.3229160539148186</v>
      </c>
      <c r="S72" s="634">
        <f t="shared" si="80"/>
        <v>-1.2746038442051937</v>
      </c>
      <c r="T72" s="635">
        <f t="shared" si="81"/>
        <v>-1.9585445001812121</v>
      </c>
      <c r="U72" s="629">
        <f t="shared" si="82"/>
        <v>4.9494988390577515</v>
      </c>
      <c r="V72" s="636">
        <f t="shared" si="114"/>
        <v>-1.2746038442051937</v>
      </c>
      <c r="W72" s="585">
        <f t="shared" si="224"/>
        <v>111.58898388854412</v>
      </c>
      <c r="X72" s="629">
        <f t="shared" si="83"/>
        <v>5.3229160539148186</v>
      </c>
      <c r="Y72" s="630">
        <f t="shared" si="223"/>
        <v>-1.2746038442051937</v>
      </c>
      <c r="Z72" s="632">
        <f t="shared" si="243"/>
        <v>1.8867166679253186E-2</v>
      </c>
      <c r="AA72" s="629">
        <f t="shared" si="244"/>
        <v>0.9950365713721927</v>
      </c>
      <c r="AB72" s="629">
        <f t="shared" si="245"/>
        <v>-9.7704921336484576E-2</v>
      </c>
      <c r="AC72" s="636">
        <f t="shared" si="84"/>
        <v>1</v>
      </c>
      <c r="AD72" s="637">
        <f t="shared" si="115"/>
        <v>1.8867166679253186E-2</v>
      </c>
      <c r="AE72" s="629">
        <f t="shared" si="85"/>
        <v>0.9950365713721927</v>
      </c>
      <c r="AF72" s="633">
        <f t="shared" si="86"/>
        <v>-9.7704921336484576E-2</v>
      </c>
      <c r="AG72" s="602">
        <f t="shared" si="87"/>
        <v>84.391973677063035</v>
      </c>
      <c r="AH72" s="603">
        <f t="shared" si="88"/>
        <v>88.918926833173558</v>
      </c>
      <c r="AI72" s="585">
        <f t="shared" si="89"/>
        <v>-84.392975109575204</v>
      </c>
      <c r="AJ72" s="586">
        <f t="shared" si="90"/>
        <v>178.9137288725276</v>
      </c>
      <c r="AK72" s="635">
        <f t="shared" si="211"/>
        <v>0.91828992225005712</v>
      </c>
      <c r="AL72" s="629">
        <f t="shared" si="91"/>
        <v>-0.38366309053727765</v>
      </c>
      <c r="AM72" s="634">
        <f t="shared" si="92"/>
        <v>-9.7704921336484576E-2</v>
      </c>
      <c r="AN72" s="581">
        <f t="shared" si="93"/>
        <v>-75.712561493329403</v>
      </c>
      <c r="AO72" s="582">
        <f t="shared" si="461"/>
        <v>23.322653102848445</v>
      </c>
      <c r="AP72" s="585">
        <f t="shared" si="95"/>
        <v>-22.675255016016528</v>
      </c>
      <c r="AQ72" s="586">
        <f t="shared" si="246"/>
        <v>0.42827731078864056</v>
      </c>
      <c r="AS72" s="52">
        <f t="shared" si="406"/>
        <v>-248.41101611145587</v>
      </c>
      <c r="AT72" s="72">
        <f t="shared" si="247"/>
        <v>-1.1020961941277938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5.1360000000000001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-5.3013253829074385</v>
      </c>
      <c r="C73" s="708">
        <v>-2.0333942210857856</v>
      </c>
      <c r="D73" s="709">
        <v>-1.9369058417080176</v>
      </c>
      <c r="E73" s="710">
        <v>-0.12209479527387478</v>
      </c>
      <c r="F73" s="708">
        <v>-0.98976699705528481</v>
      </c>
      <c r="G73" s="711">
        <v>7.3852234273545328E-2</v>
      </c>
      <c r="H73" s="710">
        <v>0.314</v>
      </c>
      <c r="I73" s="708">
        <v>0.52</v>
      </c>
      <c r="J73" s="570">
        <v>5.1420000000000003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5.1420000000000003</v>
      </c>
      <c r="N73" s="632">
        <f t="shared" ref="N73:N104" si="465">IF(M73="","",B73)</f>
        <v>-5.3013253829074385</v>
      </c>
      <c r="O73" s="629">
        <f t="shared" ref="O73:O104" si="466">IF(M73="","",C73)</f>
        <v>-2.0333942210857856</v>
      </c>
      <c r="P73" s="633">
        <f t="shared" ref="P73:P104" si="467">IF(M73="","",D73)</f>
        <v>-1.9369058417080176</v>
      </c>
      <c r="Q73" s="585">
        <f t="shared" si="113"/>
        <v>200.98498397575094</v>
      </c>
      <c r="R73" s="629">
        <f>IF(M73="","",SQRT(N73^2+O73^2))</f>
        <v>5.6779171245980482</v>
      </c>
      <c r="S73" s="634">
        <f>IF(M73="","",P73)</f>
        <v>-1.9369058417080176</v>
      </c>
      <c r="T73" s="635">
        <f>IF(M73="","",X73*COS(RADIANS(W73)))</f>
        <v>-2.0333942210857883</v>
      </c>
      <c r="U73" s="629">
        <f>IF(M73="","",X73*SIN(RADIANS(W73)))</f>
        <v>5.3013253829074376</v>
      </c>
      <c r="V73" s="636">
        <f>IF(M73="","",Y73)</f>
        <v>-1.9369058417080176</v>
      </c>
      <c r="W73" s="585">
        <f t="shared" si="224"/>
        <v>110.98498397575095</v>
      </c>
      <c r="X73" s="629">
        <f>IF(M73="","",R73)</f>
        <v>5.6779171245980482</v>
      </c>
      <c r="Y73" s="630">
        <f t="shared" si="223"/>
        <v>-1.9369058417080176</v>
      </c>
      <c r="Z73" s="632">
        <f t="shared" ref="Z73:Z104" si="468">IF(M73="","",-E73)</f>
        <v>0.12209479527387478</v>
      </c>
      <c r="AA73" s="629">
        <f t="shared" ref="AA73:AA104" si="469">IF(M73="","",-F73)</f>
        <v>0.98976699705528481</v>
      </c>
      <c r="AB73" s="629">
        <f t="shared" ref="AB73:AB104" si="470">IF(M73="","",-G73)</f>
        <v>-7.3852234273545328E-2</v>
      </c>
      <c r="AC73" s="636">
        <f>IF(M73="","",SQRT(Z73^2+AA73^2+AB73^2))</f>
        <v>1</v>
      </c>
      <c r="AD73" s="637">
        <f>IF(M73="","",Z73*(1/SQRT(Z73^2+AA73^2+AB73^2)))</f>
        <v>0.12209479527387478</v>
      </c>
      <c r="AE73" s="629">
        <f>IF(M73="","",AA73*(1/SQRT(Z73^2+AA73^2+AB73^2)))</f>
        <v>0.98976699705528481</v>
      </c>
      <c r="AF73" s="633">
        <f>IF(M73="","",AB73*(1/SQRT(Z73^2+AA73^2+AB73^2)))</f>
        <v>-7.3852234273545328E-2</v>
      </c>
      <c r="AG73" s="602">
        <f>IF(M73="","",DEGREES(ATAN2(-AF73,AE73)))</f>
        <v>85.732738473067556</v>
      </c>
      <c r="AH73" s="603">
        <f>IF(M73="","",DEGREES(ACOS(AD73)))</f>
        <v>82.98698537011181</v>
      </c>
      <c r="AI73" s="585">
        <f>IF(M73="","",DEGREES(-ACOS(-AF73)))</f>
        <v>-85.764722727552751</v>
      </c>
      <c r="AJ73" s="586">
        <f>IF(M73="","",DEGREES(ATAN2(-AE73,AD73)))</f>
        <v>172.96768487395425</v>
      </c>
      <c r="AK73" s="635">
        <f>IF(M73="","",(COS(RADIANS((90-$Q$8)-W73))*AD73)+(-SIN(RADIANS((90-$Q$8)-W73))*AE73))</f>
        <v>0.88039503638802752</v>
      </c>
      <c r="AL73" s="629">
        <f>IF(M73="","",(SIN(RADIANS((90-$Q$8)-W73))*AD73)+(COS(RADIANS((90-$Q$8)-W73))*AE73))</f>
        <v>-0.46845536329102822</v>
      </c>
      <c r="AM73" s="634">
        <f>IF(M73="","",AF73)</f>
        <v>-7.3852234273545328E-2</v>
      </c>
      <c r="AN73" s="581">
        <f>IF(M73="","",DEGREES(ATAN2(-AM73,AL73)))</f>
        <v>-81.041025815708551</v>
      </c>
      <c r="AO73" s="582">
        <f t="shared" si="461"/>
        <v>28.309946805990172</v>
      </c>
      <c r="AP73" s="585">
        <f>IF(M73="","",DEGREES(ATAN2(AK73,AL73)))</f>
        <v>-28.017299101796695</v>
      </c>
      <c r="AQ73" s="586">
        <f t="shared" ref="AQ73:AQ104" si="471">IF(M73="","",DEGREES(ATAN(($AS$5*SIN(RADIANS(90)))/(($X73*2*PI())-($AS$5*COS(RADIANS(90)))))))</f>
        <v>0.40150098465432404</v>
      </c>
      <c r="AS73" s="52">
        <f t="shared" si="406"/>
        <v>-249.01501602424906</v>
      </c>
      <c r="AT73" s="72">
        <f t="shared" ref="AT73:AT104" si="472">IF(M73="","",Y73+(((AS73-$AS$9)*$AS$6)*-1))</f>
        <v>-1.7639787472467336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5.1420000000000003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-5.4637150663339034</v>
      </c>
      <c r="C74" s="708">
        <v>-2.0700147178429931</v>
      </c>
      <c r="D74" s="709">
        <v>-2.7082000000032251</v>
      </c>
      <c r="E74" s="710">
        <v>-0.19605926900464193</v>
      </c>
      <c r="F74" s="708">
        <v>-0.98059184590854831</v>
      </c>
      <c r="G74" s="711">
        <v>6.2831125354086137E-4</v>
      </c>
      <c r="H74" s="710">
        <v>0.314</v>
      </c>
      <c r="I74" s="708">
        <v>0.52</v>
      </c>
      <c r="J74" s="570">
        <v>5.1479999999999997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5.1479999999999997</v>
      </c>
      <c r="N74" s="632">
        <f t="shared" si="465"/>
        <v>-5.4637150663339034</v>
      </c>
      <c r="O74" s="629">
        <f t="shared" si="466"/>
        <v>-2.0700147178429931</v>
      </c>
      <c r="P74" s="633">
        <f t="shared" si="467"/>
        <v>-2.7082000000032251</v>
      </c>
      <c r="Q74" s="585">
        <f t="shared" ref="Q74:Q129" si="520">IF(M74="","",IF(DEGREES(ATAN2(N74,O74))&lt;0,DEGREES(ATAN2(N74,O74))+360,IF(DEGREES(ATAN2(N74,O74))&gt;360,DEGREES(ATAN2(N74,O74))-360,DEGREES(ATAN2(N74,O74)))))</f>
        <v>200.74998396702773</v>
      </c>
      <c r="R74" s="629">
        <f>IF(M74="","",SQRT(N74^2+O74^2))</f>
        <v>5.8426999972761475</v>
      </c>
      <c r="S74" s="634">
        <f>IF(M74="","",P74)</f>
        <v>-2.7082000000032251</v>
      </c>
      <c r="T74" s="635">
        <f>IF(M74="","",X74*COS(RADIANS(W74)))</f>
        <v>-2.0700147178429935</v>
      </c>
      <c r="U74" s="629">
        <f>IF(M74="","",X74*SIN(RADIANS(W74)))</f>
        <v>5.4637150663339025</v>
      </c>
      <c r="V74" s="636">
        <f>IF(M74="","",Y74)</f>
        <v>-2.7082000000032251</v>
      </c>
      <c r="W74" s="585">
        <f t="shared" si="224"/>
        <v>110.74998396702775</v>
      </c>
      <c r="X74" s="629">
        <f>IF(M74="","",R74)</f>
        <v>5.8426999972761475</v>
      </c>
      <c r="Y74" s="630">
        <f t="shared" si="223"/>
        <v>-2.7082000000032251</v>
      </c>
      <c r="Z74" s="632">
        <f t="shared" si="468"/>
        <v>0.19605926900464193</v>
      </c>
      <c r="AA74" s="629">
        <f t="shared" si="469"/>
        <v>0.98059184590854831</v>
      </c>
      <c r="AB74" s="629">
        <f t="shared" si="470"/>
        <v>-6.2831125354086137E-4</v>
      </c>
      <c r="AC74" s="636">
        <f>IF(M74="","",SQRT(Z74^2+AA74^2+AB74^2))</f>
        <v>1</v>
      </c>
      <c r="AD74" s="637">
        <f>IF(M74="","",Z74*(1/SQRT(Z74^2+AA74^2+AB74^2)))</f>
        <v>0.19605926900464193</v>
      </c>
      <c r="AE74" s="629">
        <f>IF(M74="","",AA74*(1/SQRT(Z74^2+AA74^2+AB74^2)))</f>
        <v>0.98059184590854831</v>
      </c>
      <c r="AF74" s="633">
        <f>IF(M74="","",AB74*(1/SQRT(Z74^2+AA74^2+AB74^2)))</f>
        <v>-6.2831125354086137E-4</v>
      </c>
      <c r="AG74" s="602">
        <f>IF(M74="","",DEGREES(ATAN2(-AF74,AE74)))</f>
        <v>89.963287907938408</v>
      </c>
      <c r="AH74" s="603">
        <f>IF(M74="","",DEGREES(ACOS(AD74)))</f>
        <v>78.693390221028764</v>
      </c>
      <c r="AI74" s="585">
        <f>IF(M74="","",DEGREES(-ACOS(-AF74)))</f>
        <v>-89.964000414582912</v>
      </c>
      <c r="AJ74" s="586">
        <f>IF(M74="","",DEGREES(ATAN2(-AE74,AD74)))</f>
        <v>168.69338795981585</v>
      </c>
      <c r="AK74" s="635">
        <f>IF(M74="","",(COS(RADIANS((90-$Q$8)-W74))*AD74)+(-SIN(RADIANS((90-$Q$8)-W74))*AE74))</f>
        <v>0.84752406803602653</v>
      </c>
      <c r="AL74" s="629">
        <f>IF(M74="","",(SIN(RADIANS((90-$Q$8)-W74))*AD74)+(COS(RADIANS((90-$Q$8)-W74))*AE74))</f>
        <v>-0.53075659140950227</v>
      </c>
      <c r="AM74" s="634">
        <f>IF(M74="","",AF74)</f>
        <v>-6.2831125354086137E-4</v>
      </c>
      <c r="AN74" s="581">
        <f>IF(M74="","",DEGREES(ATAN2(-AM74,AL74)))</f>
        <v>-89.932173115106494</v>
      </c>
      <c r="AO74" s="582">
        <f t="shared" si="461"/>
        <v>32.056614066427805</v>
      </c>
      <c r="AP74" s="585">
        <f>IF(M74="","",DEGREES(ATAN2(AK74,AL74)))</f>
        <v>-32.056596007211866</v>
      </c>
      <c r="AQ74" s="586">
        <f t="shared" si="471"/>
        <v>0.39017772476365331</v>
      </c>
      <c r="AS74" s="52">
        <f t="shared" si="406"/>
        <v>-249.25001603297227</v>
      </c>
      <c r="AT74" s="72">
        <f t="shared" si="472"/>
        <v>-2.5351097110914389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5.1479999999999997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-5.5678791891255983</v>
      </c>
      <c r="C75" s="708">
        <v>-2.0837369136705668</v>
      </c>
      <c r="D75" s="709">
        <v>-3.3682101585218374</v>
      </c>
      <c r="E75" s="710">
        <v>-0.36929870368280665</v>
      </c>
      <c r="F75" s="708">
        <v>-0.92881707420527948</v>
      </c>
      <c r="G75" s="711">
        <v>3.028712800750533E-2</v>
      </c>
      <c r="H75" s="710">
        <v>0.26600000000000001</v>
      </c>
      <c r="I75" s="708">
        <v>0.52</v>
      </c>
      <c r="J75" s="570">
        <v>5.1539999999999999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5.1539999999999999</v>
      </c>
      <c r="N75" s="632">
        <f t="shared" si="465"/>
        <v>-5.5678791891255983</v>
      </c>
      <c r="O75" s="629">
        <f t="shared" si="466"/>
        <v>-2.0837369136705668</v>
      </c>
      <c r="P75" s="633">
        <f t="shared" si="467"/>
        <v>-3.3682101585218374</v>
      </c>
      <c r="Q75" s="585">
        <f t="shared" si="520"/>
        <v>200.51798404317736</v>
      </c>
      <c r="R75" s="629">
        <f>IF(M75="","",SQRT(N75^2+O75^2))</f>
        <v>5.9450179301740773</v>
      </c>
      <c r="S75" s="634">
        <f>IF(M75="","",P75)</f>
        <v>-3.3682101585218374</v>
      </c>
      <c r="T75" s="635">
        <f>IF(M75="","",X75*COS(RADIANS(W75)))</f>
        <v>-2.0837369136705686</v>
      </c>
      <c r="U75" s="629">
        <f>IF(M75="","",X75*SIN(RADIANS(W75)))</f>
        <v>5.5678791891255983</v>
      </c>
      <c r="V75" s="636">
        <f>IF(M75="","",Y75)</f>
        <v>-3.3682101585218374</v>
      </c>
      <c r="W75" s="585">
        <f t="shared" si="224"/>
        <v>110.51798404317738</v>
      </c>
      <c r="X75" s="629">
        <f>IF(M75="","",R75)</f>
        <v>5.9450179301740773</v>
      </c>
      <c r="Y75" s="630">
        <f t="shared" si="223"/>
        <v>-3.3682101585218374</v>
      </c>
      <c r="Z75" s="632">
        <f t="shared" si="468"/>
        <v>0.36929870368280665</v>
      </c>
      <c r="AA75" s="629">
        <f t="shared" si="469"/>
        <v>0.92881707420527948</v>
      </c>
      <c r="AB75" s="629">
        <f t="shared" si="470"/>
        <v>-3.028712800750533E-2</v>
      </c>
      <c r="AC75" s="636">
        <f>IF(M75="","",SQRT(Z75^2+AA75^2+AB75^2))</f>
        <v>1</v>
      </c>
      <c r="AD75" s="637">
        <f>IF(M75="","",Z75*(1/SQRT(Z75^2+AA75^2+AB75^2)))</f>
        <v>0.36929870368280665</v>
      </c>
      <c r="AE75" s="629">
        <f>IF(M75="","",AA75*(1/SQRT(Z75^2+AA75^2+AB75^2)))</f>
        <v>0.92881707420527948</v>
      </c>
      <c r="AF75" s="633">
        <f>IF(M75="","",AB75*(1/SQRT(Z75^2+AA75^2+AB75^2)))</f>
        <v>-3.028712800750533E-2</v>
      </c>
      <c r="AG75" s="602">
        <f>IF(M75="","",DEGREES(ATAN2(-AF75,AE75)))</f>
        <v>88.132344902133241</v>
      </c>
      <c r="AH75" s="603">
        <f>IF(M75="","",DEGREES(ACOS(AD75)))</f>
        <v>68.327626970363653</v>
      </c>
      <c r="AI75" s="585">
        <f>IF(M75="","",DEGREES(-ACOS(-AF75)))</f>
        <v>-88.264409976884139</v>
      </c>
      <c r="AJ75" s="586">
        <f>IF(M75="","",DEGREES(ATAN2(-AE75,AD75)))</f>
        <v>158.31717639261399</v>
      </c>
      <c r="AK75" s="635">
        <f>IF(M75="","",(COS(RADIANS((90-$Q$8)-W75))*AD75)+(-SIN(RADIANS((90-$Q$8)-W75))*AE75))</f>
        <v>0.74045528014221684</v>
      </c>
      <c r="AL75" s="629">
        <f>IF(M75="","",(SIN(RADIANS((90-$Q$8)-W75))*AD75)+(COS(RADIANS((90-$Q$8)-W75))*AE75))</f>
        <v>-0.67142286823325281</v>
      </c>
      <c r="AM75" s="634">
        <f>IF(M75="","",AF75)</f>
        <v>-3.028712800750533E-2</v>
      </c>
      <c r="AN75" s="581">
        <f>IF(M75="","",DEGREES(ATAN2(-AM75,AL75)))</f>
        <v>-87.417202918500323</v>
      </c>
      <c r="AO75" s="582">
        <f t="shared" si="461"/>
        <v>42.229787096064037</v>
      </c>
      <c r="AP75" s="585">
        <f>IF(M75="","",DEGREES(ATAN2(AK75,AL75)))</f>
        <v>-42.200807650563384</v>
      </c>
      <c r="AQ75" s="586">
        <f t="shared" si="471"/>
        <v>0.38346269443547892</v>
      </c>
      <c r="AS75" s="52">
        <f t="shared" ref="AS75:AS106" si="543">IF(G75="","",IF(AND(W75&lt;(AS74+180),W75&gt;(AS74-180)),W75,IF(W75&gt;(AS74+180),W75-360,IF(W75&lt;(AS74-180),W75+360,"Error"))))</f>
        <v>-249.48201595682264</v>
      </c>
      <c r="AT75" s="72">
        <f t="shared" si="472"/>
        <v>-3.1949587585518215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5.1539999999999999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1313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-1.8660379079057356</v>
      </c>
      <c r="C76" s="708">
        <v>0.14686091246673127</v>
      </c>
      <c r="D76" s="709">
        <v>-0.3954505240492322</v>
      </c>
      <c r="E76" s="710">
        <v>0.25802113228537987</v>
      </c>
      <c r="F76" s="708">
        <v>-2.0307006239860006E-2</v>
      </c>
      <c r="G76" s="711">
        <v>0.96592583607218263</v>
      </c>
      <c r="H76" s="710">
        <v>0.26250000000000001</v>
      </c>
      <c r="I76" s="708">
        <v>0.40699999999999997</v>
      </c>
      <c r="J76" s="570">
        <v>5.2080000000000002</v>
      </c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Inactive</v>
      </c>
      <c r="L76" s="320"/>
      <c r="M76" s="168">
        <f t="shared" si="464"/>
        <v>5.2080000000000002</v>
      </c>
      <c r="N76" s="632">
        <f t="shared" si="465"/>
        <v>-1.8660379079057356</v>
      </c>
      <c r="O76" s="629">
        <f t="shared" si="466"/>
        <v>0.14686091246673127</v>
      </c>
      <c r="P76" s="633">
        <f t="shared" si="467"/>
        <v>-0.3954505240492322</v>
      </c>
      <c r="Q76" s="585">
        <f t="shared" si="520"/>
        <v>175.49998339605673</v>
      </c>
      <c r="R76" s="629">
        <f t="shared" si="79"/>
        <v>1.8718081101843147</v>
      </c>
      <c r="S76" s="634">
        <f t="shared" si="80"/>
        <v>-0.3954505240492322</v>
      </c>
      <c r="T76" s="635">
        <f t="shared" si="81"/>
        <v>0.14686091246673039</v>
      </c>
      <c r="U76" s="629">
        <f t="shared" si="82"/>
        <v>1.8660379079057359</v>
      </c>
      <c r="V76" s="636">
        <f t="shared" si="114"/>
        <v>-0.3954505240492322</v>
      </c>
      <c r="W76" s="585">
        <f t="shared" si="224"/>
        <v>85.499983396056749</v>
      </c>
      <c r="X76" s="629">
        <f t="shared" si="83"/>
        <v>1.8718081101843147</v>
      </c>
      <c r="Y76" s="630">
        <f t="shared" ref="Y76:Y129" si="644">IF(M76="","",S76)</f>
        <v>-0.3954505240492322</v>
      </c>
      <c r="Z76" s="632">
        <f t="shared" si="468"/>
        <v>-0.25802113228537987</v>
      </c>
      <c r="AA76" s="629">
        <f t="shared" si="469"/>
        <v>2.0307006239860006E-2</v>
      </c>
      <c r="AB76" s="629">
        <f t="shared" si="470"/>
        <v>-0.96592583607218263</v>
      </c>
      <c r="AC76" s="636">
        <f t="shared" si="84"/>
        <v>1</v>
      </c>
      <c r="AD76" s="637">
        <f t="shared" si="115"/>
        <v>-0.25802113228537987</v>
      </c>
      <c r="AE76" s="629">
        <f t="shared" si="85"/>
        <v>2.0307006239860006E-2</v>
      </c>
      <c r="AF76" s="633">
        <f t="shared" si="86"/>
        <v>-0.96592583607218263</v>
      </c>
      <c r="AG76" s="602">
        <f t="shared" si="87"/>
        <v>1.2043723627886163</v>
      </c>
      <c r="AH76" s="603">
        <f t="shared" si="88"/>
        <v>104.95267547221506</v>
      </c>
      <c r="AI76" s="585">
        <f t="shared" si="89"/>
        <v>-14.999997834273739</v>
      </c>
      <c r="AJ76" s="586">
        <f t="shared" si="90"/>
        <v>-94.500066810419483</v>
      </c>
      <c r="AK76" s="635">
        <f t="shared" si="211"/>
        <v>2.2679489677934761E-7</v>
      </c>
      <c r="AL76" s="629">
        <f t="shared" si="91"/>
        <v>0.25881900859133933</v>
      </c>
      <c r="AM76" s="634">
        <f t="shared" si="92"/>
        <v>-0.96592583607218263</v>
      </c>
      <c r="AN76" s="581">
        <f t="shared" si="93"/>
        <v>14.999997834268267</v>
      </c>
      <c r="AO76" s="582">
        <f t="shared" si="461"/>
        <v>0</v>
      </c>
      <c r="AP76" s="585">
        <f t="shared" si="95"/>
        <v>89.999949793523783</v>
      </c>
      <c r="AQ76" s="586">
        <f t="shared" si="471"/>
        <v>1.2177441400863247</v>
      </c>
      <c r="AS76" s="52">
        <f t="shared" si="543"/>
        <v>-274.50001660394327</v>
      </c>
      <c r="AT76" s="72">
        <f t="shared" si="472"/>
        <v>-0.20482551251871603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5.2080000000000002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5.1079999999999997</v>
      </c>
      <c r="II76" s="734" cm="1">
        <f t="array" ref="II76">IFERROR(ROUND(VALUE(IF($IH76&lt;1,$IH76+LARGE((IF($M$9:$M$150="",0,$M$9:$M$150)-MOD(IF($M$9:$M$150="",0,$M$9:$M$150),1)),1),$IH76)),4),"")</f>
        <v>5.1079999999999997</v>
      </c>
      <c r="IJ76" s="533">
        <f t="shared" si="542"/>
        <v>1613</v>
      </c>
      <c r="IK76" s="533" t="str">
        <f t="shared" si="517"/>
        <v>Inactive</v>
      </c>
      <c r="IL76" s="727">
        <f t="shared" si="225"/>
        <v>29.5</v>
      </c>
      <c r="IM76" s="759">
        <v>2.2204174749782798E-2</v>
      </c>
      <c r="IN76" s="5">
        <f t="shared" si="226"/>
        <v>0.28000000000000003</v>
      </c>
      <c r="IO76" s="771">
        <v>140</v>
      </c>
      <c r="IP76" s="9">
        <f t="shared" si="227"/>
        <v>-1.8810056731131102</v>
      </c>
      <c r="IQ76" s="5">
        <f t="shared" si="228"/>
        <v>-0.40790123023011027</v>
      </c>
      <c r="IR76" s="5">
        <f t="shared" si="518"/>
        <v>0.314</v>
      </c>
      <c r="IS76" s="5">
        <f t="shared" si="229"/>
        <v>0.29946712669884279</v>
      </c>
      <c r="IT76" s="727">
        <f t="shared" si="230"/>
        <v>-14.99999783426817</v>
      </c>
      <c r="IU76" s="9">
        <f t="shared" si="231"/>
        <v>-1.8718081101843147</v>
      </c>
      <c r="IV76" s="5">
        <f t="shared" si="232"/>
        <v>-0.3954505240492322</v>
      </c>
      <c r="IW76" s="5">
        <f t="shared" si="519"/>
        <v>0.26250000000000001</v>
      </c>
      <c r="IX76" s="5">
        <f t="shared" si="233"/>
        <v>0.26250000000000001</v>
      </c>
      <c r="IY76" s="762">
        <f t="shared" si="234"/>
        <v>-14.999997834268267</v>
      </c>
    </row>
    <row r="77" spans="1:259" ht="15" customHeight="1" x14ac:dyDescent="0.25">
      <c r="A77" s="79"/>
      <c r="B77" s="707">
        <v>-2.5792991696070966</v>
      </c>
      <c r="C77" s="708">
        <v>-9.0070363376530918E-2</v>
      </c>
      <c r="D77" s="709">
        <v>-0.19735418478630015</v>
      </c>
      <c r="E77" s="710">
        <v>0.13044666969902807</v>
      </c>
      <c r="F77" s="708">
        <v>4.5550333016973572E-3</v>
      </c>
      <c r="G77" s="711">
        <v>0.99144486384067432</v>
      </c>
      <c r="H77" s="710">
        <v>0.26250000000000001</v>
      </c>
      <c r="I77" s="708">
        <v>0.40699999999999997</v>
      </c>
      <c r="J77" s="570">
        <v>5.2119999999999997</v>
      </c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Inactive</v>
      </c>
      <c r="L77" s="320"/>
      <c r="M77" s="168">
        <f t="shared" si="464"/>
        <v>5.2119999999999997</v>
      </c>
      <c r="N77" s="632">
        <f t="shared" si="465"/>
        <v>-2.5792991696070966</v>
      </c>
      <c r="O77" s="629">
        <f t="shared" si="466"/>
        <v>-9.0070363376530918E-2</v>
      </c>
      <c r="P77" s="633">
        <f t="shared" si="467"/>
        <v>-0.19735418478630015</v>
      </c>
      <c r="Q77" s="585">
        <f t="shared" si="520"/>
        <v>181.99998339605673</v>
      </c>
      <c r="R77" s="629">
        <f t="shared" si="79"/>
        <v>2.5808713405930641</v>
      </c>
      <c r="S77" s="634">
        <f t="shared" si="80"/>
        <v>-0.19735418478630015</v>
      </c>
      <c r="T77" s="635">
        <f t="shared" si="81"/>
        <v>-9.007036337653207E-2</v>
      </c>
      <c r="U77" s="629">
        <f t="shared" si="82"/>
        <v>2.5792991696070966</v>
      </c>
      <c r="V77" s="636">
        <f t="shared" si="114"/>
        <v>-0.19735418478630015</v>
      </c>
      <c r="W77" s="585">
        <f t="shared" si="224"/>
        <v>91.999983396056749</v>
      </c>
      <c r="X77" s="629">
        <f t="shared" si="83"/>
        <v>2.5808713405930641</v>
      </c>
      <c r="Y77" s="630">
        <f t="shared" si="644"/>
        <v>-0.19735418478630015</v>
      </c>
      <c r="Z77" s="632">
        <f t="shared" si="468"/>
        <v>-0.13044666969902807</v>
      </c>
      <c r="AA77" s="629">
        <f t="shared" si="469"/>
        <v>-4.5550333016973572E-3</v>
      </c>
      <c r="AB77" s="629">
        <f t="shared" si="470"/>
        <v>-0.99144486384067432</v>
      </c>
      <c r="AC77" s="636">
        <f t="shared" si="84"/>
        <v>1</v>
      </c>
      <c r="AD77" s="637">
        <f t="shared" si="115"/>
        <v>-0.13044666969902807</v>
      </c>
      <c r="AE77" s="629">
        <f t="shared" si="85"/>
        <v>-4.5550333016973572E-3</v>
      </c>
      <c r="AF77" s="633">
        <f t="shared" si="86"/>
        <v>-0.99144486384067432</v>
      </c>
      <c r="AG77" s="602">
        <f t="shared" si="87"/>
        <v>-0.26323435320550459</v>
      </c>
      <c r="AH77" s="603">
        <f t="shared" si="88"/>
        <v>97.495404403253289</v>
      </c>
      <c r="AI77" s="585">
        <f t="shared" si="89"/>
        <v>-7.4999989171453043</v>
      </c>
      <c r="AJ77" s="586">
        <f t="shared" si="90"/>
        <v>-88.000116157849206</v>
      </c>
      <c r="AK77" s="635">
        <f t="shared" si="211"/>
        <v>2.267948967342448E-7</v>
      </c>
      <c r="AL77" s="629">
        <f t="shared" si="91"/>
        <v>0.13052617348216206</v>
      </c>
      <c r="AM77" s="634">
        <f t="shared" si="92"/>
        <v>-0.99144486384067432</v>
      </c>
      <c r="AN77" s="581">
        <f t="shared" si="93"/>
        <v>7.499998917134139</v>
      </c>
      <c r="AO77" s="582">
        <f t="shared" si="461"/>
        <v>0</v>
      </c>
      <c r="AP77" s="585">
        <f t="shared" si="95"/>
        <v>89.99990044609406</v>
      </c>
      <c r="AQ77" s="586">
        <f t="shared" si="471"/>
        <v>0.88324668061398115</v>
      </c>
      <c r="AS77" s="52">
        <f t="shared" si="543"/>
        <v>-268.00001660394327</v>
      </c>
      <c r="AT77" s="72">
        <f t="shared" si="472"/>
        <v>-1.1243062144672883E-2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Nose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5.2119999999999997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5.1120000000000001</v>
      </c>
      <c r="II77" s="734" cm="1">
        <f t="array" ref="II77">IFERROR(ROUND(VALUE(IF($IH77&lt;1,$IH77+LARGE((IF($M$9:$M$150="",0,$M$9:$M$150)-MOD(IF($M$9:$M$150="",0,$M$9:$M$150),1)),1),$IH77)),4),"")</f>
        <v>5.1120000000000001</v>
      </c>
      <c r="IJ77" s="533">
        <f t="shared" si="542"/>
        <v>1613</v>
      </c>
      <c r="IK77" s="533" t="str">
        <f t="shared" si="517"/>
        <v>Inactive</v>
      </c>
      <c r="IL77" s="727">
        <f t="shared" si="225"/>
        <v>22.960000005775299</v>
      </c>
      <c r="IM77" s="759">
        <v>1.8676147711820301E-2</v>
      </c>
      <c r="IN77" s="5">
        <f t="shared" si="226"/>
        <v>0.28000000000000003</v>
      </c>
      <c r="IO77" s="771">
        <v>140</v>
      </c>
      <c r="IP77" s="9">
        <f t="shared" si="227"/>
        <v>-2.5860077993995225</v>
      </c>
      <c r="IQ77" s="5">
        <f t="shared" si="228"/>
        <v>-0.21900066050599204</v>
      </c>
      <c r="IR77" s="5">
        <f t="shared" si="518"/>
        <v>0.314</v>
      </c>
      <c r="IS77" s="5">
        <f t="shared" si="229"/>
        <v>0.30326152860012751</v>
      </c>
      <c r="IT77" s="727">
        <f t="shared" si="230"/>
        <v>-3.9457876245396131</v>
      </c>
      <c r="IU77" s="9">
        <f t="shared" si="231"/>
        <v>-2.5808713405930641</v>
      </c>
      <c r="IV77" s="5">
        <f t="shared" si="232"/>
        <v>-0.19735418478630015</v>
      </c>
      <c r="IW77" s="5">
        <f t="shared" si="519"/>
        <v>0.26250000000000001</v>
      </c>
      <c r="IX77" s="5">
        <f t="shared" si="233"/>
        <v>0.26250000000000001</v>
      </c>
      <c r="IY77" s="762">
        <f t="shared" si="234"/>
        <v>-7.499998917134139</v>
      </c>
    </row>
    <row r="78" spans="1:259" ht="15" customHeight="1" x14ac:dyDescent="0.25">
      <c r="A78" s="79"/>
      <c r="B78" s="707">
        <v>-3.3628914536728343</v>
      </c>
      <c r="C78" s="708">
        <v>-0.24300117388549938</v>
      </c>
      <c r="D78" s="709">
        <v>-6.1511228438018734E-2</v>
      </c>
      <c r="E78" s="710">
        <v>-1.3925852705119653E-2</v>
      </c>
      <c r="F78" s="708">
        <v>-1.0065038603003381E-3</v>
      </c>
      <c r="G78" s="711">
        <v>0.99990252403742563</v>
      </c>
      <c r="H78" s="710">
        <v>0.26250000000000001</v>
      </c>
      <c r="I78" s="708">
        <v>0.40699999999999997</v>
      </c>
      <c r="J78" s="570">
        <v>5.218</v>
      </c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Inactive</v>
      </c>
      <c r="L78" s="320"/>
      <c r="M78" s="168">
        <f t="shared" si="464"/>
        <v>5.218</v>
      </c>
      <c r="N78" s="632">
        <f t="shared" si="465"/>
        <v>-3.3628914536728343</v>
      </c>
      <c r="O78" s="629">
        <f t="shared" si="466"/>
        <v>-0.24300117388549938</v>
      </c>
      <c r="P78" s="633">
        <f t="shared" si="467"/>
        <v>-6.1511228438018734E-2</v>
      </c>
      <c r="Q78" s="585">
        <f t="shared" si="520"/>
        <v>184.13298640887831</v>
      </c>
      <c r="R78" s="629">
        <f>IF(M78="","",SQRT(N78^2+O78^2))</f>
        <v>3.3716596061428739</v>
      </c>
      <c r="S78" s="634">
        <f>IF(M78="","",P78)</f>
        <v>-6.1511228438018734E-2</v>
      </c>
      <c r="T78" s="635">
        <f>IF(M78="","",X78*COS(RADIANS(W78)))</f>
        <v>-0.24300117388549969</v>
      </c>
      <c r="U78" s="629">
        <f>IF(M78="","",X78*SIN(RADIANS(W78)))</f>
        <v>3.3628914536728343</v>
      </c>
      <c r="V78" s="636">
        <f>IF(M78="","",Y78)</f>
        <v>-6.1511228438018734E-2</v>
      </c>
      <c r="W78" s="585">
        <f t="shared" si="224"/>
        <v>94.132986408878324</v>
      </c>
      <c r="X78" s="629">
        <f>IF(M78="","",R78)</f>
        <v>3.3716596061428739</v>
      </c>
      <c r="Y78" s="630">
        <f t="shared" si="644"/>
        <v>-6.1511228438018734E-2</v>
      </c>
      <c r="Z78" s="632">
        <f t="shared" si="468"/>
        <v>1.3925852705119653E-2</v>
      </c>
      <c r="AA78" s="629">
        <f t="shared" si="469"/>
        <v>1.0065038603003381E-3</v>
      </c>
      <c r="AB78" s="629">
        <f t="shared" si="470"/>
        <v>-0.99990252403742563</v>
      </c>
      <c r="AC78" s="636">
        <f>IF(M78="","",SQRT(Z78^2+AA78^2+AB78^2))</f>
        <v>1</v>
      </c>
      <c r="AD78" s="637">
        <f>IF(M78="","",Z78*(1/SQRT(Z78^2+AA78^2+AB78^2)))</f>
        <v>1.3925852705119653E-2</v>
      </c>
      <c r="AE78" s="629">
        <f>IF(M78="","",AA78*(1/SQRT(Z78^2+AA78^2+AB78^2)))</f>
        <v>1.0065038603003381E-3</v>
      </c>
      <c r="AF78" s="633">
        <f>IF(M78="","",AB78*(1/SQRT(Z78^2+AA78^2+AB78^2)))</f>
        <v>-0.99990252403742563</v>
      </c>
      <c r="AG78" s="602">
        <f>IF(M78="","",DEGREES(ATAN2(-AF78,AE78)))</f>
        <v>5.7674025612545574E-2</v>
      </c>
      <c r="AH78" s="603">
        <f>IF(M78="","",DEGREES(ACOS(AD78)))</f>
        <v>89.20208162249007</v>
      </c>
      <c r="AI78" s="585">
        <f>IF(M78="","",DEGREES(-ACOS(-AF78)))</f>
        <v>-0.79999988459975746</v>
      </c>
      <c r="AJ78" s="586">
        <f>IF(M78="","",DEGREES(ATAN2(-AE78,AD78)))</f>
        <v>94.133917093911407</v>
      </c>
      <c r="AK78" s="635">
        <f>IF(M78="","",(COS(RADIANS((90-$Q$8)-W78))*AD78)+(-SIN(RADIANS((90-$Q$8)-W78))*AE78))</f>
        <v>2.2679489670410398E-7</v>
      </c>
      <c r="AL78" s="629">
        <f>IF(M78="","",(SIN(RADIANS((90-$Q$8)-W78))*AD78)+(COS(RADIANS((90-$Q$8)-W78))*AE78))</f>
        <v>-1.3962178323386788E-2</v>
      </c>
      <c r="AM78" s="634">
        <f>IF(M78="","",AF78)</f>
        <v>-0.99990252403742563</v>
      </c>
      <c r="AN78" s="581">
        <f>IF(M78="","",DEGREES(ATAN2(-AM78,AL78)))</f>
        <v>-0.79999988449430803</v>
      </c>
      <c r="AO78" s="582">
        <f t="shared" si="461"/>
        <v>0</v>
      </c>
      <c r="AP78" s="585">
        <f>IF(M78="","",DEGREES(ATAN2(AK78,AL78)))</f>
        <v>-89.999069314966903</v>
      </c>
      <c r="AQ78" s="586">
        <f t="shared" si="471"/>
        <v>0.67611238399052997</v>
      </c>
      <c r="AS78" s="52">
        <f t="shared" si="543"/>
        <v>-265.86701359112169</v>
      </c>
      <c r="AT78" s="72">
        <f t="shared" si="472"/>
        <v>0.12311864211137133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Nose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5.218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5.1180000000000003</v>
      </c>
      <c r="II78" s="734" cm="1">
        <f t="array" ref="II78">IFERROR(ROUND(VALUE(IF($IH78&lt;1,$IH78+LARGE((IF($M$9:$M$150="",0,$M$9:$M$150)-MOD(IF($M$9:$M$150="",0,$M$9:$M$150),1)),1),$IH78)),4),"")</f>
        <v>5.1180000000000003</v>
      </c>
      <c r="IJ78" s="533">
        <f t="shared" si="542"/>
        <v>1613</v>
      </c>
      <c r="IK78" s="533" t="str">
        <f t="shared" si="517"/>
        <v>Inactive</v>
      </c>
      <c r="IL78" s="727">
        <f t="shared" si="225"/>
        <v>20.244997076984077</v>
      </c>
      <c r="IM78" s="759">
        <v>1.51369399401065E-2</v>
      </c>
      <c r="IN78" s="5">
        <f t="shared" si="226"/>
        <v>0.26</v>
      </c>
      <c r="IO78" s="771">
        <v>130</v>
      </c>
      <c r="IP78" s="9">
        <f t="shared" si="227"/>
        <v>-3.3711101672682648</v>
      </c>
      <c r="IQ78" s="5">
        <f t="shared" si="228"/>
        <v>-8.6800261789589772E-2</v>
      </c>
      <c r="IR78" s="5">
        <f t="shared" si="518"/>
        <v>0.314</v>
      </c>
      <c r="IS78" s="5">
        <f t="shared" si="229"/>
        <v>0.30250200976939634</v>
      </c>
      <c r="IT78" s="727">
        <f t="shared" si="230"/>
        <v>16.492870286716517</v>
      </c>
      <c r="IU78" s="9">
        <f t="shared" si="231"/>
        <v>-3.3716596061428739</v>
      </c>
      <c r="IV78" s="5">
        <f t="shared" si="232"/>
        <v>-6.1511228438018734E-2</v>
      </c>
      <c r="IW78" s="5">
        <f t="shared" si="519"/>
        <v>0.26250000000000001</v>
      </c>
      <c r="IX78" s="5">
        <f t="shared" si="233"/>
        <v>0.26250000000000001</v>
      </c>
      <c r="IY78" s="762">
        <f t="shared" si="234"/>
        <v>0.79999988449430803</v>
      </c>
    </row>
    <row r="79" spans="1:259" ht="15" customHeight="1" x14ac:dyDescent="0.25">
      <c r="A79" s="79"/>
      <c r="B79" s="707">
        <v>-4.0837014664486606</v>
      </c>
      <c r="C79" s="708">
        <v>-0.7698508205469351</v>
      </c>
      <c r="D79" s="709">
        <v>-0.22250851524842216</v>
      </c>
      <c r="E79" s="710">
        <v>-5.5686873637300995E-2</v>
      </c>
      <c r="F79" s="708">
        <v>-0.9527526839101006</v>
      </c>
      <c r="G79" s="711">
        <v>0.29859888714897015</v>
      </c>
      <c r="H79" s="710">
        <v>0.26600000000000001</v>
      </c>
      <c r="I79" s="708">
        <v>0.52</v>
      </c>
      <c r="J79" s="570">
        <v>5.2240000000000002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1313</v>
      </c>
      <c r="L79" s="320"/>
      <c r="M79" s="168">
        <f>IF(J79="","",VALUE(J79))</f>
        <v>5.2240000000000002</v>
      </c>
      <c r="N79" s="632">
        <f t="shared" si="465"/>
        <v>-4.0837014664486606</v>
      </c>
      <c r="O79" s="629">
        <f t="shared" si="466"/>
        <v>-0.7698508205469351</v>
      </c>
      <c r="P79" s="633">
        <f t="shared" si="467"/>
        <v>-0.22250851524842216</v>
      </c>
      <c r="Q79" s="585">
        <f t="shared" si="520"/>
        <v>190.67598546418614</v>
      </c>
      <c r="R79" s="629">
        <f>IF(M79="","",SQRT(N79^2+O79^2))</f>
        <v>4.1556332794138289</v>
      </c>
      <c r="S79" s="634">
        <f>IF(M79="","",P79)</f>
        <v>-0.22250851524842216</v>
      </c>
      <c r="T79" s="635">
        <f>IF(M79="","",X79*COS(RADIANS(W79)))</f>
        <v>-0.76985082054693577</v>
      </c>
      <c r="U79" s="629">
        <f>IF(M79="","",X79*SIN(RADIANS(W79)))</f>
        <v>4.0837014664486606</v>
      </c>
      <c r="V79" s="636">
        <f>IF(M79="","",Y79)</f>
        <v>-0.22250851524842216</v>
      </c>
      <c r="W79" s="585">
        <f t="shared" ref="W79:W129" si="645">IF(M79="","",IF(Q79-$Q$8&lt;0,360+Q79-$Q$8,Q79-$Q$8))</f>
        <v>100.67598546418616</v>
      </c>
      <c r="X79" s="629">
        <f>IF(M79="","",R79)</f>
        <v>4.1556332794138289</v>
      </c>
      <c r="Y79" s="630">
        <f t="shared" si="644"/>
        <v>-0.22250851524842216</v>
      </c>
      <c r="Z79" s="632">
        <f t="shared" si="468"/>
        <v>5.5686873637300995E-2</v>
      </c>
      <c r="AA79" s="629">
        <f t="shared" si="469"/>
        <v>0.9527526839101006</v>
      </c>
      <c r="AB79" s="629">
        <f t="shared" si="470"/>
        <v>-0.29859888714897015</v>
      </c>
      <c r="AC79" s="636">
        <f>IF(M79="","",SQRT(Z79^2+AA79^2+AB79^2))</f>
        <v>1</v>
      </c>
      <c r="AD79" s="637">
        <f>IF(M79="","",Z79*(1/SQRT(Z79^2+AA79^2+AB79^2)))</f>
        <v>5.5686873637300995E-2</v>
      </c>
      <c r="AE79" s="629">
        <f>IF(M79="","",AA79*(1/SQRT(Z79^2+AA79^2+AB79^2)))</f>
        <v>0.9527526839101006</v>
      </c>
      <c r="AF79" s="633">
        <f>IF(M79="","",AB79*(1/SQRT(Z79^2+AA79^2+AB79^2)))</f>
        <v>-0.29859888714897015</v>
      </c>
      <c r="AG79" s="602">
        <f>IF(M79="","",DEGREES(ATAN2(-AF79,AE79)))</f>
        <v>72.598669662128017</v>
      </c>
      <c r="AH79" s="603">
        <f>IF(M79="","",DEGREES(ACOS(AD79)))</f>
        <v>86.807725825812497</v>
      </c>
      <c r="AI79" s="585">
        <f>IF(M79="","",DEGREES(-ACOS(-AF79)))</f>
        <v>-72.626531535881554</v>
      </c>
      <c r="AJ79" s="586">
        <f>IF(M79="","",DEGREES(ATAN2(-AE79,AD79)))</f>
        <v>176.6549588039509</v>
      </c>
      <c r="AK79" s="635">
        <f>IF(M79="","",(COS(RADIANS((90-$Q$8)-W79))*AD79)+(-SIN(RADIANS((90-$Q$8)-W79))*AE79))</f>
        <v>0.92594478106257927</v>
      </c>
      <c r="AL79" s="629">
        <f>IF(M79="","",(SIN(RADIANS((90-$Q$8)-W79))*AD79)+(COS(RADIANS((90-$Q$8)-W79))*AE79))</f>
        <v>-0.23122492732482164</v>
      </c>
      <c r="AM79" s="634">
        <f>IF(M79="","",AF79)</f>
        <v>-0.29859888714897015</v>
      </c>
      <c r="AN79" s="581">
        <f>IF(M79="","",DEGREES(ATAN2(-AM79,AL79)))</f>
        <v>-37.752994923496757</v>
      </c>
      <c r="AO79" s="582">
        <f t="shared" si="461"/>
        <v>22.188746171421069</v>
      </c>
      <c r="AP79" s="585">
        <f>IF(M79="","",DEGREES(ATAN2(AK79,AL79)))</f>
        <v>-14.02102666023522</v>
      </c>
      <c r="AQ79" s="586">
        <f t="shared" si="471"/>
        <v>0.54857029450695838</v>
      </c>
      <c r="AS79" s="52">
        <f t="shared" si="543"/>
        <v>-259.32401453581383</v>
      </c>
      <c r="AT79" s="72">
        <f t="shared" si="472"/>
        <v>-4.2422394042995887E-2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Nose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5.2240000000000002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5.1239999999999997</v>
      </c>
      <c r="II79" s="734" cm="1">
        <f t="array" ref="II79">IFERROR(ROUND(VALUE(IF($IH79&lt;1,$IH79+LARGE((IF($M$9:$M$150="",0,$M$9:$M$150)-MOD(IF($M$9:$M$150="",0,$M$9:$M$150),1)),1),$IH79)),4),"")</f>
        <v>5.1239999999999997</v>
      </c>
      <c r="IJ79" s="533">
        <f t="shared" si="542"/>
        <v>1613</v>
      </c>
      <c r="IK79" s="533">
        <f t="shared" si="517"/>
        <v>1313</v>
      </c>
      <c r="IL79" s="727">
        <f t="shared" si="225"/>
        <v>12.748998159272418</v>
      </c>
      <c r="IM79" s="759">
        <v>8.3445727582920504E-3</v>
      </c>
      <c r="IN79" s="5">
        <f t="shared" si="226"/>
        <v>0.2</v>
      </c>
      <c r="IO79" s="771">
        <v>100</v>
      </c>
      <c r="IP79" s="9">
        <f t="shared" si="227"/>
        <v>-4.1391124835632507</v>
      </c>
      <c r="IQ79" s="5">
        <f t="shared" si="228"/>
        <v>-0.26450079773440593</v>
      </c>
      <c r="IR79" s="5">
        <f t="shared" si="518"/>
        <v>0.314</v>
      </c>
      <c r="IS79" s="5">
        <f t="shared" si="229"/>
        <v>0.29936748704938371</v>
      </c>
      <c r="IT79" s="727">
        <f t="shared" si="230"/>
        <v>43.026729079018679</v>
      </c>
      <c r="IU79" s="9">
        <f t="shared" si="231"/>
        <v>-4.1556332794138289</v>
      </c>
      <c r="IV79" s="5">
        <f t="shared" si="232"/>
        <v>-0.22250851524842216</v>
      </c>
      <c r="IW79" s="5">
        <f t="shared" si="519"/>
        <v>0.26600000000000001</v>
      </c>
      <c r="IX79" s="5">
        <f t="shared" si="233"/>
        <v>0.24630131176264611</v>
      </c>
      <c r="IY79" s="762">
        <f t="shared" si="234"/>
        <v>37.752994923496757</v>
      </c>
    </row>
    <row r="80" spans="1:259" ht="15" customHeight="1" x14ac:dyDescent="0.25">
      <c r="A80" s="79"/>
      <c r="B80" s="707">
        <v>-4.7383195053868272</v>
      </c>
      <c r="C80" s="708">
        <v>-0.93090837728350451</v>
      </c>
      <c r="D80" s="709">
        <v>-0.66560375299159635</v>
      </c>
      <c r="E80" s="710">
        <v>-0.17720434756488568</v>
      </c>
      <c r="F80" s="708">
        <v>-0.96185902062434359</v>
      </c>
      <c r="G80" s="711">
        <v>0.20838868406821401</v>
      </c>
      <c r="H80" s="710">
        <v>0.26600000000000001</v>
      </c>
      <c r="I80" s="708">
        <v>0.52</v>
      </c>
      <c r="J80" s="570">
        <v>5.23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5.23</v>
      </c>
      <c r="N80" s="632">
        <f t="shared" si="465"/>
        <v>-4.7383195053868272</v>
      </c>
      <c r="O80" s="629">
        <f t="shared" si="466"/>
        <v>-0.93090837728350451</v>
      </c>
      <c r="P80" s="633">
        <f t="shared" si="467"/>
        <v>-0.66560375299159635</v>
      </c>
      <c r="Q80" s="585">
        <f t="shared" si="520"/>
        <v>191.1149854008024</v>
      </c>
      <c r="R80" s="629">
        <f t="shared" si="79"/>
        <v>4.8288986468992983</v>
      </c>
      <c r="S80" s="634">
        <f t="shared" si="80"/>
        <v>-0.66560375299159635</v>
      </c>
      <c r="T80" s="635">
        <f t="shared" si="81"/>
        <v>-0.93090837728350606</v>
      </c>
      <c r="U80" s="629">
        <f t="shared" si="82"/>
        <v>4.7383195053868272</v>
      </c>
      <c r="V80" s="636">
        <f t="shared" si="114"/>
        <v>-0.66560375299159635</v>
      </c>
      <c r="W80" s="585">
        <f t="shared" si="645"/>
        <v>101.11498540080241</v>
      </c>
      <c r="X80" s="629">
        <f t="shared" si="83"/>
        <v>4.8288986468992983</v>
      </c>
      <c r="Y80" s="630">
        <f t="shared" si="644"/>
        <v>-0.66560375299159635</v>
      </c>
      <c r="Z80" s="632">
        <f t="shared" si="468"/>
        <v>0.17720434756488568</v>
      </c>
      <c r="AA80" s="629">
        <f t="shared" si="469"/>
        <v>0.96185902062434359</v>
      </c>
      <c r="AB80" s="629">
        <f t="shared" si="470"/>
        <v>-0.20838868406821401</v>
      </c>
      <c r="AC80" s="636">
        <f t="shared" si="84"/>
        <v>1</v>
      </c>
      <c r="AD80" s="637">
        <f t="shared" si="115"/>
        <v>0.17720434756488568</v>
      </c>
      <c r="AE80" s="629">
        <f t="shared" si="85"/>
        <v>0.96185902062434359</v>
      </c>
      <c r="AF80" s="633">
        <f t="shared" si="86"/>
        <v>-0.20838868406821401</v>
      </c>
      <c r="AG80" s="602">
        <f t="shared" si="87"/>
        <v>77.775679783521241</v>
      </c>
      <c r="AH80" s="603">
        <f t="shared" si="88"/>
        <v>79.793036886932953</v>
      </c>
      <c r="AI80" s="585">
        <f t="shared" si="89"/>
        <v>-77.972058288829516</v>
      </c>
      <c r="AJ80" s="586">
        <f t="shared" si="90"/>
        <v>169.561384431428</v>
      </c>
      <c r="AK80" s="635">
        <f t="shared" si="211"/>
        <v>0.9096555277750461</v>
      </c>
      <c r="AL80" s="629">
        <f t="shared" si="91"/>
        <v>-0.35930624422715007</v>
      </c>
      <c r="AM80" s="634">
        <f t="shared" si="92"/>
        <v>-0.20838868406821401</v>
      </c>
      <c r="AN80" s="581">
        <f t="shared" si="93"/>
        <v>-59.887333313025565</v>
      </c>
      <c r="AO80" s="582">
        <f t="shared" si="461"/>
        <v>24.542208654068492</v>
      </c>
      <c r="AP80" s="585">
        <f t="shared" si="95"/>
        <v>-21.553600969374383</v>
      </c>
      <c r="AQ80" s="586">
        <f t="shared" si="471"/>
        <v>0.47209005787092939</v>
      </c>
      <c r="AS80" s="52">
        <f t="shared" si="543"/>
        <v>-258.88501459919758</v>
      </c>
      <c r="AT80" s="72">
        <f t="shared" si="472"/>
        <v>-0.48582249285326473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5.23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</v>
      </c>
      <c r="II80" s="734" cm="1">
        <f t="array" ref="II80">IFERROR(ROUND(VALUE(IF($IH80&lt;1,$IH80+LARGE((IF($M$9:$M$150="",0,$M$9:$M$150)-MOD(IF($M$9:$M$150="",0,$M$9:$M$150),1)),1),$IH80)),4),"")</f>
        <v>5.13</v>
      </c>
      <c r="IJ80" s="533">
        <f t="shared" si="542"/>
        <v>1613</v>
      </c>
      <c r="IK80" s="533">
        <f t="shared" si="517"/>
        <v>1313</v>
      </c>
      <c r="IL80" s="727">
        <f t="shared" si="225"/>
        <v>11.326998364583773</v>
      </c>
      <c r="IM80" s="759">
        <v>6.2101843745956502E-3</v>
      </c>
      <c r="IN80" s="5">
        <f t="shared" si="226"/>
        <v>0.2</v>
      </c>
      <c r="IO80" s="771">
        <v>100</v>
      </c>
      <c r="IP80" s="9">
        <f t="shared" si="227"/>
        <v>-4.7981144711132453</v>
      </c>
      <c r="IQ80" s="5">
        <f t="shared" si="228"/>
        <v>-0.70170211633358281</v>
      </c>
      <c r="IR80" s="5">
        <f t="shared" si="518"/>
        <v>0.314</v>
      </c>
      <c r="IS80" s="5">
        <f t="shared" si="229"/>
        <v>0.2948565383306479</v>
      </c>
      <c r="IT80" s="727">
        <f t="shared" si="230"/>
        <v>65.557067763694249</v>
      </c>
      <c r="IU80" s="9">
        <f t="shared" si="231"/>
        <v>-4.8288986468992983</v>
      </c>
      <c r="IV80" s="5">
        <f t="shared" si="232"/>
        <v>-0.66560375299159635</v>
      </c>
      <c r="IW80" s="5">
        <f t="shared" si="519"/>
        <v>0.26600000000000001</v>
      </c>
      <c r="IX80" s="5">
        <f t="shared" si="233"/>
        <v>0.24196837038816227</v>
      </c>
      <c r="IY80" s="762">
        <f t="shared" si="234"/>
        <v>59.887333313025565</v>
      </c>
    </row>
    <row r="81" spans="1:259" ht="15" customHeight="1" x14ac:dyDescent="0.25">
      <c r="A81" s="79"/>
      <c r="B81" s="707">
        <v>-5.2614298327517943</v>
      </c>
      <c r="C81" s="708">
        <v>-1.0227169676912904</v>
      </c>
      <c r="D81" s="709">
        <v>-1.2427044076677305</v>
      </c>
      <c r="E81" s="710">
        <v>-0.26064566350247692</v>
      </c>
      <c r="F81" s="708">
        <v>-0.95290648225827368</v>
      </c>
      <c r="G81" s="711">
        <v>0.15502604351371452</v>
      </c>
      <c r="H81" s="710">
        <v>0.26600000000000001</v>
      </c>
      <c r="I81" s="708">
        <v>0.52</v>
      </c>
      <c r="J81" s="570">
        <v>5.2359999999999998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1313</v>
      </c>
      <c r="L81" s="320"/>
      <c r="M81" s="168">
        <f t="shared" si="464"/>
        <v>5.2359999999999998</v>
      </c>
      <c r="N81" s="632">
        <f t="shared" si="465"/>
        <v>-5.2614298327517943</v>
      </c>
      <c r="O81" s="629">
        <f t="shared" si="466"/>
        <v>-1.0227169676912904</v>
      </c>
      <c r="P81" s="633">
        <f t="shared" si="467"/>
        <v>-1.2427044076677305</v>
      </c>
      <c r="Q81" s="585">
        <f t="shared" si="520"/>
        <v>190.99998541740635</v>
      </c>
      <c r="R81" s="629">
        <f t="shared" si="79"/>
        <v>5.3599061447915526</v>
      </c>
      <c r="S81" s="634">
        <f t="shared" si="80"/>
        <v>-1.2427044076677305</v>
      </c>
      <c r="T81" s="635">
        <f t="shared" si="81"/>
        <v>-1.0227169676912933</v>
      </c>
      <c r="U81" s="629">
        <f t="shared" si="82"/>
        <v>5.2614298327517943</v>
      </c>
      <c r="V81" s="636">
        <f t="shared" si="114"/>
        <v>-1.2427044076677305</v>
      </c>
      <c r="W81" s="585">
        <f t="shared" si="645"/>
        <v>100.99998541740636</v>
      </c>
      <c r="X81" s="629">
        <f t="shared" si="83"/>
        <v>5.3599061447915526</v>
      </c>
      <c r="Y81" s="630">
        <f t="shared" si="644"/>
        <v>-1.2427044076677305</v>
      </c>
      <c r="Z81" s="632">
        <f t="shared" si="468"/>
        <v>0.26064566350247692</v>
      </c>
      <c r="AA81" s="629">
        <f t="shared" si="469"/>
        <v>0.95290648225827368</v>
      </c>
      <c r="AB81" s="629">
        <f t="shared" si="470"/>
        <v>-0.15502604351371452</v>
      </c>
      <c r="AC81" s="636">
        <f t="shared" si="84"/>
        <v>1</v>
      </c>
      <c r="AD81" s="637">
        <f t="shared" si="115"/>
        <v>0.26064566350247692</v>
      </c>
      <c r="AE81" s="629">
        <f t="shared" si="85"/>
        <v>0.95290648225827368</v>
      </c>
      <c r="AF81" s="633">
        <f t="shared" si="86"/>
        <v>-0.15502604351371452</v>
      </c>
      <c r="AG81" s="602">
        <f t="shared" si="87"/>
        <v>80.759643380420442</v>
      </c>
      <c r="AH81" s="603">
        <f t="shared" si="88"/>
        <v>74.891623027909844</v>
      </c>
      <c r="AI81" s="585">
        <f t="shared" si="89"/>
        <v>-81.081693306023524</v>
      </c>
      <c r="AJ81" s="586">
        <f t="shared" si="90"/>
        <v>164.70224050793456</v>
      </c>
      <c r="AK81" s="635">
        <f t="shared" si="211"/>
        <v>0.88566548046182758</v>
      </c>
      <c r="AL81" s="629">
        <f t="shared" si="91"/>
        <v>-0.437679771694791</v>
      </c>
      <c r="AM81" s="634">
        <f t="shared" si="92"/>
        <v>-0.15502604351371452</v>
      </c>
      <c r="AN81" s="581">
        <f t="shared" si="93"/>
        <v>-70.495869822613273</v>
      </c>
      <c r="AO81" s="582">
        <f t="shared" si="461"/>
        <v>27.666472883563678</v>
      </c>
      <c r="AP81" s="585">
        <f t="shared" si="95"/>
        <v>-26.29774490947176</v>
      </c>
      <c r="AQ81" s="586">
        <f t="shared" si="471"/>
        <v>0.42532176787025738</v>
      </c>
      <c r="AS81" s="52">
        <f t="shared" si="543"/>
        <v>-259.00001458259362</v>
      </c>
      <c r="AT81" s="72">
        <f t="shared" si="472"/>
        <v>-1.0628432864298183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Taper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5.2359999999999998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5.1360000000000001</v>
      </c>
      <c r="II81" s="734" cm="1">
        <f t="array" ref="II81">IFERROR(ROUND(VALUE(IF($IH81&lt;1,$IH81+LARGE((IF($M$9:$M$150="",0,$M$9:$M$150)-MOD(IF($M$9:$M$150="",0,$M$9:$M$150),1)),1),$IH81)),4),"")</f>
        <v>5.1360000000000001</v>
      </c>
      <c r="IJ81" s="533">
        <f t="shared" si="542"/>
        <v>1613</v>
      </c>
      <c r="IK81" s="533">
        <f t="shared" si="517"/>
        <v>1313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10.588998471137756</v>
      </c>
      <c r="IM81" s="759">
        <v>4.9774372029546604E-3</v>
      </c>
      <c r="IN81" s="5">
        <f t="shared" ref="IN81:IN144" si="648">IF(ISNUMBER($II81),(($IO81*12)/60)/$AS$3,"")</f>
        <v>0.18</v>
      </c>
      <c r="IO81" s="771">
        <v>90</v>
      </c>
      <c r="IP81" s="9">
        <f t="shared" ref="IP81:IP144" si="649">IF(ISNUMBER($II81),(INDEX($X$9:$X$150,MATCH($II81,$M$9:$M$150,0))*-1),"")</f>
        <v>-5.3229160539148186</v>
      </c>
      <c r="IQ81" s="5">
        <f t="shared" ref="IQ81:IQ144" si="650">IF(ISNUMBER($II81),INDEX($Y$9:$Y$150,MATCH($II81,$M$9:$M$150,0)),"")</f>
        <v>-1.2746038442051937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0.28834303558651792</v>
      </c>
      <c r="IT81" s="727">
        <f t="shared" ref="IT81:IT144" si="652">IF(ISNUMBER($II81),(-1*INDEX($AN$9:$AN$150,MATCH($II81,$M$9:$M$150,0))),"")</f>
        <v>75.712561493329403</v>
      </c>
      <c r="IU81" s="9">
        <f t="shared" ref="IU81:IU144" si="653">IF(ISNUMBER($II81),-$X81,"")</f>
        <v>-5.3599061447915526</v>
      </c>
      <c r="IV81" s="5">
        <f t="shared" ref="IV81:IV144" si="654">IF(ISNUMBER($II81),$Y81,"")</f>
        <v>-1.2427044076677305</v>
      </c>
      <c r="IW81" s="5">
        <f t="shared" si="519"/>
        <v>0.26600000000000001</v>
      </c>
      <c r="IX81" s="5">
        <f t="shared" ref="IX81:IX144" si="655">IF(ISNUMBER($II81),$IW81*COS(RADIANS($AO81)),"")</f>
        <v>0.23558701780284616</v>
      </c>
      <c r="IY81" s="762">
        <f t="shared" ref="IY81:IY144" si="656">IF(ISNUMBER($II81),(-1*$AN81),"")</f>
        <v>70.495869822613273</v>
      </c>
    </row>
    <row r="82" spans="1:259" ht="15" customHeight="1" x14ac:dyDescent="0.25">
      <c r="A82" s="79"/>
      <c r="B82" s="707">
        <v>-2.0147922492184795</v>
      </c>
      <c r="C82" s="708">
        <v>1.4107731369839078</v>
      </c>
      <c r="D82" s="709">
        <v>-0.25290076274870082</v>
      </c>
      <c r="E82" s="710">
        <v>-0.51214935675646878</v>
      </c>
      <c r="F82" s="708">
        <v>-0.81487303292647129</v>
      </c>
      <c r="G82" s="711">
        <v>0.27144976806611826</v>
      </c>
      <c r="H82" s="710">
        <v>0.314</v>
      </c>
      <c r="I82" s="708">
        <v>0.52</v>
      </c>
      <c r="J82" s="570">
        <v>6.1109999999999998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6.1109999999999998</v>
      </c>
      <c r="N82" s="632">
        <f t="shared" si="465"/>
        <v>-2.0147922492184795</v>
      </c>
      <c r="O82" s="629">
        <f t="shared" si="466"/>
        <v>1.4107731369839078</v>
      </c>
      <c r="P82" s="633">
        <f t="shared" si="467"/>
        <v>-0.25290076274870082</v>
      </c>
      <c r="Q82" s="585">
        <f t="shared" si="520"/>
        <v>144.99999205898362</v>
      </c>
      <c r="R82" s="629">
        <f t="shared" si="79"/>
        <v>2.4596074181759731</v>
      </c>
      <c r="S82" s="634">
        <f t="shared" si="80"/>
        <v>-0.25290076274870082</v>
      </c>
      <c r="T82" s="635">
        <f t="shared" si="81"/>
        <v>1.4107731369839083</v>
      </c>
      <c r="U82" s="629">
        <f t="shared" si="82"/>
        <v>2.0147922492184795</v>
      </c>
      <c r="V82" s="636">
        <f t="shared" si="114"/>
        <v>-0.25290076274870082</v>
      </c>
      <c r="W82" s="585">
        <f t="shared" si="645"/>
        <v>54.999992058983636</v>
      </c>
      <c r="X82" s="629">
        <f t="shared" si="83"/>
        <v>2.4596074181759731</v>
      </c>
      <c r="Y82" s="630">
        <f t="shared" si="644"/>
        <v>-0.25290076274870082</v>
      </c>
      <c r="Z82" s="632">
        <f t="shared" si="468"/>
        <v>0.51214935675646878</v>
      </c>
      <c r="AA82" s="629">
        <f t="shared" si="469"/>
        <v>0.81487303292647129</v>
      </c>
      <c r="AB82" s="629">
        <f t="shared" si="470"/>
        <v>-0.27144976806611826</v>
      </c>
      <c r="AC82" s="636">
        <f t="shared" si="84"/>
        <v>1</v>
      </c>
      <c r="AD82" s="637">
        <f t="shared" si="115"/>
        <v>0.51214935675646878</v>
      </c>
      <c r="AE82" s="629">
        <f t="shared" si="85"/>
        <v>0.81487303292647129</v>
      </c>
      <c r="AF82" s="633">
        <f t="shared" si="86"/>
        <v>-0.27144976806611826</v>
      </c>
      <c r="AG82" s="602">
        <f t="shared" si="87"/>
        <v>71.576099293613339</v>
      </c>
      <c r="AH82" s="603">
        <f t="shared" si="88"/>
        <v>59.192896337608914</v>
      </c>
      <c r="AI82" s="585">
        <f t="shared" si="89"/>
        <v>-74.249445278802412</v>
      </c>
      <c r="AJ82" s="586">
        <f t="shared" si="90"/>
        <v>147.85055502532302</v>
      </c>
      <c r="AK82" s="635">
        <f t="shared" si="211"/>
        <v>0.96126170705176617</v>
      </c>
      <c r="AL82" s="629">
        <f t="shared" si="91"/>
        <v>4.7863910964056067E-2</v>
      </c>
      <c r="AM82" s="634">
        <f t="shared" si="92"/>
        <v>-0.27144976806611826</v>
      </c>
      <c r="AN82" s="581">
        <f t="shared" si="93"/>
        <v>9.9999985561788858</v>
      </c>
      <c r="AO82" s="582">
        <f t="shared" si="461"/>
        <v>15.99999768988615</v>
      </c>
      <c r="AP82" s="585">
        <f t="shared" si="95"/>
        <v>2.8505629663393903</v>
      </c>
      <c r="AQ82" s="586">
        <f t="shared" si="471"/>
        <v>0.92678521989116613</v>
      </c>
      <c r="AS82" s="52">
        <f t="shared" si="543"/>
        <v>-305.00000794101635</v>
      </c>
      <c r="AT82" s="72">
        <f t="shared" si="472"/>
        <v>-4.1095201678550575E-2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6.1109999999999998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-2.6370446485881462</v>
      </c>
      <c r="C83" s="708">
        <v>1.8802224555511193</v>
      </c>
      <c r="D83" s="709">
        <v>-8.8700267520006759E-2</v>
      </c>
      <c r="E83" s="710">
        <v>-0.61094710116509876</v>
      </c>
      <c r="F83" s="708">
        <v>-0.74834632955514657</v>
      </c>
      <c r="G83" s="711">
        <v>0.25830487920150219</v>
      </c>
      <c r="H83" s="710">
        <v>0.314</v>
      </c>
      <c r="I83" s="708">
        <v>0.52</v>
      </c>
      <c r="J83" s="570">
        <v>6.117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6.117</v>
      </c>
      <c r="N83" s="632">
        <f t="shared" si="465"/>
        <v>-2.6370446485881462</v>
      </c>
      <c r="O83" s="629">
        <f t="shared" si="466"/>
        <v>1.8802224555511193</v>
      </c>
      <c r="P83" s="633">
        <f t="shared" si="467"/>
        <v>-8.8700267520006759E-2</v>
      </c>
      <c r="Q83" s="585">
        <f t="shared" si="520"/>
        <v>144.5109921295865</v>
      </c>
      <c r="R83" s="629">
        <f t="shared" si="79"/>
        <v>3.2387097679486598</v>
      </c>
      <c r="S83" s="634">
        <f t="shared" si="80"/>
        <v>-8.8700267520006759E-2</v>
      </c>
      <c r="T83" s="635">
        <f t="shared" si="81"/>
        <v>1.8802224555511193</v>
      </c>
      <c r="U83" s="629">
        <f t="shared" si="82"/>
        <v>2.6370446485881467</v>
      </c>
      <c r="V83" s="636">
        <f t="shared" si="114"/>
        <v>-8.8700267520006759E-2</v>
      </c>
      <c r="W83" s="585">
        <f t="shared" si="645"/>
        <v>54.510992129586512</v>
      </c>
      <c r="X83" s="629">
        <f t="shared" si="83"/>
        <v>3.2387097679486598</v>
      </c>
      <c r="Y83" s="630">
        <f t="shared" si="644"/>
        <v>-8.8700267520006759E-2</v>
      </c>
      <c r="Z83" s="632">
        <f t="shared" si="468"/>
        <v>0.61094710116509876</v>
      </c>
      <c r="AA83" s="629">
        <f t="shared" si="469"/>
        <v>0.74834632955514657</v>
      </c>
      <c r="AB83" s="629">
        <f t="shared" si="470"/>
        <v>-0.25830487920150219</v>
      </c>
      <c r="AC83" s="636">
        <f t="shared" si="84"/>
        <v>1</v>
      </c>
      <c r="AD83" s="637">
        <f t="shared" si="115"/>
        <v>0.61094710116509876</v>
      </c>
      <c r="AE83" s="629">
        <f t="shared" si="85"/>
        <v>0.74834632955514657</v>
      </c>
      <c r="AF83" s="633">
        <f t="shared" si="86"/>
        <v>-0.25830487920150219</v>
      </c>
      <c r="AG83" s="602">
        <f t="shared" si="87"/>
        <v>70.956986584466634</v>
      </c>
      <c r="AH83" s="603">
        <f t="shared" si="88"/>
        <v>52.341983906364625</v>
      </c>
      <c r="AI83" s="585">
        <f t="shared" si="89"/>
        <v>-75.030496582733974</v>
      </c>
      <c r="AJ83" s="586">
        <f t="shared" si="90"/>
        <v>140.77193046240862</v>
      </c>
      <c r="AK83" s="635">
        <f t="shared" si="211"/>
        <v>0.96400707877753655</v>
      </c>
      <c r="AL83" s="629">
        <f t="shared" si="91"/>
        <v>-6.2999535295888198E-2</v>
      </c>
      <c r="AM83" s="634">
        <f t="shared" si="92"/>
        <v>-0.25830487920150219</v>
      </c>
      <c r="AN83" s="581">
        <f t="shared" si="93"/>
        <v>-13.706614564341326</v>
      </c>
      <c r="AO83" s="582">
        <f t="shared" si="461"/>
        <v>15.419045406612298</v>
      </c>
      <c r="AP83" s="585">
        <f t="shared" si="95"/>
        <v>-3.7390616671778667</v>
      </c>
      <c r="AQ83" s="586">
        <f t="shared" si="471"/>
        <v>0.70386422756374367</v>
      </c>
      <c r="AS83" s="52">
        <f t="shared" si="543"/>
        <v>-305.4890078704135</v>
      </c>
      <c r="AT83" s="72">
        <f t="shared" si="472"/>
        <v>0.12344487683444708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6.117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-3.2333373514523287</v>
      </c>
      <c r="C84" s="708">
        <v>2.3845194862846024</v>
      </c>
      <c r="D84" s="709">
        <v>-0.21310064271153828</v>
      </c>
      <c r="E84" s="710">
        <v>-0.71552338032568108</v>
      </c>
      <c r="F84" s="708">
        <v>-0.66398887243249727</v>
      </c>
      <c r="G84" s="711">
        <v>0.21712915394559976</v>
      </c>
      <c r="H84" s="710">
        <v>0.314</v>
      </c>
      <c r="I84" s="708">
        <v>0.52</v>
      </c>
      <c r="J84" s="570">
        <v>6.1230000000000002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6.1230000000000002</v>
      </c>
      <c r="N84" s="632">
        <f t="shared" si="465"/>
        <v>-3.2333373514523287</v>
      </c>
      <c r="O84" s="629">
        <f t="shared" si="466"/>
        <v>2.3845194862846024</v>
      </c>
      <c r="P84" s="633">
        <f t="shared" si="467"/>
        <v>-0.21310064271153828</v>
      </c>
      <c r="Q84" s="585">
        <f t="shared" si="520"/>
        <v>143.59199226227364</v>
      </c>
      <c r="R84" s="629">
        <f t="shared" si="79"/>
        <v>4.017512116816544</v>
      </c>
      <c r="S84" s="634">
        <f t="shared" si="80"/>
        <v>-0.21310064271153828</v>
      </c>
      <c r="T84" s="635">
        <f t="shared" si="81"/>
        <v>2.3845194862846029</v>
      </c>
      <c r="U84" s="629">
        <f t="shared" si="82"/>
        <v>3.2333373514523287</v>
      </c>
      <c r="V84" s="636">
        <f t="shared" si="114"/>
        <v>-0.21310064271153828</v>
      </c>
      <c r="W84" s="585">
        <f t="shared" si="645"/>
        <v>53.591992262273649</v>
      </c>
      <c r="X84" s="629">
        <f t="shared" si="83"/>
        <v>4.017512116816544</v>
      </c>
      <c r="Y84" s="630">
        <f t="shared" si="644"/>
        <v>-0.21310064271153828</v>
      </c>
      <c r="Z84" s="632">
        <f t="shared" si="468"/>
        <v>0.71552338032568108</v>
      </c>
      <c r="AA84" s="629">
        <f t="shared" si="469"/>
        <v>0.66398887243249727</v>
      </c>
      <c r="AB84" s="629">
        <f t="shared" si="470"/>
        <v>-0.21712915394559976</v>
      </c>
      <c r="AC84" s="636">
        <f t="shared" si="84"/>
        <v>1</v>
      </c>
      <c r="AD84" s="637">
        <f t="shared" si="115"/>
        <v>0.71552338032568108</v>
      </c>
      <c r="AE84" s="629">
        <f t="shared" si="85"/>
        <v>0.66398887243249727</v>
      </c>
      <c r="AF84" s="633">
        <f t="shared" si="86"/>
        <v>-0.21712915394559976</v>
      </c>
      <c r="AG84" s="602">
        <f t="shared" si="87"/>
        <v>71.89188164833692</v>
      </c>
      <c r="AH84" s="603">
        <f t="shared" si="88"/>
        <v>44.313891489593075</v>
      </c>
      <c r="AI84" s="585">
        <f t="shared" si="89"/>
        <v>-77.459529867217157</v>
      </c>
      <c r="AJ84" s="586">
        <f t="shared" si="90"/>
        <v>132.86059355829391</v>
      </c>
      <c r="AK84" s="635">
        <f t="shared" si="211"/>
        <v>0.9590710254078052</v>
      </c>
      <c r="AL84" s="629">
        <f t="shared" si="91"/>
        <v>-0.18176275396815889</v>
      </c>
      <c r="AM84" s="634">
        <f t="shared" si="92"/>
        <v>-0.21712915394559976</v>
      </c>
      <c r="AN84" s="581">
        <f t="shared" si="93"/>
        <v>-39.933312263755127</v>
      </c>
      <c r="AO84" s="582">
        <f t="shared" si="461"/>
        <v>16.44923000837144</v>
      </c>
      <c r="AP84" s="585">
        <f t="shared" si="95"/>
        <v>-10.731398703979705</v>
      </c>
      <c r="AQ84" s="586">
        <f t="shared" si="471"/>
        <v>0.56742880514763283</v>
      </c>
      <c r="AS84" s="52">
        <f t="shared" si="543"/>
        <v>-306.40800773772634</v>
      </c>
      <c r="AT84" s="72">
        <f t="shared" si="472"/>
        <v>-3.1730400478385823E-4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6.1230000000000002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-3.7309494829319245</v>
      </c>
      <c r="C85" s="708">
        <v>2.852423874400015</v>
      </c>
      <c r="D85" s="709">
        <v>-0.61820186449682302</v>
      </c>
      <c r="E85" s="710">
        <v>-0.8072621087983155</v>
      </c>
      <c r="F85" s="708">
        <v>-0.56957761268496288</v>
      </c>
      <c r="G85" s="711">
        <v>0.15462610008208588</v>
      </c>
      <c r="H85" s="710">
        <v>0.314</v>
      </c>
      <c r="I85" s="708">
        <v>0.52</v>
      </c>
      <c r="J85" s="570">
        <v>6.1289999999999996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6.1289999999999996</v>
      </c>
      <c r="N85" s="632">
        <f t="shared" si="465"/>
        <v>-3.7309494829319245</v>
      </c>
      <c r="O85" s="629">
        <f t="shared" si="466"/>
        <v>2.852423874400015</v>
      </c>
      <c r="P85" s="633">
        <f t="shared" si="467"/>
        <v>-0.61820186449682302</v>
      </c>
      <c r="Q85" s="585">
        <f t="shared" si="520"/>
        <v>142.60099240535635</v>
      </c>
      <c r="R85" s="629">
        <f t="shared" si="79"/>
        <v>4.6964141643851205</v>
      </c>
      <c r="S85" s="634">
        <f t="shared" si="80"/>
        <v>-0.61820186449682302</v>
      </c>
      <c r="T85" s="635">
        <f t="shared" si="81"/>
        <v>2.8524238744000141</v>
      </c>
      <c r="U85" s="629">
        <f t="shared" si="82"/>
        <v>3.7309494829319254</v>
      </c>
      <c r="V85" s="636">
        <f t="shared" si="114"/>
        <v>-0.61820186449682302</v>
      </c>
      <c r="W85" s="585">
        <f t="shared" si="645"/>
        <v>52.600992405356365</v>
      </c>
      <c r="X85" s="629">
        <f t="shared" si="83"/>
        <v>4.6964141643851205</v>
      </c>
      <c r="Y85" s="630">
        <f t="shared" si="644"/>
        <v>-0.61820186449682302</v>
      </c>
      <c r="Z85" s="632">
        <f t="shared" si="468"/>
        <v>0.8072621087983155</v>
      </c>
      <c r="AA85" s="629">
        <f t="shared" si="469"/>
        <v>0.56957761268496288</v>
      </c>
      <c r="AB85" s="629">
        <f t="shared" si="470"/>
        <v>-0.15462610008208588</v>
      </c>
      <c r="AC85" s="636">
        <f t="shared" si="84"/>
        <v>1</v>
      </c>
      <c r="AD85" s="637">
        <f t="shared" si="115"/>
        <v>0.8072621087983155</v>
      </c>
      <c r="AE85" s="629">
        <f t="shared" si="85"/>
        <v>0.56957761268496288</v>
      </c>
      <c r="AF85" s="633">
        <f t="shared" si="86"/>
        <v>-0.15462610008208588</v>
      </c>
      <c r="AG85" s="602">
        <f t="shared" si="87"/>
        <v>74.811683484714507</v>
      </c>
      <c r="AH85" s="603">
        <f t="shared" si="88"/>
        <v>36.170711903219072</v>
      </c>
      <c r="AI85" s="585">
        <f t="shared" si="89"/>
        <v>-81.104888065236295</v>
      </c>
      <c r="AJ85" s="586">
        <f t="shared" si="90"/>
        <v>125.20553680688752</v>
      </c>
      <c r="AK85" s="635">
        <f t="shared" si="211"/>
        <v>0.94278716837808552</v>
      </c>
      <c r="AL85" s="629">
        <f t="shared" si="91"/>
        <v>-0.29536947085817206</v>
      </c>
      <c r="AM85" s="634">
        <f t="shared" si="92"/>
        <v>-0.15462610008208588</v>
      </c>
      <c r="AN85" s="581">
        <f t="shared" si="93"/>
        <v>-62.367914828756547</v>
      </c>
      <c r="AO85" s="582">
        <f t="shared" si="461"/>
        <v>19.474980012472006</v>
      </c>
      <c r="AP85" s="585">
        <f t="shared" si="95"/>
        <v>-17.395455598468832</v>
      </c>
      <c r="AQ85" s="586">
        <f t="shared" si="471"/>
        <v>0.48540695310338455</v>
      </c>
      <c r="AS85" s="52">
        <f t="shared" si="543"/>
        <v>-307.39900759464365</v>
      </c>
      <c r="AT85" s="72">
        <f t="shared" si="472"/>
        <v>-0.40473033144498716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6.1289999999999996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-4.1199059426188596</v>
      </c>
      <c r="C86" s="708">
        <v>3.2523057085801974</v>
      </c>
      <c r="D86" s="709">
        <v>-1.174403542001083</v>
      </c>
      <c r="E86" s="710">
        <v>-0.86076370886558973</v>
      </c>
      <c r="F86" s="708">
        <v>-0.49905329205780075</v>
      </c>
      <c r="G86" s="711">
        <v>0.10015812092000294</v>
      </c>
      <c r="H86" s="710">
        <v>0.314</v>
      </c>
      <c r="I86" s="708">
        <v>0.52</v>
      </c>
      <c r="J86" s="570">
        <v>6.1349999999999998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6.1349999999999998</v>
      </c>
      <c r="N86" s="632">
        <f t="shared" si="465"/>
        <v>-4.1199059426188596</v>
      </c>
      <c r="O86" s="629">
        <f t="shared" si="466"/>
        <v>3.2523057085801974</v>
      </c>
      <c r="P86" s="633">
        <f t="shared" si="467"/>
        <v>-1.174403542001083</v>
      </c>
      <c r="Q86" s="585">
        <f t="shared" si="520"/>
        <v>141.71199253371205</v>
      </c>
      <c r="R86" s="629">
        <f t="shared" si="79"/>
        <v>5.2489158307301453</v>
      </c>
      <c r="S86" s="634">
        <f t="shared" si="80"/>
        <v>-1.174403542001083</v>
      </c>
      <c r="T86" s="635">
        <f t="shared" si="81"/>
        <v>3.2523057085801956</v>
      </c>
      <c r="U86" s="629">
        <f t="shared" si="82"/>
        <v>4.1199059426188605</v>
      </c>
      <c r="V86" s="636">
        <f t="shared" si="114"/>
        <v>-1.174403542001083</v>
      </c>
      <c r="W86" s="585">
        <f t="shared" si="645"/>
        <v>51.711992533712063</v>
      </c>
      <c r="X86" s="629">
        <f t="shared" si="83"/>
        <v>5.2489158307301453</v>
      </c>
      <c r="Y86" s="630">
        <f t="shared" si="644"/>
        <v>-1.174403542001083</v>
      </c>
      <c r="Z86" s="632">
        <f t="shared" si="468"/>
        <v>0.86076370886558973</v>
      </c>
      <c r="AA86" s="629">
        <f t="shared" si="469"/>
        <v>0.49905329205780075</v>
      </c>
      <c r="AB86" s="629">
        <f t="shared" si="470"/>
        <v>-0.10015812092000294</v>
      </c>
      <c r="AC86" s="636">
        <f t="shared" si="84"/>
        <v>1</v>
      </c>
      <c r="AD86" s="637">
        <f t="shared" si="115"/>
        <v>0.86076370886558973</v>
      </c>
      <c r="AE86" s="629">
        <f t="shared" si="85"/>
        <v>0.49905329205780075</v>
      </c>
      <c r="AF86" s="633">
        <f t="shared" si="86"/>
        <v>-0.10015812092000294</v>
      </c>
      <c r="AG86" s="602">
        <f t="shared" si="87"/>
        <v>78.651715164590499</v>
      </c>
      <c r="AH86" s="603">
        <f t="shared" si="88"/>
        <v>30.597559483639262</v>
      </c>
      <c r="AI86" s="585">
        <f t="shared" si="89"/>
        <v>-84.251724147710462</v>
      </c>
      <c r="AJ86" s="586">
        <f t="shared" si="90"/>
        <v>120.10428564022889</v>
      </c>
      <c r="AK86" s="635">
        <f t="shared" si="211"/>
        <v>0.92505185914540311</v>
      </c>
      <c r="AL86" s="629">
        <f t="shared" si="91"/>
        <v>-0.36639788305257398</v>
      </c>
      <c r="AM86" s="634">
        <f t="shared" si="92"/>
        <v>-0.10015812092000294</v>
      </c>
      <c r="AN86" s="581">
        <f t="shared" si="93"/>
        <v>-74.711202752989109</v>
      </c>
      <c r="AO86" s="582">
        <f t="shared" si="461"/>
        <v>22.323823795425849</v>
      </c>
      <c r="AP86" s="585">
        <f t="shared" si="95"/>
        <v>-21.607706893483133</v>
      </c>
      <c r="AQ86" s="586">
        <f t="shared" si="471"/>
        <v>0.43431501686401996</v>
      </c>
      <c r="AS86" s="52">
        <f t="shared" si="543"/>
        <v>-308.28800746628792</v>
      </c>
      <c r="AT86" s="72">
        <f t="shared" si="472"/>
        <v>-0.96031464792727195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6.1349999999999998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-4.3794846901579607</v>
      </c>
      <c r="C87" s="708">
        <v>3.5379662300872523</v>
      </c>
      <c r="D87" s="709">
        <v>-1.8191054864221474</v>
      </c>
      <c r="E87" s="710">
        <v>-0.91016053527615881</v>
      </c>
      <c r="F87" s="708">
        <v>-0.40652222739371924</v>
      </c>
      <c r="G87" s="711">
        <v>7.9671065391806073E-2</v>
      </c>
      <c r="H87" s="710">
        <v>0.314</v>
      </c>
      <c r="I87" s="708">
        <v>0.52</v>
      </c>
      <c r="J87" s="570">
        <v>6.141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6.141</v>
      </c>
      <c r="N87" s="632">
        <f t="shared" si="465"/>
        <v>-4.3794846901579607</v>
      </c>
      <c r="O87" s="629">
        <f t="shared" si="466"/>
        <v>3.5379662300872523</v>
      </c>
      <c r="P87" s="633">
        <f t="shared" si="467"/>
        <v>-1.8191054864221474</v>
      </c>
      <c r="Q87" s="585">
        <f t="shared" si="520"/>
        <v>141.06699262683853</v>
      </c>
      <c r="R87" s="629">
        <f t="shared" si="79"/>
        <v>5.6300169801312121</v>
      </c>
      <c r="S87" s="634">
        <f t="shared" si="80"/>
        <v>-1.8191054864221474</v>
      </c>
      <c r="T87" s="635">
        <f t="shared" si="81"/>
        <v>3.5379662300872505</v>
      </c>
      <c r="U87" s="629">
        <f t="shared" si="82"/>
        <v>4.3794846901579625</v>
      </c>
      <c r="V87" s="636">
        <f t="shared" si="114"/>
        <v>-1.8191054864221474</v>
      </c>
      <c r="W87" s="585">
        <f t="shared" si="645"/>
        <v>51.066992626838541</v>
      </c>
      <c r="X87" s="629">
        <f t="shared" si="83"/>
        <v>5.6300169801312121</v>
      </c>
      <c r="Y87" s="630">
        <f t="shared" si="644"/>
        <v>-1.8191054864221474</v>
      </c>
      <c r="Z87" s="632">
        <f t="shared" si="468"/>
        <v>0.91016053527615881</v>
      </c>
      <c r="AA87" s="629">
        <f t="shared" si="469"/>
        <v>0.40652222739371924</v>
      </c>
      <c r="AB87" s="629">
        <f t="shared" si="470"/>
        <v>-7.9671065391806073E-2</v>
      </c>
      <c r="AC87" s="636">
        <f t="shared" si="84"/>
        <v>1</v>
      </c>
      <c r="AD87" s="637">
        <f t="shared" si="115"/>
        <v>0.91016053527615881</v>
      </c>
      <c r="AE87" s="629">
        <f t="shared" si="85"/>
        <v>0.40652222739371924</v>
      </c>
      <c r="AF87" s="633">
        <f t="shared" si="86"/>
        <v>-7.9671065391806073E-2</v>
      </c>
      <c r="AG87" s="602">
        <f t="shared" si="87"/>
        <v>78.911594078836913</v>
      </c>
      <c r="AH87" s="603">
        <f t="shared" si="88"/>
        <v>24.472454253699578</v>
      </c>
      <c r="AI87" s="585">
        <f t="shared" si="89"/>
        <v>-85.43034117902117</v>
      </c>
      <c r="AJ87" s="586">
        <f t="shared" si="90"/>
        <v>114.06787599238247</v>
      </c>
      <c r="AK87" s="635">
        <f t="shared" si="211"/>
        <v>0.88818117716020706</v>
      </c>
      <c r="AL87" s="629">
        <f t="shared" si="91"/>
        <v>-0.45253366491084823</v>
      </c>
      <c r="AM87" s="634">
        <f t="shared" si="92"/>
        <v>-7.9671065391806073E-2</v>
      </c>
      <c r="AN87" s="581">
        <f t="shared" si="93"/>
        <v>-80.015083327999562</v>
      </c>
      <c r="AO87" s="582">
        <f t="shared" si="461"/>
        <v>27.354423196582793</v>
      </c>
      <c r="AP87" s="585">
        <f t="shared" si="95"/>
        <v>-26.999116634456048</v>
      </c>
      <c r="AQ87" s="586">
        <f t="shared" si="471"/>
        <v>0.40491683892118574</v>
      </c>
      <c r="AS87" s="52">
        <f t="shared" si="543"/>
        <v>-308.93300737316144</v>
      </c>
      <c r="AT87" s="72">
        <f t="shared" si="472"/>
        <v>-1.6045686757463409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6.141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-4.5233556036659097</v>
      </c>
      <c r="C88" s="708">
        <v>3.6946845351600626</v>
      </c>
      <c r="D88" s="709">
        <v>-2.5486000009572498</v>
      </c>
      <c r="E88" s="710">
        <v>-0.94201455833180769</v>
      </c>
      <c r="F88" s="708">
        <v>-0.33538639949322108</v>
      </c>
      <c r="G88" s="711">
        <v>1.1159521759602305E-2</v>
      </c>
      <c r="H88" s="710">
        <v>0.314</v>
      </c>
      <c r="I88" s="708">
        <v>0.52</v>
      </c>
      <c r="J88" s="570">
        <v>6.1470000000000002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6.1470000000000002</v>
      </c>
      <c r="N88" s="632">
        <f t="shared" si="465"/>
        <v>-4.5233556036659097</v>
      </c>
      <c r="O88" s="629">
        <f t="shared" si="466"/>
        <v>3.6946845351600626</v>
      </c>
      <c r="P88" s="633">
        <f t="shared" si="467"/>
        <v>-2.5486000009572498</v>
      </c>
      <c r="Q88" s="585">
        <f t="shared" si="520"/>
        <v>140.75799195141212</v>
      </c>
      <c r="R88" s="629">
        <f t="shared" si="79"/>
        <v>5.8404999556173882</v>
      </c>
      <c r="S88" s="634">
        <f t="shared" si="80"/>
        <v>-2.5486000009572498</v>
      </c>
      <c r="T88" s="635">
        <f t="shared" si="81"/>
        <v>3.6946845351600599</v>
      </c>
      <c r="U88" s="629">
        <f t="shared" si="82"/>
        <v>4.5233556036659124</v>
      </c>
      <c r="V88" s="636">
        <f t="shared" si="114"/>
        <v>-2.5486000009572498</v>
      </c>
      <c r="W88" s="585">
        <f t="shared" si="645"/>
        <v>50.757991951412137</v>
      </c>
      <c r="X88" s="629">
        <f t="shared" si="83"/>
        <v>5.8404999556173882</v>
      </c>
      <c r="Y88" s="630">
        <f t="shared" si="644"/>
        <v>-2.5486000009572498</v>
      </c>
      <c r="Z88" s="632">
        <f t="shared" si="468"/>
        <v>0.94201455833180769</v>
      </c>
      <c r="AA88" s="629">
        <f t="shared" si="469"/>
        <v>0.33538639949322108</v>
      </c>
      <c r="AB88" s="629">
        <f t="shared" si="470"/>
        <v>-1.1159521759602305E-2</v>
      </c>
      <c r="AC88" s="636">
        <f t="shared" si="84"/>
        <v>1</v>
      </c>
      <c r="AD88" s="637">
        <f t="shared" si="115"/>
        <v>0.94201455833180769</v>
      </c>
      <c r="AE88" s="629">
        <f t="shared" si="85"/>
        <v>0.33538639949322108</v>
      </c>
      <c r="AF88" s="633">
        <f t="shared" si="86"/>
        <v>-1.1159521759602305E-2</v>
      </c>
      <c r="AG88" s="602">
        <f t="shared" si="87"/>
        <v>88.094264731687801</v>
      </c>
      <c r="AH88" s="603">
        <f t="shared" si="88"/>
        <v>19.607325141308859</v>
      </c>
      <c r="AI88" s="585">
        <f t="shared" si="89"/>
        <v>-89.360593229909625</v>
      </c>
      <c r="AJ88" s="586">
        <f t="shared" si="90"/>
        <v>109.59730663764228</v>
      </c>
      <c r="AK88" s="635">
        <f t="shared" si="211"/>
        <v>0.85566622859033692</v>
      </c>
      <c r="AL88" s="629">
        <f t="shared" si="91"/>
        <v>-0.51740774088148944</v>
      </c>
      <c r="AM88" s="634">
        <f t="shared" si="92"/>
        <v>-1.1159521759602305E-2</v>
      </c>
      <c r="AN88" s="581">
        <f t="shared" si="93"/>
        <v>-88.764428264159847</v>
      </c>
      <c r="AO88" s="582">
        <f t="shared" si="461"/>
        <v>31.166585039468728</v>
      </c>
      <c r="AP88" s="585">
        <f t="shared" si="95"/>
        <v>-31.160685313769836</v>
      </c>
      <c r="AQ88" s="586">
        <f t="shared" si="471"/>
        <v>0.39032469517744334</v>
      </c>
      <c r="AS88" s="52">
        <f t="shared" si="543"/>
        <v>-309.24200804858788</v>
      </c>
      <c r="AT88" s="72">
        <f t="shared" si="472"/>
        <v>-2.333848606479064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6.1470000000000002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-4.5885092681365016</v>
      </c>
      <c r="C89" s="708">
        <v>3.7800556723832397</v>
      </c>
      <c r="D89" s="709">
        <v>-3.2073</v>
      </c>
      <c r="E89" s="710">
        <v>-0.98902851171091655</v>
      </c>
      <c r="F89" s="708">
        <v>-0.14458662766641497</v>
      </c>
      <c r="G89" s="711">
        <v>3.0287128007505135E-2</v>
      </c>
      <c r="H89" s="710">
        <v>0.26600000000000001</v>
      </c>
      <c r="I89" s="708">
        <v>0.52</v>
      </c>
      <c r="J89" s="570">
        <v>6.1529999999999996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6.1529999999999996</v>
      </c>
      <c r="N89" s="632">
        <f t="shared" si="465"/>
        <v>-4.5885092681365016</v>
      </c>
      <c r="O89" s="629">
        <f t="shared" si="466"/>
        <v>3.7800556723832397</v>
      </c>
      <c r="P89" s="633">
        <f t="shared" si="467"/>
        <v>-3.2073</v>
      </c>
      <c r="Q89" s="585">
        <f t="shared" si="520"/>
        <v>140.51799270610428</v>
      </c>
      <c r="R89" s="629">
        <f t="shared" si="79"/>
        <v>5.9450179301740782</v>
      </c>
      <c r="S89" s="634">
        <f t="shared" si="80"/>
        <v>-3.2073</v>
      </c>
      <c r="T89" s="635">
        <f t="shared" si="81"/>
        <v>3.7800556723832388</v>
      </c>
      <c r="U89" s="629">
        <f t="shared" si="82"/>
        <v>4.5885092681365025</v>
      </c>
      <c r="V89" s="636">
        <f t="shared" si="114"/>
        <v>-3.2073</v>
      </c>
      <c r="W89" s="585">
        <f t="shared" si="645"/>
        <v>50.517992706104295</v>
      </c>
      <c r="X89" s="629">
        <f t="shared" si="83"/>
        <v>5.9450179301740782</v>
      </c>
      <c r="Y89" s="630">
        <f t="shared" si="644"/>
        <v>-3.2073</v>
      </c>
      <c r="Z89" s="632">
        <f t="shared" si="468"/>
        <v>0.98902851171091655</v>
      </c>
      <c r="AA89" s="629">
        <f t="shared" si="469"/>
        <v>0.14458662766641497</v>
      </c>
      <c r="AB89" s="629">
        <f t="shared" si="470"/>
        <v>-3.0287128007505135E-2</v>
      </c>
      <c r="AC89" s="636">
        <f t="shared" si="84"/>
        <v>1</v>
      </c>
      <c r="AD89" s="637">
        <f t="shared" si="115"/>
        <v>0.98902851171091655</v>
      </c>
      <c r="AE89" s="629">
        <f t="shared" si="85"/>
        <v>0.14458662766641497</v>
      </c>
      <c r="AF89" s="633">
        <f t="shared" si="86"/>
        <v>-3.0287128007505135E-2</v>
      </c>
      <c r="AG89" s="602">
        <f t="shared" si="87"/>
        <v>78.169092845127608</v>
      </c>
      <c r="AH89" s="603">
        <f t="shared" si="88"/>
        <v>8.4950956802975295</v>
      </c>
      <c r="AI89" s="585">
        <f t="shared" si="89"/>
        <v>-88.264409976884153</v>
      </c>
      <c r="AJ89" s="586">
        <f t="shared" si="90"/>
        <v>98.317185055540904</v>
      </c>
      <c r="AK89" s="635">
        <f t="shared" si="211"/>
        <v>0.74045528014221706</v>
      </c>
      <c r="AL89" s="629">
        <f t="shared" si="91"/>
        <v>-0.67142286823325281</v>
      </c>
      <c r="AM89" s="634">
        <f t="shared" si="92"/>
        <v>-3.0287128007505135E-2</v>
      </c>
      <c r="AN89" s="581">
        <f t="shared" si="93"/>
        <v>-87.417202918500351</v>
      </c>
      <c r="AO89" s="582">
        <f t="shared" si="461"/>
        <v>42.22978709606403</v>
      </c>
      <c r="AP89" s="585">
        <f t="shared" si="95"/>
        <v>-42.200807650563377</v>
      </c>
      <c r="AQ89" s="586">
        <f t="shared" si="471"/>
        <v>0.38346269443547887</v>
      </c>
      <c r="AS89" s="52">
        <f t="shared" si="543"/>
        <v>-309.48200729389572</v>
      </c>
      <c r="AT89" s="72">
        <f t="shared" si="472"/>
        <v>-2.9923819393792392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6.1529999999999996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1313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-1.7914268263305502</v>
      </c>
      <c r="C90" s="708">
        <v>2.6981532363654437</v>
      </c>
      <c r="D90" s="709">
        <v>-6.3882399731761755E-2</v>
      </c>
      <c r="E90" s="710">
        <v>-1.8894171699632192E-7</v>
      </c>
      <c r="F90" s="708">
        <v>-1.254470117197652E-7</v>
      </c>
      <c r="G90" s="711">
        <v>0.99999999999997435</v>
      </c>
      <c r="H90" s="710">
        <v>0.26250000000000001</v>
      </c>
      <c r="I90" s="708">
        <v>0.40699999999999997</v>
      </c>
      <c r="J90" s="570">
        <v>6.2169999999999996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6.2169999999999996</v>
      </c>
      <c r="N90" s="632">
        <f t="shared" si="465"/>
        <v>-1.7914268263305502</v>
      </c>
      <c r="O90" s="629">
        <f t="shared" si="466"/>
        <v>2.6981532363654437</v>
      </c>
      <c r="P90" s="633">
        <f t="shared" si="467"/>
        <v>-6.3882399731761755E-2</v>
      </c>
      <c r="Q90" s="585">
        <f t="shared" si="520"/>
        <v>123.58199515135979</v>
      </c>
      <c r="R90" s="629">
        <f t="shared" si="79"/>
        <v>3.2387097679486603</v>
      </c>
      <c r="S90" s="634">
        <f t="shared" si="80"/>
        <v>-6.3882399731761755E-2</v>
      </c>
      <c r="T90" s="635">
        <f t="shared" si="81"/>
        <v>2.6981532363654432</v>
      </c>
      <c r="U90" s="629">
        <f t="shared" si="82"/>
        <v>1.7914268263305508</v>
      </c>
      <c r="V90" s="636">
        <f t="shared" si="114"/>
        <v>-6.3882399731761755E-2</v>
      </c>
      <c r="W90" s="585">
        <f t="shared" si="645"/>
        <v>33.581995151359806</v>
      </c>
      <c r="X90" s="629">
        <f t="shared" si="83"/>
        <v>3.2387097679486603</v>
      </c>
      <c r="Y90" s="630">
        <f t="shared" si="644"/>
        <v>-6.3882399731761755E-2</v>
      </c>
      <c r="Z90" s="632">
        <f t="shared" si="468"/>
        <v>1.8894171699632192E-7</v>
      </c>
      <c r="AA90" s="629">
        <f t="shared" si="469"/>
        <v>1.254470117197652E-7</v>
      </c>
      <c r="AB90" s="629">
        <f t="shared" si="470"/>
        <v>-0.99999999999997435</v>
      </c>
      <c r="AC90" s="636">
        <f t="shared" si="84"/>
        <v>1</v>
      </c>
      <c r="AD90" s="637">
        <f t="shared" si="115"/>
        <v>1.8894171699632192E-7</v>
      </c>
      <c r="AE90" s="629">
        <f t="shared" si="85"/>
        <v>1.254470117197652E-7</v>
      </c>
      <c r="AF90" s="633">
        <f t="shared" si="86"/>
        <v>-0.99999999999997435</v>
      </c>
      <c r="AG90" s="602">
        <f t="shared" si="87"/>
        <v>7.1875843240708678E-6</v>
      </c>
      <c r="AH90" s="603">
        <f t="shared" si="88"/>
        <v>89.999989174437047</v>
      </c>
      <c r="AI90" s="585">
        <f t="shared" si="89"/>
        <v>-1.2976235990044085E-5</v>
      </c>
      <c r="AJ90" s="586">
        <f t="shared" si="90"/>
        <v>123.58199516882429</v>
      </c>
      <c r="AK90" s="635">
        <f t="shared" si="211"/>
        <v>2.267948967039098E-7</v>
      </c>
      <c r="AL90" s="629">
        <f t="shared" si="91"/>
        <v>6.9130117534126892E-17</v>
      </c>
      <c r="AM90" s="634">
        <f t="shared" si="92"/>
        <v>-0.99999999999997435</v>
      </c>
      <c r="AN90" s="581">
        <f t="shared" si="93"/>
        <v>3.9608639719489025E-15</v>
      </c>
      <c r="AO90" s="582">
        <f t="shared" si="461"/>
        <v>0</v>
      </c>
      <c r="AP90" s="585">
        <f t="shared" si="95"/>
        <v>1.746451983494088E-8</v>
      </c>
      <c r="AQ90" s="586">
        <f t="shared" si="471"/>
        <v>0.70386422756374345</v>
      </c>
      <c r="AS90" s="52">
        <f t="shared" si="543"/>
        <v>-326.41800484864018</v>
      </c>
      <c r="AT90" s="72">
        <f t="shared" si="472"/>
        <v>0.16279677030201617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6.2169999999999996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0.11700000000000001</v>
      </c>
      <c r="II90" s="734" cm="1">
        <f t="array" ref="II90">IFERROR(ROUND(VALUE(IF($IH90&lt;1,$IH90+LARGE((IF($M$9:$M$150="",0,$M$9:$M$150)-MOD(IF($M$9:$M$150="",0,$M$9:$M$150),1)),1),$IH90)),4),"")</f>
        <v>6.117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20.928996978226706</v>
      </c>
      <c r="IM90" s="759">
        <v>1.5722301177433302E-2</v>
      </c>
      <c r="IN90" s="5">
        <f t="shared" si="648"/>
        <v>0.26</v>
      </c>
      <c r="IO90" s="771">
        <v>130</v>
      </c>
      <c r="IP90" s="9">
        <f t="shared" si="649"/>
        <v>-3.2387097679486598</v>
      </c>
      <c r="IQ90" s="5">
        <f t="shared" si="650"/>
        <v>-8.8700267520006759E-2</v>
      </c>
      <c r="IR90" s="5">
        <f t="shared" si="518"/>
        <v>0.314</v>
      </c>
      <c r="IS90" s="5">
        <f t="shared" si="651"/>
        <v>0.30269822273614649</v>
      </c>
      <c r="IT90" s="727">
        <f t="shared" si="652"/>
        <v>13.706614564341326</v>
      </c>
      <c r="IU90" s="9">
        <f t="shared" si="653"/>
        <v>-3.2387097679486603</v>
      </c>
      <c r="IV90" s="5">
        <f t="shared" si="654"/>
        <v>-6.3882399731761755E-2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-3.9608639719489025E-15</v>
      </c>
    </row>
    <row r="91" spans="1:259" ht="15" customHeight="1" x14ac:dyDescent="0.25">
      <c r="A91" s="79"/>
      <c r="B91" s="707">
        <v>-2.6197878933988714</v>
      </c>
      <c r="C91" s="708">
        <v>3.064127954061016</v>
      </c>
      <c r="D91" s="709">
        <v>-0.17070864225958743</v>
      </c>
      <c r="E91" s="710">
        <v>-0.84126247840303936</v>
      </c>
      <c r="F91" s="708">
        <v>-0.45181331780479056</v>
      </c>
      <c r="G91" s="711">
        <v>0.29688746737678784</v>
      </c>
      <c r="H91" s="710">
        <v>0.26600000000000001</v>
      </c>
      <c r="I91" s="708">
        <v>0.52</v>
      </c>
      <c r="J91" s="570">
        <v>6.2229999999999999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6.2229999999999999</v>
      </c>
      <c r="N91" s="632">
        <f t="shared" si="465"/>
        <v>-2.6197878933988714</v>
      </c>
      <c r="O91" s="629">
        <f t="shared" si="466"/>
        <v>3.064127954061016</v>
      </c>
      <c r="P91" s="633">
        <f t="shared" si="467"/>
        <v>-0.17070864225958743</v>
      </c>
      <c r="Q91" s="585">
        <f t="shared" si="520"/>
        <v>130.52999414819288</v>
      </c>
      <c r="R91" s="629">
        <f t="shared" si="79"/>
        <v>4.0313978624364832</v>
      </c>
      <c r="S91" s="634">
        <f t="shared" si="80"/>
        <v>-0.17070864225958743</v>
      </c>
      <c r="T91" s="635">
        <f t="shared" si="81"/>
        <v>3.0641279540610147</v>
      </c>
      <c r="U91" s="629">
        <f t="shared" si="82"/>
        <v>2.6197878933988732</v>
      </c>
      <c r="V91" s="636">
        <f t="shared" si="114"/>
        <v>-0.17070864225958743</v>
      </c>
      <c r="W91" s="585">
        <f t="shared" si="645"/>
        <v>40.529994148192898</v>
      </c>
      <c r="X91" s="629">
        <f t="shared" si="83"/>
        <v>4.0313978624364832</v>
      </c>
      <c r="Y91" s="630">
        <f t="shared" si="644"/>
        <v>-0.17070864225958743</v>
      </c>
      <c r="Z91" s="632">
        <f t="shared" si="468"/>
        <v>0.84126247840303936</v>
      </c>
      <c r="AA91" s="629">
        <f t="shared" si="469"/>
        <v>0.45181331780479056</v>
      </c>
      <c r="AB91" s="629">
        <f t="shared" si="470"/>
        <v>-0.29688746737678784</v>
      </c>
      <c r="AC91" s="636">
        <f t="shared" si="84"/>
        <v>1</v>
      </c>
      <c r="AD91" s="637">
        <f t="shared" si="115"/>
        <v>0.84126247840303936</v>
      </c>
      <c r="AE91" s="629">
        <f t="shared" si="85"/>
        <v>0.45181331780479056</v>
      </c>
      <c r="AF91" s="633">
        <f t="shared" si="86"/>
        <v>-0.29688746737678784</v>
      </c>
      <c r="AG91" s="602">
        <f t="shared" si="87"/>
        <v>56.691001239218288</v>
      </c>
      <c r="AH91" s="603">
        <f t="shared" si="88"/>
        <v>32.72632468544063</v>
      </c>
      <c r="AI91" s="585">
        <f t="shared" si="89"/>
        <v>-72.729247250474231</v>
      </c>
      <c r="AJ91" s="586">
        <f t="shared" si="90"/>
        <v>118.23872524257881</v>
      </c>
      <c r="AK91" s="635">
        <f t="shared" si="211"/>
        <v>0.93302399445275153</v>
      </c>
      <c r="AL91" s="629">
        <f t="shared" si="91"/>
        <v>-0.2032831952966816</v>
      </c>
      <c r="AM91" s="634">
        <f t="shared" si="92"/>
        <v>-0.29688746737678784</v>
      </c>
      <c r="AN91" s="581">
        <f t="shared" si="93"/>
        <v>-34.400013632953325</v>
      </c>
      <c r="AO91" s="582">
        <f t="shared" si="461"/>
        <v>21.08878305703864</v>
      </c>
      <c r="AP91" s="585">
        <f t="shared" si="95"/>
        <v>-12.291268905614048</v>
      </c>
      <c r="AQ91" s="586">
        <f t="shared" si="471"/>
        <v>0.56547448066916717</v>
      </c>
      <c r="AS91" s="52">
        <f t="shared" si="543"/>
        <v>-319.47000585180712</v>
      </c>
      <c r="AT91" s="72">
        <f t="shared" si="472"/>
        <v>5.1145528470834201E-2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Nose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6.2229999999999999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0.123</v>
      </c>
      <c r="II91" s="734" cm="1">
        <f t="array" ref="II91">IFERROR(ROUND(VALUE(IF($IH91&lt;1,$IH91+LARGE((IF($M$9:$M$150="",0,$M$9:$M$150)-MOD(IF($M$9:$M$150="",0,$M$9:$M$150),1)),1),$IH91)),4),"")</f>
        <v>6.1230000000000002</v>
      </c>
      <c r="IJ91" s="533">
        <f t="shared" si="542"/>
        <v>1613</v>
      </c>
      <c r="IK91" s="533">
        <f t="shared" si="517"/>
        <v>1313</v>
      </c>
      <c r="IL91" s="727">
        <f t="shared" si="647"/>
        <v>13.061998114080751</v>
      </c>
      <c r="IM91" s="759">
        <v>8.7161214351581303E-3</v>
      </c>
      <c r="IN91" s="5">
        <f t="shared" si="648"/>
        <v>0.22</v>
      </c>
      <c r="IO91" s="771">
        <v>110</v>
      </c>
      <c r="IP91" s="9">
        <f t="shared" si="649"/>
        <v>-4.017512116816544</v>
      </c>
      <c r="IQ91" s="5">
        <f t="shared" si="650"/>
        <v>-0.21310064271153828</v>
      </c>
      <c r="IR91" s="5">
        <f t="shared" si="518"/>
        <v>0.314</v>
      </c>
      <c r="IS91" s="5">
        <f t="shared" si="651"/>
        <v>0.30114830197805081</v>
      </c>
      <c r="IT91" s="727">
        <f t="shared" si="652"/>
        <v>39.933312263755127</v>
      </c>
      <c r="IU91" s="9">
        <f t="shared" si="653"/>
        <v>-4.0313978624364832</v>
      </c>
      <c r="IV91" s="5">
        <f t="shared" si="654"/>
        <v>-0.17070864225958743</v>
      </c>
      <c r="IW91" s="5">
        <f t="shared" si="519"/>
        <v>0.26600000000000001</v>
      </c>
      <c r="IX91" s="5">
        <f t="shared" si="655"/>
        <v>0.24818438252443192</v>
      </c>
      <c r="IY91" s="762">
        <f t="shared" si="656"/>
        <v>34.400013632953325</v>
      </c>
    </row>
    <row r="92" spans="1:259" ht="15" customHeight="1" x14ac:dyDescent="0.25">
      <c r="A92" s="79"/>
      <c r="B92" s="707">
        <v>-3.1044057304530774</v>
      </c>
      <c r="C92" s="708">
        <v>3.562034943095743</v>
      </c>
      <c r="D92" s="709">
        <v>-0.58084703242644498</v>
      </c>
      <c r="E92" s="710">
        <v>-0.91154675063014445</v>
      </c>
      <c r="F92" s="708">
        <v>-0.34532781923094547</v>
      </c>
      <c r="G92" s="711">
        <v>0.22322907221243554</v>
      </c>
      <c r="H92" s="710">
        <v>0.26600000000000001</v>
      </c>
      <c r="I92" s="708">
        <v>0.52</v>
      </c>
      <c r="J92" s="570">
        <v>6.2290000000000001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6.2290000000000001</v>
      </c>
      <c r="N92" s="632">
        <f t="shared" si="465"/>
        <v>-3.1044057304530774</v>
      </c>
      <c r="O92" s="629">
        <f t="shared" si="466"/>
        <v>3.562034943095743</v>
      </c>
      <c r="P92" s="633">
        <f t="shared" si="467"/>
        <v>-0.58084703242644498</v>
      </c>
      <c r="Q92" s="585">
        <f t="shared" si="520"/>
        <v>131.07299406979334</v>
      </c>
      <c r="R92" s="629">
        <f t="shared" si="79"/>
        <v>4.7249791401767052</v>
      </c>
      <c r="S92" s="634">
        <f t="shared" si="80"/>
        <v>-0.58084703242644498</v>
      </c>
      <c r="T92" s="635">
        <f t="shared" si="81"/>
        <v>3.5620349430957434</v>
      </c>
      <c r="U92" s="629">
        <f t="shared" si="82"/>
        <v>3.1044057304530761</v>
      </c>
      <c r="V92" s="636">
        <f t="shared" si="114"/>
        <v>-0.58084703242644498</v>
      </c>
      <c r="W92" s="585">
        <f t="shared" si="645"/>
        <v>41.072994069793353</v>
      </c>
      <c r="X92" s="629">
        <f t="shared" si="83"/>
        <v>4.7249791401767052</v>
      </c>
      <c r="Y92" s="630">
        <f t="shared" si="644"/>
        <v>-0.58084703242644498</v>
      </c>
      <c r="Z92" s="632">
        <f t="shared" si="468"/>
        <v>0.91154675063014445</v>
      </c>
      <c r="AA92" s="629">
        <f t="shared" si="469"/>
        <v>0.34532781923094547</v>
      </c>
      <c r="AB92" s="629">
        <f t="shared" si="470"/>
        <v>-0.22322907221243554</v>
      </c>
      <c r="AC92" s="636">
        <f t="shared" si="84"/>
        <v>1</v>
      </c>
      <c r="AD92" s="637">
        <f t="shared" si="115"/>
        <v>0.91154675063014445</v>
      </c>
      <c r="AE92" s="629">
        <f t="shared" si="85"/>
        <v>0.34532781923094547</v>
      </c>
      <c r="AF92" s="633">
        <f t="shared" si="86"/>
        <v>-0.22322907221243554</v>
      </c>
      <c r="AG92" s="602">
        <f t="shared" si="87"/>
        <v>57.120299614986045</v>
      </c>
      <c r="AH92" s="603">
        <f t="shared" si="88"/>
        <v>24.280016175342254</v>
      </c>
      <c r="AI92" s="585">
        <f t="shared" si="89"/>
        <v>-77.101236936663412</v>
      </c>
      <c r="AJ92" s="586">
        <f t="shared" si="90"/>
        <v>110.74855157842119</v>
      </c>
      <c r="AK92" s="635">
        <f t="shared" si="211"/>
        <v>0.91407790612041651</v>
      </c>
      <c r="AL92" s="629">
        <f t="shared" si="91"/>
        <v>-0.33857106028379114</v>
      </c>
      <c r="AM92" s="634">
        <f t="shared" si="92"/>
        <v>-0.22322907221243554</v>
      </c>
      <c r="AN92" s="581">
        <f t="shared" si="93"/>
        <v>-56.602053392720165</v>
      </c>
      <c r="AO92" s="582">
        <f t="shared" si="461"/>
        <v>23.92488495667202</v>
      </c>
      <c r="AP92" s="585">
        <f t="shared" si="95"/>
        <v>-20.324442491372146</v>
      </c>
      <c r="AQ92" s="586">
        <f t="shared" si="471"/>
        <v>0.48247255275881507</v>
      </c>
      <c r="AS92" s="52">
        <f t="shared" si="543"/>
        <v>-318.92700593020663</v>
      </c>
      <c r="AT92" s="73">
        <f t="shared" si="472"/>
        <v>-0.35936994497491259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6.2290000000000001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0.129</v>
      </c>
      <c r="II92" s="734" cm="1">
        <f t="array" ref="II92">IFERROR(ROUND(VALUE(IF($IH92&lt;1,$IH92+LARGE((IF($M$9:$M$150="",0,$M$9:$M$150)-MOD(IF($M$9:$M$150="",0,$M$9:$M$150),1)),1),$IH92)),4),"")</f>
        <v>6.1289999999999996</v>
      </c>
      <c r="IJ92" s="533">
        <f t="shared" si="542"/>
        <v>1613</v>
      </c>
      <c r="IK92" s="533">
        <f t="shared" si="517"/>
        <v>1313</v>
      </c>
      <c r="IL92" s="727">
        <f t="shared" si="647"/>
        <v>11.527998335563012</v>
      </c>
      <c r="IM92" s="759">
        <v>6.5667674721937297E-3</v>
      </c>
      <c r="IN92" s="5">
        <f t="shared" si="648"/>
        <v>0.2</v>
      </c>
      <c r="IO92" s="771">
        <v>100</v>
      </c>
      <c r="IP92" s="9">
        <f t="shared" si="649"/>
        <v>-4.6964141643851205</v>
      </c>
      <c r="IQ92" s="5">
        <f t="shared" si="650"/>
        <v>-0.61820186449682302</v>
      </c>
      <c r="IR92" s="5">
        <f t="shared" si="518"/>
        <v>0.314</v>
      </c>
      <c r="IS92" s="5">
        <f t="shared" si="651"/>
        <v>0.2960351708707189</v>
      </c>
      <c r="IT92" s="727">
        <f t="shared" si="652"/>
        <v>62.367914828756547</v>
      </c>
      <c r="IU92" s="9">
        <f t="shared" si="653"/>
        <v>-4.7249791401767052</v>
      </c>
      <c r="IV92" s="5">
        <f t="shared" si="654"/>
        <v>-0.58084703242644498</v>
      </c>
      <c r="IW92" s="5">
        <f t="shared" si="519"/>
        <v>0.26600000000000001</v>
      </c>
      <c r="IX92" s="5">
        <f t="shared" si="655"/>
        <v>0.24314472302803081</v>
      </c>
      <c r="IY92" s="762">
        <f t="shared" si="656"/>
        <v>56.602053392720165</v>
      </c>
    </row>
    <row r="93" spans="1:259" ht="15" customHeight="1" x14ac:dyDescent="0.25">
      <c r="A93" s="79"/>
      <c r="B93" s="707">
        <v>-3.475928592362461</v>
      </c>
      <c r="C93" s="708">
        <v>3.9807442312081833</v>
      </c>
      <c r="D93" s="709">
        <v>-1.1415538076287457</v>
      </c>
      <c r="E93" s="710">
        <v>-0.94897292552942336</v>
      </c>
      <c r="F93" s="708">
        <v>-0.27207747466389809</v>
      </c>
      <c r="G93" s="711">
        <v>0.15944978643022198</v>
      </c>
      <c r="H93" s="710">
        <v>0.26600000000000001</v>
      </c>
      <c r="I93" s="708">
        <v>0.52</v>
      </c>
      <c r="J93" s="570">
        <v>6.2350000000000003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6.2350000000000003</v>
      </c>
      <c r="N93" s="632">
        <f t="shared" si="465"/>
        <v>-3.475928592362461</v>
      </c>
      <c r="O93" s="629">
        <f t="shared" si="466"/>
        <v>3.9807442312081833</v>
      </c>
      <c r="P93" s="633">
        <f t="shared" si="467"/>
        <v>-1.1415538076287457</v>
      </c>
      <c r="Q93" s="585">
        <f t="shared" si="520"/>
        <v>131.12699406199673</v>
      </c>
      <c r="R93" s="629">
        <f t="shared" si="79"/>
        <v>5.2847331260433679</v>
      </c>
      <c r="S93" s="634">
        <f t="shared" si="80"/>
        <v>-1.1415538076287457</v>
      </c>
      <c r="T93" s="635">
        <f t="shared" si="81"/>
        <v>3.9807442312081829</v>
      </c>
      <c r="U93" s="629">
        <f t="shared" si="82"/>
        <v>3.4759285923624614</v>
      </c>
      <c r="V93" s="636">
        <f t="shared" si="114"/>
        <v>-1.1415538076287457</v>
      </c>
      <c r="W93" s="585">
        <f t="shared" si="645"/>
        <v>41.12699406199674</v>
      </c>
      <c r="X93" s="629">
        <f t="shared" si="83"/>
        <v>5.2847331260433679</v>
      </c>
      <c r="Y93" s="630">
        <f t="shared" si="644"/>
        <v>-1.1415538076287457</v>
      </c>
      <c r="Z93" s="632">
        <f t="shared" si="468"/>
        <v>0.94897292552942336</v>
      </c>
      <c r="AA93" s="629">
        <f t="shared" si="469"/>
        <v>0.27207747466389809</v>
      </c>
      <c r="AB93" s="629">
        <f t="shared" si="470"/>
        <v>-0.15944978643022198</v>
      </c>
      <c r="AC93" s="636">
        <f t="shared" si="84"/>
        <v>1</v>
      </c>
      <c r="AD93" s="637">
        <f t="shared" si="115"/>
        <v>0.94897292552942336</v>
      </c>
      <c r="AE93" s="629">
        <f t="shared" si="85"/>
        <v>0.27207747466389809</v>
      </c>
      <c r="AF93" s="633">
        <f t="shared" si="86"/>
        <v>-0.15944978643022198</v>
      </c>
      <c r="AG93" s="602">
        <f t="shared" si="87"/>
        <v>59.627755728116938</v>
      </c>
      <c r="AH93" s="603">
        <f t="shared" si="88"/>
        <v>18.382400321574917</v>
      </c>
      <c r="AI93" s="585">
        <f t="shared" si="89"/>
        <v>-80.825038688690327</v>
      </c>
      <c r="AJ93" s="586">
        <f t="shared" si="90"/>
        <v>105.99798414269867</v>
      </c>
      <c r="AK93" s="635">
        <f t="shared" si="211"/>
        <v>0.89377084135416762</v>
      </c>
      <c r="AL93" s="629">
        <f t="shared" si="91"/>
        <v>-0.41922481886503327</v>
      </c>
      <c r="AM93" s="634">
        <f t="shared" si="92"/>
        <v>-0.15944978643022198</v>
      </c>
      <c r="AN93" s="581">
        <f t="shared" si="93"/>
        <v>-69.175971230509589</v>
      </c>
      <c r="AO93" s="582">
        <f t="shared" si="461"/>
        <v>26.649017871143446</v>
      </c>
      <c r="AP93" s="585">
        <f t="shared" si="95"/>
        <v>-25.12900991929806</v>
      </c>
      <c r="AQ93" s="586">
        <f t="shared" si="471"/>
        <v>0.43137155709010494</v>
      </c>
      <c r="AS93" s="52">
        <f t="shared" si="543"/>
        <v>-318.87300593800325</v>
      </c>
      <c r="AT93" s="73">
        <f t="shared" si="472"/>
        <v>-0.920114220171799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6.2350000000000003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0.13500000000000001</v>
      </c>
      <c r="II93" s="734" cm="1">
        <f t="array" ref="II93">IFERROR(ROUND(VALUE(IF($IH93&lt;1,$IH93+LARGE((IF($M$9:$M$150="",0,$M$9:$M$150)-MOD(IF($M$9:$M$150="",0,$M$9:$M$150),1)),1),$IH93)),4),"")</f>
        <v>6.1349999999999998</v>
      </c>
      <c r="IJ93" s="533">
        <f t="shared" si="542"/>
        <v>1613</v>
      </c>
      <c r="IK93" s="533">
        <f t="shared" si="517"/>
        <v>1313</v>
      </c>
      <c r="IL93" s="727">
        <f t="shared" si="647"/>
        <v>10.584998471715323</v>
      </c>
      <c r="IM93" s="759">
        <v>5.1435584928879001E-3</v>
      </c>
      <c r="IN93" s="5">
        <f t="shared" si="648"/>
        <v>0.18</v>
      </c>
      <c r="IO93" s="771">
        <v>90</v>
      </c>
      <c r="IP93" s="9">
        <f t="shared" si="649"/>
        <v>-5.2489158307301453</v>
      </c>
      <c r="IQ93" s="5">
        <f t="shared" si="650"/>
        <v>-1.174403542001083</v>
      </c>
      <c r="IR93" s="5">
        <f t="shared" si="518"/>
        <v>0.314</v>
      </c>
      <c r="IS93" s="5">
        <f t="shared" si="651"/>
        <v>0.29046628377165656</v>
      </c>
      <c r="IT93" s="727">
        <f t="shared" si="652"/>
        <v>74.711202752989109</v>
      </c>
      <c r="IU93" s="9">
        <f t="shared" si="653"/>
        <v>-5.2847331260433679</v>
      </c>
      <c r="IV93" s="5">
        <f t="shared" si="654"/>
        <v>-1.1415538076287457</v>
      </c>
      <c r="IW93" s="5">
        <f t="shared" si="519"/>
        <v>0.26600000000000001</v>
      </c>
      <c r="IX93" s="5">
        <f t="shared" si="655"/>
        <v>0.23774304380020861</v>
      </c>
      <c r="IY93" s="762">
        <f t="shared" si="656"/>
        <v>69.175971230509589</v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0.90630778703665005</v>
      </c>
      <c r="F154" s="170">
        <f t="shared" si="929"/>
        <v>0.10938163951632578</v>
      </c>
      <c r="G154" s="170">
        <f t="shared" si="929"/>
        <v>-0.40821789781126816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0.95371696400905337</v>
      </c>
      <c r="F155" s="170">
        <f t="shared" si="929"/>
        <v>7.7828366019961556E-2</v>
      </c>
      <c r="G155" s="170">
        <f t="shared" si="929"/>
        <v>-0.29045946017304541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0.29580089213549071</v>
      </c>
      <c r="AN155">
        <v>-0.77780234585187513</v>
      </c>
      <c r="AO155">
        <v>-0.90630778703665005</v>
      </c>
      <c r="AP155">
        <v>-0.10938163951632578</v>
      </c>
      <c r="AQ155">
        <v>0.40821789781126816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0.95371696400905337</v>
      </c>
      <c r="F156" s="170">
        <f t="shared" si="929"/>
        <v>7.7828366019961556E-2</v>
      </c>
      <c r="G156" s="170">
        <f t="shared" si="929"/>
        <v>-0.29045946017304541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0.95530288119348972</v>
      </c>
      <c r="AN156">
        <v>-0.65600197850196729</v>
      </c>
      <c r="AO156">
        <v>-0.95371696400905337</v>
      </c>
      <c r="AP156">
        <v>-7.7828366019961556E-2</v>
      </c>
      <c r="AQ156">
        <v>0.29045946017304541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0.95630476848795665</v>
      </c>
      <c r="F157" s="170">
        <f t="shared" si="929"/>
        <v>7.5671344153417044E-2</v>
      </c>
      <c r="G157" s="170">
        <f t="shared" si="929"/>
        <v>-0.28240934375691407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2.0702285576986995E-16</v>
      </c>
      <c r="AM157">
        <v>1.6496049752086053</v>
      </c>
      <c r="AN157">
        <v>-0.46990141722267453</v>
      </c>
      <c r="AO157">
        <v>-0.95371696400905337</v>
      </c>
      <c r="AP157">
        <v>-7.7828366019961556E-2</v>
      </c>
      <c r="AQ157">
        <v>0.29045946017304541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0.96417774386692023</v>
      </c>
      <c r="F158" s="170">
        <f t="shared" si="929"/>
        <v>-5.9715029040725655E-2</v>
      </c>
      <c r="G158" s="170">
        <f t="shared" si="929"/>
        <v>-0.25844804804517452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5.8478621114375639E-16</v>
      </c>
      <c r="AM158">
        <v>2.3439070692237212</v>
      </c>
      <c r="AN158">
        <v>-0.28390085624498246</v>
      </c>
      <c r="AO158">
        <v>-0.95630476848795665</v>
      </c>
      <c r="AP158">
        <v>-7.5671344153417044E-2</v>
      </c>
      <c r="AQ158">
        <v>0.28240934375691407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0.95586018115585403</v>
      </c>
      <c r="F159" s="170">
        <f t="shared" si="929"/>
        <v>-0.1854289707309883</v>
      </c>
      <c r="G159" s="170">
        <f t="shared" si="929"/>
        <v>-0.22791974660907327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1.9954311332655683E-2</v>
      </c>
      <c r="AM159">
        <v>3.1067452885343969</v>
      </c>
      <c r="AN159">
        <v>-0.10060030341051504</v>
      </c>
      <c r="AO159">
        <v>-0.96417774386692023</v>
      </c>
      <c r="AP159">
        <v>5.9715029040725655E-2</v>
      </c>
      <c r="AQ159">
        <v>0.25844804804517452</v>
      </c>
      <c r="AR159">
        <v>0.314</v>
      </c>
      <c r="AS159">
        <v>0.52</v>
      </c>
      <c r="AT159">
        <v>1.1160000000000001</v>
      </c>
    </row>
    <row r="160" spans="1:259" x14ac:dyDescent="0.25">
      <c r="E160" s="170">
        <f t="shared" si="929"/>
        <v>0.93230915244551815</v>
      </c>
      <c r="F160" s="170">
        <f t="shared" si="929"/>
        <v>-0.31764567031328539</v>
      </c>
      <c r="G160" s="170">
        <f t="shared" si="929"/>
        <v>-0.17291868724213477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9.4222025530009468E-2</v>
      </c>
      <c r="AM160">
        <v>3.8914712345335127</v>
      </c>
      <c r="AN160">
        <v>-0.17010051302314744</v>
      </c>
      <c r="AO160">
        <v>-0.95586018115585403</v>
      </c>
      <c r="AP160">
        <v>0.1854289707309883</v>
      </c>
      <c r="AQ160">
        <v>0.22791974660907327</v>
      </c>
      <c r="AR160">
        <v>0.314</v>
      </c>
      <c r="AS160">
        <v>0.52</v>
      </c>
      <c r="AT160">
        <v>1.1220000000000001</v>
      </c>
    </row>
    <row r="161" spans="5:46" x14ac:dyDescent="0.25">
      <c r="E161" s="170">
        <f t="shared" si="929"/>
        <v>0.90499966962955947</v>
      </c>
      <c r="F161" s="170">
        <f t="shared" si="929"/>
        <v>-0.40976023889093377</v>
      </c>
      <c r="G161" s="170">
        <f t="shared" si="929"/>
        <v>-0.11433347976176172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0.17909798563868753</v>
      </c>
      <c r="AM161">
        <v>4.5869187018133273</v>
      </c>
      <c r="AN161">
        <v>-0.53800162261289419</v>
      </c>
      <c r="AO161">
        <v>-0.93230915244551815</v>
      </c>
      <c r="AP161">
        <v>0.31764567031328539</v>
      </c>
      <c r="AQ161">
        <v>0.17291868724213477</v>
      </c>
      <c r="AR161">
        <v>0.314</v>
      </c>
      <c r="AS161">
        <v>0.52</v>
      </c>
      <c r="AT161">
        <v>1.1279999999999999</v>
      </c>
    </row>
    <row r="162" spans="5:46" x14ac:dyDescent="0.25">
      <c r="E162" s="170">
        <f t="shared" si="929"/>
        <v>0.8643867520936086</v>
      </c>
      <c r="F162" s="170">
        <f t="shared" si="929"/>
        <v>-0.49755378539724004</v>
      </c>
      <c r="G162" s="170">
        <f t="shared" si="929"/>
        <v>-7.2634519630406541E-2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0.28446667968757811</v>
      </c>
      <c r="AM162">
        <v>5.1607815115827105</v>
      </c>
      <c r="AN162">
        <v>-1.0747032413049757</v>
      </c>
      <c r="AO162">
        <v>-0.90499966962955947</v>
      </c>
      <c r="AP162">
        <v>0.40976023889093377</v>
      </c>
      <c r="AQ162">
        <v>0.11433347976176172</v>
      </c>
      <c r="AR162">
        <v>0.314</v>
      </c>
      <c r="AS162">
        <v>0.52</v>
      </c>
      <c r="AT162">
        <v>1.1339999999999999</v>
      </c>
    </row>
    <row r="163" spans="5:46" x14ac:dyDescent="0.25">
      <c r="E163" s="170">
        <f t="shared" si="929"/>
        <v>0.82354452791852717</v>
      </c>
      <c r="F163" s="170">
        <f t="shared" si="929"/>
        <v>-0.56701356068580688</v>
      </c>
      <c r="G163" s="170">
        <f t="shared" si="929"/>
        <v>-1.6432666668954932E-2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0.37357246759820412</v>
      </c>
      <c r="AM163">
        <v>5.5641903359774867</v>
      </c>
      <c r="AN163">
        <v>-1.7030051362634906</v>
      </c>
      <c r="AO163">
        <v>-0.8643867520936086</v>
      </c>
      <c r="AP163">
        <v>0.49755378539724004</v>
      </c>
      <c r="AQ163">
        <v>7.2634519630406541E-2</v>
      </c>
      <c r="AR163">
        <v>0.314</v>
      </c>
      <c r="AS163">
        <v>0.52</v>
      </c>
      <c r="AT163">
        <v>1.1399999999999999</v>
      </c>
    </row>
    <row r="164" spans="5:46" x14ac:dyDescent="0.25">
      <c r="E164" s="170">
        <f t="shared" si="929"/>
        <v>0.68572198161877473</v>
      </c>
      <c r="F164" s="170">
        <f t="shared" si="929"/>
        <v>-0.72723314954825724</v>
      </c>
      <c r="G164" s="170">
        <f t="shared" si="929"/>
        <v>-3.0287128007505187E-2</v>
      </c>
      <c r="H164" s="139"/>
      <c r="I164" s="86"/>
      <c r="J164" s="79">
        <f t="shared" si="930"/>
        <v>1.1519999999999999</v>
      </c>
      <c r="AL164">
        <v>0.4316458554460546</v>
      </c>
      <c r="AM164">
        <v>5.8002785799487784</v>
      </c>
      <c r="AN164">
        <v>-2.4257073159332645</v>
      </c>
      <c r="AO164">
        <v>-0.82354452791852717</v>
      </c>
      <c r="AP164">
        <v>0.56701356068580688</v>
      </c>
      <c r="AQ164">
        <v>1.6432666668954932E-2</v>
      </c>
      <c r="AR164">
        <v>0.314</v>
      </c>
      <c r="AS164">
        <v>0.52</v>
      </c>
      <c r="AT164">
        <v>1.1459999999999999</v>
      </c>
    </row>
    <row r="165" spans="5:46" x14ac:dyDescent="0.25">
      <c r="E165" s="170">
        <f t="shared" si="929"/>
        <v>0.10807004756889957</v>
      </c>
      <c r="F165" s="170">
        <f t="shared" si="929"/>
        <v>0.23517683565077369</v>
      </c>
      <c r="G165" s="170">
        <f t="shared" si="929"/>
        <v>-0.96592583607218252</v>
      </c>
      <c r="H165" s="139"/>
      <c r="I165" s="86"/>
      <c r="J165" s="79">
        <f t="shared" si="930"/>
        <v>1.21</v>
      </c>
      <c r="AL165">
        <v>0.46457871593623495</v>
      </c>
      <c r="AM165">
        <v>5.9268376733963555</v>
      </c>
      <c r="AN165">
        <v>-3.093709330627342</v>
      </c>
      <c r="AO165">
        <v>-0.68572198161877473</v>
      </c>
      <c r="AP165">
        <v>0.72723314954825724</v>
      </c>
      <c r="AQ165">
        <v>3.0287128007505187E-2</v>
      </c>
      <c r="AR165">
        <v>0.26600000000000001</v>
      </c>
      <c r="AS165">
        <v>0.52</v>
      </c>
      <c r="AT165">
        <v>1.1519999999999999</v>
      </c>
    </row>
    <row r="166" spans="5:46" x14ac:dyDescent="0.25">
      <c r="E166" s="170">
        <f t="shared" si="929"/>
        <v>2.1221822556275659E-7</v>
      </c>
      <c r="F166" s="170">
        <f t="shared" si="929"/>
        <v>-7.9995936761805435E-8</v>
      </c>
      <c r="G166" s="170">
        <f t="shared" si="929"/>
        <v>-0.99999999999997435</v>
      </c>
      <c r="H166" s="139"/>
      <c r="I166" s="86"/>
      <c r="J166" s="79">
        <f t="shared" si="930"/>
        <v>1.216</v>
      </c>
      <c r="AL166">
        <v>0.97477023851973221</v>
      </c>
      <c r="AM166">
        <v>2.1212529724130924</v>
      </c>
      <c r="AN166">
        <v>-0.26593288859718611</v>
      </c>
      <c r="AO166">
        <v>-0.10807004756889957</v>
      </c>
      <c r="AP166">
        <v>-0.23517683565077369</v>
      </c>
      <c r="AQ166">
        <v>0.96592583607218252</v>
      </c>
      <c r="AR166">
        <v>0.26250000000000001</v>
      </c>
      <c r="AS166">
        <v>0.41199999999999998</v>
      </c>
      <c r="AT166">
        <v>1.21</v>
      </c>
    </row>
    <row r="167" spans="5:46" x14ac:dyDescent="0.25">
      <c r="E167" s="170">
        <f t="shared" si="929"/>
        <v>-6.9151740354997049E-2</v>
      </c>
      <c r="F167" s="170">
        <f t="shared" si="929"/>
        <v>-0.20149434081294113</v>
      </c>
      <c r="G167" s="170">
        <f t="shared" si="929"/>
        <v>-0.9770455810381794</v>
      </c>
      <c r="H167" s="139"/>
      <c r="I167" s="86"/>
      <c r="J167" s="79">
        <f t="shared" si="930"/>
        <v>1.222</v>
      </c>
      <c r="AL167">
        <v>1.0958453190276216</v>
      </c>
      <c r="AM167">
        <v>2.9071270180603888</v>
      </c>
      <c r="AN167">
        <v>-7.5335906497760174E-2</v>
      </c>
      <c r="AO167">
        <v>-2.1221822556275659E-7</v>
      </c>
      <c r="AP167">
        <v>7.9995936761805435E-8</v>
      </c>
      <c r="AQ167">
        <v>0.99999999999997435</v>
      </c>
      <c r="AR167">
        <v>0.26250000000000001</v>
      </c>
      <c r="AS167">
        <v>0.41199999999999998</v>
      </c>
      <c r="AT167">
        <v>1.216</v>
      </c>
    </row>
    <row r="168" spans="5:46" x14ac:dyDescent="0.25">
      <c r="E168" s="170">
        <f t="shared" si="929"/>
        <v>0.81069241601535991</v>
      </c>
      <c r="F168" s="170">
        <f t="shared" si="929"/>
        <v>-0.53236936634505516</v>
      </c>
      <c r="G168" s="170">
        <f t="shared" si="929"/>
        <v>-0.24364044079861458</v>
      </c>
      <c r="H168" s="139"/>
      <c r="I168" s="86"/>
      <c r="J168" s="79">
        <f t="shared" si="930"/>
        <v>1.228</v>
      </c>
      <c r="AL168">
        <v>1.2663050856780664</v>
      </c>
      <c r="AM168">
        <v>3.6897469603974185</v>
      </c>
      <c r="AN168">
        <v>-0.14384288377647353</v>
      </c>
      <c r="AO168">
        <v>6.9151740354997049E-2</v>
      </c>
      <c r="AP168">
        <v>0.20149434081294113</v>
      </c>
      <c r="AQ168">
        <v>0.9770455810381794</v>
      </c>
      <c r="AR168">
        <v>0.26250000000000001</v>
      </c>
      <c r="AS168">
        <v>0.41199999999999998</v>
      </c>
      <c r="AT168">
        <v>1.222</v>
      </c>
    </row>
    <row r="169" spans="5:46" x14ac:dyDescent="0.25">
      <c r="E169" s="170">
        <f t="shared" si="929"/>
        <v>0.77041746329474337</v>
      </c>
      <c r="F169" s="170">
        <f t="shared" si="929"/>
        <v>-0.61300816900574651</v>
      </c>
      <c r="G169" s="170">
        <f t="shared" si="929"/>
        <v>-0.17515112612459907</v>
      </c>
      <c r="H169" s="139"/>
      <c r="I169" s="86"/>
      <c r="J169" s="79">
        <f t="shared" si="930"/>
        <v>1.234</v>
      </c>
      <c r="AL169">
        <v>1.1146983674289672</v>
      </c>
      <c r="AM169">
        <v>4.4801376126839063</v>
      </c>
      <c r="AN169">
        <v>-0.49944999703275911</v>
      </c>
      <c r="AO169">
        <v>-0.81069241601535991</v>
      </c>
      <c r="AP169">
        <v>0.53236936634505516</v>
      </c>
      <c r="AQ169">
        <v>0.24364044079861458</v>
      </c>
      <c r="AR169">
        <v>0.26600000000000001</v>
      </c>
      <c r="AS169">
        <v>0.52</v>
      </c>
      <c r="AT169">
        <v>1.228</v>
      </c>
    </row>
    <row r="170" spans="5:46" x14ac:dyDescent="0.25">
      <c r="E170" s="170">
        <f t="shared" si="929"/>
        <v>0.71403223566811036</v>
      </c>
      <c r="F170" s="170">
        <f t="shared" si="929"/>
        <v>-0.68931247286983632</v>
      </c>
      <c r="G170" s="170">
        <f t="shared" si="929"/>
        <v>-0.12250012723614433</v>
      </c>
      <c r="H170" s="139"/>
      <c r="I170" s="86"/>
      <c r="J170" s="79">
        <f t="shared" si="930"/>
        <v>1.24</v>
      </c>
      <c r="AL170">
        <v>1.2468037090513484</v>
      </c>
      <c r="AM170">
        <v>5.0517100597787614</v>
      </c>
      <c r="AN170">
        <v>-1.0409552142748806</v>
      </c>
      <c r="AO170">
        <v>-0.77041746329474337</v>
      </c>
      <c r="AP170">
        <v>0.61300816900574651</v>
      </c>
      <c r="AQ170">
        <v>0.17515112612459907</v>
      </c>
      <c r="AR170">
        <v>0.26600000000000001</v>
      </c>
      <c r="AS170">
        <v>0.52</v>
      </c>
      <c r="AT170">
        <v>1.234</v>
      </c>
    </row>
    <row r="171" spans="5:46" x14ac:dyDescent="0.25">
      <c r="E171" s="170">
        <f t="shared" si="929"/>
        <v>0.37508046727942568</v>
      </c>
      <c r="F171" s="170">
        <f t="shared" si="929"/>
        <v>-0.88972076504303765</v>
      </c>
      <c r="G171" s="170">
        <f t="shared" si="929"/>
        <v>-0.26021453325415861</v>
      </c>
      <c r="H171" s="139"/>
      <c r="I171" s="86"/>
      <c r="J171" s="79">
        <f t="shared" si="930"/>
        <v>2.1150000000000002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1.3551694413349948</v>
      </c>
      <c r="AM171">
        <v>5.4519055825635636</v>
      </c>
      <c r="AN171">
        <v>-1.6748127574795122</v>
      </c>
      <c r="AO171">
        <v>-0.71403223566811036</v>
      </c>
      <c r="AP171">
        <v>0.68931247286983632</v>
      </c>
      <c r="AQ171">
        <v>0.12250012723614433</v>
      </c>
      <c r="AR171">
        <v>0.26600000000000001</v>
      </c>
      <c r="AS171">
        <v>0.52</v>
      </c>
      <c r="AT171">
        <v>1.24</v>
      </c>
    </row>
    <row r="172" spans="5:46" x14ac:dyDescent="0.25">
      <c r="E172" s="170">
        <f t="shared" si="929"/>
        <v>0.26035268992204236</v>
      </c>
      <c r="F172" s="170">
        <f t="shared" si="929"/>
        <v>-0.93582603174512669</v>
      </c>
      <c r="G172" s="170">
        <f t="shared" si="929"/>
        <v>-0.23758391182596122</v>
      </c>
      <c r="H172" s="139"/>
      <c r="I172" s="86"/>
      <c r="J172" s="79">
        <f t="shared" si="930"/>
        <v>2.121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2.6906772805105499</v>
      </c>
      <c r="AM172">
        <v>1.2403598519739438</v>
      </c>
      <c r="AN172">
        <v>-0.12250036946111431</v>
      </c>
      <c r="AO172">
        <v>-0.37508046727942568</v>
      </c>
      <c r="AP172">
        <v>0.88972076504303765</v>
      </c>
      <c r="AQ172">
        <v>0.26021453325415861</v>
      </c>
      <c r="AR172">
        <v>0.314</v>
      </c>
      <c r="AS172">
        <v>0.52</v>
      </c>
      <c r="AT172">
        <v>2.1150000000000002</v>
      </c>
    </row>
    <row r="173" spans="5:46" x14ac:dyDescent="0.25">
      <c r="E173" s="170">
        <f t="shared" si="929"/>
        <v>0.12373090120521547</v>
      </c>
      <c r="F173" s="170">
        <f t="shared" si="929"/>
        <v>-0.97391041776539722</v>
      </c>
      <c r="G173" s="170">
        <f t="shared" si="929"/>
        <v>-0.19023449281077981</v>
      </c>
      <c r="H173" s="139"/>
      <c r="I173" s="86"/>
      <c r="J173" s="79">
        <f t="shared" si="930"/>
        <v>2.1269999999999998</v>
      </c>
      <c r="O173">
        <f>IF($J24="","",IFERROR(INDEX(Settings!$AK$14:$AK$32,MATCH((((ROUND($H24,6)*2)*1000000)+ROUND($I24,6)),Settings!$AI$14:$AI$32,0)),"Undefined"))</f>
        <v>1313</v>
      </c>
      <c r="AL173">
        <v>3.4413174724550859</v>
      </c>
      <c r="AM173">
        <v>1.5265600661269618</v>
      </c>
      <c r="AN173">
        <v>-0.13580040957403519</v>
      </c>
      <c r="AO173">
        <v>-0.26035268992204236</v>
      </c>
      <c r="AP173">
        <v>0.93582603174512669</v>
      </c>
      <c r="AQ173">
        <v>0.23758391182596122</v>
      </c>
      <c r="AR173">
        <v>0.314</v>
      </c>
      <c r="AS173">
        <v>0.52</v>
      </c>
      <c r="AT173">
        <v>2.121</v>
      </c>
    </row>
    <row r="174" spans="5:46" x14ac:dyDescent="0.25">
      <c r="E174" s="170">
        <f t="shared" ref="E174:G193" si="933">E29*-1</f>
        <v>2.10240628028215E-2</v>
      </c>
      <c r="F174" s="170">
        <f t="shared" si="933"/>
        <v>-0.99148863434454815</v>
      </c>
      <c r="G174" s="170">
        <f t="shared" si="933"/>
        <v>-0.12848453894864467</v>
      </c>
      <c r="H174" s="139"/>
      <c r="I174" s="86"/>
      <c r="J174" s="79">
        <f t="shared" si="930"/>
        <v>2.133</v>
      </c>
      <c r="AL174">
        <v>4.1277913535969653</v>
      </c>
      <c r="AM174">
        <v>1.7461063309780582</v>
      </c>
      <c r="AN174">
        <v>-0.46270139550740941</v>
      </c>
      <c r="AO174">
        <v>-0.12373090120521547</v>
      </c>
      <c r="AP174">
        <v>0.97391041776539722</v>
      </c>
      <c r="AQ174">
        <v>0.19023449281077981</v>
      </c>
      <c r="AR174">
        <v>0.314</v>
      </c>
      <c r="AS174">
        <v>0.52</v>
      </c>
      <c r="AT174">
        <v>2.1269999999999998</v>
      </c>
    </row>
    <row r="175" spans="5:46" x14ac:dyDescent="0.25">
      <c r="E175" s="170">
        <f t="shared" si="933"/>
        <v>-7.9461272025170171E-2</v>
      </c>
      <c r="F175" s="170">
        <f t="shared" si="933"/>
        <v>-0.99300570876846372</v>
      </c>
      <c r="G175" s="170">
        <f t="shared" si="933"/>
        <v>-8.7324501724218087E-2</v>
      </c>
      <c r="H175" s="139"/>
      <c r="I175" s="86"/>
      <c r="J175" s="79">
        <f t="shared" si="930"/>
        <v>2.1389999999999998</v>
      </c>
      <c r="AL175">
        <v>4.7128177769452186</v>
      </c>
      <c r="AM175">
        <v>1.9011037890003322</v>
      </c>
      <c r="AN175">
        <v>-0.97580294302167569</v>
      </c>
      <c r="AO175">
        <v>-2.10240628028215E-2</v>
      </c>
      <c r="AP175">
        <v>0.99148863434454815</v>
      </c>
      <c r="AQ175">
        <v>0.12848453894864467</v>
      </c>
      <c r="AR175">
        <v>0.314</v>
      </c>
      <c r="AS175">
        <v>0.52</v>
      </c>
      <c r="AT175">
        <v>2.133</v>
      </c>
    </row>
    <row r="176" spans="5:46" x14ac:dyDescent="0.25">
      <c r="E176" s="170">
        <f t="shared" si="933"/>
        <v>-0.14820300665637398</v>
      </c>
      <c r="F176" s="170">
        <f t="shared" si="933"/>
        <v>-0.98827232172253021</v>
      </c>
      <c r="G176" s="170">
        <f t="shared" si="933"/>
        <v>-3.6792484764834557E-2</v>
      </c>
      <c r="H176" s="139"/>
      <c r="I176" s="86"/>
      <c r="J176" s="79">
        <f t="shared" si="930"/>
        <v>2.145</v>
      </c>
      <c r="AL176">
        <v>5.1443976890797058</v>
      </c>
      <c r="AM176">
        <v>2.0011627165766379</v>
      </c>
      <c r="AN176">
        <v>-1.5921048017880823</v>
      </c>
      <c r="AO176">
        <v>7.9461272025170171E-2</v>
      </c>
      <c r="AP176">
        <v>0.99300570876846372</v>
      </c>
      <c r="AQ176">
        <v>8.7324501724218087E-2</v>
      </c>
      <c r="AR176">
        <v>0.314</v>
      </c>
      <c r="AS176">
        <v>0.52</v>
      </c>
      <c r="AT176">
        <v>2.1389999999999998</v>
      </c>
    </row>
    <row r="177" spans="5:46" x14ac:dyDescent="0.25">
      <c r="E177" s="170">
        <f t="shared" si="933"/>
        <v>-0.36929912498471312</v>
      </c>
      <c r="F177" s="170">
        <f t="shared" si="933"/>
        <v>-0.92881690669506145</v>
      </c>
      <c r="G177" s="170">
        <f t="shared" si="933"/>
        <v>-3.0287128007504896E-2</v>
      </c>
      <c r="H177" s="139"/>
      <c r="I177" s="86"/>
      <c r="J177" s="79">
        <f t="shared" si="930"/>
        <v>2.1509999999999998</v>
      </c>
      <c r="AL177">
        <v>5.4130172672845003</v>
      </c>
      <c r="AM177">
        <v>2.0551268287786679</v>
      </c>
      <c r="AN177">
        <v>-2.3013069407417324</v>
      </c>
      <c r="AO177">
        <v>0.14820300665637398</v>
      </c>
      <c r="AP177">
        <v>0.98827232172253021</v>
      </c>
      <c r="AQ177">
        <v>3.6792484764834557E-2</v>
      </c>
      <c r="AR177">
        <v>0.314</v>
      </c>
      <c r="AS177">
        <v>0.52</v>
      </c>
      <c r="AT177">
        <v>2.145</v>
      </c>
    </row>
    <row r="178" spans="5:46" x14ac:dyDescent="0.25">
      <c r="E178" s="170">
        <f t="shared" si="933"/>
        <v>-0.16246631830760658</v>
      </c>
      <c r="F178" s="170">
        <f t="shared" si="933"/>
        <v>-1.6734925279661892E-2</v>
      </c>
      <c r="G178" s="170">
        <f t="shared" si="933"/>
        <v>-0.98657216547572213</v>
      </c>
      <c r="H178" s="139"/>
      <c r="I178" s="86"/>
      <c r="J178" s="79">
        <f t="shared" si="930"/>
        <v>2.2210000000000001</v>
      </c>
      <c r="AL178">
        <v>5.5678801342868232</v>
      </c>
      <c r="AM178">
        <v>2.0837343881371835</v>
      </c>
      <c r="AN178">
        <v>-2.9723089644838367</v>
      </c>
      <c r="AO178">
        <v>0.36929912498471312</v>
      </c>
      <c r="AP178">
        <v>0.92881690669506145</v>
      </c>
      <c r="AQ178">
        <v>3.0287128007504896E-2</v>
      </c>
      <c r="AR178">
        <v>0.26600000000000001</v>
      </c>
      <c r="AS178">
        <v>0.52</v>
      </c>
      <c r="AT178">
        <v>2.1509999999999998</v>
      </c>
    </row>
    <row r="179" spans="5:46" x14ac:dyDescent="0.25">
      <c r="E179" s="170">
        <f t="shared" si="933"/>
        <v>-0.12199800272775582</v>
      </c>
      <c r="F179" s="170">
        <f t="shared" si="933"/>
        <v>-0.95707656897189897</v>
      </c>
      <c r="G179" s="170">
        <f t="shared" si="933"/>
        <v>-0.2629085933464641</v>
      </c>
      <c r="H179" s="139"/>
      <c r="I179" s="86"/>
      <c r="J179" s="79">
        <f t="shared" si="930"/>
        <v>2.2269999999999999</v>
      </c>
      <c r="AL179">
        <v>3.7512907474630404</v>
      </c>
      <c r="AM179">
        <v>0.38639833622157255</v>
      </c>
      <c r="AN179">
        <v>-0.1095053916641871</v>
      </c>
      <c r="AO179">
        <v>0.16246631830760658</v>
      </c>
      <c r="AP179">
        <v>1.6734925279661892E-2</v>
      </c>
      <c r="AQ179">
        <v>0.98657216547572213</v>
      </c>
      <c r="AR179">
        <v>0.26250000000000001</v>
      </c>
      <c r="AS179">
        <v>0.41199999999999998</v>
      </c>
      <c r="AT179">
        <v>2.2210000000000001</v>
      </c>
    </row>
    <row r="180" spans="5:46" x14ac:dyDescent="0.25">
      <c r="E180" s="170">
        <f t="shared" si="933"/>
        <v>-0.22030773833150216</v>
      </c>
      <c r="F180" s="170">
        <f t="shared" si="933"/>
        <v>-0.95659006029018667</v>
      </c>
      <c r="G180" s="170">
        <f t="shared" si="933"/>
        <v>-0.19078772755414714</v>
      </c>
      <c r="H180" s="139"/>
      <c r="I180" s="86"/>
      <c r="J180" s="79">
        <f t="shared" si="930"/>
        <v>2.2330000000000001</v>
      </c>
      <c r="AL180">
        <v>4.4236095026531705</v>
      </c>
      <c r="AM180">
        <v>0.85729565262507823</v>
      </c>
      <c r="AN180">
        <v>-0.42307629272112002</v>
      </c>
      <c r="AO180">
        <v>0.12199800272775582</v>
      </c>
      <c r="AP180">
        <v>0.95707656897189897</v>
      </c>
      <c r="AQ180">
        <v>0.2629085933464641</v>
      </c>
      <c r="AR180">
        <v>0.26600000000000001</v>
      </c>
      <c r="AS180">
        <v>0.52</v>
      </c>
      <c r="AT180">
        <v>2.2269999999999999</v>
      </c>
    </row>
    <row r="181" spans="5:46" x14ac:dyDescent="0.25">
      <c r="E181" s="170">
        <f t="shared" si="933"/>
        <v>-0.31682175005099489</v>
      </c>
      <c r="F181" s="170">
        <f t="shared" si="933"/>
        <v>-0.93828224905670921</v>
      </c>
      <c r="G181" s="170">
        <f t="shared" si="933"/>
        <v>-0.13874581002577546</v>
      </c>
      <c r="H181" s="139"/>
      <c r="I181" s="86"/>
      <c r="J181" s="79">
        <f t="shared" si="930"/>
        <v>2.2389999999999999</v>
      </c>
      <c r="AL181">
        <v>5.0189504238750438</v>
      </c>
      <c r="AM181">
        <v>0.98831448836925651</v>
      </c>
      <c r="AN181">
        <v>-0.94118575192477671</v>
      </c>
      <c r="AO181">
        <v>0.22030773833150216</v>
      </c>
      <c r="AP181">
        <v>0.95659006029018667</v>
      </c>
      <c r="AQ181">
        <v>0.19078772755414714</v>
      </c>
      <c r="AR181">
        <v>0.26600000000000001</v>
      </c>
      <c r="AS181">
        <v>0.52</v>
      </c>
      <c r="AT181">
        <v>2.2330000000000001</v>
      </c>
    </row>
    <row r="182" spans="5:46" x14ac:dyDescent="0.25">
      <c r="E182" s="170">
        <f t="shared" si="933"/>
        <v>-0.4664736348621018</v>
      </c>
      <c r="F182" s="170">
        <f t="shared" si="933"/>
        <v>-0.8205246022327658</v>
      </c>
      <c r="G182" s="170">
        <f t="shared" si="933"/>
        <v>-0.33036604714967333</v>
      </c>
      <c r="H182" s="139"/>
      <c r="I182" s="86"/>
      <c r="J182" s="79">
        <f t="shared" si="930"/>
        <v>3.1030000000000002</v>
      </c>
      <c r="AL182">
        <v>5.4567664899460446</v>
      </c>
      <c r="AM182">
        <v>1.0668131306965287</v>
      </c>
      <c r="AN182">
        <v>-1.5629016465353356</v>
      </c>
      <c r="AO182">
        <v>0.31682175005099489</v>
      </c>
      <c r="AP182">
        <v>0.93828224905670921</v>
      </c>
      <c r="AQ182">
        <v>0.13874581002577546</v>
      </c>
      <c r="AR182">
        <v>0.26600000000000001</v>
      </c>
      <c r="AS182">
        <v>0.52</v>
      </c>
      <c r="AT182">
        <v>2.2389999999999999</v>
      </c>
    </row>
    <row r="183" spans="5:46" x14ac:dyDescent="0.25">
      <c r="E183" s="170">
        <f t="shared" si="933"/>
        <v>-0.483276801449807</v>
      </c>
      <c r="F183" s="170">
        <f t="shared" si="933"/>
        <v>-0.82587943137992426</v>
      </c>
      <c r="G183" s="170">
        <f t="shared" si="933"/>
        <v>-0.29045946017304541</v>
      </c>
      <c r="H183" s="139"/>
      <c r="I183" s="86"/>
      <c r="J183" s="79">
        <f t="shared" si="930"/>
        <v>3.1059999999999999</v>
      </c>
      <c r="AL183">
        <v>0.6037985425351422</v>
      </c>
      <c r="AM183">
        <v>-0.42278482391383132</v>
      </c>
      <c r="AN183">
        <v>-0.74400224391076764</v>
      </c>
      <c r="AO183">
        <v>0.4664736348621018</v>
      </c>
      <c r="AP183">
        <v>0.8205246022327658</v>
      </c>
      <c r="AQ183">
        <v>0.33036604714967333</v>
      </c>
      <c r="AR183">
        <v>0.314</v>
      </c>
      <c r="AS183">
        <v>0.52</v>
      </c>
      <c r="AT183">
        <v>3.1030000000000002</v>
      </c>
    </row>
    <row r="184" spans="5:46" x14ac:dyDescent="0.25">
      <c r="E184" s="170">
        <f t="shared" si="933"/>
        <v>-0.48327680144980723</v>
      </c>
      <c r="F184" s="170">
        <f t="shared" si="933"/>
        <v>-0.82587943137992403</v>
      </c>
      <c r="G184" s="170">
        <f t="shared" si="933"/>
        <v>-0.29045946017304541</v>
      </c>
      <c r="H184" s="139"/>
      <c r="I184" s="86"/>
      <c r="J184" s="79">
        <f t="shared" si="930"/>
        <v>3.109</v>
      </c>
      <c r="AL184">
        <v>1.1617244512594476</v>
      </c>
      <c r="AM184">
        <v>-0.81344924335177848</v>
      </c>
      <c r="AN184">
        <v>-0.53190160421523858</v>
      </c>
      <c r="AO184">
        <v>0.483276801449807</v>
      </c>
      <c r="AP184">
        <v>0.82587943137992426</v>
      </c>
      <c r="AQ184">
        <v>0.29045946017304541</v>
      </c>
      <c r="AR184">
        <v>0.314</v>
      </c>
      <c r="AS184">
        <v>0.52</v>
      </c>
      <c r="AT184">
        <v>3.1059999999999999</v>
      </c>
    </row>
    <row r="185" spans="5:46" x14ac:dyDescent="0.25">
      <c r="E185" s="170">
        <f t="shared" si="933"/>
        <v>-0.5653656769138784</v>
      </c>
      <c r="F185" s="170">
        <f t="shared" si="933"/>
        <v>-0.78257093758109419</v>
      </c>
      <c r="G185" s="170">
        <f t="shared" si="933"/>
        <v>-0.26066142603223647</v>
      </c>
      <c r="H185" s="139"/>
      <c r="I185" s="86"/>
      <c r="J185" s="79">
        <f t="shared" si="930"/>
        <v>3.1139999999999999</v>
      </c>
      <c r="AL185">
        <v>1.7303812796787883</v>
      </c>
      <c r="AM185">
        <v>-1.2116275431224763</v>
      </c>
      <c r="AN185">
        <v>-0.34590104323754617</v>
      </c>
      <c r="AO185">
        <v>0.48327680144980723</v>
      </c>
      <c r="AP185">
        <v>0.82587943137992403</v>
      </c>
      <c r="AQ185">
        <v>0.29045946017304541</v>
      </c>
      <c r="AR185">
        <v>0.314</v>
      </c>
      <c r="AS185">
        <v>0.52</v>
      </c>
      <c r="AT185">
        <v>3.109</v>
      </c>
    </row>
    <row r="186" spans="5:46" x14ac:dyDescent="0.25">
      <c r="E186" s="170">
        <f t="shared" si="933"/>
        <v>-0.66183722266841849</v>
      </c>
      <c r="F186" s="170">
        <f t="shared" si="933"/>
        <v>-0.7083033535196499</v>
      </c>
      <c r="G186" s="170">
        <f t="shared" si="933"/>
        <v>-0.24551547829693393</v>
      </c>
      <c r="H186" s="139"/>
      <c r="I186" s="86"/>
      <c r="J186" s="79">
        <f t="shared" si="930"/>
        <v>3.12</v>
      </c>
      <c r="AL186">
        <v>2.3197636658452487</v>
      </c>
      <c r="AM186">
        <v>-1.6342334179515678</v>
      </c>
      <c r="AN186">
        <v>-0.1516004572269789</v>
      </c>
      <c r="AO186">
        <v>0.5653656769138784</v>
      </c>
      <c r="AP186">
        <v>0.78257093758109419</v>
      </c>
      <c r="AQ186">
        <v>0.26066142603223647</v>
      </c>
      <c r="AR186">
        <v>0.314</v>
      </c>
      <c r="AS186">
        <v>0.52</v>
      </c>
      <c r="AT186">
        <v>3.1139999999999999</v>
      </c>
    </row>
    <row r="187" spans="5:46" x14ac:dyDescent="0.25">
      <c r="E187" s="170">
        <f t="shared" si="933"/>
        <v>-0.76686510184795109</v>
      </c>
      <c r="F187" s="170">
        <f t="shared" si="933"/>
        <v>-0.60753107356355485</v>
      </c>
      <c r="G187" s="170">
        <f t="shared" si="933"/>
        <v>-0.20693938779856827</v>
      </c>
      <c r="H187" s="139"/>
      <c r="I187" s="86"/>
      <c r="J187" s="79">
        <f t="shared" si="930"/>
        <v>3.1259999999999999</v>
      </c>
      <c r="AL187">
        <v>2.9435590469348436</v>
      </c>
      <c r="AM187">
        <v>-2.1322720081139988</v>
      </c>
      <c r="AN187">
        <v>-0.11040033296740434</v>
      </c>
      <c r="AO187">
        <v>0.66183722266841849</v>
      </c>
      <c r="AP187">
        <v>0.7083033535196499</v>
      </c>
      <c r="AQ187">
        <v>0.24551547829693393</v>
      </c>
      <c r="AR187">
        <v>0.314</v>
      </c>
      <c r="AS187">
        <v>0.52</v>
      </c>
      <c r="AT187">
        <v>3.12</v>
      </c>
    </row>
    <row r="188" spans="5:46" x14ac:dyDescent="0.25">
      <c r="E188" s="170">
        <f t="shared" si="933"/>
        <v>-0.83600337025299964</v>
      </c>
      <c r="F188" s="170">
        <f t="shared" si="933"/>
        <v>-0.53309126522195605</v>
      </c>
      <c r="G188" s="170">
        <f t="shared" si="933"/>
        <v>-0.13004640660041378</v>
      </c>
      <c r="H188" s="139"/>
      <c r="I188" s="86"/>
      <c r="J188" s="79">
        <f t="shared" si="930"/>
        <v>3.1320000000000001</v>
      </c>
      <c r="AL188">
        <v>3.4949500575026349</v>
      </c>
      <c r="AM188">
        <v>-2.6247536971617098</v>
      </c>
      <c r="AN188">
        <v>-0.39120117986275899</v>
      </c>
      <c r="AO188">
        <v>0.76686510184795109</v>
      </c>
      <c r="AP188">
        <v>0.60753107356355485</v>
      </c>
      <c r="AQ188">
        <v>0.20693938779856827</v>
      </c>
      <c r="AR188">
        <v>0.314</v>
      </c>
      <c r="AS188">
        <v>0.52</v>
      </c>
      <c r="AT188">
        <v>3.1259999999999999</v>
      </c>
    </row>
    <row r="189" spans="5:46" x14ac:dyDescent="0.25">
      <c r="E189" s="170">
        <f t="shared" si="933"/>
        <v>-0.89064356821307056</v>
      </c>
      <c r="F189" s="170">
        <f t="shared" si="933"/>
        <v>-0.44545460278325577</v>
      </c>
      <c r="G189" s="170">
        <f t="shared" si="933"/>
        <v>-9.1237225187428425E-2</v>
      </c>
      <c r="H189" s="139"/>
      <c r="I189" s="86"/>
      <c r="J189" s="79">
        <f t="shared" si="930"/>
        <v>3.1379999999999999</v>
      </c>
      <c r="AL189">
        <v>3.9402008742591867</v>
      </c>
      <c r="AM189">
        <v>-3.0635026242481826</v>
      </c>
      <c r="AN189">
        <v>-0.88060265589761044</v>
      </c>
      <c r="AO189">
        <v>0.83600337025299964</v>
      </c>
      <c r="AP189">
        <v>0.53309126522195605</v>
      </c>
      <c r="AQ189">
        <v>0.13004640660041378</v>
      </c>
      <c r="AR189">
        <v>0.314</v>
      </c>
      <c r="AS189">
        <v>0.52</v>
      </c>
      <c r="AT189">
        <v>3.1320000000000001</v>
      </c>
    </row>
    <row r="190" spans="5:46" x14ac:dyDescent="0.25">
      <c r="E190" s="170">
        <f t="shared" si="933"/>
        <v>-0.9281180502979387</v>
      </c>
      <c r="F190" s="170">
        <f t="shared" si="933"/>
        <v>-0.36857631124161361</v>
      </c>
      <c r="G190" s="170">
        <f t="shared" si="933"/>
        <v>-5.2425065595364799E-2</v>
      </c>
      <c r="H190" s="139"/>
      <c r="I190" s="86"/>
      <c r="J190" s="79">
        <f t="shared" si="930"/>
        <v>3.1440000000000001</v>
      </c>
      <c r="AL190">
        <v>4.2636399893735968</v>
      </c>
      <c r="AM190">
        <v>-3.4084993374200927</v>
      </c>
      <c r="AN190">
        <v>-1.4836044745510946</v>
      </c>
      <c r="AO190">
        <v>0.89064356821307056</v>
      </c>
      <c r="AP190">
        <v>0.44545460278325577</v>
      </c>
      <c r="AQ190">
        <v>9.1237225187428425E-2</v>
      </c>
      <c r="AR190">
        <v>0.314</v>
      </c>
      <c r="AS190">
        <v>0.52</v>
      </c>
      <c r="AT190">
        <v>3.1379999999999999</v>
      </c>
    </row>
    <row r="191" spans="5:46" x14ac:dyDescent="0.25">
      <c r="E191" s="170">
        <f t="shared" si="933"/>
        <v>-0.98902857729383331</v>
      </c>
      <c r="F191" s="170">
        <f t="shared" si="933"/>
        <v>-0.14458617905316221</v>
      </c>
      <c r="G191" s="170">
        <f t="shared" si="933"/>
        <v>-3.0287128007504313E-2</v>
      </c>
      <c r="H191" s="139"/>
      <c r="I191" s="86"/>
      <c r="J191" s="79">
        <f t="shared" si="930"/>
        <v>3.15</v>
      </c>
      <c r="AL191">
        <v>4.4651395815038697</v>
      </c>
      <c r="AM191">
        <v>-3.6357178278668432</v>
      </c>
      <c r="AN191">
        <v>-2.1782065694710133</v>
      </c>
      <c r="AO191">
        <v>0.9281180502979387</v>
      </c>
      <c r="AP191">
        <v>0.36857631124161361</v>
      </c>
      <c r="AQ191">
        <v>5.2425065595364799E-2</v>
      </c>
      <c r="AR191">
        <v>0.314</v>
      </c>
      <c r="AS191">
        <v>0.52</v>
      </c>
      <c r="AT191">
        <v>3.1440000000000001</v>
      </c>
    </row>
    <row r="192" spans="5:46" x14ac:dyDescent="0.25">
      <c r="E192" s="170">
        <f t="shared" si="933"/>
        <v>0.12150782886533557</v>
      </c>
      <c r="F192" s="170">
        <f t="shared" si="933"/>
        <v>-0.2285237990509687</v>
      </c>
      <c r="G192" s="170">
        <f t="shared" si="933"/>
        <v>-0.96592583607218252</v>
      </c>
      <c r="H192" s="139"/>
      <c r="I192" s="86"/>
      <c r="J192" s="79">
        <f t="shared" si="930"/>
        <v>3.2090000000000001</v>
      </c>
      <c r="AL192">
        <v>4.5885075535413602</v>
      </c>
      <c r="AM192">
        <v>-3.7800577536838187</v>
      </c>
      <c r="AN192">
        <v>-2.8550086107059713</v>
      </c>
      <c r="AO192">
        <v>0.98902857729383331</v>
      </c>
      <c r="AP192">
        <v>0.14458617905316221</v>
      </c>
      <c r="AQ192">
        <v>3.0287128007504313E-2</v>
      </c>
      <c r="AR192">
        <v>0.26600000000000001</v>
      </c>
      <c r="AS192">
        <v>0.52</v>
      </c>
      <c r="AT192">
        <v>3.15</v>
      </c>
    </row>
    <row r="193" spans="5:46" x14ac:dyDescent="0.25">
      <c r="E193" s="170">
        <f t="shared" si="933"/>
        <v>4.746817929777776E-2</v>
      </c>
      <c r="F193" s="170">
        <f t="shared" si="933"/>
        <v>-7.3095097374470897E-2</v>
      </c>
      <c r="G193" s="170">
        <f t="shared" si="933"/>
        <v>-0.99619469918985759</v>
      </c>
      <c r="H193" s="139"/>
      <c r="I193" s="86"/>
      <c r="J193" s="79">
        <f t="shared" si="930"/>
        <v>3.214</v>
      </c>
      <c r="AL193">
        <v>0.98739562629396993</v>
      </c>
      <c r="AM193">
        <v>-1.8570237391045739</v>
      </c>
      <c r="AN193">
        <v>-0.33194824919303789</v>
      </c>
      <c r="AO193">
        <v>-0.12150782886533557</v>
      </c>
      <c r="AP193">
        <v>0.2285237990509687</v>
      </c>
      <c r="AQ193">
        <v>0.96592583607218252</v>
      </c>
      <c r="AR193">
        <v>0.26250000000000001</v>
      </c>
      <c r="AS193">
        <v>0.41199999999999998</v>
      </c>
      <c r="AT193">
        <v>3.2090000000000001</v>
      </c>
    </row>
    <row r="194" spans="5:46" x14ac:dyDescent="0.25">
      <c r="E194" s="170">
        <f t="shared" ref="E194:G213" si="934">E49*-1</f>
        <v>-6.6092872693534713E-2</v>
      </c>
      <c r="F194" s="170">
        <f t="shared" si="934"/>
        <v>9.4033382076477975E-2</v>
      </c>
      <c r="G194" s="170">
        <f t="shared" si="934"/>
        <v>-0.99337276751196246</v>
      </c>
      <c r="H194" s="139"/>
      <c r="I194" s="86"/>
      <c r="J194" s="79">
        <f t="shared" si="930"/>
        <v>3.22</v>
      </c>
      <c r="AL194">
        <v>1.5436030049369258</v>
      </c>
      <c r="AM194">
        <v>-2.3769432669472912</v>
      </c>
      <c r="AN194">
        <v>-0.12855803479638267</v>
      </c>
      <c r="AO194">
        <v>-4.746817929777776E-2</v>
      </c>
      <c r="AP194">
        <v>7.3095097374470897E-2</v>
      </c>
      <c r="AQ194">
        <v>0.99619469918985759</v>
      </c>
      <c r="AR194">
        <v>0.26250000000000001</v>
      </c>
      <c r="AS194">
        <v>0.41199999999999998</v>
      </c>
      <c r="AT194">
        <v>3.214</v>
      </c>
    </row>
    <row r="195" spans="5:46" x14ac:dyDescent="0.25">
      <c r="E195" s="170">
        <f t="shared" si="934"/>
        <v>-0.87756854694957442</v>
      </c>
      <c r="F195" s="170">
        <f t="shared" si="934"/>
        <v>-0.38814758145355954</v>
      </c>
      <c r="G195" s="170">
        <f t="shared" si="934"/>
        <v>-0.28145141750676095</v>
      </c>
      <c r="H195" s="139"/>
      <c r="I195" s="86"/>
      <c r="J195" s="79">
        <f t="shared" si="930"/>
        <v>3.226</v>
      </c>
      <c r="AL195">
        <v>2.0926809586645487</v>
      </c>
      <c r="AM195">
        <v>-2.9773663254497</v>
      </c>
      <c r="AN195">
        <v>-8.4489088954801089E-2</v>
      </c>
      <c r="AO195">
        <v>6.6092872693534713E-2</v>
      </c>
      <c r="AP195">
        <v>-9.4033382076477975E-2</v>
      </c>
      <c r="AQ195">
        <v>0.99337276751196246</v>
      </c>
      <c r="AR195">
        <v>0.26250000000000001</v>
      </c>
      <c r="AS195">
        <v>0.41199999999999998</v>
      </c>
      <c r="AT195">
        <v>3.22</v>
      </c>
    </row>
    <row r="196" spans="5:46" x14ac:dyDescent="0.25">
      <c r="E196" s="170">
        <f t="shared" si="934"/>
        <v>-0.93137644058658076</v>
      </c>
      <c r="F196" s="170">
        <f t="shared" si="934"/>
        <v>-0.30787010054688269</v>
      </c>
      <c r="G196" s="170">
        <f t="shared" si="934"/>
        <v>-0.19430369813650974</v>
      </c>
      <c r="H196" s="139"/>
      <c r="I196" s="86"/>
      <c r="J196" s="79">
        <f t="shared" si="930"/>
        <v>3.2320000000000002</v>
      </c>
      <c r="AL196">
        <v>2.8753917316755295</v>
      </c>
      <c r="AM196">
        <v>-3.3203834312849643</v>
      </c>
      <c r="AN196">
        <v>-0.35058978302321991</v>
      </c>
      <c r="AO196">
        <v>0.87756854694957442</v>
      </c>
      <c r="AP196">
        <v>0.38814758145355954</v>
      </c>
      <c r="AQ196">
        <v>0.28145141750676095</v>
      </c>
      <c r="AR196">
        <v>0.26600000000000001</v>
      </c>
      <c r="AS196">
        <v>0.52</v>
      </c>
      <c r="AT196">
        <v>3.226</v>
      </c>
    </row>
    <row r="197" spans="5:46" x14ac:dyDescent="0.25">
      <c r="E197" s="170">
        <f t="shared" si="934"/>
        <v>-0.96608169659038401</v>
      </c>
      <c r="F197" s="170">
        <f t="shared" si="934"/>
        <v>-0.21394365240700303</v>
      </c>
      <c r="G197" s="170">
        <f t="shared" si="934"/>
        <v>-0.14461766526879427</v>
      </c>
      <c r="H197" s="139"/>
      <c r="I197" s="86"/>
      <c r="J197" s="79">
        <f t="shared" si="930"/>
        <v>3.238</v>
      </c>
      <c r="AL197">
        <v>3.3045700715952488</v>
      </c>
      <c r="AM197">
        <v>-3.7831695161669927</v>
      </c>
      <c r="AN197">
        <v>-0.84521544933508586</v>
      </c>
      <c r="AO197">
        <v>0.93137644058658076</v>
      </c>
      <c r="AP197">
        <v>0.30787010054688269</v>
      </c>
      <c r="AQ197">
        <v>0.19430369813650974</v>
      </c>
      <c r="AR197">
        <v>0.26600000000000001</v>
      </c>
      <c r="AS197">
        <v>0.52</v>
      </c>
      <c r="AT197">
        <v>3.2320000000000002</v>
      </c>
    </row>
    <row r="198" spans="5:46" x14ac:dyDescent="0.25">
      <c r="E198" s="170">
        <f t="shared" si="934"/>
        <v>-0.95024202564132898</v>
      </c>
      <c r="F198" s="170">
        <f t="shared" si="934"/>
        <v>0.17166760407183604</v>
      </c>
      <c r="G198" s="170">
        <f t="shared" si="934"/>
        <v>-0.25994292915426509</v>
      </c>
      <c r="H198" s="139"/>
      <c r="I198" s="86"/>
      <c r="J198" s="79">
        <f t="shared" si="930"/>
        <v>4.1130000000000004</v>
      </c>
      <c r="AL198">
        <v>3.6127250066074201</v>
      </c>
      <c r="AM198">
        <v>-4.1441224369448229</v>
      </c>
      <c r="AN198">
        <v>-1.4534522778014463</v>
      </c>
      <c r="AO198">
        <v>0.96608169659038401</v>
      </c>
      <c r="AP198">
        <v>0.21394365240700303</v>
      </c>
      <c r="AQ198">
        <v>0.14461766526879427</v>
      </c>
      <c r="AR198">
        <v>0.26600000000000001</v>
      </c>
      <c r="AS198">
        <v>0.52</v>
      </c>
      <c r="AT198">
        <v>3.238</v>
      </c>
    </row>
    <row r="199" spans="5:46" x14ac:dyDescent="0.25">
      <c r="E199" s="170">
        <f t="shared" si="934"/>
        <v>-0.92733098359869914</v>
      </c>
      <c r="F199" s="170">
        <f t="shared" si="934"/>
        <v>0.27657561127965002</v>
      </c>
      <c r="G199" s="170">
        <f t="shared" si="934"/>
        <v>-0.2521173895294751</v>
      </c>
      <c r="H199" s="139"/>
      <c r="I199" s="86"/>
      <c r="J199" s="79">
        <f t="shared" si="930"/>
        <v>4.1189999999999998</v>
      </c>
      <c r="AL199">
        <v>-0.47528846026655025</v>
      </c>
      <c r="AM199">
        <v>-2.6701370110974074</v>
      </c>
      <c r="AN199">
        <v>-0.18520055856488457</v>
      </c>
      <c r="AO199">
        <v>0.95024202564132898</v>
      </c>
      <c r="AP199">
        <v>-0.17166760407183604</v>
      </c>
      <c r="AQ199">
        <v>0.25994292915426509</v>
      </c>
      <c r="AR199">
        <v>0.314</v>
      </c>
      <c r="AS199">
        <v>0.52</v>
      </c>
      <c r="AT199">
        <v>4.1130000000000004</v>
      </c>
    </row>
    <row r="200" spans="5:46" x14ac:dyDescent="0.25">
      <c r="E200" s="170">
        <f t="shared" si="934"/>
        <v>-0.88669634623444238</v>
      </c>
      <c r="F200" s="170">
        <f t="shared" si="934"/>
        <v>0.41364448721200681</v>
      </c>
      <c r="G200" s="170">
        <f t="shared" si="934"/>
        <v>-0.20656192237100704</v>
      </c>
      <c r="H200" s="139"/>
      <c r="I200" s="86"/>
      <c r="J200" s="79">
        <f t="shared" si="930"/>
        <v>4.125</v>
      </c>
      <c r="AL200">
        <v>-0.65441420832699826</v>
      </c>
      <c r="AM200">
        <v>-3.4416459675102491</v>
      </c>
      <c r="AN200">
        <v>-9.4000283504855078E-2</v>
      </c>
      <c r="AO200">
        <v>0.92733098359869914</v>
      </c>
      <c r="AP200">
        <v>-0.27657561127965002</v>
      </c>
      <c r="AQ200">
        <v>0.2521173895294751</v>
      </c>
      <c r="AR200">
        <v>0.314</v>
      </c>
      <c r="AS200">
        <v>0.52</v>
      </c>
      <c r="AT200">
        <v>4.1189999999999998</v>
      </c>
    </row>
    <row r="201" spans="5:46" x14ac:dyDescent="0.25">
      <c r="E201" s="170">
        <f t="shared" si="934"/>
        <v>-0.84103301302392686</v>
      </c>
      <c r="F201" s="170">
        <f t="shared" si="934"/>
        <v>0.52160623729549138</v>
      </c>
      <c r="G201" s="170">
        <f t="shared" si="934"/>
        <v>-0.14349356856087653</v>
      </c>
      <c r="H201" s="139"/>
      <c r="I201" s="86"/>
      <c r="J201" s="79">
        <f t="shared" si="930"/>
        <v>4.1310000000000002</v>
      </c>
      <c r="AL201">
        <v>-0.86630502140190524</v>
      </c>
      <c r="AM201">
        <v>-4.1678318737027213</v>
      </c>
      <c r="AN201">
        <v>-0.32430097809174979</v>
      </c>
      <c r="AO201">
        <v>0.88669634623444238</v>
      </c>
      <c r="AP201">
        <v>-0.41364448721200681</v>
      </c>
      <c r="AQ201">
        <v>0.20656192237100704</v>
      </c>
      <c r="AR201">
        <v>0.314</v>
      </c>
      <c r="AS201">
        <v>0.52</v>
      </c>
      <c r="AT201">
        <v>4.125</v>
      </c>
    </row>
    <row r="202" spans="5:46" x14ac:dyDescent="0.25">
      <c r="E202" s="170">
        <f t="shared" si="934"/>
        <v>-0.79229246388156338</v>
      </c>
      <c r="F202" s="170">
        <f t="shared" si="934"/>
        <v>0.60267214129263658</v>
      </c>
      <c r="G202" s="170">
        <f t="shared" si="934"/>
        <v>-9.5178473334205788E-2</v>
      </c>
      <c r="H202" s="139"/>
      <c r="I202" s="86"/>
      <c r="J202" s="79">
        <f t="shared" si="930"/>
        <v>4.1369999999999996</v>
      </c>
      <c r="AL202">
        <v>-1.0775439684693329</v>
      </c>
      <c r="AM202">
        <v>-4.7763769294580189</v>
      </c>
      <c r="AN202">
        <v>-0.78920238023437939</v>
      </c>
      <c r="AO202">
        <v>0.84103301302392686</v>
      </c>
      <c r="AP202">
        <v>-0.52160623729549138</v>
      </c>
      <c r="AQ202">
        <v>0.14349356856087653</v>
      </c>
      <c r="AR202">
        <v>0.314</v>
      </c>
      <c r="AS202">
        <v>0.52</v>
      </c>
      <c r="AT202">
        <v>4.1310000000000002</v>
      </c>
    </row>
    <row r="203" spans="5:46" x14ac:dyDescent="0.25">
      <c r="E203" s="170">
        <f t="shared" si="934"/>
        <v>-0.73837465509854017</v>
      </c>
      <c r="F203" s="170">
        <f t="shared" si="934"/>
        <v>0.67187974944767859</v>
      </c>
      <c r="G203" s="170">
        <f t="shared" si="934"/>
        <v>-5.8141817913069715E-2</v>
      </c>
      <c r="H203" s="139"/>
      <c r="I203" s="86"/>
      <c r="J203" s="79">
        <f t="shared" si="930"/>
        <v>4.1429999999999998</v>
      </c>
      <c r="AL203">
        <v>-1.2616075190374723</v>
      </c>
      <c r="AM203">
        <v>-5.2432711459156955</v>
      </c>
      <c r="AN203">
        <v>-1.3777041551557316</v>
      </c>
      <c r="AO203">
        <v>0.79229246388156338</v>
      </c>
      <c r="AP203">
        <v>-0.60267214129263658</v>
      </c>
      <c r="AQ203">
        <v>9.5178473334205788E-2</v>
      </c>
      <c r="AR203">
        <v>0.314</v>
      </c>
      <c r="AS203">
        <v>0.52</v>
      </c>
      <c r="AT203">
        <v>4.1369999999999996</v>
      </c>
    </row>
    <row r="204" spans="5:46" x14ac:dyDescent="0.25">
      <c r="E204" s="170">
        <f t="shared" si="934"/>
        <v>-0.67960267797009144</v>
      </c>
      <c r="F204" s="170">
        <f t="shared" si="934"/>
        <v>0.73355072051205972</v>
      </c>
      <c r="G204" s="170">
        <f t="shared" si="934"/>
        <v>6.5985249956637959E-3</v>
      </c>
      <c r="H204" s="139"/>
      <c r="I204" s="86"/>
      <c r="J204" s="79">
        <f t="shared" si="930"/>
        <v>4.149</v>
      </c>
      <c r="AL204">
        <v>-1.3925896859728708</v>
      </c>
      <c r="AM204">
        <v>-5.5486304493190994</v>
      </c>
      <c r="AN204">
        <v>-2.0566062027243075</v>
      </c>
      <c r="AO204">
        <v>0.73837465509854017</v>
      </c>
      <c r="AP204">
        <v>-0.67187974944767859</v>
      </c>
      <c r="AQ204">
        <v>5.8141817913069715E-2</v>
      </c>
      <c r="AR204">
        <v>0.314</v>
      </c>
      <c r="AS204">
        <v>0.52</v>
      </c>
      <c r="AT204">
        <v>4.1429999999999998</v>
      </c>
    </row>
    <row r="205" spans="5:46" x14ac:dyDescent="0.25">
      <c r="E205" s="170">
        <f t="shared" si="934"/>
        <v>-0.54902125493397991</v>
      </c>
      <c r="F205" s="170">
        <f t="shared" si="934"/>
        <v>0.83525945161235682</v>
      </c>
      <c r="G205" s="170">
        <f t="shared" si="934"/>
        <v>-3.0287128007505076E-2</v>
      </c>
      <c r="H205" s="139"/>
      <c r="I205" s="86"/>
      <c r="J205" s="79">
        <f t="shared" si="930"/>
        <v>4.1550000000000002</v>
      </c>
      <c r="AL205">
        <v>-1.4630819918939311</v>
      </c>
      <c r="AM205">
        <v>-5.7621538029556483</v>
      </c>
      <c r="AN205">
        <v>-2.8285000003714345</v>
      </c>
      <c r="AO205">
        <v>0.67960267797009144</v>
      </c>
      <c r="AP205">
        <v>-0.73355072051205972</v>
      </c>
      <c r="AQ205">
        <v>-6.5985249956637959E-3</v>
      </c>
      <c r="AR205">
        <v>0.314</v>
      </c>
      <c r="AS205">
        <v>0.52</v>
      </c>
      <c r="AT205">
        <v>4.149</v>
      </c>
    </row>
    <row r="206" spans="5:46" x14ac:dyDescent="0.25">
      <c r="E206" s="170">
        <f t="shared" si="934"/>
        <v>3.1864255217560519E-2</v>
      </c>
      <c r="F206" s="170">
        <f t="shared" si="934"/>
        <v>5.6116725199116278E-2</v>
      </c>
      <c r="G206" s="170">
        <f t="shared" si="934"/>
        <v>-0.99791561887383906</v>
      </c>
      <c r="H206" s="139"/>
      <c r="I206" s="86"/>
      <c r="J206" s="79">
        <f t="shared" si="930"/>
        <v>4.2190000000000003</v>
      </c>
      <c r="AL206">
        <v>-1.4867077485186799</v>
      </c>
      <c r="AM206">
        <v>-5.7561218073096567</v>
      </c>
      <c r="AN206">
        <v>-3.4886105216493326</v>
      </c>
      <c r="AO206">
        <v>0.54902125493397991</v>
      </c>
      <c r="AP206">
        <v>-0.83525945161235682</v>
      </c>
      <c r="AQ206">
        <v>3.0287128007505076E-2</v>
      </c>
      <c r="AR206">
        <v>0.26600000000000001</v>
      </c>
      <c r="AS206">
        <v>0.52</v>
      </c>
      <c r="AT206">
        <v>4.1550000000000002</v>
      </c>
    </row>
    <row r="207" spans="5:46" x14ac:dyDescent="0.25">
      <c r="E207" s="170">
        <f t="shared" si="934"/>
        <v>-0.73954358165720391</v>
      </c>
      <c r="F207" s="170">
        <f t="shared" si="934"/>
        <v>0.61066564888315322</v>
      </c>
      <c r="G207" s="170">
        <f t="shared" si="934"/>
        <v>-0.28313028114942446</v>
      </c>
      <c r="H207" s="139"/>
      <c r="I207" s="86"/>
      <c r="J207" s="79">
        <f t="shared" si="930"/>
        <v>4.2249999999999996</v>
      </c>
      <c r="AL207">
        <v>-1.7311019998800801</v>
      </c>
      <c r="AM207">
        <v>-3.0486505787362024</v>
      </c>
      <c r="AN207">
        <v>-6.7801935769137553E-2</v>
      </c>
      <c r="AO207">
        <v>-3.1864255217560519E-2</v>
      </c>
      <c r="AP207">
        <v>-5.6116725199116278E-2</v>
      </c>
      <c r="AQ207">
        <v>0.99791561887383906</v>
      </c>
      <c r="AR207">
        <v>0.26250000000000001</v>
      </c>
      <c r="AS207">
        <v>0.41199999999999998</v>
      </c>
      <c r="AT207">
        <v>4.2190000000000003</v>
      </c>
    </row>
    <row r="208" spans="5:46" x14ac:dyDescent="0.25">
      <c r="E208" s="170">
        <f t="shared" si="934"/>
        <v>-0.67794330967620087</v>
      </c>
      <c r="F208" s="170">
        <f t="shared" si="934"/>
        <v>0.70473254513000383</v>
      </c>
      <c r="G208" s="170">
        <f t="shared" si="934"/>
        <v>-0.20915283574426152</v>
      </c>
      <c r="H208" s="139"/>
      <c r="I208" s="86"/>
      <c r="J208" s="79">
        <f t="shared" si="930"/>
        <v>4.2309999999999999</v>
      </c>
      <c r="AL208">
        <v>-1.7530985220768527</v>
      </c>
      <c r="AM208">
        <v>-3.9000887894359151</v>
      </c>
      <c r="AN208">
        <v>-0.28301034036826872</v>
      </c>
      <c r="AO208">
        <v>0.73954358165720391</v>
      </c>
      <c r="AP208">
        <v>-0.61066564888315322</v>
      </c>
      <c r="AQ208">
        <v>0.28313028114942446</v>
      </c>
      <c r="AR208">
        <v>0.26600000000000001</v>
      </c>
      <c r="AS208">
        <v>0.52</v>
      </c>
      <c r="AT208">
        <v>4.2249999999999996</v>
      </c>
    </row>
    <row r="209" spans="5:46" x14ac:dyDescent="0.25">
      <c r="E209" s="170">
        <f t="shared" si="934"/>
        <v>-0.61750300022190652</v>
      </c>
      <c r="F209" s="170">
        <f t="shared" si="934"/>
        <v>0.77201832770751611</v>
      </c>
      <c r="G209" s="170">
        <f t="shared" si="934"/>
        <v>-0.15059132246127047</v>
      </c>
      <c r="H209" s="139"/>
      <c r="I209" s="86"/>
      <c r="J209" s="79">
        <f t="shared" si="930"/>
        <v>4.2370000000000001</v>
      </c>
      <c r="AL209">
        <v>-1.9942469094312356</v>
      </c>
      <c r="AM209">
        <v>-4.5057881567828435</v>
      </c>
      <c r="AN209">
        <v>-0.75304644025660394</v>
      </c>
      <c r="AO209">
        <v>0.67794330967620087</v>
      </c>
      <c r="AP209">
        <v>-0.70473254513000383</v>
      </c>
      <c r="AQ209">
        <v>0.20915283574426152</v>
      </c>
      <c r="AR209">
        <v>0.26600000000000001</v>
      </c>
      <c r="AS209">
        <v>0.52</v>
      </c>
      <c r="AT209">
        <v>4.2309999999999999</v>
      </c>
    </row>
    <row r="210" spans="5:46" x14ac:dyDescent="0.25">
      <c r="E210" s="170">
        <f t="shared" si="934"/>
        <v>-0.4773585787533558</v>
      </c>
      <c r="F210" s="170">
        <f t="shared" si="934"/>
        <v>0.81424017475268085</v>
      </c>
      <c r="G210" s="170">
        <f t="shared" si="934"/>
        <v>-0.33036604714967344</v>
      </c>
      <c r="H210" s="139"/>
      <c r="I210" s="86"/>
      <c r="J210" s="79">
        <f t="shared" si="930"/>
        <v>5.1020000000000003</v>
      </c>
      <c r="AL210">
        <v>-2.2004027212204518</v>
      </c>
      <c r="AM210">
        <v>-4.9652517339271007</v>
      </c>
      <c r="AN210">
        <v>-1.3465808956079561</v>
      </c>
      <c r="AO210">
        <v>0.61750300022190652</v>
      </c>
      <c r="AP210">
        <v>-0.77201832770751611</v>
      </c>
      <c r="AQ210">
        <v>0.15059132246127047</v>
      </c>
      <c r="AR210">
        <v>0.26600000000000001</v>
      </c>
      <c r="AS210">
        <v>0.52</v>
      </c>
      <c r="AT210">
        <v>4.2370000000000001</v>
      </c>
    </row>
    <row r="211" spans="5:46" x14ac:dyDescent="0.25">
      <c r="E211" s="170">
        <f t="shared" si="934"/>
        <v>-0.4735944187439165</v>
      </c>
      <c r="F211" s="170">
        <f t="shared" si="934"/>
        <v>0.83146955959349167</v>
      </c>
      <c r="G211" s="170">
        <f t="shared" si="934"/>
        <v>-0.29045946017304541</v>
      </c>
      <c r="H211" s="139"/>
      <c r="I211" s="86"/>
      <c r="J211" s="79">
        <f t="shared" si="930"/>
        <v>5.1050000000000004</v>
      </c>
      <c r="AL211">
        <v>-0.45841192319982466</v>
      </c>
      <c r="AM211">
        <v>-0.21376082864672824</v>
      </c>
      <c r="AN211">
        <v>-0.77640234162946242</v>
      </c>
      <c r="AO211">
        <v>0.4773585787533558</v>
      </c>
      <c r="AP211">
        <v>-0.81424017475268085</v>
      </c>
      <c r="AQ211">
        <v>0.33036604714967344</v>
      </c>
      <c r="AR211">
        <v>0.314</v>
      </c>
      <c r="AS211">
        <v>0.52</v>
      </c>
      <c r="AT211">
        <v>5.1020000000000003</v>
      </c>
    </row>
    <row r="212" spans="5:46" x14ac:dyDescent="0.25">
      <c r="E212" s="170">
        <f t="shared" si="934"/>
        <v>-0.47359441874391645</v>
      </c>
      <c r="F212" s="170">
        <f t="shared" si="934"/>
        <v>0.83146955959349167</v>
      </c>
      <c r="G212" s="170">
        <f t="shared" si="934"/>
        <v>-0.29045946017304541</v>
      </c>
      <c r="H212" s="139"/>
      <c r="I212" s="86"/>
      <c r="J212" s="79">
        <f t="shared" si="930"/>
        <v>5.1079999999999997</v>
      </c>
      <c r="AL212">
        <v>-1.0756094710430046</v>
      </c>
      <c r="AM212">
        <v>-0.50156455404890754</v>
      </c>
      <c r="AN212">
        <v>-0.5939017912078024</v>
      </c>
      <c r="AO212">
        <v>0.4735944187439165</v>
      </c>
      <c r="AP212">
        <v>-0.83146955959349167</v>
      </c>
      <c r="AQ212">
        <v>0.29045946017304541</v>
      </c>
      <c r="AR212">
        <v>0.314</v>
      </c>
      <c r="AS212">
        <v>0.52</v>
      </c>
      <c r="AT212">
        <v>5.1050000000000004</v>
      </c>
    </row>
    <row r="213" spans="5:46" x14ac:dyDescent="0.25">
      <c r="E213" s="170">
        <f t="shared" si="934"/>
        <v>-0.4237293430396003</v>
      </c>
      <c r="F213" s="170">
        <f t="shared" si="934"/>
        <v>0.86806880072730452</v>
      </c>
      <c r="G213" s="170">
        <f t="shared" si="934"/>
        <v>-0.25866967555376108</v>
      </c>
      <c r="H213" s="139"/>
      <c r="I213" s="86"/>
      <c r="J213" s="79">
        <f t="shared" si="930"/>
        <v>5.1120000000000001</v>
      </c>
      <c r="AL213">
        <v>-1.704770319373013</v>
      </c>
      <c r="AM213">
        <v>-0.79494685386416863</v>
      </c>
      <c r="AN213">
        <v>-0.40790123023011027</v>
      </c>
      <c r="AO213">
        <v>0.47359441874391645</v>
      </c>
      <c r="AP213">
        <v>-0.83146955959349167</v>
      </c>
      <c r="AQ213">
        <v>0.29045946017304541</v>
      </c>
      <c r="AR213">
        <v>0.314</v>
      </c>
      <c r="AS213">
        <v>0.52</v>
      </c>
      <c r="AT213">
        <v>5.1079999999999997</v>
      </c>
    </row>
    <row r="214" spans="5:46" x14ac:dyDescent="0.25">
      <c r="E214" s="170">
        <f t="shared" ref="E214:G233" si="935">E69*-1</f>
        <v>-0.32830552541860114</v>
      </c>
      <c r="F214" s="170">
        <f t="shared" si="935"/>
        <v>0.90890881630602927</v>
      </c>
      <c r="G214" s="170">
        <f t="shared" si="935"/>
        <v>-0.25709968032027808</v>
      </c>
      <c r="H214" s="139"/>
      <c r="I214" s="86"/>
      <c r="J214" s="79">
        <f t="shared" si="930"/>
        <v>5.1180000000000003</v>
      </c>
      <c r="AL214">
        <v>-2.3444817348819913</v>
      </c>
      <c r="AM214">
        <v>-1.0912569511164132</v>
      </c>
      <c r="AN214">
        <v>-0.21900066050599204</v>
      </c>
      <c r="AO214">
        <v>0.4237293430396003</v>
      </c>
      <c r="AP214">
        <v>-0.86806880072730452</v>
      </c>
      <c r="AQ214">
        <v>0.25866967555376108</v>
      </c>
      <c r="AR214">
        <v>0.314</v>
      </c>
      <c r="AS214">
        <v>0.52</v>
      </c>
      <c r="AT214">
        <v>5.1120000000000001</v>
      </c>
    </row>
    <row r="215" spans="5:46" x14ac:dyDescent="0.25">
      <c r="E215" s="170">
        <f t="shared" si="935"/>
        <v>-0.19012071689473664</v>
      </c>
      <c r="F215" s="170">
        <f t="shared" si="935"/>
        <v>0.95666450681892101</v>
      </c>
      <c r="G215" s="170">
        <f t="shared" si="935"/>
        <v>-0.22056095393414971</v>
      </c>
      <c r="H215" s="139"/>
      <c r="I215" s="86"/>
      <c r="J215" s="79">
        <f t="shared" si="930"/>
        <v>5.1239999999999997</v>
      </c>
      <c r="AL215">
        <v>-3.0705498507334563</v>
      </c>
      <c r="AM215">
        <v>-1.3914407547647218</v>
      </c>
      <c r="AN215">
        <v>-8.6800261789589772E-2</v>
      </c>
      <c r="AO215">
        <v>0.32830552541860114</v>
      </c>
      <c r="AP215">
        <v>-0.90890881630602927</v>
      </c>
      <c r="AQ215">
        <v>0.25709968032027808</v>
      </c>
      <c r="AR215">
        <v>0.314</v>
      </c>
      <c r="AS215">
        <v>0.52</v>
      </c>
      <c r="AT215">
        <v>5.1180000000000003</v>
      </c>
    </row>
    <row r="216" spans="5:46" x14ac:dyDescent="0.25">
      <c r="E216" s="170">
        <f t="shared" si="935"/>
        <v>-6.9169503111783839E-2</v>
      </c>
      <c r="F216" s="170">
        <f t="shared" si="935"/>
        <v>0.98740807608005721</v>
      </c>
      <c r="G216" s="170">
        <f t="shared" si="935"/>
        <v>-0.14227041551618896</v>
      </c>
      <c r="H216" s="139"/>
      <c r="I216" s="86"/>
      <c r="J216" s="79">
        <f t="shared" si="930"/>
        <v>5.13</v>
      </c>
      <c r="AL216">
        <v>-3.7979724763355329</v>
      </c>
      <c r="AM216">
        <v>-1.6454960408906727</v>
      </c>
      <c r="AN216">
        <v>-0.26450079773440593</v>
      </c>
      <c r="AO216">
        <v>0.19012071689473664</v>
      </c>
      <c r="AP216">
        <v>-0.95666450681892101</v>
      </c>
      <c r="AQ216">
        <v>0.22056095393414971</v>
      </c>
      <c r="AR216">
        <v>0.314</v>
      </c>
      <c r="AS216">
        <v>0.52</v>
      </c>
      <c r="AT216">
        <v>5.1239999999999997</v>
      </c>
    </row>
    <row r="217" spans="5:46" x14ac:dyDescent="0.25">
      <c r="E217" s="170">
        <f t="shared" si="935"/>
        <v>1.8867166679253186E-2</v>
      </c>
      <c r="F217" s="170">
        <f t="shared" si="935"/>
        <v>0.9950365713721927</v>
      </c>
      <c r="G217" s="170">
        <f t="shared" si="935"/>
        <v>-9.7704921336484576E-2</v>
      </c>
      <c r="H217" s="139"/>
      <c r="I217" s="86"/>
      <c r="J217" s="79">
        <f t="shared" si="930"/>
        <v>5.1360000000000001</v>
      </c>
      <c r="AL217">
        <v>-4.4347367290122133</v>
      </c>
      <c r="AM217">
        <v>-1.8316693539654991</v>
      </c>
      <c r="AN217">
        <v>-0.70170211633358281</v>
      </c>
      <c r="AO217">
        <v>6.9169503111783839E-2</v>
      </c>
      <c r="AP217">
        <v>-0.98740807608005721</v>
      </c>
      <c r="AQ217">
        <v>0.14227041551618896</v>
      </c>
      <c r="AR217">
        <v>0.314</v>
      </c>
      <c r="AS217">
        <v>0.52</v>
      </c>
      <c r="AT217">
        <v>5.13</v>
      </c>
    </row>
    <row r="218" spans="5:46" x14ac:dyDescent="0.25">
      <c r="E218" s="170">
        <f t="shared" si="935"/>
        <v>0.12209479527387478</v>
      </c>
      <c r="F218" s="170">
        <f t="shared" si="935"/>
        <v>0.98976699705528481</v>
      </c>
      <c r="G218" s="170">
        <f t="shared" si="935"/>
        <v>-7.3852234273545328E-2</v>
      </c>
      <c r="H218" s="139"/>
      <c r="I218" s="86"/>
      <c r="J218" s="79">
        <f t="shared" si="930"/>
        <v>5.1420000000000003</v>
      </c>
      <c r="AL218">
        <v>-4.9494988390577515</v>
      </c>
      <c r="AM218">
        <v>-1.9585445001812121</v>
      </c>
      <c r="AN218">
        <v>-1.2746038442051937</v>
      </c>
      <c r="AO218">
        <v>-1.8867166679253186E-2</v>
      </c>
      <c r="AP218">
        <v>-0.9950365713721927</v>
      </c>
      <c r="AQ218">
        <v>9.7704921336484576E-2</v>
      </c>
      <c r="AR218">
        <v>0.314</v>
      </c>
      <c r="AS218">
        <v>0.52</v>
      </c>
      <c r="AT218">
        <v>5.1360000000000001</v>
      </c>
    </row>
    <row r="219" spans="5:46" x14ac:dyDescent="0.25">
      <c r="E219" s="170">
        <f t="shared" si="935"/>
        <v>0.19605926900464193</v>
      </c>
      <c r="F219" s="170">
        <f t="shared" si="935"/>
        <v>0.98059184590854831</v>
      </c>
      <c r="G219" s="170">
        <f t="shared" si="935"/>
        <v>-6.2831125354086137E-4</v>
      </c>
      <c r="H219" s="139"/>
      <c r="I219" s="86"/>
      <c r="J219" s="79">
        <f t="shared" ref="J219:J282" si="936">J74</f>
        <v>5.1479999999999997</v>
      </c>
      <c r="AL219">
        <v>-5.3013253829074385</v>
      </c>
      <c r="AM219">
        <v>-2.0333942210857856</v>
      </c>
      <c r="AN219">
        <v>-1.9369058417080176</v>
      </c>
      <c r="AO219">
        <v>-0.12209479527387478</v>
      </c>
      <c r="AP219">
        <v>-0.98976699705528481</v>
      </c>
      <c r="AQ219">
        <v>7.3852234273545328E-2</v>
      </c>
      <c r="AR219">
        <v>0.314</v>
      </c>
      <c r="AS219">
        <v>0.52</v>
      </c>
      <c r="AT219">
        <v>5.1420000000000003</v>
      </c>
    </row>
    <row r="220" spans="5:46" x14ac:dyDescent="0.25">
      <c r="E220" s="170">
        <f t="shared" si="935"/>
        <v>0.36929870368280665</v>
      </c>
      <c r="F220" s="170">
        <f t="shared" si="935"/>
        <v>0.92881707420527948</v>
      </c>
      <c r="G220" s="170">
        <f t="shared" si="935"/>
        <v>-3.028712800750533E-2</v>
      </c>
      <c r="H220" s="139"/>
      <c r="I220" s="86"/>
      <c r="J220" s="79">
        <f t="shared" si="936"/>
        <v>5.1539999999999999</v>
      </c>
      <c r="AL220">
        <v>-5.4637150663339034</v>
      </c>
      <c r="AM220">
        <v>-2.0700147178429931</v>
      </c>
      <c r="AN220">
        <v>-2.7082000000032251</v>
      </c>
      <c r="AO220">
        <v>-0.19605926900464193</v>
      </c>
      <c r="AP220">
        <v>-0.98059184590854831</v>
      </c>
      <c r="AQ220">
        <v>6.2831125354086137E-4</v>
      </c>
      <c r="AR220">
        <v>0.314</v>
      </c>
      <c r="AS220">
        <v>0.52</v>
      </c>
      <c r="AT220">
        <v>5.1479999999999997</v>
      </c>
    </row>
    <row r="221" spans="5:46" x14ac:dyDescent="0.25">
      <c r="E221" s="170">
        <f t="shared" si="935"/>
        <v>-0.25802113228537987</v>
      </c>
      <c r="F221" s="170">
        <f t="shared" si="935"/>
        <v>2.0307006239860006E-2</v>
      </c>
      <c r="G221" s="170">
        <f t="shared" si="935"/>
        <v>-0.96592583607218263</v>
      </c>
      <c r="H221" s="139"/>
      <c r="I221" s="86"/>
      <c r="J221" s="79">
        <f t="shared" si="936"/>
        <v>5.2080000000000002</v>
      </c>
      <c r="AL221">
        <v>-5.5678791891255983</v>
      </c>
      <c r="AM221">
        <v>-2.0837369136705668</v>
      </c>
      <c r="AN221">
        <v>-3.3682101585218374</v>
      </c>
      <c r="AO221">
        <v>-0.36929870368280665</v>
      </c>
      <c r="AP221">
        <v>-0.92881707420527948</v>
      </c>
      <c r="AQ221">
        <v>3.028712800750533E-2</v>
      </c>
      <c r="AR221">
        <v>0.26600000000000001</v>
      </c>
      <c r="AS221">
        <v>0.52</v>
      </c>
      <c r="AT221">
        <v>5.1539999999999999</v>
      </c>
    </row>
    <row r="222" spans="5:46" x14ac:dyDescent="0.25">
      <c r="E222" s="170">
        <f t="shared" si="935"/>
        <v>-0.13044666969902807</v>
      </c>
      <c r="F222" s="170">
        <f t="shared" si="935"/>
        <v>-4.5550333016973572E-3</v>
      </c>
      <c r="G222" s="170">
        <f t="shared" si="935"/>
        <v>-0.99144486384067432</v>
      </c>
      <c r="H222" s="139"/>
      <c r="I222" s="86"/>
      <c r="J222" s="79">
        <f t="shared" si="936"/>
        <v>5.2119999999999997</v>
      </c>
      <c r="AL222">
        <v>-1.8660379079057356</v>
      </c>
      <c r="AM222">
        <v>0.14686091246673127</v>
      </c>
      <c r="AN222">
        <v>-0.3954505240492322</v>
      </c>
      <c r="AO222">
        <v>0.25802113228537987</v>
      </c>
      <c r="AP222">
        <v>-2.0307006239860006E-2</v>
      </c>
      <c r="AQ222">
        <v>0.96592583607218263</v>
      </c>
      <c r="AR222">
        <v>0.26250000000000001</v>
      </c>
      <c r="AS222">
        <v>0.41199999999999998</v>
      </c>
      <c r="AT222">
        <v>5.2080000000000002</v>
      </c>
    </row>
    <row r="223" spans="5:46" x14ac:dyDescent="0.25">
      <c r="E223" s="170">
        <f t="shared" si="935"/>
        <v>1.3925852705119653E-2</v>
      </c>
      <c r="F223" s="170">
        <f t="shared" si="935"/>
        <v>1.0065038603003381E-3</v>
      </c>
      <c r="G223" s="170">
        <f t="shared" si="935"/>
        <v>-0.99990252403742563</v>
      </c>
      <c r="H223" s="139"/>
      <c r="I223" s="86"/>
      <c r="J223" s="79">
        <f t="shared" si="936"/>
        <v>5.218</v>
      </c>
      <c r="AL223">
        <v>-2.5792991696070966</v>
      </c>
      <c r="AM223">
        <v>-9.0070363376530918E-2</v>
      </c>
      <c r="AN223">
        <v>-0.19735418478630015</v>
      </c>
      <c r="AO223">
        <v>0.13044666969902807</v>
      </c>
      <c r="AP223">
        <v>4.5550333016973572E-3</v>
      </c>
      <c r="AQ223">
        <v>0.99144486384067432</v>
      </c>
      <c r="AR223">
        <v>0.26250000000000001</v>
      </c>
      <c r="AS223">
        <v>0.41199999999999998</v>
      </c>
      <c r="AT223">
        <v>5.2119999999999997</v>
      </c>
    </row>
    <row r="224" spans="5:46" x14ac:dyDescent="0.25">
      <c r="E224" s="170">
        <f t="shared" si="935"/>
        <v>5.5686873637300995E-2</v>
      </c>
      <c r="F224" s="170">
        <f t="shared" si="935"/>
        <v>0.9527526839101006</v>
      </c>
      <c r="G224" s="170">
        <f t="shared" si="935"/>
        <v>-0.29859888714897015</v>
      </c>
      <c r="H224" s="139"/>
      <c r="I224" s="86"/>
      <c r="J224" s="79">
        <f t="shared" si="936"/>
        <v>5.2240000000000002</v>
      </c>
      <c r="AL224">
        <v>-3.3628914536728343</v>
      </c>
      <c r="AM224">
        <v>-0.24300117388549938</v>
      </c>
      <c r="AN224">
        <v>-6.1511228438018734E-2</v>
      </c>
      <c r="AO224">
        <v>-1.3925852705119653E-2</v>
      </c>
      <c r="AP224">
        <v>-1.0065038603003381E-3</v>
      </c>
      <c r="AQ224">
        <v>0.99990252403742563</v>
      </c>
      <c r="AR224">
        <v>0.26250000000000001</v>
      </c>
      <c r="AS224">
        <v>0.41199999999999998</v>
      </c>
      <c r="AT224">
        <v>5.218</v>
      </c>
    </row>
    <row r="225" spans="5:46" x14ac:dyDescent="0.25">
      <c r="E225" s="170">
        <f t="shared" si="935"/>
        <v>0.17720434756488568</v>
      </c>
      <c r="F225" s="170">
        <f t="shared" si="935"/>
        <v>0.96185902062434359</v>
      </c>
      <c r="G225" s="170">
        <f t="shared" si="935"/>
        <v>-0.20838868406821401</v>
      </c>
      <c r="H225" s="139"/>
      <c r="I225" s="86"/>
      <c r="J225" s="79">
        <f t="shared" si="936"/>
        <v>5.23</v>
      </c>
      <c r="AL225">
        <v>-4.0837014664486606</v>
      </c>
      <c r="AM225">
        <v>-0.7698508205469351</v>
      </c>
      <c r="AN225">
        <v>-0.22250851524842216</v>
      </c>
      <c r="AO225">
        <v>-5.5686873637300995E-2</v>
      </c>
      <c r="AP225">
        <v>-0.9527526839101006</v>
      </c>
      <c r="AQ225">
        <v>0.29859888714897015</v>
      </c>
      <c r="AR225">
        <v>0.26600000000000001</v>
      </c>
      <c r="AS225">
        <v>0.52</v>
      </c>
      <c r="AT225">
        <v>5.2240000000000002</v>
      </c>
    </row>
    <row r="226" spans="5:46" x14ac:dyDescent="0.25">
      <c r="E226" s="170">
        <f t="shared" si="935"/>
        <v>0.26064566350247692</v>
      </c>
      <c r="F226" s="170">
        <f t="shared" si="935"/>
        <v>0.95290648225827368</v>
      </c>
      <c r="G226" s="170">
        <f t="shared" si="935"/>
        <v>-0.15502604351371452</v>
      </c>
      <c r="H226" s="139"/>
      <c r="I226" s="86"/>
      <c r="J226" s="79">
        <f t="shared" si="936"/>
        <v>5.2359999999999998</v>
      </c>
      <c r="AL226">
        <v>-4.7383195053868272</v>
      </c>
      <c r="AM226">
        <v>-0.93090837728350451</v>
      </c>
      <c r="AN226">
        <v>-0.66560375299159635</v>
      </c>
      <c r="AO226">
        <v>-0.17720434756488568</v>
      </c>
      <c r="AP226">
        <v>-0.96185902062434359</v>
      </c>
      <c r="AQ226">
        <v>0.20838868406821401</v>
      </c>
      <c r="AR226">
        <v>0.26600000000000001</v>
      </c>
      <c r="AS226">
        <v>0.52</v>
      </c>
      <c r="AT226">
        <v>5.23</v>
      </c>
    </row>
    <row r="227" spans="5:46" x14ac:dyDescent="0.25">
      <c r="E227" s="170">
        <f t="shared" si="935"/>
        <v>0.51214935675646878</v>
      </c>
      <c r="F227" s="170">
        <f t="shared" si="935"/>
        <v>0.81487303292647129</v>
      </c>
      <c r="G227" s="170">
        <f t="shared" si="935"/>
        <v>-0.27144976806611826</v>
      </c>
      <c r="H227" s="139"/>
      <c r="I227" s="86"/>
      <c r="J227" s="79">
        <f t="shared" si="936"/>
        <v>6.1109999999999998</v>
      </c>
      <c r="AL227">
        <v>-5.2614298327517943</v>
      </c>
      <c r="AM227">
        <v>-1.0227169676912904</v>
      </c>
      <c r="AN227">
        <v>-1.2427044076677305</v>
      </c>
      <c r="AO227">
        <v>-0.26064566350247692</v>
      </c>
      <c r="AP227">
        <v>-0.95290648225827368</v>
      </c>
      <c r="AQ227">
        <v>0.15502604351371452</v>
      </c>
      <c r="AR227">
        <v>0.26600000000000001</v>
      </c>
      <c r="AS227">
        <v>0.52</v>
      </c>
      <c r="AT227">
        <v>5.2359999999999998</v>
      </c>
    </row>
    <row r="228" spans="5:46" x14ac:dyDescent="0.25">
      <c r="E228" s="170">
        <f t="shared" si="935"/>
        <v>0.61094710116509876</v>
      </c>
      <c r="F228" s="170">
        <f t="shared" si="935"/>
        <v>0.74834632955514657</v>
      </c>
      <c r="G228" s="170">
        <f t="shared" si="935"/>
        <v>-0.25830487920150219</v>
      </c>
      <c r="H228" s="139"/>
      <c r="I228" s="86"/>
      <c r="J228" s="79">
        <f t="shared" si="936"/>
        <v>6.117</v>
      </c>
      <c r="AL228">
        <v>-2.0147922492184795</v>
      </c>
      <c r="AM228">
        <v>1.4107731369839078</v>
      </c>
      <c r="AN228">
        <v>-0.25290076274870082</v>
      </c>
      <c r="AO228">
        <v>-0.51214935675646878</v>
      </c>
      <c r="AP228">
        <v>-0.81487303292647129</v>
      </c>
      <c r="AQ228">
        <v>0.27144976806611826</v>
      </c>
      <c r="AR228">
        <v>0.314</v>
      </c>
      <c r="AS228">
        <v>0.52</v>
      </c>
      <c r="AT228">
        <v>6.1109999999999998</v>
      </c>
    </row>
    <row r="229" spans="5:46" x14ac:dyDescent="0.25">
      <c r="E229" s="170">
        <f t="shared" si="935"/>
        <v>0.71552338032568108</v>
      </c>
      <c r="F229" s="170">
        <f t="shared" si="935"/>
        <v>0.66398887243249727</v>
      </c>
      <c r="G229" s="170">
        <f t="shared" si="935"/>
        <v>-0.21712915394559976</v>
      </c>
      <c r="H229" s="139"/>
      <c r="I229" s="86"/>
      <c r="J229" s="79">
        <f t="shared" si="936"/>
        <v>6.1230000000000002</v>
      </c>
      <c r="AL229">
        <v>-2.6370446485881462</v>
      </c>
      <c r="AM229">
        <v>1.8802224555511193</v>
      </c>
      <c r="AN229">
        <v>-8.8700267520006759E-2</v>
      </c>
      <c r="AO229">
        <v>-0.61094710116509876</v>
      </c>
      <c r="AP229">
        <v>-0.74834632955514657</v>
      </c>
      <c r="AQ229">
        <v>0.25830487920150219</v>
      </c>
      <c r="AR229">
        <v>0.314</v>
      </c>
      <c r="AS229">
        <v>0.52</v>
      </c>
      <c r="AT229">
        <v>6.117</v>
      </c>
    </row>
    <row r="230" spans="5:46" x14ac:dyDescent="0.25">
      <c r="E230" s="170">
        <f t="shared" si="935"/>
        <v>0.8072621087983155</v>
      </c>
      <c r="F230" s="170">
        <f t="shared" si="935"/>
        <v>0.56957761268496288</v>
      </c>
      <c r="G230" s="170">
        <f t="shared" si="935"/>
        <v>-0.15462610008208588</v>
      </c>
      <c r="H230" s="139"/>
      <c r="I230" s="86"/>
      <c r="J230" s="79">
        <f t="shared" si="936"/>
        <v>6.1289999999999996</v>
      </c>
      <c r="AL230">
        <v>-3.2333373514523287</v>
      </c>
      <c r="AM230">
        <v>2.3845194862846024</v>
      </c>
      <c r="AN230">
        <v>-0.21310064271153828</v>
      </c>
      <c r="AO230">
        <v>-0.71552338032568108</v>
      </c>
      <c r="AP230">
        <v>-0.66398887243249727</v>
      </c>
      <c r="AQ230">
        <v>0.21712915394559976</v>
      </c>
      <c r="AR230">
        <v>0.314</v>
      </c>
      <c r="AS230">
        <v>0.52</v>
      </c>
      <c r="AT230">
        <v>6.1230000000000002</v>
      </c>
    </row>
    <row r="231" spans="5:46" x14ac:dyDescent="0.25">
      <c r="E231" s="170">
        <f t="shared" si="935"/>
        <v>0.86076370886558973</v>
      </c>
      <c r="F231" s="170">
        <f t="shared" si="935"/>
        <v>0.49905329205780075</v>
      </c>
      <c r="G231" s="170">
        <f t="shared" si="935"/>
        <v>-0.10015812092000294</v>
      </c>
      <c r="H231" s="139"/>
      <c r="I231" s="86"/>
      <c r="J231" s="79">
        <f t="shared" si="936"/>
        <v>6.1349999999999998</v>
      </c>
      <c r="AL231">
        <v>-3.7309494829319245</v>
      </c>
      <c r="AM231">
        <v>2.852423874400015</v>
      </c>
      <c r="AN231">
        <v>-0.61820186449682302</v>
      </c>
      <c r="AO231">
        <v>-0.8072621087983155</v>
      </c>
      <c r="AP231">
        <v>-0.56957761268496288</v>
      </c>
      <c r="AQ231">
        <v>0.15462610008208588</v>
      </c>
      <c r="AR231">
        <v>0.314</v>
      </c>
      <c r="AS231">
        <v>0.52</v>
      </c>
      <c r="AT231">
        <v>6.1289999999999996</v>
      </c>
    </row>
    <row r="232" spans="5:46" x14ac:dyDescent="0.25">
      <c r="E232" s="170">
        <f t="shared" si="935"/>
        <v>0.91016053527615881</v>
      </c>
      <c r="F232" s="170">
        <f t="shared" si="935"/>
        <v>0.40652222739371924</v>
      </c>
      <c r="G232" s="170">
        <f t="shared" si="935"/>
        <v>-7.9671065391806073E-2</v>
      </c>
      <c r="H232" s="139"/>
      <c r="I232" s="86"/>
      <c r="J232" s="79">
        <f t="shared" si="936"/>
        <v>6.141</v>
      </c>
      <c r="AL232">
        <v>-4.1199059426188596</v>
      </c>
      <c r="AM232">
        <v>3.2523057085801974</v>
      </c>
      <c r="AN232">
        <v>-1.174403542001083</v>
      </c>
      <c r="AO232">
        <v>-0.86076370886558973</v>
      </c>
      <c r="AP232">
        <v>-0.49905329205780075</v>
      </c>
      <c r="AQ232">
        <v>0.10015812092000294</v>
      </c>
      <c r="AR232">
        <v>0.314</v>
      </c>
      <c r="AS232">
        <v>0.52</v>
      </c>
      <c r="AT232">
        <v>6.1349999999999998</v>
      </c>
    </row>
    <row r="233" spans="5:46" x14ac:dyDescent="0.25">
      <c r="E233" s="170">
        <f t="shared" si="935"/>
        <v>0.94201455833180769</v>
      </c>
      <c r="F233" s="170">
        <f t="shared" si="935"/>
        <v>0.33538639949322108</v>
      </c>
      <c r="G233" s="170">
        <f t="shared" si="935"/>
        <v>-1.1159521759602305E-2</v>
      </c>
      <c r="H233" s="139"/>
      <c r="I233" s="86"/>
      <c r="J233" s="79">
        <f t="shared" si="936"/>
        <v>6.1470000000000002</v>
      </c>
      <c r="AL233">
        <v>-4.3794846901579607</v>
      </c>
      <c r="AM233">
        <v>3.5379662300872523</v>
      </c>
      <c r="AN233">
        <v>-1.8191054864221474</v>
      </c>
      <c r="AO233">
        <v>-0.91016053527615881</v>
      </c>
      <c r="AP233">
        <v>-0.40652222739371924</v>
      </c>
      <c r="AQ233">
        <v>7.9671065391806073E-2</v>
      </c>
      <c r="AR233">
        <v>0.314</v>
      </c>
      <c r="AS233">
        <v>0.52</v>
      </c>
      <c r="AT233">
        <v>6.141</v>
      </c>
    </row>
    <row r="234" spans="5:46" x14ac:dyDescent="0.25">
      <c r="E234" s="170">
        <f t="shared" ref="E234:G253" si="937">E89*-1</f>
        <v>0.98902851171091655</v>
      </c>
      <c r="F234" s="170">
        <f t="shared" si="937"/>
        <v>0.14458662766641497</v>
      </c>
      <c r="G234" s="170">
        <f t="shared" si="937"/>
        <v>-3.0287128007505135E-2</v>
      </c>
      <c r="H234" s="139"/>
      <c r="I234" s="86"/>
      <c r="J234" s="79">
        <f t="shared" si="936"/>
        <v>6.1529999999999996</v>
      </c>
      <c r="AL234">
        <v>-4.5233556036659097</v>
      </c>
      <c r="AM234">
        <v>3.6946845351600626</v>
      </c>
      <c r="AN234">
        <v>-2.5486000009572498</v>
      </c>
      <c r="AO234">
        <v>-0.94201455833180769</v>
      </c>
      <c r="AP234">
        <v>-0.33538639949322108</v>
      </c>
      <c r="AQ234">
        <v>1.1159521759602305E-2</v>
      </c>
      <c r="AR234">
        <v>0.314</v>
      </c>
      <c r="AS234">
        <v>0.52</v>
      </c>
      <c r="AT234">
        <v>6.1470000000000002</v>
      </c>
    </row>
    <row r="235" spans="5:46" x14ac:dyDescent="0.25">
      <c r="E235" s="170">
        <f t="shared" si="937"/>
        <v>1.8894171699632192E-7</v>
      </c>
      <c r="F235" s="170">
        <f t="shared" si="937"/>
        <v>1.254470117197652E-7</v>
      </c>
      <c r="G235" s="170">
        <f t="shared" si="937"/>
        <v>-0.99999999999997435</v>
      </c>
      <c r="H235" s="139"/>
      <c r="I235" s="86"/>
      <c r="J235" s="79">
        <f t="shared" si="936"/>
        <v>6.2169999999999996</v>
      </c>
      <c r="AL235">
        <v>-4.5885092681365016</v>
      </c>
      <c r="AM235">
        <v>3.7800556723832397</v>
      </c>
      <c r="AN235">
        <v>-3.2073</v>
      </c>
      <c r="AO235">
        <v>-0.98902851171091655</v>
      </c>
      <c r="AP235">
        <v>-0.14458662766641497</v>
      </c>
      <c r="AQ235">
        <v>3.0287128007505135E-2</v>
      </c>
      <c r="AR235">
        <v>0.26600000000000001</v>
      </c>
      <c r="AS235">
        <v>0.52</v>
      </c>
      <c r="AT235">
        <v>6.1529999999999996</v>
      </c>
    </row>
    <row r="236" spans="5:46" x14ac:dyDescent="0.25">
      <c r="E236" s="170">
        <f t="shared" si="937"/>
        <v>0.84126247840303936</v>
      </c>
      <c r="F236" s="170">
        <f t="shared" si="937"/>
        <v>0.45181331780479056</v>
      </c>
      <c r="G236" s="170">
        <f t="shared" si="937"/>
        <v>-0.29688746737678784</v>
      </c>
      <c r="H236" s="139"/>
      <c r="I236" s="86"/>
      <c r="J236" s="79">
        <f t="shared" si="936"/>
        <v>6.2229999999999999</v>
      </c>
      <c r="AL236">
        <v>-1.7914268263305502</v>
      </c>
      <c r="AM236">
        <v>2.6981532363654437</v>
      </c>
      <c r="AN236">
        <v>-6.3882399731761755E-2</v>
      </c>
      <c r="AO236">
        <v>-1.8894171699632192E-7</v>
      </c>
      <c r="AP236">
        <v>-1.254470117197652E-7</v>
      </c>
      <c r="AQ236">
        <v>0.99999999999997435</v>
      </c>
      <c r="AR236">
        <v>0.26250000000000001</v>
      </c>
      <c r="AS236">
        <v>0.41199999999999998</v>
      </c>
      <c r="AT236">
        <v>6.2169999999999996</v>
      </c>
    </row>
    <row r="237" spans="5:46" x14ac:dyDescent="0.25">
      <c r="E237" s="170">
        <f t="shared" si="937"/>
        <v>0.91154675063014445</v>
      </c>
      <c r="F237" s="170">
        <f t="shared" si="937"/>
        <v>0.34532781923094547</v>
      </c>
      <c r="G237" s="170">
        <f t="shared" si="937"/>
        <v>-0.22322907221243554</v>
      </c>
      <c r="H237" s="139"/>
      <c r="I237" s="86"/>
      <c r="J237" s="79">
        <f t="shared" si="936"/>
        <v>6.2290000000000001</v>
      </c>
      <c r="AL237">
        <v>-2.6197878933988714</v>
      </c>
      <c r="AM237">
        <v>3.064127954061016</v>
      </c>
      <c r="AN237">
        <v>-0.17070864225958743</v>
      </c>
      <c r="AO237">
        <v>-0.84126247840303936</v>
      </c>
      <c r="AP237">
        <v>-0.45181331780479056</v>
      </c>
      <c r="AQ237">
        <v>0.29688746737678784</v>
      </c>
      <c r="AR237">
        <v>0.26600000000000001</v>
      </c>
      <c r="AS237">
        <v>0.52</v>
      </c>
      <c r="AT237">
        <v>6.2229999999999999</v>
      </c>
    </row>
    <row r="238" spans="5:46" x14ac:dyDescent="0.25">
      <c r="E238" s="170">
        <f t="shared" si="937"/>
        <v>0.94897292552942336</v>
      </c>
      <c r="F238" s="170">
        <f t="shared" si="937"/>
        <v>0.27207747466389809</v>
      </c>
      <c r="G238" s="170">
        <f t="shared" si="937"/>
        <v>-0.15944978643022198</v>
      </c>
      <c r="H238" s="139"/>
      <c r="I238" s="86"/>
      <c r="J238" s="79">
        <f t="shared" si="936"/>
        <v>6.2350000000000003</v>
      </c>
      <c r="AL238">
        <v>-3.1044057304530774</v>
      </c>
      <c r="AM238">
        <v>3.562034943095743</v>
      </c>
      <c r="AN238">
        <v>-0.58084703242644498</v>
      </c>
      <c r="AO238">
        <v>-0.91154675063014445</v>
      </c>
      <c r="AP238">
        <v>-0.34532781923094547</v>
      </c>
      <c r="AQ238">
        <v>0.22322907221243554</v>
      </c>
      <c r="AR238">
        <v>0.26600000000000001</v>
      </c>
      <c r="AS238">
        <v>0.52</v>
      </c>
      <c r="AT238">
        <v>6.2290000000000001</v>
      </c>
    </row>
    <row r="239" spans="5:46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  <c r="AL239">
        <v>-3.475928592362461</v>
      </c>
      <c r="AM239">
        <v>3.9807442312081833</v>
      </c>
      <c r="AN239">
        <v>-1.1415538076287457</v>
      </c>
      <c r="AO239">
        <v>-0.94897292552942336</v>
      </c>
      <c r="AP239">
        <v>-0.27207747466389809</v>
      </c>
      <c r="AQ239">
        <v>0.15944978643022198</v>
      </c>
      <c r="AR239">
        <v>0.26600000000000001</v>
      </c>
      <c r="AS239">
        <v>0.52</v>
      </c>
      <c r="AT239">
        <v>6.2350000000000003</v>
      </c>
    </row>
    <row r="240" spans="5:46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62837CF-C84D-4DEB-84EA-DAD77196C072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3278C463-CFA8-43E3-A413-D9974260C93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1.216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1.222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1.228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1.234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2.1150000000000002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2.1269999999999998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2.133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2.1389999999999998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2.145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2.1509999999999998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2.2210000000000001</v>
      </c>
      <c r="N188" s="869" t="str">
        <f>Assy.Model!K33</f>
        <v>Inactive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2.2269999999999999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2.2330000000000001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2.2389999999999999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3.1030000000000002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3.1059999999999999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3.109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3.1139999999999999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3.12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3.1259999999999999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3.1320000000000001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3.1379999999999999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3.1440000000000001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3.15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3.2090000000000001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3.214</v>
      </c>
      <c r="N203" s="869" t="str">
        <f>Assy.Model!K48</f>
        <v>Inactive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3.22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3.226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3.2320000000000002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3.238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4.1130000000000004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4.1189999999999998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4.125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4.1310000000000002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4.1369999999999996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4.1429999999999998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4.149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4.1550000000000002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4.2190000000000003</v>
      </c>
      <c r="N216" s="869" t="str">
        <f>Assy.Model!K61</f>
        <v>Inactive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4.2249999999999996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4.2309999999999999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4.2370000000000001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5.1020000000000003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5.1050000000000004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5.1079999999999997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5.1120000000000001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5.1180000000000003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5.1239999999999997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5.1360000000000001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5.1420000000000003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5.1479999999999997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5.1539999999999999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5.2080000000000002</v>
      </c>
      <c r="N231" s="869" t="str">
        <f>Assy.Model!K76</f>
        <v>Inactive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5.2119999999999997</v>
      </c>
      <c r="N232" s="869" t="str">
        <f>Assy.Model!K77</f>
        <v>Inactive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5.218</v>
      </c>
      <c r="N233" s="869" t="str">
        <f>Assy.Model!K78</f>
        <v>Inactive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5.2240000000000002</v>
      </c>
      <c r="N234" s="869">
        <f>Assy.Model!K79</f>
        <v>1313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5.23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5.2359999999999998</v>
      </c>
      <c r="N236" s="869">
        <f>Assy.Model!K81</f>
        <v>1313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6.1109999999999998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6.117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6.1230000000000002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6.1289999999999996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6.1349999999999998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6.141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6.1470000000000002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6.1529999999999996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6.2169999999999996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6.2229999999999999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6.2290000000000001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6.2350000000000003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2023-03-30T14:11:52Z</dcterms:modified>
</cp:coreProperties>
</file>