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05\"/>
    </mc:Choice>
  </mc:AlternateContent>
  <xr:revisionPtr revIDLastSave="0" documentId="13_ncr:1_{3E9EEFED-329D-4374-BF3F-DE78CD12881D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6" i="1" l="1" a="1"/>
  <c r="L6" i="1" s="1"/>
  <c r="L2" i="1" a="1"/>
  <c r="L2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K136" i="1"/>
  <c r="IR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R132" i="1"/>
  <c r="IW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R135" i="1"/>
  <c r="IW135" i="1"/>
  <c r="IN135" i="1"/>
  <c r="IK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W15" i="1"/>
  <c r="IV15" i="1"/>
  <c r="IU15" i="1"/>
  <c r="IE15" i="1" s="1"/>
  <c r="IN15" i="1"/>
  <c r="IK15" i="1"/>
  <c r="IK134" i="1"/>
  <c r="IR134" i="1"/>
  <c r="IW134" i="1"/>
  <c r="IN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N133" i="1"/>
  <c r="IR133" i="1"/>
  <c r="IW133" i="1"/>
  <c r="IK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P38" i="1"/>
  <c r="IR38" i="1"/>
  <c r="IQ38" i="1"/>
  <c r="IN38" i="1"/>
  <c r="IW38" i="1"/>
  <c r="IK38" i="1"/>
  <c r="IK91" i="1"/>
  <c r="IW91" i="1"/>
  <c r="IR91" i="1"/>
  <c r="IN9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V9" i="1"/>
  <c r="IK9" i="1"/>
  <c r="IU9" i="1"/>
  <c r="IE9" i="1" s="1"/>
  <c r="IW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W12" i="1"/>
  <c r="IU12" i="1"/>
  <c r="IE12" i="1" s="1"/>
  <c r="IN12" i="1"/>
  <c r="IK12" i="1"/>
  <c r="IR12" i="1"/>
  <c r="IN70" i="1"/>
  <c r="IW70" i="1"/>
  <c r="IK70" i="1"/>
  <c r="IR70" i="1"/>
  <c r="IU13" i="1"/>
  <c r="IE13" i="1" s="1"/>
  <c r="IK13" i="1"/>
  <c r="IN13" i="1"/>
  <c r="IR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Q56" i="1"/>
  <c r="IP56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W14" i="1"/>
  <c r="IN14" i="1"/>
  <c r="IR14" i="1"/>
  <c r="IU14" i="1"/>
  <c r="IE14" i="1" s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R137" i="1"/>
  <c r="IK137" i="1"/>
  <c r="IW137" i="1"/>
  <c r="IN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R131" i="1"/>
  <c r="IW131" i="1"/>
  <c r="IK131" i="1"/>
  <c r="IN131" i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Q55" i="1"/>
  <c r="IN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N74" i="1"/>
  <c r="IW74" i="1"/>
  <c r="IK74" i="1"/>
  <c r="IR74" i="1"/>
  <c r="IW89" i="1"/>
  <c r="IR89" i="1"/>
  <c r="IK89" i="1"/>
  <c r="IN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R138" i="1"/>
  <c r="IK138" i="1"/>
  <c r="IW138" i="1"/>
  <c r="IN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S136" i="1" s="1"/>
  <c r="Y136" i="1" s="1"/>
  <c r="IV136" i="1" s="1"/>
  <c r="AN139" i="1"/>
  <c r="AF140" i="1"/>
  <c r="S137" i="1"/>
  <c r="Y137" i="1" s="1"/>
  <c r="IV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AP142" i="1"/>
  <c r="Q143" i="1"/>
  <c r="AN143" i="1"/>
  <c r="AF146" i="1"/>
  <c r="AD147" i="1"/>
  <c r="CW147" i="1"/>
  <c r="DM147" i="1"/>
  <c r="N136" i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IV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IV135" i="1" s="1"/>
  <c r="M285" i="7"/>
  <c r="N130" i="1"/>
  <c r="P133" i="1"/>
  <c r="S133" i="1" s="1"/>
  <c r="Y133" i="1" s="1"/>
  <c r="IV133" i="1" s="1"/>
  <c r="M292" i="7"/>
  <c r="M293" i="7"/>
  <c r="M288" i="7"/>
  <c r="AB133" i="1"/>
  <c r="M286" i="7"/>
  <c r="AB130" i="1"/>
  <c r="M289" i="7"/>
  <c r="P134" i="1"/>
  <c r="S134" i="1" s="1"/>
  <c r="Y134" i="1" s="1"/>
  <c r="IV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IV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O138" i="1"/>
  <c r="Z138" i="1"/>
  <c r="P138" i="1"/>
  <c r="S138" i="1" s="1"/>
  <c r="Y138" i="1" s="1"/>
  <c r="IV138" i="1" s="1"/>
  <c r="Q136" i="1"/>
  <c r="Z136" i="1"/>
  <c r="N138" i="1"/>
  <c r="Q138" i="1"/>
  <c r="R138" i="1"/>
  <c r="X138" i="1" s="1"/>
  <c r="AQ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R136" i="1" l="1"/>
  <c r="X136" i="1" s="1"/>
  <c r="IU138" i="1"/>
  <c r="IE138" i="1" s="1"/>
  <c r="IU11" i="1"/>
  <c r="IE11" i="1" s="1"/>
  <c r="IR10" i="1"/>
  <c r="IR11" i="1"/>
  <c r="IV11" i="1"/>
  <c r="IW11" i="1"/>
  <c r="IN11" i="1"/>
  <c r="IK11" i="1"/>
  <c r="IV10" i="1"/>
  <c r="IK10" i="1"/>
  <c r="IU10" i="1"/>
  <c r="IE10" i="1" s="1"/>
  <c r="IW10" i="1"/>
  <c r="IN10" i="1"/>
  <c r="JA9" i="1" a="1"/>
  <c r="JA9" i="1" s="1"/>
  <c r="IF85" i="1"/>
  <c r="IF129" i="1"/>
  <c r="IF150" i="1"/>
  <c r="IF148" i="1"/>
  <c r="IF127" i="1"/>
  <c r="IF128" i="1"/>
  <c r="IF86" i="1"/>
  <c r="IF122" i="1"/>
  <c r="IF147" i="1"/>
  <c r="IF142" i="1"/>
  <c r="IF143" i="1"/>
  <c r="IF105" i="1"/>
  <c r="IF109" i="1"/>
  <c r="IF145" i="1"/>
  <c r="IF106" i="1"/>
  <c r="IF103" i="1"/>
  <c r="IF108" i="1"/>
  <c r="IF123" i="1"/>
  <c r="IF141" i="1"/>
  <c r="IF124" i="1"/>
  <c r="IF107" i="1"/>
  <c r="IF146" i="1"/>
  <c r="IF84" i="1"/>
  <c r="IF149" i="1"/>
  <c r="IF87" i="1"/>
  <c r="IF104" i="1"/>
  <c r="IF130" i="1"/>
  <c r="IF119" i="1"/>
  <c r="IF110" i="1"/>
  <c r="IF125" i="1"/>
  <c r="IF144" i="1"/>
  <c r="IF120" i="1"/>
  <c r="IF139" i="1"/>
  <c r="IF126" i="1"/>
  <c r="IF57" i="1"/>
  <c r="IF140" i="1"/>
  <c r="IF121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U135" i="1" s="1"/>
  <c r="IE135" i="1" s="1"/>
  <c r="AE133" i="1"/>
  <c r="CU130" i="1"/>
  <c r="EO130" i="1"/>
  <c r="BA130" i="1"/>
  <c r="R133" i="1"/>
  <c r="X133" i="1" s="1"/>
  <c r="IU133" i="1" s="1"/>
  <c r="IE133" i="1" s="1"/>
  <c r="Q133" i="1"/>
  <c r="Q132" i="1"/>
  <c r="R131" i="1"/>
  <c r="X131" i="1" s="1"/>
  <c r="IU131" i="1" s="1"/>
  <c r="IE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U132" i="1" s="1"/>
  <c r="IE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M138" i="1" s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M136" i="1"/>
  <c r="AI138" i="1"/>
  <c r="V136" i="1"/>
  <c r="V138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U134" i="1" s="1"/>
  <c r="IE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6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89" i="1" s="1"/>
  <c r="IV81" i="1" l="1"/>
  <c r="IQ135" i="1"/>
  <c r="IQ77" i="1"/>
  <c r="IV71" i="1"/>
  <c r="IQ99" i="1"/>
  <c r="IV90" i="1"/>
  <c r="IV69" i="1"/>
  <c r="AG137" i="1"/>
  <c r="AQ137" i="1"/>
  <c r="IU137" i="1"/>
  <c r="IE137" i="1" s="1"/>
  <c r="AQ136" i="1"/>
  <c r="IU136" i="1"/>
  <c r="IE136" i="1" s="1"/>
  <c r="JA23" i="1" a="1"/>
  <c r="JA23" i="1" s="1"/>
  <c r="IV36" i="1"/>
  <c r="IQ12" i="1"/>
  <c r="JB10" i="1" a="1"/>
  <c r="JB10" i="1" s="1"/>
  <c r="JB15" i="1" a="1"/>
  <c r="JB15" i="1" s="1"/>
  <c r="JB16" i="1" a="1"/>
  <c r="JB16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IU90" i="1" s="1"/>
  <c r="IE90" i="1" s="1"/>
  <c r="GY21" i="1"/>
  <c r="EA21" i="1"/>
  <c r="AB40" i="1"/>
  <c r="O94" i="1"/>
  <c r="P66" i="1"/>
  <c r="S66" i="1" s="1"/>
  <c r="Y66" i="1" s="1"/>
  <c r="AA86" i="1"/>
  <c r="Z94" i="1"/>
  <c r="Z86" i="1"/>
  <c r="AF86" i="1" s="1"/>
  <c r="AM86" i="1" s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72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91" i="1" s="1"/>
  <c r="EK37" i="1"/>
  <c r="AB35" i="1"/>
  <c r="Z35" i="1"/>
  <c r="P35" i="1"/>
  <c r="S35" i="1" s="1"/>
  <c r="Y35" i="1" s="1"/>
  <c r="IQ88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68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P89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133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Q9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IQ48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P125" i="1"/>
  <c r="S125" i="1" s="1"/>
  <c r="Y125" i="1" s="1"/>
  <c r="IQ49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136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IQ50" i="1" s="1"/>
  <c r="AA56" i="1"/>
  <c r="N126" i="1"/>
  <c r="AA126" i="1"/>
  <c r="P80" i="1"/>
  <c r="S80" i="1" s="1"/>
  <c r="Y80" i="1" s="1"/>
  <c r="IQ134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IQ20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Q47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Q90" i="1" s="1"/>
  <c r="Z70" i="1"/>
  <c r="AB83" i="1"/>
  <c r="P21" i="1"/>
  <c r="S21" i="1" s="1"/>
  <c r="Y21" i="1" s="1"/>
  <c r="IQ75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B25" i="1" l="1" a="1"/>
  <c r="JB25" i="1" s="1"/>
  <c r="AQ124" i="1"/>
  <c r="IP48" i="1"/>
  <c r="IU82" i="1"/>
  <c r="IE82" i="1" s="1"/>
  <c r="IP136" i="1"/>
  <c r="AQ91" i="1"/>
  <c r="IU91" i="1"/>
  <c r="IE91" i="1" s="1"/>
  <c r="IQ95" i="1"/>
  <c r="IV16" i="1"/>
  <c r="IQ70" i="1"/>
  <c r="IQ98" i="1"/>
  <c r="IV89" i="1"/>
  <c r="IQ97" i="1"/>
  <c r="IV88" i="1"/>
  <c r="IQ94" i="1"/>
  <c r="IV17" i="1"/>
  <c r="IQ71" i="1"/>
  <c r="IQ113" i="1"/>
  <c r="IQ15" i="1"/>
  <c r="IQ92" i="1"/>
  <c r="IQ114" i="1"/>
  <c r="IV19" i="1"/>
  <c r="IQ73" i="1"/>
  <c r="IV83" i="1"/>
  <c r="IQ137" i="1"/>
  <c r="R127" i="1"/>
  <c r="X127" i="1" s="1"/>
  <c r="AQ127" i="1" s="1"/>
  <c r="IQ93" i="1"/>
  <c r="IQ138" i="1"/>
  <c r="IQ78" i="1"/>
  <c r="IV72" i="1"/>
  <c r="IV78" i="1"/>
  <c r="IQ132" i="1"/>
  <c r="IQ76" i="1"/>
  <c r="IV70" i="1"/>
  <c r="IV77" i="1"/>
  <c r="IQ131" i="1"/>
  <c r="IV20" i="1"/>
  <c r="IQ74" i="1"/>
  <c r="AQ125" i="1"/>
  <c r="IP49" i="1"/>
  <c r="Q98" i="1"/>
  <c r="Q106" i="1"/>
  <c r="AD86" i="1"/>
  <c r="AH86" i="1" s="1"/>
  <c r="IQ59" i="1"/>
  <c r="IV56" i="1"/>
  <c r="IQ32" i="1"/>
  <c r="IQ64" i="1"/>
  <c r="IQ31" i="1"/>
  <c r="IV55" i="1"/>
  <c r="IQ54" i="1"/>
  <c r="IV50" i="1"/>
  <c r="IQ52" i="1"/>
  <c r="IV48" i="1"/>
  <c r="IQ19" i="1"/>
  <c r="IQ14" i="1"/>
  <c r="IV38" i="1"/>
  <c r="IV37" i="1"/>
  <c r="IQ13" i="1"/>
  <c r="JB24" i="1" a="1"/>
  <c r="JB24" i="1" s="1"/>
  <c r="IU36" i="1"/>
  <c r="IE36" i="1" s="1"/>
  <c r="IP12" i="1"/>
  <c r="IV35" i="1"/>
  <c r="IQ11" i="1"/>
  <c r="IV34" i="1"/>
  <c r="IQ10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AQ101" i="1"/>
  <c r="IU101" i="1"/>
  <c r="IE101" i="1" s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91" i="1" s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118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P72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6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P9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133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E101" i="1"/>
  <c r="AJ118" i="1"/>
  <c r="R20" i="1"/>
  <c r="X20" i="1" s="1"/>
  <c r="IP74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R84" i="1"/>
  <c r="X84" i="1" s="1"/>
  <c r="IP138" i="1" s="1"/>
  <c r="Q84" i="1"/>
  <c r="R83" i="1"/>
  <c r="X83" i="1" s="1"/>
  <c r="IP137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132" i="1" s="1"/>
  <c r="AD77" i="1"/>
  <c r="AH77" i="1" s="1"/>
  <c r="AE72" i="1"/>
  <c r="AE67" i="1"/>
  <c r="AE66" i="1"/>
  <c r="R64" i="1"/>
  <c r="X64" i="1" s="1"/>
  <c r="IP117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134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131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IP20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P88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G97" i="1" l="1"/>
  <c r="IP102" i="1"/>
  <c r="IP135" i="1"/>
  <c r="IP13" i="1"/>
  <c r="IP90" i="1"/>
  <c r="IP15" i="1"/>
  <c r="IP92" i="1"/>
  <c r="IU16" i="1"/>
  <c r="IE16" i="1" s="1"/>
  <c r="IP70" i="1"/>
  <c r="AQ126" i="1"/>
  <c r="IP50" i="1"/>
  <c r="AQ92" i="1"/>
  <c r="IU92" i="1"/>
  <c r="IE92" i="1" s="1"/>
  <c r="AQ123" i="1"/>
  <c r="IP47" i="1"/>
  <c r="IU17" i="1"/>
  <c r="IE17" i="1" s="1"/>
  <c r="IP71" i="1"/>
  <c r="AQ73" i="1"/>
  <c r="IU73" i="1"/>
  <c r="IE73" i="1" s="1"/>
  <c r="IP19" i="1"/>
  <c r="IP69" i="1"/>
  <c r="IU19" i="1"/>
  <c r="IE19" i="1" s="1"/>
  <c r="IP73" i="1"/>
  <c r="IP59" i="1"/>
  <c r="IU56" i="1"/>
  <c r="IE56" i="1" s="1"/>
  <c r="IP32" i="1"/>
  <c r="IP31" i="1"/>
  <c r="IU55" i="1"/>
  <c r="IE55" i="1" s="1"/>
  <c r="IP28" i="1"/>
  <c r="IP54" i="1"/>
  <c r="IU50" i="1"/>
  <c r="IE50" i="1" s="1"/>
  <c r="IP52" i="1"/>
  <c r="IU48" i="1"/>
  <c r="IE48" i="1" s="1"/>
  <c r="IP14" i="1"/>
  <c r="IU38" i="1"/>
  <c r="IE38" i="1" s="1"/>
  <c r="IU35" i="1"/>
  <c r="IE35" i="1" s="1"/>
  <c r="IP11" i="1"/>
  <c r="IU34" i="1"/>
  <c r="IE34" i="1" s="1"/>
  <c r="IP10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IY136" i="1" s="1"/>
  <c r="W138" i="1"/>
  <c r="AL138" i="1" s="1"/>
  <c r="AN138" i="1" s="1"/>
  <c r="IY138" i="1" s="1"/>
  <c r="W137" i="1"/>
  <c r="AL137" i="1" s="1"/>
  <c r="AN137" i="1" s="1"/>
  <c r="IY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137" i="1" s="1"/>
  <c r="W84" i="1"/>
  <c r="W81" i="1"/>
  <c r="IL135" i="1" s="1"/>
  <c r="W82" i="1"/>
  <c r="IL136" i="1" s="1"/>
  <c r="W79" i="1"/>
  <c r="IL133" i="1" s="1"/>
  <c r="W80" i="1"/>
  <c r="IL134" i="1" s="1"/>
  <c r="W77" i="1"/>
  <c r="W78" i="1"/>
  <c r="W75" i="1"/>
  <c r="W76" i="1"/>
  <c r="W73" i="1"/>
  <c r="W74" i="1"/>
  <c r="W71" i="1"/>
  <c r="W72" i="1"/>
  <c r="W69" i="1"/>
  <c r="W70" i="1"/>
  <c r="IL70" i="1" s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IL92" i="1" s="1"/>
  <c r="W40" i="1"/>
  <c r="W37" i="1"/>
  <c r="W38" i="1"/>
  <c r="W35" i="1"/>
  <c r="IL88" i="1" s="1"/>
  <c r="W36" i="1"/>
  <c r="W33" i="1"/>
  <c r="W34" i="1"/>
  <c r="W31" i="1"/>
  <c r="IL55" i="1" s="1"/>
  <c r="W32" i="1"/>
  <c r="IL56" i="1" s="1"/>
  <c r="W29" i="1"/>
  <c r="W30" i="1"/>
  <c r="W27" i="1"/>
  <c r="W28" i="1"/>
  <c r="W25" i="1"/>
  <c r="IL49" i="1" s="1"/>
  <c r="W26" i="1"/>
  <c r="IL50" i="1" s="1"/>
  <c r="W23" i="1"/>
  <c r="W24" i="1"/>
  <c r="IL48" i="1" s="1"/>
  <c r="W21" i="1"/>
  <c r="W22" i="1"/>
  <c r="W19" i="1"/>
  <c r="W20" i="1"/>
  <c r="W17" i="1"/>
  <c r="IL71" i="1" s="1"/>
  <c r="W18" i="1"/>
  <c r="IL72" i="1" s="1"/>
  <c r="W15" i="1"/>
  <c r="IL69" i="1" s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91" i="1" l="1"/>
  <c r="IL132" i="1"/>
  <c r="IL90" i="1"/>
  <c r="IL131" i="1"/>
  <c r="IL73" i="1"/>
  <c r="IL47" i="1"/>
  <c r="IL12" i="1"/>
  <c r="IL89" i="1"/>
  <c r="IL138" i="1"/>
  <c r="IL32" i="1"/>
  <c r="IL16" i="1"/>
  <c r="IL15" i="1"/>
  <c r="IL14" i="1"/>
  <c r="IL23" i="1"/>
  <c r="IL38" i="1"/>
  <c r="IL13" i="1"/>
  <c r="IL9" i="1"/>
  <c r="IL11" i="1"/>
  <c r="IL10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IX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IY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IY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Y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IY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IY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T133" i="1" s="1"/>
  <c r="U80" i="1"/>
  <c r="AL80" i="1"/>
  <c r="AN80" i="1" s="1"/>
  <c r="IT134" i="1" s="1"/>
  <c r="AK80" i="1"/>
  <c r="T80" i="1"/>
  <c r="U79" i="1"/>
  <c r="AK79" i="1"/>
  <c r="U78" i="1"/>
  <c r="T78" i="1"/>
  <c r="AK78" i="1"/>
  <c r="AL78" i="1"/>
  <c r="AN78" i="1" s="1"/>
  <c r="IT132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AK50" i="1"/>
  <c r="AL50" i="1"/>
  <c r="AN50" i="1" s="1"/>
  <c r="IY50" i="1" s="1"/>
  <c r="U50" i="1"/>
  <c r="T50" i="1"/>
  <c r="T49" i="1"/>
  <c r="AK49" i="1"/>
  <c r="AO49" i="1" s="1"/>
  <c r="IX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T91" i="1" s="1"/>
  <c r="AK38" i="1"/>
  <c r="T38" i="1"/>
  <c r="U38" i="1"/>
  <c r="AL37" i="1"/>
  <c r="AN37" i="1" s="1"/>
  <c r="IT90" i="1" s="1"/>
  <c r="U37" i="1"/>
  <c r="T37" i="1"/>
  <c r="AK37" i="1"/>
  <c r="AK36" i="1"/>
  <c r="AL36" i="1"/>
  <c r="AN36" i="1" s="1"/>
  <c r="IT89" i="1" s="1"/>
  <c r="T36" i="1"/>
  <c r="U36" i="1"/>
  <c r="U35" i="1"/>
  <c r="AL35" i="1"/>
  <c r="AN35" i="1" s="1"/>
  <c r="IT88" i="1" s="1"/>
  <c r="AK35" i="1"/>
  <c r="T35" i="1"/>
  <c r="U34" i="1"/>
  <c r="AL34" i="1"/>
  <c r="AN34" i="1" s="1"/>
  <c r="AK34" i="1"/>
  <c r="T34" i="1"/>
  <c r="AK33" i="1"/>
  <c r="AL33" i="1"/>
  <c r="AN33" i="1" s="1"/>
  <c r="IT9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55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T50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IT47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T19" i="1"/>
  <c r="U19" i="1"/>
  <c r="AL18" i="1"/>
  <c r="AN18" i="1" s="1"/>
  <c r="IT72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IY13" i="1" s="1"/>
  <c r="AK12" i="1"/>
  <c r="U12" i="1"/>
  <c r="AL12" i="1"/>
  <c r="AN12" i="1" s="1"/>
  <c r="IY12" i="1" s="1"/>
  <c r="AL11" i="1"/>
  <c r="AN11" i="1" s="1"/>
  <c r="IY11" i="1" s="1"/>
  <c r="T11" i="1"/>
  <c r="U11" i="1"/>
  <c r="AL10" i="1"/>
  <c r="T10" i="1"/>
  <c r="U10" i="1"/>
  <c r="AL9" i="1"/>
  <c r="AN9" i="1" s="1"/>
  <c r="IY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5" i="1" l="1"/>
  <c r="IT92" i="1"/>
  <c r="IT98" i="1"/>
  <c r="IY89" i="1"/>
  <c r="IF89" i="1" s="1"/>
  <c r="IT111" i="1"/>
  <c r="IF133" i="1"/>
  <c r="IY82" i="1"/>
  <c r="IT136" i="1"/>
  <c r="IT94" i="1"/>
  <c r="IT112" i="1"/>
  <c r="IT78" i="1"/>
  <c r="IY72" i="1"/>
  <c r="IF132" i="1"/>
  <c r="IY16" i="1"/>
  <c r="IT70" i="1"/>
  <c r="IT77" i="1"/>
  <c r="IY71" i="1"/>
  <c r="IS77" i="1"/>
  <c r="IX71" i="1"/>
  <c r="IS98" i="1"/>
  <c r="IX89" i="1"/>
  <c r="IT93" i="1"/>
  <c r="IT138" i="1"/>
  <c r="IT99" i="1"/>
  <c r="IY90" i="1"/>
  <c r="IY77" i="1"/>
  <c r="IT131" i="1"/>
  <c r="IY81" i="1"/>
  <c r="IT135" i="1"/>
  <c r="IT113" i="1"/>
  <c r="IY15" i="1"/>
  <c r="IT69" i="1"/>
  <c r="IY17" i="1"/>
  <c r="IT71" i="1"/>
  <c r="IY19" i="1"/>
  <c r="IT73" i="1"/>
  <c r="IT97" i="1"/>
  <c r="IY88" i="1"/>
  <c r="IY83" i="1"/>
  <c r="IT137" i="1"/>
  <c r="IF91" i="1"/>
  <c r="IF11" i="1"/>
  <c r="IF55" i="1"/>
  <c r="IY32" i="1"/>
  <c r="IT56" i="1"/>
  <c r="IT32" i="1"/>
  <c r="IY56" i="1"/>
  <c r="IF49" i="1"/>
  <c r="IX25" i="1"/>
  <c r="IY25" i="1"/>
  <c r="IT49" i="1"/>
  <c r="IY24" i="1"/>
  <c r="IT48" i="1"/>
  <c r="IY38" i="1"/>
  <c r="IT14" i="1"/>
  <c r="IT20" i="1"/>
  <c r="IT38" i="1"/>
  <c r="IY14" i="1"/>
  <c r="IY37" i="1"/>
  <c r="IT13" i="1"/>
  <c r="IT37" i="1"/>
  <c r="IY36" i="1"/>
  <c r="IT12" i="1"/>
  <c r="IY35" i="1"/>
  <c r="IT11" i="1"/>
  <c r="IY34" i="1"/>
  <c r="IT10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IX138" i="1" s="1"/>
  <c r="IF138" i="1" s="1"/>
  <c r="BA79" i="7"/>
  <c r="AO136" i="1"/>
  <c r="IX136" i="1" s="1"/>
  <c r="IF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IX133" i="1" s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IX135" i="1" s="1"/>
  <c r="IF135" i="1" s="1"/>
  <c r="AP135" i="1"/>
  <c r="BA58" i="7"/>
  <c r="AP117" i="1"/>
  <c r="AO117" i="1"/>
  <c r="AO103" i="1"/>
  <c r="AP103" i="1"/>
  <c r="AP91" i="1"/>
  <c r="AO91" i="1"/>
  <c r="IX91" i="1" s="1"/>
  <c r="AP125" i="1"/>
  <c r="AO125" i="1"/>
  <c r="IS49" i="1" s="1"/>
  <c r="AP115" i="1"/>
  <c r="AO115" i="1"/>
  <c r="IX115" i="1" s="1"/>
  <c r="IF115" i="1" s="1"/>
  <c r="AP110" i="1"/>
  <c r="AO110" i="1"/>
  <c r="AP134" i="1"/>
  <c r="AO134" i="1"/>
  <c r="IX134" i="1" s="1"/>
  <c r="IF134" i="1" s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IX137" i="1" s="1"/>
  <c r="IF137" i="1" s="1"/>
  <c r="AO127" i="1"/>
  <c r="AP127" i="1"/>
  <c r="AP131" i="1"/>
  <c r="AO131" i="1"/>
  <c r="IX131" i="1" s="1"/>
  <c r="IF131" i="1" s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AO116" i="1"/>
  <c r="IX116" i="1" s="1"/>
  <c r="IF116" i="1" s="1"/>
  <c r="AP116" i="1"/>
  <c r="BA52" i="7"/>
  <c r="AO132" i="1"/>
  <c r="IX132" i="1" s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6" i="1" s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IS133" i="1" s="1"/>
  <c r="AP79" i="1"/>
  <c r="AP80" i="1"/>
  <c r="AO80" i="1"/>
  <c r="IS134" i="1" s="1"/>
  <c r="AO77" i="1"/>
  <c r="AP77" i="1"/>
  <c r="AP78" i="1"/>
  <c r="AO78" i="1"/>
  <c r="IS132" i="1" s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23" i="1" s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S90" i="1" s="1"/>
  <c r="AO38" i="1"/>
  <c r="IS91" i="1" s="1"/>
  <c r="AP38" i="1"/>
  <c r="AP35" i="1"/>
  <c r="AO35" i="1"/>
  <c r="IS88" i="1" s="1"/>
  <c r="AP36" i="1"/>
  <c r="AO36" i="1"/>
  <c r="IS89" i="1" s="1"/>
  <c r="AO33" i="1"/>
  <c r="IS9" i="1" s="1"/>
  <c r="AP33" i="1"/>
  <c r="AO34" i="1"/>
  <c r="AP34" i="1"/>
  <c r="AO31" i="1"/>
  <c r="IS55" i="1" s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S50" i="1" s="1"/>
  <c r="AP26" i="1"/>
  <c r="AO24" i="1"/>
  <c r="AP24" i="1"/>
  <c r="AO23" i="1"/>
  <c r="IS47" i="1" s="1"/>
  <c r="AP23" i="1"/>
  <c r="AP21" i="1"/>
  <c r="AO22" i="1"/>
  <c r="AP22" i="1"/>
  <c r="AO19" i="1"/>
  <c r="AP19" i="1"/>
  <c r="AP20" i="1"/>
  <c r="AO20" i="1"/>
  <c r="IX20" i="1" s="1"/>
  <c r="IF20" i="1" s="1"/>
  <c r="AO17" i="1"/>
  <c r="AP17" i="1"/>
  <c r="AO18" i="1"/>
  <c r="IS72" i="1" s="1"/>
  <c r="AP18" i="1"/>
  <c r="AP15" i="1"/>
  <c r="AO15" i="1"/>
  <c r="AO16" i="1"/>
  <c r="IS70" i="1" s="1"/>
  <c r="AP16" i="1"/>
  <c r="AO13" i="1"/>
  <c r="IX13" i="1" s="1"/>
  <c r="IF13" i="1" s="1"/>
  <c r="AP13" i="1"/>
  <c r="AO14" i="1"/>
  <c r="AP14" i="1"/>
  <c r="AP11" i="1"/>
  <c r="AO12" i="1"/>
  <c r="IX12" i="1" s="1"/>
  <c r="IF12" i="1" s="1"/>
  <c r="AP12" i="1"/>
  <c r="AO10" i="1"/>
  <c r="IX10" i="1" s="1"/>
  <c r="AP10" i="1"/>
  <c r="AN10" i="1"/>
  <c r="IY10" i="1" s="1"/>
  <c r="AO9" i="1"/>
  <c r="IX9" i="1" s="1"/>
  <c r="IF9" i="1" s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82" i="1" l="1"/>
  <c r="IF82" i="1" s="1"/>
  <c r="IS136" i="1"/>
  <c r="IS95" i="1"/>
  <c r="IS15" i="1"/>
  <c r="IS92" i="1"/>
  <c r="IS111" i="1"/>
  <c r="IS113" i="1"/>
  <c r="IX17" i="1"/>
  <c r="IF17" i="1" s="1"/>
  <c r="IS71" i="1"/>
  <c r="IX77" i="1"/>
  <c r="IF77" i="1" s="1"/>
  <c r="IS131" i="1"/>
  <c r="IX81" i="1"/>
  <c r="IF81" i="1" s="1"/>
  <c r="IS135" i="1"/>
  <c r="IF88" i="1"/>
  <c r="IF71" i="1"/>
  <c r="IS75" i="1"/>
  <c r="IX69" i="1"/>
  <c r="IF69" i="1" s="1"/>
  <c r="IX83" i="1"/>
  <c r="IF83" i="1" s="1"/>
  <c r="IS137" i="1"/>
  <c r="IS97" i="1"/>
  <c r="IX88" i="1"/>
  <c r="IS112" i="1"/>
  <c r="IS78" i="1"/>
  <c r="IX72" i="1"/>
  <c r="IF72" i="1" s="1"/>
  <c r="IS93" i="1"/>
  <c r="IS138" i="1"/>
  <c r="IS99" i="1"/>
  <c r="IX90" i="1"/>
  <c r="IF90" i="1" s="1"/>
  <c r="IX15" i="1"/>
  <c r="IF15" i="1" s="1"/>
  <c r="IS69" i="1"/>
  <c r="IX19" i="1"/>
  <c r="IF19" i="1" s="1"/>
  <c r="IS73" i="1"/>
  <c r="IS114" i="1"/>
  <c r="IX56" i="1"/>
  <c r="IF56" i="1" s="1"/>
  <c r="IS32" i="1"/>
  <c r="IS56" i="1"/>
  <c r="IX32" i="1"/>
  <c r="IF32" i="1" s="1"/>
  <c r="IS54" i="1"/>
  <c r="IX50" i="1"/>
  <c r="IF50" i="1" s="1"/>
  <c r="IF25" i="1"/>
  <c r="IS52" i="1"/>
  <c r="IX48" i="1"/>
  <c r="IF48" i="1" s="1"/>
  <c r="IX24" i="1"/>
  <c r="IF24" i="1" s="1"/>
  <c r="IS48" i="1"/>
  <c r="IT29" i="1"/>
  <c r="IY47" i="1"/>
  <c r="IF47" i="1" s="1"/>
  <c r="IS14" i="1"/>
  <c r="IX38" i="1"/>
  <c r="IF38" i="1" s="1"/>
  <c r="IS20" i="1"/>
  <c r="IS38" i="1"/>
  <c r="IX14" i="1"/>
  <c r="IF14" i="1" s="1"/>
  <c r="IS37" i="1"/>
  <c r="IX37" i="1"/>
  <c r="IF37" i="1" s="1"/>
  <c r="IS13" i="1"/>
  <c r="IX36" i="1"/>
  <c r="IF36" i="1" s="1"/>
  <c r="IS12" i="1"/>
  <c r="IX35" i="1"/>
  <c r="IF35" i="1" s="1"/>
  <c r="IS11" i="1"/>
  <c r="IS34" i="1"/>
  <c r="IT34" i="1"/>
  <c r="IX34" i="1"/>
  <c r="IF34" i="1" s="1"/>
  <c r="IS10" i="1"/>
  <c r="IF10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<sst xmlns="http://schemas.openxmlformats.org/spreadsheetml/2006/main" count="734" uniqueCount="391">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</sst>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17.5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8.75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17.5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46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1.11's θ about Z Axis</v>
      </c>
      <c r="U5" s="1137"/>
      <c r="V5" s="1138"/>
      <c r="W5" s="1137" t="str">
        <f>CONCATENATE("Relative to ",M8,"'s θ about Z Axis")</f>
        <v>Relative to 1.11's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>Inactive Element</v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-0.61960000000000004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0.29580000000000001</v>
      </c>
      <c r="D9" s="704">
        <v>-1.1636</v>
      </c>
      <c r="E9" s="705">
        <v>0.93969262078590843</v>
      </c>
      <c r="F9" s="703">
        <v>0</v>
      </c>
      <c r="G9" s="706">
        <v>-0.34202014332566871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0.29580000000000001</v>
      </c>
      <c r="P9" s="625">
        <f t="shared" ref="P9:P40" si="4">IF(M9="","",D9)</f>
        <v>-1.1636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0.29580000000000001</v>
      </c>
      <c r="S9" s="626">
        <f>IF(M9="","",P9)</f>
        <v>-1.1636</v>
      </c>
      <c r="T9" s="627">
        <f>IF(M9="","",X9*COS(RADIANS(W9)))</f>
        <v>0.29580000000000001</v>
      </c>
      <c r="U9" s="624">
        <f>IF(M9="","",X9*SIN(RADIANS(W9)))</f>
        <v>0</v>
      </c>
      <c r="V9" s="628">
        <f>IF(M9="","",Y9)</f>
        <v>-1.1636</v>
      </c>
      <c r="W9" s="583">
        <f t="shared" ref="W9:W14" si="5">IF(M9="","",IF(Q9-$Q$8&lt;0,360+Q9-$Q$8,Q9-$Q$8))</f>
        <v>0</v>
      </c>
      <c r="X9" s="629">
        <f>IF(M9="","",R9)</f>
        <v>0.29580000000000001</v>
      </c>
      <c r="Y9" s="630">
        <f>IF(M9="","",S9)</f>
        <v>-1.1636</v>
      </c>
      <c r="Z9" s="623">
        <f t="shared" ref="Z9:Z40" si="6">IF(M9="","",-E9)</f>
        <v>-0.93969262078590843</v>
      </c>
      <c r="AA9" s="624">
        <f t="shared" ref="AA9:AA40" si="7">IF(M9="","",-F9)</f>
        <v>0</v>
      </c>
      <c r="AB9" s="624">
        <f t="shared" ref="AB9:AB40" si="8">IF(M9="","",-G9)</f>
        <v>0.34202014332566871</v>
      </c>
      <c r="AC9" s="628">
        <f>IF(M9="","",SQRT(Z9^2+AA9^2+AB9^2))</f>
        <v>1</v>
      </c>
      <c r="AD9" s="631">
        <f>IF(M9="","",Z9*(1/SQRT(Z9^2+AA9^2+AB9^2)))</f>
        <v>-0.93969262078590843</v>
      </c>
      <c r="AE9" s="624">
        <f>IF(M9="","",AA9*(1/SQRT(Z9^2+AA9^2+AB9^2)))</f>
        <v>0</v>
      </c>
      <c r="AF9" s="625">
        <f>IF(M9="","",AB9*(1/SQRT(Z9^2+AA9^2+AB9^2)))</f>
        <v>0.34202014332566871</v>
      </c>
      <c r="AG9" s="599">
        <f>IF(M9="","",DEGREES(ATAN2(-AF9,AE9)))</f>
        <v>180</v>
      </c>
      <c r="AH9" s="600">
        <f>IF(M9="","",DEGREES(ACOS(AD9)))</f>
        <v>160.00000000000003</v>
      </c>
      <c r="AI9" s="583">
        <f>IF(M9="","",DEGREES(-ACOS(-AF9)))</f>
        <v>-110</v>
      </c>
      <c r="AJ9" s="601">
        <f>IF(M9="","",DEGREES(ATAN2(-AE9,AD9)))</f>
        <v>-90</v>
      </c>
      <c r="AK9" s="627">
        <f>IF(M9="","",(COS(RADIANS((90-$Q$8)-W9))*AD9)+(-SIN(RADIANS((90-$Q$8)-W9))*AE9))</f>
        <v>-0.93969262078590843</v>
      </c>
      <c r="AL9" s="624">
        <f>IF(M9="","",(SIN(RADIANS((90-$Q$8)-W9))*AD9)+(COS(RADIANS((90-$Q$8)-W9))*AE9))</f>
        <v>0</v>
      </c>
      <c r="AM9" s="626">
        <f>IF(M9="","",AF9)</f>
        <v>0.34202014332566871</v>
      </c>
      <c r="AN9" s="581">
        <f>IF(M9="","",DEGREES(ATAN2(-AM9,AL9)))</f>
        <v>180</v>
      </c>
      <c r="AO9" s="582">
        <f>IF(ROUND(IF(M9="",0,DEGREES(ACOS(AK9))),4)=90,0,IF(M9="","",DEGREES(ACOS(AK9))))</f>
        <v>160.00000000000003</v>
      </c>
      <c r="AP9" s="781">
        <f>IF(M9="","",DEGREES(ATAN2(AK9,AL9)))</f>
        <v>180</v>
      </c>
      <c r="AQ9" s="584">
        <f t="shared" ref="AQ9:AQ40" si="9">IF(M9="","",DEGREES(ATAN(($AS$5*SIN(RADIANS(90)))/(($X9*2*PI())-($AS$5*COS(RADIANS(90)))))))</f>
        <v>7.661002506063384</v>
      </c>
      <c r="AS9" s="51">
        <f>IF(M9="","",W9)</f>
        <v>0</v>
      </c>
      <c r="AT9" s="71">
        <f t="shared" ref="AT9:AT40" si="10">IF(M9="","",Y9+(((AS9-$AS$9)*$AS$6)*-1))</f>
        <v>-1.1636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1.0429999999999999</v>
      </c>
      <c r="D10" s="709">
        <v>-1.0183</v>
      </c>
      <c r="E10" s="710">
        <v>0.96592582628906831</v>
      </c>
      <c r="F10" s="708">
        <v>0</v>
      </c>
      <c r="G10" s="711">
        <v>-0.25881904510252068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1.0429999999999999</v>
      </c>
      <c r="P10" s="633">
        <f t="shared" si="4"/>
        <v>-1.0183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1.0429999999999999</v>
      </c>
      <c r="S10" s="634">
        <f t="shared" ref="S10:S105" si="80">IF(M10="","",P10)</f>
        <v>-1.0183</v>
      </c>
      <c r="T10" s="635">
        <f t="shared" ref="T10:T105" si="81">IF(M10="","",X10*COS(RADIANS(W10)))</f>
        <v>1.0429999999999999</v>
      </c>
      <c r="U10" s="629">
        <f t="shared" ref="U10:U105" si="82">IF(M10="","",X10*SIN(RADIANS(W10)))</f>
        <v>0</v>
      </c>
      <c r="V10" s="636">
        <f>IF(M10="","",Y10)</f>
        <v>-1.0183</v>
      </c>
      <c r="W10" s="585">
        <f t="shared" si="5"/>
        <v>0</v>
      </c>
      <c r="X10" s="629">
        <f t="shared" ref="X10:X105" si="83">IF(M10="","",R10)</f>
        <v>1.0429999999999999</v>
      </c>
      <c r="Y10" s="630">
        <f>IF(M10="","",S10)</f>
        <v>-1.0183</v>
      </c>
      <c r="Z10" s="632">
        <f t="shared" si="6"/>
        <v>-0.96592582628906831</v>
      </c>
      <c r="AA10" s="629">
        <f t="shared" si="7"/>
        <v>0</v>
      </c>
      <c r="AB10" s="629">
        <f t="shared" si="8"/>
        <v>0.25881904510252068</v>
      </c>
      <c r="AC10" s="636">
        <f t="shared" ref="AC10:AC105" si="84">IF(M10="","",SQRT(Z10^2+AA10^2+AB10^2))</f>
        <v>1</v>
      </c>
      <c r="AD10" s="637">
        <f>IF(M10="","",Z10*(1/SQRT(Z10^2+AA10^2+AB10^2)))</f>
        <v>-0.96592582628906831</v>
      </c>
      <c r="AE10" s="629">
        <f t="shared" ref="AE10:AE105" si="85">IF(M10="","",AA10*(1/SQRT(Z10^2+AA10^2+AB10^2)))</f>
        <v>0</v>
      </c>
      <c r="AF10" s="633">
        <f t="shared" ref="AF10:AF105" si="86">IF(M10="","",AB10*(1/SQRT(Z10^2+AA10^2+AB10^2)))</f>
        <v>0.25881904510252068</v>
      </c>
      <c r="AG10" s="602">
        <f t="shared" ref="AG10:AG105" si="87">IF(M10="","",DEGREES(ATAN2(-AF10,AE10)))</f>
        <v>180</v>
      </c>
      <c r="AH10" s="603">
        <f t="shared" ref="AH10:AH105" si="88">IF(M10="","",DEGREES(ACOS(AD10)))</f>
        <v>165</v>
      </c>
      <c r="AI10" s="585">
        <f t="shared" ref="AI10:AI105" si="89">IF(M10="","",DEGREES(-ACOS(-AF10)))</f>
        <v>-105</v>
      </c>
      <c r="AJ10" s="586">
        <f t="shared" ref="AJ10:AJ105" si="90">IF(M10="","",DEGREES(ATAN2(-AE10,AD10)))</f>
        <v>-90</v>
      </c>
      <c r="AK10" s="635">
        <f>IF(M10="","",(COS(RADIANS((90-$Q$8)-W10))*AD10)+(-SIN(RADIANS((90-$Q$8)-W10))*AE10))</f>
        <v>-0.96592582628906831</v>
      </c>
      <c r="AL10" s="629">
        <f t="shared" ref="AL10:AL105" si="91">IF(M10="","",(SIN(RADIANS((90-$Q$8)-W10))*AD10)+(COS(RADIANS((90-$Q$8)-W10))*AE10))</f>
        <v>0</v>
      </c>
      <c r="AM10" s="634">
        <f t="shared" ref="AM10:AM105" si="92">IF(M10="","",AF10)</f>
        <v>0.25881904510252068</v>
      </c>
      <c r="AN10" s="581">
        <f t="shared" ref="AN10:AN105" si="93">IF(M10="","",DEGREES(ATAN2(-AM10,AL10)))</f>
        <v>180</v>
      </c>
      <c r="AO10" s="582">
        <f t="shared" ref="AO10:AO54" si="94">IF(ROUND(IF(M10="",0,DEGREES(ACOS(AK10))),4)=90,0,IF(M10="","",DEGREES(ACOS(AK10))))</f>
        <v>165</v>
      </c>
      <c r="AP10" s="585">
        <f t="shared" ref="AP10:AP105" si="95">IF(M10="","",DEGREES(ATAN2(AK10,AL10)))</f>
        <v>180</v>
      </c>
      <c r="AQ10" s="586">
        <f t="shared" si="9"/>
        <v>2.1846804443018044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-1.0183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13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1.7869999999999999</v>
      </c>
      <c r="D11" s="709">
        <v>-0.81889999999999996</v>
      </c>
      <c r="E11" s="710">
        <v>0.9659258262890682</v>
      </c>
      <c r="F11" s="708">
        <v>0</v>
      </c>
      <c r="G11" s="711">
        <v>-0.25881904510252096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1.7869999999999999</v>
      </c>
      <c r="P11" s="633">
        <f t="shared" si="4"/>
        <v>-0.81889999999999996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1.7869999999999999</v>
      </c>
      <c r="S11" s="634">
        <f t="shared" si="80"/>
        <v>-0.81889999999999996</v>
      </c>
      <c r="T11" s="635">
        <f t="shared" si="81"/>
        <v>1.7869999999999999</v>
      </c>
      <c r="U11" s="629">
        <f t="shared" si="82"/>
        <v>0</v>
      </c>
      <c r="V11" s="636">
        <f t="shared" ref="V11:V105" si="114">IF(M11="","",Y11)</f>
        <v>-0.81889999999999996</v>
      </c>
      <c r="W11" s="585">
        <f t="shared" si="5"/>
        <v>0</v>
      </c>
      <c r="X11" s="629">
        <f>IF(M11="","",R11)</f>
        <v>1.7869999999999999</v>
      </c>
      <c r="Y11" s="630">
        <f>IF(M11="","",S11)</f>
        <v>-0.81889999999999996</v>
      </c>
      <c r="Z11" s="632">
        <f t="shared" si="6"/>
        <v>-0.9659258262890682</v>
      </c>
      <c r="AA11" s="629">
        <f t="shared" si="7"/>
        <v>0</v>
      </c>
      <c r="AB11" s="629">
        <f t="shared" si="8"/>
        <v>0.25881904510252096</v>
      </c>
      <c r="AC11" s="636">
        <f t="shared" si="84"/>
        <v>1</v>
      </c>
      <c r="AD11" s="637">
        <f t="shared" ref="AD11:AD105" si="115">IF(M11="","",Z11*(1/SQRT(Z11^2+AA11^2+AB11^2)))</f>
        <v>-0.9659258262890682</v>
      </c>
      <c r="AE11" s="629">
        <f t="shared" si="85"/>
        <v>0</v>
      </c>
      <c r="AF11" s="633">
        <f t="shared" si="86"/>
        <v>0.25881904510252096</v>
      </c>
      <c r="AG11" s="602">
        <f>IF(M11="","",DEGREES(ATAN2(-AF11,AE11)))</f>
        <v>180</v>
      </c>
      <c r="AH11" s="603">
        <f t="shared" si="88"/>
        <v>164.99999999999997</v>
      </c>
      <c r="AI11" s="585">
        <f t="shared" si="89"/>
        <v>-105.00000000000001</v>
      </c>
      <c r="AJ11" s="586">
        <f t="shared" si="90"/>
        <v>-90</v>
      </c>
      <c r="AK11" s="635">
        <f>IF(M11="","",(COS(RADIANS((90-$Q$8)-W11))*AD11)+(-SIN(RADIANS((90-$Q$8)-W11))*AE11))</f>
        <v>-0.9659258262890682</v>
      </c>
      <c r="AL11" s="629">
        <f t="shared" si="91"/>
        <v>0</v>
      </c>
      <c r="AM11" s="634">
        <f t="shared" si="92"/>
        <v>0.25881904510252096</v>
      </c>
      <c r="AN11" s="581">
        <f>IF(M11="","",DEGREES(ATAN2(-AM11,AL11)))</f>
        <v>180</v>
      </c>
      <c r="AO11" s="582">
        <f>IF(ROUND(IF(M11="",0,DEGREES(ACOS(AK11))),4)=90,0,IF(M11="","",DEGREES(ACOS(AK11))))</f>
        <v>164.99999999999997</v>
      </c>
      <c r="AP11" s="585">
        <f t="shared" si="95"/>
        <v>180</v>
      </c>
      <c r="AQ11" s="586">
        <f t="shared" si="9"/>
        <v>1.2755176339204479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-0.81889999999999996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2.5309999999999997</v>
      </c>
      <c r="D12" s="709">
        <v>-0.61960000000000004</v>
      </c>
      <c r="E12" s="710">
        <v>0.96592582628906831</v>
      </c>
      <c r="F12" s="708">
        <v>0</v>
      </c>
      <c r="G12" s="711">
        <v>-0.25881904510252057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0</v>
      </c>
      <c r="O12" s="629">
        <f t="shared" si="3"/>
        <v>2.5309999999999997</v>
      </c>
      <c r="P12" s="633">
        <f t="shared" si="4"/>
        <v>-0.61960000000000004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2.5309999999999997</v>
      </c>
      <c r="S12" s="634">
        <f t="shared" si="80"/>
        <v>-0.61960000000000004</v>
      </c>
      <c r="T12" s="635">
        <f>IF(M12="","",X12*COS(RADIANS(W12)))</f>
        <v>2.5309999999999997</v>
      </c>
      <c r="U12" s="629">
        <f t="shared" si="82"/>
        <v>0</v>
      </c>
      <c r="V12" s="636">
        <f t="shared" si="114"/>
        <v>-0.61960000000000004</v>
      </c>
      <c r="W12" s="585">
        <f>IF(M12="","",IF(Q12-$Q$8&lt;0,360+Q12-$Q$8,Q12-$Q$8))</f>
        <v>0</v>
      </c>
      <c r="X12" s="629">
        <f t="shared" si="83"/>
        <v>2.5309999999999997</v>
      </c>
      <c r="Y12" s="630">
        <f>IF(M12="","",S12)</f>
        <v>-0.61960000000000004</v>
      </c>
      <c r="Z12" s="632">
        <f t="shared" si="6"/>
        <v>-0.96592582628906831</v>
      </c>
      <c r="AA12" s="629">
        <f t="shared" si="7"/>
        <v>0</v>
      </c>
      <c r="AB12" s="629">
        <f t="shared" si="8"/>
        <v>0.25881904510252057</v>
      </c>
      <c r="AC12" s="636">
        <f t="shared" si="84"/>
        <v>1</v>
      </c>
      <c r="AD12" s="637">
        <f t="shared" si="115"/>
        <v>-0.96592582628906831</v>
      </c>
      <c r="AE12" s="629">
        <f t="shared" si="85"/>
        <v>0</v>
      </c>
      <c r="AF12" s="633">
        <f t="shared" si="86"/>
        <v>0.25881904510252057</v>
      </c>
      <c r="AG12" s="602">
        <f t="shared" si="87"/>
        <v>180</v>
      </c>
      <c r="AH12" s="603">
        <f t="shared" si="88"/>
        <v>165</v>
      </c>
      <c r="AI12" s="585">
        <f t="shared" si="89"/>
        <v>-105</v>
      </c>
      <c r="AJ12" s="586">
        <f t="shared" si="90"/>
        <v>-90</v>
      </c>
      <c r="AK12" s="635">
        <f t="shared" ref="AK12:AK105" si="211">IF(M12="","",(COS(RADIANS((90-$Q$8)-W12))*AD12)+(-SIN(RADIANS((90-$Q$8)-W12))*AE12))</f>
        <v>-0.96592582628906831</v>
      </c>
      <c r="AL12" s="629">
        <f>IF(M12="","",(SIN(RADIANS((90-$Q$8)-W12))*AD12)+(COS(RADIANS((90-$Q$8)-W12))*AE12))</f>
        <v>0</v>
      </c>
      <c r="AM12" s="634">
        <f t="shared" si="92"/>
        <v>0.25881904510252057</v>
      </c>
      <c r="AN12" s="581">
        <f>IF(M12="","",DEGREES(ATAN2(-AM12,AL12)))</f>
        <v>180</v>
      </c>
      <c r="AO12" s="582">
        <f t="shared" si="94"/>
        <v>165</v>
      </c>
      <c r="AP12" s="585">
        <f t="shared" si="95"/>
        <v>180</v>
      </c>
      <c r="AQ12" s="586">
        <f t="shared" si="9"/>
        <v>0.90064751440721713</v>
      </c>
      <c r="AS12" s="52">
        <f t="shared" si="116"/>
        <v>0</v>
      </c>
      <c r="AT12" s="72">
        <f>IF(M12="","",Y12+(((AS12-$AS$9)*$AS$6)*-1))</f>
        <v>-0.61960000000000004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</v>
      </c>
      <c r="C13" s="708">
        <v>3.2749000000000001</v>
      </c>
      <c r="D13" s="709">
        <v>-0.42020000000000002</v>
      </c>
      <c r="E13" s="710">
        <v>0.96592582628906831</v>
      </c>
      <c r="F13" s="708">
        <v>0</v>
      </c>
      <c r="G13" s="711">
        <v>-0.25881904510252079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110</v>
      </c>
      <c r="M13" s="168">
        <f t="shared" si="1"/>
        <v>1.113</v>
      </c>
      <c r="N13" s="632">
        <f t="shared" si="2"/>
        <v>0</v>
      </c>
      <c r="O13" s="629">
        <f t="shared" si="3"/>
        <v>3.2749000000000001</v>
      </c>
      <c r="P13" s="633">
        <f t="shared" si="4"/>
        <v>-0.42020000000000002</v>
      </c>
      <c r="Q13" s="585">
        <f t="shared" si="113"/>
        <v>90</v>
      </c>
      <c r="R13" s="629">
        <f t="shared" si="79"/>
        <v>3.2749000000000001</v>
      </c>
      <c r="S13" s="634">
        <f t="shared" si="80"/>
        <v>-0.42020000000000002</v>
      </c>
      <c r="T13" s="635">
        <f>IF(M13="","",X13*COS(RADIANS(W13)))</f>
        <v>3.2749000000000001</v>
      </c>
      <c r="U13" s="629">
        <f t="shared" si="82"/>
        <v>0</v>
      </c>
      <c r="V13" s="636">
        <f t="shared" si="114"/>
        <v>-0.42020000000000002</v>
      </c>
      <c r="W13" s="585">
        <f t="shared" si="5"/>
        <v>0</v>
      </c>
      <c r="X13" s="629">
        <f t="shared" si="83"/>
        <v>3.2749000000000001</v>
      </c>
      <c r="Y13" s="630">
        <f>IF(M13="","",S13)</f>
        <v>-0.42020000000000002</v>
      </c>
      <c r="Z13" s="632">
        <f t="shared" si="6"/>
        <v>-0.96592582628906831</v>
      </c>
      <c r="AA13" s="629">
        <f t="shared" si="7"/>
        <v>0</v>
      </c>
      <c r="AB13" s="629">
        <f t="shared" si="8"/>
        <v>0.25881904510252079</v>
      </c>
      <c r="AC13" s="636">
        <f t="shared" si="84"/>
        <v>1</v>
      </c>
      <c r="AD13" s="637">
        <f>IF(M13="","",Z13*(1/SQRT(Z13^2+AA13^2+AB13^2)))</f>
        <v>-0.96592582628906831</v>
      </c>
      <c r="AE13" s="629">
        <f t="shared" si="85"/>
        <v>0</v>
      </c>
      <c r="AF13" s="633">
        <f t="shared" si="86"/>
        <v>0.25881904510252079</v>
      </c>
      <c r="AG13" s="602">
        <f>IF(M13="","",DEGREES(ATAN2(-AF13,AE13)))</f>
        <v>180</v>
      </c>
      <c r="AH13" s="603">
        <f t="shared" si="88"/>
        <v>165</v>
      </c>
      <c r="AI13" s="585">
        <f t="shared" si="89"/>
        <v>-105.00000000000001</v>
      </c>
      <c r="AJ13" s="586">
        <f t="shared" si="90"/>
        <v>-90</v>
      </c>
      <c r="AK13" s="635">
        <f t="shared" si="211"/>
        <v>-0.96592582628906831</v>
      </c>
      <c r="AL13" s="629">
        <f t="shared" si="91"/>
        <v>0</v>
      </c>
      <c r="AM13" s="634">
        <f t="shared" si="92"/>
        <v>0.25881904510252079</v>
      </c>
      <c r="AN13" s="581">
        <f t="shared" si="93"/>
        <v>180</v>
      </c>
      <c r="AO13" s="582">
        <f t="shared" si="94"/>
        <v>165</v>
      </c>
      <c r="AP13" s="585">
        <f t="shared" si="95"/>
        <v>180</v>
      </c>
      <c r="AQ13" s="586">
        <f t="shared" si="9"/>
        <v>0.69608674144671068</v>
      </c>
      <c r="AS13" s="52">
        <f t="shared" si="116"/>
        <v>0</v>
      </c>
      <c r="AT13" s="72">
        <f t="shared" si="10"/>
        <v>-0.42020000000000002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2.8057212644235722E-3</v>
      </c>
      <c r="C14" s="708">
        <v>4.0188990206184814</v>
      </c>
      <c r="D14" s="709">
        <v>-0.22090000000000001</v>
      </c>
      <c r="E14" s="710">
        <v>0.96580094216652224</v>
      </c>
      <c r="F14" s="708">
        <v>-1.6032553681604736E-2</v>
      </c>
      <c r="G14" s="711">
        <v>-0.25878851854884211</v>
      </c>
      <c r="H14" s="710">
        <v>0.314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1.1160000000000001</v>
      </c>
      <c r="N14" s="632">
        <f t="shared" si="2"/>
        <v>2.8057212644235722E-3</v>
      </c>
      <c r="O14" s="629">
        <f t="shared" si="3"/>
        <v>4.0188990206184814</v>
      </c>
      <c r="P14" s="633">
        <f t="shared" si="4"/>
        <v>-0.22090000000000001</v>
      </c>
      <c r="Q14" s="585">
        <f t="shared" si="113"/>
        <v>89.960000000000008</v>
      </c>
      <c r="R14" s="629">
        <f t="shared" si="79"/>
        <v>4.0189000000000004</v>
      </c>
      <c r="S14" s="634">
        <f t="shared" si="80"/>
        <v>-0.22090000000000001</v>
      </c>
      <c r="T14" s="635">
        <f t="shared" si="81"/>
        <v>4.0188990206184814</v>
      </c>
      <c r="U14" s="629">
        <f t="shared" si="82"/>
        <v>-2.8057212644208131E-3</v>
      </c>
      <c r="V14" s="636">
        <f t="shared" si="114"/>
        <v>-0.22090000000000001</v>
      </c>
      <c r="W14" s="585">
        <f t="shared" si="5"/>
        <v>359.96000000000004</v>
      </c>
      <c r="X14" s="629">
        <f t="shared" si="83"/>
        <v>4.0189000000000004</v>
      </c>
      <c r="Y14" s="630">
        <f t="shared" ref="Y14:Y75" si="223">IF(M14="","",S14)</f>
        <v>-0.22090000000000001</v>
      </c>
      <c r="Z14" s="632">
        <f t="shared" si="6"/>
        <v>-0.96580094216652224</v>
      </c>
      <c r="AA14" s="629">
        <f t="shared" si="7"/>
        <v>1.6032553681604736E-2</v>
      </c>
      <c r="AB14" s="629">
        <f t="shared" si="8"/>
        <v>0.25878851854884211</v>
      </c>
      <c r="AC14" s="636">
        <f t="shared" si="84"/>
        <v>1</v>
      </c>
      <c r="AD14" s="637">
        <f>IF(M14="","",Z14*(1/SQRT(Z14^2+AA14^2+AB14^2)))</f>
        <v>-0.96580094216652224</v>
      </c>
      <c r="AE14" s="629">
        <f t="shared" si="85"/>
        <v>1.6032553681604736E-2</v>
      </c>
      <c r="AF14" s="633">
        <f t="shared" si="86"/>
        <v>0.25878851854884211</v>
      </c>
      <c r="AG14" s="602">
        <f t="shared" si="87"/>
        <v>176.45492333252375</v>
      </c>
      <c r="AH14" s="603">
        <f t="shared" si="88"/>
        <v>164.97237876200239</v>
      </c>
      <c r="AI14" s="585">
        <f t="shared" si="89"/>
        <v>-104.9981892654321</v>
      </c>
      <c r="AJ14" s="586">
        <f t="shared" si="90"/>
        <v>-90.95103789574668</v>
      </c>
      <c r="AK14" s="635">
        <f>IF(M14="","",(COS(RADIANS((90-$Q$8)-W14))*AD14)+(-SIN(RADIANS((90-$Q$8)-W14))*AE14))</f>
        <v>-0.96581189963975955</v>
      </c>
      <c r="AL14" s="629">
        <f t="shared" si="91"/>
        <v>1.5358293574953403E-2</v>
      </c>
      <c r="AM14" s="634">
        <f t="shared" si="92"/>
        <v>0.25878851854884211</v>
      </c>
      <c r="AN14" s="581">
        <f t="shared" si="93"/>
        <v>176.60365734160374</v>
      </c>
      <c r="AO14" s="582">
        <f t="shared" si="94"/>
        <v>164.97480029503103</v>
      </c>
      <c r="AP14" s="585">
        <f>IF(M14="","",DEGREES(ATAN2(AK14,AL14)))</f>
        <v>179.08896210425326</v>
      </c>
      <c r="AQ14" s="586">
        <f t="shared" si="9"/>
        <v>0.56723286261836481</v>
      </c>
      <c r="AS14" s="52">
        <f t="shared" si="116"/>
        <v>-3.999999999996362E-2</v>
      </c>
      <c r="AT14" s="72">
        <f t="shared" si="10"/>
        <v>-0.22087222222222225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2.7551981760969131E-2</v>
      </c>
      <c r="C15" s="708">
        <v>4.7836206557691261</v>
      </c>
      <c r="D15" s="709">
        <v>-7.1499999999999994E-2</v>
      </c>
      <c r="E15" s="710">
        <v>0.96437187907980504</v>
      </c>
      <c r="F15" s="708">
        <v>-5.6322535479807138E-2</v>
      </c>
      <c r="G15" s="711">
        <v>-0.25848530100802997</v>
      </c>
      <c r="H15" s="710">
        <v>0.314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>
        <f>IF($L14=$JH$22,$JH$29,IF($L14=$JI$22,$JI$29,""))</f>
        <v>110</v>
      </c>
      <c r="M15" s="168">
        <f t="shared" si="1"/>
        <v>1.119</v>
      </c>
      <c r="N15" s="632">
        <f t="shared" si="2"/>
        <v>2.7551981760969131E-2</v>
      </c>
      <c r="O15" s="629">
        <f t="shared" si="3"/>
        <v>4.7836206557691261</v>
      </c>
      <c r="P15" s="633">
        <f t="shared" si="4"/>
        <v>-7.1499999999999994E-2</v>
      </c>
      <c r="Q15" s="585">
        <f t="shared" si="113"/>
        <v>89.67</v>
      </c>
      <c r="R15" s="629">
        <f t="shared" si="79"/>
        <v>4.7837000000000005</v>
      </c>
      <c r="S15" s="634">
        <f t="shared" si="80"/>
        <v>-7.1499999999999994E-2</v>
      </c>
      <c r="T15" s="635">
        <f t="shared" si="81"/>
        <v>4.7836206557691261</v>
      </c>
      <c r="U15" s="629">
        <f t="shared" si="82"/>
        <v>-2.755198176096859E-2</v>
      </c>
      <c r="V15" s="636">
        <f t="shared" si="114"/>
        <v>-7.1499999999999994E-2</v>
      </c>
      <c r="W15" s="585">
        <f t="shared" ref="W15:W78" si="224">IF(M15="","",IF(Q15-$Q$8&lt;0,360+Q15-$Q$8,Q15-$Q$8))</f>
        <v>359.67</v>
      </c>
      <c r="X15" s="629">
        <f>IF(M15="","",R15)</f>
        <v>4.7837000000000005</v>
      </c>
      <c r="Y15" s="630">
        <f>IF(M15="","",S15)</f>
        <v>-7.1499999999999994E-2</v>
      </c>
      <c r="Z15" s="632">
        <f t="shared" si="6"/>
        <v>-0.96437187907980504</v>
      </c>
      <c r="AA15" s="629">
        <f t="shared" si="7"/>
        <v>5.6322535479807138E-2</v>
      </c>
      <c r="AB15" s="629">
        <f t="shared" si="8"/>
        <v>0.25848530100802997</v>
      </c>
      <c r="AC15" s="636">
        <f t="shared" si="84"/>
        <v>1</v>
      </c>
      <c r="AD15" s="637">
        <f t="shared" si="115"/>
        <v>-0.96437187907980504</v>
      </c>
      <c r="AE15" s="629">
        <f t="shared" si="85"/>
        <v>5.6322535479807138E-2</v>
      </c>
      <c r="AF15" s="633">
        <f t="shared" si="86"/>
        <v>0.25848530100802997</v>
      </c>
      <c r="AG15" s="602">
        <f t="shared" si="87"/>
        <v>167.70769707104563</v>
      </c>
      <c r="AH15" s="603">
        <f t="shared" si="88"/>
        <v>164.65976475230798</v>
      </c>
      <c r="AI15" s="585">
        <f t="shared" si="89"/>
        <v>-104.98020423222985</v>
      </c>
      <c r="AJ15" s="586">
        <f t="shared" si="90"/>
        <v>-93.342467818418953</v>
      </c>
      <c r="AK15" s="635">
        <f t="shared" si="211"/>
        <v>-0.96468027637170228</v>
      </c>
      <c r="AL15" s="629">
        <f t="shared" si="91"/>
        <v>5.0767248716118714E-2</v>
      </c>
      <c r="AM15" s="634">
        <f t="shared" si="92"/>
        <v>0.25848530100802997</v>
      </c>
      <c r="AN15" s="581">
        <f>IF(M15="","",DEGREES(ATAN2(-AM15,AL15)))</f>
        <v>168.88837868166357</v>
      </c>
      <c r="AO15" s="582">
        <f t="shared" si="94"/>
        <v>164.72669935621906</v>
      </c>
      <c r="AP15" s="585">
        <f t="shared" si="95"/>
        <v>176.98753218158103</v>
      </c>
      <c r="AQ15" s="586">
        <f t="shared" si="9"/>
        <v>0.47655038196458943</v>
      </c>
      <c r="AS15" s="52">
        <f t="shared" si="116"/>
        <v>-0.32999999999998408</v>
      </c>
      <c r="AT15" s="72">
        <f t="shared" si="10"/>
        <v>-7.1270833333333339E-2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82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8.0324800011186692E-2</v>
      </c>
      <c r="C16" s="708">
        <v>5.5445181879495324</v>
      </c>
      <c r="D16" s="709">
        <v>-9.4600000000000017E-2</v>
      </c>
      <c r="E16" s="710">
        <v>0.96063536100886071</v>
      </c>
      <c r="F16" s="708">
        <v>-0.12548585021136516</v>
      </c>
      <c r="G16" s="711">
        <v>-0.24785682273463178</v>
      </c>
      <c r="H16" s="710">
        <v>0.314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1.1220000000000001</v>
      </c>
      <c r="N16" s="632">
        <f t="shared" si="2"/>
        <v>8.0324800011186692E-2</v>
      </c>
      <c r="O16" s="629">
        <f t="shared" si="3"/>
        <v>5.5445181879495324</v>
      </c>
      <c r="P16" s="633">
        <f t="shared" si="4"/>
        <v>-9.4600000000000017E-2</v>
      </c>
      <c r="Q16" s="585">
        <f>IF(M16="","",IF(DEGREES(ATAN2(N16,O16))&lt;0,DEGREES(ATAN2(N16,O16))+360,IF(DEGREES(ATAN2(N16,O16))&gt;360,DEGREES(ATAN2(N16,O16))-360,DEGREES(ATAN2(N16,O16)))))</f>
        <v>89.17</v>
      </c>
      <c r="R16" s="629">
        <f t="shared" si="79"/>
        <v>5.5451000000000006</v>
      </c>
      <c r="S16" s="634">
        <f t="shared" si="80"/>
        <v>-9.4600000000000017E-2</v>
      </c>
      <c r="T16" s="635">
        <f t="shared" si="81"/>
        <v>5.5445181879495324</v>
      </c>
      <c r="U16" s="629">
        <f t="shared" si="82"/>
        <v>-8.0324800011187997E-2</v>
      </c>
      <c r="V16" s="636">
        <f t="shared" si="114"/>
        <v>-9.4600000000000017E-2</v>
      </c>
      <c r="W16" s="585">
        <f>IF(M16="","",IF(Q16-$Q$8&lt;0,360+Q16-$Q$8,Q16-$Q$8))</f>
        <v>359.17</v>
      </c>
      <c r="X16" s="629">
        <f t="shared" si="83"/>
        <v>5.5451000000000006</v>
      </c>
      <c r="Y16" s="630">
        <f t="shared" si="223"/>
        <v>-9.4600000000000017E-2</v>
      </c>
      <c r="Z16" s="632">
        <f t="shared" si="6"/>
        <v>-0.96063536100886071</v>
      </c>
      <c r="AA16" s="629">
        <f t="shared" si="7"/>
        <v>0.12548585021136516</v>
      </c>
      <c r="AB16" s="629">
        <f t="shared" si="8"/>
        <v>0.24785682273463178</v>
      </c>
      <c r="AC16" s="636">
        <f t="shared" si="84"/>
        <v>1</v>
      </c>
      <c r="AD16" s="637">
        <f t="shared" si="115"/>
        <v>-0.96063536100886071</v>
      </c>
      <c r="AE16" s="629">
        <f t="shared" si="85"/>
        <v>0.12548585021136516</v>
      </c>
      <c r="AF16" s="633">
        <f t="shared" si="86"/>
        <v>0.24785682273463178</v>
      </c>
      <c r="AG16" s="602">
        <f t="shared" si="87"/>
        <v>153.14765327498597</v>
      </c>
      <c r="AH16" s="603">
        <f t="shared" si="88"/>
        <v>163.87031763803404</v>
      </c>
      <c r="AI16" s="585">
        <f t="shared" si="89"/>
        <v>-104.35072615900231</v>
      </c>
      <c r="AJ16" s="586">
        <f t="shared" si="90"/>
        <v>-97.442291538749444</v>
      </c>
      <c r="AK16" s="635">
        <f t="shared" si="211"/>
        <v>-0.96235232131495463</v>
      </c>
      <c r="AL16" s="629">
        <f t="shared" si="91"/>
        <v>0.11155718302113807</v>
      </c>
      <c r="AM16" s="634">
        <f t="shared" si="92"/>
        <v>0.24785682273463178</v>
      </c>
      <c r="AN16" s="581">
        <f t="shared" si="93"/>
        <v>155.76810004258476</v>
      </c>
      <c r="AO16" s="582">
        <f t="shared" si="94"/>
        <v>164.22829120521854</v>
      </c>
      <c r="AP16" s="585">
        <f t="shared" si="95"/>
        <v>173.38770846125055</v>
      </c>
      <c r="AQ16" s="586">
        <f t="shared" si="9"/>
        <v>0.41111747441507113</v>
      </c>
      <c r="AS16" s="52">
        <f t="shared" si="116"/>
        <v>-0.82999999999998408</v>
      </c>
      <c r="AT16" s="72">
        <f t="shared" si="10"/>
        <v>-9.4023611111111141E-2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0.15408689618439547</v>
      </c>
      <c r="C17" s="708">
        <v>6.2601039311200148</v>
      </c>
      <c r="D17" s="709">
        <v>-0.2797</v>
      </c>
      <c r="E17" s="710">
        <v>0.95433607819386201</v>
      </c>
      <c r="F17" s="708">
        <v>-0.20416825806675962</v>
      </c>
      <c r="G17" s="711">
        <v>-0.21807790409746669</v>
      </c>
      <c r="H17" s="710">
        <v>0.314</v>
      </c>
      <c r="I17" s="708">
        <v>0.52</v>
      </c>
      <c r="J17" s="570">
        <v>1.125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1.125</v>
      </c>
      <c r="N17" s="632">
        <f t="shared" si="2"/>
        <v>0.15408689618439547</v>
      </c>
      <c r="O17" s="629">
        <f t="shared" si="3"/>
        <v>6.2601039311200148</v>
      </c>
      <c r="P17" s="633">
        <f t="shared" si="4"/>
        <v>-0.2797</v>
      </c>
      <c r="Q17" s="585">
        <f>IF(M17="","",IF(DEGREES(ATAN2(N17,O17))&lt;0,DEGREES(ATAN2(N17,O17))+360,IF(DEGREES(ATAN2(N17,O17))&gt;360,DEGREES(ATAN2(N17,O17))-360,DEGREES(ATAN2(N17,O17)))))</f>
        <v>88.59</v>
      </c>
      <c r="R17" s="629">
        <f>IF(M17="","",SQRT(N17^2+O17^2))</f>
        <v>6.2620000000000005</v>
      </c>
      <c r="S17" s="634">
        <f>IF(M17="","",P17)</f>
        <v>-0.2797</v>
      </c>
      <c r="T17" s="635">
        <f>IF(M17="","",X17*COS(RADIANS(W17)))</f>
        <v>6.2601039311200148</v>
      </c>
      <c r="U17" s="629">
        <f>IF(M17="","",X17*SIN(RADIANS(W17)))</f>
        <v>-0.15408689618439297</v>
      </c>
      <c r="V17" s="636">
        <f>IF(M17="","",Y17)</f>
        <v>-0.2797</v>
      </c>
      <c r="W17" s="585">
        <f t="shared" si="224"/>
        <v>358.59000000000003</v>
      </c>
      <c r="X17" s="629">
        <f>IF(M17="","",R17)</f>
        <v>6.2620000000000005</v>
      </c>
      <c r="Y17" s="630">
        <f t="shared" si="223"/>
        <v>-0.2797</v>
      </c>
      <c r="Z17" s="632">
        <f t="shared" si="6"/>
        <v>-0.95433607819386201</v>
      </c>
      <c r="AA17" s="629">
        <f t="shared" si="7"/>
        <v>0.20416825806675962</v>
      </c>
      <c r="AB17" s="629">
        <f t="shared" si="8"/>
        <v>0.21807790409746669</v>
      </c>
      <c r="AC17" s="636">
        <f>IF(M17="","",SQRT(Z17^2+AA17^2+AB17^2))</f>
        <v>1</v>
      </c>
      <c r="AD17" s="637">
        <f>IF(M17="","",Z17*(1/SQRT(Z17^2+AA17^2+AB17^2)))</f>
        <v>-0.95433607819386201</v>
      </c>
      <c r="AE17" s="629">
        <f>IF(M17="","",AA17*(1/SQRT(Z17^2+AA17^2+AB17^2)))</f>
        <v>0.20416825806675962</v>
      </c>
      <c r="AF17" s="633">
        <f>IF(M17="","",AB17*(1/SQRT(Z17^2+AA17^2+AB17^2)))</f>
        <v>0.21807790409746669</v>
      </c>
      <c r="AG17" s="602">
        <f>IF(M17="","",DEGREES(ATAN2(-AF17,AE17)))</f>
        <v>136.88675703554816</v>
      </c>
      <c r="AH17" s="603">
        <f>IF(M17="","",DEGREES(ACOS(AD17)))</f>
        <v>162.61835488046569</v>
      </c>
      <c r="AI17" s="585">
        <f>IF(M17="","",DEGREES(-ACOS(-AF17)))</f>
        <v>-102.59616409552548</v>
      </c>
      <c r="AJ17" s="586">
        <f>IF(M17="","",DEGREES(ATAN2(-AE17,AD17)))</f>
        <v>-102.07567945800467</v>
      </c>
      <c r="AK17" s="635">
        <f>IF(M17="","",(COS(RADIANS((90-$Q$8)-W17))*AD17)+(-SIN(RADIANS((90-$Q$8)-W17))*AE17))</f>
        <v>-0.95907101371701275</v>
      </c>
      <c r="AL17" s="629">
        <f>IF(M17="","",(SIN(RADIANS((90-$Q$8)-W17))*AD17)+(COS(RADIANS((90-$Q$8)-W17))*AE17))</f>
        <v>0.18062341595783599</v>
      </c>
      <c r="AM17" s="634">
        <f>IF(M17="","",AF17)</f>
        <v>0.21807790409746669</v>
      </c>
      <c r="AN17" s="581">
        <f>IF(M17="","",DEGREES(ATAN2(-AM17,AL17)))</f>
        <v>140.36668545363932</v>
      </c>
      <c r="AO17" s="582">
        <f t="shared" si="94"/>
        <v>163.55076762611176</v>
      </c>
      <c r="AP17" s="585">
        <f>IF(M17="","",DEGREES(ATAN2(AK17,AL17)))</f>
        <v>169.33432054199531</v>
      </c>
      <c r="AQ17" s="586">
        <f t="shared" si="9"/>
        <v>0.36405237187374495</v>
      </c>
      <c r="AS17" s="52">
        <f t="shared" si="116"/>
        <v>-1.4099999999999682</v>
      </c>
      <c r="AT17" s="72">
        <f t="shared" si="10"/>
        <v>-0.27872083333333336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1.125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0.24273609734563997</v>
      </c>
      <c r="C18" s="708">
        <v>6.9164418364535836</v>
      </c>
      <c r="D18" s="709">
        <v>-0.61580000000000001</v>
      </c>
      <c r="E18" s="710">
        <v>0.94609808458894629</v>
      </c>
      <c r="F18" s="708">
        <v>-0.27298199326270911</v>
      </c>
      <c r="G18" s="711">
        <v>-0.17429643051837077</v>
      </c>
      <c r="H18" s="710">
        <v>0.314</v>
      </c>
      <c r="I18" s="708">
        <v>0.52</v>
      </c>
      <c r="J18" s="570">
        <v>1.1279999999999999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1.1279999999999999</v>
      </c>
      <c r="N18" s="632">
        <f t="shared" si="2"/>
        <v>0.24273609734563997</v>
      </c>
      <c r="O18" s="629">
        <f t="shared" si="3"/>
        <v>6.9164418364535836</v>
      </c>
      <c r="P18" s="633">
        <f t="shared" si="4"/>
        <v>-0.61580000000000001</v>
      </c>
      <c r="Q18" s="585">
        <f t="shared" si="113"/>
        <v>87.99</v>
      </c>
      <c r="R18" s="629">
        <f>IF(M18="","",SQRT(N18^2+O18^2))</f>
        <v>6.920700000000001</v>
      </c>
      <c r="S18" s="634">
        <f>IF(M18="","",P18)</f>
        <v>-0.61580000000000001</v>
      </c>
      <c r="T18" s="635">
        <f>IF(M18="","",X18*COS(RADIANS(W18)))</f>
        <v>6.9164418364535836</v>
      </c>
      <c r="U18" s="629">
        <f>IF(M18="","",X18*SIN(RADIANS(W18)))</f>
        <v>-0.24273609734563892</v>
      </c>
      <c r="V18" s="636">
        <f>IF(M18="","",Y18)</f>
        <v>-0.61580000000000001</v>
      </c>
      <c r="W18" s="585">
        <f t="shared" si="224"/>
        <v>357.99</v>
      </c>
      <c r="X18" s="629">
        <f>IF(M18="","",R18)</f>
        <v>6.920700000000001</v>
      </c>
      <c r="Y18" s="630">
        <f t="shared" si="223"/>
        <v>-0.61580000000000001</v>
      </c>
      <c r="Z18" s="632">
        <f t="shared" si="6"/>
        <v>-0.94609808458894629</v>
      </c>
      <c r="AA18" s="629">
        <f t="shared" si="7"/>
        <v>0.27298199326270911</v>
      </c>
      <c r="AB18" s="629">
        <f t="shared" si="8"/>
        <v>0.17429643051837077</v>
      </c>
      <c r="AC18" s="636">
        <f>IF(M18="","",SQRT(Z18^2+AA18^2+AB18^2))</f>
        <v>1</v>
      </c>
      <c r="AD18" s="637">
        <f>IF(M18="","",Z18*(1/SQRT(Z18^2+AA18^2+AB18^2)))</f>
        <v>-0.94609808458894629</v>
      </c>
      <c r="AE18" s="629">
        <f>IF(M18="","",AA18*(1/SQRT(Z18^2+AA18^2+AB18^2)))</f>
        <v>0.27298199326270911</v>
      </c>
      <c r="AF18" s="633">
        <f>IF(M18="","",AB18*(1/SQRT(Z18^2+AA18^2+AB18^2)))</f>
        <v>0.17429643051837077</v>
      </c>
      <c r="AG18" s="602">
        <f>IF(M18="","",DEGREES(ATAN2(-AF18,AE18)))</f>
        <v>122.55784776979026</v>
      </c>
      <c r="AH18" s="603">
        <f>IF(M18="","",DEGREES(ACOS(AD18)))</f>
        <v>161.10225111160025</v>
      </c>
      <c r="AI18" s="585">
        <f>IF(M18="","",DEGREES(-ACOS(-AF18)))</f>
        <v>-100.03771732174972</v>
      </c>
      <c r="AJ18" s="586">
        <f>IF(M18="","",DEGREES(ATAN2(-AE18,AD18)))</f>
        <v>-106.09467863427774</v>
      </c>
      <c r="AK18" s="635">
        <f>IF(M18="","",(COS(RADIANS((90-$Q$8)-W18))*AD18)+(-SIN(RADIANS((90-$Q$8)-W18))*AE18))</f>
        <v>-0.95509051935928624</v>
      </c>
      <c r="AL18" s="629">
        <f>IF(M18="","",(SIN(RADIANS((90-$Q$8)-W18))*AD18)+(COS(RADIANS((90-$Q$8)-W18))*AE18))</f>
        <v>0.23963066193324178</v>
      </c>
      <c r="AM18" s="634">
        <f>IF(M18="","",AF18)</f>
        <v>0.17429643051837077</v>
      </c>
      <c r="AN18" s="581">
        <f>IF(M18="","",DEGREES(ATAN2(-AM18,AL18)))</f>
        <v>126.03043613217774</v>
      </c>
      <c r="AO18" s="582">
        <f t="shared" si="94"/>
        <v>162.76364124039046</v>
      </c>
      <c r="AP18" s="585">
        <f>IF(M18="","",DEGREES(ATAN2(AK18,AL18)))</f>
        <v>165.91532136572224</v>
      </c>
      <c r="AQ18" s="586">
        <f t="shared" si="9"/>
        <v>0.32940331391938354</v>
      </c>
      <c r="AS18" s="52">
        <f t="shared" si="116"/>
        <v>-2.0099999999999909</v>
      </c>
      <c r="AT18" s="72">
        <f t="shared" si="10"/>
        <v>-0.61440416666666664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1.1279999999999999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0.33583308106714865</v>
      </c>
      <c r="C19" s="708">
        <v>7.4820668469120841</v>
      </c>
      <c r="D19" s="709">
        <v>-1.0858000000000001</v>
      </c>
      <c r="E19" s="710">
        <v>0.93718437847428138</v>
      </c>
      <c r="F19" s="708">
        <v>-0.3275144964904001</v>
      </c>
      <c r="G19" s="711">
        <v>-0.12008203584389641</v>
      </c>
      <c r="H19" s="710">
        <v>0.314</v>
      </c>
      <c r="I19" s="708">
        <v>0.52</v>
      </c>
      <c r="J19" s="570">
        <v>1.131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1.131</v>
      </c>
      <c r="N19" s="632">
        <f t="shared" si="2"/>
        <v>0.33583308106714865</v>
      </c>
      <c r="O19" s="629">
        <f t="shared" si="3"/>
        <v>7.4820668469120841</v>
      </c>
      <c r="P19" s="633">
        <f t="shared" si="4"/>
        <v>-1.0858000000000001</v>
      </c>
      <c r="Q19" s="585">
        <f t="shared" si="113"/>
        <v>87.43</v>
      </c>
      <c r="R19" s="629">
        <f>IF(M19="","",SQRT(N19^2+O19^2))</f>
        <v>7.4895999999999994</v>
      </c>
      <c r="S19" s="634">
        <f>IF(M19="","",P19)</f>
        <v>-1.0858000000000001</v>
      </c>
      <c r="T19" s="635">
        <f>IF(M19="","",X19*COS(RADIANS(W19)))</f>
        <v>7.4820668469120841</v>
      </c>
      <c r="U19" s="629">
        <f>IF(M19="","",X19*SIN(RADIANS(W19)))</f>
        <v>-0.33583308106714954</v>
      </c>
      <c r="V19" s="636">
        <f>IF(M19="","",Y19)</f>
        <v>-1.0858000000000001</v>
      </c>
      <c r="W19" s="585">
        <f t="shared" si="224"/>
        <v>357.43</v>
      </c>
      <c r="X19" s="629">
        <f>IF(M19="","",R19)</f>
        <v>7.4895999999999994</v>
      </c>
      <c r="Y19" s="630">
        <f t="shared" si="223"/>
        <v>-1.0858000000000001</v>
      </c>
      <c r="Z19" s="632">
        <f t="shared" si="6"/>
        <v>-0.93718437847428138</v>
      </c>
      <c r="AA19" s="629">
        <f t="shared" si="7"/>
        <v>0.3275144964904001</v>
      </c>
      <c r="AB19" s="629">
        <f t="shared" si="8"/>
        <v>0.12008203584389641</v>
      </c>
      <c r="AC19" s="636">
        <f>IF(M19="","",SQRT(Z19^2+AA19^2+AB19^2))</f>
        <v>1</v>
      </c>
      <c r="AD19" s="637">
        <f>IF(M19="","",Z19*(1/SQRT(Z19^2+AA19^2+AB19^2)))</f>
        <v>-0.93718437847428138</v>
      </c>
      <c r="AE19" s="629">
        <f>IF(M19="","",AA19*(1/SQRT(Z19^2+AA19^2+AB19^2)))</f>
        <v>0.3275144964904001</v>
      </c>
      <c r="AF19" s="633">
        <f>IF(M19="","",AB19*(1/SQRT(Z19^2+AA19^2+AB19^2)))</f>
        <v>0.12008203584389641</v>
      </c>
      <c r="AG19" s="602">
        <f>IF(M19="","",DEGREES(ATAN2(-AF19,AE19)))</f>
        <v>110.13528365963182</v>
      </c>
      <c r="AH19" s="603">
        <f>IF(M19="","",DEGREES(ACOS(AD19)))</f>
        <v>159.58396143510396</v>
      </c>
      <c r="AI19" s="585">
        <f>IF(M19="","",DEGREES(-ACOS(-AF19)))</f>
        <v>-96.89683712277332</v>
      </c>
      <c r="AJ19" s="586">
        <f>IF(M19="","",DEGREES(ATAN2(-AE19,AD19)))</f>
        <v>-109.26280762326817</v>
      </c>
      <c r="AK19" s="635">
        <f>IF(M19="","",(COS(RADIANS((90-$Q$8)-W19))*AD19)+(-SIN(RADIANS((90-$Q$8)-W19))*AE19))</f>
        <v>-0.95092746876693768</v>
      </c>
      <c r="AL19" s="629">
        <f>IF(M19="","",(SIN(RADIANS((90-$Q$8)-W19))*AD19)+(COS(RADIANS((90-$Q$8)-W19))*AE19))</f>
        <v>0.28516180286302439</v>
      </c>
      <c r="AM19" s="634">
        <f>IF(M19="","",AF19)</f>
        <v>0.12008203584389641</v>
      </c>
      <c r="AN19" s="581">
        <f>IF(M19="","",DEGREES(ATAN2(-AM19,AL19)))</f>
        <v>112.83602782819722</v>
      </c>
      <c r="AO19" s="582">
        <f t="shared" si="94"/>
        <v>161.97608826168855</v>
      </c>
      <c r="AP19" s="585">
        <f>IF(M19="","",DEGREES(ATAN2(AK19,AL19)))</f>
        <v>163.30719237673182</v>
      </c>
      <c r="AQ19" s="586">
        <f t="shared" si="9"/>
        <v>0.30438276882805121</v>
      </c>
      <c r="AS19" s="52">
        <f t="shared" si="116"/>
        <v>-2.5699999999999932</v>
      </c>
      <c r="AT19" s="72">
        <f t="shared" si="10"/>
        <v>-1.0840152777777778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1.131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0.41978897216963124</v>
      </c>
      <c r="C20" s="708">
        <v>7.930597462287742</v>
      </c>
      <c r="D20" s="709">
        <v>-1.6657999999999999</v>
      </c>
      <c r="E20" s="710">
        <v>0.92915108490268139</v>
      </c>
      <c r="F20" s="708">
        <v>-0.36479755904401917</v>
      </c>
      <c r="G20" s="711">
        <v>-6.0008352249463014E-2</v>
      </c>
      <c r="H20" s="710">
        <v>0.314</v>
      </c>
      <c r="I20" s="708">
        <v>0.52</v>
      </c>
      <c r="J20" s="570">
        <v>1.1339999999999999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>
        <f>IF($L19=$JH$22,$JH$30,IF($L19=$JI$22,$JI$30,""))</f>
        <v>80</v>
      </c>
      <c r="M20" s="168">
        <f t="shared" si="1"/>
        <v>1.1339999999999999</v>
      </c>
      <c r="N20" s="632">
        <f t="shared" si="2"/>
        <v>0.41978897216963124</v>
      </c>
      <c r="O20" s="629">
        <f t="shared" si="3"/>
        <v>7.930597462287742</v>
      </c>
      <c r="P20" s="633">
        <f t="shared" si="4"/>
        <v>-1.6657999999999999</v>
      </c>
      <c r="Q20" s="585">
        <f t="shared" si="113"/>
        <v>86.970000000000013</v>
      </c>
      <c r="R20" s="629">
        <f>IF(M20="","",SQRT(N20^2+O20^2))</f>
        <v>7.9417</v>
      </c>
      <c r="S20" s="634">
        <f>IF(M20="","",P20)</f>
        <v>-1.6657999999999999</v>
      </c>
      <c r="T20" s="635">
        <f>IF(M20="","",X20*COS(RADIANS(W20)))</f>
        <v>7.930597462287742</v>
      </c>
      <c r="U20" s="629">
        <f>IF(M20="","",X20*SIN(RADIANS(W20)))</f>
        <v>-0.41978897216962829</v>
      </c>
      <c r="V20" s="636">
        <f>IF(M20="","",Y20)</f>
        <v>-1.6657999999999999</v>
      </c>
      <c r="W20" s="585">
        <f t="shared" si="224"/>
        <v>356.97</v>
      </c>
      <c r="X20" s="629">
        <f>IF(M20="","",R20)</f>
        <v>7.9417</v>
      </c>
      <c r="Y20" s="630">
        <f t="shared" si="223"/>
        <v>-1.6657999999999999</v>
      </c>
      <c r="Z20" s="632">
        <f t="shared" si="6"/>
        <v>-0.92915108490268139</v>
      </c>
      <c r="AA20" s="629">
        <f t="shared" si="7"/>
        <v>0.36479755904401917</v>
      </c>
      <c r="AB20" s="629">
        <f t="shared" si="8"/>
        <v>6.0008352249463014E-2</v>
      </c>
      <c r="AC20" s="636">
        <f>IF(M20="","",SQRT(Z20^2+AA20^2+AB20^2))</f>
        <v>1</v>
      </c>
      <c r="AD20" s="637">
        <f>IF(M20="","",Z20*(1/SQRT(Z20^2+AA20^2+AB20^2)))</f>
        <v>-0.92915108490268139</v>
      </c>
      <c r="AE20" s="629">
        <f>IF(M20="","",AA20*(1/SQRT(Z20^2+AA20^2+AB20^2)))</f>
        <v>0.36479755904401917</v>
      </c>
      <c r="AF20" s="633">
        <f>IF(M20="","",AB20*(1/SQRT(Z20^2+AA20^2+AB20^2)))</f>
        <v>6.0008352249463014E-2</v>
      </c>
      <c r="AG20" s="602">
        <f>IF(M20="","",DEGREES(ATAN2(-AF20,AE20)))</f>
        <v>99.341364830546041</v>
      </c>
      <c r="AH20" s="603">
        <f>IF(M20="","",DEGREES(ACOS(AD20)))</f>
        <v>158.30286900319342</v>
      </c>
      <c r="AI20" s="585">
        <f>IF(M20="","",DEGREES(-ACOS(-AF20)))</f>
        <v>-93.440292179999744</v>
      </c>
      <c r="AJ20" s="586">
        <f>IF(M20="","",DEGREES(ATAN2(-AE20,AD20)))</f>
        <v>-111.43565805879474</v>
      </c>
      <c r="AK20" s="635">
        <f>IF(M20="","",(COS(RADIANS((90-$Q$8)-W20))*AD20)+(-SIN(RADIANS((90-$Q$8)-W20))*AE20))</f>
        <v>-0.94713489912388849</v>
      </c>
      <c r="AL20" s="629">
        <f>IF(M20="","",(SIN(RADIANS((90-$Q$8)-W20))*AD20)+(COS(RADIANS((90-$Q$8)-W20))*AE20))</f>
        <v>0.31517373069766796</v>
      </c>
      <c r="AM20" s="634">
        <f>IF(M20="","",AF20)</f>
        <v>6.0008352249463014E-2</v>
      </c>
      <c r="AN20" s="581">
        <f>IF(M20="","",DEGREES(ATAN2(-AM20,AL20)))</f>
        <v>100.77995787593036</v>
      </c>
      <c r="AO20" s="582">
        <f t="shared" si="94"/>
        <v>161.28653398900238</v>
      </c>
      <c r="AP20" s="585">
        <f>IF(M20="","",DEGREES(ATAN2(AK20,AL20)))</f>
        <v>161.59434194120522</v>
      </c>
      <c r="AQ20" s="586">
        <f t="shared" si="9"/>
        <v>0.28705536064898368</v>
      </c>
      <c r="AS20" s="52">
        <f t="shared" si="116"/>
        <v>-3.0299999999999727</v>
      </c>
      <c r="AT20" s="72">
        <f t="shared" si="10"/>
        <v>-1.6636958333333334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1.1339999999999999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0.48719286402584439</v>
      </c>
      <c r="C21" s="708">
        <v>8.2490255590125496</v>
      </c>
      <c r="D21" s="709">
        <v>-2.3233000000000001</v>
      </c>
      <c r="E21" s="710">
        <v>0.89382542871675974</v>
      </c>
      <c r="F21" s="708">
        <v>-0.4455580182466658</v>
      </c>
      <c r="G21" s="711">
        <v>-5.0538652093270055E-2</v>
      </c>
      <c r="H21" s="710">
        <v>0.314</v>
      </c>
      <c r="I21" s="708">
        <v>0.52</v>
      </c>
      <c r="J21" s="570">
        <v>1.137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1.137</v>
      </c>
      <c r="N21" s="632">
        <f t="shared" si="2"/>
        <v>0.48719286402584439</v>
      </c>
      <c r="O21" s="629">
        <f t="shared" si="3"/>
        <v>8.2490255590125496</v>
      </c>
      <c r="P21" s="633">
        <f t="shared" si="4"/>
        <v>-2.3233000000000001</v>
      </c>
      <c r="Q21" s="585">
        <f t="shared" si="113"/>
        <v>86.62</v>
      </c>
      <c r="R21" s="629">
        <f>IF(M21="","",SQRT(N21^2+O21^2))</f>
        <v>8.2634000000000007</v>
      </c>
      <c r="S21" s="634">
        <f>IF(M21="","",P21)</f>
        <v>-2.3233000000000001</v>
      </c>
      <c r="T21" s="635">
        <f>IF(M21="","",X21*COS(RADIANS(W21)))</f>
        <v>8.2490255590125496</v>
      </c>
      <c r="U21" s="629">
        <f>IF(M21="","",X21*SIN(RADIANS(W21)))</f>
        <v>-0.48719286402584544</v>
      </c>
      <c r="V21" s="636">
        <f>IF(M21="","",Y21)</f>
        <v>-2.3233000000000001</v>
      </c>
      <c r="W21" s="585">
        <f t="shared" si="224"/>
        <v>356.62</v>
      </c>
      <c r="X21" s="629">
        <f>IF(M21="","",R21)</f>
        <v>8.2634000000000007</v>
      </c>
      <c r="Y21" s="630">
        <f t="shared" si="223"/>
        <v>-2.3233000000000001</v>
      </c>
      <c r="Z21" s="632">
        <f t="shared" si="6"/>
        <v>-0.89382542871675974</v>
      </c>
      <c r="AA21" s="629">
        <f t="shared" si="7"/>
        <v>0.4455580182466658</v>
      </c>
      <c r="AB21" s="629">
        <f t="shared" si="8"/>
        <v>5.0538652093270055E-2</v>
      </c>
      <c r="AC21" s="636">
        <f>IF(M21="","",SQRT(Z21^2+AA21^2+AB21^2))</f>
        <v>1</v>
      </c>
      <c r="AD21" s="637">
        <f>IF(M21="","",Z21*(1/SQRT(Z21^2+AA21^2+AB21^2)))</f>
        <v>-0.89382542871675974</v>
      </c>
      <c r="AE21" s="629">
        <f>IF(M21="","",AA21*(1/SQRT(Z21^2+AA21^2+AB21^2)))</f>
        <v>0.4455580182466658</v>
      </c>
      <c r="AF21" s="633">
        <f>IF(M21="","",AB21*(1/SQRT(Z21^2+AA21^2+AB21^2)))</f>
        <v>5.0538652093270055E-2</v>
      </c>
      <c r="AG21" s="602">
        <f>IF(M21="","",DEGREES(ATAN2(-AF21,AE21)))</f>
        <v>96.471274206362082</v>
      </c>
      <c r="AH21" s="603">
        <f>IF(M21="","",DEGREES(ACOS(AD21)))</f>
        <v>153.35795612710061</v>
      </c>
      <c r="AI21" s="585">
        <f>IF(M21="","",DEGREES(-ACOS(-AF21)))</f>
        <v>-92.896885543445023</v>
      </c>
      <c r="AJ21" s="586">
        <f>IF(M21="","",DEGREES(ATAN2(-AE21,AD21)))</f>
        <v>-116.49553834960666</v>
      </c>
      <c r="AK21" s="635">
        <f>IF(M21="","",(COS(RADIANS((90-$Q$8)-W21))*AD21)+(-SIN(RADIANS((90-$Q$8)-W21))*AE21))</f>
        <v>-0.91853976496105405</v>
      </c>
      <c r="AL21" s="629">
        <f>IF(M21="","",(SIN(RADIANS((90-$Q$8)-W21))*AD21)+(COS(RADIANS((90-$Q$8)-W21))*AE21))</f>
        <v>0.39208486942228121</v>
      </c>
      <c r="AM21" s="634">
        <f>IF(M21="","",AF21)</f>
        <v>5.0538652093270055E-2</v>
      </c>
      <c r="AN21" s="581">
        <f>IF(M21="","",DEGREES(ATAN2(-AM21,AL21)))</f>
        <v>97.344769174349366</v>
      </c>
      <c r="AO21" s="582">
        <f>IF(ROUND(IF(M21="",0,DEGREES(ACOS(AK21))),4)=90,0,IF(M21="","",DEGREES(ACOS(AK21))))</f>
        <v>156.71353056613765</v>
      </c>
      <c r="AP21" s="585">
        <f>IF(M21="","",DEGREES(ATAN2(AK21,AL21)))</f>
        <v>156.88446165039332</v>
      </c>
      <c r="AQ21" s="586">
        <f t="shared" si="9"/>
        <v>0.27588026888298928</v>
      </c>
      <c r="AS21" s="52">
        <f t="shared" si="116"/>
        <v>-3.3799999999999955</v>
      </c>
      <c r="AT21" s="72">
        <f t="shared" si="10"/>
        <v>-2.3209527777777779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1.137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0.54447199119185707</v>
      </c>
      <c r="C22" s="708">
        <v>8.4196136544860281</v>
      </c>
      <c r="D22" s="709">
        <v>-3.0308999999999995</v>
      </c>
      <c r="E22" s="710">
        <v>0.8524078976708529</v>
      </c>
      <c r="F22" s="708">
        <v>-0.52239828282440381</v>
      </c>
      <c r="G22" s="711">
        <v>-2.2378786617491604E-2</v>
      </c>
      <c r="H22" s="710">
        <v>0.314</v>
      </c>
      <c r="I22" s="708">
        <v>0.52</v>
      </c>
      <c r="J22" s="570">
        <v>1.1399999999999999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873">
        <f>IF($L21=$JH$22,$JH$30,IF($L21=$JI$22,$JI$30,""))</f>
        <v>130</v>
      </c>
      <c r="M22" s="168">
        <f t="shared" si="1"/>
        <v>1.1399999999999999</v>
      </c>
      <c r="N22" s="632">
        <f t="shared" si="2"/>
        <v>0.54447199119185707</v>
      </c>
      <c r="O22" s="629">
        <f t="shared" si="3"/>
        <v>8.4196136544860281</v>
      </c>
      <c r="P22" s="633">
        <f t="shared" si="4"/>
        <v>-3.0308999999999995</v>
      </c>
      <c r="Q22" s="585">
        <f t="shared" si="113"/>
        <v>86.3</v>
      </c>
      <c r="R22" s="629">
        <f t="shared" si="79"/>
        <v>8.4371999999999989</v>
      </c>
      <c r="S22" s="634">
        <f t="shared" si="80"/>
        <v>-3.0308999999999995</v>
      </c>
      <c r="T22" s="635">
        <f t="shared" si="81"/>
        <v>8.4196136544860281</v>
      </c>
      <c r="U22" s="629">
        <f t="shared" si="82"/>
        <v>-0.54447199119185508</v>
      </c>
      <c r="V22" s="636">
        <f t="shared" si="114"/>
        <v>-3.0308999999999995</v>
      </c>
      <c r="W22" s="585">
        <f t="shared" si="224"/>
        <v>356.3</v>
      </c>
      <c r="X22" s="629">
        <f t="shared" si="83"/>
        <v>8.4371999999999989</v>
      </c>
      <c r="Y22" s="630">
        <f t="shared" si="223"/>
        <v>-3.0308999999999995</v>
      </c>
      <c r="Z22" s="632">
        <f t="shared" si="6"/>
        <v>-0.8524078976708529</v>
      </c>
      <c r="AA22" s="629">
        <f t="shared" si="7"/>
        <v>0.52239828282440381</v>
      </c>
      <c r="AB22" s="629">
        <f t="shared" si="8"/>
        <v>2.2378786617491604E-2</v>
      </c>
      <c r="AC22" s="636">
        <f t="shared" si="84"/>
        <v>1</v>
      </c>
      <c r="AD22" s="637">
        <f t="shared" si="115"/>
        <v>-0.8524078976708529</v>
      </c>
      <c r="AE22" s="629">
        <f t="shared" si="85"/>
        <v>0.52239828282440381</v>
      </c>
      <c r="AF22" s="633">
        <f t="shared" si="86"/>
        <v>2.2378786617491604E-2</v>
      </c>
      <c r="AG22" s="602">
        <f t="shared" si="87"/>
        <v>92.452968516111653</v>
      </c>
      <c r="AH22" s="603">
        <f t="shared" si="88"/>
        <v>148.47453949412551</v>
      </c>
      <c r="AI22" s="585">
        <f t="shared" si="89"/>
        <v>-91.282317071885714</v>
      </c>
      <c r="AJ22" s="586">
        <f t="shared" si="90"/>
        <v>-121.50205483416143</v>
      </c>
      <c r="AK22" s="635">
        <f t="shared" si="211"/>
        <v>-0.8843427212423377</v>
      </c>
      <c r="AL22" s="629">
        <f t="shared" si="91"/>
        <v>0.46630155617928842</v>
      </c>
      <c r="AM22" s="634">
        <f t="shared" si="92"/>
        <v>2.2378786617491604E-2</v>
      </c>
      <c r="AN22" s="581">
        <f t="shared" si="93"/>
        <v>92.747636056953212</v>
      </c>
      <c r="AO22" s="582">
        <f t="shared" si="94"/>
        <v>152.17074457198979</v>
      </c>
      <c r="AP22" s="585">
        <f t="shared" si="95"/>
        <v>152.19794516583858</v>
      </c>
      <c r="AQ22" s="586">
        <f t="shared" si="9"/>
        <v>0.27019742713698031</v>
      </c>
      <c r="AS22" s="52">
        <f t="shared" si="116"/>
        <v>-3.6999999999999886</v>
      </c>
      <c r="AT22" s="72">
        <f t="shared" si="10"/>
        <v>-3.0283305555555549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1.1399999999999999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0.58778125712344131</v>
      </c>
      <c r="C23" s="708">
        <v>8.5340823574520517</v>
      </c>
      <c r="D23" s="709">
        <v>-3.7026999999999997</v>
      </c>
      <c r="E23" s="710">
        <v>0.80593385224666658</v>
      </c>
      <c r="F23" s="708">
        <v>-0.59197269473175451</v>
      </c>
      <c r="G23" s="711">
        <v>-6.2413536090727972E-3</v>
      </c>
      <c r="H23" s="710">
        <v>0.26600000000000001</v>
      </c>
      <c r="I23" s="708">
        <v>0.52</v>
      </c>
      <c r="J23" s="570">
        <v>1.143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1.143</v>
      </c>
      <c r="N23" s="632">
        <f t="shared" si="2"/>
        <v>0.58778125712344131</v>
      </c>
      <c r="O23" s="629">
        <f t="shared" si="3"/>
        <v>8.5340823574520517</v>
      </c>
      <c r="P23" s="633">
        <f t="shared" si="4"/>
        <v>-3.7026999999999997</v>
      </c>
      <c r="Q23" s="585">
        <f t="shared" si="113"/>
        <v>86.06</v>
      </c>
      <c r="R23" s="629">
        <f t="shared" si="79"/>
        <v>8.5542999999999978</v>
      </c>
      <c r="S23" s="634">
        <f t="shared" si="80"/>
        <v>-3.7026999999999997</v>
      </c>
      <c r="T23" s="635">
        <f t="shared" si="81"/>
        <v>8.5340823574520499</v>
      </c>
      <c r="U23" s="629">
        <f t="shared" si="82"/>
        <v>-0.58778125712344464</v>
      </c>
      <c r="V23" s="636">
        <f t="shared" si="114"/>
        <v>-3.7026999999999997</v>
      </c>
      <c r="W23" s="585">
        <f t="shared" si="224"/>
        <v>356.06</v>
      </c>
      <c r="X23" s="629">
        <f t="shared" si="83"/>
        <v>8.5542999999999978</v>
      </c>
      <c r="Y23" s="630">
        <f t="shared" si="223"/>
        <v>-3.7026999999999997</v>
      </c>
      <c r="Z23" s="632">
        <f t="shared" si="6"/>
        <v>-0.80593385224666658</v>
      </c>
      <c r="AA23" s="629">
        <f t="shared" si="7"/>
        <v>0.59197269473175451</v>
      </c>
      <c r="AB23" s="629">
        <f t="shared" si="8"/>
        <v>6.2413536090727972E-3</v>
      </c>
      <c r="AC23" s="636">
        <f t="shared" si="84"/>
        <v>1.0000000000000002</v>
      </c>
      <c r="AD23" s="637">
        <f t="shared" si="115"/>
        <v>-0.80593385224666636</v>
      </c>
      <c r="AE23" s="629">
        <f t="shared" si="85"/>
        <v>0.5919726947317544</v>
      </c>
      <c r="AF23" s="633">
        <f t="shared" si="86"/>
        <v>6.2413536090727955E-3</v>
      </c>
      <c r="AG23" s="602">
        <f t="shared" si="87"/>
        <v>90.604064974195225</v>
      </c>
      <c r="AH23" s="603">
        <f t="shared" si="88"/>
        <v>143.70053907487394</v>
      </c>
      <c r="AI23" s="585">
        <f t="shared" si="89"/>
        <v>-90.357605541998112</v>
      </c>
      <c r="AJ23" s="586">
        <f t="shared" si="90"/>
        <v>-126.29794162236354</v>
      </c>
      <c r="AK23" s="635">
        <f t="shared" si="211"/>
        <v>-0.84470457248679942</v>
      </c>
      <c r="AL23" s="629">
        <f t="shared" si="91"/>
        <v>0.53519644124846322</v>
      </c>
      <c r="AM23" s="634">
        <f t="shared" si="92"/>
        <v>6.2413536090727955E-3</v>
      </c>
      <c r="AN23" s="581">
        <f t="shared" si="93"/>
        <v>90.668141607371297</v>
      </c>
      <c r="AO23" s="582">
        <f t="shared" si="94"/>
        <v>147.64029706871</v>
      </c>
      <c r="AP23" s="585">
        <f t="shared" si="95"/>
        <v>147.64205837763646</v>
      </c>
      <c r="AQ23" s="586">
        <f t="shared" si="9"/>
        <v>0.26649874235745857</v>
      </c>
      <c r="AS23" s="52">
        <f t="shared" si="116"/>
        <v>-3.9399999999999977</v>
      </c>
      <c r="AT23" s="72">
        <f t="shared" si="10"/>
        <v>-3.6999638888888886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1.143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18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14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110</v>
      </c>
      <c r="JI23" s="801">
        <v>110</v>
      </c>
    </row>
    <row r="24" spans="1:269" ht="15" customHeight="1" x14ac:dyDescent="0.25">
      <c r="A24" s="79"/>
      <c r="B24" s="707">
        <v>0.59373902683170587</v>
      </c>
      <c r="C24" s="708">
        <v>8.5336699290526177</v>
      </c>
      <c r="D24" s="709">
        <v>-4.3879999999999999</v>
      </c>
      <c r="E24" s="710">
        <v>0.80511150875861459</v>
      </c>
      <c r="F24" s="708">
        <v>-0.59310674743034075</v>
      </c>
      <c r="G24" s="711">
        <v>-4.454729736949139E-3</v>
      </c>
      <c r="H24" s="710">
        <v>0.26600000000000001</v>
      </c>
      <c r="I24" s="708">
        <v>0.52</v>
      </c>
      <c r="J24" s="570">
        <v>1.1459999999999999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1.1459999999999999</v>
      </c>
      <c r="N24" s="632">
        <f t="shared" si="2"/>
        <v>0.59373902683170587</v>
      </c>
      <c r="O24" s="629">
        <f t="shared" si="3"/>
        <v>8.5336699290526177</v>
      </c>
      <c r="P24" s="633">
        <f t="shared" si="4"/>
        <v>-4.3879999999999999</v>
      </c>
      <c r="Q24" s="585">
        <f t="shared" si="113"/>
        <v>86.02000000000001</v>
      </c>
      <c r="R24" s="629">
        <f t="shared" si="79"/>
        <v>8.5542999999999978</v>
      </c>
      <c r="S24" s="634">
        <f t="shared" si="80"/>
        <v>-4.3879999999999999</v>
      </c>
      <c r="T24" s="635">
        <f t="shared" si="81"/>
        <v>8.5336699290526159</v>
      </c>
      <c r="U24" s="629">
        <f t="shared" si="82"/>
        <v>-0.59373902683170898</v>
      </c>
      <c r="V24" s="636">
        <f t="shared" si="114"/>
        <v>-4.3879999999999999</v>
      </c>
      <c r="W24" s="585">
        <f t="shared" si="224"/>
        <v>356.02</v>
      </c>
      <c r="X24" s="629">
        <f t="shared" si="83"/>
        <v>8.5542999999999978</v>
      </c>
      <c r="Y24" s="630">
        <f t="shared" si="223"/>
        <v>-4.3879999999999999</v>
      </c>
      <c r="Z24" s="632">
        <f t="shared" si="6"/>
        <v>-0.80511150875861459</v>
      </c>
      <c r="AA24" s="629">
        <f t="shared" si="7"/>
        <v>0.59310674743034075</v>
      </c>
      <c r="AB24" s="629">
        <f t="shared" si="8"/>
        <v>4.454729736949139E-3</v>
      </c>
      <c r="AC24" s="636">
        <f t="shared" si="84"/>
        <v>1</v>
      </c>
      <c r="AD24" s="637">
        <f t="shared" si="115"/>
        <v>-0.80511150875861459</v>
      </c>
      <c r="AE24" s="629">
        <f t="shared" si="85"/>
        <v>0.59310674743034075</v>
      </c>
      <c r="AF24" s="633">
        <f t="shared" si="86"/>
        <v>4.454729736949139E-3</v>
      </c>
      <c r="AG24" s="602">
        <f t="shared" si="87"/>
        <v>90.43033132657078</v>
      </c>
      <c r="AH24" s="603">
        <f t="shared" si="88"/>
        <v>143.62102570422047</v>
      </c>
      <c r="AI24" s="585">
        <f t="shared" si="89"/>
        <v>-90.25523805698694</v>
      </c>
      <c r="AJ24" s="586">
        <f t="shared" si="90"/>
        <v>-126.3782025811856</v>
      </c>
      <c r="AK24" s="635">
        <f>IF(M24="","",(COS(RADIANS((90-$Q$8)-W24))*AD24)+(-SIN(RADIANS((90-$Q$8)-W24))*AE24))</f>
        <v>-0.84433635655216488</v>
      </c>
      <c r="AL24" s="629">
        <f t="shared" si="91"/>
        <v>0.53579499100606209</v>
      </c>
      <c r="AM24" s="634">
        <f t="shared" si="92"/>
        <v>4.454729736949139E-3</v>
      </c>
      <c r="AN24" s="581">
        <f t="shared" si="93"/>
        <v>90.476360055799134</v>
      </c>
      <c r="AO24" s="582">
        <f t="shared" si="94"/>
        <v>147.60090154054191</v>
      </c>
      <c r="AP24" s="585">
        <f t="shared" si="95"/>
        <v>147.60179741881441</v>
      </c>
      <c r="AQ24" s="586">
        <f t="shared" si="9"/>
        <v>0.26649874235745857</v>
      </c>
      <c r="AS24" s="52">
        <f t="shared" si="116"/>
        <v>-3.9800000000000182</v>
      </c>
      <c r="AT24" s="72">
        <f t="shared" si="10"/>
        <v>-4.3852361111111113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1.1459999999999999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30</v>
      </c>
      <c r="JC24" s="5"/>
      <c r="JD24" s="5"/>
      <c r="JE24" s="10"/>
      <c r="JF24" s="247">
        <v>18</v>
      </c>
      <c r="JG24" s="803">
        <v>12</v>
      </c>
      <c r="JH24" s="787">
        <v>80</v>
      </c>
      <c r="JI24" s="803">
        <v>130</v>
      </c>
    </row>
    <row r="25" spans="1:269" ht="15" customHeight="1" x14ac:dyDescent="0.25">
      <c r="A25" s="79"/>
      <c r="B25" s="707">
        <v>1.1626743129039374</v>
      </c>
      <c r="C25" s="708">
        <v>4.367504529709481</v>
      </c>
      <c r="D25" s="709">
        <v>-0.12390786132410929</v>
      </c>
      <c r="E25" s="710">
        <v>-2.1916203894295953E-7</v>
      </c>
      <c r="F25" s="708">
        <v>5.8343173198414107E-8</v>
      </c>
      <c r="G25" s="711">
        <v>0.99999999999997435</v>
      </c>
      <c r="H25" s="710">
        <v>0.26250000000000001</v>
      </c>
      <c r="I25" s="708">
        <v>0.40699999999999997</v>
      </c>
      <c r="J25" s="570">
        <v>1.218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Inactive</v>
      </c>
      <c r="L25" s="320"/>
      <c r="M25" s="168">
        <f t="shared" si="1"/>
        <v>1.218</v>
      </c>
      <c r="N25" s="632">
        <f t="shared" si="2"/>
        <v>1.1626743129039374</v>
      </c>
      <c r="O25" s="629">
        <f t="shared" si="3"/>
        <v>4.367504529709481</v>
      </c>
      <c r="P25" s="633">
        <f t="shared" si="4"/>
        <v>-0.12390786132410929</v>
      </c>
      <c r="Q25" s="585">
        <f t="shared" si="113"/>
        <v>75.093002152304209</v>
      </c>
      <c r="R25" s="629">
        <f>IF(M25="","",SQRT(N25^2+O25^2))</f>
        <v>4.5196136311547113</v>
      </c>
      <c r="S25" s="634">
        <f>IF(M25="","",P25)</f>
        <v>-0.12390786132410929</v>
      </c>
      <c r="T25" s="635">
        <f>IF(M25="","",X25*COS(RADIANS(W25)))</f>
        <v>4.367504529709481</v>
      </c>
      <c r="U25" s="629">
        <f>IF(M25="","",X25*SIN(RADIANS(W25)))</f>
        <v>-1.162674312903937</v>
      </c>
      <c r="V25" s="636">
        <f>IF(M25="","",Y25)</f>
        <v>-0.12390786132410929</v>
      </c>
      <c r="W25" s="585">
        <f t="shared" si="224"/>
        <v>345.09300215230422</v>
      </c>
      <c r="X25" s="629">
        <f>IF(M25="","",R25)</f>
        <v>4.5196136311547113</v>
      </c>
      <c r="Y25" s="630">
        <f t="shared" si="223"/>
        <v>-0.12390786132410929</v>
      </c>
      <c r="Z25" s="632">
        <f t="shared" si="6"/>
        <v>2.1916203894295953E-7</v>
      </c>
      <c r="AA25" s="629">
        <f t="shared" si="7"/>
        <v>-5.8343173198414107E-8</v>
      </c>
      <c r="AB25" s="629">
        <f t="shared" si="8"/>
        <v>-0.99999999999997435</v>
      </c>
      <c r="AC25" s="636">
        <f>IF(M25="","",SQRT(Z25^2+AA25^2+AB25^2))</f>
        <v>1</v>
      </c>
      <c r="AD25" s="637">
        <f>IF(M25="","",Z25*(1/SQRT(Z25^2+AA25^2+AB25^2)))</f>
        <v>2.1916203894295953E-7</v>
      </c>
      <c r="AE25" s="629">
        <f>IF(M25="","",AA25*(1/SQRT(Z25^2+AA25^2+AB25^2)))</f>
        <v>-5.8343173198414107E-8</v>
      </c>
      <c r="AF25" s="633">
        <f>IF(M25="","",AB25*(1/SQRT(Z25^2+AA25^2+AB25^2)))</f>
        <v>-0.99999999999997435</v>
      </c>
      <c r="AG25" s="602">
        <f>IF(M25="","",DEGREES(ATAN2(-AF25,AE25)))</f>
        <v>-3.3428175876699907E-6</v>
      </c>
      <c r="AH25" s="603">
        <f>IF(M25="","",DEGREES(ACOS(AD25)))</f>
        <v>89.999987442940139</v>
      </c>
      <c r="AI25" s="585">
        <f>IF(M25="","",DEGREES(-ACOS(-AF25)))</f>
        <v>-1.2976235990044085E-5</v>
      </c>
      <c r="AJ25" s="586">
        <f>IF(M25="","",DEGREES(ATAN2(-AE25,AD25)))</f>
        <v>75.093002142294907</v>
      </c>
      <c r="AK25" s="635">
        <f>IF(M25="","",(COS(RADIANS((90-$Q$8)-W25))*AD25)+(-SIN(RADIANS((90-$Q$8)-W25))*AE25))</f>
        <v>2.2679489670734536E-7</v>
      </c>
      <c r="AL25" s="629">
        <f>IF(M25="","",(SIN(RADIANS((90-$Q$8)-W25))*AD25)+(COS(RADIANS((90-$Q$8)-W25))*AE25))</f>
        <v>-3.96199925775995E-17</v>
      </c>
      <c r="AM25" s="634">
        <f>IF(M25="","",AF25)</f>
        <v>-0.99999999999997435</v>
      </c>
      <c r="AN25" s="581">
        <f>IF(M25="","",DEGREES(ATAN2(-AM25,AL25)))</f>
        <v>-2.2700583590361575E-15</v>
      </c>
      <c r="AO25" s="582">
        <f>IF(ROUND(IF(M25="",0,DEGREES(ACOS(AK25))),4)=90,0,IF(M25="","",DEGREES(ACOS(AK25))))</f>
        <v>0</v>
      </c>
      <c r="AP25" s="585">
        <f>IF(M25="","",DEGREES(ATAN2(AK25,AL25)))</f>
        <v>-1.0009300879311087E-8</v>
      </c>
      <c r="AQ25" s="586">
        <f t="shared" si="9"/>
        <v>0.5043943853684324</v>
      </c>
      <c r="AS25" s="52">
        <f t="shared" si="116"/>
        <v>-14.906997847695777</v>
      </c>
      <c r="AT25" s="72">
        <f t="shared" si="10"/>
        <v>-0.11355577948543166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Nose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1.218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5.1180000000000003</v>
      </c>
      <c r="II25" s="734" cm="1">
        <f t="array" ref="II25">IFERROR(ROUND(VALUE(IF($IH25&lt;1,$IH25+LARGE((IF($M$9:$M$150="",0,$M$9:$M$150)-MOD(IF($M$9:$M$150="",0,$M$9:$M$150),1)),1),$IH25)),4),"")</f>
        <v>5.1180000000000003</v>
      </c>
      <c r="IJ25" s="533">
        <f t="shared" si="112"/>
        <v>1613</v>
      </c>
      <c r="IK25" s="533" t="str">
        <f t="shared" si="66"/>
        <v>Inactive</v>
      </c>
      <c r="IL25" s="727">
        <f t="shared" si="225"/>
        <v>129.70699784769579</v>
      </c>
      <c r="IM25" s="759">
        <v>5.7132622667197798E-2</v>
      </c>
      <c r="IN25" s="5">
        <f t="shared" si="226"/>
        <v>0.18</v>
      </c>
      <c r="IO25" s="771">
        <v>90</v>
      </c>
      <c r="IP25" s="9">
        <f t="shared" si="227"/>
        <v>-4.5195999999999996</v>
      </c>
      <c r="IQ25" s="5">
        <f t="shared" si="228"/>
        <v>-0.1042</v>
      </c>
      <c r="IR25" s="5">
        <f t="shared" si="71"/>
        <v>0.314</v>
      </c>
      <c r="IS25" s="5">
        <f t="shared" si="229"/>
        <v>-0.30307511476753496</v>
      </c>
      <c r="IT25" s="727">
        <f t="shared" si="230"/>
        <v>-171.51945661249155</v>
      </c>
      <c r="IU25" s="9">
        <f t="shared" si="231"/>
        <v>-4.5196136311547113</v>
      </c>
      <c r="IV25" s="5">
        <f t="shared" si="232"/>
        <v>-0.12390786132410929</v>
      </c>
      <c r="IW25" s="5">
        <f t="shared" si="76"/>
        <v>0.26250000000000001</v>
      </c>
      <c r="IX25" s="5">
        <f t="shared" si="233"/>
        <v>0.26250000000000001</v>
      </c>
      <c r="IY25" s="762">
        <f t="shared" si="234"/>
        <v>2.2700583590361575E-15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1.3664935890338796</v>
      </c>
      <c r="C26" s="708">
        <v>5.1094541523824351</v>
      </c>
      <c r="D26" s="709">
        <v>-8.8541341830191661E-2</v>
      </c>
      <c r="E26" s="710">
        <v>1.2620791145703039E-2</v>
      </c>
      <c r="F26" s="708">
        <v>4.7191259269730029E-2</v>
      </c>
      <c r="G26" s="711">
        <v>0.99880613768608462</v>
      </c>
      <c r="H26" s="710">
        <v>0.26250000000000001</v>
      </c>
      <c r="I26" s="708">
        <v>0.40699999999999997</v>
      </c>
      <c r="J26" s="570">
        <v>1.2210000000000001</v>
      </c>
      <c r="K26" s="865" t="str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Inactive</v>
      </c>
      <c r="L26" s="320"/>
      <c r="M26" s="168">
        <f t="shared" si="1"/>
        <v>1.2210000000000001</v>
      </c>
      <c r="N26" s="632">
        <f t="shared" si="2"/>
        <v>1.3664935890338796</v>
      </c>
      <c r="O26" s="629">
        <f t="shared" si="3"/>
        <v>5.1094541523824351</v>
      </c>
      <c r="P26" s="633">
        <f t="shared" si="4"/>
        <v>-8.8541341830191661E-2</v>
      </c>
      <c r="Q26" s="585">
        <f t="shared" si="113"/>
        <v>75.027002161833423</v>
      </c>
      <c r="R26" s="629">
        <f>IF(M26="","",SQRT(N26^2+O26^2))</f>
        <v>5.2890288772296188</v>
      </c>
      <c r="S26" s="634">
        <f>IF(M26="","",P26)</f>
        <v>-8.8541341830191661E-2</v>
      </c>
      <c r="T26" s="635">
        <f>IF(M26="","",X26*COS(RADIANS(W26)))</f>
        <v>5.1094541523824342</v>
      </c>
      <c r="U26" s="629">
        <f>IF(M26="","",X26*SIN(RADIANS(W26)))</f>
        <v>-1.3664935890338816</v>
      </c>
      <c r="V26" s="636">
        <f>IF(M26="","",Y26)</f>
        <v>-8.8541341830191661E-2</v>
      </c>
      <c r="W26" s="585">
        <f t="shared" si="224"/>
        <v>345.02700216183342</v>
      </c>
      <c r="X26" s="629">
        <f>IF(M26="","",R26)</f>
        <v>5.2890288772296188</v>
      </c>
      <c r="Y26" s="630">
        <f t="shared" si="223"/>
        <v>-8.8541341830191661E-2</v>
      </c>
      <c r="Z26" s="632">
        <f t="shared" si="6"/>
        <v>-1.2620791145703039E-2</v>
      </c>
      <c r="AA26" s="629">
        <f t="shared" si="7"/>
        <v>-4.7191259269730029E-2</v>
      </c>
      <c r="AB26" s="629">
        <f t="shared" si="8"/>
        <v>-0.99880613768608462</v>
      </c>
      <c r="AC26" s="636">
        <f>IF(M26="","",SQRT(Z26^2+AA26^2+AB26^2))</f>
        <v>1</v>
      </c>
      <c r="AD26" s="637">
        <f>IF(M26="","",Z26*(1/SQRT(Z26^2+AA26^2+AB26^2)))</f>
        <v>-1.2620791145703039E-2</v>
      </c>
      <c r="AE26" s="629">
        <f>IF(M26="","",AA26*(1/SQRT(Z26^2+AA26^2+AB26^2)))</f>
        <v>-4.7191259269730029E-2</v>
      </c>
      <c r="AF26" s="633">
        <f>IF(M26="","",AB26*(1/SQRT(Z26^2+AA26^2+AB26^2)))</f>
        <v>-0.99880613768608462</v>
      </c>
      <c r="AG26" s="602">
        <f>IF(M26="","",DEGREES(ATAN2(-AF26,AE26)))</f>
        <v>-2.7050801898663885</v>
      </c>
      <c r="AH26" s="603">
        <f>IF(M26="","",DEGREES(ACOS(AD26)))</f>
        <v>90.723137265041842</v>
      </c>
      <c r="AI26" s="585">
        <f>IF(M26="","",DEGREES(-ACOS(-AF26)))</f>
        <v>-2.7999995957601169</v>
      </c>
      <c r="AJ26" s="586">
        <f>IF(M26="","",DEGREES(ATAN2(-AE26,AD26)))</f>
        <v>-14.972731830930007</v>
      </c>
      <c r="AK26" s="635">
        <f>IF(M26="","",(COS(RADIANS((90-$Q$8)-W26))*AD26)+(-SIN(RADIANS((90-$Q$8)-W26))*AE26))</f>
        <v>2.2679489672036701E-7</v>
      </c>
      <c r="AL26" s="629">
        <f>IF(M26="","",(SIN(RADIANS((90-$Q$8)-W26))*AD26)+(COS(RADIANS((90-$Q$8)-W26))*AE26))</f>
        <v>-4.8849762748194595E-2</v>
      </c>
      <c r="AM26" s="634">
        <f>IF(M26="","",AF26)</f>
        <v>-0.99880613768608462</v>
      </c>
      <c r="AN26" s="581">
        <f>IF(M26="","",DEGREES(ATAN2(-AM26,AL26)))</f>
        <v>-2.7999995957300827</v>
      </c>
      <c r="AO26" s="582">
        <f t="shared" si="94"/>
        <v>0</v>
      </c>
      <c r="AP26" s="585">
        <f>IF(M26="","",DEGREES(ATAN2(AK26,AL26)))</f>
        <v>-89.999733992763396</v>
      </c>
      <c r="AQ26" s="586">
        <f t="shared" si="9"/>
        <v>0.43102121017736716</v>
      </c>
      <c r="AS26" s="52">
        <f t="shared" si="116"/>
        <v>-14.972997838166577</v>
      </c>
      <c r="AT26" s="72">
        <f t="shared" si="10"/>
        <v>-7.8143426664798205E-2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Nose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1.2210000000000001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5.1210000000000004</v>
      </c>
      <c r="II26" s="734" cm="1">
        <f t="array" ref="II26">IFERROR(ROUND(VALUE(IF($IH26&lt;1,$IH26+LARGE((IF($M$9:$M$150="",0,$M$9:$M$150)-MOD(IF($M$9:$M$150="",0,$M$9:$M$150),1)),1),$IH26)),4),"")</f>
        <v>5.1210000000000004</v>
      </c>
      <c r="IJ26" s="533">
        <f t="shared" si="112"/>
        <v>1613</v>
      </c>
      <c r="IK26" s="533" t="str">
        <f t="shared" si="66"/>
        <v>Inactive</v>
      </c>
      <c r="IL26" s="727">
        <f t="shared" si="225"/>
        <v>129.3229978381666</v>
      </c>
      <c r="IM26" s="759">
        <v>5.7248851443767297E-2</v>
      </c>
      <c r="IN26" s="5">
        <f t="shared" si="226"/>
        <v>0.18</v>
      </c>
      <c r="IO26" s="771">
        <v>90</v>
      </c>
      <c r="IP26" s="9">
        <f t="shared" si="227"/>
        <v>-5.2920000000000007</v>
      </c>
      <c r="IQ26" s="5">
        <f t="shared" si="228"/>
        <v>-6.88E-2</v>
      </c>
      <c r="IR26" s="5">
        <f t="shared" si="71"/>
        <v>0.314</v>
      </c>
      <c r="IS26" s="5">
        <f t="shared" si="229"/>
        <v>-0.30246668864457216</v>
      </c>
      <c r="IT26" s="727">
        <f t="shared" si="230"/>
        <v>-161.18002316942889</v>
      </c>
      <c r="IU26" s="9">
        <f t="shared" si="231"/>
        <v>-5.2890288772296188</v>
      </c>
      <c r="IV26" s="5">
        <f t="shared" si="232"/>
        <v>-8.8541341830191661E-2</v>
      </c>
      <c r="IW26" s="5">
        <f t="shared" si="76"/>
        <v>0.26250000000000001</v>
      </c>
      <c r="IX26" s="5">
        <f t="shared" si="233"/>
        <v>0.26250000000000001</v>
      </c>
      <c r="IY26" s="762">
        <f t="shared" si="234"/>
        <v>2.7999995957300827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1.6078259104119443</v>
      </c>
      <c r="C27" s="708">
        <v>5.7964552373762146</v>
      </c>
      <c r="D27" s="709">
        <v>-0.21955484160418845</v>
      </c>
      <c r="E27" s="710">
        <v>5.4659276677502755E-2</v>
      </c>
      <c r="F27" s="708">
        <v>0.19705579612767443</v>
      </c>
      <c r="G27" s="711">
        <v>0.97886739484241714</v>
      </c>
      <c r="H27" s="710">
        <v>0.26250000000000001</v>
      </c>
      <c r="I27" s="708">
        <v>0.40699999999999997</v>
      </c>
      <c r="J27" s="570">
        <v>1.224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Inactive</v>
      </c>
      <c r="L27" s="320"/>
      <c r="M27" s="168">
        <f t="shared" si="1"/>
        <v>1.224</v>
      </c>
      <c r="N27" s="632">
        <f t="shared" si="2"/>
        <v>1.6078259104119443</v>
      </c>
      <c r="O27" s="629">
        <f t="shared" si="3"/>
        <v>5.7964552373762146</v>
      </c>
      <c r="P27" s="633">
        <f t="shared" si="4"/>
        <v>-0.21955484160418845</v>
      </c>
      <c r="Q27" s="585">
        <f t="shared" si="113"/>
        <v>74.497002238355947</v>
      </c>
      <c r="R27" s="629">
        <f t="shared" si="79"/>
        <v>6.0153135809447331</v>
      </c>
      <c r="S27" s="634">
        <f t="shared" si="80"/>
        <v>-0.21955484160418845</v>
      </c>
      <c r="T27" s="635">
        <f t="shared" si="81"/>
        <v>5.7964552373762155</v>
      </c>
      <c r="U27" s="629">
        <f t="shared" si="82"/>
        <v>-1.6078259104119434</v>
      </c>
      <c r="V27" s="636">
        <f t="shared" si="114"/>
        <v>-0.21955484160418845</v>
      </c>
      <c r="W27" s="585">
        <f t="shared" si="224"/>
        <v>344.49700223835595</v>
      </c>
      <c r="X27" s="629">
        <f t="shared" si="83"/>
        <v>6.0153135809447331</v>
      </c>
      <c r="Y27" s="630">
        <f t="shared" si="223"/>
        <v>-0.21955484160418845</v>
      </c>
      <c r="Z27" s="632">
        <f t="shared" si="6"/>
        <v>-5.4659276677502755E-2</v>
      </c>
      <c r="AA27" s="629">
        <f t="shared" si="7"/>
        <v>-0.19705579612767443</v>
      </c>
      <c r="AB27" s="629">
        <f t="shared" si="8"/>
        <v>-0.97886739484241714</v>
      </c>
      <c r="AC27" s="636">
        <f t="shared" si="84"/>
        <v>1</v>
      </c>
      <c r="AD27" s="637">
        <f t="shared" si="115"/>
        <v>-5.4659276677502755E-2</v>
      </c>
      <c r="AE27" s="629">
        <f t="shared" si="85"/>
        <v>-0.19705579612767443</v>
      </c>
      <c r="AF27" s="633">
        <f t="shared" si="86"/>
        <v>-0.97886739484241714</v>
      </c>
      <c r="AG27" s="602">
        <f t="shared" si="87"/>
        <v>-11.382084953405723</v>
      </c>
      <c r="AH27" s="603">
        <f t="shared" si="88"/>
        <v>93.133307384858583</v>
      </c>
      <c r="AI27" s="585">
        <f t="shared" si="89"/>
        <v>-11.799998296298103</v>
      </c>
      <c r="AJ27" s="586">
        <f t="shared" si="90"/>
        <v>-15.502934218156899</v>
      </c>
      <c r="AK27" s="635">
        <f t="shared" si="211"/>
        <v>2.2679489666832531E-7</v>
      </c>
      <c r="AL27" s="629">
        <f t="shared" si="91"/>
        <v>-0.20449602273483941</v>
      </c>
      <c r="AM27" s="634">
        <f t="shared" si="92"/>
        <v>-0.97886739484241714</v>
      </c>
      <c r="AN27" s="581">
        <f t="shared" si="93"/>
        <v>-11.799998296291045</v>
      </c>
      <c r="AO27" s="582">
        <f t="shared" si="94"/>
        <v>0</v>
      </c>
      <c r="AP27" s="585">
        <f t="shared" si="95"/>
        <v>-89.999936456512856</v>
      </c>
      <c r="AQ27" s="586">
        <f t="shared" si="9"/>
        <v>0.37898163647989697</v>
      </c>
      <c r="AS27" s="52">
        <f t="shared" si="116"/>
        <v>-15.502997761644053</v>
      </c>
      <c r="AT27" s="72">
        <f t="shared" si="10"/>
        <v>-0.20878887093638007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Nose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1.224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5.1239999999999997</v>
      </c>
      <c r="II27" s="734" cm="1">
        <f t="array" ref="II27">IFERROR(ROUND(VALUE(IF($IH27&lt;1,$IH27+LARGE((IF($M$9:$M$150="",0,$M$9:$M$150)-MOD(IF($M$9:$M$150="",0,$M$9:$M$150),1)),1),$IH27)),4),"")</f>
        <v>5.1239999999999997</v>
      </c>
      <c r="IJ27" s="533">
        <f t="shared" si="112"/>
        <v>1613</v>
      </c>
      <c r="IK27" s="533" t="str">
        <f t="shared" si="66"/>
        <v>Inactive</v>
      </c>
      <c r="IL27" s="727">
        <f t="shared" si="225"/>
        <v>129.29299776164402</v>
      </c>
      <c r="IM27" s="759">
        <v>6.16337766159347E-2</v>
      </c>
      <c r="IN27" s="5">
        <f t="shared" si="226"/>
        <v>0.18</v>
      </c>
      <c r="IO27" s="771">
        <v>90</v>
      </c>
      <c r="IP27" s="9">
        <f t="shared" si="227"/>
        <v>-6.0278</v>
      </c>
      <c r="IQ27" s="5">
        <f t="shared" si="228"/>
        <v>-0.19939999999999999</v>
      </c>
      <c r="IR27" s="5">
        <f t="shared" si="71"/>
        <v>0.314</v>
      </c>
      <c r="IS27" s="5">
        <f t="shared" si="229"/>
        <v>-0.30152097103588155</v>
      </c>
      <c r="IT27" s="727">
        <f t="shared" si="230"/>
        <v>-145.39739408260087</v>
      </c>
      <c r="IU27" s="9">
        <f t="shared" si="231"/>
        <v>-6.0153135809447331</v>
      </c>
      <c r="IV27" s="5">
        <f t="shared" si="232"/>
        <v>-0.21955484160418845</v>
      </c>
      <c r="IW27" s="5">
        <f t="shared" si="76"/>
        <v>0.26250000000000001</v>
      </c>
      <c r="IX27" s="5">
        <f t="shared" si="233"/>
        <v>0.26250000000000001</v>
      </c>
      <c r="IY27" s="762">
        <f t="shared" si="234"/>
        <v>11.799998296291045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1.5398984019877335</v>
      </c>
      <c r="C28" s="708">
        <v>6.5381811858618226</v>
      </c>
      <c r="D28" s="709">
        <v>-0.49941653779827888</v>
      </c>
      <c r="E28" s="710">
        <v>-0.76461852494847393</v>
      </c>
      <c r="F28" s="708">
        <v>0.49412790649525806</v>
      </c>
      <c r="G28" s="711">
        <v>0.41375853263495788</v>
      </c>
      <c r="H28" s="710">
        <v>0.26600000000000001</v>
      </c>
      <c r="I28" s="708">
        <v>0.52</v>
      </c>
      <c r="J28" s="570">
        <v>1.2270000000000001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843"/>
      <c r="M28" s="168">
        <f t="shared" si="1"/>
        <v>1.2270000000000001</v>
      </c>
      <c r="N28" s="632">
        <f t="shared" si="2"/>
        <v>1.5398984019877335</v>
      </c>
      <c r="O28" s="629">
        <f t="shared" si="3"/>
        <v>6.5381811858618226</v>
      </c>
      <c r="P28" s="633">
        <f t="shared" si="4"/>
        <v>-0.49941653779827888</v>
      </c>
      <c r="Q28" s="585">
        <f t="shared" si="113"/>
        <v>76.747001913496177</v>
      </c>
      <c r="R28" s="629">
        <f t="shared" si="79"/>
        <v>6.7170752792865054</v>
      </c>
      <c r="S28" s="634">
        <f t="shared" si="80"/>
        <v>-0.49941653779827888</v>
      </c>
      <c r="T28" s="635">
        <f t="shared" si="81"/>
        <v>6.5381811858618235</v>
      </c>
      <c r="U28" s="629">
        <f t="shared" si="82"/>
        <v>-1.539898401987732</v>
      </c>
      <c r="V28" s="636">
        <f t="shared" si="114"/>
        <v>-0.49941653779827888</v>
      </c>
      <c r="W28" s="585">
        <f t="shared" si="224"/>
        <v>346.74700191349621</v>
      </c>
      <c r="X28" s="629">
        <f t="shared" si="83"/>
        <v>6.7170752792865054</v>
      </c>
      <c r="Y28" s="630">
        <f t="shared" si="223"/>
        <v>-0.49941653779827888</v>
      </c>
      <c r="Z28" s="632">
        <f t="shared" si="6"/>
        <v>0.76461852494847393</v>
      </c>
      <c r="AA28" s="629">
        <f t="shared" si="7"/>
        <v>-0.49412790649525806</v>
      </c>
      <c r="AB28" s="629">
        <f t="shared" si="8"/>
        <v>-0.41375853263495788</v>
      </c>
      <c r="AC28" s="636">
        <f t="shared" si="84"/>
        <v>1</v>
      </c>
      <c r="AD28" s="637">
        <f t="shared" si="115"/>
        <v>0.76461852494847393</v>
      </c>
      <c r="AE28" s="629">
        <f t="shared" si="85"/>
        <v>-0.49412790649525806</v>
      </c>
      <c r="AF28" s="633">
        <f t="shared" si="86"/>
        <v>-0.41375853263495788</v>
      </c>
      <c r="AG28" s="602">
        <f t="shared" si="87"/>
        <v>-50.05884161998096</v>
      </c>
      <c r="AH28" s="603">
        <f t="shared" si="88"/>
        <v>40.12693376280405</v>
      </c>
      <c r="AI28" s="585">
        <f t="shared" si="89"/>
        <v>-65.55884032780375</v>
      </c>
      <c r="AJ28" s="586">
        <f t="shared" si="90"/>
        <v>57.127794953208664</v>
      </c>
      <c r="AK28" s="635">
        <f t="shared" si="211"/>
        <v>0.85753411838805071</v>
      </c>
      <c r="AL28" s="629">
        <f t="shared" si="91"/>
        <v>-0.30567811906022202</v>
      </c>
      <c r="AM28" s="634">
        <f t="shared" si="92"/>
        <v>-0.41375853263495788</v>
      </c>
      <c r="AN28" s="581">
        <f t="shared" si="93"/>
        <v>-36.456389971034241</v>
      </c>
      <c r="AO28" s="582">
        <f t="shared" si="94"/>
        <v>30.959168886942035</v>
      </c>
      <c r="AP28" s="585">
        <f t="shared" si="95"/>
        <v>-19.619206960287524</v>
      </c>
      <c r="AQ28" s="586">
        <f t="shared" si="9"/>
        <v>0.33938877769992198</v>
      </c>
      <c r="AS28" s="52">
        <f t="shared" si="116"/>
        <v>-13.252998086503794</v>
      </c>
      <c r="AT28" s="72">
        <f t="shared" si="10"/>
        <v>-0.49021306690487348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1.2270000000000001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5.1269999999999998</v>
      </c>
      <c r="II28" s="734" cm="1">
        <f t="array" ref="II28">IFERROR(ROUND(VALUE(IF($IH28&lt;1,$IH28+LARGE((IF($M$9:$M$150="",0,$M$9:$M$150)-MOD(IF($M$9:$M$150="",0,$M$9:$M$150),1)),1),$IH28)),4),"")</f>
        <v>5.1269999999999998</v>
      </c>
      <c r="IJ28" s="533">
        <f t="shared" si="112"/>
        <v>1613</v>
      </c>
      <c r="IK28" s="533">
        <f t="shared" si="66"/>
        <v>1313</v>
      </c>
      <c r="IL28" s="727">
        <f t="shared" si="225"/>
        <v>126.44299808650379</v>
      </c>
      <c r="IM28" s="759">
        <v>4.1775275853180298E-2</v>
      </c>
      <c r="IN28" s="5">
        <f t="shared" si="226"/>
        <v>0.22</v>
      </c>
      <c r="IO28" s="771">
        <v>110</v>
      </c>
      <c r="IP28" s="9">
        <f t="shared" si="227"/>
        <v>-6.7089999999999979</v>
      </c>
      <c r="IQ28" s="5">
        <f t="shared" si="228"/>
        <v>-0.48760000000000003</v>
      </c>
      <c r="IR28" s="5">
        <f t="shared" si="71"/>
        <v>0.314</v>
      </c>
      <c r="IS28" s="5">
        <f t="shared" si="229"/>
        <v>-0.30032686484440696</v>
      </c>
      <c r="IT28" s="727">
        <f t="shared" si="230"/>
        <v>-130.70646954328436</v>
      </c>
      <c r="IU28" s="9">
        <f t="shared" si="231"/>
        <v>-6.7170752792865054</v>
      </c>
      <c r="IV28" s="5">
        <f t="shared" si="232"/>
        <v>-0.49941653779827888</v>
      </c>
      <c r="IW28" s="5">
        <f t="shared" si="76"/>
        <v>0.26600000000000001</v>
      </c>
      <c r="IX28" s="5">
        <f t="shared" si="233"/>
        <v>0.22810407549122153</v>
      </c>
      <c r="IY28" s="762">
        <f t="shared" si="234"/>
        <v>36.456389971034241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1.7324325419107232</v>
      </c>
      <c r="C29" s="708">
        <v>7.1142792564079418</v>
      </c>
      <c r="D29" s="709">
        <v>-0.92833254455145986</v>
      </c>
      <c r="E29" s="710">
        <v>-0.7374324709198643</v>
      </c>
      <c r="F29" s="708">
        <v>0.58019366645114778</v>
      </c>
      <c r="G29" s="711">
        <v>0.34578701572354875</v>
      </c>
      <c r="H29" s="710">
        <v>0.26600000000000001</v>
      </c>
      <c r="I29" s="708">
        <v>0.52</v>
      </c>
      <c r="J29" s="570">
        <v>1.23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843"/>
      <c r="M29" s="168">
        <f t="shared" si="1"/>
        <v>1.23</v>
      </c>
      <c r="N29" s="632">
        <f t="shared" si="2"/>
        <v>1.7324325419107232</v>
      </c>
      <c r="O29" s="629">
        <f t="shared" si="3"/>
        <v>7.1142792564079418</v>
      </c>
      <c r="P29" s="633">
        <f t="shared" si="4"/>
        <v>-0.92833254455145986</v>
      </c>
      <c r="Q29" s="585">
        <f t="shared" si="113"/>
        <v>76.314001976013643</v>
      </c>
      <c r="R29" s="629">
        <f>IF(M29="","",SQRT(N29^2+O29^2))</f>
        <v>7.3221780810376078</v>
      </c>
      <c r="S29" s="634">
        <f>IF(M29="","",P29)</f>
        <v>-0.92833254455145986</v>
      </c>
      <c r="T29" s="635">
        <f>IF(M29="","",X29*COS(RADIANS(W29)))</f>
        <v>7.11427925640794</v>
      </c>
      <c r="U29" s="629">
        <f>IF(M29="","",X29*SIN(RADIANS(W29)))</f>
        <v>-1.7324325419107272</v>
      </c>
      <c r="V29" s="636">
        <f>IF(M29="","",Y29)</f>
        <v>-0.92833254455145986</v>
      </c>
      <c r="W29" s="585">
        <f t="shared" si="224"/>
        <v>346.31400197601363</v>
      </c>
      <c r="X29" s="629">
        <f>IF(M29="","",R29)</f>
        <v>7.3221780810376078</v>
      </c>
      <c r="Y29" s="630">
        <f t="shared" si="223"/>
        <v>-0.92833254455145986</v>
      </c>
      <c r="Z29" s="632">
        <f t="shared" si="6"/>
        <v>0.7374324709198643</v>
      </c>
      <c r="AA29" s="629">
        <f t="shared" si="7"/>
        <v>-0.58019366645114778</v>
      </c>
      <c r="AB29" s="629">
        <f t="shared" si="8"/>
        <v>-0.34578701572354875</v>
      </c>
      <c r="AC29" s="636">
        <f>IF(M29="","",SQRT(Z29^2+AA29^2+AB29^2))</f>
        <v>1</v>
      </c>
      <c r="AD29" s="637">
        <f>IF(M29="","",Z29*(1/SQRT(Z29^2+AA29^2+AB29^2)))</f>
        <v>0.7374324709198643</v>
      </c>
      <c r="AE29" s="629">
        <f>IF(M29="","",AA29*(1/SQRT(Z29^2+AA29^2+AB29^2)))</f>
        <v>-0.58019366645114778</v>
      </c>
      <c r="AF29" s="633">
        <f>IF(M29="","",AB29*(1/SQRT(Z29^2+AA29^2+AB29^2)))</f>
        <v>-0.34578701572354875</v>
      </c>
      <c r="AG29" s="602">
        <f>IF(M29="","",DEGREES(ATAN2(-AF29,AE29)))</f>
        <v>-59.205670678684577</v>
      </c>
      <c r="AH29" s="603">
        <f>IF(M29="","",DEGREES(ACOS(AD29)))</f>
        <v>42.486841662723975</v>
      </c>
      <c r="AI29" s="585">
        <f>IF(M29="","",DEGREES(-ACOS(-AF29)))</f>
        <v>-69.77015447105552</v>
      </c>
      <c r="AJ29" s="586">
        <f>IF(M29="","",DEGREES(ATAN2(-AE29,AD29)))</f>
        <v>51.805204902083041</v>
      </c>
      <c r="AK29" s="635">
        <f>IF(M29="","",(COS(RADIANS((90-$Q$8)-W29))*AD29)+(-SIN(RADIANS((90-$Q$8)-W29))*AE29))</f>
        <v>0.85376876252529377</v>
      </c>
      <c r="AL29" s="629">
        <f>IF(M29="","",(SIN(RADIANS((90-$Q$8)-W29))*AD29)+(COS(RADIANS((90-$Q$8)-W29))*AE29))</f>
        <v>-0.38924316293678252</v>
      </c>
      <c r="AM29" s="634">
        <f>IF(M29="","",AF29)</f>
        <v>-0.34578701572354875</v>
      </c>
      <c r="AN29" s="581">
        <f>IF(M29="","",DEGREES(ATAN2(-AM29,AL29)))</f>
        <v>-48.383478652333004</v>
      </c>
      <c r="AO29" s="582">
        <f t="shared" si="94"/>
        <v>31.376021994491484</v>
      </c>
      <c r="AP29" s="585">
        <f>IF(M29="","",DEGREES(ATAN2(AK29,AL29)))</f>
        <v>-24.508797073930559</v>
      </c>
      <c r="AQ29" s="586">
        <f t="shared" si="9"/>
        <v>0.31134235854921805</v>
      </c>
      <c r="AS29" s="52">
        <f t="shared" si="116"/>
        <v>-13.685998023986372</v>
      </c>
      <c r="AT29" s="72">
        <f t="shared" si="10"/>
        <v>-0.91882837925702487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1.23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5.13</v>
      </c>
      <c r="II29" s="734" cm="1">
        <f t="array" ref="II29">IFERROR(ROUND(VALUE(IF($IH29&lt;1,$IH29+LARGE((IF($M$9:$M$150="",0,$M$9:$M$150)-MOD(IF($M$9:$M$150="",0,$M$9:$M$150),1)),1),$IH29)),4),"")</f>
        <v>5.13</v>
      </c>
      <c r="IJ29" s="533">
        <f t="shared" si="112"/>
        <v>1613</v>
      </c>
      <c r="IK29" s="533">
        <f t="shared" si="66"/>
        <v>1313</v>
      </c>
      <c r="IL29" s="727">
        <f t="shared" si="225"/>
        <v>126.28599802398639</v>
      </c>
      <c r="IM29" s="759">
        <v>3.5530204123595602E-2</v>
      </c>
      <c r="IN29" s="5">
        <f t="shared" si="226"/>
        <v>0.22</v>
      </c>
      <c r="IO29" s="771">
        <v>110</v>
      </c>
      <c r="IP29" s="9">
        <f t="shared" si="227"/>
        <v>-7.3108999999999993</v>
      </c>
      <c r="IQ29" s="5">
        <f t="shared" si="228"/>
        <v>-0.91489999999999994</v>
      </c>
      <c r="IR29" s="5">
        <f t="shared" si="71"/>
        <v>0.314</v>
      </c>
      <c r="IS29" s="5">
        <f t="shared" si="229"/>
        <v>-0.29900904337907086</v>
      </c>
      <c r="IT29" s="727">
        <f t="shared" si="230"/>
        <v>-117.09647941408103</v>
      </c>
      <c r="IU29" s="9">
        <f t="shared" si="231"/>
        <v>-7.3221780810376078</v>
      </c>
      <c r="IV29" s="5">
        <f t="shared" si="232"/>
        <v>-0.92833254455145986</v>
      </c>
      <c r="IW29" s="5">
        <f t="shared" si="76"/>
        <v>0.26600000000000001</v>
      </c>
      <c r="IX29" s="5">
        <f t="shared" si="233"/>
        <v>0.22710249083172818</v>
      </c>
      <c r="IY29" s="762">
        <f t="shared" si="234"/>
        <v>48.383478652333004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18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110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110</v>
      </c>
    </row>
    <row r="30" spans="1:269" ht="15" customHeight="1" x14ac:dyDescent="0.25">
      <c r="A30" s="79"/>
      <c r="B30" s="707">
        <v>1.903274501816324</v>
      </c>
      <c r="C30" s="708">
        <v>7.5834161697111133</v>
      </c>
      <c r="D30" s="709">
        <v>-1.4763182901965799</v>
      </c>
      <c r="E30" s="710">
        <v>-0.71384872456611492</v>
      </c>
      <c r="F30" s="708">
        <v>0.64805872016354127</v>
      </c>
      <c r="G30" s="711">
        <v>0.26540515001658105</v>
      </c>
      <c r="H30" s="710">
        <v>0.26600000000000001</v>
      </c>
      <c r="I30" s="708">
        <v>0.52</v>
      </c>
      <c r="J30" s="570">
        <v>1.2330000000000001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843"/>
      <c r="M30" s="168">
        <f t="shared" si="1"/>
        <v>1.2330000000000001</v>
      </c>
      <c r="N30" s="632">
        <f t="shared" si="2"/>
        <v>1.903274501816324</v>
      </c>
      <c r="O30" s="629">
        <f t="shared" si="3"/>
        <v>7.5834161697111133</v>
      </c>
      <c r="P30" s="633">
        <f t="shared" si="4"/>
        <v>-1.4763182901965799</v>
      </c>
      <c r="Q30" s="585">
        <f t="shared" si="113"/>
        <v>75.911002034199612</v>
      </c>
      <c r="R30" s="629">
        <f>IF(M30="","",SQRT(N30^2+O30^2))</f>
        <v>7.8186095075978921</v>
      </c>
      <c r="S30" s="634">
        <f>IF(M30="","",P30)</f>
        <v>-1.4763182901965799</v>
      </c>
      <c r="T30" s="635">
        <f>IF(M30="","",X30*COS(RADIANS(W30)))</f>
        <v>7.5834161697111124</v>
      </c>
      <c r="U30" s="629">
        <f>IF(M30="","",X30*SIN(RADIANS(W30)))</f>
        <v>-1.9032745018163257</v>
      </c>
      <c r="V30" s="636">
        <f>IF(M30="","",Y30)</f>
        <v>-1.4763182901965799</v>
      </c>
      <c r="W30" s="585">
        <f t="shared" si="224"/>
        <v>345.91100203419961</v>
      </c>
      <c r="X30" s="629">
        <f>IF(M30="","",R30)</f>
        <v>7.8186095075978921</v>
      </c>
      <c r="Y30" s="630">
        <f t="shared" si="223"/>
        <v>-1.4763182901965799</v>
      </c>
      <c r="Z30" s="632">
        <f t="shared" si="6"/>
        <v>0.71384872456611492</v>
      </c>
      <c r="AA30" s="629">
        <f t="shared" si="7"/>
        <v>-0.64805872016354127</v>
      </c>
      <c r="AB30" s="629">
        <f t="shared" si="8"/>
        <v>-0.26540515001658105</v>
      </c>
      <c r="AC30" s="636">
        <f>IF(M30="","",SQRT(Z30^2+AA30^2+AB30^2))</f>
        <v>1</v>
      </c>
      <c r="AD30" s="637">
        <f>IF(M30="","",Z30*(1/SQRT(Z30^2+AA30^2+AB30^2)))</f>
        <v>0.71384872456611492</v>
      </c>
      <c r="AE30" s="629">
        <f>IF(M30="","",AA30*(1/SQRT(Z30^2+AA30^2+AB30^2)))</f>
        <v>-0.64805872016354127</v>
      </c>
      <c r="AF30" s="633">
        <f>IF(M30="","",AB30*(1/SQRT(Z30^2+AA30^2+AB30^2)))</f>
        <v>-0.26540515001658105</v>
      </c>
      <c r="AG30" s="602">
        <f>IF(M30="","",DEGREES(ATAN2(-AF30,AE30)))</f>
        <v>-67.728999620699582</v>
      </c>
      <c r="AH30" s="603">
        <f>IF(M30="","",DEGREES(ACOS(AD30)))</f>
        <v>44.451072753399714</v>
      </c>
      <c r="AI30" s="585">
        <f>IF(M30="","",DEGREES(-ACOS(-AF30)))</f>
        <v>-74.608971739053658</v>
      </c>
      <c r="AJ30" s="586">
        <f>IF(M30="","",DEGREES(ATAN2(-AE30,AD30)))</f>
        <v>47.765651624338183</v>
      </c>
      <c r="AK30" s="635">
        <f>IF(M30="","",(COS(RADIANS((90-$Q$8)-W30))*AD30)+(-SIN(RADIANS((90-$Q$8)-W30))*AE30))</f>
        <v>0.85013141939242698</v>
      </c>
      <c r="AL30" s="629">
        <f>IF(M30="","",(SIN(RADIANS((90-$Q$8)-W30))*AD30)+(COS(RADIANS((90-$Q$8)-W30))*AE30))</f>
        <v>-0.45479300358129249</v>
      </c>
      <c r="AM30" s="634">
        <f>IF(M30="","",AF30)</f>
        <v>-0.26540515001658105</v>
      </c>
      <c r="AN30" s="581">
        <f>IF(M30="","",DEGREES(ATAN2(-AM30,AL30)))</f>
        <v>-59.733296497807068</v>
      </c>
      <c r="AO30" s="582">
        <f>IF(ROUND(IF(M30="",0,DEGREES(ACOS(AK30))),4)=90,0,IF(M30="","",DEGREES(ACOS(AK30))))</f>
        <v>31.774033843566549</v>
      </c>
      <c r="AP30" s="585">
        <f>IF(M30="","",DEGREES(ATAN2(AK30,AL30)))</f>
        <v>-28.145350409861425</v>
      </c>
      <c r="AQ30" s="586">
        <f t="shared" si="9"/>
        <v>0.29157447371545664</v>
      </c>
      <c r="AS30" s="52">
        <f t="shared" si="116"/>
        <v>-14.088997965800388</v>
      </c>
      <c r="AT30" s="72">
        <f t="shared" si="10"/>
        <v>-1.4665342638314407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1.2330000000000001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5.133</v>
      </c>
      <c r="II30" s="734" cm="1">
        <f t="array" ref="II30">IFERROR(ROUND(VALUE(IF($IH30&lt;1,$IH30+LARGE((IF($M$9:$M$150="",0,$M$9:$M$150)-MOD(IF($M$9:$M$150="",0,$M$9:$M$150),1)),1),$IH30)),4),"")</f>
        <v>5.133</v>
      </c>
      <c r="IJ30" s="533">
        <f t="shared" si="112"/>
        <v>1613</v>
      </c>
      <c r="IK30" s="533">
        <f t="shared" si="66"/>
        <v>1313</v>
      </c>
      <c r="IL30" s="727">
        <f t="shared" si="225"/>
        <v>126.17899796580042</v>
      </c>
      <c r="IM30" s="759">
        <v>2.9832309380499598E-2</v>
      </c>
      <c r="IN30" s="5">
        <f t="shared" si="226"/>
        <v>0.24</v>
      </c>
      <c r="IO30" s="771">
        <v>120</v>
      </c>
      <c r="IP30" s="9">
        <f t="shared" si="227"/>
        <v>-7.8044000000000011</v>
      </c>
      <c r="IQ30" s="5">
        <f t="shared" si="228"/>
        <v>-1.4608000000000005</v>
      </c>
      <c r="IR30" s="5">
        <f t="shared" si="71"/>
        <v>0.314</v>
      </c>
      <c r="IS30" s="5">
        <f t="shared" si="229"/>
        <v>-0.29773831728240407</v>
      </c>
      <c r="IT30" s="727">
        <f t="shared" si="230"/>
        <v>-104.61807510564246</v>
      </c>
      <c r="IU30" s="9">
        <f t="shared" si="231"/>
        <v>-7.8186095075978921</v>
      </c>
      <c r="IV30" s="5">
        <f t="shared" si="232"/>
        <v>-1.4763182901965799</v>
      </c>
      <c r="IW30" s="5">
        <f t="shared" si="76"/>
        <v>0.26600000000000001</v>
      </c>
      <c r="IX30" s="5">
        <f t="shared" si="233"/>
        <v>0.22613495755838559</v>
      </c>
      <c r="IY30" s="762">
        <f t="shared" si="234"/>
        <v>59.733296497807068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30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80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130</v>
      </c>
    </row>
    <row r="31" spans="1:269" ht="15" customHeight="1" x14ac:dyDescent="0.25">
      <c r="A31" s="79"/>
      <c r="B31" s="707">
        <v>2.5824702663838566</v>
      </c>
      <c r="C31" s="708">
        <v>7.7016592907045656</v>
      </c>
      <c r="D31" s="709">
        <v>-2.1260837214040049</v>
      </c>
      <c r="E31" s="710">
        <v>0.28813036730627789</v>
      </c>
      <c r="F31" s="708">
        <v>0.85928724580547267</v>
      </c>
      <c r="G31" s="711">
        <v>0.42261841019055801</v>
      </c>
      <c r="H31" s="710">
        <v>0.26250000000000001</v>
      </c>
      <c r="I31" s="708">
        <v>0.40699999999999997</v>
      </c>
      <c r="J31" s="570">
        <v>1.236</v>
      </c>
      <c r="K31" s="865" t="str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Inactive</v>
      </c>
      <c r="L31" s="843"/>
      <c r="M31" s="168">
        <f t="shared" si="1"/>
        <v>1.236</v>
      </c>
      <c r="N31" s="632">
        <f t="shared" si="2"/>
        <v>2.5824702663838566</v>
      </c>
      <c r="O31" s="629">
        <f t="shared" si="3"/>
        <v>7.7016592907045656</v>
      </c>
      <c r="P31" s="633">
        <f t="shared" si="4"/>
        <v>-2.1260837214040049</v>
      </c>
      <c r="Q31" s="585">
        <f t="shared" si="113"/>
        <v>71.463002676411278</v>
      </c>
      <c r="R31" s="629">
        <f>IF(M31="","",SQRT(N31^2+O31^2))</f>
        <v>8.1230972237720174</v>
      </c>
      <c r="S31" s="634">
        <f>IF(M31="","",P31)</f>
        <v>-2.1260837214040049</v>
      </c>
      <c r="T31" s="635">
        <f>IF(M31="","",X31*COS(RADIANS(W31)))</f>
        <v>7.7016592907045665</v>
      </c>
      <c r="U31" s="629">
        <f>IF(M31="","",X31*SIN(RADIANS(W31)))</f>
        <v>-2.5824702663838544</v>
      </c>
      <c r="V31" s="636">
        <f>IF(M31="","",Y31)</f>
        <v>-2.1260837214040049</v>
      </c>
      <c r="W31" s="585">
        <f t="shared" si="224"/>
        <v>341.46300267641129</v>
      </c>
      <c r="X31" s="629">
        <f>IF(M31="","",R31)</f>
        <v>8.1230972237720174</v>
      </c>
      <c r="Y31" s="630">
        <f t="shared" si="223"/>
        <v>-2.1260837214040049</v>
      </c>
      <c r="Z31" s="632">
        <f t="shared" si="6"/>
        <v>-0.28813036730627789</v>
      </c>
      <c r="AA31" s="629">
        <f t="shared" si="7"/>
        <v>-0.85928724580547267</v>
      </c>
      <c r="AB31" s="629">
        <f t="shared" si="8"/>
        <v>-0.42261841019055801</v>
      </c>
      <c r="AC31" s="636">
        <f>IF(M31="","",SQRT(Z31^2+AA31^2+AB31^2))</f>
        <v>1</v>
      </c>
      <c r="AD31" s="637">
        <f>IF(M31="","",Z31*(1/SQRT(Z31^2+AA31^2+AB31^2)))</f>
        <v>-0.28813036730627789</v>
      </c>
      <c r="AE31" s="629">
        <f>IF(M31="","",AA31*(1/SQRT(Z31^2+AA31^2+AB31^2)))</f>
        <v>-0.85928724580547267</v>
      </c>
      <c r="AF31" s="633">
        <f>IF(M31="","",AB31*(1/SQRT(Z31^2+AA31^2+AB31^2)))</f>
        <v>-0.42261841019055801</v>
      </c>
      <c r="AG31" s="602">
        <f>IF(M31="","",DEGREES(ATAN2(-AF31,AE31)))</f>
        <v>-63.810916126994663</v>
      </c>
      <c r="AH31" s="603">
        <f>IF(M31="","",DEGREES(ACOS(AD31)))</f>
        <v>106.74605689940779</v>
      </c>
      <c r="AI31" s="585">
        <f>IF(M31="","",DEGREES(-ACOS(-AF31)))</f>
        <v>-64.999990615163185</v>
      </c>
      <c r="AJ31" s="586">
        <f>IF(M31="","",DEGREES(ATAN2(-AE31,AD31)))</f>
        <v>-18.536982985864199</v>
      </c>
      <c r="AK31" s="635">
        <f>IF(M31="","",(COS(RADIANS((90-$Q$8)-W31))*AD31)+(-SIN(RADIANS((90-$Q$8)-W31))*AE31))</f>
        <v>2.2679489636301398E-7</v>
      </c>
      <c r="AL31" s="629">
        <f>IF(M31="","",(SIN(RADIANS((90-$Q$8)-W31))*AD31)+(COS(RADIANS((90-$Q$8)-W31))*AE31))</f>
        <v>-0.90630771781330099</v>
      </c>
      <c r="AM31" s="634">
        <f>IF(M31="","",AF31)</f>
        <v>-0.42261841019055801</v>
      </c>
      <c r="AN31" s="581">
        <f>IF(M31="","",DEGREES(ATAN2(-AM31,AL31)))</f>
        <v>-64.999990615162488</v>
      </c>
      <c r="AO31" s="582">
        <f t="shared" si="94"/>
        <v>0</v>
      </c>
      <c r="AP31" s="585">
        <f>IF(M31="","",DEGREES(ATAN2(AK31,AL31)))</f>
        <v>-89.999985662275492</v>
      </c>
      <c r="AQ31" s="586">
        <f t="shared" si="9"/>
        <v>0.28064521908809709</v>
      </c>
      <c r="AS31" s="52">
        <f t="shared" si="116"/>
        <v>-18.536997323588707</v>
      </c>
      <c r="AT31" s="72">
        <f t="shared" si="10"/>
        <v>-2.1132108065959572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1.236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5.1360000000000001</v>
      </c>
      <c r="II31" s="734" cm="1">
        <f t="array" ref="II31">IFERROR(ROUND(VALUE(IF($IH31&lt;1,$IH31+LARGE((IF($M$9:$M$150="",0,$M$9:$M$150)-MOD(IF($M$9:$M$150="",0,$M$9:$M$150),1)),1),$IH31)),4),"")</f>
        <v>5.1360000000000001</v>
      </c>
      <c r="IJ31" s="533">
        <f t="shared" si="112"/>
        <v>1613</v>
      </c>
      <c r="IK31" s="533" t="str">
        <f t="shared" si="66"/>
        <v>Inactive</v>
      </c>
      <c r="IL31" s="727">
        <f t="shared" si="225"/>
        <v>130.2369973235887</v>
      </c>
      <c r="IM31" s="759">
        <v>6.20861712443408E-2</v>
      </c>
      <c r="IN31" s="5">
        <f t="shared" si="226"/>
        <v>0.3</v>
      </c>
      <c r="IO31" s="771">
        <v>150</v>
      </c>
      <c r="IP31" s="9">
        <f t="shared" si="227"/>
        <v>-8.1742000000000008</v>
      </c>
      <c r="IQ31" s="5">
        <f t="shared" si="228"/>
        <v>-2.0954000000000002</v>
      </c>
      <c r="IR31" s="5">
        <f t="shared" si="71"/>
        <v>0.314</v>
      </c>
      <c r="IS31" s="5">
        <f t="shared" si="229"/>
        <v>-0.28861563788898548</v>
      </c>
      <c r="IT31" s="727">
        <f t="shared" si="230"/>
        <v>-100.64013125358653</v>
      </c>
      <c r="IU31" s="9">
        <f t="shared" si="231"/>
        <v>-8.1230972237720174</v>
      </c>
      <c r="IV31" s="5">
        <f t="shared" si="232"/>
        <v>-2.1260837214040049</v>
      </c>
      <c r="IW31" s="5">
        <f t="shared" si="76"/>
        <v>0.26250000000000001</v>
      </c>
      <c r="IX31" s="5">
        <f t="shared" si="233"/>
        <v>0.26250000000000001</v>
      </c>
      <c r="IY31" s="762">
        <f t="shared" si="234"/>
        <v>64.999990615162488</v>
      </c>
    </row>
    <row r="32" spans="1:269" ht="15" customHeight="1" x14ac:dyDescent="0.25">
      <c r="A32" s="79"/>
      <c r="B32" s="707">
        <v>2.7047964815656815</v>
      </c>
      <c r="C32" s="708">
        <v>7.8816566822183933</v>
      </c>
      <c r="D32" s="709">
        <v>-2.8272614517536816</v>
      </c>
      <c r="E32" s="710">
        <v>0.29418209979126825</v>
      </c>
      <c r="F32" s="708">
        <v>0.85723425709102741</v>
      </c>
      <c r="G32" s="711">
        <v>0.42261841019055807</v>
      </c>
      <c r="H32" s="710">
        <v>0.26250000000000001</v>
      </c>
      <c r="I32" s="708">
        <v>0.40699999999999997</v>
      </c>
      <c r="J32" s="570">
        <v>1.2390000000000001</v>
      </c>
      <c r="K32" s="865" t="str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Inactive</v>
      </c>
      <c r="L32" s="843"/>
      <c r="M32" s="168">
        <f t="shared" si="1"/>
        <v>1.2390000000000001</v>
      </c>
      <c r="N32" s="632">
        <f t="shared" si="2"/>
        <v>2.7047964815656815</v>
      </c>
      <c r="O32" s="629">
        <f t="shared" si="3"/>
        <v>7.8816566822183933</v>
      </c>
      <c r="P32" s="633">
        <f t="shared" si="4"/>
        <v>-2.8272614517536816</v>
      </c>
      <c r="Q32" s="585">
        <f t="shared" si="113"/>
        <v>71.059002734741654</v>
      </c>
      <c r="R32" s="629">
        <f t="shared" si="79"/>
        <v>8.3328528165957643</v>
      </c>
      <c r="S32" s="634">
        <f t="shared" si="80"/>
        <v>-2.8272614517536816</v>
      </c>
      <c r="T32" s="635">
        <f t="shared" si="81"/>
        <v>7.8816566822183933</v>
      </c>
      <c r="U32" s="629">
        <f t="shared" si="82"/>
        <v>-2.7047964815656838</v>
      </c>
      <c r="V32" s="636">
        <f t="shared" si="114"/>
        <v>-2.8272614517536816</v>
      </c>
      <c r="W32" s="585">
        <f t="shared" si="224"/>
        <v>341.05900273474163</v>
      </c>
      <c r="X32" s="629">
        <f t="shared" si="83"/>
        <v>8.3328528165957643</v>
      </c>
      <c r="Y32" s="630">
        <f t="shared" si="223"/>
        <v>-2.8272614517536816</v>
      </c>
      <c r="Z32" s="632">
        <f t="shared" si="6"/>
        <v>-0.29418209979126825</v>
      </c>
      <c r="AA32" s="629">
        <f t="shared" si="7"/>
        <v>-0.85723425709102741</v>
      </c>
      <c r="AB32" s="629">
        <f t="shared" si="8"/>
        <v>-0.42261841019055807</v>
      </c>
      <c r="AC32" s="636">
        <f t="shared" si="84"/>
        <v>1</v>
      </c>
      <c r="AD32" s="637">
        <f t="shared" si="115"/>
        <v>-0.29418209979126825</v>
      </c>
      <c r="AE32" s="629">
        <f t="shared" si="85"/>
        <v>-0.85723425709102741</v>
      </c>
      <c r="AF32" s="633">
        <f t="shared" si="86"/>
        <v>-0.42261841019055807</v>
      </c>
      <c r="AG32" s="602">
        <f t="shared" si="87"/>
        <v>-63.756599411549743</v>
      </c>
      <c r="AH32" s="603">
        <f t="shared" si="88"/>
        <v>107.10849898369538</v>
      </c>
      <c r="AI32" s="585">
        <f t="shared" si="89"/>
        <v>-64.999990615163185</v>
      </c>
      <c r="AJ32" s="586">
        <f t="shared" si="90"/>
        <v>-18.94098292753382</v>
      </c>
      <c r="AK32" s="635">
        <f t="shared" si="211"/>
        <v>2.2679489697363664E-7</v>
      </c>
      <c r="AL32" s="629">
        <f t="shared" si="91"/>
        <v>-0.90630771781330088</v>
      </c>
      <c r="AM32" s="634">
        <f t="shared" si="92"/>
        <v>-0.42261841019055807</v>
      </c>
      <c r="AN32" s="581">
        <f t="shared" si="93"/>
        <v>-64.999990615162488</v>
      </c>
      <c r="AO32" s="582">
        <f t="shared" si="94"/>
        <v>0</v>
      </c>
      <c r="AP32" s="585">
        <f t="shared" si="95"/>
        <v>-89.999985662275449</v>
      </c>
      <c r="AQ32" s="586">
        <f t="shared" si="9"/>
        <v>0.27358089198530494</v>
      </c>
      <c r="AS32" s="52">
        <f t="shared" si="116"/>
        <v>-18.940997265258375</v>
      </c>
      <c r="AT32" s="72">
        <f t="shared" si="10"/>
        <v>-2.8141079814305856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Taper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1.2390000000000001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5.1390000000000002</v>
      </c>
      <c r="II32" s="734" cm="1">
        <f t="array" ref="II32">IFERROR(ROUND(VALUE(IF($IH32&lt;1,$IH32+LARGE((IF($M$9:$M$150="",0,$M$9:$M$150)-MOD(IF($M$9:$M$150="",0,$M$9:$M$150),1)),1),$IH32)),4),"")</f>
        <v>5.1390000000000002</v>
      </c>
      <c r="IJ32" s="533">
        <f t="shared" si="112"/>
        <v>1613</v>
      </c>
      <c r="IK32" s="533" t="str">
        <f t="shared" si="66"/>
        <v>Inactive</v>
      </c>
      <c r="IL32" s="727">
        <f t="shared" si="225"/>
        <v>130.25099726525838</v>
      </c>
      <c r="IM32" s="759">
        <v>6.22970223169882E-2</v>
      </c>
      <c r="IN32" s="5">
        <f t="shared" si="226"/>
        <v>0.36</v>
      </c>
      <c r="IO32" s="771">
        <v>180</v>
      </c>
      <c r="IP32" s="9">
        <f t="shared" si="227"/>
        <v>-8.3992000000000004</v>
      </c>
      <c r="IQ32" s="5">
        <f t="shared" si="228"/>
        <v>-2.7900000000000005</v>
      </c>
      <c r="IR32" s="5">
        <f t="shared" si="71"/>
        <v>0.314</v>
      </c>
      <c r="IS32" s="5">
        <f t="shared" si="229"/>
        <v>-0.27771618258569303</v>
      </c>
      <c r="IT32" s="727">
        <f t="shared" si="230"/>
        <v>-95.805835600042741</v>
      </c>
      <c r="IU32" s="9">
        <f t="shared" si="231"/>
        <v>-8.3328528165957643</v>
      </c>
      <c r="IV32" s="5">
        <f t="shared" si="232"/>
        <v>-2.8272614517536816</v>
      </c>
      <c r="IW32" s="5">
        <f t="shared" si="76"/>
        <v>0.26250000000000001</v>
      </c>
      <c r="IX32" s="5">
        <f t="shared" si="233"/>
        <v>0.26250000000000001</v>
      </c>
      <c r="IY32" s="762">
        <f t="shared" si="234"/>
        <v>64.999990615162488</v>
      </c>
    </row>
    <row r="33" spans="1:267" ht="15" customHeight="1" x14ac:dyDescent="0.25">
      <c r="A33" s="79"/>
      <c r="B33" s="707">
        <v>2.7433030405812358</v>
      </c>
      <c r="C33" s="708">
        <v>1.2792232164629236</v>
      </c>
      <c r="D33" s="709">
        <v>-0.48670000000000002</v>
      </c>
      <c r="E33" s="710">
        <v>0.40821789367673511</v>
      </c>
      <c r="F33" s="708">
        <v>-0.87542609806559302</v>
      </c>
      <c r="G33" s="711">
        <v>-0.25881904510252091</v>
      </c>
      <c r="H33" s="710">
        <v>0.314</v>
      </c>
      <c r="I33" s="708">
        <v>0.52</v>
      </c>
      <c r="J33" s="570">
        <v>2.1120000000000001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2.1120000000000001</v>
      </c>
      <c r="N33" s="632">
        <f t="shared" si="2"/>
        <v>2.7433030405812358</v>
      </c>
      <c r="O33" s="629">
        <f t="shared" si="3"/>
        <v>1.2792232164629236</v>
      </c>
      <c r="P33" s="633">
        <f t="shared" si="4"/>
        <v>-0.48670000000000002</v>
      </c>
      <c r="Q33" s="585">
        <f t="shared" si="113"/>
        <v>25.000000000000011</v>
      </c>
      <c r="R33" s="629">
        <f t="shared" si="79"/>
        <v>3.0268999999999999</v>
      </c>
      <c r="S33" s="634">
        <f t="shared" si="80"/>
        <v>-0.48670000000000002</v>
      </c>
      <c r="T33" s="635">
        <f t="shared" si="81"/>
        <v>1.2792232164629236</v>
      </c>
      <c r="U33" s="629">
        <f t="shared" si="82"/>
        <v>-2.7433030405812358</v>
      </c>
      <c r="V33" s="636">
        <f t="shared" si="114"/>
        <v>-0.48670000000000002</v>
      </c>
      <c r="W33" s="585">
        <f t="shared" si="224"/>
        <v>295</v>
      </c>
      <c r="X33" s="629">
        <f t="shared" si="83"/>
        <v>3.0268999999999999</v>
      </c>
      <c r="Y33" s="630">
        <f t="shared" si="223"/>
        <v>-0.48670000000000002</v>
      </c>
      <c r="Z33" s="632">
        <f t="shared" si="6"/>
        <v>-0.40821789367673511</v>
      </c>
      <c r="AA33" s="629">
        <f t="shared" si="7"/>
        <v>0.87542609806559302</v>
      </c>
      <c r="AB33" s="629">
        <f t="shared" si="8"/>
        <v>0.25881904510252091</v>
      </c>
      <c r="AC33" s="636">
        <f t="shared" si="84"/>
        <v>1</v>
      </c>
      <c r="AD33" s="637">
        <f t="shared" si="115"/>
        <v>-0.40821789367673511</v>
      </c>
      <c r="AE33" s="629">
        <f t="shared" si="85"/>
        <v>0.87542609806559302</v>
      </c>
      <c r="AF33" s="633">
        <f t="shared" si="86"/>
        <v>0.25881904510252091</v>
      </c>
      <c r="AG33" s="602">
        <f t="shared" si="87"/>
        <v>106.47027292032791</v>
      </c>
      <c r="AH33" s="603">
        <f t="shared" si="88"/>
        <v>114.0929347307631</v>
      </c>
      <c r="AI33" s="585">
        <f t="shared" si="89"/>
        <v>-105.00000000000001</v>
      </c>
      <c r="AJ33" s="586">
        <f t="shared" si="90"/>
        <v>-154.99999999999997</v>
      </c>
      <c r="AK33" s="635">
        <f t="shared" si="211"/>
        <v>-0.96592582628906842</v>
      </c>
      <c r="AL33" s="629">
        <f t="shared" si="91"/>
        <v>-1.1102230246251565E-16</v>
      </c>
      <c r="AM33" s="634">
        <f t="shared" si="92"/>
        <v>0.25881904510252091</v>
      </c>
      <c r="AN33" s="581">
        <f t="shared" si="93"/>
        <v>-179.99999999999997</v>
      </c>
      <c r="AO33" s="582">
        <f t="shared" si="94"/>
        <v>165.00000000000003</v>
      </c>
      <c r="AP33" s="585">
        <f t="shared" si="95"/>
        <v>-180</v>
      </c>
      <c r="AQ33" s="586">
        <f t="shared" si="9"/>
        <v>0.7531122069567886</v>
      </c>
      <c r="AS33" s="52">
        <f t="shared" si="116"/>
        <v>-65</v>
      </c>
      <c r="AT33" s="72">
        <f t="shared" si="10"/>
        <v>-0.44156111111111113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2.1120000000000001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3.417596034136503</v>
      </c>
      <c r="C34" s="708">
        <v>1.5936512031980041</v>
      </c>
      <c r="D34" s="709">
        <v>-0.2873</v>
      </c>
      <c r="E34" s="710">
        <v>0.40821789367673511</v>
      </c>
      <c r="F34" s="708">
        <v>-0.87542609806559302</v>
      </c>
      <c r="G34" s="711">
        <v>-0.25881904510252085</v>
      </c>
      <c r="H34" s="710">
        <v>0.314</v>
      </c>
      <c r="I34" s="708">
        <v>0.52</v>
      </c>
      <c r="J34" s="570">
        <v>2.1150000000000002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2.1150000000000002</v>
      </c>
      <c r="N34" s="632">
        <f t="shared" si="2"/>
        <v>3.417596034136503</v>
      </c>
      <c r="O34" s="629">
        <f t="shared" si="3"/>
        <v>1.5936512031980041</v>
      </c>
      <c r="P34" s="633">
        <f t="shared" si="4"/>
        <v>-0.2873</v>
      </c>
      <c r="Q34" s="585">
        <f t="shared" si="113"/>
        <v>25.000000000000011</v>
      </c>
      <c r="R34" s="629">
        <f>IF(M34="","",SQRT(N34^2+O34^2))</f>
        <v>3.7708999999999997</v>
      </c>
      <c r="S34" s="634">
        <f>IF(M34="","",P34)</f>
        <v>-0.2873</v>
      </c>
      <c r="T34" s="635">
        <f>IF(M34="","",X34*COS(RADIANS(W34)))</f>
        <v>1.5936512031980041</v>
      </c>
      <c r="U34" s="629">
        <f>IF(M34="","",X34*SIN(RADIANS(W34)))</f>
        <v>-3.417596034136503</v>
      </c>
      <c r="V34" s="636">
        <f>IF(M34="","",Y34)</f>
        <v>-0.2873</v>
      </c>
      <c r="W34" s="585">
        <f t="shared" si="224"/>
        <v>295</v>
      </c>
      <c r="X34" s="629">
        <f>IF(M34="","",R34)</f>
        <v>3.7708999999999997</v>
      </c>
      <c r="Y34" s="630">
        <f t="shared" si="223"/>
        <v>-0.2873</v>
      </c>
      <c r="Z34" s="632">
        <f t="shared" si="6"/>
        <v>-0.40821789367673511</v>
      </c>
      <c r="AA34" s="629">
        <f t="shared" si="7"/>
        <v>0.87542609806559302</v>
      </c>
      <c r="AB34" s="629">
        <f t="shared" si="8"/>
        <v>0.25881904510252085</v>
      </c>
      <c r="AC34" s="636">
        <f>IF(M34="","",SQRT(Z34^2+AA34^2+AB34^2))</f>
        <v>1</v>
      </c>
      <c r="AD34" s="637">
        <f>IF(M34="","",Z34*(1/SQRT(Z34^2+AA34^2+AB34^2)))</f>
        <v>-0.40821789367673511</v>
      </c>
      <c r="AE34" s="629">
        <f>IF(M34="","",AA34*(1/SQRT(Z34^2+AA34^2+AB34^2)))</f>
        <v>0.87542609806559302</v>
      </c>
      <c r="AF34" s="633">
        <f>IF(M34="","",AB34*(1/SQRT(Z34^2+AA34^2+AB34^2)))</f>
        <v>0.25881904510252085</v>
      </c>
      <c r="AG34" s="602">
        <f>IF(M34="","",DEGREES(ATAN2(-AF34,AE34)))</f>
        <v>106.47027292032791</v>
      </c>
      <c r="AH34" s="603">
        <f>IF(M34="","",DEGREES(ACOS(AD34)))</f>
        <v>114.0929347307631</v>
      </c>
      <c r="AI34" s="585">
        <f>IF(M34="","",DEGREES(-ACOS(-AF34)))</f>
        <v>-105.00000000000001</v>
      </c>
      <c r="AJ34" s="586">
        <f>IF(M34="","",DEGREES(ATAN2(-AE34,AD34)))</f>
        <v>-154.99999999999997</v>
      </c>
      <c r="AK34" s="635">
        <f>IF(M34="","",(COS(RADIANS((90-$Q$8)-W34))*AD34)+(-SIN(RADIANS((90-$Q$8)-W34))*AE34))</f>
        <v>-0.96592582628906842</v>
      </c>
      <c r="AL34" s="629">
        <f>IF(M34="","",(SIN(RADIANS((90-$Q$8)-W34))*AD34)+(COS(RADIANS((90-$Q$8)-W34))*AE34))</f>
        <v>-1.1102230246251565E-16</v>
      </c>
      <c r="AM34" s="634">
        <f>IF(M34="","",AF34)</f>
        <v>0.25881904510252085</v>
      </c>
      <c r="AN34" s="581">
        <f>IF(M34="","",DEGREES(ATAN2(-AM34,AL34)))</f>
        <v>-179.99999999999997</v>
      </c>
      <c r="AO34" s="582">
        <f t="shared" si="94"/>
        <v>165.00000000000003</v>
      </c>
      <c r="AP34" s="585">
        <f>IF(M34="","",DEGREES(ATAN2(AK34,AL34)))</f>
        <v>-180</v>
      </c>
      <c r="AQ34" s="586">
        <f t="shared" si="9"/>
        <v>0.60453526570158544</v>
      </c>
      <c r="AS34" s="52">
        <f t="shared" si="116"/>
        <v>-65</v>
      </c>
      <c r="AT34" s="72">
        <f t="shared" si="10"/>
        <v>-0.2421611111111111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2.1150000000000002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4.1027910919773332</v>
      </c>
      <c r="C35" s="708">
        <v>1.8957556318237427</v>
      </c>
      <c r="D35" s="709">
        <v>-0.1042</v>
      </c>
      <c r="E35" s="710">
        <v>0.36985233383803651</v>
      </c>
      <c r="F35" s="708">
        <v>-0.89236851475360857</v>
      </c>
      <c r="G35" s="711">
        <v>-0.25862653582143574</v>
      </c>
      <c r="H35" s="710">
        <v>0.314</v>
      </c>
      <c r="I35" s="708">
        <v>0.52</v>
      </c>
      <c r="J35" s="570">
        <v>2.1179999999999999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2.1179999999999999</v>
      </c>
      <c r="N35" s="632">
        <f t="shared" si="2"/>
        <v>4.1027910919773332</v>
      </c>
      <c r="O35" s="629">
        <f t="shared" si="3"/>
        <v>1.8957556318237427</v>
      </c>
      <c r="P35" s="633">
        <f t="shared" si="4"/>
        <v>-0.1042</v>
      </c>
      <c r="Q35" s="585">
        <f t="shared" si="113"/>
        <v>24.800000000000011</v>
      </c>
      <c r="R35" s="629">
        <f>IF(M35="","",SQRT(N35^2+O35^2))</f>
        <v>4.5195999999999996</v>
      </c>
      <c r="S35" s="634">
        <f>IF(M35="","",P35)</f>
        <v>-0.1042</v>
      </c>
      <c r="T35" s="635">
        <f>IF(M35="","",X35*COS(RADIANS(W35)))</f>
        <v>1.8957556318237436</v>
      </c>
      <c r="U35" s="629">
        <f>IF(M35="","",X35*SIN(RADIANS(W35)))</f>
        <v>-4.1027910919773332</v>
      </c>
      <c r="V35" s="636">
        <f>IF(M35="","",Y35)</f>
        <v>-0.1042</v>
      </c>
      <c r="W35" s="585">
        <f t="shared" si="224"/>
        <v>294.8</v>
      </c>
      <c r="X35" s="629">
        <f>IF(M35="","",R35)</f>
        <v>4.5195999999999996</v>
      </c>
      <c r="Y35" s="630">
        <f t="shared" si="223"/>
        <v>-0.1042</v>
      </c>
      <c r="Z35" s="632">
        <f t="shared" si="6"/>
        <v>-0.36985233383803651</v>
      </c>
      <c r="AA35" s="629">
        <f t="shared" si="7"/>
        <v>0.89236851475360857</v>
      </c>
      <c r="AB35" s="629">
        <f t="shared" si="8"/>
        <v>0.25862653582143574</v>
      </c>
      <c r="AC35" s="636">
        <f>IF(M35="","",SQRT(Z35^2+AA35^2+AB35^2))</f>
        <v>1</v>
      </c>
      <c r="AD35" s="637">
        <f>IF(M35="","",Z35*(1/SQRT(Z35^2+AA35^2+AB35^2)))</f>
        <v>-0.36985233383803651</v>
      </c>
      <c r="AE35" s="629">
        <f>IF(M35="","",AA35*(1/SQRT(Z35^2+AA35^2+AB35^2)))</f>
        <v>0.89236851475360857</v>
      </c>
      <c r="AF35" s="633">
        <f>IF(M35="","",AB35*(1/SQRT(Z35^2+AA35^2+AB35^2)))</f>
        <v>0.25862653582143574</v>
      </c>
      <c r="AG35" s="602">
        <f>IF(M35="","",DEGREES(ATAN2(-AF35,AE35)))</f>
        <v>106.16266272343577</v>
      </c>
      <c r="AH35" s="603">
        <f>IF(M35="","",DEGREES(ACOS(AD35)))</f>
        <v>111.70651061916742</v>
      </c>
      <c r="AI35" s="585">
        <f>IF(M35="","",DEGREES(-ACOS(-AF35)))</f>
        <v>-104.98858124029952</v>
      </c>
      <c r="AJ35" s="586">
        <f>IF(M35="","",DEGREES(ATAN2(-AE35,AD35)))</f>
        <v>-157.48787892309161</v>
      </c>
      <c r="AK35" s="635">
        <f>IF(M35="","",(COS(RADIANS((90-$Q$8)-W35))*AD35)+(-SIN(RADIANS((90-$Q$8)-W35))*AE35))</f>
        <v>-0.96520737187113059</v>
      </c>
      <c r="AL35" s="629">
        <f>IF(M35="","",(SIN(RADIANS((90-$Q$8)-W35))*AD35)+(COS(RADIANS((90-$Q$8)-W35))*AE35))</f>
        <v>3.8562212781799277E-2</v>
      </c>
      <c r="AM35" s="634">
        <f>IF(M35="","",AF35)</f>
        <v>0.25862653582143574</v>
      </c>
      <c r="AN35" s="581">
        <f>IF(M35="","",DEGREES(ATAN2(-AM35,AL35)))</f>
        <v>171.51945661249175</v>
      </c>
      <c r="AO35" s="582">
        <f t="shared" si="94"/>
        <v>164.84176816951307</v>
      </c>
      <c r="AP35" s="585">
        <f>IF(M35="","",DEGREES(ATAN2(AK35,AL35)))</f>
        <v>177.71212107690837</v>
      </c>
      <c r="AQ35" s="586">
        <f t="shared" si="9"/>
        <v>0.50439590654789057</v>
      </c>
      <c r="AS35" s="52">
        <f t="shared" si="116"/>
        <v>-65.199999999999989</v>
      </c>
      <c r="AT35" s="72">
        <f t="shared" si="10"/>
        <v>-5.892222222222223E-2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2.1179999999999999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4.8212438722640014</v>
      </c>
      <c r="C36" s="708">
        <v>2.1819421450067868</v>
      </c>
      <c r="D36" s="709">
        <v>-6.88E-2</v>
      </c>
      <c r="E36" s="710">
        <v>0.31824294315845653</v>
      </c>
      <c r="F36" s="708">
        <v>-0.91329866876135868</v>
      </c>
      <c r="G36" s="711">
        <v>-0.2541790132339285</v>
      </c>
      <c r="H36" s="710">
        <v>0.314</v>
      </c>
      <c r="I36" s="708">
        <v>0.52</v>
      </c>
      <c r="J36" s="570">
        <v>2.121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2.121</v>
      </c>
      <c r="N36" s="632">
        <f t="shared" si="2"/>
        <v>4.8212438722640014</v>
      </c>
      <c r="O36" s="629">
        <f t="shared" si="3"/>
        <v>2.1819421450067868</v>
      </c>
      <c r="P36" s="633">
        <f t="shared" si="4"/>
        <v>-6.88E-2</v>
      </c>
      <c r="Q36" s="585">
        <f t="shared" si="113"/>
        <v>24.350000000000016</v>
      </c>
      <c r="R36" s="629">
        <f>IF(M36="","",SQRT(N36^2+O36^2))</f>
        <v>5.2919999999999998</v>
      </c>
      <c r="S36" s="634">
        <f>IF(M36="","",P36)</f>
        <v>-6.88E-2</v>
      </c>
      <c r="T36" s="635">
        <f>IF(M36="","",X36*COS(RADIANS(W36)))</f>
        <v>2.1819421450067855</v>
      </c>
      <c r="U36" s="629">
        <f>IF(M36="","",X36*SIN(RADIANS(W36)))</f>
        <v>-4.8212438722640014</v>
      </c>
      <c r="V36" s="636">
        <f>IF(M36="","",Y36)</f>
        <v>-6.88E-2</v>
      </c>
      <c r="W36" s="585">
        <f t="shared" si="224"/>
        <v>294.35000000000002</v>
      </c>
      <c r="X36" s="629">
        <f>IF(M36="","",R36)</f>
        <v>5.2919999999999998</v>
      </c>
      <c r="Y36" s="630">
        <f t="shared" si="223"/>
        <v>-6.88E-2</v>
      </c>
      <c r="Z36" s="632">
        <f t="shared" si="6"/>
        <v>-0.31824294315845653</v>
      </c>
      <c r="AA36" s="629">
        <f t="shared" si="7"/>
        <v>0.91329866876135868</v>
      </c>
      <c r="AB36" s="629">
        <f t="shared" si="8"/>
        <v>0.2541790132339285</v>
      </c>
      <c r="AC36" s="636">
        <f>IF(M36="","",SQRT(Z36^2+AA36^2+AB36^2))</f>
        <v>1</v>
      </c>
      <c r="AD36" s="637">
        <f>IF(M36="","",Z36*(1/SQRT(Z36^2+AA36^2+AB36^2)))</f>
        <v>-0.31824294315845653</v>
      </c>
      <c r="AE36" s="629">
        <f>IF(M36="","",AA36*(1/SQRT(Z36^2+AA36^2+AB36^2)))</f>
        <v>0.91329866876135868</v>
      </c>
      <c r="AF36" s="633">
        <f>IF(M36="","",AB36*(1/SQRT(Z36^2+AA36^2+AB36^2)))</f>
        <v>0.2541790132339285</v>
      </c>
      <c r="AG36" s="602">
        <f>IF(M36="","",DEGREES(ATAN2(-AF36,AE36)))</f>
        <v>105.55235047235172</v>
      </c>
      <c r="AH36" s="603">
        <f>IF(M36="","",DEGREES(ACOS(AD36)))</f>
        <v>108.55669876637717</v>
      </c>
      <c r="AI36" s="585">
        <f>IF(M36="","",DEGREES(-ACOS(-AF36)))</f>
        <v>-104.72494328476805</v>
      </c>
      <c r="AJ36" s="586">
        <f>IF(M36="","",DEGREES(ATAN2(-AE36,AD36)))</f>
        <v>-160.78888364995618</v>
      </c>
      <c r="AK36" s="635">
        <f>IF(M36="","",(COS(RADIANS((90-$Q$8)-W36))*AD36)+(-SIN(RADIANS((90-$Q$8)-W36))*AE36))</f>
        <v>-0.96326970905914699</v>
      </c>
      <c r="AL36" s="629">
        <f>IF(M36="","",(SIN(RADIANS((90-$Q$8)-W36))*AD36)+(COS(RADIANS((90-$Q$8)-W36))*AE36))</f>
        <v>8.662849900888725E-2</v>
      </c>
      <c r="AM36" s="634">
        <f>IF(M36="","",AF36)</f>
        <v>0.2541790132339285</v>
      </c>
      <c r="AN36" s="581">
        <f>IF(M36="","",DEGREES(ATAN2(-AM36,AL36)))</f>
        <v>161.18002316942864</v>
      </c>
      <c r="AO36" s="582">
        <f t="shared" si="94"/>
        <v>164.42284393073564</v>
      </c>
      <c r="AP36" s="585">
        <f>IF(M36="","",DEGREES(ATAN2(AK36,AL36)))</f>
        <v>174.8611163500438</v>
      </c>
      <c r="AQ36" s="586">
        <f t="shared" si="9"/>
        <v>0.43077922819351955</v>
      </c>
      <c r="AS36" s="52">
        <f t="shared" si="116"/>
        <v>-65.649999999999977</v>
      </c>
      <c r="AT36" s="72">
        <f t="shared" si="10"/>
        <v>-2.3209722222222236E-2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2.121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5.5156183515159087</v>
      </c>
      <c r="C37" s="708">
        <v>2.4315277173869361</v>
      </c>
      <c r="D37" s="709">
        <v>-0.19939999999999999</v>
      </c>
      <c r="E37" s="710">
        <v>0.24231845925979395</v>
      </c>
      <c r="F37" s="708">
        <v>-0.94260298747207516</v>
      </c>
      <c r="G37" s="711">
        <v>-0.22974196897972021</v>
      </c>
      <c r="H37" s="710">
        <v>0.314</v>
      </c>
      <c r="I37" s="708">
        <v>0.52</v>
      </c>
      <c r="J37" s="570">
        <v>2.1240000000000001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2.1240000000000001</v>
      </c>
      <c r="N37" s="632">
        <f t="shared" si="2"/>
        <v>5.5156183515159087</v>
      </c>
      <c r="O37" s="629">
        <f t="shared" si="3"/>
        <v>2.4315277173869361</v>
      </c>
      <c r="P37" s="633">
        <f t="shared" si="4"/>
        <v>-0.19939999999999999</v>
      </c>
      <c r="Q37" s="585">
        <f t="shared" si="113"/>
        <v>23.790000000000013</v>
      </c>
      <c r="R37" s="629">
        <f t="shared" si="79"/>
        <v>6.0277999999999992</v>
      </c>
      <c r="S37" s="634">
        <f t="shared" si="80"/>
        <v>-0.19939999999999999</v>
      </c>
      <c r="T37" s="635">
        <f t="shared" si="81"/>
        <v>2.4315277173869383</v>
      </c>
      <c r="U37" s="629">
        <f t="shared" si="82"/>
        <v>-5.5156183515159078</v>
      </c>
      <c r="V37" s="636">
        <f t="shared" si="114"/>
        <v>-0.19939999999999999</v>
      </c>
      <c r="W37" s="585">
        <f t="shared" si="224"/>
        <v>293.79000000000002</v>
      </c>
      <c r="X37" s="629">
        <f t="shared" si="83"/>
        <v>6.0277999999999992</v>
      </c>
      <c r="Y37" s="630">
        <f t="shared" si="223"/>
        <v>-0.19939999999999999</v>
      </c>
      <c r="Z37" s="632">
        <f t="shared" si="6"/>
        <v>-0.24231845925979395</v>
      </c>
      <c r="AA37" s="629">
        <f t="shared" si="7"/>
        <v>0.94260298747207516</v>
      </c>
      <c r="AB37" s="629">
        <f t="shared" si="8"/>
        <v>0.22974196897972021</v>
      </c>
      <c r="AC37" s="636">
        <f t="shared" si="84"/>
        <v>1</v>
      </c>
      <c r="AD37" s="637">
        <f t="shared" si="115"/>
        <v>-0.24231845925979395</v>
      </c>
      <c r="AE37" s="629">
        <f t="shared" si="85"/>
        <v>0.94260298747207516</v>
      </c>
      <c r="AF37" s="633">
        <f t="shared" si="86"/>
        <v>0.22974196897972021</v>
      </c>
      <c r="AG37" s="602">
        <f t="shared" si="87"/>
        <v>103.69771239902398</v>
      </c>
      <c r="AH37" s="603">
        <f t="shared" si="88"/>
        <v>104.02341820317302</v>
      </c>
      <c r="AI37" s="585">
        <f t="shared" si="89"/>
        <v>-103.28188086372728</v>
      </c>
      <c r="AJ37" s="586">
        <f t="shared" si="90"/>
        <v>-165.58294235856857</v>
      </c>
      <c r="AK37" s="635">
        <f t="shared" si="211"/>
        <v>-0.96025786954102399</v>
      </c>
      <c r="AL37" s="629">
        <f t="shared" si="91"/>
        <v>0.15850379072392989</v>
      </c>
      <c r="AM37" s="634">
        <f t="shared" si="92"/>
        <v>0.22974196897972021</v>
      </c>
      <c r="AN37" s="581">
        <f t="shared" si="93"/>
        <v>145.39739408260087</v>
      </c>
      <c r="AO37" s="582">
        <f t="shared" si="94"/>
        <v>163.79264614463867</v>
      </c>
      <c r="AP37" s="585">
        <f t="shared" si="95"/>
        <v>170.62705764143141</v>
      </c>
      <c r="AQ37" s="586">
        <f t="shared" si="9"/>
        <v>0.37819660944968742</v>
      </c>
      <c r="AS37" s="52">
        <f t="shared" si="116"/>
        <v>-66.20999999999998</v>
      </c>
      <c r="AT37" s="72">
        <f t="shared" si="10"/>
        <v>-0.15342083333333334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2.1240000000000001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6.1669401800294086</v>
      </c>
      <c r="C38" s="708">
        <v>2.6418799775801394</v>
      </c>
      <c r="D38" s="709">
        <v>-0.48759999999999992</v>
      </c>
      <c r="E38" s="710">
        <v>0.1732487173170876</v>
      </c>
      <c r="F38" s="708">
        <v>-0.96630646535547859</v>
      </c>
      <c r="G38" s="711">
        <v>-0.19035938894676385</v>
      </c>
      <c r="H38" s="710">
        <v>0.314</v>
      </c>
      <c r="I38" s="708">
        <v>0.52</v>
      </c>
      <c r="J38" s="570">
        <v>2.1269999999999998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2.1269999999999998</v>
      </c>
      <c r="N38" s="632">
        <f t="shared" si="2"/>
        <v>6.1669401800294086</v>
      </c>
      <c r="O38" s="629">
        <f t="shared" si="3"/>
        <v>2.6418799775801394</v>
      </c>
      <c r="P38" s="633">
        <f t="shared" si="4"/>
        <v>-0.48759999999999992</v>
      </c>
      <c r="Q38" s="585">
        <f t="shared" si="113"/>
        <v>23.190000000000015</v>
      </c>
      <c r="R38" s="629">
        <f t="shared" si="79"/>
        <v>6.7089999999999996</v>
      </c>
      <c r="S38" s="634">
        <f t="shared" si="80"/>
        <v>-0.48759999999999992</v>
      </c>
      <c r="T38" s="635">
        <f t="shared" si="81"/>
        <v>2.6418799775801349</v>
      </c>
      <c r="U38" s="629">
        <f t="shared" si="82"/>
        <v>-6.1669401800294104</v>
      </c>
      <c r="V38" s="636">
        <f t="shared" si="114"/>
        <v>-0.48759999999999992</v>
      </c>
      <c r="W38" s="585">
        <f t="shared" si="224"/>
        <v>293.19</v>
      </c>
      <c r="X38" s="629">
        <f t="shared" si="83"/>
        <v>6.7089999999999996</v>
      </c>
      <c r="Y38" s="630">
        <f t="shared" si="223"/>
        <v>-0.48759999999999992</v>
      </c>
      <c r="Z38" s="632">
        <f t="shared" si="6"/>
        <v>-0.1732487173170876</v>
      </c>
      <c r="AA38" s="629">
        <f t="shared" si="7"/>
        <v>0.96630646535547859</v>
      </c>
      <c r="AB38" s="629">
        <f t="shared" si="8"/>
        <v>0.19035938894676385</v>
      </c>
      <c r="AC38" s="636">
        <f t="shared" si="84"/>
        <v>1</v>
      </c>
      <c r="AD38" s="637">
        <f t="shared" si="115"/>
        <v>-0.1732487173170876</v>
      </c>
      <c r="AE38" s="629">
        <f t="shared" si="85"/>
        <v>0.96630646535547859</v>
      </c>
      <c r="AF38" s="633">
        <f t="shared" si="86"/>
        <v>0.19035938894676385</v>
      </c>
      <c r="AG38" s="602">
        <f t="shared" si="87"/>
        <v>101.1443908757177</v>
      </c>
      <c r="AH38" s="603">
        <f t="shared" si="88"/>
        <v>99.976760363364022</v>
      </c>
      <c r="AI38" s="585">
        <f t="shared" si="89"/>
        <v>-100.97375846393662</v>
      </c>
      <c r="AJ38" s="586">
        <f t="shared" si="90"/>
        <v>-169.83545567544101</v>
      </c>
      <c r="AK38" s="635">
        <f t="shared" si="211"/>
        <v>-0.95645498358091419</v>
      </c>
      <c r="AL38" s="629">
        <f t="shared" si="91"/>
        <v>0.22126266613020817</v>
      </c>
      <c r="AM38" s="634">
        <f t="shared" si="92"/>
        <v>0.19035938894676385</v>
      </c>
      <c r="AN38" s="581">
        <f t="shared" si="93"/>
        <v>130.70646954328441</v>
      </c>
      <c r="AO38" s="582">
        <f t="shared" si="94"/>
        <v>163.02946473233538</v>
      </c>
      <c r="AP38" s="585">
        <f t="shared" si="95"/>
        <v>166.97454432455902</v>
      </c>
      <c r="AQ38" s="586">
        <f t="shared" si="9"/>
        <v>0.33979727299625717</v>
      </c>
      <c r="AS38" s="52">
        <f t="shared" si="116"/>
        <v>-66.81</v>
      </c>
      <c r="AT38" s="72">
        <f t="shared" si="10"/>
        <v>-0.44120416666666656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2.1269999999999998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6.749497576291291</v>
      </c>
      <c r="C39" s="708">
        <v>2.8095446744335604</v>
      </c>
      <c r="D39" s="709">
        <v>-0.91489999999999994</v>
      </c>
      <c r="E39" s="710">
        <v>0.11503337117976943</v>
      </c>
      <c r="F39" s="708">
        <v>-0.9835802253995708</v>
      </c>
      <c r="G39" s="711">
        <v>-0.13905849027638281</v>
      </c>
      <c r="H39" s="710">
        <v>0.314</v>
      </c>
      <c r="I39" s="708">
        <v>0.52</v>
      </c>
      <c r="J39" s="570">
        <v>2.13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2.13</v>
      </c>
      <c r="N39" s="632">
        <f t="shared" si="2"/>
        <v>6.749497576291291</v>
      </c>
      <c r="O39" s="629">
        <f t="shared" si="3"/>
        <v>2.8095446744335604</v>
      </c>
      <c r="P39" s="633">
        <f t="shared" si="4"/>
        <v>-0.91489999999999994</v>
      </c>
      <c r="Q39" s="585">
        <f t="shared" si="113"/>
        <v>22.600000000000012</v>
      </c>
      <c r="R39" s="629">
        <f t="shared" si="79"/>
        <v>7.3108999999999993</v>
      </c>
      <c r="S39" s="634">
        <f t="shared" si="80"/>
        <v>-0.91489999999999994</v>
      </c>
      <c r="T39" s="635">
        <f t="shared" si="81"/>
        <v>2.8095446744335599</v>
      </c>
      <c r="U39" s="629">
        <f t="shared" si="82"/>
        <v>-6.749497576291291</v>
      </c>
      <c r="V39" s="636">
        <f t="shared" si="114"/>
        <v>-0.91489999999999994</v>
      </c>
      <c r="W39" s="585">
        <f t="shared" si="224"/>
        <v>292.60000000000002</v>
      </c>
      <c r="X39" s="629">
        <f t="shared" si="83"/>
        <v>7.3108999999999993</v>
      </c>
      <c r="Y39" s="630">
        <f t="shared" si="223"/>
        <v>-0.91489999999999994</v>
      </c>
      <c r="Z39" s="632">
        <f t="shared" si="6"/>
        <v>-0.11503337117976943</v>
      </c>
      <c r="AA39" s="629">
        <f t="shared" si="7"/>
        <v>0.9835802253995708</v>
      </c>
      <c r="AB39" s="629">
        <f t="shared" si="8"/>
        <v>0.13905849027638281</v>
      </c>
      <c r="AC39" s="636">
        <f t="shared" si="84"/>
        <v>1</v>
      </c>
      <c r="AD39" s="637">
        <f t="shared" si="115"/>
        <v>-0.11503337117976943</v>
      </c>
      <c r="AE39" s="629">
        <f t="shared" si="85"/>
        <v>0.9835802253995708</v>
      </c>
      <c r="AF39" s="633">
        <f t="shared" si="86"/>
        <v>0.13905849027638281</v>
      </c>
      <c r="AG39" s="602">
        <f t="shared" si="87"/>
        <v>98.047139203338389</v>
      </c>
      <c r="AH39" s="603">
        <f t="shared" si="88"/>
        <v>96.605549850322703</v>
      </c>
      <c r="AI39" s="585">
        <f t="shared" si="89"/>
        <v>-97.993368810649741</v>
      </c>
      <c r="AJ39" s="586">
        <f t="shared" si="90"/>
        <v>-173.32934911949391</v>
      </c>
      <c r="AK39" s="635">
        <f t="shared" si="211"/>
        <v>-0.95225809993334698</v>
      </c>
      <c r="AL39" s="629">
        <f t="shared" si="91"/>
        <v>0.27178529649961758</v>
      </c>
      <c r="AM39" s="634">
        <f t="shared" si="92"/>
        <v>0.13905849027638281</v>
      </c>
      <c r="AN39" s="581">
        <f t="shared" si="93"/>
        <v>117.09647941408109</v>
      </c>
      <c r="AO39" s="582">
        <f t="shared" si="94"/>
        <v>162.22413913633659</v>
      </c>
      <c r="AP39" s="585">
        <f t="shared" si="95"/>
        <v>164.07065088050609</v>
      </c>
      <c r="AQ39" s="586">
        <f t="shared" si="9"/>
        <v>0.31182263800441756</v>
      </c>
      <c r="AS39" s="52">
        <f t="shared" si="116"/>
        <v>-67.399999999999977</v>
      </c>
      <c r="AT39" s="72">
        <f t="shared" si="10"/>
        <v>-0.86809444444444439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2.13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7.2315124010238074</v>
      </c>
      <c r="C40" s="708">
        <v>2.9349425469400394</v>
      </c>
      <c r="D40" s="709">
        <v>-1.4608000000000001</v>
      </c>
      <c r="E40" s="710">
        <v>7.1790188117652629E-2</v>
      </c>
      <c r="F40" s="708">
        <v>-0.99419305741532771</v>
      </c>
      <c r="G40" s="711">
        <v>-8.0164415280067458E-2</v>
      </c>
      <c r="H40" s="710">
        <v>0.314</v>
      </c>
      <c r="I40" s="708">
        <v>0.52</v>
      </c>
      <c r="J40" s="570">
        <v>2.133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2.133</v>
      </c>
      <c r="N40" s="632">
        <f t="shared" si="2"/>
        <v>7.2315124010238074</v>
      </c>
      <c r="O40" s="629">
        <f t="shared" si="3"/>
        <v>2.9349425469400394</v>
      </c>
      <c r="P40" s="633">
        <f t="shared" si="4"/>
        <v>-1.4608000000000001</v>
      </c>
      <c r="Q40" s="585">
        <f t="shared" si="113"/>
        <v>22.090000000000018</v>
      </c>
      <c r="R40" s="629">
        <f t="shared" si="79"/>
        <v>7.8044000000000002</v>
      </c>
      <c r="S40" s="634">
        <f t="shared" si="80"/>
        <v>-1.4608000000000001</v>
      </c>
      <c r="T40" s="635">
        <f t="shared" si="81"/>
        <v>2.9349425469400421</v>
      </c>
      <c r="U40" s="629">
        <f t="shared" si="82"/>
        <v>-7.2315124010238074</v>
      </c>
      <c r="V40" s="636">
        <f t="shared" si="114"/>
        <v>-1.4608000000000001</v>
      </c>
      <c r="W40" s="585">
        <f t="shared" si="224"/>
        <v>292.09000000000003</v>
      </c>
      <c r="X40" s="629">
        <f t="shared" si="83"/>
        <v>7.8044000000000002</v>
      </c>
      <c r="Y40" s="630">
        <f t="shared" si="223"/>
        <v>-1.4608000000000001</v>
      </c>
      <c r="Z40" s="632">
        <f t="shared" si="6"/>
        <v>-7.1790188117652629E-2</v>
      </c>
      <c r="AA40" s="629">
        <f t="shared" si="7"/>
        <v>0.99419305741532771</v>
      </c>
      <c r="AB40" s="629">
        <f t="shared" si="8"/>
        <v>8.0164415280067458E-2</v>
      </c>
      <c r="AC40" s="636">
        <f t="shared" si="84"/>
        <v>1</v>
      </c>
      <c r="AD40" s="637">
        <f t="shared" si="115"/>
        <v>-7.1790188117652629E-2</v>
      </c>
      <c r="AE40" s="629">
        <f t="shared" si="85"/>
        <v>0.99419305741532771</v>
      </c>
      <c r="AF40" s="633">
        <f t="shared" si="86"/>
        <v>8.0164415280067458E-2</v>
      </c>
      <c r="AG40" s="602">
        <f t="shared" si="87"/>
        <v>94.609936787951654</v>
      </c>
      <c r="AH40" s="603">
        <f t="shared" si="88"/>
        <v>94.116816196333303</v>
      </c>
      <c r="AI40" s="585">
        <f t="shared" si="89"/>
        <v>-94.598016390455186</v>
      </c>
      <c r="AJ40" s="586">
        <f t="shared" si="90"/>
        <v>-175.86986865443896</v>
      </c>
      <c r="AK40" s="635">
        <f t="shared" si="211"/>
        <v>-0.94821120153631855</v>
      </c>
      <c r="AL40" s="629">
        <f t="shared" si="91"/>
        <v>0.30735839634514028</v>
      </c>
      <c r="AM40" s="634">
        <f t="shared" si="92"/>
        <v>8.0164415280067458E-2</v>
      </c>
      <c r="AN40" s="581">
        <f t="shared" si="93"/>
        <v>104.61807510564242</v>
      </c>
      <c r="AO40" s="582">
        <f t="shared" si="94"/>
        <v>161.47970495541946</v>
      </c>
      <c r="AP40" s="585">
        <f t="shared" si="95"/>
        <v>162.04013134556098</v>
      </c>
      <c r="AQ40" s="586">
        <f t="shared" si="9"/>
        <v>0.29210533553366902</v>
      </c>
      <c r="AS40" s="52">
        <f t="shared" si="116"/>
        <v>-67.909999999999968</v>
      </c>
      <c r="AT40" s="72">
        <f t="shared" si="10"/>
        <v>-1.4136402777777779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2.133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7.5949154662336795</v>
      </c>
      <c r="C41" s="708">
        <v>3.0223839433077369</v>
      </c>
      <c r="D41" s="709">
        <v>-2.0953999999999993</v>
      </c>
      <c r="E41" s="710">
        <v>-1.9826755235744193E-2</v>
      </c>
      <c r="F41" s="708">
        <v>-0.99715475411112242</v>
      </c>
      <c r="G41" s="711">
        <v>-7.2727547259679809E-2</v>
      </c>
      <c r="H41" s="710">
        <v>0.314</v>
      </c>
      <c r="I41" s="708">
        <v>0.52</v>
      </c>
      <c r="J41" s="570">
        <v>2.1360000000000001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2.1360000000000001</v>
      </c>
      <c r="N41" s="632">
        <f t="shared" ref="N41:N72" si="240">IF(M41="","",B41)</f>
        <v>7.5949154662336795</v>
      </c>
      <c r="O41" s="629">
        <f t="shared" ref="O41:O72" si="241">IF(M41="","",C41)</f>
        <v>3.0223839433077369</v>
      </c>
      <c r="P41" s="633">
        <f t="shared" ref="P41:P72" si="242">IF(M41="","",D41)</f>
        <v>-2.0953999999999993</v>
      </c>
      <c r="Q41" s="585">
        <f t="shared" si="113"/>
        <v>21.700000000000014</v>
      </c>
      <c r="R41" s="629">
        <f t="shared" si="79"/>
        <v>8.174199999999999</v>
      </c>
      <c r="S41" s="634">
        <f t="shared" si="80"/>
        <v>-2.0953999999999993</v>
      </c>
      <c r="T41" s="635">
        <f t="shared" si="81"/>
        <v>3.0223839433077302</v>
      </c>
      <c r="U41" s="629">
        <f t="shared" si="82"/>
        <v>-7.5949154662336831</v>
      </c>
      <c r="V41" s="636">
        <f t="shared" si="114"/>
        <v>-2.0953999999999993</v>
      </c>
      <c r="W41" s="585">
        <f t="shared" si="224"/>
        <v>291.7</v>
      </c>
      <c r="X41" s="629">
        <f t="shared" si="83"/>
        <v>8.174199999999999</v>
      </c>
      <c r="Y41" s="630">
        <f t="shared" si="223"/>
        <v>-2.0953999999999993</v>
      </c>
      <c r="Z41" s="632">
        <f t="shared" ref="Z41:Z72" si="243">IF(M41="","",-E41)</f>
        <v>1.9826755235744193E-2</v>
      </c>
      <c r="AA41" s="629">
        <f t="shared" ref="AA41:AA72" si="244">IF(M41="","",-F41)</f>
        <v>0.99715475411112242</v>
      </c>
      <c r="AB41" s="629">
        <f t="shared" ref="AB41:AB72" si="245">IF(M41="","",-G41)</f>
        <v>7.2727547259679809E-2</v>
      </c>
      <c r="AC41" s="636">
        <f t="shared" si="84"/>
        <v>1</v>
      </c>
      <c r="AD41" s="637">
        <f t="shared" si="115"/>
        <v>1.9826755235744193E-2</v>
      </c>
      <c r="AE41" s="629">
        <f t="shared" si="85"/>
        <v>0.99715475411112242</v>
      </c>
      <c r="AF41" s="633">
        <f t="shared" si="86"/>
        <v>7.2727547259679809E-2</v>
      </c>
      <c r="AG41" s="602">
        <f t="shared" si="87"/>
        <v>94.171485121125613</v>
      </c>
      <c r="AH41" s="603">
        <f t="shared" si="88"/>
        <v>88.86393616410335</v>
      </c>
      <c r="AI41" s="585">
        <f t="shared" si="89"/>
        <v>-94.17066368317451</v>
      </c>
      <c r="AJ41" s="586">
        <f t="shared" si="90"/>
        <v>178.86091930662712</v>
      </c>
      <c r="AK41" s="635">
        <f t="shared" si="211"/>
        <v>-0.91915808244899844</v>
      </c>
      <c r="AL41" s="629">
        <f t="shared" si="91"/>
        <v>0.38711642091013287</v>
      </c>
      <c r="AM41" s="634">
        <f t="shared" si="92"/>
        <v>7.2727547259679809E-2</v>
      </c>
      <c r="AN41" s="581">
        <f t="shared" si="93"/>
        <v>100.64013125358655</v>
      </c>
      <c r="AO41" s="582">
        <f t="shared" si="94"/>
        <v>156.80330804303622</v>
      </c>
      <c r="AP41" s="585">
        <f t="shared" si="95"/>
        <v>157.16091930662714</v>
      </c>
      <c r="AQ41" s="586">
        <f t="shared" ref="AQ41:AQ72" si="246">IF(M41="","",DEGREES(ATAN(($AS$5*SIN(RADIANS(90)))/(($X41*2*PI())-($AS$5*COS(RADIANS(90)))))))</f>
        <v>0.27889073270596382</v>
      </c>
      <c r="AS41" s="52">
        <f t="shared" si="116"/>
        <v>-68.300000000000011</v>
      </c>
      <c r="AT41" s="72">
        <f t="shared" ref="AT41:AT72" si="247">IF(M41="","",Y41+(((AS41-$AS$9)*$AS$6)*-1))</f>
        <v>-2.0479694444444436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2.1360000000000001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7.8249283361514719</v>
      </c>
      <c r="C42" s="708">
        <v>3.0523854891041822</v>
      </c>
      <c r="D42" s="709">
        <v>-2.7900000000000005</v>
      </c>
      <c r="E42" s="710">
        <v>-0.11108631029381262</v>
      </c>
      <c r="F42" s="708">
        <v>-0.99268906475816121</v>
      </c>
      <c r="G42" s="711">
        <v>-4.7204368175774093E-2</v>
      </c>
      <c r="H42" s="710">
        <v>0.314</v>
      </c>
      <c r="I42" s="708">
        <v>0.52</v>
      </c>
      <c r="J42" s="570">
        <v>2.1389999999999998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2.1389999999999998</v>
      </c>
      <c r="N42" s="632">
        <f t="shared" si="240"/>
        <v>7.8249283361514719</v>
      </c>
      <c r="O42" s="629">
        <f t="shared" si="241"/>
        <v>3.0523854891041822</v>
      </c>
      <c r="P42" s="633">
        <f t="shared" si="242"/>
        <v>-2.7900000000000005</v>
      </c>
      <c r="Q42" s="585">
        <f t="shared" si="113"/>
        <v>21.310000000000013</v>
      </c>
      <c r="R42" s="629">
        <f t="shared" ref="R42:R47" si="385">IF(M42="","",SQRT(N42^2+O42^2))</f>
        <v>8.3992000000000022</v>
      </c>
      <c r="S42" s="634">
        <f t="shared" ref="S42:S47" si="386">IF(M42="","",P42)</f>
        <v>-2.7900000000000005</v>
      </c>
      <c r="T42" s="635">
        <f t="shared" ref="T42:T47" si="387">IF(M42="","",X42*COS(RADIANS(W42)))</f>
        <v>3.0523854891041791</v>
      </c>
      <c r="U42" s="629">
        <f t="shared" ref="U42:U47" si="388">IF(M42="","",X42*SIN(RADIANS(W42)))</f>
        <v>-7.8249283361514737</v>
      </c>
      <c r="V42" s="636">
        <f t="shared" ref="V42:V47" si="389">IF(M42="","",Y42)</f>
        <v>-2.7900000000000005</v>
      </c>
      <c r="W42" s="585">
        <f t="shared" si="224"/>
        <v>291.31</v>
      </c>
      <c r="X42" s="629">
        <f t="shared" ref="X42:X47" si="390">IF(M42="","",R42)</f>
        <v>8.3992000000000022</v>
      </c>
      <c r="Y42" s="630">
        <f t="shared" si="223"/>
        <v>-2.7900000000000005</v>
      </c>
      <c r="Z42" s="632">
        <f t="shared" si="243"/>
        <v>0.11108631029381262</v>
      </c>
      <c r="AA42" s="629">
        <f t="shared" si="244"/>
        <v>0.99268906475816121</v>
      </c>
      <c r="AB42" s="629">
        <f t="shared" si="245"/>
        <v>4.7204368175774093E-2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0.11108631029381262</v>
      </c>
      <c r="AE42" s="629">
        <f t="shared" ref="AE42:AE47" si="393">IF(M42="","",AA42*(1/SQRT(Z42^2+AA42^2+AB42^2)))</f>
        <v>0.99268906475816121</v>
      </c>
      <c r="AF42" s="633">
        <f t="shared" ref="AF42:AF47" si="394">IF(M42="","",AB42*(1/SQRT(Z42^2+AA42^2+AB42^2)))</f>
        <v>4.7204368175774093E-2</v>
      </c>
      <c r="AG42" s="602">
        <f t="shared" ref="AG42:AG47" si="395">IF(M42="","",DEGREES(ATAN2(-AF42,AE42)))</f>
        <v>92.722479150622107</v>
      </c>
      <c r="AH42" s="603">
        <f t="shared" ref="AH42:AH47" si="396">IF(M42="","",DEGREES(ACOS(AD42)))</f>
        <v>83.622059625279391</v>
      </c>
      <c r="AI42" s="585">
        <f t="shared" ref="AI42:AI47" si="397">IF(M42="","",DEGREES(-ACOS(-AF42)))</f>
        <v>-92.705616505549983</v>
      </c>
      <c r="AJ42" s="586">
        <f t="shared" ref="AJ42:AJ47" si="398">IF(M42="","",DEGREES(ATAN2(-AE42,AD42)))</f>
        <v>173.6149123020875</v>
      </c>
      <c r="AK42" s="635">
        <f t="shared" ref="AK42:AK47" si="399">IF(M42="","",(COS(RADIANS((90-$Q$8)-W42))*AD42)+(-SIN(RADIANS((90-$Q$8)-W42))*AE42))</f>
        <v>-0.88444644135571027</v>
      </c>
      <c r="AL42" s="629">
        <f t="shared" ref="AL42:AL47" si="400">IF(M42="","",(SIN(RADIANS((90-$Q$8)-W42))*AD42)+(COS(RADIANS((90-$Q$8)-W42))*AE42))</f>
        <v>0.46424803715077367</v>
      </c>
      <c r="AM42" s="634">
        <f t="shared" ref="AM42:AM47" si="401">IF(M42="","",AF42)</f>
        <v>4.7204368175774093E-2</v>
      </c>
      <c r="AN42" s="581">
        <f t="shared" ref="AN42:AN47" si="402">IF(M42="","",DEGREES(ATAN2(-AM42,AL42)))</f>
        <v>95.805835600042741</v>
      </c>
      <c r="AO42" s="582">
        <f t="shared" si="94"/>
        <v>152.1834769817514</v>
      </c>
      <c r="AP42" s="585">
        <f t="shared" ref="AP42:AP47" si="403">IF(M42="","",DEGREES(ATAN2(AK42,AL42)))</f>
        <v>152.3049123020875</v>
      </c>
      <c r="AQ42" s="586">
        <f t="shared" si="246"/>
        <v>0.27141984700680455</v>
      </c>
      <c r="AS42" s="52">
        <f t="shared" si="116"/>
        <v>-68.69</v>
      </c>
      <c r="AT42" s="72">
        <f t="shared" si="247"/>
        <v>-2.7422986111111114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2.1389999999999998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7.9829123889401563</v>
      </c>
      <c r="C43" s="708">
        <v>3.0739483210531926</v>
      </c>
      <c r="D43" s="709">
        <v>-3.4742999999999999</v>
      </c>
      <c r="E43" s="710">
        <v>-0.19590709923398722</v>
      </c>
      <c r="F43" s="708">
        <v>-0.98060259737309041</v>
      </c>
      <c r="G43" s="711">
        <v>-6.2413536090727946E-3</v>
      </c>
      <c r="H43" s="710">
        <v>0.26600000000000001</v>
      </c>
      <c r="I43" s="708">
        <v>0.52</v>
      </c>
      <c r="J43" s="570">
        <v>2.1419999999999999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2.1419999999999999</v>
      </c>
      <c r="N43" s="632">
        <f t="shared" si="240"/>
        <v>7.9829123889401563</v>
      </c>
      <c r="O43" s="629">
        <f t="shared" si="241"/>
        <v>3.0739483210531926</v>
      </c>
      <c r="P43" s="633">
        <f t="shared" si="242"/>
        <v>-3.4742999999999999</v>
      </c>
      <c r="Q43" s="585">
        <f t="shared" si="113"/>
        <v>21.060000000000016</v>
      </c>
      <c r="R43" s="629">
        <f t="shared" si="385"/>
        <v>8.5542999999999978</v>
      </c>
      <c r="S43" s="634">
        <f t="shared" si="386"/>
        <v>-3.4742999999999999</v>
      </c>
      <c r="T43" s="635">
        <f t="shared" si="387"/>
        <v>3.0739483210531904</v>
      </c>
      <c r="U43" s="629">
        <f t="shared" si="388"/>
        <v>-7.9829123889401563</v>
      </c>
      <c r="V43" s="636">
        <f t="shared" si="389"/>
        <v>-3.4742999999999999</v>
      </c>
      <c r="W43" s="585">
        <f t="shared" si="224"/>
        <v>291.06</v>
      </c>
      <c r="X43" s="629">
        <f t="shared" si="390"/>
        <v>8.5542999999999978</v>
      </c>
      <c r="Y43" s="630">
        <f t="shared" si="223"/>
        <v>-3.4742999999999999</v>
      </c>
      <c r="Z43" s="632">
        <f t="shared" si="243"/>
        <v>0.19590709923398722</v>
      </c>
      <c r="AA43" s="629">
        <f t="shared" si="244"/>
        <v>0.98060259737309041</v>
      </c>
      <c r="AB43" s="629">
        <f t="shared" si="245"/>
        <v>6.2413536090727946E-3</v>
      </c>
      <c r="AC43" s="636">
        <f t="shared" si="391"/>
        <v>1</v>
      </c>
      <c r="AD43" s="637">
        <f t="shared" si="392"/>
        <v>0.19590709923398722</v>
      </c>
      <c r="AE43" s="629">
        <f t="shared" si="393"/>
        <v>0.98060259737309041</v>
      </c>
      <c r="AF43" s="633">
        <f t="shared" si="394"/>
        <v>6.2413536090727946E-3</v>
      </c>
      <c r="AG43" s="602">
        <f t="shared" si="395"/>
        <v>90.364672082641377</v>
      </c>
      <c r="AH43" s="603">
        <f t="shared" si="396"/>
        <v>78.702281329655392</v>
      </c>
      <c r="AI43" s="585">
        <f t="shared" si="397"/>
        <v>-90.357605541998112</v>
      </c>
      <c r="AJ43" s="586">
        <f t="shared" si="398"/>
        <v>168.70205837763643</v>
      </c>
      <c r="AK43" s="635">
        <f t="shared" si="399"/>
        <v>-0.84470457248679898</v>
      </c>
      <c r="AL43" s="629">
        <f t="shared" si="400"/>
        <v>0.53519644124846399</v>
      </c>
      <c r="AM43" s="634">
        <f t="shared" si="401"/>
        <v>6.2413536090727946E-3</v>
      </c>
      <c r="AN43" s="581">
        <f t="shared" si="402"/>
        <v>90.668141607371297</v>
      </c>
      <c r="AO43" s="582">
        <f t="shared" si="94"/>
        <v>147.64029706870994</v>
      </c>
      <c r="AP43" s="585">
        <f t="shared" si="403"/>
        <v>147.6420583776364</v>
      </c>
      <c r="AQ43" s="586">
        <f t="shared" si="246"/>
        <v>0.26649874235745857</v>
      </c>
      <c r="AS43" s="52">
        <f t="shared" ref="AS43:AS74" si="406">IF(G43="","",IF(AND(W43&lt;(AS42+180),W43&gt;(AS42-180)),W43,IF(W43&gt;(AS42+180),W43-360,IF(W43&lt;(AS42-180),W43+360,"Error"))))</f>
        <v>-68.94</v>
      </c>
      <c r="AT43" s="72">
        <f t="shared" si="247"/>
        <v>-3.4264250000000001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2.1419999999999999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1313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7.9850564641481139</v>
      </c>
      <c r="C44" s="708">
        <v>3.0683744481999589</v>
      </c>
      <c r="D44" s="709">
        <v>-4.1595000000000004</v>
      </c>
      <c r="E44" s="710">
        <v>-0.19728243740109921</v>
      </c>
      <c r="F44" s="708">
        <v>-0.98033657244644923</v>
      </c>
      <c r="G44" s="711">
        <v>-4.4547297369491408E-3</v>
      </c>
      <c r="H44" s="710">
        <v>0.26600000000000001</v>
      </c>
      <c r="I44" s="708">
        <v>0.52</v>
      </c>
      <c r="J44" s="570">
        <v>2.145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2.145</v>
      </c>
      <c r="N44" s="632">
        <f t="shared" si="240"/>
        <v>7.9850564641481139</v>
      </c>
      <c r="O44" s="629">
        <f t="shared" si="241"/>
        <v>3.0683744481999589</v>
      </c>
      <c r="P44" s="633">
        <f t="shared" si="242"/>
        <v>-4.1595000000000004</v>
      </c>
      <c r="Q44" s="585">
        <f t="shared" si="113"/>
        <v>21.020000000000007</v>
      </c>
      <c r="R44" s="629">
        <f t="shared" si="385"/>
        <v>8.5542999999999996</v>
      </c>
      <c r="S44" s="634">
        <f t="shared" si="386"/>
        <v>-4.1595000000000004</v>
      </c>
      <c r="T44" s="635">
        <f t="shared" si="387"/>
        <v>3.0683744481999518</v>
      </c>
      <c r="U44" s="629">
        <f t="shared" si="388"/>
        <v>-7.9850564641481165</v>
      </c>
      <c r="V44" s="636">
        <f t="shared" si="389"/>
        <v>-4.1595000000000004</v>
      </c>
      <c r="W44" s="585">
        <f t="shared" si="224"/>
        <v>291.02</v>
      </c>
      <c r="X44" s="629">
        <f t="shared" si="390"/>
        <v>8.5542999999999996</v>
      </c>
      <c r="Y44" s="630">
        <f t="shared" si="223"/>
        <v>-4.1595000000000004</v>
      </c>
      <c r="Z44" s="632">
        <f t="shared" si="243"/>
        <v>0.19728243740109921</v>
      </c>
      <c r="AA44" s="629">
        <f t="shared" si="244"/>
        <v>0.98033657244644923</v>
      </c>
      <c r="AB44" s="629">
        <f t="shared" si="245"/>
        <v>4.4547297369491408E-3</v>
      </c>
      <c r="AC44" s="636">
        <f t="shared" si="391"/>
        <v>1</v>
      </c>
      <c r="AD44" s="637">
        <f t="shared" si="392"/>
        <v>0.19728243740109921</v>
      </c>
      <c r="AE44" s="629">
        <f t="shared" si="393"/>
        <v>0.98033657244644923</v>
      </c>
      <c r="AF44" s="633">
        <f t="shared" si="394"/>
        <v>4.4547297369491408E-3</v>
      </c>
      <c r="AG44" s="602">
        <f t="shared" si="395"/>
        <v>90.260354926280911</v>
      </c>
      <c r="AH44" s="603">
        <f t="shared" si="396"/>
        <v>78.62191182530043</v>
      </c>
      <c r="AI44" s="585">
        <f t="shared" si="397"/>
        <v>-90.25523805698694</v>
      </c>
      <c r="AJ44" s="586">
        <f t="shared" si="398"/>
        <v>168.62179741881442</v>
      </c>
      <c r="AK44" s="635">
        <f t="shared" si="399"/>
        <v>-0.84433635655216555</v>
      </c>
      <c r="AL44" s="629">
        <f t="shared" si="400"/>
        <v>0.53579499100606121</v>
      </c>
      <c r="AM44" s="634">
        <f t="shared" si="401"/>
        <v>4.4547297369491408E-3</v>
      </c>
      <c r="AN44" s="581">
        <f t="shared" si="402"/>
        <v>90.476360055799134</v>
      </c>
      <c r="AO44" s="582">
        <f t="shared" si="94"/>
        <v>147.600901540542</v>
      </c>
      <c r="AP44" s="585">
        <f t="shared" si="403"/>
        <v>147.60179741881447</v>
      </c>
      <c r="AQ44" s="586">
        <f t="shared" si="246"/>
        <v>0.26649874235745852</v>
      </c>
      <c r="AS44" s="52">
        <f t="shared" si="406"/>
        <v>-68.980000000000018</v>
      </c>
      <c r="AT44" s="72">
        <f t="shared" si="247"/>
        <v>-4.1115972222222226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2.145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1313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4.203282215181356</v>
      </c>
      <c r="C45" s="708">
        <v>0.73819932084280671</v>
      </c>
      <c r="D45" s="709">
        <v>-0.17623378580576415</v>
      </c>
      <c r="E45" s="710">
        <v>-3.9230324720631807E-8</v>
      </c>
      <c r="F45" s="708">
        <v>2.2337615538003783E-7</v>
      </c>
      <c r="G45" s="711">
        <v>0.99999999999997435</v>
      </c>
      <c r="H45" s="710">
        <v>0.26250000000000001</v>
      </c>
      <c r="I45" s="708">
        <v>0.40699999999999997</v>
      </c>
      <c r="J45" s="570">
        <v>2.2170000000000001</v>
      </c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Inactive</v>
      </c>
      <c r="L45" s="320"/>
      <c r="M45" s="168">
        <f t="shared" si="239"/>
        <v>2.2170000000000001</v>
      </c>
      <c r="N45" s="632">
        <f t="shared" si="240"/>
        <v>4.203282215181356</v>
      </c>
      <c r="O45" s="629">
        <f t="shared" si="241"/>
        <v>0.73819932084280671</v>
      </c>
      <c r="P45" s="633">
        <f t="shared" si="242"/>
        <v>-0.17623378580576415</v>
      </c>
      <c r="Q45" s="585">
        <f t="shared" si="113"/>
        <v>9.9609595786385814</v>
      </c>
      <c r="R45" s="629">
        <f t="shared" si="385"/>
        <v>4.2676128711204191</v>
      </c>
      <c r="S45" s="634">
        <f t="shared" si="386"/>
        <v>-0.17623378580576415</v>
      </c>
      <c r="T45" s="635">
        <f t="shared" si="387"/>
        <v>0.73819932084280793</v>
      </c>
      <c r="U45" s="629">
        <f t="shared" si="388"/>
        <v>-4.2032822151813551</v>
      </c>
      <c r="V45" s="636">
        <f t="shared" si="389"/>
        <v>-0.17623378580576415</v>
      </c>
      <c r="W45" s="585">
        <f t="shared" si="224"/>
        <v>279.96095957863861</v>
      </c>
      <c r="X45" s="629">
        <f t="shared" si="390"/>
        <v>4.2676128711204191</v>
      </c>
      <c r="Y45" s="630">
        <f t="shared" si="223"/>
        <v>-0.17623378580576415</v>
      </c>
      <c r="Z45" s="632">
        <f t="shared" si="243"/>
        <v>3.9230324720631807E-8</v>
      </c>
      <c r="AA45" s="629">
        <f t="shared" si="244"/>
        <v>-2.2337615538003783E-7</v>
      </c>
      <c r="AB45" s="629">
        <f t="shared" si="245"/>
        <v>-0.99999999999997435</v>
      </c>
      <c r="AC45" s="636">
        <f t="shared" si="391"/>
        <v>1</v>
      </c>
      <c r="AD45" s="637">
        <f t="shared" si="392"/>
        <v>3.9230324720631807E-8</v>
      </c>
      <c r="AE45" s="629">
        <f t="shared" si="393"/>
        <v>-2.2337615538003783E-7</v>
      </c>
      <c r="AF45" s="633">
        <f t="shared" si="394"/>
        <v>-0.99999999999997435</v>
      </c>
      <c r="AG45" s="602">
        <f t="shared" si="395"/>
        <v>-1.2798510947134781E-5</v>
      </c>
      <c r="AH45" s="603">
        <f t="shared" si="396"/>
        <v>89.999997752267959</v>
      </c>
      <c r="AI45" s="585">
        <f t="shared" si="397"/>
        <v>-1.2976235990044085E-5</v>
      </c>
      <c r="AJ45" s="586">
        <f t="shared" si="398"/>
        <v>9.9609595786385814</v>
      </c>
      <c r="AK45" s="635">
        <f t="shared" si="399"/>
        <v>2.2679489670196069E-7</v>
      </c>
      <c r="AL45" s="629">
        <f t="shared" si="400"/>
        <v>-7.2791893904666435E-23</v>
      </c>
      <c r="AM45" s="634">
        <f t="shared" si="401"/>
        <v>-0.99999999999997435</v>
      </c>
      <c r="AN45" s="581">
        <f t="shared" si="402"/>
        <v>-4.1706683035015564E-21</v>
      </c>
      <c r="AO45" s="582">
        <f t="shared" si="94"/>
        <v>0</v>
      </c>
      <c r="AP45" s="585">
        <f t="shared" si="403"/>
        <v>-1.8389603840964171E-14</v>
      </c>
      <c r="AQ45" s="586">
        <f t="shared" si="246"/>
        <v>0.53417698566364258</v>
      </c>
      <c r="AS45" s="52">
        <f t="shared" si="406"/>
        <v>-80.039040421361392</v>
      </c>
      <c r="AT45" s="72">
        <f t="shared" si="247"/>
        <v>-0.12065111884648541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Nose</v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2.2170000000000001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0.11700000000000001</v>
      </c>
      <c r="II45" s="734" cm="1">
        <f t="array" ref="II45">IFERROR(ROUND(VALUE(IF($IH45&lt;1,$IH45+LARGE((IF($M$9:$M$150="",0,$M$9:$M$150)-MOD(IF($M$9:$M$150="",0,$M$9:$M$150),1)),1),$IH45)),4),"")</f>
        <v>6.117</v>
      </c>
      <c r="IJ45" s="533">
        <f t="shared" si="112"/>
        <v>1613</v>
      </c>
      <c r="IK45" s="533" t="str">
        <f t="shared" si="382"/>
        <v>Inactive</v>
      </c>
      <c r="IL45" s="727">
        <f t="shared" si="225"/>
        <v>134.93904042136137</v>
      </c>
      <c r="IM45" s="759">
        <v>5.8274655824944503E-2</v>
      </c>
      <c r="IN45" s="5">
        <f t="shared" si="226"/>
        <v>0.18</v>
      </c>
      <c r="IO45" s="771">
        <v>90</v>
      </c>
      <c r="IP45" s="9">
        <f t="shared" si="227"/>
        <v>-4.2675999999999989</v>
      </c>
      <c r="IQ45" s="5">
        <f t="shared" si="228"/>
        <v>-0.1552</v>
      </c>
      <c r="IR45" s="5">
        <f t="shared" si="383"/>
        <v>0.314</v>
      </c>
      <c r="IS45" s="5">
        <f t="shared" si="229"/>
        <v>-0.30319115918242118</v>
      </c>
      <c r="IT45" s="727">
        <f t="shared" si="230"/>
        <v>-174.06973140637589</v>
      </c>
      <c r="IU45" s="9">
        <f t="shared" si="231"/>
        <v>-4.2676128711204191</v>
      </c>
      <c r="IV45" s="5">
        <f t="shared" si="232"/>
        <v>-0.17623378580576415</v>
      </c>
      <c r="IW45" s="5">
        <f t="shared" si="384"/>
        <v>0.26250000000000001</v>
      </c>
      <c r="IX45" s="5">
        <f t="shared" si="233"/>
        <v>0.26250000000000001</v>
      </c>
      <c r="IY45" s="762">
        <f t="shared" si="234"/>
        <v>4.1706683035015564E-21</v>
      </c>
    </row>
    <row r="46" spans="1:267" ht="15" customHeight="1" x14ac:dyDescent="0.25">
      <c r="A46" s="79"/>
      <c r="B46" s="707">
        <v>4.9596126886270708</v>
      </c>
      <c r="C46" s="708">
        <v>0.88477764680985438</v>
      </c>
      <c r="D46" s="709">
        <v>-8.0993715228377963E-2</v>
      </c>
      <c r="E46" s="710">
        <v>-3.9830574189809791E-8</v>
      </c>
      <c r="F46" s="708">
        <v>2.2326990511454793E-7</v>
      </c>
      <c r="G46" s="711">
        <v>0.99999999999997435</v>
      </c>
      <c r="H46" s="710">
        <v>0.26250000000000001</v>
      </c>
      <c r="I46" s="708">
        <v>0.40699999999999997</v>
      </c>
      <c r="J46" s="570">
        <v>2.2200000000000002</v>
      </c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Inactive</v>
      </c>
      <c r="L46" s="320"/>
      <c r="M46" s="168">
        <f t="shared" si="239"/>
        <v>2.2200000000000002</v>
      </c>
      <c r="N46" s="632">
        <f t="shared" si="240"/>
        <v>4.9596126886270708</v>
      </c>
      <c r="O46" s="629">
        <f t="shared" si="241"/>
        <v>0.88477764680985438</v>
      </c>
      <c r="P46" s="633">
        <f t="shared" si="242"/>
        <v>-8.0993715228377963E-2</v>
      </c>
      <c r="Q46" s="585">
        <f t="shared" si="113"/>
        <v>10.114959556403738</v>
      </c>
      <c r="R46" s="629">
        <f t="shared" si="385"/>
        <v>5.0379151943522258</v>
      </c>
      <c r="S46" s="634">
        <f t="shared" si="386"/>
        <v>-8.0993715228377963E-2</v>
      </c>
      <c r="T46" s="635">
        <f t="shared" si="387"/>
        <v>0.88477764680985149</v>
      </c>
      <c r="U46" s="629">
        <f t="shared" si="388"/>
        <v>-4.9596126886270708</v>
      </c>
      <c r="V46" s="636">
        <f t="shared" si="389"/>
        <v>-8.0993715228377963E-2</v>
      </c>
      <c r="W46" s="585">
        <f t="shared" si="224"/>
        <v>280.11495955640373</v>
      </c>
      <c r="X46" s="629">
        <f t="shared" si="390"/>
        <v>5.0379151943522258</v>
      </c>
      <c r="Y46" s="630">
        <f t="shared" si="223"/>
        <v>-8.0993715228377963E-2</v>
      </c>
      <c r="Z46" s="632">
        <f t="shared" si="243"/>
        <v>3.9830574189809791E-8</v>
      </c>
      <c r="AA46" s="629">
        <f t="shared" si="244"/>
        <v>-2.2326990511454793E-7</v>
      </c>
      <c r="AB46" s="629">
        <f t="shared" si="245"/>
        <v>-0.99999999999997435</v>
      </c>
      <c r="AC46" s="636">
        <f t="shared" si="391"/>
        <v>1</v>
      </c>
      <c r="AD46" s="637">
        <f t="shared" si="392"/>
        <v>3.9830574189809791E-8</v>
      </c>
      <c r="AE46" s="629">
        <f t="shared" si="393"/>
        <v>-2.2326990511454793E-7</v>
      </c>
      <c r="AF46" s="633">
        <f t="shared" si="394"/>
        <v>-0.99999999999997435</v>
      </c>
      <c r="AG46" s="602">
        <f t="shared" si="395"/>
        <v>-1.2792423255350065E-5</v>
      </c>
      <c r="AH46" s="603">
        <f t="shared" si="396"/>
        <v>89.999997717876198</v>
      </c>
      <c r="AI46" s="585">
        <f t="shared" si="397"/>
        <v>-1.2976235990044085E-5</v>
      </c>
      <c r="AJ46" s="586">
        <f t="shared" si="398"/>
        <v>10.114959551207249</v>
      </c>
      <c r="AK46" s="635">
        <f t="shared" si="399"/>
        <v>2.2679489670217266E-7</v>
      </c>
      <c r="AL46" s="629">
        <f t="shared" si="400"/>
        <v>-2.0569215742225421E-17</v>
      </c>
      <c r="AM46" s="634">
        <f t="shared" si="401"/>
        <v>-0.99999999999997435</v>
      </c>
      <c r="AN46" s="581">
        <f t="shared" si="402"/>
        <v>-1.1785292499235998E-15</v>
      </c>
      <c r="AO46" s="582">
        <f t="shared" si="94"/>
        <v>0</v>
      </c>
      <c r="AP46" s="585">
        <f t="shared" si="403"/>
        <v>-5.1964540078307656E-9</v>
      </c>
      <c r="AQ46" s="586">
        <f t="shared" si="246"/>
        <v>0.4525044875886246</v>
      </c>
      <c r="AS46" s="52">
        <f t="shared" si="406"/>
        <v>-79.885040443596267</v>
      </c>
      <c r="AT46" s="72">
        <f t="shared" si="247"/>
        <v>-2.5517992698102773E-2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Nose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2.2200000000000002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0.12</v>
      </c>
      <c r="II46" s="734" cm="1">
        <f t="array" ref="II46">IFERROR(ROUND(VALUE(IF($IH46&lt;1,$IH46+LARGE((IF($M$9:$M$150="",0,$M$9:$M$150)-MOD(IF($M$9:$M$150="",0,$M$9:$M$150),1)),1),$IH46)),4),"")</f>
        <v>6.12</v>
      </c>
      <c r="IJ46" s="533">
        <f t="shared" si="112"/>
        <v>1613</v>
      </c>
      <c r="IK46" s="533" t="str">
        <f t="shared" si="382"/>
        <v>Inactive</v>
      </c>
      <c r="IL46" s="727">
        <f t="shared" si="225"/>
        <v>134.40504044359625</v>
      </c>
      <c r="IM46" s="759">
        <v>5.6634669721999001E-2</v>
      </c>
      <c r="IN46" s="5">
        <f t="shared" si="226"/>
        <v>0.18</v>
      </c>
      <c r="IO46" s="771">
        <v>90</v>
      </c>
      <c r="IP46" s="9">
        <f t="shared" si="227"/>
        <v>-5.0378999999999987</v>
      </c>
      <c r="IQ46" s="5">
        <f t="shared" si="228"/>
        <v>-0.06</v>
      </c>
      <c r="IR46" s="5">
        <f t="shared" si="383"/>
        <v>0.314</v>
      </c>
      <c r="IS46" s="5">
        <f t="shared" si="229"/>
        <v>-0.30270884409817184</v>
      </c>
      <c r="IT46" s="727">
        <f t="shared" si="230"/>
        <v>-166.41060133741146</v>
      </c>
      <c r="IU46" s="9">
        <f t="shared" si="231"/>
        <v>-5.0379151943522258</v>
      </c>
      <c r="IV46" s="5">
        <f t="shared" si="232"/>
        <v>-8.0993715228377963E-2</v>
      </c>
      <c r="IW46" s="5">
        <f t="shared" si="384"/>
        <v>0.26250000000000001</v>
      </c>
      <c r="IX46" s="5">
        <f t="shared" si="233"/>
        <v>0.26250000000000001</v>
      </c>
      <c r="IY46" s="762">
        <f t="shared" si="234"/>
        <v>1.1785292499235998E-15</v>
      </c>
    </row>
    <row r="47" spans="1:267" ht="15" customHeight="1" x14ac:dyDescent="0.25">
      <c r="A47" s="79"/>
      <c r="B47" s="707">
        <v>5.6963883114284393</v>
      </c>
      <c r="C47" s="708">
        <v>0.97461830841785113</v>
      </c>
      <c r="D47" s="709">
        <v>-0.16006189538107432</v>
      </c>
      <c r="E47" s="710">
        <v>0.15079457706204499</v>
      </c>
      <c r="F47" s="708">
        <v>2.5800289282338608E-2</v>
      </c>
      <c r="G47" s="711">
        <v>0.98822838483906483</v>
      </c>
      <c r="H47" s="710">
        <v>0.26250000000000001</v>
      </c>
      <c r="I47" s="708">
        <v>0.40699999999999997</v>
      </c>
      <c r="J47" s="570">
        <v>2.2229999999999999</v>
      </c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Inactive</v>
      </c>
      <c r="L47" s="320"/>
      <c r="M47" s="168">
        <f t="shared" si="239"/>
        <v>2.2229999999999999</v>
      </c>
      <c r="N47" s="632">
        <f t="shared" si="240"/>
        <v>5.6963883114284393</v>
      </c>
      <c r="O47" s="629">
        <f t="shared" si="241"/>
        <v>0.97461830841785113</v>
      </c>
      <c r="P47" s="633">
        <f t="shared" si="242"/>
        <v>-0.16006189538107432</v>
      </c>
      <c r="Q47" s="585">
        <f t="shared" si="113"/>
        <v>9.7089596150228754</v>
      </c>
      <c r="R47" s="629">
        <f t="shared" si="385"/>
        <v>5.7791626246093664</v>
      </c>
      <c r="S47" s="634">
        <f t="shared" si="386"/>
        <v>-0.16006189538107432</v>
      </c>
      <c r="T47" s="635">
        <f t="shared" si="387"/>
        <v>0.97461830841785035</v>
      </c>
      <c r="U47" s="629">
        <f t="shared" si="388"/>
        <v>-5.6963883114284402</v>
      </c>
      <c r="V47" s="636">
        <f t="shared" si="389"/>
        <v>-0.16006189538107432</v>
      </c>
      <c r="W47" s="585">
        <f t="shared" si="224"/>
        <v>279.70895961502288</v>
      </c>
      <c r="X47" s="629">
        <f t="shared" si="390"/>
        <v>5.7791626246093664</v>
      </c>
      <c r="Y47" s="630">
        <f t="shared" si="223"/>
        <v>-0.16006189538107432</v>
      </c>
      <c r="Z47" s="632">
        <f t="shared" si="243"/>
        <v>-0.15079457706204499</v>
      </c>
      <c r="AA47" s="629">
        <f t="shared" si="244"/>
        <v>-2.5800289282338608E-2</v>
      </c>
      <c r="AB47" s="629">
        <f t="shared" si="245"/>
        <v>-0.98822838483906483</v>
      </c>
      <c r="AC47" s="636">
        <f t="shared" si="391"/>
        <v>1</v>
      </c>
      <c r="AD47" s="637">
        <f t="shared" si="392"/>
        <v>-0.15079457706204499</v>
      </c>
      <c r="AE47" s="629">
        <f t="shared" si="393"/>
        <v>-2.5800289282338608E-2</v>
      </c>
      <c r="AF47" s="633">
        <f t="shared" si="394"/>
        <v>-0.98822838483906483</v>
      </c>
      <c r="AG47" s="602">
        <f t="shared" si="395"/>
        <v>-1.4955166076755568</v>
      </c>
      <c r="AH47" s="603">
        <f t="shared" si="396"/>
        <v>98.672976258011005</v>
      </c>
      <c r="AI47" s="585">
        <f t="shared" si="397"/>
        <v>-8.7999987294468625</v>
      </c>
      <c r="AJ47" s="586">
        <f t="shared" si="398"/>
        <v>-80.290955446445736</v>
      </c>
      <c r="AK47" s="635">
        <f t="shared" si="399"/>
        <v>2.2679489672730591E-7</v>
      </c>
      <c r="AL47" s="629">
        <f t="shared" si="400"/>
        <v>-0.15298581436957465</v>
      </c>
      <c r="AM47" s="634">
        <f t="shared" si="401"/>
        <v>-0.98822838483906483</v>
      </c>
      <c r="AN47" s="581">
        <f t="shared" si="402"/>
        <v>-8.7999987294373838</v>
      </c>
      <c r="AO47" s="582">
        <f t="shared" si="94"/>
        <v>0</v>
      </c>
      <c r="AP47" s="585">
        <f t="shared" si="403"/>
        <v>-89.999915061468599</v>
      </c>
      <c r="AQ47" s="586">
        <f t="shared" si="246"/>
        <v>0.39446728883946564</v>
      </c>
      <c r="AS47" s="52">
        <f t="shared" si="406"/>
        <v>-80.291040384977123</v>
      </c>
      <c r="AT47" s="72">
        <f t="shared" si="247"/>
        <v>-0.10430422844706243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Nose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2.2229999999999999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0.123</v>
      </c>
      <c r="II47" s="734" cm="1">
        <f t="array" ref="II47">IFERROR(ROUND(VALUE(IF($IH47&lt;1,$IH47+LARGE((IF($M$9:$M$150="",0,$M$9:$M$150)-MOD(IF($M$9:$M$150="",0,$M$9:$M$150),1)),1),$IH47)),4),"")</f>
        <v>6.1230000000000002</v>
      </c>
      <c r="IJ47" s="533">
        <f t="shared" si="112"/>
        <v>1613</v>
      </c>
      <c r="IK47" s="533" t="str">
        <f t="shared" si="382"/>
        <v>Inactive</v>
      </c>
      <c r="IL47" s="727">
        <f t="shared" si="225"/>
        <v>134.28104038497713</v>
      </c>
      <c r="IM47" s="759">
        <v>6.0698803229113002E-2</v>
      </c>
      <c r="IN47" s="5">
        <f t="shared" si="226"/>
        <v>0.18</v>
      </c>
      <c r="IO47" s="771">
        <v>90</v>
      </c>
      <c r="IP47" s="9">
        <f t="shared" si="227"/>
        <v>-5.7884999999999991</v>
      </c>
      <c r="IQ47" s="5">
        <f t="shared" si="228"/>
        <v>-0.13879999999999995</v>
      </c>
      <c r="IR47" s="5">
        <f t="shared" si="383"/>
        <v>0.314</v>
      </c>
      <c r="IS47" s="5">
        <f t="shared" si="229"/>
        <v>-0.30186863203867037</v>
      </c>
      <c r="IT47" s="727">
        <f t="shared" si="230"/>
        <v>-150.55373907357301</v>
      </c>
      <c r="IU47" s="9">
        <f t="shared" si="231"/>
        <v>-5.7791626246093664</v>
      </c>
      <c r="IV47" s="5">
        <f t="shared" si="232"/>
        <v>-0.16006189538107432</v>
      </c>
      <c r="IW47" s="5">
        <f t="shared" si="384"/>
        <v>0.26250000000000001</v>
      </c>
      <c r="IX47" s="5">
        <f t="shared" si="233"/>
        <v>0.26250000000000001</v>
      </c>
      <c r="IY47" s="762">
        <f t="shared" si="234"/>
        <v>8.7999987294373838</v>
      </c>
    </row>
    <row r="48" spans="1:267" ht="15" customHeight="1" x14ac:dyDescent="0.25">
      <c r="A48" s="79"/>
      <c r="B48" s="707">
        <v>6.3573798210939181</v>
      </c>
      <c r="C48" s="708">
        <v>1.3379671663483907</v>
      </c>
      <c r="D48" s="709">
        <v>-0.38827986627039185</v>
      </c>
      <c r="E48" s="710">
        <v>9.1348782094321165E-2</v>
      </c>
      <c r="F48" s="708">
        <v>0.89677343088541872</v>
      </c>
      <c r="G48" s="711">
        <v>0.43295821238068621</v>
      </c>
      <c r="H48" s="710">
        <v>0.26600000000000001</v>
      </c>
      <c r="I48" s="708">
        <v>0.52</v>
      </c>
      <c r="J48" s="570">
        <v>2.226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2.226</v>
      </c>
      <c r="N48" s="632">
        <f t="shared" si="240"/>
        <v>6.3573798210939181</v>
      </c>
      <c r="O48" s="629">
        <f t="shared" si="241"/>
        <v>1.3379671663483907</v>
      </c>
      <c r="P48" s="633">
        <f t="shared" si="242"/>
        <v>-0.38827986627039185</v>
      </c>
      <c r="Q48" s="585">
        <f t="shared" si="113"/>
        <v>11.884959300847392</v>
      </c>
      <c r="R48" s="629">
        <f t="shared" si="79"/>
        <v>6.4966479301158442</v>
      </c>
      <c r="S48" s="634">
        <f t="shared" si="80"/>
        <v>-0.38827986627039185</v>
      </c>
      <c r="T48" s="635">
        <f t="shared" si="81"/>
        <v>1.3379671663483914</v>
      </c>
      <c r="U48" s="629">
        <f t="shared" si="82"/>
        <v>-6.3573798210939181</v>
      </c>
      <c r="V48" s="636">
        <f t="shared" si="114"/>
        <v>-0.38827986627039185</v>
      </c>
      <c r="W48" s="585">
        <f t="shared" si="224"/>
        <v>281.88495930084741</v>
      </c>
      <c r="X48" s="629">
        <f t="shared" si="83"/>
        <v>6.4966479301158442</v>
      </c>
      <c r="Y48" s="630">
        <f t="shared" si="223"/>
        <v>-0.38827986627039185</v>
      </c>
      <c r="Z48" s="632">
        <f t="shared" si="243"/>
        <v>-9.1348782094321165E-2</v>
      </c>
      <c r="AA48" s="629">
        <f t="shared" si="244"/>
        <v>-0.89677343088541872</v>
      </c>
      <c r="AB48" s="629">
        <f t="shared" si="245"/>
        <v>-0.43295821238068621</v>
      </c>
      <c r="AC48" s="636">
        <f t="shared" si="84"/>
        <v>1</v>
      </c>
      <c r="AD48" s="637">
        <f t="shared" si="115"/>
        <v>-9.1348782094321165E-2</v>
      </c>
      <c r="AE48" s="629">
        <f t="shared" si="85"/>
        <v>-0.89677343088541872</v>
      </c>
      <c r="AF48" s="633">
        <f t="shared" si="86"/>
        <v>-0.43295821238068621</v>
      </c>
      <c r="AG48" s="602">
        <f t="shared" si="87"/>
        <v>-64.228956912542515</v>
      </c>
      <c r="AH48" s="603">
        <f t="shared" si="88"/>
        <v>95.241206281061949</v>
      </c>
      <c r="AI48" s="585">
        <f t="shared" si="89"/>
        <v>-64.344557245604648</v>
      </c>
      <c r="AJ48" s="586">
        <f t="shared" si="90"/>
        <v>-5.8163061452232379</v>
      </c>
      <c r="AK48" s="635">
        <f t="shared" si="211"/>
        <v>0.85873633641349678</v>
      </c>
      <c r="AL48" s="629">
        <f t="shared" si="91"/>
        <v>-0.27407862166766378</v>
      </c>
      <c r="AM48" s="634">
        <f t="shared" si="92"/>
        <v>-0.43295821238068621</v>
      </c>
      <c r="AN48" s="581">
        <f t="shared" si="93"/>
        <v>-32.335328967604859</v>
      </c>
      <c r="AO48" s="582">
        <f t="shared" si="94"/>
        <v>30.825006475156435</v>
      </c>
      <c r="AP48" s="585">
        <f t="shared" si="95"/>
        <v>-17.701265446070636</v>
      </c>
      <c r="AQ48" s="586">
        <f t="shared" si="246"/>
        <v>0.35090375117941242</v>
      </c>
      <c r="AS48" s="52">
        <f t="shared" si="406"/>
        <v>-78.115040699152587</v>
      </c>
      <c r="AT48" s="72">
        <f t="shared" si="247"/>
        <v>-0.33403331022931365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Nose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2.226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0.126</v>
      </c>
      <c r="II48" s="734" cm="1">
        <f t="array" ref="II48">IFERROR(ROUND(VALUE(IF($IH48&lt;1,$IH48+LARGE((IF($M$9:$M$150="",0,$M$9:$M$150)-MOD(IF($M$9:$M$150="",0,$M$9:$M$150),1)),1),$IH48)),4),"")</f>
        <v>6.1260000000000003</v>
      </c>
      <c r="IJ48" s="533">
        <f t="shared" si="112"/>
        <v>1613</v>
      </c>
      <c r="IK48" s="533">
        <f t="shared" si="382"/>
        <v>1313</v>
      </c>
      <c r="IL48" s="727">
        <f t="shared" si="225"/>
        <v>131.50504069915257</v>
      </c>
      <c r="IM48" s="759">
        <v>4.3845868193386497E-2</v>
      </c>
      <c r="IN48" s="5">
        <f t="shared" si="226"/>
        <v>0.22</v>
      </c>
      <c r="IO48" s="771">
        <v>110</v>
      </c>
      <c r="IP48" s="9">
        <f t="shared" si="227"/>
        <v>-6.4897000000000009</v>
      </c>
      <c r="IQ48" s="5">
        <f t="shared" si="228"/>
        <v>-0.37560000000000004</v>
      </c>
      <c r="IR48" s="5">
        <f t="shared" si="383"/>
        <v>0.314</v>
      </c>
      <c r="IS48" s="5">
        <f t="shared" si="229"/>
        <v>-0.30074722212769239</v>
      </c>
      <c r="IT48" s="727">
        <f t="shared" si="230"/>
        <v>-135.52674606938072</v>
      </c>
      <c r="IU48" s="9">
        <f t="shared" si="231"/>
        <v>-6.4966479301158442</v>
      </c>
      <c r="IV48" s="5">
        <f t="shared" si="232"/>
        <v>-0.38827986627039185</v>
      </c>
      <c r="IW48" s="5">
        <f t="shared" si="384"/>
        <v>0.26600000000000001</v>
      </c>
      <c r="IX48" s="5">
        <f t="shared" si="233"/>
        <v>0.22842386548599017</v>
      </c>
      <c r="IY48" s="762">
        <f t="shared" si="234"/>
        <v>32.335328967604859</v>
      </c>
    </row>
    <row r="49" spans="1:259" ht="15" customHeight="1" x14ac:dyDescent="0.25">
      <c r="A49" s="79"/>
      <c r="B49" s="707">
        <v>6.9899238505115555</v>
      </c>
      <c r="C49" s="708">
        <v>1.4167757397649119</v>
      </c>
      <c r="D49" s="709">
        <v>-0.77274244279331472</v>
      </c>
      <c r="E49" s="710">
        <v>0.18637810823183829</v>
      </c>
      <c r="F49" s="708">
        <v>0.91023209648149572</v>
      </c>
      <c r="G49" s="711">
        <v>0.36978470940105446</v>
      </c>
      <c r="H49" s="710">
        <v>0.26600000000000001</v>
      </c>
      <c r="I49" s="708">
        <v>0.52</v>
      </c>
      <c r="J49" s="570">
        <v>2.2290000000000001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2.2290000000000001</v>
      </c>
      <c r="N49" s="632">
        <f t="shared" si="240"/>
        <v>6.9899238505115555</v>
      </c>
      <c r="O49" s="629">
        <f t="shared" si="241"/>
        <v>1.4167757397649119</v>
      </c>
      <c r="P49" s="633">
        <f t="shared" si="242"/>
        <v>-0.77274244279331472</v>
      </c>
      <c r="Q49" s="585">
        <f t="shared" si="113"/>
        <v>11.457959362498551</v>
      </c>
      <c r="R49" s="629">
        <f t="shared" si="79"/>
        <v>7.132060637202736</v>
      </c>
      <c r="S49" s="634">
        <f t="shared" si="80"/>
        <v>-0.77274244279331472</v>
      </c>
      <c r="T49" s="635">
        <f t="shared" si="81"/>
        <v>1.4167757397649163</v>
      </c>
      <c r="U49" s="629">
        <f t="shared" si="82"/>
        <v>-6.9899238505115546</v>
      </c>
      <c r="V49" s="636">
        <f t="shared" si="114"/>
        <v>-0.77274244279331472</v>
      </c>
      <c r="W49" s="585">
        <f t="shared" si="224"/>
        <v>281.45795936249857</v>
      </c>
      <c r="X49" s="629">
        <f t="shared" si="83"/>
        <v>7.132060637202736</v>
      </c>
      <c r="Y49" s="630">
        <f t="shared" si="223"/>
        <v>-0.77274244279331472</v>
      </c>
      <c r="Z49" s="632">
        <f t="shared" si="243"/>
        <v>-0.18637810823183829</v>
      </c>
      <c r="AA49" s="629">
        <f t="shared" si="244"/>
        <v>-0.91023209648149572</v>
      </c>
      <c r="AB49" s="629">
        <f t="shared" si="245"/>
        <v>-0.36978470940105446</v>
      </c>
      <c r="AC49" s="636">
        <f t="shared" si="84"/>
        <v>1</v>
      </c>
      <c r="AD49" s="637">
        <f t="shared" si="115"/>
        <v>-0.18637810823183829</v>
      </c>
      <c r="AE49" s="629">
        <f t="shared" si="85"/>
        <v>-0.91023209648149572</v>
      </c>
      <c r="AF49" s="633">
        <f t="shared" si="86"/>
        <v>-0.36978470940105446</v>
      </c>
      <c r="AG49" s="602">
        <f t="shared" si="87"/>
        <v>-67.89039387952927</v>
      </c>
      <c r="AH49" s="603">
        <f t="shared" si="88"/>
        <v>100.74148972009995</v>
      </c>
      <c r="AI49" s="585">
        <f t="shared" si="89"/>
        <v>-68.29765962957903</v>
      </c>
      <c r="AJ49" s="586">
        <f t="shared" si="90"/>
        <v>-11.571867823350749</v>
      </c>
      <c r="AK49" s="635">
        <f t="shared" si="211"/>
        <v>0.85506803275341248</v>
      </c>
      <c r="AL49" s="629">
        <f t="shared" si="91"/>
        <v>-0.36348029940615345</v>
      </c>
      <c r="AM49" s="634">
        <f t="shared" si="92"/>
        <v>-0.36978470940105446</v>
      </c>
      <c r="AN49" s="581">
        <f t="shared" si="93"/>
        <v>-44.507398852233429</v>
      </c>
      <c r="AO49" s="582">
        <f t="shared" si="94"/>
        <v>31.232748438752356</v>
      </c>
      <c r="AP49" s="585">
        <f t="shared" si="95"/>
        <v>-23.029827185849339</v>
      </c>
      <c r="AQ49" s="586">
        <f t="shared" si="246"/>
        <v>0.31964155904408703</v>
      </c>
      <c r="AS49" s="52">
        <f t="shared" si="406"/>
        <v>-78.54204063750143</v>
      </c>
      <c r="AT49" s="72">
        <f t="shared" si="247"/>
        <v>-0.71819935901727205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Taper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2.2290000000000001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0.129</v>
      </c>
      <c r="II49" s="734" cm="1">
        <f t="array" ref="II49">IFERROR(ROUND(VALUE(IF($IH49&lt;1,$IH49+LARGE((IF($M$9:$M$150="",0,$M$9:$M$150)-MOD(IF($M$9:$M$150="",0,$M$9:$M$150),1)),1),$IH49)),4),"")</f>
        <v>6.1289999999999996</v>
      </c>
      <c r="IJ49" s="533">
        <f t="shared" si="112"/>
        <v>1613</v>
      </c>
      <c r="IK49" s="533">
        <f t="shared" si="382"/>
        <v>1313</v>
      </c>
      <c r="IL49" s="727">
        <f t="shared" si="225"/>
        <v>131.34204063750144</v>
      </c>
      <c r="IM49" s="759">
        <v>3.7174308664264903E-2</v>
      </c>
      <c r="IN49" s="5">
        <f t="shared" si="226"/>
        <v>0.22</v>
      </c>
      <c r="IO49" s="771">
        <v>110</v>
      </c>
      <c r="IP49" s="9">
        <f t="shared" si="227"/>
        <v>-7.1217999999999995</v>
      </c>
      <c r="IQ49" s="5">
        <f t="shared" si="228"/>
        <v>-0.75859999999999994</v>
      </c>
      <c r="IR49" s="5">
        <f t="shared" si="383"/>
        <v>0.314</v>
      </c>
      <c r="IS49" s="5">
        <f t="shared" si="229"/>
        <v>-0.29946654536950262</v>
      </c>
      <c r="IT49" s="727">
        <f t="shared" si="230"/>
        <v>-121.49080920135999</v>
      </c>
      <c r="IU49" s="9">
        <f t="shared" si="231"/>
        <v>-7.132060637202736</v>
      </c>
      <c r="IV49" s="5">
        <f t="shared" si="232"/>
        <v>-0.77274244279331472</v>
      </c>
      <c r="IW49" s="5">
        <f t="shared" si="384"/>
        <v>0.26600000000000001</v>
      </c>
      <c r="IX49" s="5">
        <f t="shared" si="233"/>
        <v>0.22744809671240773</v>
      </c>
      <c r="IY49" s="762">
        <f t="shared" si="234"/>
        <v>44.507398852233429</v>
      </c>
    </row>
    <row r="50" spans="1:259" ht="15" customHeight="1" x14ac:dyDescent="0.25">
      <c r="A50" s="79"/>
      <c r="B50" s="707">
        <v>7.5258662316877274</v>
      </c>
      <c r="C50" s="708">
        <v>1.4679189268327804</v>
      </c>
      <c r="D50" s="709">
        <v>-1.2842819591248975</v>
      </c>
      <c r="E50" s="710">
        <v>0.26393748885502227</v>
      </c>
      <c r="F50" s="708">
        <v>0.9189192132344538</v>
      </c>
      <c r="G50" s="711">
        <v>0.29312877976322549</v>
      </c>
      <c r="H50" s="710">
        <v>0.26600000000000001</v>
      </c>
      <c r="I50" s="708">
        <v>0.52</v>
      </c>
      <c r="J50" s="570">
        <v>2.2320000000000002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2.2320000000000002</v>
      </c>
      <c r="N50" s="632">
        <f t="shared" si="240"/>
        <v>7.5258662316877274</v>
      </c>
      <c r="O50" s="629">
        <f t="shared" si="241"/>
        <v>1.4679189268327804</v>
      </c>
      <c r="P50" s="633">
        <f t="shared" si="242"/>
        <v>-1.2842819591248975</v>
      </c>
      <c r="Q50" s="585">
        <f t="shared" si="113"/>
        <v>11.036959423283427</v>
      </c>
      <c r="R50" s="629">
        <f t="shared" si="79"/>
        <v>7.6676886030283953</v>
      </c>
      <c r="S50" s="634">
        <f t="shared" si="80"/>
        <v>-1.2842819591248975</v>
      </c>
      <c r="T50" s="635">
        <f t="shared" si="81"/>
        <v>1.4679189268327781</v>
      </c>
      <c r="U50" s="629">
        <f t="shared" si="82"/>
        <v>-7.5258662316877283</v>
      </c>
      <c r="V50" s="636">
        <f t="shared" si="114"/>
        <v>-1.2842819591248975</v>
      </c>
      <c r="W50" s="585">
        <f t="shared" si="224"/>
        <v>281.03695942328341</v>
      </c>
      <c r="X50" s="629">
        <f t="shared" si="83"/>
        <v>7.6676886030283953</v>
      </c>
      <c r="Y50" s="630">
        <f t="shared" si="223"/>
        <v>-1.2842819591248975</v>
      </c>
      <c r="Z50" s="632">
        <f t="shared" si="243"/>
        <v>-0.26393748885502227</v>
      </c>
      <c r="AA50" s="629">
        <f t="shared" si="244"/>
        <v>-0.9189192132344538</v>
      </c>
      <c r="AB50" s="629">
        <f t="shared" si="245"/>
        <v>-0.29312877976322549</v>
      </c>
      <c r="AC50" s="636">
        <f t="shared" si="84"/>
        <v>1</v>
      </c>
      <c r="AD50" s="637">
        <f t="shared" si="115"/>
        <v>-0.26393748885502227</v>
      </c>
      <c r="AE50" s="629">
        <f t="shared" si="85"/>
        <v>-0.9189192132344538</v>
      </c>
      <c r="AF50" s="633">
        <f t="shared" si="86"/>
        <v>-0.29312877976322549</v>
      </c>
      <c r="AG50" s="602">
        <f t="shared" si="87"/>
        <v>-72.307682106517134</v>
      </c>
      <c r="AH50" s="603">
        <f t="shared" si="88"/>
        <v>105.30382777643381</v>
      </c>
      <c r="AI50" s="585">
        <f t="shared" si="89"/>
        <v>-72.954635319367227</v>
      </c>
      <c r="AJ50" s="586">
        <f t="shared" si="90"/>
        <v>-16.025441701038993</v>
      </c>
      <c r="AK50" s="635">
        <f t="shared" si="211"/>
        <v>0.85139402225605121</v>
      </c>
      <c r="AL50" s="629">
        <f t="shared" si="91"/>
        <v>-0.43497555947568484</v>
      </c>
      <c r="AM50" s="634">
        <f t="shared" si="92"/>
        <v>-0.29312877976322549</v>
      </c>
      <c r="AN50" s="581">
        <f t="shared" si="93"/>
        <v>-56.024083106150023</v>
      </c>
      <c r="AO50" s="582">
        <f t="shared" si="94"/>
        <v>31.636383818413311</v>
      </c>
      <c r="AP50" s="585">
        <f t="shared" si="95"/>
        <v>-27.062401124322403</v>
      </c>
      <c r="AQ50" s="586">
        <f t="shared" si="246"/>
        <v>0.29731334800912579</v>
      </c>
      <c r="AS50" s="52">
        <f t="shared" si="406"/>
        <v>-78.963040576716594</v>
      </c>
      <c r="AT50" s="72">
        <f t="shared" si="247"/>
        <v>-1.2294465142799553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Taper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2.2320000000000002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0.13200000000000001</v>
      </c>
      <c r="II50" s="734" cm="1">
        <f t="array" ref="II50">IFERROR(ROUND(VALUE(IF($IH50&lt;1,$IH50+LARGE((IF($M$9:$M$150="",0,$M$9:$M$150)-MOD(IF($M$9:$M$150="",0,$M$9:$M$150),1)),1),$IH50)),4),"")</f>
        <v>6.1319999999999997</v>
      </c>
      <c r="IJ50" s="533">
        <f t="shared" si="112"/>
        <v>1613</v>
      </c>
      <c r="IK50" s="533">
        <f t="shared" si="382"/>
        <v>1313</v>
      </c>
      <c r="IL50" s="727">
        <f t="shared" si="225"/>
        <v>131.22304057671658</v>
      </c>
      <c r="IM50" s="759">
        <v>3.1049638132341899E-2</v>
      </c>
      <c r="IN50" s="5">
        <f t="shared" si="226"/>
        <v>0.22</v>
      </c>
      <c r="IO50" s="771">
        <v>110</v>
      </c>
      <c r="IP50" s="9">
        <f t="shared" si="227"/>
        <v>-7.6544000000000008</v>
      </c>
      <c r="IQ50" s="5">
        <f t="shared" si="228"/>
        <v>-1.2681999999999998</v>
      </c>
      <c r="IR50" s="5">
        <f t="shared" si="383"/>
        <v>0.314</v>
      </c>
      <c r="IS50" s="5">
        <f t="shared" si="229"/>
        <v>-0.29817356342819901</v>
      </c>
      <c r="IT50" s="727">
        <f t="shared" si="230"/>
        <v>-108.66184415334409</v>
      </c>
      <c r="IU50" s="9">
        <f t="shared" si="231"/>
        <v>-7.6676886030283953</v>
      </c>
      <c r="IV50" s="5">
        <f t="shared" si="232"/>
        <v>-1.2842819591248975</v>
      </c>
      <c r="IW50" s="5">
        <f t="shared" si="384"/>
        <v>0.26600000000000001</v>
      </c>
      <c r="IX50" s="5">
        <f t="shared" si="233"/>
        <v>0.22647080992010962</v>
      </c>
      <c r="IY50" s="762">
        <f t="shared" si="234"/>
        <v>56.024083106150023</v>
      </c>
    </row>
    <row r="51" spans="1:259" ht="15" customHeight="1" x14ac:dyDescent="0.25">
      <c r="A51" s="79"/>
      <c r="B51" s="707">
        <v>7.9667061303371645</v>
      </c>
      <c r="C51" s="708">
        <v>0.9283969653185753</v>
      </c>
      <c r="D51" s="709">
        <v>-1.9064142633177321</v>
      </c>
      <c r="E51" s="710">
        <v>0.90021569825972358</v>
      </c>
      <c r="F51" s="708">
        <v>0.1049065106404939</v>
      </c>
      <c r="G51" s="711">
        <v>0.42261841019055774</v>
      </c>
      <c r="H51" s="710">
        <v>0.26250000000000001</v>
      </c>
      <c r="I51" s="708">
        <v>0.40699999999999997</v>
      </c>
      <c r="J51" s="570">
        <v>2.2349999999999999</v>
      </c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Inactive</v>
      </c>
      <c r="L51" s="320"/>
      <c r="M51" s="168">
        <f t="shared" si="239"/>
        <v>2.2349999999999999</v>
      </c>
      <c r="N51" s="632">
        <f t="shared" si="240"/>
        <v>7.9667061303371645</v>
      </c>
      <c r="O51" s="629">
        <f t="shared" si="241"/>
        <v>0.9283969653185753</v>
      </c>
      <c r="P51" s="633">
        <f t="shared" si="242"/>
        <v>-1.9064142633177321</v>
      </c>
      <c r="Q51" s="585">
        <f t="shared" si="113"/>
        <v>6.6469600571209124</v>
      </c>
      <c r="R51" s="629">
        <f t="shared" si="79"/>
        <v>8.0206188970904542</v>
      </c>
      <c r="S51" s="634">
        <f t="shared" si="80"/>
        <v>-1.9064142633177321</v>
      </c>
      <c r="T51" s="635">
        <f t="shared" si="81"/>
        <v>0.92839696531857396</v>
      </c>
      <c r="U51" s="629">
        <f t="shared" si="82"/>
        <v>-7.9667061303371645</v>
      </c>
      <c r="V51" s="636">
        <f t="shared" si="114"/>
        <v>-1.9064142633177321</v>
      </c>
      <c r="W51" s="585">
        <f t="shared" si="224"/>
        <v>276.64696005712091</v>
      </c>
      <c r="X51" s="629">
        <f t="shared" si="83"/>
        <v>8.0206188970904542</v>
      </c>
      <c r="Y51" s="630">
        <f t="shared" si="223"/>
        <v>-1.9064142633177321</v>
      </c>
      <c r="Z51" s="632">
        <f t="shared" si="243"/>
        <v>-0.90021569825972358</v>
      </c>
      <c r="AA51" s="629">
        <f t="shared" si="244"/>
        <v>-0.1049065106404939</v>
      </c>
      <c r="AB51" s="629">
        <f t="shared" si="245"/>
        <v>-0.42261841019055774</v>
      </c>
      <c r="AC51" s="636">
        <f t="shared" si="84"/>
        <v>1</v>
      </c>
      <c r="AD51" s="637">
        <f t="shared" si="115"/>
        <v>-0.90021569825972358</v>
      </c>
      <c r="AE51" s="629">
        <f t="shared" si="85"/>
        <v>-0.1049065106404939</v>
      </c>
      <c r="AF51" s="633">
        <f t="shared" si="86"/>
        <v>-0.42261841019055774</v>
      </c>
      <c r="AG51" s="602">
        <f t="shared" si="87"/>
        <v>-13.940748440325525</v>
      </c>
      <c r="AH51" s="603">
        <f t="shared" si="88"/>
        <v>154.18643430985446</v>
      </c>
      <c r="AI51" s="585">
        <f t="shared" si="89"/>
        <v>-64.999990615163199</v>
      </c>
      <c r="AJ51" s="586">
        <f t="shared" si="90"/>
        <v>-83.353025605154571</v>
      </c>
      <c r="AK51" s="635">
        <f t="shared" si="211"/>
        <v>2.2679489683485876E-7</v>
      </c>
      <c r="AL51" s="629">
        <f t="shared" si="91"/>
        <v>-0.90630771781330111</v>
      </c>
      <c r="AM51" s="634">
        <f t="shared" si="92"/>
        <v>-0.42261841019055774</v>
      </c>
      <c r="AN51" s="581">
        <f t="shared" si="93"/>
        <v>-64.999990615162517</v>
      </c>
      <c r="AO51" s="582">
        <f t="shared" si="94"/>
        <v>0</v>
      </c>
      <c r="AP51" s="585">
        <f t="shared" si="95"/>
        <v>-89.999985662275463</v>
      </c>
      <c r="AQ51" s="586">
        <f t="shared" si="246"/>
        <v>0.28423092537207789</v>
      </c>
      <c r="AS51" s="52">
        <f t="shared" si="406"/>
        <v>-83.353039942879093</v>
      </c>
      <c r="AT51" s="72">
        <f t="shared" si="247"/>
        <v>-1.848530207801844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Taper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2.2349999999999999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0.13500000000000001</v>
      </c>
      <c r="II51" s="734" cm="1">
        <f t="array" ref="II51">IFERROR(ROUND(VALUE(IF($IH51&lt;1,$IH51+LARGE((IF($M$9:$M$150="",0,$M$9:$M$150)-MOD(IF($M$9:$M$150="",0,$M$9:$M$150),1)),1),$IH51)),4),"")</f>
        <v>6.1349999999999998</v>
      </c>
      <c r="IJ51" s="533">
        <f t="shared" si="112"/>
        <v>1613</v>
      </c>
      <c r="IK51" s="533" t="str">
        <f t="shared" si="382"/>
        <v>Inactive</v>
      </c>
      <c r="IL51" s="727">
        <f t="shared" si="225"/>
        <v>135.18303994287913</v>
      </c>
      <c r="IM51" s="759">
        <v>6.1181688192149197E-2</v>
      </c>
      <c r="IN51" s="5">
        <f t="shared" si="226"/>
        <v>0.26</v>
      </c>
      <c r="IO51" s="771">
        <v>130</v>
      </c>
      <c r="IP51" s="9">
        <f t="shared" si="227"/>
        <v>-8.0691999999999986</v>
      </c>
      <c r="IQ51" s="5">
        <f t="shared" si="228"/>
        <v>-1.8746999999999996</v>
      </c>
      <c r="IR51" s="5">
        <f t="shared" si="383"/>
        <v>0.314</v>
      </c>
      <c r="IS51" s="5">
        <f t="shared" si="229"/>
        <v>-0.28897459544686521</v>
      </c>
      <c r="IT51" s="727">
        <f t="shared" si="230"/>
        <v>-104.39480026946283</v>
      </c>
      <c r="IU51" s="9">
        <f t="shared" si="231"/>
        <v>-8.0206188970904542</v>
      </c>
      <c r="IV51" s="5">
        <f t="shared" si="232"/>
        <v>-1.9064142633177321</v>
      </c>
      <c r="IW51" s="5">
        <f t="shared" si="384"/>
        <v>0.26250000000000001</v>
      </c>
      <c r="IX51" s="5">
        <f t="shared" si="233"/>
        <v>0.26250000000000001</v>
      </c>
      <c r="IY51" s="762">
        <f t="shared" si="234"/>
        <v>64.999990615162517</v>
      </c>
    </row>
    <row r="52" spans="1:259" ht="15" customHeight="1" x14ac:dyDescent="0.25">
      <c r="A52" s="79"/>
      <c r="B52" s="707">
        <v>8.2325833618890485</v>
      </c>
      <c r="C52" s="708">
        <v>0.88837878291441652</v>
      </c>
      <c r="D52" s="709">
        <v>-2.5917243242745269</v>
      </c>
      <c r="E52" s="710">
        <v>0.90107654588658936</v>
      </c>
      <c r="F52" s="708">
        <v>9.7235476144762856E-2</v>
      </c>
      <c r="G52" s="711">
        <v>0.42261841019055785</v>
      </c>
      <c r="H52" s="710">
        <v>0.26250000000000001</v>
      </c>
      <c r="I52" s="708">
        <v>0.40699999999999997</v>
      </c>
      <c r="J52" s="570">
        <v>2.238</v>
      </c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Inactive</v>
      </c>
      <c r="L52" s="320"/>
      <c r="M52" s="168">
        <f t="shared" si="239"/>
        <v>2.238</v>
      </c>
      <c r="N52" s="632">
        <f t="shared" si="240"/>
        <v>8.2325833618890485</v>
      </c>
      <c r="O52" s="629">
        <f t="shared" si="241"/>
        <v>0.88837878291441652</v>
      </c>
      <c r="P52" s="633">
        <f t="shared" si="242"/>
        <v>-2.5917243242745269</v>
      </c>
      <c r="Q52" s="585">
        <f t="shared" si="113"/>
        <v>6.1589601275793866</v>
      </c>
      <c r="R52" s="629">
        <f t="shared" si="79"/>
        <v>8.2803771455402249</v>
      </c>
      <c r="S52" s="634">
        <f t="shared" si="80"/>
        <v>-2.5917243242745269</v>
      </c>
      <c r="T52" s="635">
        <f t="shared" si="81"/>
        <v>0.88837878291441819</v>
      </c>
      <c r="U52" s="629">
        <f t="shared" si="82"/>
        <v>-8.2325833618890485</v>
      </c>
      <c r="V52" s="636">
        <f t="shared" si="114"/>
        <v>-2.5917243242745269</v>
      </c>
      <c r="W52" s="585">
        <f t="shared" si="224"/>
        <v>276.15896012757941</v>
      </c>
      <c r="X52" s="629">
        <f t="shared" si="83"/>
        <v>8.2803771455402249</v>
      </c>
      <c r="Y52" s="630">
        <f t="shared" si="223"/>
        <v>-2.5917243242745269</v>
      </c>
      <c r="Z52" s="632">
        <f t="shared" si="243"/>
        <v>-0.90107654588658936</v>
      </c>
      <c r="AA52" s="629">
        <f t="shared" si="244"/>
        <v>-9.7235476144762856E-2</v>
      </c>
      <c r="AB52" s="629">
        <f t="shared" si="245"/>
        <v>-0.42261841019055785</v>
      </c>
      <c r="AC52" s="636">
        <f t="shared" si="84"/>
        <v>1</v>
      </c>
      <c r="AD52" s="637">
        <f t="shared" si="115"/>
        <v>-0.90107654588658936</v>
      </c>
      <c r="AE52" s="629">
        <f t="shared" si="85"/>
        <v>-9.7235476144762856E-2</v>
      </c>
      <c r="AF52" s="633">
        <f t="shared" si="86"/>
        <v>-0.42261841019055785</v>
      </c>
      <c r="AG52" s="602">
        <f t="shared" si="87"/>
        <v>-12.957044714495956</v>
      </c>
      <c r="AH52" s="603">
        <f t="shared" si="88"/>
        <v>154.29993718472036</v>
      </c>
      <c r="AI52" s="585">
        <f t="shared" si="89"/>
        <v>-64.999990615163185</v>
      </c>
      <c r="AJ52" s="586">
        <f t="shared" si="90"/>
        <v>-83.841025534696087</v>
      </c>
      <c r="AK52" s="635">
        <f t="shared" si="211"/>
        <v>2.2679489652954743E-7</v>
      </c>
      <c r="AL52" s="629">
        <f t="shared" si="91"/>
        <v>-0.90630771781330111</v>
      </c>
      <c r="AM52" s="634">
        <f t="shared" si="92"/>
        <v>-0.42261841019055785</v>
      </c>
      <c r="AN52" s="581">
        <f t="shared" si="93"/>
        <v>-64.999990615162503</v>
      </c>
      <c r="AO52" s="582">
        <f t="shared" si="94"/>
        <v>0</v>
      </c>
      <c r="AP52" s="585">
        <f t="shared" si="95"/>
        <v>-89.999985662275478</v>
      </c>
      <c r="AQ52" s="586">
        <f t="shared" si="246"/>
        <v>0.27531464400563399</v>
      </c>
      <c r="AS52" s="52">
        <f t="shared" si="406"/>
        <v>-83.841039872420595</v>
      </c>
      <c r="AT52" s="72">
        <f t="shared" si="247"/>
        <v>-2.5335013799186794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2.238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0.13800000000000001</v>
      </c>
      <c r="II52" s="734" cm="1">
        <f t="array" ref="II52">IFERROR(ROUND(VALUE(IF($IH52&lt;1,$IH52+LARGE((IF($M$9:$M$150="",0,$M$9:$M$150)-MOD(IF($M$9:$M$150="",0,$M$9:$M$150),1)),1),$IH52)),4),"")</f>
        <v>6.1379999999999999</v>
      </c>
      <c r="IJ52" s="533">
        <f t="shared" si="112"/>
        <v>1613</v>
      </c>
      <c r="IK52" s="533" t="str">
        <f t="shared" si="382"/>
        <v>Inactive</v>
      </c>
      <c r="IL52" s="727">
        <f t="shared" si="225"/>
        <v>135.24103987242057</v>
      </c>
      <c r="IM52" s="759">
        <v>6.1707220708081399E-2</v>
      </c>
      <c r="IN52" s="5">
        <f t="shared" si="226"/>
        <v>0.32</v>
      </c>
      <c r="IO52" s="771">
        <v>160</v>
      </c>
      <c r="IP52" s="9">
        <f t="shared" si="227"/>
        <v>-8.3444000000000003</v>
      </c>
      <c r="IQ52" s="5">
        <f t="shared" si="228"/>
        <v>-2.5530000000000004</v>
      </c>
      <c r="IR52" s="5">
        <f t="shared" si="383"/>
        <v>0.314</v>
      </c>
      <c r="IS52" s="5">
        <f t="shared" si="229"/>
        <v>-0.27794202704844401</v>
      </c>
      <c r="IT52" s="727">
        <f t="shared" si="230"/>
        <v>-99.114602866049751</v>
      </c>
      <c r="IU52" s="9">
        <f t="shared" si="231"/>
        <v>-8.2803771455402249</v>
      </c>
      <c r="IV52" s="5">
        <f t="shared" si="232"/>
        <v>-2.5917243242745269</v>
      </c>
      <c r="IW52" s="5">
        <f t="shared" si="384"/>
        <v>0.26250000000000001</v>
      </c>
      <c r="IX52" s="5">
        <f t="shared" si="233"/>
        <v>0.26250000000000001</v>
      </c>
      <c r="IY52" s="762">
        <f t="shared" si="234"/>
        <v>64.999990615162503</v>
      </c>
    </row>
    <row r="53" spans="1:259" ht="15" customHeight="1" x14ac:dyDescent="0.25">
      <c r="A53" s="79"/>
      <c r="B53" s="707">
        <v>0.44807616822607849</v>
      </c>
      <c r="C53" s="708">
        <v>-0.31374631068402242</v>
      </c>
      <c r="D53" s="709">
        <v>-1.1512</v>
      </c>
      <c r="E53" s="710">
        <v>-0.5540322932223235</v>
      </c>
      <c r="F53" s="708">
        <v>-0.79124011523622384</v>
      </c>
      <c r="G53" s="711">
        <v>-0.25881904510252091</v>
      </c>
      <c r="H53" s="710">
        <v>0.314</v>
      </c>
      <c r="I53" s="708">
        <v>0.52</v>
      </c>
      <c r="J53" s="570">
        <v>3.1019999999999999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3.1019999999999999</v>
      </c>
      <c r="N53" s="632">
        <f t="shared" si="240"/>
        <v>0.44807616822607849</v>
      </c>
      <c r="O53" s="629">
        <f t="shared" si="241"/>
        <v>-0.31374631068402242</v>
      </c>
      <c r="P53" s="633">
        <f t="shared" si="242"/>
        <v>-1.1512</v>
      </c>
      <c r="Q53" s="585">
        <f t="shared" si="113"/>
        <v>325</v>
      </c>
      <c r="R53" s="629">
        <f t="shared" ref="R53:R58" si="410">IF(M53="","",SQRT(N53^2+O53^2))</f>
        <v>0.54700000000000015</v>
      </c>
      <c r="S53" s="634">
        <f t="shared" ref="S53:S58" si="411">IF(M53="","",P53)</f>
        <v>-1.1512</v>
      </c>
      <c r="T53" s="635">
        <f t="shared" ref="T53:T58" si="412">IF(M53="","",X53*COS(RADIANS(W53)))</f>
        <v>-0.31374631068402248</v>
      </c>
      <c r="U53" s="629">
        <f t="shared" ref="U53:U58" si="413">IF(M53="","",X53*SIN(RADIANS(W53)))</f>
        <v>-0.44807616822607854</v>
      </c>
      <c r="V53" s="636">
        <f t="shared" ref="V53:V58" si="414">IF(M53="","",Y53)</f>
        <v>-1.1512</v>
      </c>
      <c r="W53" s="585">
        <f t="shared" si="224"/>
        <v>235</v>
      </c>
      <c r="X53" s="629">
        <f t="shared" ref="X53:X58" si="415">IF(M53="","",R53)</f>
        <v>0.54700000000000015</v>
      </c>
      <c r="Y53" s="630">
        <f t="shared" si="223"/>
        <v>-1.1512</v>
      </c>
      <c r="Z53" s="632">
        <f t="shared" si="243"/>
        <v>0.5540322932223235</v>
      </c>
      <c r="AA53" s="629">
        <f t="shared" si="244"/>
        <v>0.79124011523622384</v>
      </c>
      <c r="AB53" s="629">
        <f t="shared" si="245"/>
        <v>0.25881904510252091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0.5540322932223235</v>
      </c>
      <c r="AE53" s="629">
        <f t="shared" ref="AE53:AE58" si="418">IF(M53="","",AA53*(1/SQRT(Z53^2+AA53^2+AB53^2)))</f>
        <v>0.79124011523622384</v>
      </c>
      <c r="AF53" s="633">
        <f t="shared" ref="AF53:AF58" si="419">IF(M53="","",AB53*(1/SQRT(Z53^2+AA53^2+AB53^2)))</f>
        <v>0.25881904510252091</v>
      </c>
      <c r="AG53" s="602">
        <f t="shared" ref="AG53:AG58" si="420">IF(M53="","",DEGREES(ATAN2(-AF53,AE53)))</f>
        <v>108.11320873476267</v>
      </c>
      <c r="AH53" s="603">
        <f t="shared" ref="AH53:AH58" si="421">IF(M53="","",DEGREES(ACOS(AD53)))</f>
        <v>56.355912619133377</v>
      </c>
      <c r="AI53" s="585">
        <f t="shared" ref="AI53:AI58" si="422">IF(M53="","",DEGREES(-ACOS(-AF53)))</f>
        <v>-105.00000000000001</v>
      </c>
      <c r="AJ53" s="586">
        <f t="shared" ref="AJ53:AJ58" si="423">IF(M53="","",DEGREES(ATAN2(-AE53,AD53)))</f>
        <v>145</v>
      </c>
      <c r="AK53" s="635">
        <f t="shared" ref="AK53:AK58" si="424">IF(M53="","",(COS(RADIANS((90-$Q$8)-W53))*AD53)+(-SIN(RADIANS((90-$Q$8)-W53))*AE53))</f>
        <v>-0.96592582628906831</v>
      </c>
      <c r="AL53" s="629">
        <f t="shared" ref="AL53:AL58" si="425">IF(M53="","",(SIN(RADIANS((90-$Q$8)-W53))*AD53)+(COS(RADIANS((90-$Q$8)-W53))*AE53))</f>
        <v>-2.2204460492503131E-16</v>
      </c>
      <c r="AM53" s="634">
        <f t="shared" ref="AM53:AM58" si="426">IF(M53="","",AF53)</f>
        <v>0.25881904510252091</v>
      </c>
      <c r="AN53" s="581">
        <f t="shared" ref="AN53:AN58" si="427">IF(M53="","",DEGREES(ATAN2(-AM53,AL53)))</f>
        <v>-179.99999999999994</v>
      </c>
      <c r="AO53" s="582">
        <f t="shared" si="94"/>
        <v>165</v>
      </c>
      <c r="AP53" s="585">
        <f t="shared" ref="AP53:AP58" si="428">IF(M53="","",DEGREES(ATAN2(AK53,AL53)))</f>
        <v>-179.99999999999997</v>
      </c>
      <c r="AQ53" s="586">
        <f t="shared" si="246"/>
        <v>4.1603630671251812</v>
      </c>
      <c r="AS53" s="52">
        <f t="shared" si="406"/>
        <v>-125</v>
      </c>
      <c r="AT53" s="72">
        <f t="shared" si="247"/>
        <v>-1.0643944444444444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3.1019999999999999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1.0575252891770883</v>
      </c>
      <c r="C54" s="708">
        <v>-0.74048717932920083</v>
      </c>
      <c r="D54" s="709">
        <v>-0.95179999999999998</v>
      </c>
      <c r="E54" s="710">
        <v>-0.55403229322232339</v>
      </c>
      <c r="F54" s="708">
        <v>-0.79124011523622384</v>
      </c>
      <c r="G54" s="711">
        <v>-0.25881904510252091</v>
      </c>
      <c r="H54" s="710">
        <v>0.314</v>
      </c>
      <c r="I54" s="708">
        <v>0.52</v>
      </c>
      <c r="J54" s="570">
        <v>3.105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3.105</v>
      </c>
      <c r="N54" s="632">
        <f t="shared" si="240"/>
        <v>1.0575252891770883</v>
      </c>
      <c r="O54" s="629">
        <f t="shared" si="241"/>
        <v>-0.74048717932920083</v>
      </c>
      <c r="P54" s="633">
        <f t="shared" si="242"/>
        <v>-0.95179999999999998</v>
      </c>
      <c r="Q54" s="585">
        <f t="shared" si="113"/>
        <v>325</v>
      </c>
      <c r="R54" s="629">
        <f t="shared" si="410"/>
        <v>1.2910000000000001</v>
      </c>
      <c r="S54" s="634">
        <f t="shared" si="411"/>
        <v>-0.95179999999999998</v>
      </c>
      <c r="T54" s="635">
        <f t="shared" si="412"/>
        <v>-0.74048717932920094</v>
      </c>
      <c r="U54" s="629">
        <f t="shared" si="413"/>
        <v>-1.0575252891770883</v>
      </c>
      <c r="V54" s="636">
        <f t="shared" si="414"/>
        <v>-0.95179999999999998</v>
      </c>
      <c r="W54" s="585">
        <f t="shared" si="224"/>
        <v>235</v>
      </c>
      <c r="X54" s="629">
        <f t="shared" si="415"/>
        <v>1.2910000000000001</v>
      </c>
      <c r="Y54" s="630">
        <f t="shared" si="223"/>
        <v>-0.95179999999999998</v>
      </c>
      <c r="Z54" s="632">
        <f t="shared" si="243"/>
        <v>0.55403229322232339</v>
      </c>
      <c r="AA54" s="629">
        <f t="shared" si="244"/>
        <v>0.79124011523622384</v>
      </c>
      <c r="AB54" s="629">
        <f t="shared" si="245"/>
        <v>0.25881904510252091</v>
      </c>
      <c r="AC54" s="636">
        <f t="shared" si="416"/>
        <v>1</v>
      </c>
      <c r="AD54" s="637">
        <f t="shared" si="417"/>
        <v>0.55403229322232339</v>
      </c>
      <c r="AE54" s="629">
        <f t="shared" si="418"/>
        <v>0.79124011523622384</v>
      </c>
      <c r="AF54" s="633">
        <f t="shared" si="419"/>
        <v>0.25881904510252091</v>
      </c>
      <c r="AG54" s="602">
        <f t="shared" si="420"/>
        <v>108.11320873476267</v>
      </c>
      <c r="AH54" s="603">
        <f t="shared" si="421"/>
        <v>56.355912619133377</v>
      </c>
      <c r="AI54" s="585">
        <f t="shared" si="422"/>
        <v>-105.00000000000001</v>
      </c>
      <c r="AJ54" s="586">
        <f t="shared" si="423"/>
        <v>145</v>
      </c>
      <c r="AK54" s="635">
        <f t="shared" si="424"/>
        <v>-0.9659258262890682</v>
      </c>
      <c r="AL54" s="629">
        <f t="shared" si="425"/>
        <v>-3.3306690738754696E-16</v>
      </c>
      <c r="AM54" s="634">
        <f t="shared" si="426"/>
        <v>0.25881904510252091</v>
      </c>
      <c r="AN54" s="581">
        <f t="shared" si="427"/>
        <v>-179.99999999999991</v>
      </c>
      <c r="AO54" s="582">
        <f t="shared" si="94"/>
        <v>164.99999999999997</v>
      </c>
      <c r="AP54" s="585">
        <f t="shared" si="428"/>
        <v>-179.99999999999997</v>
      </c>
      <c r="AQ54" s="586">
        <f t="shared" si="246"/>
        <v>1.7653022636630331</v>
      </c>
      <c r="AS54" s="52">
        <f t="shared" si="406"/>
        <v>-125</v>
      </c>
      <c r="AT54" s="72">
        <f t="shared" si="247"/>
        <v>-0.8649944444444444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3.105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1.6669744101280981</v>
      </c>
      <c r="C55" s="708">
        <v>-1.1672280479743795</v>
      </c>
      <c r="D55" s="709">
        <v>-0.75249999999999995</v>
      </c>
      <c r="E55" s="710">
        <v>-0.55403229322232361</v>
      </c>
      <c r="F55" s="708">
        <v>-0.79124011523622373</v>
      </c>
      <c r="G55" s="711">
        <v>-0.25881904510252102</v>
      </c>
      <c r="H55" s="710">
        <v>0.314</v>
      </c>
      <c r="I55" s="708">
        <v>0.52</v>
      </c>
      <c r="J55" s="570">
        <v>3.1080000000000001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3.1080000000000001</v>
      </c>
      <c r="N55" s="632">
        <f t="shared" si="240"/>
        <v>1.6669744101280981</v>
      </c>
      <c r="O55" s="629">
        <f t="shared" si="241"/>
        <v>-1.1672280479743795</v>
      </c>
      <c r="P55" s="633">
        <f t="shared" si="242"/>
        <v>-0.75249999999999995</v>
      </c>
      <c r="Q55" s="585">
        <f t="shared" si="113"/>
        <v>325</v>
      </c>
      <c r="R55" s="629">
        <f t="shared" si="410"/>
        <v>2.0350000000000001</v>
      </c>
      <c r="S55" s="634">
        <f t="shared" si="411"/>
        <v>-0.75249999999999995</v>
      </c>
      <c r="T55" s="635">
        <f t="shared" si="412"/>
        <v>-1.1672280479743795</v>
      </c>
      <c r="U55" s="629">
        <f t="shared" si="413"/>
        <v>-1.6669744101280979</v>
      </c>
      <c r="V55" s="636">
        <f t="shared" si="414"/>
        <v>-0.75249999999999995</v>
      </c>
      <c r="W55" s="585">
        <f t="shared" si="224"/>
        <v>235</v>
      </c>
      <c r="X55" s="629">
        <f t="shared" si="415"/>
        <v>2.0350000000000001</v>
      </c>
      <c r="Y55" s="630">
        <f t="shared" si="223"/>
        <v>-0.75249999999999995</v>
      </c>
      <c r="Z55" s="632">
        <f t="shared" si="243"/>
        <v>0.55403229322232361</v>
      </c>
      <c r="AA55" s="629">
        <f t="shared" si="244"/>
        <v>0.79124011523622373</v>
      </c>
      <c r="AB55" s="629">
        <f t="shared" si="245"/>
        <v>0.25881904510252102</v>
      </c>
      <c r="AC55" s="636">
        <f t="shared" si="416"/>
        <v>1</v>
      </c>
      <c r="AD55" s="637">
        <f t="shared" si="417"/>
        <v>0.55403229322232361</v>
      </c>
      <c r="AE55" s="629">
        <f t="shared" si="418"/>
        <v>0.79124011523622373</v>
      </c>
      <c r="AF55" s="633">
        <f t="shared" si="419"/>
        <v>0.25881904510252102</v>
      </c>
      <c r="AG55" s="602">
        <f t="shared" si="420"/>
        <v>108.11320873476268</v>
      </c>
      <c r="AH55" s="603">
        <f t="shared" si="421"/>
        <v>56.355912619133363</v>
      </c>
      <c r="AI55" s="585">
        <f t="shared" si="422"/>
        <v>-105.00000000000001</v>
      </c>
      <c r="AJ55" s="586">
        <f t="shared" si="423"/>
        <v>145</v>
      </c>
      <c r="AK55" s="635">
        <f t="shared" si="424"/>
        <v>-0.96592582628906831</v>
      </c>
      <c r="AL55" s="629">
        <f t="shared" si="425"/>
        <v>-5.5511151231257827E-17</v>
      </c>
      <c r="AM55" s="634">
        <f t="shared" si="426"/>
        <v>0.25881904510252102</v>
      </c>
      <c r="AN55" s="581">
        <f t="shared" si="427"/>
        <v>-180</v>
      </c>
      <c r="AO55" s="582">
        <f>IF(ROUND(IF(M55="",0,DEGREES(ACOS(AK55))),4)=90,0,IF(M55="","",DEGREES(ACOS(AK55))))</f>
        <v>165</v>
      </c>
      <c r="AP55" s="585">
        <f t="shared" si="428"/>
        <v>-180</v>
      </c>
      <c r="AQ55" s="586">
        <f t="shared" si="246"/>
        <v>1.1201160658459701</v>
      </c>
      <c r="AS55" s="52">
        <f t="shared" si="406"/>
        <v>-125</v>
      </c>
      <c r="AT55" s="72">
        <f t="shared" si="247"/>
        <v>-0.66569444444444437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3.1080000000000001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2.2763416158746792</v>
      </c>
      <c r="C56" s="708">
        <v>-1.5939115589759227</v>
      </c>
      <c r="D56" s="709">
        <v>-0.55310000000000004</v>
      </c>
      <c r="E56" s="710">
        <v>-0.55403229322232328</v>
      </c>
      <c r="F56" s="708">
        <v>-0.79124011523622406</v>
      </c>
      <c r="G56" s="711">
        <v>-0.25881904510252074</v>
      </c>
      <c r="H56" s="710">
        <v>0.314</v>
      </c>
      <c r="I56" s="708">
        <v>0.52</v>
      </c>
      <c r="J56" s="570">
        <v>3.1110000000000002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3.1110000000000002</v>
      </c>
      <c r="N56" s="632">
        <f t="shared" si="240"/>
        <v>2.2763416158746792</v>
      </c>
      <c r="O56" s="629">
        <f t="shared" si="241"/>
        <v>-1.5939115589759227</v>
      </c>
      <c r="P56" s="633">
        <f t="shared" si="242"/>
        <v>-0.55310000000000004</v>
      </c>
      <c r="Q56" s="585">
        <f t="shared" si="113"/>
        <v>325</v>
      </c>
      <c r="R56" s="629">
        <f t="shared" si="410"/>
        <v>2.7789000000000001</v>
      </c>
      <c r="S56" s="634">
        <f t="shared" si="411"/>
        <v>-0.55310000000000004</v>
      </c>
      <c r="T56" s="635">
        <f t="shared" si="412"/>
        <v>-1.593911558975923</v>
      </c>
      <c r="U56" s="629">
        <f t="shared" si="413"/>
        <v>-2.2763416158746788</v>
      </c>
      <c r="V56" s="636">
        <f t="shared" si="414"/>
        <v>-0.55310000000000004</v>
      </c>
      <c r="W56" s="585">
        <f t="shared" si="224"/>
        <v>235</v>
      </c>
      <c r="X56" s="629">
        <f t="shared" si="415"/>
        <v>2.7789000000000001</v>
      </c>
      <c r="Y56" s="630">
        <f t="shared" si="223"/>
        <v>-0.55310000000000004</v>
      </c>
      <c r="Z56" s="632">
        <f t="shared" si="243"/>
        <v>0.55403229322232328</v>
      </c>
      <c r="AA56" s="629">
        <f t="shared" si="244"/>
        <v>0.79124011523622406</v>
      </c>
      <c r="AB56" s="629">
        <f t="shared" si="245"/>
        <v>0.25881904510252074</v>
      </c>
      <c r="AC56" s="636">
        <f t="shared" si="416"/>
        <v>1</v>
      </c>
      <c r="AD56" s="637">
        <f t="shared" si="417"/>
        <v>0.55403229322232328</v>
      </c>
      <c r="AE56" s="629">
        <f t="shared" si="418"/>
        <v>0.79124011523622406</v>
      </c>
      <c r="AF56" s="633">
        <f t="shared" si="419"/>
        <v>0.25881904510252074</v>
      </c>
      <c r="AG56" s="602">
        <f t="shared" si="420"/>
        <v>108.11320873476265</v>
      </c>
      <c r="AH56" s="603">
        <f t="shared" si="421"/>
        <v>56.355912619133392</v>
      </c>
      <c r="AI56" s="585">
        <f t="shared" si="422"/>
        <v>-105</v>
      </c>
      <c r="AJ56" s="586">
        <f t="shared" si="423"/>
        <v>145</v>
      </c>
      <c r="AK56" s="635">
        <f t="shared" si="424"/>
        <v>-0.96592582628906842</v>
      </c>
      <c r="AL56" s="629">
        <f t="shared" si="425"/>
        <v>-5.5511151231257827E-16</v>
      </c>
      <c r="AM56" s="634">
        <f t="shared" si="426"/>
        <v>0.25881904510252074</v>
      </c>
      <c r="AN56" s="581">
        <f t="shared" si="427"/>
        <v>-179.99999999999986</v>
      </c>
      <c r="AO56" s="582">
        <f t="shared" ref="AO56:AO119" si="461">IF(ROUND(IF(M56="",0,DEGREES(ACOS(AK56))),4)=90,0,IF(M56="","",DEGREES(ACOS(AK56))))</f>
        <v>165.00000000000003</v>
      </c>
      <c r="AP56" s="585">
        <f t="shared" si="428"/>
        <v>-179.99999999999997</v>
      </c>
      <c r="AQ56" s="586">
        <f t="shared" si="246"/>
        <v>0.82031410356972856</v>
      </c>
      <c r="AS56" s="52">
        <f t="shared" si="406"/>
        <v>-125</v>
      </c>
      <c r="AT56" s="72">
        <f t="shared" si="247"/>
        <v>-0.46629444444444446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3.1110000000000002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2.8857907368256885</v>
      </c>
      <c r="C57" s="708">
        <v>-2.0206524276211013</v>
      </c>
      <c r="D57" s="709">
        <v>-0.3538</v>
      </c>
      <c r="E57" s="710">
        <v>-0.55403229322232361</v>
      </c>
      <c r="F57" s="708">
        <v>-0.79124011523622373</v>
      </c>
      <c r="G57" s="711">
        <v>-0.25881904510252052</v>
      </c>
      <c r="H57" s="710">
        <v>0.314</v>
      </c>
      <c r="I57" s="708">
        <v>0.52</v>
      </c>
      <c r="J57" s="570">
        <v>3.1139999999999999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3.1139999999999999</v>
      </c>
      <c r="N57" s="632">
        <f t="shared" si="240"/>
        <v>2.8857907368256885</v>
      </c>
      <c r="O57" s="629">
        <f t="shared" si="241"/>
        <v>-2.0206524276211013</v>
      </c>
      <c r="P57" s="633">
        <f t="shared" si="242"/>
        <v>-0.3538</v>
      </c>
      <c r="Q57" s="585">
        <f t="shared" si="113"/>
        <v>325</v>
      </c>
      <c r="R57" s="629">
        <f t="shared" si="410"/>
        <v>3.5228999999999999</v>
      </c>
      <c r="S57" s="634">
        <f t="shared" si="411"/>
        <v>-0.3538</v>
      </c>
      <c r="T57" s="635">
        <f t="shared" si="412"/>
        <v>-2.0206524276211013</v>
      </c>
      <c r="U57" s="629">
        <f t="shared" si="413"/>
        <v>-2.8857907368256885</v>
      </c>
      <c r="V57" s="636">
        <f t="shared" si="414"/>
        <v>-0.3538</v>
      </c>
      <c r="W57" s="585">
        <f t="shared" si="224"/>
        <v>235</v>
      </c>
      <c r="X57" s="629">
        <f t="shared" si="415"/>
        <v>3.5228999999999999</v>
      </c>
      <c r="Y57" s="630">
        <f t="shared" si="223"/>
        <v>-0.3538</v>
      </c>
      <c r="Z57" s="632">
        <f t="shared" si="243"/>
        <v>0.55403229322232361</v>
      </c>
      <c r="AA57" s="629">
        <f t="shared" si="244"/>
        <v>0.79124011523622373</v>
      </c>
      <c r="AB57" s="629">
        <f t="shared" si="245"/>
        <v>0.25881904510252052</v>
      </c>
      <c r="AC57" s="636">
        <f t="shared" si="416"/>
        <v>1</v>
      </c>
      <c r="AD57" s="637">
        <f t="shared" si="417"/>
        <v>0.55403229322232361</v>
      </c>
      <c r="AE57" s="629">
        <f t="shared" si="418"/>
        <v>0.79124011523622373</v>
      </c>
      <c r="AF57" s="633">
        <f t="shared" si="419"/>
        <v>0.25881904510252052</v>
      </c>
      <c r="AG57" s="602">
        <f t="shared" si="420"/>
        <v>108.11320873476264</v>
      </c>
      <c r="AH57" s="603">
        <f t="shared" si="421"/>
        <v>56.355912619133363</v>
      </c>
      <c r="AI57" s="585">
        <f t="shared" si="422"/>
        <v>-104.99999999999999</v>
      </c>
      <c r="AJ57" s="586">
        <f t="shared" si="423"/>
        <v>145</v>
      </c>
      <c r="AK57" s="635">
        <f t="shared" si="424"/>
        <v>-0.96592582628906831</v>
      </c>
      <c r="AL57" s="629">
        <f t="shared" si="425"/>
        <v>-5.5511151231257827E-17</v>
      </c>
      <c r="AM57" s="634">
        <f t="shared" si="426"/>
        <v>0.25881904510252052</v>
      </c>
      <c r="AN57" s="581">
        <f t="shared" si="427"/>
        <v>-180</v>
      </c>
      <c r="AO57" s="582">
        <f t="shared" si="461"/>
        <v>165</v>
      </c>
      <c r="AP57" s="585">
        <f t="shared" si="428"/>
        <v>-180</v>
      </c>
      <c r="AQ57" s="586">
        <f t="shared" si="246"/>
        <v>0.64708896200506827</v>
      </c>
      <c r="AS57" s="52">
        <f t="shared" si="406"/>
        <v>-125</v>
      </c>
      <c r="AT57" s="72">
        <f t="shared" si="247"/>
        <v>-0.26699444444444442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3.1139999999999999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3.4915357340830293</v>
      </c>
      <c r="C58" s="708">
        <v>-2.4538924136198967</v>
      </c>
      <c r="D58" s="709">
        <v>-0.1552</v>
      </c>
      <c r="E58" s="710">
        <v>-0.57719944991447569</v>
      </c>
      <c r="F58" s="708">
        <v>-0.77453332977794753</v>
      </c>
      <c r="G58" s="711">
        <v>-0.25872556132224755</v>
      </c>
      <c r="H58" s="710">
        <v>0.314</v>
      </c>
      <c r="I58" s="708">
        <v>0.52</v>
      </c>
      <c r="J58" s="570">
        <v>3.117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3.117</v>
      </c>
      <c r="N58" s="632">
        <f t="shared" si="240"/>
        <v>3.4915357340830293</v>
      </c>
      <c r="O58" s="629">
        <f t="shared" si="241"/>
        <v>-2.4538924136198967</v>
      </c>
      <c r="P58" s="633">
        <f t="shared" si="242"/>
        <v>-0.1552</v>
      </c>
      <c r="Q58" s="585">
        <f t="shared" si="113"/>
        <v>324.89999999999998</v>
      </c>
      <c r="R58" s="629">
        <f t="shared" si="410"/>
        <v>4.2675999999999998</v>
      </c>
      <c r="S58" s="634">
        <f t="shared" si="411"/>
        <v>-0.1552</v>
      </c>
      <c r="T58" s="635">
        <f t="shared" si="412"/>
        <v>-2.4538924136198963</v>
      </c>
      <c r="U58" s="629">
        <f t="shared" si="413"/>
        <v>-3.4915357340830293</v>
      </c>
      <c r="V58" s="636">
        <f t="shared" si="414"/>
        <v>-0.1552</v>
      </c>
      <c r="W58" s="585">
        <f t="shared" si="224"/>
        <v>234.89999999999998</v>
      </c>
      <c r="X58" s="629">
        <f t="shared" si="415"/>
        <v>4.2675999999999998</v>
      </c>
      <c r="Y58" s="630">
        <f t="shared" si="223"/>
        <v>-0.1552</v>
      </c>
      <c r="Z58" s="632">
        <f t="shared" si="243"/>
        <v>0.57719944991447569</v>
      </c>
      <c r="AA58" s="629">
        <f t="shared" si="244"/>
        <v>0.77453332977794753</v>
      </c>
      <c r="AB58" s="629">
        <f t="shared" si="245"/>
        <v>0.25872556132224755</v>
      </c>
      <c r="AC58" s="636">
        <f t="shared" si="416"/>
        <v>1</v>
      </c>
      <c r="AD58" s="637">
        <f t="shared" si="417"/>
        <v>0.57719944991447569</v>
      </c>
      <c r="AE58" s="629">
        <f t="shared" si="418"/>
        <v>0.77453332977794753</v>
      </c>
      <c r="AF58" s="633">
        <f t="shared" si="419"/>
        <v>0.25872556132224755</v>
      </c>
      <c r="AG58" s="602">
        <f t="shared" si="420"/>
        <v>108.47141101357353</v>
      </c>
      <c r="AH58" s="603">
        <f t="shared" si="421"/>
        <v>54.746193023805304</v>
      </c>
      <c r="AI58" s="585">
        <f t="shared" si="422"/>
        <v>-104.9944548986302</v>
      </c>
      <c r="AJ58" s="586">
        <f t="shared" si="423"/>
        <v>143.30570224225062</v>
      </c>
      <c r="AK58" s="635">
        <f t="shared" si="424"/>
        <v>-0.96557694007140515</v>
      </c>
      <c r="AL58" s="629">
        <f t="shared" si="425"/>
        <v>2.6874834340518516E-2</v>
      </c>
      <c r="AM58" s="634">
        <f t="shared" si="426"/>
        <v>0.25872556132224755</v>
      </c>
      <c r="AN58" s="581">
        <f t="shared" si="427"/>
        <v>174.06973140637615</v>
      </c>
      <c r="AO58" s="582">
        <f t="shared" si="461"/>
        <v>164.92295897981779</v>
      </c>
      <c r="AP58" s="585">
        <f t="shared" si="428"/>
        <v>178.40570224225064</v>
      </c>
      <c r="AQ58" s="586">
        <f t="shared" si="246"/>
        <v>0.53417859665293366</v>
      </c>
      <c r="AS58" s="52">
        <f t="shared" si="406"/>
        <v>-125.10000000000002</v>
      </c>
      <c r="AT58" s="72">
        <f t="shared" si="247"/>
        <v>-6.8324999999999983E-2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3.117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4.1024535203536674</v>
      </c>
      <c r="C59" s="708">
        <v>-2.924091572324266</v>
      </c>
      <c r="D59" s="709">
        <v>-0.06</v>
      </c>
      <c r="E59" s="710">
        <v>-0.6103951758849917</v>
      </c>
      <c r="F59" s="708">
        <v>-0.74879344014836102</v>
      </c>
      <c r="G59" s="711">
        <v>-0.25831398190402494</v>
      </c>
      <c r="H59" s="710">
        <v>0.314</v>
      </c>
      <c r="I59" s="708">
        <v>0.52</v>
      </c>
      <c r="J59" s="570">
        <v>3.12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3.12</v>
      </c>
      <c r="N59" s="632">
        <f t="shared" si="240"/>
        <v>4.1024535203536674</v>
      </c>
      <c r="O59" s="629">
        <f t="shared" si="241"/>
        <v>-2.924091572324266</v>
      </c>
      <c r="P59" s="633">
        <f t="shared" si="242"/>
        <v>-0.06</v>
      </c>
      <c r="Q59" s="585">
        <f t="shared" si="113"/>
        <v>324.52</v>
      </c>
      <c r="R59" s="629">
        <f t="shared" si="79"/>
        <v>5.0378999999999996</v>
      </c>
      <c r="S59" s="634">
        <f t="shared" si="80"/>
        <v>-0.06</v>
      </c>
      <c r="T59" s="635">
        <f t="shared" si="81"/>
        <v>-2.9240915723242678</v>
      </c>
      <c r="U59" s="629">
        <f t="shared" si="82"/>
        <v>-4.1024535203536665</v>
      </c>
      <c r="V59" s="636">
        <f t="shared" si="114"/>
        <v>-0.06</v>
      </c>
      <c r="W59" s="585">
        <f t="shared" si="224"/>
        <v>234.51999999999998</v>
      </c>
      <c r="X59" s="629">
        <f t="shared" si="83"/>
        <v>5.0378999999999996</v>
      </c>
      <c r="Y59" s="630">
        <f t="shared" si="223"/>
        <v>-0.06</v>
      </c>
      <c r="Z59" s="632">
        <f t="shared" si="243"/>
        <v>0.6103951758849917</v>
      </c>
      <c r="AA59" s="629">
        <f t="shared" si="244"/>
        <v>0.74879344014836102</v>
      </c>
      <c r="AB59" s="629">
        <f t="shared" si="245"/>
        <v>0.25831398190402494</v>
      </c>
      <c r="AC59" s="636">
        <f t="shared" si="84"/>
        <v>1</v>
      </c>
      <c r="AD59" s="637">
        <f t="shared" si="115"/>
        <v>0.6103951758849917</v>
      </c>
      <c r="AE59" s="629">
        <f t="shared" si="85"/>
        <v>0.74879344014836102</v>
      </c>
      <c r="AF59" s="633">
        <f t="shared" si="86"/>
        <v>0.25831398190402494</v>
      </c>
      <c r="AG59" s="602">
        <f t="shared" si="87"/>
        <v>109.03308352632878</v>
      </c>
      <c r="AH59" s="603">
        <f t="shared" si="88"/>
        <v>52.381917758488775</v>
      </c>
      <c r="AI59" s="585">
        <f t="shared" si="89"/>
        <v>-104.97004328562946</v>
      </c>
      <c r="AJ59" s="586">
        <f t="shared" si="90"/>
        <v>140.81405723869946</v>
      </c>
      <c r="AK59" s="635">
        <f t="shared" si="211"/>
        <v>-0.96404090477124793</v>
      </c>
      <c r="AL59" s="629">
        <f t="shared" si="91"/>
        <v>6.244213866229209E-2</v>
      </c>
      <c r="AM59" s="634">
        <f t="shared" si="92"/>
        <v>0.25831398190402494</v>
      </c>
      <c r="AN59" s="581">
        <f t="shared" si="93"/>
        <v>166.41060133741126</v>
      </c>
      <c r="AO59" s="582">
        <f t="shared" si="461"/>
        <v>164.58824569795448</v>
      </c>
      <c r="AP59" s="585">
        <f t="shared" si="95"/>
        <v>176.29405723869951</v>
      </c>
      <c r="AQ59" s="586">
        <f t="shared" si="246"/>
        <v>0.45250585228952583</v>
      </c>
      <c r="AS59" s="52">
        <f t="shared" si="406"/>
        <v>-125.48000000000002</v>
      </c>
      <c r="AT59" s="72">
        <f t="shared" si="247"/>
        <v>2.7138888888888907E-2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3.12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4.6824009706759844</v>
      </c>
      <c r="C60" s="708">
        <v>-3.4032122178630875</v>
      </c>
      <c r="D60" s="709">
        <v>-0.13879999999999995</v>
      </c>
      <c r="E60" s="710">
        <v>-0.67468063589033045</v>
      </c>
      <c r="F60" s="708">
        <v>-0.69809919014412303</v>
      </c>
      <c r="G60" s="711">
        <v>-0.23971558204409432</v>
      </c>
      <c r="H60" s="710">
        <v>0.314</v>
      </c>
      <c r="I60" s="708">
        <v>0.52</v>
      </c>
      <c r="J60" s="570">
        <v>3.1230000000000002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3.1230000000000002</v>
      </c>
      <c r="N60" s="632">
        <f t="shared" si="240"/>
        <v>4.6824009706759844</v>
      </c>
      <c r="O60" s="629">
        <f t="shared" si="241"/>
        <v>-3.4032122178630875</v>
      </c>
      <c r="P60" s="633">
        <f t="shared" si="242"/>
        <v>-0.13879999999999995</v>
      </c>
      <c r="Q60" s="585">
        <f t="shared" si="113"/>
        <v>323.99</v>
      </c>
      <c r="R60" s="629">
        <f t="shared" si="79"/>
        <v>5.7885</v>
      </c>
      <c r="S60" s="634">
        <f t="shared" si="80"/>
        <v>-0.13879999999999995</v>
      </c>
      <c r="T60" s="635">
        <f t="shared" si="81"/>
        <v>-3.4032122178630875</v>
      </c>
      <c r="U60" s="629">
        <f t="shared" si="82"/>
        <v>-4.6824009706759853</v>
      </c>
      <c r="V60" s="636">
        <f t="shared" si="114"/>
        <v>-0.13879999999999995</v>
      </c>
      <c r="W60" s="585">
        <f t="shared" si="224"/>
        <v>233.99</v>
      </c>
      <c r="X60" s="629">
        <f t="shared" si="83"/>
        <v>5.7885</v>
      </c>
      <c r="Y60" s="630">
        <f t="shared" si="223"/>
        <v>-0.13879999999999995</v>
      </c>
      <c r="Z60" s="632">
        <f t="shared" si="243"/>
        <v>0.67468063589033045</v>
      </c>
      <c r="AA60" s="629">
        <f t="shared" si="244"/>
        <v>0.69809919014412303</v>
      </c>
      <c r="AB60" s="629">
        <f t="shared" si="245"/>
        <v>0.23971558204409432</v>
      </c>
      <c r="AC60" s="636">
        <f t="shared" si="84"/>
        <v>1</v>
      </c>
      <c r="AD60" s="637">
        <f t="shared" si="115"/>
        <v>0.67468063589033045</v>
      </c>
      <c r="AE60" s="629">
        <f t="shared" si="85"/>
        <v>0.69809919014412303</v>
      </c>
      <c r="AF60" s="633">
        <f t="shared" si="86"/>
        <v>0.23971558204409432</v>
      </c>
      <c r="AG60" s="602">
        <f t="shared" si="87"/>
        <v>108.95161405192484</v>
      </c>
      <c r="AH60" s="603">
        <f t="shared" si="88"/>
        <v>47.570645343199438</v>
      </c>
      <c r="AI60" s="585">
        <f t="shared" si="89"/>
        <v>-103.86975439879379</v>
      </c>
      <c r="AJ60" s="586">
        <f t="shared" si="90"/>
        <v>135.97732655858496</v>
      </c>
      <c r="AK60" s="635">
        <f t="shared" si="211"/>
        <v>-0.96136507018684814</v>
      </c>
      <c r="AL60" s="629">
        <f t="shared" si="91"/>
        <v>0.13532790381106818</v>
      </c>
      <c r="AM60" s="634">
        <f t="shared" si="92"/>
        <v>0.23971558204409432</v>
      </c>
      <c r="AN60" s="581">
        <f t="shared" si="93"/>
        <v>150.55373907357293</v>
      </c>
      <c r="AO60" s="582">
        <f t="shared" si="461"/>
        <v>164.02150211702013</v>
      </c>
      <c r="AP60" s="585">
        <f t="shared" si="95"/>
        <v>171.98732655858495</v>
      </c>
      <c r="AQ60" s="586">
        <f t="shared" si="246"/>
        <v>0.39383099739154664</v>
      </c>
      <c r="AS60" s="52">
        <f t="shared" si="406"/>
        <v>-126.00999999999999</v>
      </c>
      <c r="AT60" s="72">
        <f t="shared" si="247"/>
        <v>-5.1293055555555508E-2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3.1230000000000002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5.2093691655598855</v>
      </c>
      <c r="C61" s="708">
        <v>-3.8702298364456236</v>
      </c>
      <c r="D61" s="709">
        <v>-0.37560000000000004</v>
      </c>
      <c r="E61" s="710">
        <v>-0.73284920591583247</v>
      </c>
      <c r="F61" s="708">
        <v>-0.64873477227420484</v>
      </c>
      <c r="G61" s="711">
        <v>-0.2051224917722809</v>
      </c>
      <c r="H61" s="710">
        <v>0.314</v>
      </c>
      <c r="I61" s="708">
        <v>0.52</v>
      </c>
      <c r="J61" s="570">
        <v>3.1259999999999999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3.1259999999999999</v>
      </c>
      <c r="N61" s="632">
        <f t="shared" si="240"/>
        <v>5.2093691655598855</v>
      </c>
      <c r="O61" s="629">
        <f t="shared" si="241"/>
        <v>-3.8702298364456236</v>
      </c>
      <c r="P61" s="633">
        <f t="shared" si="242"/>
        <v>-0.37560000000000004</v>
      </c>
      <c r="Q61" s="585">
        <f t="shared" si="113"/>
        <v>323.39</v>
      </c>
      <c r="R61" s="629">
        <f t="shared" si="79"/>
        <v>6.4897000000000009</v>
      </c>
      <c r="S61" s="634">
        <f t="shared" si="80"/>
        <v>-0.37560000000000004</v>
      </c>
      <c r="T61" s="635">
        <f t="shared" si="81"/>
        <v>-3.8702298364456236</v>
      </c>
      <c r="U61" s="629">
        <f t="shared" si="82"/>
        <v>-5.2093691655598855</v>
      </c>
      <c r="V61" s="636">
        <f t="shared" si="114"/>
        <v>-0.37560000000000004</v>
      </c>
      <c r="W61" s="585">
        <f t="shared" si="224"/>
        <v>233.39</v>
      </c>
      <c r="X61" s="629">
        <f t="shared" si="83"/>
        <v>6.4897000000000009</v>
      </c>
      <c r="Y61" s="630">
        <f t="shared" si="223"/>
        <v>-0.37560000000000004</v>
      </c>
      <c r="Z61" s="632">
        <f t="shared" si="243"/>
        <v>0.73284920591583247</v>
      </c>
      <c r="AA61" s="629">
        <f t="shared" si="244"/>
        <v>0.64873477227420484</v>
      </c>
      <c r="AB61" s="629">
        <f t="shared" si="245"/>
        <v>0.2051224917722809</v>
      </c>
      <c r="AC61" s="636">
        <f t="shared" si="84"/>
        <v>1</v>
      </c>
      <c r="AD61" s="637">
        <f t="shared" si="115"/>
        <v>0.73284920591583247</v>
      </c>
      <c r="AE61" s="629">
        <f t="shared" si="85"/>
        <v>0.64873477227420484</v>
      </c>
      <c r="AF61" s="633">
        <f t="shared" si="86"/>
        <v>0.2051224917722809</v>
      </c>
      <c r="AG61" s="602">
        <f t="shared" si="87"/>
        <v>107.54635672220486</v>
      </c>
      <c r="AH61" s="603">
        <f t="shared" si="88"/>
        <v>42.874212106173658</v>
      </c>
      <c r="AI61" s="585">
        <f t="shared" si="89"/>
        <v>-101.83666969258776</v>
      </c>
      <c r="AJ61" s="586">
        <f t="shared" si="90"/>
        <v>131.51598408144469</v>
      </c>
      <c r="AK61" s="635">
        <f t="shared" si="211"/>
        <v>-0.9577937010436065</v>
      </c>
      <c r="AL61" s="629">
        <f t="shared" si="91"/>
        <v>0.20138517723586608</v>
      </c>
      <c r="AM61" s="634">
        <f t="shared" si="92"/>
        <v>0.2051224917722809</v>
      </c>
      <c r="AN61" s="581">
        <f t="shared" si="93"/>
        <v>135.52674606938086</v>
      </c>
      <c r="AO61" s="582">
        <f t="shared" si="461"/>
        <v>163.29425986593532</v>
      </c>
      <c r="AP61" s="585">
        <f t="shared" si="95"/>
        <v>168.1259840814447</v>
      </c>
      <c r="AQ61" s="586">
        <f t="shared" si="246"/>
        <v>0.35127942242427262</v>
      </c>
      <c r="AS61" s="52">
        <f t="shared" si="406"/>
        <v>-126.61000000000001</v>
      </c>
      <c r="AT61" s="72">
        <f t="shared" si="247"/>
        <v>-0.28767638888888891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3.1259999999999999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5.6727267701847204</v>
      </c>
      <c r="C62" s="708">
        <v>-4.3058339762268636</v>
      </c>
      <c r="D62" s="709">
        <v>-0.75860000000000005</v>
      </c>
      <c r="E62" s="710">
        <v>-0.780864711319882</v>
      </c>
      <c r="F62" s="708">
        <v>-0.60462888895007427</v>
      </c>
      <c r="G62" s="711">
        <v>-0.15708026375810677</v>
      </c>
      <c r="H62" s="710">
        <v>0.314</v>
      </c>
      <c r="I62" s="708">
        <v>0.52</v>
      </c>
      <c r="J62" s="570">
        <v>3.129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3.129</v>
      </c>
      <c r="N62" s="632">
        <f t="shared" si="240"/>
        <v>5.6727267701847204</v>
      </c>
      <c r="O62" s="629">
        <f t="shared" si="241"/>
        <v>-4.3058339762268636</v>
      </c>
      <c r="P62" s="633">
        <f t="shared" si="242"/>
        <v>-0.75860000000000005</v>
      </c>
      <c r="Q62" s="585">
        <f t="shared" si="113"/>
        <v>322.79999999999995</v>
      </c>
      <c r="R62" s="629">
        <f t="shared" si="79"/>
        <v>7.1218000000000012</v>
      </c>
      <c r="S62" s="634">
        <f t="shared" si="80"/>
        <v>-0.75860000000000005</v>
      </c>
      <c r="T62" s="635">
        <f t="shared" si="81"/>
        <v>-4.3058339762268654</v>
      </c>
      <c r="U62" s="629">
        <f t="shared" si="82"/>
        <v>-5.6727267701847195</v>
      </c>
      <c r="V62" s="636">
        <f t="shared" si="114"/>
        <v>-0.75860000000000005</v>
      </c>
      <c r="W62" s="585">
        <f t="shared" si="224"/>
        <v>232.79999999999995</v>
      </c>
      <c r="X62" s="629">
        <f t="shared" si="83"/>
        <v>7.1218000000000012</v>
      </c>
      <c r="Y62" s="630">
        <f t="shared" si="223"/>
        <v>-0.75860000000000005</v>
      </c>
      <c r="Z62" s="632">
        <f t="shared" si="243"/>
        <v>0.780864711319882</v>
      </c>
      <c r="AA62" s="629">
        <f t="shared" si="244"/>
        <v>0.60462888895007427</v>
      </c>
      <c r="AB62" s="629">
        <f t="shared" si="245"/>
        <v>0.15708026375810677</v>
      </c>
      <c r="AC62" s="636">
        <f t="shared" si="84"/>
        <v>1</v>
      </c>
      <c r="AD62" s="637">
        <f t="shared" si="115"/>
        <v>0.780864711319882</v>
      </c>
      <c r="AE62" s="629">
        <f t="shared" si="85"/>
        <v>0.60462888895007427</v>
      </c>
      <c r="AF62" s="633">
        <f t="shared" si="86"/>
        <v>0.15708026375810677</v>
      </c>
      <c r="AG62" s="602">
        <f t="shared" si="87"/>
        <v>104.5632760201193</v>
      </c>
      <c r="AH62" s="603">
        <f t="shared" si="88"/>
        <v>38.660184124202274</v>
      </c>
      <c r="AI62" s="585">
        <f t="shared" si="89"/>
        <v>-99.037464712494454</v>
      </c>
      <c r="AJ62" s="586">
        <f t="shared" si="90"/>
        <v>127.75086379081721</v>
      </c>
      <c r="AK62" s="635">
        <f t="shared" si="211"/>
        <v>-0.95371511264172826</v>
      </c>
      <c r="AL62" s="629">
        <f t="shared" si="91"/>
        <v>0.2564240134161766</v>
      </c>
      <c r="AM62" s="634">
        <f t="shared" si="92"/>
        <v>0.15708026375810677</v>
      </c>
      <c r="AN62" s="581">
        <f t="shared" si="93"/>
        <v>121.49080920136009</v>
      </c>
      <c r="AO62" s="582">
        <f t="shared" si="461"/>
        <v>162.49964977488298</v>
      </c>
      <c r="AP62" s="585">
        <f t="shared" si="95"/>
        <v>164.95086379081727</v>
      </c>
      <c r="AQ62" s="586">
        <f t="shared" si="246"/>
        <v>0.3201020687292308</v>
      </c>
      <c r="AS62" s="52">
        <f t="shared" si="406"/>
        <v>-127.20000000000005</v>
      </c>
      <c r="AT62" s="72">
        <f t="shared" si="247"/>
        <v>-0.67026666666666668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3.129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6.0530720695852143</v>
      </c>
      <c r="C63" s="708">
        <v>-4.6850995592844527</v>
      </c>
      <c r="D63" s="709">
        <v>-1.2681999999999998</v>
      </c>
      <c r="E63" s="710">
        <v>-0.81608831964910411</v>
      </c>
      <c r="F63" s="708">
        <v>-0.56915608809882612</v>
      </c>
      <c r="G63" s="711">
        <v>-0.10030554277976436</v>
      </c>
      <c r="H63" s="710">
        <v>0.314</v>
      </c>
      <c r="I63" s="708">
        <v>0.52</v>
      </c>
      <c r="J63" s="570">
        <v>3.1320000000000001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3.1320000000000001</v>
      </c>
      <c r="N63" s="632">
        <f t="shared" si="240"/>
        <v>6.0530720695852143</v>
      </c>
      <c r="O63" s="629">
        <f t="shared" si="241"/>
        <v>-4.6850995592844527</v>
      </c>
      <c r="P63" s="633">
        <f t="shared" si="242"/>
        <v>-1.2681999999999998</v>
      </c>
      <c r="Q63" s="585">
        <f t="shared" si="113"/>
        <v>322.26</v>
      </c>
      <c r="R63" s="629">
        <f t="shared" si="79"/>
        <v>7.6543999999999999</v>
      </c>
      <c r="S63" s="634">
        <f t="shared" si="80"/>
        <v>-1.2681999999999998</v>
      </c>
      <c r="T63" s="635">
        <f t="shared" si="81"/>
        <v>-4.6850995592844518</v>
      </c>
      <c r="U63" s="629">
        <f t="shared" si="82"/>
        <v>-6.0530720695852143</v>
      </c>
      <c r="V63" s="636">
        <f t="shared" si="114"/>
        <v>-1.2681999999999998</v>
      </c>
      <c r="W63" s="585">
        <f t="shared" si="224"/>
        <v>232.26</v>
      </c>
      <c r="X63" s="629">
        <f t="shared" si="83"/>
        <v>7.6543999999999999</v>
      </c>
      <c r="Y63" s="630">
        <f t="shared" si="223"/>
        <v>-1.2681999999999998</v>
      </c>
      <c r="Z63" s="632">
        <f t="shared" si="243"/>
        <v>0.81608831964910411</v>
      </c>
      <c r="AA63" s="629">
        <f t="shared" si="244"/>
        <v>0.56915608809882612</v>
      </c>
      <c r="AB63" s="629">
        <f t="shared" si="245"/>
        <v>0.10030554277976436</v>
      </c>
      <c r="AC63" s="636">
        <f t="shared" si="84"/>
        <v>1</v>
      </c>
      <c r="AD63" s="637">
        <f t="shared" si="115"/>
        <v>0.81608831964910411</v>
      </c>
      <c r="AE63" s="629">
        <f t="shared" si="85"/>
        <v>0.56915608809882612</v>
      </c>
      <c r="AF63" s="633">
        <f t="shared" si="86"/>
        <v>0.10030554277976436</v>
      </c>
      <c r="AG63" s="602">
        <f t="shared" si="87"/>
        <v>99.994919930065322</v>
      </c>
      <c r="AH63" s="603">
        <f t="shared" si="88"/>
        <v>35.30488497111277</v>
      </c>
      <c r="AI63" s="585">
        <f t="shared" si="89"/>
        <v>-95.756765254366115</v>
      </c>
      <c r="AJ63" s="586">
        <f t="shared" si="90"/>
        <v>124.89267900036197</v>
      </c>
      <c r="AK63" s="635">
        <f t="shared" si="211"/>
        <v>-0.9495973357585954</v>
      </c>
      <c r="AL63" s="629">
        <f t="shared" si="91"/>
        <v>0.29699107395313151</v>
      </c>
      <c r="AM63" s="634">
        <f t="shared" si="92"/>
        <v>0.10030554277976436</v>
      </c>
      <c r="AN63" s="581">
        <f t="shared" si="93"/>
        <v>108.66184415334409</v>
      </c>
      <c r="AO63" s="582">
        <f t="shared" si="461"/>
        <v>161.73138580771197</v>
      </c>
      <c r="AP63" s="585">
        <f t="shared" si="95"/>
        <v>162.632679000362</v>
      </c>
      <c r="AQ63" s="586">
        <f t="shared" si="246"/>
        <v>0.29782949662292968</v>
      </c>
      <c r="AS63" s="52">
        <f t="shared" si="406"/>
        <v>-127.74000000000001</v>
      </c>
      <c r="AT63" s="72">
        <f t="shared" si="247"/>
        <v>-1.1794916666666664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3.1320000000000001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6.3438483628908315</v>
      </c>
      <c r="C64" s="708">
        <v>-4.9867400763070986</v>
      </c>
      <c r="D64" s="709">
        <v>-1.8747</v>
      </c>
      <c r="E64" s="710">
        <v>-0.86664961603771973</v>
      </c>
      <c r="F64" s="708">
        <v>-0.4893462725207276</v>
      </c>
      <c r="G64" s="711">
        <v>-9.7255686680742789E-2</v>
      </c>
      <c r="H64" s="710">
        <v>0.314</v>
      </c>
      <c r="I64" s="708">
        <v>0.52</v>
      </c>
      <c r="J64" s="570">
        <v>3.1349999999999998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3.1349999999999998</v>
      </c>
      <c r="N64" s="632">
        <f t="shared" si="240"/>
        <v>6.3438483628908315</v>
      </c>
      <c r="O64" s="629">
        <f t="shared" si="241"/>
        <v>-4.9867400763070986</v>
      </c>
      <c r="P64" s="633">
        <f t="shared" si="242"/>
        <v>-1.8747</v>
      </c>
      <c r="Q64" s="585">
        <f t="shared" si="113"/>
        <v>321.83</v>
      </c>
      <c r="R64" s="629">
        <f t="shared" si="79"/>
        <v>8.0692000000000004</v>
      </c>
      <c r="S64" s="634">
        <f t="shared" si="80"/>
        <v>-1.8747</v>
      </c>
      <c r="T64" s="635">
        <f t="shared" si="81"/>
        <v>-4.9867400763070995</v>
      </c>
      <c r="U64" s="629">
        <f t="shared" si="82"/>
        <v>-6.3438483628908306</v>
      </c>
      <c r="V64" s="636">
        <f t="shared" si="114"/>
        <v>-1.8747</v>
      </c>
      <c r="W64" s="585">
        <f t="shared" si="224"/>
        <v>231.82999999999998</v>
      </c>
      <c r="X64" s="629">
        <f t="shared" si="83"/>
        <v>8.0692000000000004</v>
      </c>
      <c r="Y64" s="630">
        <f t="shared" si="223"/>
        <v>-1.8747</v>
      </c>
      <c r="Z64" s="632">
        <f t="shared" si="243"/>
        <v>0.86664961603771973</v>
      </c>
      <c r="AA64" s="629">
        <f t="shared" si="244"/>
        <v>0.4893462725207276</v>
      </c>
      <c r="AB64" s="629">
        <f t="shared" si="245"/>
        <v>9.7255686680742789E-2</v>
      </c>
      <c r="AC64" s="636">
        <f t="shared" si="84"/>
        <v>1</v>
      </c>
      <c r="AD64" s="637">
        <f t="shared" si="115"/>
        <v>0.86664961603771973</v>
      </c>
      <c r="AE64" s="629">
        <f t="shared" si="85"/>
        <v>0.4893462725207276</v>
      </c>
      <c r="AF64" s="633">
        <f t="shared" si="86"/>
        <v>9.7255686680742789E-2</v>
      </c>
      <c r="AG64" s="602">
        <f t="shared" si="87"/>
        <v>101.24083851048226</v>
      </c>
      <c r="AH64" s="603">
        <f t="shared" si="88"/>
        <v>29.928393023073056</v>
      </c>
      <c r="AI64" s="585">
        <f t="shared" si="89"/>
        <v>-95.581162469451726</v>
      </c>
      <c r="AJ64" s="586">
        <f t="shared" si="90"/>
        <v>119.45087238880259</v>
      </c>
      <c r="AK64" s="635">
        <f t="shared" si="211"/>
        <v>-0.92030125938492091</v>
      </c>
      <c r="AL64" s="629">
        <f t="shared" si="91"/>
        <v>0.37892865210061055</v>
      </c>
      <c r="AM64" s="634">
        <f t="shared" si="92"/>
        <v>9.7255686680742789E-2</v>
      </c>
      <c r="AN64" s="581">
        <f t="shared" si="93"/>
        <v>104.39480026946289</v>
      </c>
      <c r="AO64" s="582">
        <f t="shared" si="461"/>
        <v>156.97016380424893</v>
      </c>
      <c r="AP64" s="585">
        <f t="shared" si="95"/>
        <v>157.62087238880261</v>
      </c>
      <c r="AQ64" s="586">
        <f t="shared" si="246"/>
        <v>0.2825197238479597</v>
      </c>
      <c r="AS64" s="52">
        <f t="shared" si="406"/>
        <v>-128.17000000000002</v>
      </c>
      <c r="AT64" s="72">
        <f t="shared" si="247"/>
        <v>-1.7856930555555555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3.1349999999999998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6.52131943005159</v>
      </c>
      <c r="C65" s="708">
        <v>-5.2059009067818032</v>
      </c>
      <c r="D65" s="709">
        <v>-2.5529999999999999</v>
      </c>
      <c r="E65" s="710">
        <v>-0.91126819152303695</v>
      </c>
      <c r="F65" s="708">
        <v>-0.40516412632874477</v>
      </c>
      <c r="G65" s="711">
        <v>-7.3704232270600689E-2</v>
      </c>
      <c r="H65" s="710">
        <v>0.314</v>
      </c>
      <c r="I65" s="708">
        <v>0.52</v>
      </c>
      <c r="J65" s="570">
        <v>3.1379999999999999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3.1379999999999999</v>
      </c>
      <c r="N65" s="632">
        <f t="shared" si="240"/>
        <v>6.52131943005159</v>
      </c>
      <c r="O65" s="629">
        <f t="shared" si="241"/>
        <v>-5.2059009067818032</v>
      </c>
      <c r="P65" s="633">
        <f t="shared" si="242"/>
        <v>-2.5529999999999999</v>
      </c>
      <c r="Q65" s="585">
        <f t="shared" si="113"/>
        <v>321.39999999999998</v>
      </c>
      <c r="R65" s="629">
        <f t="shared" si="79"/>
        <v>8.3444000000000003</v>
      </c>
      <c r="S65" s="634">
        <f t="shared" si="80"/>
        <v>-2.5529999999999999</v>
      </c>
      <c r="T65" s="635">
        <f t="shared" si="81"/>
        <v>-5.2059009067818076</v>
      </c>
      <c r="U65" s="629">
        <f t="shared" si="82"/>
        <v>-6.5213194300515864</v>
      </c>
      <c r="V65" s="636">
        <f t="shared" si="114"/>
        <v>-2.5529999999999999</v>
      </c>
      <c r="W65" s="585">
        <f t="shared" si="224"/>
        <v>231.39999999999998</v>
      </c>
      <c r="X65" s="629">
        <f t="shared" si="83"/>
        <v>8.3444000000000003</v>
      </c>
      <c r="Y65" s="630">
        <f t="shared" si="223"/>
        <v>-2.5529999999999999</v>
      </c>
      <c r="Z65" s="632">
        <f t="shared" si="243"/>
        <v>0.91126819152303695</v>
      </c>
      <c r="AA65" s="629">
        <f t="shared" si="244"/>
        <v>0.40516412632874477</v>
      </c>
      <c r="AB65" s="629">
        <f t="shared" si="245"/>
        <v>7.3704232270600689E-2</v>
      </c>
      <c r="AC65" s="636">
        <f t="shared" si="84"/>
        <v>1</v>
      </c>
      <c r="AD65" s="637">
        <f t="shared" si="115"/>
        <v>0.91126819152303695</v>
      </c>
      <c r="AE65" s="629">
        <f t="shared" si="85"/>
        <v>0.40516412632874477</v>
      </c>
      <c r="AF65" s="633">
        <f t="shared" si="86"/>
        <v>7.3704232270600689E-2</v>
      </c>
      <c r="AG65" s="602">
        <f t="shared" si="87"/>
        <v>100.31005190842178</v>
      </c>
      <c r="AH65" s="603">
        <f t="shared" si="88"/>
        <v>24.318801277108033</v>
      </c>
      <c r="AI65" s="585">
        <f t="shared" si="89"/>
        <v>-94.226774208677099</v>
      </c>
      <c r="AJ65" s="586">
        <f t="shared" si="90"/>
        <v>113.97068119079128</v>
      </c>
      <c r="AK65" s="635">
        <f t="shared" si="211"/>
        <v>-0.88516569123708289</v>
      </c>
      <c r="AL65" s="629">
        <f t="shared" si="91"/>
        <v>0.45940111580423748</v>
      </c>
      <c r="AM65" s="634">
        <f t="shared" si="92"/>
        <v>7.3704232270600689E-2</v>
      </c>
      <c r="AN65" s="581">
        <f t="shared" si="93"/>
        <v>99.114602866049779</v>
      </c>
      <c r="AO65" s="582">
        <f t="shared" si="461"/>
        <v>152.27191821724352</v>
      </c>
      <c r="AP65" s="585">
        <f t="shared" si="95"/>
        <v>152.57068119079133</v>
      </c>
      <c r="AQ65" s="586">
        <f t="shared" si="246"/>
        <v>0.2732023098441933</v>
      </c>
      <c r="AS65" s="52">
        <f t="shared" si="406"/>
        <v>-128.60000000000002</v>
      </c>
      <c r="AT65" s="72">
        <f t="shared" si="247"/>
        <v>-2.4636944444444442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3.1379999999999999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6.6535735304226646</v>
      </c>
      <c r="C66" s="708">
        <v>-5.3764307644811051</v>
      </c>
      <c r="D66" s="709">
        <v>-3.2458999999999998</v>
      </c>
      <c r="E66" s="710">
        <v>-0.94718030995909364</v>
      </c>
      <c r="F66" s="708">
        <v>-0.32064077396819324</v>
      </c>
      <c r="G66" s="711">
        <v>-6.2413536090727972E-3</v>
      </c>
      <c r="H66" s="710">
        <v>0.26600000000000001</v>
      </c>
      <c r="I66" s="708">
        <v>0.52</v>
      </c>
      <c r="J66" s="570">
        <v>3.141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1313</v>
      </c>
      <c r="L66" s="320"/>
      <c r="M66" s="168">
        <f t="shared" si="239"/>
        <v>3.141</v>
      </c>
      <c r="N66" s="632">
        <f t="shared" si="240"/>
        <v>6.6535735304226646</v>
      </c>
      <c r="O66" s="629">
        <f t="shared" si="241"/>
        <v>-5.3764307644811051</v>
      </c>
      <c r="P66" s="633">
        <f t="shared" si="242"/>
        <v>-3.2458999999999998</v>
      </c>
      <c r="Q66" s="585">
        <f t="shared" si="113"/>
        <v>321.06</v>
      </c>
      <c r="R66" s="629">
        <f t="shared" si="79"/>
        <v>8.5542999999999996</v>
      </c>
      <c r="S66" s="634">
        <f t="shared" si="80"/>
        <v>-3.2458999999999998</v>
      </c>
      <c r="T66" s="635">
        <f t="shared" si="81"/>
        <v>-5.3764307644811007</v>
      </c>
      <c r="U66" s="629">
        <f t="shared" si="82"/>
        <v>-6.6535735304226673</v>
      </c>
      <c r="V66" s="636">
        <f t="shared" si="114"/>
        <v>-3.2458999999999998</v>
      </c>
      <c r="W66" s="585">
        <f t="shared" si="224"/>
        <v>231.06</v>
      </c>
      <c r="X66" s="629">
        <f t="shared" si="83"/>
        <v>8.5542999999999996</v>
      </c>
      <c r="Y66" s="630">
        <f t="shared" si="223"/>
        <v>-3.2458999999999998</v>
      </c>
      <c r="Z66" s="632">
        <f t="shared" si="243"/>
        <v>0.94718030995909364</v>
      </c>
      <c r="AA66" s="629">
        <f t="shared" si="244"/>
        <v>0.32064077396819324</v>
      </c>
      <c r="AB66" s="629">
        <f t="shared" si="245"/>
        <v>6.2413536090727972E-3</v>
      </c>
      <c r="AC66" s="636">
        <f t="shared" si="84"/>
        <v>1</v>
      </c>
      <c r="AD66" s="637">
        <f t="shared" si="115"/>
        <v>0.94718030995909364</v>
      </c>
      <c r="AE66" s="629">
        <f t="shared" si="85"/>
        <v>0.32064077396819324</v>
      </c>
      <c r="AF66" s="633">
        <f t="shared" si="86"/>
        <v>6.2413536090727972E-3</v>
      </c>
      <c r="AG66" s="602">
        <f t="shared" si="87"/>
        <v>91.115135986207335</v>
      </c>
      <c r="AH66" s="603">
        <f t="shared" si="88"/>
        <v>18.705354713489069</v>
      </c>
      <c r="AI66" s="585">
        <f t="shared" si="89"/>
        <v>-90.357605541998112</v>
      </c>
      <c r="AJ66" s="586">
        <f t="shared" si="90"/>
        <v>108.70205837763642</v>
      </c>
      <c r="AK66" s="635">
        <f t="shared" si="211"/>
        <v>-0.84470457248679898</v>
      </c>
      <c r="AL66" s="629">
        <f t="shared" si="91"/>
        <v>0.53519644124846444</v>
      </c>
      <c r="AM66" s="634">
        <f t="shared" si="92"/>
        <v>6.2413536090727972E-3</v>
      </c>
      <c r="AN66" s="581">
        <f t="shared" si="93"/>
        <v>90.668141607371297</v>
      </c>
      <c r="AO66" s="582">
        <f t="shared" si="461"/>
        <v>147.64029706870994</v>
      </c>
      <c r="AP66" s="585">
        <f t="shared" si="95"/>
        <v>147.6420583776364</v>
      </c>
      <c r="AQ66" s="586">
        <f t="shared" si="246"/>
        <v>0.26649874235745852</v>
      </c>
      <c r="AS66" s="52">
        <f t="shared" si="406"/>
        <v>-128.94</v>
      </c>
      <c r="AT66" s="72">
        <f t="shared" si="247"/>
        <v>-3.1563583333333329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3.141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1313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6.6498184525382777</v>
      </c>
      <c r="C67" s="708">
        <v>-5.3810745245054354</v>
      </c>
      <c r="D67" s="709">
        <v>-3.9310999999999989</v>
      </c>
      <c r="E67" s="710">
        <v>-0.94763759469813857</v>
      </c>
      <c r="F67" s="708">
        <v>-0.31931668371335875</v>
      </c>
      <c r="G67" s="711">
        <v>-4.4547297369491416E-3</v>
      </c>
      <c r="H67" s="710">
        <v>0.26600000000000001</v>
      </c>
      <c r="I67" s="708">
        <v>0.52</v>
      </c>
      <c r="J67" s="570">
        <v>3.1440000000000001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3.1440000000000001</v>
      </c>
      <c r="N67" s="632">
        <f t="shared" si="240"/>
        <v>6.6498184525382777</v>
      </c>
      <c r="O67" s="629">
        <f t="shared" si="241"/>
        <v>-5.3810745245054354</v>
      </c>
      <c r="P67" s="633">
        <f t="shared" si="242"/>
        <v>-3.9310999999999989</v>
      </c>
      <c r="Q67" s="585">
        <f t="shared" si="113"/>
        <v>321.02</v>
      </c>
      <c r="R67" s="629">
        <f>IF(M67="","",SQRT(N67^2+O67^2))</f>
        <v>8.5542999999999978</v>
      </c>
      <c r="S67" s="634">
        <f>IF(M67="","",P67)</f>
        <v>-3.9310999999999989</v>
      </c>
      <c r="T67" s="635">
        <f>IF(M67="","",X67*COS(RADIANS(W67)))</f>
        <v>-5.3810745245054363</v>
      </c>
      <c r="U67" s="629">
        <f>IF(M67="","",X67*SIN(RADIANS(W67)))</f>
        <v>-6.6498184525382769</v>
      </c>
      <c r="V67" s="636">
        <f>IF(M67="","",Y67)</f>
        <v>-3.9310999999999989</v>
      </c>
      <c r="W67" s="585">
        <f t="shared" si="224"/>
        <v>231.01999999999998</v>
      </c>
      <c r="X67" s="629">
        <f>IF(M67="","",R67)</f>
        <v>8.5542999999999978</v>
      </c>
      <c r="Y67" s="630">
        <f t="shared" si="223"/>
        <v>-3.9310999999999989</v>
      </c>
      <c r="Z67" s="632">
        <f t="shared" si="243"/>
        <v>0.94763759469813857</v>
      </c>
      <c r="AA67" s="629">
        <f t="shared" si="244"/>
        <v>0.31931668371335875</v>
      </c>
      <c r="AB67" s="629">
        <f t="shared" si="245"/>
        <v>4.4547297369491416E-3</v>
      </c>
      <c r="AC67" s="636">
        <f>IF(M67="","",SQRT(Z67^2+AA67^2+AB67^2))</f>
        <v>1</v>
      </c>
      <c r="AD67" s="637">
        <f>IF(M67="","",Z67*(1/SQRT(Z67^2+AA67^2+AB67^2)))</f>
        <v>0.94763759469813857</v>
      </c>
      <c r="AE67" s="629">
        <f>IF(M67="","",AA67*(1/SQRT(Z67^2+AA67^2+AB67^2)))</f>
        <v>0.31931668371335875</v>
      </c>
      <c r="AF67" s="633">
        <f>IF(M67="","",AB67*(1/SQRT(Z67^2+AA67^2+AB67^2)))</f>
        <v>4.4547297369491416E-3</v>
      </c>
      <c r="AG67" s="602">
        <f>IF(M67="","",DEGREES(ATAN2(-AF67,AE67)))</f>
        <v>90.799271285221948</v>
      </c>
      <c r="AH67" s="603">
        <f>IF(M67="","",DEGREES(ACOS(AD67)))</f>
        <v>18.623484512539068</v>
      </c>
      <c r="AI67" s="585">
        <f>IF(M67="","",DEGREES(-ACOS(-AF67)))</f>
        <v>-90.25523805698694</v>
      </c>
      <c r="AJ67" s="586">
        <f>IF(M67="","",DEGREES(ATAN2(-AE67,AD67)))</f>
        <v>108.6217974188144</v>
      </c>
      <c r="AK67" s="635">
        <f>IF(M67="","",(COS(RADIANS((90-$Q$8)-W67))*AD67)+(-SIN(RADIANS((90-$Q$8)-W67))*AE67))</f>
        <v>-0.84433635655216499</v>
      </c>
      <c r="AL67" s="629">
        <f>IF(M67="","",(SIN(RADIANS((90-$Q$8)-W67))*AD67)+(COS(RADIANS((90-$Q$8)-W67))*AE67))</f>
        <v>0.53579499100606209</v>
      </c>
      <c r="AM67" s="634">
        <f>IF(M67="","",AF67)</f>
        <v>4.4547297369491416E-3</v>
      </c>
      <c r="AN67" s="581">
        <f>IF(M67="","",DEGREES(ATAN2(-AM67,AL67)))</f>
        <v>90.476360055799134</v>
      </c>
      <c r="AO67" s="582">
        <f t="shared" si="461"/>
        <v>147.60090154054191</v>
      </c>
      <c r="AP67" s="585">
        <f>IF(M67="","",DEGREES(ATAN2(AK67,AL67)))</f>
        <v>147.60179741881441</v>
      </c>
      <c r="AQ67" s="586">
        <f t="shared" si="246"/>
        <v>0.26649874235745857</v>
      </c>
      <c r="AS67" s="52">
        <f t="shared" si="406"/>
        <v>-128.98000000000002</v>
      </c>
      <c r="AT67" s="72">
        <f t="shared" si="247"/>
        <v>-3.8415305555555546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3.1440000000000001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1313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2.5688765944056109</v>
      </c>
      <c r="C68" s="708">
        <v>-3.0907163699292894</v>
      </c>
      <c r="D68" s="709">
        <v>-0.24328481303166233</v>
      </c>
      <c r="E68" s="710">
        <v>1.7441503535964967E-7</v>
      </c>
      <c r="F68" s="708">
        <v>1.4496661898583181E-7</v>
      </c>
      <c r="G68" s="711">
        <v>0.99999999999997435</v>
      </c>
      <c r="H68" s="710">
        <v>0.26250000000000001</v>
      </c>
      <c r="I68" s="708">
        <v>0.40699999999999997</v>
      </c>
      <c r="J68" s="570">
        <v>3.2160000000000002</v>
      </c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Inactive</v>
      </c>
      <c r="L68" s="320"/>
      <c r="M68" s="168">
        <f t="shared" si="239"/>
        <v>3.2160000000000002</v>
      </c>
      <c r="N68" s="632">
        <f t="shared" si="240"/>
        <v>2.5688765944056109</v>
      </c>
      <c r="O68" s="629">
        <f t="shared" si="241"/>
        <v>-3.0907163699292894</v>
      </c>
      <c r="P68" s="633">
        <f t="shared" si="242"/>
        <v>-0.24328481303166233</v>
      </c>
      <c r="Q68" s="585">
        <f t="shared" si="113"/>
        <v>309.73196827462903</v>
      </c>
      <c r="R68" s="629">
        <f>IF(M68="","",SQRT(N68^2+O68^2))</f>
        <v>4.0189121210389578</v>
      </c>
      <c r="S68" s="634">
        <f>IF(M68="","",P68)</f>
        <v>-0.24328481303166233</v>
      </c>
      <c r="T68" s="635">
        <f>IF(M68="","",X68*COS(RADIANS(W68)))</f>
        <v>-3.090716369929289</v>
      </c>
      <c r="U68" s="629">
        <f>IF(M68="","",X68*SIN(RADIANS(W68)))</f>
        <v>-2.5688765944056113</v>
      </c>
      <c r="V68" s="636">
        <f>IF(M68="","",Y68)</f>
        <v>-0.24328481303166233</v>
      </c>
      <c r="W68" s="585">
        <f t="shared" si="224"/>
        <v>219.73196827462903</v>
      </c>
      <c r="X68" s="629">
        <f>IF(M68="","",R68)</f>
        <v>4.0189121210389578</v>
      </c>
      <c r="Y68" s="630">
        <f t="shared" si="223"/>
        <v>-0.24328481303166233</v>
      </c>
      <c r="Z68" s="632">
        <f t="shared" si="243"/>
        <v>-1.7441503535964967E-7</v>
      </c>
      <c r="AA68" s="629">
        <f t="shared" si="244"/>
        <v>-1.4496661898583181E-7</v>
      </c>
      <c r="AB68" s="629">
        <f t="shared" si="245"/>
        <v>-0.99999999999997435</v>
      </c>
      <c r="AC68" s="636">
        <f>IF(M68="","",SQRT(Z68^2+AA68^2+AB68^2))</f>
        <v>1</v>
      </c>
      <c r="AD68" s="637">
        <f>IF(M68="","",Z68*(1/SQRT(Z68^2+AA68^2+AB68^2)))</f>
        <v>-1.7441503535964967E-7</v>
      </c>
      <c r="AE68" s="629">
        <f>IF(M68="","",AA68*(1/SQRT(Z68^2+AA68^2+AB68^2)))</f>
        <v>-1.4496661898583181E-7</v>
      </c>
      <c r="AF68" s="633">
        <f>IF(M68="","",AB68*(1/SQRT(Z68^2+AA68^2+AB68^2)))</f>
        <v>-0.99999999999997435</v>
      </c>
      <c r="AG68" s="602">
        <f>IF(M68="","",DEGREES(ATAN2(-AF68,AE68)))</f>
        <v>-8.3059754381693878E-6</v>
      </c>
      <c r="AH68" s="603">
        <f>IF(M68="","",DEGREES(ACOS(AD68)))</f>
        <v>90.000009993245399</v>
      </c>
      <c r="AI68" s="585">
        <f>IF(M68="","",DEGREES(-ACOS(-AF68)))</f>
        <v>-1.2976235990044085E-5</v>
      </c>
      <c r="AJ68" s="586">
        <f>IF(M68="","",DEGREES(ATAN2(-AE68,AD68)))</f>
        <v>-50.268031703685132</v>
      </c>
      <c r="AK68" s="635">
        <f>IF(M68="","",(COS(RADIANS((90-$Q$8)-W68))*AD68)+(-SIN(RADIANS((90-$Q$8)-W68))*AE68))</f>
        <v>2.2679489672320928E-7</v>
      </c>
      <c r="AL68" s="629">
        <f>IF(M68="","",(SIN(RADIANS((90-$Q$8)-W68))*AD68)+(COS(RADIANS((90-$Q$8)-W68))*AE68))</f>
        <v>8.583947031016347E-17</v>
      </c>
      <c r="AM68" s="634">
        <f>IF(M68="","",AF68)</f>
        <v>-0.99999999999997435</v>
      </c>
      <c r="AN68" s="581">
        <f>IF(M68="","",DEGREES(ATAN2(-AM68,AL68)))</f>
        <v>4.9182393644110287E-15</v>
      </c>
      <c r="AO68" s="582">
        <f t="shared" si="461"/>
        <v>0</v>
      </c>
      <c r="AP68" s="585">
        <f>IF(M68="","",DEGREES(ATAN2(AK68,AL68)))</f>
        <v>2.1685846707623865E-8</v>
      </c>
      <c r="AQ68" s="586">
        <f t="shared" si="246"/>
        <v>0.56723115195583207</v>
      </c>
      <c r="AS68" s="52">
        <f t="shared" si="406"/>
        <v>-140.26803172537097</v>
      </c>
      <c r="AT68" s="72">
        <f t="shared" si="247"/>
        <v>-0.14587645766682136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Nose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3.2160000000000002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1.1160000000000001</v>
      </c>
      <c r="II68" s="734" cm="1">
        <f t="array" ref="II68">IFERROR(ROUND(VALUE(IF($IH68&lt;1,$IH68+LARGE((IF($M$9:$M$150="",0,$M$9:$M$150)-MOD(IF($M$9:$M$150="",0,$M$9:$M$150),1)),1),$IH68)),4),"")</f>
        <v>1.1160000000000001</v>
      </c>
      <c r="IJ68" s="533">
        <f t="shared" si="112"/>
        <v>1613</v>
      </c>
      <c r="IK68" s="533" t="str">
        <f t="shared" si="382"/>
        <v>Inactive</v>
      </c>
      <c r="IL68" s="727">
        <f t="shared" si="225"/>
        <v>140.22803172537101</v>
      </c>
      <c r="IM68" s="759">
        <v>5.9377507419507702E-2</v>
      </c>
      <c r="IN68" s="5">
        <f t="shared" si="226"/>
        <v>0.16</v>
      </c>
      <c r="IO68" s="771">
        <v>80</v>
      </c>
      <c r="IP68" s="9">
        <f t="shared" si="227"/>
        <v>-4.0189000000000004</v>
      </c>
      <c r="IQ68" s="5">
        <f t="shared" si="228"/>
        <v>-0.22090000000000001</v>
      </c>
      <c r="IR68" s="5">
        <f t="shared" si="383"/>
        <v>0.314</v>
      </c>
      <c r="IS68" s="5">
        <f t="shared" si="229"/>
        <v>-0.30326493648688452</v>
      </c>
      <c r="IT68" s="727">
        <f t="shared" si="230"/>
        <v>-176.60365734160374</v>
      </c>
      <c r="IU68" s="9">
        <f t="shared" si="231"/>
        <v>-4.0189121210389578</v>
      </c>
      <c r="IV68" s="5">
        <f t="shared" si="232"/>
        <v>-0.24328481303166233</v>
      </c>
      <c r="IW68" s="5">
        <f t="shared" si="384"/>
        <v>0.26250000000000001</v>
      </c>
      <c r="IX68" s="5">
        <f t="shared" si="233"/>
        <v>0.26250000000000001</v>
      </c>
      <c r="IY68" s="762">
        <f t="shared" si="234"/>
        <v>-4.9182393644110287E-15</v>
      </c>
    </row>
    <row r="69" spans="1:259" ht="15" customHeight="1" x14ac:dyDescent="0.25">
      <c r="A69" s="79"/>
      <c r="B69" s="707">
        <v>3.0839191270454238</v>
      </c>
      <c r="C69" s="708">
        <v>-3.6569613811829007</v>
      </c>
      <c r="D69" s="709">
        <v>-9.377870378790347E-2</v>
      </c>
      <c r="E69" s="710">
        <v>1.7337577128797489E-7</v>
      </c>
      <c r="F69" s="708">
        <v>1.4620795835993965E-7</v>
      </c>
      <c r="G69" s="711">
        <v>0.99999999999997435</v>
      </c>
      <c r="H69" s="710">
        <v>0.26250000000000001</v>
      </c>
      <c r="I69" s="708">
        <v>0.40699999999999997</v>
      </c>
      <c r="J69" s="570">
        <v>3.2189999999999999</v>
      </c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Inactive</v>
      </c>
      <c r="L69" s="320"/>
      <c r="M69" s="168">
        <f t="shared" si="239"/>
        <v>3.2189999999999999</v>
      </c>
      <c r="N69" s="632">
        <f t="shared" si="240"/>
        <v>3.0839191270454238</v>
      </c>
      <c r="O69" s="629">
        <f t="shared" si="241"/>
        <v>-3.6569613811829007</v>
      </c>
      <c r="P69" s="633">
        <f t="shared" si="242"/>
        <v>-9.377870378790347E-2</v>
      </c>
      <c r="Q69" s="585">
        <f t="shared" si="113"/>
        <v>310.14096821557672</v>
      </c>
      <c r="R69" s="629">
        <f t="shared" si="79"/>
        <v>4.7837144276827139</v>
      </c>
      <c r="S69" s="634">
        <f t="shared" si="80"/>
        <v>-9.377870378790347E-2</v>
      </c>
      <c r="T69" s="635">
        <f t="shared" si="81"/>
        <v>-3.6569613811829016</v>
      </c>
      <c r="U69" s="629">
        <f t="shared" si="82"/>
        <v>-3.0839191270454225</v>
      </c>
      <c r="V69" s="636">
        <f t="shared" si="114"/>
        <v>-9.377870378790347E-2</v>
      </c>
      <c r="W69" s="585">
        <f t="shared" si="224"/>
        <v>220.14096821557672</v>
      </c>
      <c r="X69" s="629">
        <f t="shared" si="83"/>
        <v>4.7837144276827139</v>
      </c>
      <c r="Y69" s="630">
        <f t="shared" si="223"/>
        <v>-9.377870378790347E-2</v>
      </c>
      <c r="Z69" s="632">
        <f t="shared" si="243"/>
        <v>-1.7337577128797489E-7</v>
      </c>
      <c r="AA69" s="629">
        <f t="shared" si="244"/>
        <v>-1.4620795835993965E-7</v>
      </c>
      <c r="AB69" s="629">
        <f t="shared" si="245"/>
        <v>-0.99999999999997435</v>
      </c>
      <c r="AC69" s="636">
        <f t="shared" si="84"/>
        <v>1</v>
      </c>
      <c r="AD69" s="637">
        <f t="shared" si="115"/>
        <v>-1.7337577128797489E-7</v>
      </c>
      <c r="AE69" s="629">
        <f t="shared" si="85"/>
        <v>-1.4620795835993965E-7</v>
      </c>
      <c r="AF69" s="633">
        <f t="shared" si="86"/>
        <v>-0.99999999999997435</v>
      </c>
      <c r="AG69" s="602">
        <f t="shared" si="87"/>
        <v>-8.3770989452491798E-6</v>
      </c>
      <c r="AH69" s="603">
        <f t="shared" si="88"/>
        <v>90.000009933699971</v>
      </c>
      <c r="AI69" s="585">
        <f t="shared" si="89"/>
        <v>-1.2976235990044085E-5</v>
      </c>
      <c r="AJ69" s="586">
        <f t="shared" si="90"/>
        <v>-49.859031779001775</v>
      </c>
      <c r="AK69" s="635">
        <f t="shared" si="211"/>
        <v>2.2679489667424623E-7</v>
      </c>
      <c r="AL69" s="629">
        <f t="shared" si="91"/>
        <v>2.1460042939830729E-17</v>
      </c>
      <c r="AM69" s="634">
        <f t="shared" si="92"/>
        <v>-0.99999999999997435</v>
      </c>
      <c r="AN69" s="581">
        <f t="shared" si="93"/>
        <v>1.2295698886218521E-15</v>
      </c>
      <c r="AO69" s="582">
        <f t="shared" si="461"/>
        <v>0</v>
      </c>
      <c r="AP69" s="585">
        <f t="shared" si="95"/>
        <v>5.4215059803038537E-9</v>
      </c>
      <c r="AQ69" s="586">
        <f t="shared" si="246"/>
        <v>0.4765489447549221</v>
      </c>
      <c r="AS69" s="52">
        <f t="shared" si="406"/>
        <v>-139.85903178442328</v>
      </c>
      <c r="AT69" s="72">
        <f t="shared" si="247"/>
        <v>3.3456238401682603E-3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Nose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3.2189999999999999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1.119</v>
      </c>
      <c r="II69" s="734" cm="1">
        <f t="array" ref="II69">IFERROR(ROUND(VALUE(IF($IH69&lt;1,$IH69+LARGE((IF($M$9:$M$150="",0,$M$9:$M$150)-MOD(IF($M$9:$M$150="",0,$M$9:$M$150),1)),1),$IH69)),4),"")</f>
        <v>1.119</v>
      </c>
      <c r="IJ69" s="533">
        <f t="shared" si="112"/>
        <v>1613</v>
      </c>
      <c r="IK69" s="533" t="str">
        <f t="shared" si="382"/>
        <v>Inactive</v>
      </c>
      <c r="IL69" s="727">
        <f t="shared" si="225"/>
        <v>139.5290317844233</v>
      </c>
      <c r="IM69" s="759">
        <v>5.7825202436697497E-2</v>
      </c>
      <c r="IN69" s="5">
        <f t="shared" si="226"/>
        <v>0.16</v>
      </c>
      <c r="IO69" s="771">
        <v>80</v>
      </c>
      <c r="IP69" s="9">
        <f t="shared" si="227"/>
        <v>-4.7837000000000005</v>
      </c>
      <c r="IQ69" s="5">
        <f t="shared" si="228"/>
        <v>-7.1499999999999994E-2</v>
      </c>
      <c r="IR69" s="5">
        <f t="shared" si="383"/>
        <v>0.314</v>
      </c>
      <c r="IS69" s="5">
        <f t="shared" si="229"/>
        <v>-0.30290960678071455</v>
      </c>
      <c r="IT69" s="727">
        <f t="shared" si="230"/>
        <v>-168.88837868166357</v>
      </c>
      <c r="IU69" s="9">
        <f t="shared" si="231"/>
        <v>-4.7837144276827139</v>
      </c>
      <c r="IV69" s="5">
        <f t="shared" si="232"/>
        <v>-9.377870378790347E-2</v>
      </c>
      <c r="IW69" s="5">
        <f t="shared" si="384"/>
        <v>0.26250000000000001</v>
      </c>
      <c r="IX69" s="5">
        <f t="shared" si="233"/>
        <v>0.26250000000000001</v>
      </c>
      <c r="IY69" s="762">
        <f t="shared" si="234"/>
        <v>-1.2295698886218521E-15</v>
      </c>
    </row>
    <row r="70" spans="1:259" ht="15" customHeight="1" x14ac:dyDescent="0.25">
      <c r="A70" s="79"/>
      <c r="B70" s="707">
        <v>3.5519827109489186</v>
      </c>
      <c r="C70" s="708">
        <v>-4.2500876696407541</v>
      </c>
      <c r="D70" s="709">
        <v>-0.11701530203964346</v>
      </c>
      <c r="E70" s="710">
        <v>6.4805054370153284E-2</v>
      </c>
      <c r="F70" s="708">
        <v>-7.7541454652152342E-2</v>
      </c>
      <c r="G70" s="711">
        <v>0.99488071030576819</v>
      </c>
      <c r="H70" s="710">
        <v>0.26250000000000001</v>
      </c>
      <c r="I70" s="708">
        <v>0.40699999999999997</v>
      </c>
      <c r="J70" s="570">
        <v>3.222</v>
      </c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Inactive</v>
      </c>
      <c r="L70" s="320"/>
      <c r="M70" s="168">
        <f t="shared" si="239"/>
        <v>3.222</v>
      </c>
      <c r="N70" s="632">
        <f t="shared" si="240"/>
        <v>3.5519827109489186</v>
      </c>
      <c r="O70" s="629">
        <f t="shared" si="241"/>
        <v>-4.2500876696407541</v>
      </c>
      <c r="P70" s="633">
        <f t="shared" si="242"/>
        <v>-0.11701530203964346</v>
      </c>
      <c r="Q70" s="585">
        <f t="shared" si="113"/>
        <v>309.8869682522498</v>
      </c>
      <c r="R70" s="629">
        <f t="shared" si="79"/>
        <v>5.5389372968568988</v>
      </c>
      <c r="S70" s="634">
        <f t="shared" si="80"/>
        <v>-0.11701530203964346</v>
      </c>
      <c r="T70" s="635">
        <f t="shared" si="81"/>
        <v>-4.2500876696407541</v>
      </c>
      <c r="U70" s="629">
        <f t="shared" si="82"/>
        <v>-3.551982710948919</v>
      </c>
      <c r="V70" s="636">
        <f t="shared" si="114"/>
        <v>-0.11701530203964346</v>
      </c>
      <c r="W70" s="585">
        <f t="shared" si="224"/>
        <v>219.8869682522498</v>
      </c>
      <c r="X70" s="629">
        <f t="shared" si="83"/>
        <v>5.5389372968568988</v>
      </c>
      <c r="Y70" s="630">
        <f t="shared" si="223"/>
        <v>-0.11701530203964346</v>
      </c>
      <c r="Z70" s="632">
        <f t="shared" si="243"/>
        <v>-6.4805054370153284E-2</v>
      </c>
      <c r="AA70" s="629">
        <f t="shared" si="244"/>
        <v>7.7541454652152342E-2</v>
      </c>
      <c r="AB70" s="629">
        <f t="shared" si="245"/>
        <v>-0.99488071030576819</v>
      </c>
      <c r="AC70" s="636">
        <f t="shared" si="84"/>
        <v>1</v>
      </c>
      <c r="AD70" s="637">
        <f t="shared" si="115"/>
        <v>-6.4805054370153284E-2</v>
      </c>
      <c r="AE70" s="629">
        <f t="shared" si="85"/>
        <v>7.7541454652152342E-2</v>
      </c>
      <c r="AF70" s="633">
        <f t="shared" si="86"/>
        <v>-0.99488071030576819</v>
      </c>
      <c r="AG70" s="602">
        <f t="shared" si="87"/>
        <v>4.4566493730089594</v>
      </c>
      <c r="AH70" s="603">
        <f t="shared" si="88"/>
        <v>93.715659981071099</v>
      </c>
      <c r="AI70" s="585">
        <f t="shared" si="89"/>
        <v>-5.7999991625981906</v>
      </c>
      <c r="AJ70" s="586">
        <f t="shared" si="90"/>
        <v>-140.11290316207439</v>
      </c>
      <c r="AK70" s="635">
        <f t="shared" si="211"/>
        <v>2.2679489675853093E-7</v>
      </c>
      <c r="AL70" s="629">
        <f t="shared" si="91"/>
        <v>-0.10105628264209447</v>
      </c>
      <c r="AM70" s="634">
        <f t="shared" si="92"/>
        <v>-0.99488071030576819</v>
      </c>
      <c r="AN70" s="581">
        <f t="shared" si="93"/>
        <v>-5.7999991625837293</v>
      </c>
      <c r="AO70" s="582">
        <f t="shared" si="461"/>
        <v>0</v>
      </c>
      <c r="AP70" s="585">
        <f t="shared" si="95"/>
        <v>-89.999871414324176</v>
      </c>
      <c r="AQ70" s="586">
        <f t="shared" si="246"/>
        <v>0.41157487404050308</v>
      </c>
      <c r="AS70" s="52">
        <f t="shared" si="406"/>
        <v>-140.1130317477502</v>
      </c>
      <c r="AT70" s="72">
        <f t="shared" si="247"/>
        <v>-1.9714585548150254E-2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Nose</v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3.222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1.1220000000000001</v>
      </c>
      <c r="II70" s="734" cm="1">
        <f t="array" ref="II70">IFERROR(ROUND(VALUE(IF($IH70&lt;1,$IH70+LARGE((IF($M$9:$M$150="",0,$M$9:$M$150)-MOD(IF($M$9:$M$150="",0,$M$9:$M$150),1)),1),$IH70)),4),"")</f>
        <v>1.1220000000000001</v>
      </c>
      <c r="IJ70" s="533">
        <f t="shared" si="112"/>
        <v>1613</v>
      </c>
      <c r="IK70" s="533" t="str">
        <f t="shared" si="382"/>
        <v>Inactive</v>
      </c>
      <c r="IL70" s="727">
        <f t="shared" si="225"/>
        <v>139.28303174775021</v>
      </c>
      <c r="IM70" s="759">
        <v>5.9729213925192703E-2</v>
      </c>
      <c r="IN70" s="5">
        <f t="shared" si="226"/>
        <v>0.18</v>
      </c>
      <c r="IO70" s="771">
        <v>90</v>
      </c>
      <c r="IP70" s="9">
        <f t="shared" si="227"/>
        <v>-5.5451000000000006</v>
      </c>
      <c r="IQ70" s="5">
        <f t="shared" si="228"/>
        <v>-9.4600000000000017E-2</v>
      </c>
      <c r="IR70" s="5">
        <f t="shared" si="383"/>
        <v>0.314</v>
      </c>
      <c r="IS70" s="5">
        <f t="shared" si="229"/>
        <v>-0.30217862889289576</v>
      </c>
      <c r="IT70" s="727">
        <f t="shared" si="230"/>
        <v>-155.76810004258476</v>
      </c>
      <c r="IU70" s="9">
        <f t="shared" si="231"/>
        <v>-5.5389372968568988</v>
      </c>
      <c r="IV70" s="5">
        <f t="shared" si="232"/>
        <v>-0.11701530203964346</v>
      </c>
      <c r="IW70" s="5">
        <f t="shared" si="384"/>
        <v>0.26250000000000001</v>
      </c>
      <c r="IX70" s="5">
        <f t="shared" si="233"/>
        <v>0.26250000000000001</v>
      </c>
      <c r="IY70" s="762">
        <f t="shared" si="234"/>
        <v>5.7999991625837293</v>
      </c>
    </row>
    <row r="71" spans="1:259" ht="15" customHeight="1" x14ac:dyDescent="0.25">
      <c r="A71" s="79"/>
      <c r="B71" s="707">
        <v>4.1953015640719489</v>
      </c>
      <c r="C71" s="708">
        <v>-4.6567438622520489</v>
      </c>
      <c r="D71" s="709">
        <v>-0.29331468187446347</v>
      </c>
      <c r="E71" s="710">
        <v>0.80071646651106143</v>
      </c>
      <c r="F71" s="708">
        <v>0.39587944680368592</v>
      </c>
      <c r="G71" s="711">
        <v>0.44959159673691423</v>
      </c>
      <c r="H71" s="710">
        <v>0.26600000000000001</v>
      </c>
      <c r="I71" s="708">
        <v>0.52</v>
      </c>
      <c r="J71" s="570">
        <v>3.2250000000000001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1313</v>
      </c>
      <c r="L71" s="320"/>
      <c r="M71" s="168">
        <f t="shared" si="239"/>
        <v>3.2250000000000001</v>
      </c>
      <c r="N71" s="632">
        <f t="shared" si="240"/>
        <v>4.1953015640719489</v>
      </c>
      <c r="O71" s="629">
        <f t="shared" si="241"/>
        <v>-4.6567438622520489</v>
      </c>
      <c r="P71" s="633">
        <f t="shared" si="242"/>
        <v>-0.29331468187446347</v>
      </c>
      <c r="Q71" s="585">
        <f t="shared" si="113"/>
        <v>312.01596794486028</v>
      </c>
      <c r="R71" s="629">
        <f t="shared" si="79"/>
        <v>6.2678400276432296</v>
      </c>
      <c r="S71" s="634">
        <f t="shared" si="80"/>
        <v>-0.29331468187446347</v>
      </c>
      <c r="T71" s="635">
        <f t="shared" si="81"/>
        <v>-4.6567438622520481</v>
      </c>
      <c r="U71" s="629">
        <f t="shared" si="82"/>
        <v>-4.1953015640719515</v>
      </c>
      <c r="V71" s="636">
        <f t="shared" si="114"/>
        <v>-0.29331468187446347</v>
      </c>
      <c r="W71" s="585">
        <f t="shared" si="224"/>
        <v>222.01596794486028</v>
      </c>
      <c r="X71" s="629">
        <f t="shared" si="83"/>
        <v>6.2678400276432296</v>
      </c>
      <c r="Y71" s="630">
        <f t="shared" si="223"/>
        <v>-0.29331468187446347</v>
      </c>
      <c r="Z71" s="632">
        <f t="shared" si="243"/>
        <v>-0.80071646651106143</v>
      </c>
      <c r="AA71" s="629">
        <f t="shared" si="244"/>
        <v>-0.39587944680368592</v>
      </c>
      <c r="AB71" s="629">
        <f t="shared" si="245"/>
        <v>-0.44959159673691423</v>
      </c>
      <c r="AC71" s="636">
        <f t="shared" si="84"/>
        <v>1</v>
      </c>
      <c r="AD71" s="637">
        <f t="shared" si="115"/>
        <v>-0.80071646651106143</v>
      </c>
      <c r="AE71" s="629">
        <f t="shared" si="85"/>
        <v>-0.39587944680368592</v>
      </c>
      <c r="AF71" s="633">
        <f t="shared" si="86"/>
        <v>-0.44959159673691423</v>
      </c>
      <c r="AG71" s="602">
        <f t="shared" si="87"/>
        <v>-41.364926606956679</v>
      </c>
      <c r="AH71" s="603">
        <f t="shared" si="88"/>
        <v>143.19857443483667</v>
      </c>
      <c r="AI71" s="585">
        <f t="shared" si="89"/>
        <v>-63.282515758906975</v>
      </c>
      <c r="AJ71" s="586">
        <f t="shared" si="90"/>
        <v>-63.691907967781432</v>
      </c>
      <c r="AK71" s="635">
        <f t="shared" si="211"/>
        <v>0.85987599067928122</v>
      </c>
      <c r="AL71" s="629">
        <f t="shared" si="91"/>
        <v>-0.24182778334359534</v>
      </c>
      <c r="AM71" s="634">
        <f t="shared" si="92"/>
        <v>-0.44959159673691423</v>
      </c>
      <c r="AN71" s="581">
        <f t="shared" si="93"/>
        <v>-28.275062931574105</v>
      </c>
      <c r="AO71" s="582">
        <f t="shared" si="461"/>
        <v>30.697338017156746</v>
      </c>
      <c r="AP71" s="585">
        <f t="shared" si="95"/>
        <v>-15.707875912641725</v>
      </c>
      <c r="AQ71" s="586">
        <f t="shared" si="246"/>
        <v>0.36371317706924383</v>
      </c>
      <c r="AS71" s="52">
        <f t="shared" si="406"/>
        <v>-137.98403205513972</v>
      </c>
      <c r="AT71" s="72">
        <f t="shared" si="247"/>
        <v>-0.19749243739172756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Nose</v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3.2250000000000001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1.125</v>
      </c>
      <c r="II71" s="734" cm="1">
        <f t="array" ref="II71">IFERROR(ROUND(VALUE(IF($IH71&lt;1,$IH71+LARGE((IF($M$9:$M$150="",0,$M$9:$M$150)-MOD(IF($M$9:$M$150="",0,$M$9:$M$150),1)),1),$IH71)),4),"")</f>
        <v>1.125</v>
      </c>
      <c r="IJ71" s="533">
        <f t="shared" si="112"/>
        <v>1613</v>
      </c>
      <c r="IK71" s="533">
        <f t="shared" si="382"/>
        <v>1313</v>
      </c>
      <c r="IL71" s="727">
        <f t="shared" si="225"/>
        <v>136.57403205513975</v>
      </c>
      <c r="IM71" s="759">
        <v>4.6058758541775401E-2</v>
      </c>
      <c r="IN71" s="5">
        <f t="shared" si="226"/>
        <v>0.22</v>
      </c>
      <c r="IO71" s="771">
        <v>110</v>
      </c>
      <c r="IP71" s="9">
        <f t="shared" si="227"/>
        <v>-6.2620000000000005</v>
      </c>
      <c r="IQ71" s="5">
        <f t="shared" si="228"/>
        <v>-0.2797</v>
      </c>
      <c r="IR71" s="5">
        <f t="shared" si="383"/>
        <v>0.314</v>
      </c>
      <c r="IS71" s="5">
        <f t="shared" si="229"/>
        <v>-0.30114829830714196</v>
      </c>
      <c r="IT71" s="727">
        <f t="shared" si="230"/>
        <v>-140.36668545363932</v>
      </c>
      <c r="IU71" s="9">
        <f t="shared" si="231"/>
        <v>-6.2678400276432296</v>
      </c>
      <c r="IV71" s="5">
        <f t="shared" si="232"/>
        <v>-0.29331468187446347</v>
      </c>
      <c r="IW71" s="5">
        <f t="shared" si="384"/>
        <v>0.26600000000000001</v>
      </c>
      <c r="IX71" s="5">
        <f t="shared" si="233"/>
        <v>0.22872701352068886</v>
      </c>
      <c r="IY71" s="762">
        <f t="shared" si="234"/>
        <v>28.275062931574105</v>
      </c>
    </row>
    <row r="72" spans="1:259" ht="15" customHeight="1" x14ac:dyDescent="0.25">
      <c r="A72" s="79"/>
      <c r="B72" s="707">
        <v>4.6011977693556894</v>
      </c>
      <c r="C72" s="708">
        <v>-5.1819130838699765</v>
      </c>
      <c r="D72" s="709">
        <v>-0.63068824845074223</v>
      </c>
      <c r="E72" s="710">
        <v>0.8630432142781409</v>
      </c>
      <c r="F72" s="708">
        <v>0.31773538781322841</v>
      </c>
      <c r="G72" s="711">
        <v>0.39268388510305896</v>
      </c>
      <c r="H72" s="710">
        <v>0.26600000000000001</v>
      </c>
      <c r="I72" s="708">
        <v>0.52</v>
      </c>
      <c r="J72" s="570">
        <v>3.2280000000000002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1313</v>
      </c>
      <c r="L72" s="320"/>
      <c r="M72" s="168">
        <f t="shared" si="239"/>
        <v>3.2280000000000002</v>
      </c>
      <c r="N72" s="632">
        <f t="shared" si="240"/>
        <v>4.6011977693556894</v>
      </c>
      <c r="O72" s="629">
        <f t="shared" si="241"/>
        <v>-5.1819130838699765</v>
      </c>
      <c r="P72" s="633">
        <f t="shared" si="242"/>
        <v>-0.63068824845074223</v>
      </c>
      <c r="Q72" s="585">
        <f t="shared" si="113"/>
        <v>311.60296800449009</v>
      </c>
      <c r="R72" s="629">
        <f t="shared" si="79"/>
        <v>6.9298805272173789</v>
      </c>
      <c r="S72" s="634">
        <f t="shared" si="80"/>
        <v>-0.63068824845074223</v>
      </c>
      <c r="T72" s="635">
        <f t="shared" si="81"/>
        <v>-5.1819130838699765</v>
      </c>
      <c r="U72" s="629">
        <f t="shared" si="82"/>
        <v>-4.6011977693556894</v>
      </c>
      <c r="V72" s="636">
        <f t="shared" si="114"/>
        <v>-0.63068824845074223</v>
      </c>
      <c r="W72" s="585">
        <f t="shared" si="224"/>
        <v>221.60296800449009</v>
      </c>
      <c r="X72" s="629">
        <f t="shared" si="83"/>
        <v>6.9298805272173789</v>
      </c>
      <c r="Y72" s="630">
        <f t="shared" si="223"/>
        <v>-0.63068824845074223</v>
      </c>
      <c r="Z72" s="632">
        <f t="shared" si="243"/>
        <v>-0.8630432142781409</v>
      </c>
      <c r="AA72" s="629">
        <f t="shared" si="244"/>
        <v>-0.31773538781322841</v>
      </c>
      <c r="AB72" s="629">
        <f t="shared" si="245"/>
        <v>-0.39268388510305896</v>
      </c>
      <c r="AC72" s="636">
        <f t="shared" si="84"/>
        <v>1</v>
      </c>
      <c r="AD72" s="637">
        <f t="shared" si="115"/>
        <v>-0.8630432142781409</v>
      </c>
      <c r="AE72" s="629">
        <f t="shared" si="85"/>
        <v>-0.31773538781322841</v>
      </c>
      <c r="AF72" s="633">
        <f t="shared" si="86"/>
        <v>-0.39268388510305896</v>
      </c>
      <c r="AG72" s="602">
        <f t="shared" si="87"/>
        <v>-38.977631739255401</v>
      </c>
      <c r="AH72" s="603">
        <f t="shared" si="88"/>
        <v>149.66001143069533</v>
      </c>
      <c r="AI72" s="585">
        <f t="shared" si="89"/>
        <v>-66.878398015578483</v>
      </c>
      <c r="AJ72" s="586">
        <f t="shared" si="90"/>
        <v>-69.78846344880327</v>
      </c>
      <c r="AK72" s="635">
        <f t="shared" si="211"/>
        <v>0.85631754520990233</v>
      </c>
      <c r="AL72" s="629">
        <f t="shared" si="91"/>
        <v>-0.33543945526138497</v>
      </c>
      <c r="AM72" s="634">
        <f t="shared" si="92"/>
        <v>-0.39268388510305896</v>
      </c>
      <c r="AN72" s="581">
        <f t="shared" si="93"/>
        <v>-40.50470171691758</v>
      </c>
      <c r="AO72" s="582">
        <f t="shared" si="461"/>
        <v>31.094402270006768</v>
      </c>
      <c r="AP72" s="585">
        <f t="shared" si="95"/>
        <v>-21.39143145329335</v>
      </c>
      <c r="AQ72" s="586">
        <f t="shared" si="246"/>
        <v>0.32896693849084352</v>
      </c>
      <c r="AS72" s="52">
        <f t="shared" si="406"/>
        <v>-138.39703199550991</v>
      </c>
      <c r="AT72" s="72">
        <f t="shared" si="247"/>
        <v>-0.53457919845386037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Taper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3.2280000000000002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1.1279999999999999</v>
      </c>
      <c r="II72" s="734" cm="1">
        <f t="array" ref="II72">IFERROR(ROUND(VALUE(IF($IH72&lt;1,$IH72+LARGE((IF($M$9:$M$150="",0,$M$9:$M$150)-MOD(IF($M$9:$M$150="",0,$M$9:$M$150),1)),1),$IH72)),4),"")</f>
        <v>1.1279999999999999</v>
      </c>
      <c r="IJ72" s="533">
        <f t="shared" si="112"/>
        <v>1613</v>
      </c>
      <c r="IK72" s="533">
        <f t="shared" si="382"/>
        <v>1313</v>
      </c>
      <c r="IL72" s="727">
        <f t="shared" si="225"/>
        <v>136.38703199550991</v>
      </c>
      <c r="IM72" s="759">
        <v>3.90539438589763E-2</v>
      </c>
      <c r="IN72" s="5">
        <f t="shared" si="226"/>
        <v>0.22</v>
      </c>
      <c r="IO72" s="771">
        <v>110</v>
      </c>
      <c r="IP72" s="9">
        <f t="shared" si="227"/>
        <v>-6.920700000000001</v>
      </c>
      <c r="IQ72" s="5">
        <f t="shared" si="228"/>
        <v>-0.61580000000000001</v>
      </c>
      <c r="IR72" s="5">
        <f t="shared" si="383"/>
        <v>0.314</v>
      </c>
      <c r="IS72" s="5">
        <f t="shared" si="229"/>
        <v>-0.29989842307881587</v>
      </c>
      <c r="IT72" s="727">
        <f t="shared" si="230"/>
        <v>-126.03043613217774</v>
      </c>
      <c r="IU72" s="9">
        <f t="shared" si="231"/>
        <v>-6.9298805272173789</v>
      </c>
      <c r="IV72" s="5">
        <f t="shared" si="232"/>
        <v>-0.63068824845074223</v>
      </c>
      <c r="IW72" s="5">
        <f t="shared" si="384"/>
        <v>0.26600000000000001</v>
      </c>
      <c r="IX72" s="5">
        <f t="shared" si="233"/>
        <v>0.22778046702583407</v>
      </c>
      <c r="IY72" s="762">
        <f t="shared" si="234"/>
        <v>40.50470171691758</v>
      </c>
    </row>
    <row r="73" spans="1:259" ht="15" customHeight="1" x14ac:dyDescent="0.25">
      <c r="A73" s="79"/>
      <c r="B73" s="707">
        <v>4.938758962021268</v>
      </c>
      <c r="C73" s="708">
        <v>-5.6468722635681123</v>
      </c>
      <c r="D73" s="709">
        <v>-1.1024690760536393</v>
      </c>
      <c r="E73" s="710">
        <v>0.91367781226991318</v>
      </c>
      <c r="F73" s="708">
        <v>0.25038980772159641</v>
      </c>
      <c r="G73" s="711">
        <v>0.32015277533516334</v>
      </c>
      <c r="H73" s="710">
        <v>0.26600000000000001</v>
      </c>
      <c r="I73" s="708">
        <v>0.52</v>
      </c>
      <c r="J73" s="570">
        <v>3.2309999999999999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1313</v>
      </c>
      <c r="L73" s="320"/>
      <c r="M73" s="168">
        <f t="shared" ref="M73:M104" si="464">IF(J73="","",VALUE(J73))</f>
        <v>3.2309999999999999</v>
      </c>
      <c r="N73" s="632">
        <f t="shared" ref="N73:N104" si="465">IF(M73="","",B73)</f>
        <v>4.938758962021268</v>
      </c>
      <c r="O73" s="629">
        <f t="shared" ref="O73:O104" si="466">IF(M73="","",C73)</f>
        <v>-5.6468722635681123</v>
      </c>
      <c r="P73" s="633">
        <f t="shared" ref="P73:P104" si="467">IF(M73="","",D73)</f>
        <v>-1.1024690760536393</v>
      </c>
      <c r="Q73" s="585">
        <f t="shared" si="113"/>
        <v>311.17296806657441</v>
      </c>
      <c r="R73" s="629">
        <f>IF(M73="","",SQRT(N73^2+O73^2))</f>
        <v>7.5019001890187962</v>
      </c>
      <c r="S73" s="634">
        <f>IF(M73="","",P73)</f>
        <v>-1.1024690760536393</v>
      </c>
      <c r="T73" s="635">
        <f>IF(M73="","",X73*COS(RADIANS(W73)))</f>
        <v>-5.6468722635681114</v>
      </c>
      <c r="U73" s="629">
        <f>IF(M73="","",X73*SIN(RADIANS(W73)))</f>
        <v>-4.9387589620212689</v>
      </c>
      <c r="V73" s="636">
        <f>IF(M73="","",Y73)</f>
        <v>-1.1024690760536393</v>
      </c>
      <c r="W73" s="585">
        <f t="shared" si="224"/>
        <v>221.17296806657441</v>
      </c>
      <c r="X73" s="629">
        <f>IF(M73="","",R73)</f>
        <v>7.5019001890187962</v>
      </c>
      <c r="Y73" s="630">
        <f t="shared" si="223"/>
        <v>-1.1024690760536393</v>
      </c>
      <c r="Z73" s="632">
        <f t="shared" ref="Z73:Z104" si="468">IF(M73="","",-E73)</f>
        <v>-0.91367781226991318</v>
      </c>
      <c r="AA73" s="629">
        <f t="shared" ref="AA73:AA104" si="469">IF(M73="","",-F73)</f>
        <v>-0.25038980772159641</v>
      </c>
      <c r="AB73" s="629">
        <f t="shared" ref="AB73:AB104" si="470">IF(M73="","",-G73)</f>
        <v>-0.32015277533516334</v>
      </c>
      <c r="AC73" s="636">
        <f>IF(M73="","",SQRT(Z73^2+AA73^2+AB73^2))</f>
        <v>1</v>
      </c>
      <c r="AD73" s="637">
        <f>IF(M73="","",Z73*(1/SQRT(Z73^2+AA73^2+AB73^2)))</f>
        <v>-0.91367781226991318</v>
      </c>
      <c r="AE73" s="629">
        <f>IF(M73="","",AA73*(1/SQRT(Z73^2+AA73^2+AB73^2)))</f>
        <v>-0.25038980772159641</v>
      </c>
      <c r="AF73" s="633">
        <f>IF(M73="","",AB73*(1/SQRT(Z73^2+AA73^2+AB73^2)))</f>
        <v>-0.32015277533516334</v>
      </c>
      <c r="AG73" s="602">
        <f>IF(M73="","",DEGREES(ATAN2(-AF73,AE73)))</f>
        <v>-38.028776380412417</v>
      </c>
      <c r="AH73" s="603">
        <f>IF(M73="","",DEGREES(ACOS(AD73)))</f>
        <v>156.01865122082444</v>
      </c>
      <c r="AI73" s="585">
        <f>IF(M73="","",DEGREES(-ACOS(-AF73)))</f>
        <v>-71.327835661538813</v>
      </c>
      <c r="AJ73" s="586">
        <f>IF(M73="","",DEGREES(ATAN2(-AE73,AD73)))</f>
        <v>-74.674574881827851</v>
      </c>
      <c r="AK73" s="635">
        <f>IF(M73="","",(COS(RADIANS((90-$Q$8)-W73))*AD73)+(-SIN(RADIANS((90-$Q$8)-W73))*AE73))</f>
        <v>0.85258889636932711</v>
      </c>
      <c r="AL73" s="629">
        <f>IF(M73="","",(SIN(RADIANS((90-$Q$8)-W73))*AD73)+(COS(RADIANS((90-$Q$8)-W73))*AE73))</f>
        <v>-0.41303071826793425</v>
      </c>
      <c r="AM73" s="634">
        <f>IF(M73="","",AF73)</f>
        <v>-0.32015277533516334</v>
      </c>
      <c r="AN73" s="581">
        <f>IF(M73="","",DEGREES(ATAN2(-AM73,AL73)))</f>
        <v>-52.219638719742527</v>
      </c>
      <c r="AO73" s="582">
        <f t="shared" si="461"/>
        <v>31.505621458550401</v>
      </c>
      <c r="AP73" s="585">
        <f>IF(M73="","",DEGREES(ATAN2(AK73,AL73)))</f>
        <v>-25.847542948402261</v>
      </c>
      <c r="AQ73" s="586">
        <f t="shared" ref="AQ73:AQ104" si="471">IF(M73="","",DEGREES(ATAN(($AS$5*SIN(RADIANS(90)))/(($X73*2*PI())-($AS$5*COS(RADIANS(90)))))))</f>
        <v>0.30388370922618352</v>
      </c>
      <c r="AS73" s="52">
        <f t="shared" si="406"/>
        <v>-138.82703193342559</v>
      </c>
      <c r="AT73" s="72">
        <f t="shared" ref="AT73:AT104" si="472">IF(M73="","",Y73+(((AS73-$AS$9)*$AS$6)*-1))</f>
        <v>-1.0060614149887603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3.2309999999999999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1.131</v>
      </c>
      <c r="II73" s="734" cm="1">
        <f t="array" ref="II73">IFERROR(ROUND(VALUE(IF($IH73&lt;1,$IH73+LARGE((IF($M$9:$M$150="",0,$M$9:$M$150)-MOD(IF($M$9:$M$150="",0,$M$9:$M$150),1)),1),$IH73)),4),"")</f>
        <v>1.131</v>
      </c>
      <c r="IJ73" s="533">
        <f t="shared" si="112"/>
        <v>1613</v>
      </c>
      <c r="IK73" s="533">
        <f t="shared" ref="IK73:IK104" si="517">IF(ISNUMBER($II73),INDEX($K$9:$K$150,MATCH($IG73,$M$9:$M$150,0)),"")</f>
        <v>1313</v>
      </c>
      <c r="IL73" s="727">
        <f t="shared" si="225"/>
        <v>136.25703193342559</v>
      </c>
      <c r="IM73" s="759">
        <v>3.2493006431897599E-2</v>
      </c>
      <c r="IN73" s="5">
        <f t="shared" si="226"/>
        <v>0.22</v>
      </c>
      <c r="IO73" s="771">
        <v>110</v>
      </c>
      <c r="IP73" s="9">
        <f t="shared" si="227"/>
        <v>-7.4895999999999994</v>
      </c>
      <c r="IQ73" s="5">
        <f t="shared" si="228"/>
        <v>-1.0858000000000001</v>
      </c>
      <c r="IR73" s="5">
        <f t="shared" ref="IR73:IR104" si="518">IF(ISNUMBER($II73),INDEX($H$9:$H$150,MATCH($II73,$M$9:$M$150,0)),"")</f>
        <v>0.314</v>
      </c>
      <c r="IS73" s="5">
        <f t="shared" si="229"/>
        <v>-0.29859122519281844</v>
      </c>
      <c r="IT73" s="727">
        <f t="shared" si="230"/>
        <v>-112.83602782819722</v>
      </c>
      <c r="IU73" s="9">
        <f t="shared" si="231"/>
        <v>-7.5019001890187962</v>
      </c>
      <c r="IV73" s="5">
        <f t="shared" si="232"/>
        <v>-1.1024690760536393</v>
      </c>
      <c r="IW73" s="5">
        <f t="shared" ref="IW73:IW104" si="519">IF(ISNUMBER($II73),$H73,"")</f>
        <v>0.26600000000000001</v>
      </c>
      <c r="IX73" s="5">
        <f t="shared" si="233"/>
        <v>0.22678864643424101</v>
      </c>
      <c r="IY73" s="762">
        <f t="shared" si="234"/>
        <v>52.219638719742527</v>
      </c>
    </row>
    <row r="74" spans="1:259" ht="15" customHeight="1" x14ac:dyDescent="0.25">
      <c r="A74" s="79"/>
      <c r="B74" s="707">
        <v>4.7402900321268504</v>
      </c>
      <c r="C74" s="708">
        <v>-6.3212897283473195</v>
      </c>
      <c r="D74" s="709">
        <v>-1.6924069872647132</v>
      </c>
      <c r="E74" s="710">
        <v>0.54373509208720217</v>
      </c>
      <c r="F74" s="708">
        <v>-0.72508332555708876</v>
      </c>
      <c r="G74" s="711">
        <v>0.4226184101905579</v>
      </c>
      <c r="H74" s="710">
        <v>0.26250000000000001</v>
      </c>
      <c r="I74" s="708">
        <v>0.40699999999999997</v>
      </c>
      <c r="J74" s="570">
        <v>3.234</v>
      </c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Inactive</v>
      </c>
      <c r="L74" s="320"/>
      <c r="M74" s="168">
        <f t="shared" si="464"/>
        <v>3.234</v>
      </c>
      <c r="N74" s="632">
        <f t="shared" si="465"/>
        <v>4.7402900321268504</v>
      </c>
      <c r="O74" s="629">
        <f t="shared" si="466"/>
        <v>-6.3212897283473195</v>
      </c>
      <c r="P74" s="633">
        <f t="shared" si="467"/>
        <v>-1.6924069872647132</v>
      </c>
      <c r="Q74" s="585">
        <f t="shared" ref="Q74:Q129" si="520">IF(M74="","",IF(DEGREES(ATAN2(N74,O74))&lt;0,DEGREES(ATAN2(N74,O74))+360,IF(DEGREES(ATAN2(N74,O74))&gt;360,DEGREES(ATAN2(N74,O74))-360,DEGREES(ATAN2(N74,O74)))))</f>
        <v>306.86596868842815</v>
      </c>
      <c r="R74" s="629">
        <f>IF(M74="","",SQRT(N74^2+O74^2))</f>
        <v>7.9012058205308451</v>
      </c>
      <c r="S74" s="634">
        <f>IF(M74="","",P74)</f>
        <v>-1.6924069872647132</v>
      </c>
      <c r="T74" s="635">
        <f>IF(M74="","",X74*COS(RADIANS(W74)))</f>
        <v>-6.3212897283473204</v>
      </c>
      <c r="U74" s="629">
        <f>IF(M74="","",X74*SIN(RADIANS(W74)))</f>
        <v>-4.7402900321268504</v>
      </c>
      <c r="V74" s="636">
        <f>IF(M74="","",Y74)</f>
        <v>-1.6924069872647132</v>
      </c>
      <c r="W74" s="585">
        <f t="shared" si="224"/>
        <v>216.86596868842815</v>
      </c>
      <c r="X74" s="629">
        <f>IF(M74="","",R74)</f>
        <v>7.9012058205308451</v>
      </c>
      <c r="Y74" s="630">
        <f t="shared" si="223"/>
        <v>-1.6924069872647132</v>
      </c>
      <c r="Z74" s="632">
        <f t="shared" si="468"/>
        <v>-0.54373509208720217</v>
      </c>
      <c r="AA74" s="629">
        <f t="shared" si="469"/>
        <v>0.72508332555708876</v>
      </c>
      <c r="AB74" s="629">
        <f t="shared" si="470"/>
        <v>-0.4226184101905579</v>
      </c>
      <c r="AC74" s="636">
        <f>IF(M74="","",SQRT(Z74^2+AA74^2+AB74^2))</f>
        <v>1</v>
      </c>
      <c r="AD74" s="637">
        <f>IF(M74="","",Z74*(1/SQRT(Z74^2+AA74^2+AB74^2)))</f>
        <v>-0.54373509208720217</v>
      </c>
      <c r="AE74" s="629">
        <f>IF(M74="","",AA74*(1/SQRT(Z74^2+AA74^2+AB74^2)))</f>
        <v>0.72508332555708876</v>
      </c>
      <c r="AF74" s="633">
        <f>IF(M74="","",AB74*(1/SQRT(Z74^2+AA74^2+AB74^2)))</f>
        <v>-0.4226184101905579</v>
      </c>
      <c r="AG74" s="602">
        <f>IF(M74="","",DEGREES(ATAN2(-AF74,AE74)))</f>
        <v>59.764017312123507</v>
      </c>
      <c r="AH74" s="603">
        <f>IF(M74="","",DEGREES(ACOS(AD74)))</f>
        <v>122.93826656924799</v>
      </c>
      <c r="AI74" s="585">
        <f>IF(M74="","",DEGREES(-ACOS(-AF74)))</f>
        <v>-64.999990615163185</v>
      </c>
      <c r="AJ74" s="586">
        <f>IF(M74="","",DEGREES(ATAN2(-AE74,AD74)))</f>
        <v>-143.13401697384731</v>
      </c>
      <c r="AK74" s="635">
        <f>IF(M74="","",(COS(RADIANS((90-$Q$8)-W74))*AD74)+(-SIN(RADIANS((90-$Q$8)-W74))*AE74))</f>
        <v>2.2679489686261434E-7</v>
      </c>
      <c r="AL74" s="629">
        <f>IF(M74="","",(SIN(RADIANS((90-$Q$8)-W74))*AD74)+(COS(RADIANS((90-$Q$8)-W74))*AE74))</f>
        <v>-0.90630771781330099</v>
      </c>
      <c r="AM74" s="634">
        <f>IF(M74="","",AF74)</f>
        <v>-0.4226184101905579</v>
      </c>
      <c r="AN74" s="581">
        <f>IF(M74="","",DEGREES(ATAN2(-AM74,AL74)))</f>
        <v>-64.999990615162503</v>
      </c>
      <c r="AO74" s="582">
        <f t="shared" si="461"/>
        <v>0</v>
      </c>
      <c r="AP74" s="585">
        <f>IF(M74="","",DEGREES(ATAN2(AK74,AL74)))</f>
        <v>-89.999985662275463</v>
      </c>
      <c r="AQ74" s="586">
        <f t="shared" si="471"/>
        <v>0.2885265127166366</v>
      </c>
      <c r="AS74" s="52">
        <f t="shared" si="406"/>
        <v>-143.13403131157185</v>
      </c>
      <c r="AT74" s="72">
        <f t="shared" si="472"/>
        <v>-1.5930083544094549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Taper</v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3.234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1.1339999999999999</v>
      </c>
      <c r="II74" s="734" cm="1">
        <f t="array" ref="II74">IFERROR(ROUND(VALUE(IF($IH74&lt;1,$IH74+LARGE((IF($M$9:$M$150="",0,$M$9:$M$150)-MOD(IF($M$9:$M$150="",0,$M$9:$M$150),1)),1),$IH74)),4),"")</f>
        <v>1.1339999999999999</v>
      </c>
      <c r="IJ74" s="533">
        <f t="shared" ref="IJ74:IJ137" si="542">IF(ISNUMBER($II74),INDEX($K$9:$K$150,MATCH($II74,$M$9:$M$150,0)),$K74)</f>
        <v>1613</v>
      </c>
      <c r="IK74" s="533" t="str">
        <f t="shared" si="517"/>
        <v>Inactive</v>
      </c>
      <c r="IL74" s="727">
        <f t="shared" si="225"/>
        <v>140.10403131157187</v>
      </c>
      <c r="IM74" s="759">
        <v>6.0043244354297601E-2</v>
      </c>
      <c r="IN74" s="5">
        <f t="shared" si="226"/>
        <v>0.26</v>
      </c>
      <c r="IO74" s="771">
        <v>130</v>
      </c>
      <c r="IP74" s="9">
        <f t="shared" si="227"/>
        <v>-7.9417</v>
      </c>
      <c r="IQ74" s="5">
        <f t="shared" si="228"/>
        <v>-1.6657999999999999</v>
      </c>
      <c r="IR74" s="5">
        <f t="shared" si="518"/>
        <v>0.314</v>
      </c>
      <c r="IS74" s="5">
        <f t="shared" si="229"/>
        <v>-0.29740035832490097</v>
      </c>
      <c r="IT74" s="727">
        <f t="shared" si="230"/>
        <v>-100.77995787593036</v>
      </c>
      <c r="IU74" s="9">
        <f t="shared" si="231"/>
        <v>-7.9012058205308451</v>
      </c>
      <c r="IV74" s="5">
        <f t="shared" si="232"/>
        <v>-1.6924069872647132</v>
      </c>
      <c r="IW74" s="5">
        <f t="shared" si="519"/>
        <v>0.26250000000000001</v>
      </c>
      <c r="IX74" s="5">
        <f t="shared" si="233"/>
        <v>0.26250000000000001</v>
      </c>
      <c r="IY74" s="762">
        <f t="shared" si="234"/>
        <v>64.999990615162503</v>
      </c>
    </row>
    <row r="75" spans="1:259" ht="15" customHeight="1" x14ac:dyDescent="0.25">
      <c r="A75" s="79"/>
      <c r="B75" s="707">
        <v>4.8608821924516787</v>
      </c>
      <c r="C75" s="708">
        <v>-6.6163286313237784</v>
      </c>
      <c r="D75" s="709">
        <v>-2.3568246153102179</v>
      </c>
      <c r="E75" s="710">
        <v>0.53659688921195003</v>
      </c>
      <c r="F75" s="708">
        <v>-0.73038172064754148</v>
      </c>
      <c r="G75" s="711">
        <v>0.42261841019055812</v>
      </c>
      <c r="H75" s="710">
        <v>0.26250000000000001</v>
      </c>
      <c r="I75" s="708">
        <v>0.40699999999999997</v>
      </c>
      <c r="J75" s="570">
        <v>3.2370000000000001</v>
      </c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Inactive</v>
      </c>
      <c r="L75" s="320"/>
      <c r="M75" s="168">
        <f t="shared" si="464"/>
        <v>3.2370000000000001</v>
      </c>
      <c r="N75" s="632">
        <f t="shared" si="465"/>
        <v>4.8608821924516787</v>
      </c>
      <c r="O75" s="629">
        <f t="shared" si="466"/>
        <v>-6.6163286313237784</v>
      </c>
      <c r="P75" s="633">
        <f t="shared" si="467"/>
        <v>-2.3568246153102179</v>
      </c>
      <c r="Q75" s="585">
        <f t="shared" si="520"/>
        <v>306.30396876957093</v>
      </c>
      <c r="R75" s="629">
        <f>IF(M75="","",SQRT(N75^2+O75^2))</f>
        <v>8.2099927068523399</v>
      </c>
      <c r="S75" s="634">
        <f>IF(M75="","",P75)</f>
        <v>-2.3568246153102179</v>
      </c>
      <c r="T75" s="635">
        <f>IF(M75="","",X75*COS(RADIANS(W75)))</f>
        <v>-6.6163286313237775</v>
      </c>
      <c r="U75" s="629">
        <f>IF(M75="","",X75*SIN(RADIANS(W75)))</f>
        <v>-4.8608821924516787</v>
      </c>
      <c r="V75" s="636">
        <f>IF(M75="","",Y75)</f>
        <v>-2.3568246153102179</v>
      </c>
      <c r="W75" s="585">
        <f t="shared" si="224"/>
        <v>216.30396876957093</v>
      </c>
      <c r="X75" s="629">
        <f>IF(M75="","",R75)</f>
        <v>8.2099927068523399</v>
      </c>
      <c r="Y75" s="630">
        <f t="shared" si="223"/>
        <v>-2.3568246153102179</v>
      </c>
      <c r="Z75" s="632">
        <f t="shared" si="468"/>
        <v>-0.53659688921195003</v>
      </c>
      <c r="AA75" s="629">
        <f t="shared" si="469"/>
        <v>0.73038172064754148</v>
      </c>
      <c r="AB75" s="629">
        <f t="shared" si="470"/>
        <v>-0.42261841019055812</v>
      </c>
      <c r="AC75" s="636">
        <f>IF(M75="","",SQRT(Z75^2+AA75^2+AB75^2))</f>
        <v>1</v>
      </c>
      <c r="AD75" s="637">
        <f>IF(M75="","",Z75*(1/SQRT(Z75^2+AA75^2+AB75^2)))</f>
        <v>-0.53659688921195003</v>
      </c>
      <c r="AE75" s="629">
        <f>IF(M75="","",AA75*(1/SQRT(Z75^2+AA75^2+AB75^2)))</f>
        <v>0.73038172064754148</v>
      </c>
      <c r="AF75" s="633">
        <f>IF(M75="","",AB75*(1/SQRT(Z75^2+AA75^2+AB75^2)))</f>
        <v>-0.42261841019055812</v>
      </c>
      <c r="AG75" s="602">
        <f>IF(M75="","",DEGREES(ATAN2(-AF75,AE75)))</f>
        <v>59.945177072754184</v>
      </c>
      <c r="AH75" s="603">
        <f>IF(M75="","",DEGREES(ACOS(AD75)))</f>
        <v>122.45227344887921</v>
      </c>
      <c r="AI75" s="585">
        <f>IF(M75="","",DEGREES(-ACOS(-AF75)))</f>
        <v>-64.999990615163171</v>
      </c>
      <c r="AJ75" s="586">
        <f>IF(M75="","",DEGREES(ATAN2(-AE75,AD75)))</f>
        <v>-143.69601689270456</v>
      </c>
      <c r="AK75" s="635">
        <f>IF(M75="","",(COS(RADIANS((90-$Q$8)-W75))*AD75)+(-SIN(RADIANS((90-$Q$8)-W75))*AE75))</f>
        <v>2.2679489658505858E-7</v>
      </c>
      <c r="AL75" s="629">
        <f>IF(M75="","",(SIN(RADIANS((90-$Q$8)-W75))*AD75)+(COS(RADIANS((90-$Q$8)-W75))*AE75))</f>
        <v>-0.90630771781330077</v>
      </c>
      <c r="AM75" s="634">
        <f>IF(M75="","",AF75)</f>
        <v>-0.42261841019055812</v>
      </c>
      <c r="AN75" s="581">
        <f>IF(M75="","",DEGREES(ATAN2(-AM75,AL75)))</f>
        <v>-64.999990615162488</v>
      </c>
      <c r="AO75" s="582">
        <f t="shared" si="461"/>
        <v>0</v>
      </c>
      <c r="AP75" s="585">
        <f>IF(M75="","",DEGREES(ATAN2(AK75,AL75)))</f>
        <v>-89.999985662275478</v>
      </c>
      <c r="AQ75" s="586">
        <f t="shared" si="471"/>
        <v>0.27767488539010549</v>
      </c>
      <c r="AS75" s="52">
        <f t="shared" ref="AS75:AS106" si="543">IF(G75="","",IF(AND(W75&lt;(AS74+180),W75&gt;(AS74-180)),W75,IF(W75&gt;(AS74+180),W75-360,IF(W75&lt;(AS74-180),W75+360,"Error"))))</f>
        <v>-143.69603123042907</v>
      </c>
      <c r="AT75" s="72">
        <f t="shared" si="472"/>
        <v>-2.2570357047335312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Taper</v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3.2370000000000001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1.137</v>
      </c>
      <c r="II75" s="734" cm="1">
        <f t="array" ref="II75">IFERROR(ROUND(VALUE(IF($IH75&lt;1,$IH75+LARGE((IF($M$9:$M$150="",0,$M$9:$M$150)-MOD(IF($M$9:$M$150="",0,$M$9:$M$150),1)),1),$IH75)),4),"")</f>
        <v>1.137</v>
      </c>
      <c r="IJ75" s="533">
        <f t="shared" si="542"/>
        <v>1613</v>
      </c>
      <c r="IK75" s="533" t="str">
        <f t="shared" si="517"/>
        <v>Inactive</v>
      </c>
      <c r="IL75" s="727">
        <f t="shared" si="225"/>
        <v>140.31603123042908</v>
      </c>
      <c r="IM75" s="759">
        <v>6.0405991139770299E-2</v>
      </c>
      <c r="IN75" s="5">
        <f t="shared" si="226"/>
        <v>0.3</v>
      </c>
      <c r="IO75" s="771">
        <v>150</v>
      </c>
      <c r="IP75" s="9">
        <f t="shared" si="227"/>
        <v>-8.2634000000000007</v>
      </c>
      <c r="IQ75" s="5">
        <f t="shared" si="228"/>
        <v>-2.3233000000000001</v>
      </c>
      <c r="IR75" s="5">
        <f t="shared" si="518"/>
        <v>0.314</v>
      </c>
      <c r="IS75" s="5">
        <f t="shared" si="229"/>
        <v>-0.28842148619777097</v>
      </c>
      <c r="IT75" s="727">
        <f t="shared" si="230"/>
        <v>-97.344769174349366</v>
      </c>
      <c r="IU75" s="9">
        <f t="shared" si="231"/>
        <v>-8.2099927068523399</v>
      </c>
      <c r="IV75" s="5">
        <f t="shared" si="232"/>
        <v>-2.3568246153102179</v>
      </c>
      <c r="IW75" s="5">
        <f t="shared" si="519"/>
        <v>0.26250000000000001</v>
      </c>
      <c r="IX75" s="5">
        <f t="shared" si="233"/>
        <v>0.26250000000000001</v>
      </c>
      <c r="IY75" s="762">
        <f t="shared" si="234"/>
        <v>64.999990615162488</v>
      </c>
    </row>
    <row r="76" spans="1:259" ht="15" customHeight="1" x14ac:dyDescent="0.25">
      <c r="A76" s="79"/>
      <c r="B76" s="707">
        <v>-0.56868041704143002</v>
      </c>
      <c r="C76" s="708">
        <v>-3.2251469103396797</v>
      </c>
      <c r="D76" s="709">
        <v>-0.42020000000000002</v>
      </c>
      <c r="E76" s="710">
        <v>-0.9512512425641978</v>
      </c>
      <c r="F76" s="708">
        <v>0.16773125949652073</v>
      </c>
      <c r="G76" s="711">
        <v>-0.25881904510252074</v>
      </c>
      <c r="H76" s="710">
        <v>0.314</v>
      </c>
      <c r="I76" s="708">
        <v>0.52</v>
      </c>
      <c r="J76" s="570">
        <v>4.1130000000000004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4.1130000000000004</v>
      </c>
      <c r="N76" s="632">
        <f t="shared" si="465"/>
        <v>-0.56868041704143002</v>
      </c>
      <c r="O76" s="629">
        <f t="shared" si="466"/>
        <v>-3.2251469103396797</v>
      </c>
      <c r="P76" s="633">
        <f t="shared" si="467"/>
        <v>-0.42020000000000002</v>
      </c>
      <c r="Q76" s="585">
        <f t="shared" si="520"/>
        <v>260</v>
      </c>
      <c r="R76" s="629">
        <f t="shared" si="79"/>
        <v>3.2748999999999993</v>
      </c>
      <c r="S76" s="634">
        <f t="shared" si="80"/>
        <v>-0.42020000000000002</v>
      </c>
      <c r="T76" s="635">
        <f t="shared" si="81"/>
        <v>-3.2251469103396793</v>
      </c>
      <c r="U76" s="629">
        <f t="shared" si="82"/>
        <v>0.5686804170414298</v>
      </c>
      <c r="V76" s="636">
        <f t="shared" si="114"/>
        <v>-0.42020000000000002</v>
      </c>
      <c r="W76" s="585">
        <f t="shared" si="224"/>
        <v>170</v>
      </c>
      <c r="X76" s="629">
        <f t="shared" si="83"/>
        <v>3.2748999999999993</v>
      </c>
      <c r="Y76" s="630">
        <f t="shared" ref="Y76:Y129" si="644">IF(M76="","",S76)</f>
        <v>-0.42020000000000002</v>
      </c>
      <c r="Z76" s="632">
        <f t="shared" si="468"/>
        <v>0.9512512425641978</v>
      </c>
      <c r="AA76" s="629">
        <f t="shared" si="469"/>
        <v>-0.16773125949652073</v>
      </c>
      <c r="AB76" s="629">
        <f t="shared" si="470"/>
        <v>0.25881904510252074</v>
      </c>
      <c r="AC76" s="636">
        <f t="shared" si="84"/>
        <v>1</v>
      </c>
      <c r="AD76" s="637">
        <f t="shared" si="115"/>
        <v>0.9512512425641978</v>
      </c>
      <c r="AE76" s="629">
        <f t="shared" si="85"/>
        <v>-0.16773125949652073</v>
      </c>
      <c r="AF76" s="633">
        <f t="shared" si="86"/>
        <v>0.25881904510252074</v>
      </c>
      <c r="AG76" s="602">
        <f t="shared" si="87"/>
        <v>-147.05418728420742</v>
      </c>
      <c r="AH76" s="603">
        <f t="shared" si="88"/>
        <v>17.963860129831335</v>
      </c>
      <c r="AI76" s="585">
        <f t="shared" si="89"/>
        <v>-105</v>
      </c>
      <c r="AJ76" s="586">
        <f t="shared" si="90"/>
        <v>80</v>
      </c>
      <c r="AK76" s="635">
        <f t="shared" si="211"/>
        <v>-0.96592582628906831</v>
      </c>
      <c r="AL76" s="629">
        <f t="shared" si="91"/>
        <v>1.3877787807814457E-16</v>
      </c>
      <c r="AM76" s="634">
        <f t="shared" si="92"/>
        <v>0.25881904510252074</v>
      </c>
      <c r="AN76" s="581">
        <f t="shared" si="93"/>
        <v>179.99999999999997</v>
      </c>
      <c r="AO76" s="582">
        <f t="shared" si="461"/>
        <v>165</v>
      </c>
      <c r="AP76" s="585">
        <f t="shared" si="95"/>
        <v>180</v>
      </c>
      <c r="AQ76" s="586">
        <f t="shared" si="471"/>
        <v>0.6960867414467109</v>
      </c>
      <c r="AS76" s="52">
        <f t="shared" si="543"/>
        <v>-190</v>
      </c>
      <c r="AT76" s="72">
        <f t="shared" si="472"/>
        <v>-0.2882555555555556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4.1130000000000004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-0.70063758721180569</v>
      </c>
      <c r="C77" s="708">
        <v>-3.9573557056936415</v>
      </c>
      <c r="D77" s="709">
        <v>-0.22090000000000001</v>
      </c>
      <c r="E77" s="710">
        <v>-0.94834423198192841</v>
      </c>
      <c r="F77" s="708">
        <v>0.1834985567624498</v>
      </c>
      <c r="G77" s="711">
        <v>-0.25878851854884199</v>
      </c>
      <c r="H77" s="710">
        <v>0.314</v>
      </c>
      <c r="I77" s="708">
        <v>0.52</v>
      </c>
      <c r="J77" s="570">
        <v>4.1159999999999997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4.1159999999999997</v>
      </c>
      <c r="N77" s="632">
        <f t="shared" si="465"/>
        <v>-0.70063758721180569</v>
      </c>
      <c r="O77" s="629">
        <f t="shared" si="466"/>
        <v>-3.9573557056936415</v>
      </c>
      <c r="P77" s="633">
        <f t="shared" si="467"/>
        <v>-0.22090000000000001</v>
      </c>
      <c r="Q77" s="585">
        <f t="shared" si="520"/>
        <v>259.96000000000004</v>
      </c>
      <c r="R77" s="629">
        <f t="shared" si="79"/>
        <v>4.0189000000000004</v>
      </c>
      <c r="S77" s="634">
        <f t="shared" si="80"/>
        <v>-0.22090000000000001</v>
      </c>
      <c r="T77" s="635">
        <f t="shared" si="81"/>
        <v>-3.9573557056936424</v>
      </c>
      <c r="U77" s="629">
        <f t="shared" si="82"/>
        <v>0.70063758721180369</v>
      </c>
      <c r="V77" s="636">
        <f t="shared" si="114"/>
        <v>-0.22090000000000001</v>
      </c>
      <c r="W77" s="585">
        <f t="shared" si="224"/>
        <v>169.96000000000004</v>
      </c>
      <c r="X77" s="629">
        <f t="shared" si="83"/>
        <v>4.0189000000000004</v>
      </c>
      <c r="Y77" s="630">
        <f t="shared" si="644"/>
        <v>-0.22090000000000001</v>
      </c>
      <c r="Z77" s="632">
        <f t="shared" si="468"/>
        <v>0.94834423198192841</v>
      </c>
      <c r="AA77" s="629">
        <f t="shared" si="469"/>
        <v>-0.1834985567624498</v>
      </c>
      <c r="AB77" s="629">
        <f t="shared" si="470"/>
        <v>0.25878851854884199</v>
      </c>
      <c r="AC77" s="636">
        <f t="shared" si="84"/>
        <v>1</v>
      </c>
      <c r="AD77" s="637">
        <f t="shared" si="115"/>
        <v>0.94834423198192841</v>
      </c>
      <c r="AE77" s="629">
        <f t="shared" si="85"/>
        <v>-0.1834985567624498</v>
      </c>
      <c r="AF77" s="633">
        <f t="shared" si="86"/>
        <v>0.25878851854884199</v>
      </c>
      <c r="AG77" s="602">
        <f t="shared" si="87"/>
        <v>-144.66078132208409</v>
      </c>
      <c r="AH77" s="603">
        <f t="shared" si="88"/>
        <v>18.496284086435349</v>
      </c>
      <c r="AI77" s="585">
        <f t="shared" si="89"/>
        <v>-104.9981892654321</v>
      </c>
      <c r="AJ77" s="586">
        <f t="shared" si="90"/>
        <v>79.04896210425332</v>
      </c>
      <c r="AK77" s="635">
        <f t="shared" si="211"/>
        <v>-0.96581189963975966</v>
      </c>
      <c r="AL77" s="629">
        <f t="shared" si="91"/>
        <v>1.5358293574953358E-2</v>
      </c>
      <c r="AM77" s="634">
        <f t="shared" si="92"/>
        <v>0.25878851854884199</v>
      </c>
      <c r="AN77" s="581">
        <f t="shared" si="93"/>
        <v>176.60365734160374</v>
      </c>
      <c r="AO77" s="582">
        <f t="shared" si="461"/>
        <v>164.97480029503103</v>
      </c>
      <c r="AP77" s="585">
        <f t="shared" si="95"/>
        <v>179.08896210425326</v>
      </c>
      <c r="AQ77" s="586">
        <f t="shared" si="471"/>
        <v>0.56723286261836481</v>
      </c>
      <c r="AS77" s="52">
        <f t="shared" si="543"/>
        <v>-190.03999999999996</v>
      </c>
      <c r="AT77" s="72">
        <f t="shared" si="472"/>
        <v>-8.89277777777778E-2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4.1159999999999997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-0.85780041477324798</v>
      </c>
      <c r="C78" s="708">
        <v>-4.706162357846873</v>
      </c>
      <c r="D78" s="709">
        <v>-7.149999999999998E-2</v>
      </c>
      <c r="E78" s="710">
        <v>-0.93994059765709459</v>
      </c>
      <c r="F78" s="708">
        <v>0.22292828900525835</v>
      </c>
      <c r="G78" s="711">
        <v>-0.25848530100802991</v>
      </c>
      <c r="H78" s="710">
        <v>0.314</v>
      </c>
      <c r="I78" s="708">
        <v>0.52</v>
      </c>
      <c r="J78" s="570">
        <v>4.1189999999999998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4.1189999999999998</v>
      </c>
      <c r="N78" s="632">
        <f t="shared" si="465"/>
        <v>-0.85780041477324798</v>
      </c>
      <c r="O78" s="629">
        <f t="shared" si="466"/>
        <v>-4.706162357846873</v>
      </c>
      <c r="P78" s="633">
        <f t="shared" si="467"/>
        <v>-7.149999999999998E-2</v>
      </c>
      <c r="Q78" s="585">
        <f t="shared" si="520"/>
        <v>259.67</v>
      </c>
      <c r="R78" s="629">
        <f>IF(M78="","",SQRT(N78^2+O78^2))</f>
        <v>4.7836999999999996</v>
      </c>
      <c r="S78" s="634">
        <f>IF(M78="","",P78)</f>
        <v>-7.149999999999998E-2</v>
      </c>
      <c r="T78" s="635">
        <f>IF(M78="","",X78*COS(RADIANS(W78)))</f>
        <v>-4.7061623578468739</v>
      </c>
      <c r="U78" s="629">
        <f>IF(M78="","",X78*SIN(RADIANS(W78)))</f>
        <v>0.85780041477324631</v>
      </c>
      <c r="V78" s="636">
        <f>IF(M78="","",Y78)</f>
        <v>-7.149999999999998E-2</v>
      </c>
      <c r="W78" s="585">
        <f t="shared" si="224"/>
        <v>169.67000000000002</v>
      </c>
      <c r="X78" s="629">
        <f>IF(M78="","",R78)</f>
        <v>4.7836999999999996</v>
      </c>
      <c r="Y78" s="630">
        <f t="shared" si="644"/>
        <v>-7.149999999999998E-2</v>
      </c>
      <c r="Z78" s="632">
        <f t="shared" si="468"/>
        <v>0.93994059765709459</v>
      </c>
      <c r="AA78" s="629">
        <f t="shared" si="469"/>
        <v>-0.22292828900525835</v>
      </c>
      <c r="AB78" s="629">
        <f t="shared" si="470"/>
        <v>0.25848530100802991</v>
      </c>
      <c r="AC78" s="636">
        <f>IF(M78="","",SQRT(Z78^2+AA78^2+AB78^2))</f>
        <v>1</v>
      </c>
      <c r="AD78" s="637">
        <f>IF(M78="","",Z78*(1/SQRT(Z78^2+AA78^2+AB78^2)))</f>
        <v>0.93994059765709459</v>
      </c>
      <c r="AE78" s="629">
        <f>IF(M78="","",AA78*(1/SQRT(Z78^2+AA78^2+AB78^2)))</f>
        <v>-0.22292828900525835</v>
      </c>
      <c r="AF78" s="633">
        <f>IF(M78="","",AB78*(1/SQRT(Z78^2+AA78^2+AB78^2)))</f>
        <v>0.25848530100802991</v>
      </c>
      <c r="AG78" s="602">
        <f>IF(M78="","",DEGREES(ATAN2(-AF78,AE78)))</f>
        <v>-139.22417282770016</v>
      </c>
      <c r="AH78" s="603">
        <f>IF(M78="","",DEGREES(ACOS(AD78)))</f>
        <v>19.958417042797958</v>
      </c>
      <c r="AI78" s="585">
        <f>IF(M78="","",DEGREES(-ACOS(-AF78)))</f>
        <v>-104.98020423222985</v>
      </c>
      <c r="AJ78" s="586">
        <f>IF(M78="","",DEGREES(ATAN2(-AE78,AD78)))</f>
        <v>76.657532181581189</v>
      </c>
      <c r="AK78" s="635">
        <f>IF(M78="","",(COS(RADIANS((90-$Q$8)-W78))*AD78)+(-SIN(RADIANS((90-$Q$8)-W78))*AE78))</f>
        <v>-0.96468027637170239</v>
      </c>
      <c r="AL78" s="629">
        <f>IF(M78="","",(SIN(RADIANS((90-$Q$8)-W78))*AD78)+(COS(RADIANS((90-$Q$8)-W78))*AE78))</f>
        <v>5.0767248716116653E-2</v>
      </c>
      <c r="AM78" s="634">
        <f>IF(M78="","",AF78)</f>
        <v>0.25848530100802991</v>
      </c>
      <c r="AN78" s="581">
        <f>IF(M78="","",DEGREES(ATAN2(-AM78,AL78)))</f>
        <v>168.88837868166399</v>
      </c>
      <c r="AO78" s="582">
        <f t="shared" si="461"/>
        <v>164.72669935621906</v>
      </c>
      <c r="AP78" s="585">
        <f>IF(M78="","",DEGREES(ATAN2(AK78,AL78)))</f>
        <v>176.98753218158117</v>
      </c>
      <c r="AQ78" s="586">
        <f t="shared" si="471"/>
        <v>0.47655038196458954</v>
      </c>
      <c r="AS78" s="52">
        <f t="shared" si="543"/>
        <v>-190.32999999999998</v>
      </c>
      <c r="AT78" s="72">
        <f t="shared" si="472"/>
        <v>6.0673611111111136E-2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4.1189999999999998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-1.0418999651887584</v>
      </c>
      <c r="C79" s="708">
        <v>-5.4463362430664946</v>
      </c>
      <c r="D79" s="709">
        <v>-9.4599999999999976E-2</v>
      </c>
      <c r="E79" s="710">
        <v>-0.92425076212701818</v>
      </c>
      <c r="F79" s="708">
        <v>0.29039201802308456</v>
      </c>
      <c r="G79" s="711">
        <v>-0.24785682273463175</v>
      </c>
      <c r="H79" s="710">
        <v>0.314</v>
      </c>
      <c r="I79" s="708">
        <v>0.52</v>
      </c>
      <c r="J79" s="570">
        <v>4.1219999999999999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4.1219999999999999</v>
      </c>
      <c r="N79" s="632">
        <f t="shared" si="465"/>
        <v>-1.0418999651887584</v>
      </c>
      <c r="O79" s="629">
        <f t="shared" si="466"/>
        <v>-5.4463362430664946</v>
      </c>
      <c r="P79" s="633">
        <f t="shared" si="467"/>
        <v>-9.4599999999999976E-2</v>
      </c>
      <c r="Q79" s="585">
        <f t="shared" si="520"/>
        <v>259.17</v>
      </c>
      <c r="R79" s="629">
        <f>IF(M79="","",SQRT(N79^2+O79^2))</f>
        <v>5.5450999999999997</v>
      </c>
      <c r="S79" s="634">
        <f>IF(M79="","",P79)</f>
        <v>-9.4599999999999976E-2</v>
      </c>
      <c r="T79" s="635">
        <f>IF(M79="","",X79*COS(RADIANS(W79)))</f>
        <v>-5.4463362430664946</v>
      </c>
      <c r="U79" s="629">
        <f>IF(M79="","",X79*SIN(RADIANS(W79)))</f>
        <v>1.0418999651887582</v>
      </c>
      <c r="V79" s="636">
        <f>IF(M79="","",Y79)</f>
        <v>-9.4599999999999976E-2</v>
      </c>
      <c r="W79" s="585">
        <f t="shared" ref="W79:W129" si="645">IF(M79="","",IF(Q79-$Q$8&lt;0,360+Q79-$Q$8,Q79-$Q$8))</f>
        <v>169.17000000000002</v>
      </c>
      <c r="X79" s="629">
        <f>IF(M79="","",R79)</f>
        <v>5.5450999999999997</v>
      </c>
      <c r="Y79" s="630">
        <f t="shared" si="644"/>
        <v>-9.4599999999999976E-2</v>
      </c>
      <c r="Z79" s="632">
        <f t="shared" si="468"/>
        <v>0.92425076212701818</v>
      </c>
      <c r="AA79" s="629">
        <f t="shared" si="469"/>
        <v>-0.29039201802308456</v>
      </c>
      <c r="AB79" s="629">
        <f t="shared" si="470"/>
        <v>0.24785682273463175</v>
      </c>
      <c r="AC79" s="636">
        <f>IF(M79="","",SQRT(Z79^2+AA79^2+AB79^2))</f>
        <v>1</v>
      </c>
      <c r="AD79" s="637">
        <f>IF(M79="","",Z79*(1/SQRT(Z79^2+AA79^2+AB79^2)))</f>
        <v>0.92425076212701818</v>
      </c>
      <c r="AE79" s="629">
        <f>IF(M79="","",AA79*(1/SQRT(Z79^2+AA79^2+AB79^2)))</f>
        <v>-0.29039201802308456</v>
      </c>
      <c r="AF79" s="633">
        <f>IF(M79="","",AB79*(1/SQRT(Z79^2+AA79^2+AB79^2)))</f>
        <v>0.24785682273463175</v>
      </c>
      <c r="AG79" s="602">
        <f>IF(M79="","",DEGREES(ATAN2(-AF79,AE79)))</f>
        <v>-130.48158262660368</v>
      </c>
      <c r="AH79" s="603">
        <f>IF(M79="","",DEGREES(ACOS(AD79)))</f>
        <v>22.444353852730529</v>
      </c>
      <c r="AI79" s="585">
        <f>IF(M79="","",DEGREES(-ACOS(-AF79)))</f>
        <v>-104.35072615900231</v>
      </c>
      <c r="AJ79" s="586">
        <f>IF(M79="","",DEGREES(ATAN2(-AE79,AD79)))</f>
        <v>72.557708461250485</v>
      </c>
      <c r="AK79" s="635">
        <f>IF(M79="","",(COS(RADIANS((90-$Q$8)-W79))*AD79)+(-SIN(RADIANS((90-$Q$8)-W79))*AE79))</f>
        <v>-0.96235232131495441</v>
      </c>
      <c r="AL79" s="629">
        <f>IF(M79="","",(SIN(RADIANS((90-$Q$8)-W79))*AD79)+(COS(RADIANS((90-$Q$8)-W79))*AE79))</f>
        <v>0.11155718302113951</v>
      </c>
      <c r="AM79" s="634">
        <f>IF(M79="","",AF79)</f>
        <v>0.24785682273463175</v>
      </c>
      <c r="AN79" s="581">
        <f>IF(M79="","",DEGREES(ATAN2(-AM79,AL79)))</f>
        <v>155.76810004258451</v>
      </c>
      <c r="AO79" s="582">
        <f t="shared" si="461"/>
        <v>164.22829120521845</v>
      </c>
      <c r="AP79" s="585">
        <f>IF(M79="","",DEGREES(ATAN2(AK79,AL79)))</f>
        <v>173.38770846125047</v>
      </c>
      <c r="AQ79" s="586">
        <f t="shared" si="471"/>
        <v>0.41111747441507113</v>
      </c>
      <c r="AS79" s="52">
        <f t="shared" si="543"/>
        <v>-190.82999999999998</v>
      </c>
      <c r="AT79" s="72">
        <f t="shared" si="472"/>
        <v>3.7920833333333362E-2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4.1219999999999999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-1.2388016096445569</v>
      </c>
      <c r="C80" s="708">
        <v>-6.1382419773044186</v>
      </c>
      <c r="D80" s="709">
        <v>-0.2797</v>
      </c>
      <c r="E80" s="710">
        <v>-0.90438412283385605</v>
      </c>
      <c r="F80" s="708">
        <v>0.3667852043233108</v>
      </c>
      <c r="G80" s="711">
        <v>-0.21807790409746677</v>
      </c>
      <c r="H80" s="710">
        <v>0.314</v>
      </c>
      <c r="I80" s="708">
        <v>0.52</v>
      </c>
      <c r="J80" s="570">
        <v>4.125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4.125</v>
      </c>
      <c r="N80" s="632">
        <f t="shared" si="465"/>
        <v>-1.2388016096445569</v>
      </c>
      <c r="O80" s="629">
        <f t="shared" si="466"/>
        <v>-6.1382419773044186</v>
      </c>
      <c r="P80" s="633">
        <f t="shared" si="467"/>
        <v>-0.2797</v>
      </c>
      <c r="Q80" s="585">
        <f t="shared" si="520"/>
        <v>258.59000000000003</v>
      </c>
      <c r="R80" s="629">
        <f t="shared" si="79"/>
        <v>6.2620000000000005</v>
      </c>
      <c r="S80" s="634">
        <f t="shared" si="80"/>
        <v>-0.2797</v>
      </c>
      <c r="T80" s="635">
        <f t="shared" si="81"/>
        <v>-6.1382419773044194</v>
      </c>
      <c r="U80" s="629">
        <f t="shared" si="82"/>
        <v>1.2388016096445529</v>
      </c>
      <c r="V80" s="636">
        <f t="shared" si="114"/>
        <v>-0.2797</v>
      </c>
      <c r="W80" s="585">
        <f t="shared" si="645"/>
        <v>168.59000000000003</v>
      </c>
      <c r="X80" s="629">
        <f t="shared" si="83"/>
        <v>6.2620000000000005</v>
      </c>
      <c r="Y80" s="630">
        <f t="shared" si="644"/>
        <v>-0.2797</v>
      </c>
      <c r="Z80" s="632">
        <f t="shared" si="468"/>
        <v>0.90438412283385605</v>
      </c>
      <c r="AA80" s="629">
        <f t="shared" si="469"/>
        <v>-0.3667852043233108</v>
      </c>
      <c r="AB80" s="629">
        <f t="shared" si="470"/>
        <v>0.21807790409746677</v>
      </c>
      <c r="AC80" s="636">
        <f t="shared" si="84"/>
        <v>1</v>
      </c>
      <c r="AD80" s="637">
        <f t="shared" si="115"/>
        <v>0.90438412283385605</v>
      </c>
      <c r="AE80" s="629">
        <f t="shared" si="85"/>
        <v>-0.3667852043233108</v>
      </c>
      <c r="AF80" s="633">
        <f t="shared" si="86"/>
        <v>0.21807790409746677</v>
      </c>
      <c r="AG80" s="602">
        <f t="shared" si="87"/>
        <v>-120.73426484145369</v>
      </c>
      <c r="AH80" s="603">
        <f t="shared" si="88"/>
        <v>25.259537919718269</v>
      </c>
      <c r="AI80" s="585">
        <f t="shared" si="89"/>
        <v>-102.59616409552548</v>
      </c>
      <c r="AJ80" s="586">
        <f t="shared" si="90"/>
        <v>67.924320541995385</v>
      </c>
      <c r="AK80" s="635">
        <f t="shared" si="211"/>
        <v>-0.95907101371701287</v>
      </c>
      <c r="AL80" s="629">
        <f t="shared" si="91"/>
        <v>0.18062341595783563</v>
      </c>
      <c r="AM80" s="634">
        <f t="shared" si="92"/>
        <v>0.21807790409746677</v>
      </c>
      <c r="AN80" s="581">
        <f t="shared" si="93"/>
        <v>140.36668545363938</v>
      </c>
      <c r="AO80" s="582">
        <f t="shared" si="461"/>
        <v>163.55076762611182</v>
      </c>
      <c r="AP80" s="585">
        <f t="shared" si="95"/>
        <v>169.33432054199534</v>
      </c>
      <c r="AQ80" s="586">
        <f t="shared" si="471"/>
        <v>0.36405237187374495</v>
      </c>
      <c r="AS80" s="52">
        <f t="shared" si="543"/>
        <v>-191.40999999999997</v>
      </c>
      <c r="AT80" s="72">
        <f t="shared" si="472"/>
        <v>-0.14677638888888891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4.125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-1.4400759114413937</v>
      </c>
      <c r="C81" s="708">
        <v>-6.7692148628394309</v>
      </c>
      <c r="D81" s="709">
        <v>-0.61580000000000013</v>
      </c>
      <c r="E81" s="710">
        <v>-0.88432190314723857</v>
      </c>
      <c r="F81" s="708">
        <v>0.43312299168088603</v>
      </c>
      <c r="G81" s="711">
        <v>-0.17429643051837065</v>
      </c>
      <c r="H81" s="710">
        <v>0.314</v>
      </c>
      <c r="I81" s="708">
        <v>0.52</v>
      </c>
      <c r="J81" s="570">
        <v>4.1280000000000001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4.1280000000000001</v>
      </c>
      <c r="N81" s="632">
        <f t="shared" si="465"/>
        <v>-1.4400759114413937</v>
      </c>
      <c r="O81" s="629">
        <f t="shared" si="466"/>
        <v>-6.7692148628394309</v>
      </c>
      <c r="P81" s="633">
        <f t="shared" si="467"/>
        <v>-0.61580000000000013</v>
      </c>
      <c r="Q81" s="585">
        <f t="shared" si="520"/>
        <v>257.99</v>
      </c>
      <c r="R81" s="629">
        <f t="shared" si="79"/>
        <v>6.920700000000001</v>
      </c>
      <c r="S81" s="634">
        <f t="shared" si="80"/>
        <v>-0.61580000000000013</v>
      </c>
      <c r="T81" s="635">
        <f t="shared" si="81"/>
        <v>-6.76921486283943</v>
      </c>
      <c r="U81" s="629">
        <f t="shared" si="82"/>
        <v>1.4400759114413939</v>
      </c>
      <c r="V81" s="636">
        <f t="shared" si="114"/>
        <v>-0.61580000000000013</v>
      </c>
      <c r="W81" s="585">
        <f t="shared" si="645"/>
        <v>167.99</v>
      </c>
      <c r="X81" s="629">
        <f t="shared" si="83"/>
        <v>6.920700000000001</v>
      </c>
      <c r="Y81" s="630">
        <f t="shared" si="644"/>
        <v>-0.61580000000000013</v>
      </c>
      <c r="Z81" s="632">
        <f t="shared" si="468"/>
        <v>0.88432190314723857</v>
      </c>
      <c r="AA81" s="629">
        <f t="shared" si="469"/>
        <v>-0.43312299168088603</v>
      </c>
      <c r="AB81" s="629">
        <f t="shared" si="470"/>
        <v>0.17429643051837065</v>
      </c>
      <c r="AC81" s="636">
        <f t="shared" si="84"/>
        <v>1</v>
      </c>
      <c r="AD81" s="637">
        <f t="shared" si="115"/>
        <v>0.88432190314723857</v>
      </c>
      <c r="AE81" s="629">
        <f t="shared" si="85"/>
        <v>-0.43312299168088603</v>
      </c>
      <c r="AF81" s="633">
        <f t="shared" si="86"/>
        <v>0.17429643051837065</v>
      </c>
      <c r="AG81" s="602">
        <f t="shared" si="87"/>
        <v>-111.92073532792729</v>
      </c>
      <c r="AH81" s="603">
        <f t="shared" si="88"/>
        <v>27.831810357070996</v>
      </c>
      <c r="AI81" s="585">
        <f t="shared" si="89"/>
        <v>-100.03771732174971</v>
      </c>
      <c r="AJ81" s="586">
        <f t="shared" si="90"/>
        <v>63.905321365722266</v>
      </c>
      <c r="AK81" s="635">
        <f t="shared" si="211"/>
        <v>-0.95509051935928624</v>
      </c>
      <c r="AL81" s="629">
        <f t="shared" si="91"/>
        <v>0.23963066193324153</v>
      </c>
      <c r="AM81" s="634">
        <f t="shared" si="92"/>
        <v>0.17429643051837065</v>
      </c>
      <c r="AN81" s="581">
        <f t="shared" si="93"/>
        <v>126.03043613217774</v>
      </c>
      <c r="AO81" s="582">
        <f t="shared" si="461"/>
        <v>162.76364124039046</v>
      </c>
      <c r="AP81" s="585">
        <f t="shared" si="95"/>
        <v>165.91532136572224</v>
      </c>
      <c r="AQ81" s="586">
        <f t="shared" si="471"/>
        <v>0.32940331391938354</v>
      </c>
      <c r="AS81" s="52">
        <f t="shared" si="543"/>
        <v>-192.01</v>
      </c>
      <c r="AT81" s="72">
        <f t="shared" si="472"/>
        <v>-0.48245972222222233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4.1280000000000001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-1.629978295101344</v>
      </c>
      <c r="C82" s="708">
        <v>-7.3100806368670455</v>
      </c>
      <c r="D82" s="709">
        <v>-1.0858000000000001</v>
      </c>
      <c r="E82" s="710">
        <v>-0.8660741464483398</v>
      </c>
      <c r="F82" s="708">
        <v>0.48527917482760885</v>
      </c>
      <c r="G82" s="711">
        <v>-0.12008203584389644</v>
      </c>
      <c r="H82" s="710">
        <v>0.314</v>
      </c>
      <c r="I82" s="708">
        <v>0.52</v>
      </c>
      <c r="J82" s="570">
        <v>4.1310000000000002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4.1310000000000002</v>
      </c>
      <c r="N82" s="632">
        <f t="shared" si="465"/>
        <v>-1.629978295101344</v>
      </c>
      <c r="O82" s="629">
        <f t="shared" si="466"/>
        <v>-7.3100806368670455</v>
      </c>
      <c r="P82" s="633">
        <f t="shared" si="467"/>
        <v>-1.0858000000000001</v>
      </c>
      <c r="Q82" s="585">
        <f t="shared" si="520"/>
        <v>257.43</v>
      </c>
      <c r="R82" s="629">
        <f t="shared" si="79"/>
        <v>7.4895999999999994</v>
      </c>
      <c r="S82" s="634">
        <f t="shared" si="80"/>
        <v>-1.0858000000000001</v>
      </c>
      <c r="T82" s="635">
        <f t="shared" si="81"/>
        <v>-7.3100806368670455</v>
      </c>
      <c r="U82" s="629">
        <f t="shared" si="82"/>
        <v>1.6299782951013428</v>
      </c>
      <c r="V82" s="636">
        <f t="shared" si="114"/>
        <v>-1.0858000000000001</v>
      </c>
      <c r="W82" s="585">
        <f t="shared" si="645"/>
        <v>167.43</v>
      </c>
      <c r="X82" s="629">
        <f t="shared" si="83"/>
        <v>7.4895999999999994</v>
      </c>
      <c r="Y82" s="630">
        <f t="shared" si="644"/>
        <v>-1.0858000000000001</v>
      </c>
      <c r="Z82" s="632">
        <f t="shared" si="468"/>
        <v>0.8660741464483398</v>
      </c>
      <c r="AA82" s="629">
        <f t="shared" si="469"/>
        <v>-0.48527917482760885</v>
      </c>
      <c r="AB82" s="629">
        <f t="shared" si="470"/>
        <v>0.12008203584389644</v>
      </c>
      <c r="AC82" s="636">
        <f t="shared" si="84"/>
        <v>1</v>
      </c>
      <c r="AD82" s="637">
        <f t="shared" si="115"/>
        <v>0.8660741464483398</v>
      </c>
      <c r="AE82" s="629">
        <f t="shared" si="85"/>
        <v>-0.48527917482760885</v>
      </c>
      <c r="AF82" s="633">
        <f t="shared" si="86"/>
        <v>0.12008203584389644</v>
      </c>
      <c r="AG82" s="602">
        <f t="shared" si="87"/>
        <v>-103.89861837819909</v>
      </c>
      <c r="AH82" s="603">
        <f t="shared" si="88"/>
        <v>29.994414030509613</v>
      </c>
      <c r="AI82" s="585">
        <f t="shared" si="89"/>
        <v>-96.89683712277332</v>
      </c>
      <c r="AJ82" s="586">
        <f t="shared" si="90"/>
        <v>60.737192376731848</v>
      </c>
      <c r="AK82" s="635">
        <f t="shared" si="211"/>
        <v>-0.95092746876693757</v>
      </c>
      <c r="AL82" s="629">
        <f t="shared" si="91"/>
        <v>0.28516180286302417</v>
      </c>
      <c r="AM82" s="634">
        <f t="shared" si="92"/>
        <v>0.12008203584389644</v>
      </c>
      <c r="AN82" s="581">
        <f t="shared" si="93"/>
        <v>112.83602782819723</v>
      </c>
      <c r="AO82" s="582">
        <f t="shared" si="461"/>
        <v>161.97608826168852</v>
      </c>
      <c r="AP82" s="585">
        <f t="shared" si="95"/>
        <v>163.30719237673182</v>
      </c>
      <c r="AQ82" s="586">
        <f t="shared" si="471"/>
        <v>0.30438276882805121</v>
      </c>
      <c r="AS82" s="52">
        <f t="shared" si="543"/>
        <v>-192.57</v>
      </c>
      <c r="AT82" s="72">
        <f t="shared" si="472"/>
        <v>-0.95207083333333342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4.1310000000000002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-1.7905452315579271</v>
      </c>
      <c r="C83" s="708">
        <v>-7.7372182768579805</v>
      </c>
      <c r="D83" s="709">
        <v>-1.6657999999999999</v>
      </c>
      <c r="E83" s="710">
        <v>-0.851688760786527</v>
      </c>
      <c r="F83" s="708">
        <v>0.52060085709708026</v>
      </c>
      <c r="G83" s="711">
        <v>-6.0008352249462861E-2</v>
      </c>
      <c r="H83" s="710">
        <v>0.314</v>
      </c>
      <c r="I83" s="708">
        <v>0.52</v>
      </c>
      <c r="J83" s="570">
        <v>4.1340000000000003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4.1340000000000003</v>
      </c>
      <c r="N83" s="632">
        <f t="shared" si="465"/>
        <v>-1.7905452315579271</v>
      </c>
      <c r="O83" s="629">
        <f t="shared" si="466"/>
        <v>-7.7372182768579805</v>
      </c>
      <c r="P83" s="633">
        <f t="shared" si="467"/>
        <v>-1.6657999999999999</v>
      </c>
      <c r="Q83" s="585">
        <f t="shared" si="520"/>
        <v>256.97000000000003</v>
      </c>
      <c r="R83" s="629">
        <f t="shared" si="79"/>
        <v>7.9417</v>
      </c>
      <c r="S83" s="634">
        <f t="shared" si="80"/>
        <v>-1.6657999999999999</v>
      </c>
      <c r="T83" s="635">
        <f t="shared" si="81"/>
        <v>-7.7372182768579805</v>
      </c>
      <c r="U83" s="629">
        <f t="shared" si="82"/>
        <v>1.7905452315579256</v>
      </c>
      <c r="V83" s="636">
        <f t="shared" si="114"/>
        <v>-1.6657999999999999</v>
      </c>
      <c r="W83" s="585">
        <f t="shared" si="645"/>
        <v>166.97000000000003</v>
      </c>
      <c r="X83" s="629">
        <f t="shared" si="83"/>
        <v>7.9417</v>
      </c>
      <c r="Y83" s="630">
        <f t="shared" si="644"/>
        <v>-1.6657999999999999</v>
      </c>
      <c r="Z83" s="632">
        <f t="shared" si="468"/>
        <v>0.851688760786527</v>
      </c>
      <c r="AA83" s="629">
        <f t="shared" si="469"/>
        <v>-0.52060085709708026</v>
      </c>
      <c r="AB83" s="629">
        <f t="shared" si="470"/>
        <v>6.0008352249462861E-2</v>
      </c>
      <c r="AC83" s="636">
        <f t="shared" si="84"/>
        <v>1</v>
      </c>
      <c r="AD83" s="637">
        <f t="shared" si="115"/>
        <v>0.851688760786527</v>
      </c>
      <c r="AE83" s="629">
        <f t="shared" si="85"/>
        <v>-0.52060085709708026</v>
      </c>
      <c r="AF83" s="633">
        <f t="shared" si="86"/>
        <v>6.0008352249462861E-2</v>
      </c>
      <c r="AG83" s="602">
        <f t="shared" si="87"/>
        <v>-96.575321747789118</v>
      </c>
      <c r="AH83" s="603">
        <f t="shared" si="88"/>
        <v>31.604173857940484</v>
      </c>
      <c r="AI83" s="585">
        <f t="shared" si="89"/>
        <v>-93.44029217999973</v>
      </c>
      <c r="AJ83" s="586">
        <f t="shared" si="90"/>
        <v>58.564341941205285</v>
      </c>
      <c r="AK83" s="635">
        <f t="shared" si="211"/>
        <v>-0.94713489912388871</v>
      </c>
      <c r="AL83" s="629">
        <f t="shared" si="91"/>
        <v>0.3151737306976673</v>
      </c>
      <c r="AM83" s="634">
        <f t="shared" si="92"/>
        <v>6.0008352249462861E-2</v>
      </c>
      <c r="AN83" s="581">
        <f t="shared" si="93"/>
        <v>100.77995787593036</v>
      </c>
      <c r="AO83" s="582">
        <f t="shared" si="461"/>
        <v>161.28653398900244</v>
      </c>
      <c r="AP83" s="585">
        <f t="shared" si="95"/>
        <v>161.59434194120527</v>
      </c>
      <c r="AQ83" s="586">
        <f t="shared" si="471"/>
        <v>0.28705536064898368</v>
      </c>
      <c r="AS83" s="52">
        <f t="shared" si="543"/>
        <v>-193.02999999999997</v>
      </c>
      <c r="AT83" s="72">
        <f t="shared" si="472"/>
        <v>-1.531751388888889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4.1340000000000003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-1.9122195655553336</v>
      </c>
      <c r="C84" s="708">
        <v>-8.0391041723010002</v>
      </c>
      <c r="D84" s="709">
        <v>-2.3232999999999997</v>
      </c>
      <c r="E84" s="710">
        <v>-0.80287587412630312</v>
      </c>
      <c r="F84" s="708">
        <v>0.59400014763509967</v>
      </c>
      <c r="G84" s="711">
        <v>-5.0538652093269618E-2</v>
      </c>
      <c r="H84" s="710">
        <v>0.314</v>
      </c>
      <c r="I84" s="708">
        <v>0.52</v>
      </c>
      <c r="J84" s="570">
        <v>4.1369999999999996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4.1369999999999996</v>
      </c>
      <c r="N84" s="632">
        <f t="shared" si="465"/>
        <v>-1.9122195655553336</v>
      </c>
      <c r="O84" s="629">
        <f t="shared" si="466"/>
        <v>-8.0391041723010002</v>
      </c>
      <c r="P84" s="633">
        <f t="shared" si="467"/>
        <v>-2.3232999999999997</v>
      </c>
      <c r="Q84" s="585">
        <f t="shared" si="520"/>
        <v>256.62</v>
      </c>
      <c r="R84" s="629">
        <f t="shared" si="79"/>
        <v>8.263399999999999</v>
      </c>
      <c r="S84" s="634">
        <f t="shared" si="80"/>
        <v>-2.3232999999999997</v>
      </c>
      <c r="T84" s="635">
        <f t="shared" si="81"/>
        <v>-8.0391041723010002</v>
      </c>
      <c r="U84" s="629">
        <f t="shared" si="82"/>
        <v>1.9122195655553327</v>
      </c>
      <c r="V84" s="636">
        <f t="shared" si="114"/>
        <v>-2.3232999999999997</v>
      </c>
      <c r="W84" s="585">
        <f t="shared" si="645"/>
        <v>166.62</v>
      </c>
      <c r="X84" s="629">
        <f t="shared" si="83"/>
        <v>8.263399999999999</v>
      </c>
      <c r="Y84" s="630">
        <f t="shared" si="644"/>
        <v>-2.3232999999999997</v>
      </c>
      <c r="Z84" s="632">
        <f t="shared" si="468"/>
        <v>0.80287587412630312</v>
      </c>
      <c r="AA84" s="629">
        <f t="shared" si="469"/>
        <v>-0.59400014763509967</v>
      </c>
      <c r="AB84" s="629">
        <f t="shared" si="470"/>
        <v>5.0538652093269618E-2</v>
      </c>
      <c r="AC84" s="636">
        <f t="shared" si="84"/>
        <v>1</v>
      </c>
      <c r="AD84" s="637">
        <f t="shared" si="115"/>
        <v>0.80287587412630312</v>
      </c>
      <c r="AE84" s="629">
        <f t="shared" si="85"/>
        <v>-0.59400014763509967</v>
      </c>
      <c r="AF84" s="633">
        <f t="shared" si="86"/>
        <v>5.0538652093269618E-2</v>
      </c>
      <c r="AG84" s="602">
        <f t="shared" si="87"/>
        <v>-94.863120882501676</v>
      </c>
      <c r="AH84" s="603">
        <f t="shared" si="88"/>
        <v>36.594387632356714</v>
      </c>
      <c r="AI84" s="585">
        <f t="shared" si="89"/>
        <v>-92.896885543444995</v>
      </c>
      <c r="AJ84" s="586">
        <f t="shared" si="90"/>
        <v>53.504461650393303</v>
      </c>
      <c r="AK84" s="635">
        <f t="shared" si="211"/>
        <v>-0.91853976496105372</v>
      </c>
      <c r="AL84" s="629">
        <f t="shared" si="91"/>
        <v>0.39208486942228177</v>
      </c>
      <c r="AM84" s="634">
        <f t="shared" si="92"/>
        <v>5.0538652093269618E-2</v>
      </c>
      <c r="AN84" s="581">
        <f t="shared" si="93"/>
        <v>97.344769174349295</v>
      </c>
      <c r="AO84" s="582">
        <f t="shared" si="461"/>
        <v>156.71353056613756</v>
      </c>
      <c r="AP84" s="585">
        <f t="shared" si="95"/>
        <v>156.88446165039329</v>
      </c>
      <c r="AQ84" s="586">
        <f t="shared" si="471"/>
        <v>0.27588026888298928</v>
      </c>
      <c r="AS84" s="52">
        <f t="shared" si="543"/>
        <v>-193.38</v>
      </c>
      <c r="AT84" s="72">
        <f t="shared" si="472"/>
        <v>-2.1890083333333332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4.1369999999999996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-1.9982508059848378</v>
      </c>
      <c r="C85" s="708">
        <v>-8.19715423524414</v>
      </c>
      <c r="D85" s="709">
        <v>-3.0308999999999995</v>
      </c>
      <c r="E85" s="710">
        <v>-0.74874439652630109</v>
      </c>
      <c r="F85" s="708">
        <v>0.66248095714518018</v>
      </c>
      <c r="G85" s="711">
        <v>-2.2378786617491597E-2</v>
      </c>
      <c r="H85" s="710">
        <v>0.314</v>
      </c>
      <c r="I85" s="708">
        <v>0.52</v>
      </c>
      <c r="J85" s="570">
        <v>4.1399999999999997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4.1399999999999997</v>
      </c>
      <c r="N85" s="632">
        <f t="shared" si="465"/>
        <v>-1.9982508059848378</v>
      </c>
      <c r="O85" s="629">
        <f t="shared" si="466"/>
        <v>-8.19715423524414</v>
      </c>
      <c r="P85" s="633">
        <f t="shared" si="467"/>
        <v>-3.0308999999999995</v>
      </c>
      <c r="Q85" s="585">
        <f t="shared" si="520"/>
        <v>256.3</v>
      </c>
      <c r="R85" s="629">
        <f t="shared" si="79"/>
        <v>8.4371999999999989</v>
      </c>
      <c r="S85" s="634">
        <f t="shared" si="80"/>
        <v>-3.0308999999999995</v>
      </c>
      <c r="T85" s="635">
        <f t="shared" si="81"/>
        <v>-8.1971542352441382</v>
      </c>
      <c r="U85" s="629">
        <f t="shared" si="82"/>
        <v>1.998250805984837</v>
      </c>
      <c r="V85" s="636">
        <f t="shared" si="114"/>
        <v>-3.0308999999999995</v>
      </c>
      <c r="W85" s="585">
        <f t="shared" si="645"/>
        <v>166.3</v>
      </c>
      <c r="X85" s="629">
        <f t="shared" si="83"/>
        <v>8.4371999999999989</v>
      </c>
      <c r="Y85" s="630">
        <f t="shared" si="644"/>
        <v>-3.0308999999999995</v>
      </c>
      <c r="Z85" s="632">
        <f t="shared" si="468"/>
        <v>0.74874439652630109</v>
      </c>
      <c r="AA85" s="629">
        <f t="shared" si="469"/>
        <v>-0.66248095714518018</v>
      </c>
      <c r="AB85" s="629">
        <f t="shared" si="470"/>
        <v>2.2378786617491597E-2</v>
      </c>
      <c r="AC85" s="636">
        <f t="shared" si="84"/>
        <v>1</v>
      </c>
      <c r="AD85" s="637">
        <f t="shared" si="115"/>
        <v>0.74874439652630109</v>
      </c>
      <c r="AE85" s="629">
        <f t="shared" si="85"/>
        <v>-0.66248095714518018</v>
      </c>
      <c r="AF85" s="633">
        <f t="shared" si="86"/>
        <v>2.2378786617491597E-2</v>
      </c>
      <c r="AG85" s="602">
        <f t="shared" si="87"/>
        <v>-91.934731301774264</v>
      </c>
      <c r="AH85" s="603">
        <f t="shared" si="88"/>
        <v>41.51826960573537</v>
      </c>
      <c r="AI85" s="585">
        <f t="shared" si="89"/>
        <v>-91.282317071885714</v>
      </c>
      <c r="AJ85" s="586">
        <f t="shared" si="90"/>
        <v>48.497945165838551</v>
      </c>
      <c r="AK85" s="635">
        <f t="shared" si="211"/>
        <v>-0.88434272124233748</v>
      </c>
      <c r="AL85" s="629">
        <f t="shared" si="91"/>
        <v>0.46630155617928859</v>
      </c>
      <c r="AM85" s="634">
        <f t="shared" si="92"/>
        <v>2.2378786617491597E-2</v>
      </c>
      <c r="AN85" s="581">
        <f t="shared" si="93"/>
        <v>92.747636056953212</v>
      </c>
      <c r="AO85" s="582">
        <f t="shared" si="461"/>
        <v>152.17074457198979</v>
      </c>
      <c r="AP85" s="585">
        <f t="shared" si="95"/>
        <v>152.19794516583855</v>
      </c>
      <c r="AQ85" s="586">
        <f t="shared" si="471"/>
        <v>0.27019742713698031</v>
      </c>
      <c r="AS85" s="52">
        <f t="shared" si="543"/>
        <v>-193.7</v>
      </c>
      <c r="AT85" s="72">
        <f t="shared" si="472"/>
        <v>-2.8963861111111107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4.1399999999999997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-2.060779388521476</v>
      </c>
      <c r="C86" s="708">
        <v>-8.3023633262972183</v>
      </c>
      <c r="D86" s="709">
        <v>-3.7026999999999997</v>
      </c>
      <c r="E86" s="710">
        <v>-0.69089492643876094</v>
      </c>
      <c r="F86" s="708">
        <v>0.72292824410608392</v>
      </c>
      <c r="G86" s="711">
        <v>-6.2413536090727955E-3</v>
      </c>
      <c r="H86" s="710">
        <v>0.26600000000000001</v>
      </c>
      <c r="I86" s="708">
        <v>0.52</v>
      </c>
      <c r="J86" s="570">
        <v>4.1429999999999998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1313</v>
      </c>
      <c r="L86" s="320"/>
      <c r="M86" s="168">
        <f t="shared" si="464"/>
        <v>4.1429999999999998</v>
      </c>
      <c r="N86" s="632">
        <f t="shared" si="465"/>
        <v>-2.060779388521476</v>
      </c>
      <c r="O86" s="629">
        <f t="shared" si="466"/>
        <v>-8.3023633262972183</v>
      </c>
      <c r="P86" s="633">
        <f t="shared" si="467"/>
        <v>-3.7026999999999997</v>
      </c>
      <c r="Q86" s="585">
        <f t="shared" si="520"/>
        <v>256.06</v>
      </c>
      <c r="R86" s="629">
        <f t="shared" si="79"/>
        <v>8.5542999999999978</v>
      </c>
      <c r="S86" s="634">
        <f t="shared" si="80"/>
        <v>-3.7026999999999997</v>
      </c>
      <c r="T86" s="635">
        <f t="shared" si="81"/>
        <v>-8.3023633262972183</v>
      </c>
      <c r="U86" s="629">
        <f t="shared" si="82"/>
        <v>2.0607793885214774</v>
      </c>
      <c r="V86" s="636">
        <f t="shared" si="114"/>
        <v>-3.7026999999999997</v>
      </c>
      <c r="W86" s="585">
        <f t="shared" si="645"/>
        <v>166.06</v>
      </c>
      <c r="X86" s="629">
        <f t="shared" si="83"/>
        <v>8.5542999999999978</v>
      </c>
      <c r="Y86" s="630">
        <f t="shared" si="644"/>
        <v>-3.7026999999999997</v>
      </c>
      <c r="Z86" s="632">
        <f t="shared" si="468"/>
        <v>0.69089492643876094</v>
      </c>
      <c r="AA86" s="629">
        <f t="shared" si="469"/>
        <v>-0.72292824410608392</v>
      </c>
      <c r="AB86" s="629">
        <f t="shared" si="470"/>
        <v>6.2413536090727955E-3</v>
      </c>
      <c r="AC86" s="636">
        <f t="shared" si="84"/>
        <v>1</v>
      </c>
      <c r="AD86" s="637">
        <f t="shared" si="115"/>
        <v>0.69089492643876094</v>
      </c>
      <c r="AE86" s="629">
        <f t="shared" si="85"/>
        <v>-0.72292824410608392</v>
      </c>
      <c r="AF86" s="633">
        <f t="shared" si="86"/>
        <v>6.2413536090727955E-3</v>
      </c>
      <c r="AG86" s="602">
        <f t="shared" si="87"/>
        <v>-90.494647067350641</v>
      </c>
      <c r="AH86" s="603">
        <f t="shared" si="88"/>
        <v>46.2990081384036</v>
      </c>
      <c r="AI86" s="585">
        <f t="shared" si="89"/>
        <v>-90.357605541998112</v>
      </c>
      <c r="AJ86" s="586">
        <f t="shared" si="90"/>
        <v>43.702058377636426</v>
      </c>
      <c r="AK86" s="635">
        <f t="shared" si="211"/>
        <v>-0.84470457248679909</v>
      </c>
      <c r="AL86" s="629">
        <f t="shared" si="91"/>
        <v>0.53519644124846388</v>
      </c>
      <c r="AM86" s="634">
        <f t="shared" si="92"/>
        <v>6.2413536090727955E-3</v>
      </c>
      <c r="AN86" s="581">
        <f t="shared" si="93"/>
        <v>90.668141607371297</v>
      </c>
      <c r="AO86" s="582">
        <f t="shared" si="461"/>
        <v>147.64029706870994</v>
      </c>
      <c r="AP86" s="585">
        <f t="shared" si="95"/>
        <v>147.6420583776364</v>
      </c>
      <c r="AQ86" s="586">
        <f t="shared" si="471"/>
        <v>0.26649874235745857</v>
      </c>
      <c r="AS86" s="52">
        <f t="shared" si="543"/>
        <v>-193.94</v>
      </c>
      <c r="AT86" s="72">
        <f t="shared" si="472"/>
        <v>-3.568019444444444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4.1429999999999998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>
        <f t="shared" si="542"/>
        <v>1313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-2.0665750288808571</v>
      </c>
      <c r="C87" s="708">
        <v>-8.3009226077590963</v>
      </c>
      <c r="D87" s="709">
        <v>-4.3879999999999999</v>
      </c>
      <c r="E87" s="710">
        <v>-0.68988815001160131</v>
      </c>
      <c r="F87" s="708">
        <v>0.72390226954785908</v>
      </c>
      <c r="G87" s="711">
        <v>-4.4547297369491416E-3</v>
      </c>
      <c r="H87" s="710">
        <v>0.26600000000000001</v>
      </c>
      <c r="I87" s="708">
        <v>0.52</v>
      </c>
      <c r="J87" s="570">
        <v>4.1459999999999999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1313</v>
      </c>
      <c r="L87" s="320"/>
      <c r="M87" s="168">
        <f t="shared" si="464"/>
        <v>4.1459999999999999</v>
      </c>
      <c r="N87" s="632">
        <f t="shared" si="465"/>
        <v>-2.0665750288808571</v>
      </c>
      <c r="O87" s="629">
        <f t="shared" si="466"/>
        <v>-8.3009226077590963</v>
      </c>
      <c r="P87" s="633">
        <f t="shared" si="467"/>
        <v>-4.3879999999999999</v>
      </c>
      <c r="Q87" s="585">
        <f t="shared" si="520"/>
        <v>256.02</v>
      </c>
      <c r="R87" s="629">
        <f t="shared" si="79"/>
        <v>8.5542999999999996</v>
      </c>
      <c r="S87" s="634">
        <f t="shared" si="80"/>
        <v>-4.3879999999999999</v>
      </c>
      <c r="T87" s="635">
        <f t="shared" si="81"/>
        <v>-8.3009226077590945</v>
      </c>
      <c r="U87" s="629">
        <f t="shared" si="82"/>
        <v>2.0665750288808615</v>
      </c>
      <c r="V87" s="636">
        <f t="shared" si="114"/>
        <v>-4.3879999999999999</v>
      </c>
      <c r="W87" s="585">
        <f t="shared" si="645"/>
        <v>166.01999999999998</v>
      </c>
      <c r="X87" s="629">
        <f t="shared" si="83"/>
        <v>8.5542999999999996</v>
      </c>
      <c r="Y87" s="630">
        <f t="shared" si="644"/>
        <v>-4.3879999999999999</v>
      </c>
      <c r="Z87" s="632">
        <f t="shared" si="468"/>
        <v>0.68988815001160131</v>
      </c>
      <c r="AA87" s="629">
        <f t="shared" si="469"/>
        <v>-0.72390226954785908</v>
      </c>
      <c r="AB87" s="629">
        <f t="shared" si="470"/>
        <v>4.4547297369491416E-3</v>
      </c>
      <c r="AC87" s="636">
        <f t="shared" si="84"/>
        <v>1</v>
      </c>
      <c r="AD87" s="637">
        <f t="shared" si="115"/>
        <v>0.68988815001160131</v>
      </c>
      <c r="AE87" s="629">
        <f t="shared" si="85"/>
        <v>-0.72390226954785908</v>
      </c>
      <c r="AF87" s="633">
        <f t="shared" si="86"/>
        <v>4.4547297369491416E-3</v>
      </c>
      <c r="AG87" s="602">
        <f t="shared" si="87"/>
        <v>-90.352580730516621</v>
      </c>
      <c r="AH87" s="603">
        <f t="shared" si="88"/>
        <v>46.378744375325859</v>
      </c>
      <c r="AI87" s="585">
        <f t="shared" si="89"/>
        <v>-90.25523805698694</v>
      </c>
      <c r="AJ87" s="586">
        <f t="shared" si="90"/>
        <v>43.621797418814424</v>
      </c>
      <c r="AK87" s="635">
        <f t="shared" si="211"/>
        <v>-0.84433635655216532</v>
      </c>
      <c r="AL87" s="629">
        <f t="shared" si="91"/>
        <v>0.53579499100606165</v>
      </c>
      <c r="AM87" s="634">
        <f t="shared" si="92"/>
        <v>4.4547297369491416E-3</v>
      </c>
      <c r="AN87" s="581">
        <f t="shared" si="93"/>
        <v>90.476360055799134</v>
      </c>
      <c r="AO87" s="582">
        <f t="shared" si="461"/>
        <v>147.60090154054197</v>
      </c>
      <c r="AP87" s="585">
        <f t="shared" si="95"/>
        <v>147.60179741881447</v>
      </c>
      <c r="AQ87" s="586">
        <f t="shared" si="471"/>
        <v>0.26649874235745852</v>
      </c>
      <c r="AS87" s="52">
        <f t="shared" si="543"/>
        <v>-193.98000000000002</v>
      </c>
      <c r="AT87" s="72">
        <f t="shared" si="472"/>
        <v>-4.2532916666666667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4.1459999999999999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2"/>
        <v>1313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-1.9034216361936547</v>
      </c>
      <c r="C88" s="708">
        <v>-4.0992552311108108</v>
      </c>
      <c r="D88" s="709">
        <v>-0.12649120244879944</v>
      </c>
      <c r="E88" s="710">
        <v>2.0570124853685374E-7</v>
      </c>
      <c r="F88" s="708">
        <v>-9.5513986048787397E-8</v>
      </c>
      <c r="G88" s="711">
        <v>0.99999999999997435</v>
      </c>
      <c r="H88" s="710">
        <v>0.26250000000000001</v>
      </c>
      <c r="I88" s="708">
        <v>0.40699999999999997</v>
      </c>
      <c r="J88" s="570">
        <v>4.218</v>
      </c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Inactive</v>
      </c>
      <c r="L88" s="320"/>
      <c r="M88" s="168">
        <f t="shared" si="464"/>
        <v>4.218</v>
      </c>
      <c r="N88" s="632">
        <f t="shared" si="465"/>
        <v>-1.9034216361936547</v>
      </c>
      <c r="O88" s="629">
        <f t="shared" si="466"/>
        <v>-4.0992552311108108</v>
      </c>
      <c r="P88" s="633">
        <f t="shared" si="467"/>
        <v>-0.12649120244879944</v>
      </c>
      <c r="Q88" s="585">
        <f t="shared" si="520"/>
        <v>245.09297760734461</v>
      </c>
      <c r="R88" s="629">
        <f t="shared" si="79"/>
        <v>4.5196136311547113</v>
      </c>
      <c r="S88" s="634">
        <f t="shared" si="80"/>
        <v>-0.12649120244879944</v>
      </c>
      <c r="T88" s="635">
        <f t="shared" si="81"/>
        <v>-4.0992552311108117</v>
      </c>
      <c r="U88" s="629">
        <f t="shared" si="82"/>
        <v>1.9034216361936518</v>
      </c>
      <c r="V88" s="636">
        <f t="shared" si="114"/>
        <v>-0.12649120244879944</v>
      </c>
      <c r="W88" s="585">
        <f t="shared" si="645"/>
        <v>155.09297760734461</v>
      </c>
      <c r="X88" s="629">
        <f t="shared" si="83"/>
        <v>4.5196136311547113</v>
      </c>
      <c r="Y88" s="630">
        <f t="shared" si="644"/>
        <v>-0.12649120244879944</v>
      </c>
      <c r="Z88" s="632">
        <f t="shared" si="468"/>
        <v>-2.0570124853685374E-7</v>
      </c>
      <c r="AA88" s="629">
        <f t="shared" si="469"/>
        <v>9.5513986048787397E-8</v>
      </c>
      <c r="AB88" s="629">
        <f t="shared" si="470"/>
        <v>-0.99999999999997435</v>
      </c>
      <c r="AC88" s="636">
        <f t="shared" si="84"/>
        <v>1</v>
      </c>
      <c r="AD88" s="637">
        <f t="shared" si="115"/>
        <v>-2.0570124853685374E-7</v>
      </c>
      <c r="AE88" s="629">
        <f t="shared" si="85"/>
        <v>9.5513986048787397E-8</v>
      </c>
      <c r="AF88" s="633">
        <f t="shared" si="86"/>
        <v>-0.99999999999997435</v>
      </c>
      <c r="AG88" s="602">
        <f t="shared" si="87"/>
        <v>5.4725482850670675E-6</v>
      </c>
      <c r="AH88" s="603">
        <f t="shared" si="88"/>
        <v>90.000011785813385</v>
      </c>
      <c r="AI88" s="585">
        <f t="shared" si="89"/>
        <v>-1.2976235990044085E-5</v>
      </c>
      <c r="AJ88" s="586">
        <f t="shared" si="90"/>
        <v>-114.90702238693387</v>
      </c>
      <c r="AK88" s="635">
        <f t="shared" si="211"/>
        <v>2.2679489672509923E-7</v>
      </c>
      <c r="AL88" s="629">
        <f t="shared" si="91"/>
        <v>2.2647596366771059E-17</v>
      </c>
      <c r="AM88" s="634">
        <f t="shared" si="92"/>
        <v>-0.99999999999997435</v>
      </c>
      <c r="AN88" s="581">
        <f t="shared" si="93"/>
        <v>1.297611687931832E-15</v>
      </c>
      <c r="AO88" s="582">
        <f t="shared" si="461"/>
        <v>0</v>
      </c>
      <c r="AP88" s="585">
        <f t="shared" si="95"/>
        <v>5.7215206632477683E-9</v>
      </c>
      <c r="AQ88" s="586">
        <f t="shared" si="471"/>
        <v>0.5043943853684324</v>
      </c>
      <c r="AS88" s="52">
        <f t="shared" si="543"/>
        <v>-204.90702239265539</v>
      </c>
      <c r="AT88" s="72">
        <f t="shared" si="472"/>
        <v>1.5805340879433472E-2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Nose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4.218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2.1179999999999999</v>
      </c>
      <c r="II88" s="734" cm="1">
        <f t="array" ref="II88">IFERROR(ROUND(VALUE(IF($IH88&lt;1,$IH88+LARGE((IF($M$9:$M$150="",0,$M$9:$M$150)-MOD(IF($M$9:$M$150="",0,$M$9:$M$150),1)),1),$IH88)),4),"")</f>
        <v>2.1179999999999999</v>
      </c>
      <c r="IJ88" s="533">
        <f t="shared" si="542"/>
        <v>1613</v>
      </c>
      <c r="IK88" s="533" t="str">
        <f t="shared" si="517"/>
        <v>Inactive</v>
      </c>
      <c r="IL88" s="727">
        <f t="shared" si="647"/>
        <v>139.7070223926554</v>
      </c>
      <c r="IM88" s="759">
        <v>5.8375624485266502E-2</v>
      </c>
      <c r="IN88" s="5">
        <f t="shared" si="648"/>
        <v>0.16</v>
      </c>
      <c r="IO88" s="771">
        <v>80</v>
      </c>
      <c r="IP88" s="9">
        <f t="shared" si="649"/>
        <v>-4.5195999999999996</v>
      </c>
      <c r="IQ88" s="5">
        <f t="shared" si="650"/>
        <v>-0.1042</v>
      </c>
      <c r="IR88" s="5">
        <f t="shared" si="518"/>
        <v>0.314</v>
      </c>
      <c r="IS88" s="5">
        <f t="shared" si="651"/>
        <v>-0.30307511476753501</v>
      </c>
      <c r="IT88" s="727">
        <f t="shared" si="652"/>
        <v>-171.51945661249175</v>
      </c>
      <c r="IU88" s="9">
        <f t="shared" si="653"/>
        <v>-4.5196136311547113</v>
      </c>
      <c r="IV88" s="5">
        <f t="shared" si="654"/>
        <v>-0.12649120244879944</v>
      </c>
      <c r="IW88" s="5">
        <f t="shared" si="519"/>
        <v>0.26250000000000001</v>
      </c>
      <c r="IX88" s="5">
        <f t="shared" si="655"/>
        <v>0.26250000000000001</v>
      </c>
      <c r="IY88" s="762">
        <f t="shared" si="656"/>
        <v>-1.297611687931832E-15</v>
      </c>
    </row>
    <row r="89" spans="1:259" ht="15" customHeight="1" x14ac:dyDescent="0.25">
      <c r="A89" s="79"/>
      <c r="B89" s="707">
        <v>-2.2329829372909002</v>
      </c>
      <c r="C89" s="708">
        <v>-4.7945399848094397</v>
      </c>
      <c r="D89" s="709">
        <v>-9.1124682954881825E-2</v>
      </c>
      <c r="E89" s="710">
        <v>-2.0623748113729717E-2</v>
      </c>
      <c r="F89" s="708">
        <v>-4.4282731785062195E-2</v>
      </c>
      <c r="G89" s="711">
        <v>0.99880613768608462</v>
      </c>
      <c r="H89" s="710">
        <v>0.26250000000000001</v>
      </c>
      <c r="I89" s="708">
        <v>0.40699999999999997</v>
      </c>
      <c r="J89" s="570">
        <v>4.2210000000000001</v>
      </c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Inactive</v>
      </c>
      <c r="L89" s="320"/>
      <c r="M89" s="168">
        <f t="shared" si="464"/>
        <v>4.2210000000000001</v>
      </c>
      <c r="N89" s="632">
        <f t="shared" si="465"/>
        <v>-2.2329829372909002</v>
      </c>
      <c r="O89" s="629">
        <f t="shared" si="466"/>
        <v>-4.7945399848094397</v>
      </c>
      <c r="P89" s="633">
        <f t="shared" si="467"/>
        <v>-9.1124682954881825E-2</v>
      </c>
      <c r="Q89" s="585">
        <f t="shared" si="520"/>
        <v>245.02697761687378</v>
      </c>
      <c r="R89" s="629">
        <f t="shared" si="79"/>
        <v>5.2890288772296179</v>
      </c>
      <c r="S89" s="634">
        <f t="shared" si="80"/>
        <v>-9.1124682954881825E-2</v>
      </c>
      <c r="T89" s="635">
        <f t="shared" si="81"/>
        <v>-4.7945399848094388</v>
      </c>
      <c r="U89" s="629">
        <f t="shared" si="82"/>
        <v>2.2329829372909002</v>
      </c>
      <c r="V89" s="636">
        <f t="shared" si="114"/>
        <v>-9.1124682954881825E-2</v>
      </c>
      <c r="W89" s="585">
        <f t="shared" si="645"/>
        <v>155.02697761687378</v>
      </c>
      <c r="X89" s="629">
        <f t="shared" si="83"/>
        <v>5.2890288772296179</v>
      </c>
      <c r="Y89" s="630">
        <f t="shared" si="644"/>
        <v>-9.1124682954881825E-2</v>
      </c>
      <c r="Z89" s="632">
        <f t="shared" si="468"/>
        <v>2.0623748113729717E-2</v>
      </c>
      <c r="AA89" s="629">
        <f t="shared" si="469"/>
        <v>4.4282731785062195E-2</v>
      </c>
      <c r="AB89" s="629">
        <f t="shared" si="470"/>
        <v>-0.99880613768608462</v>
      </c>
      <c r="AC89" s="636">
        <f t="shared" si="84"/>
        <v>1</v>
      </c>
      <c r="AD89" s="637">
        <f t="shared" si="115"/>
        <v>2.0623748113729717E-2</v>
      </c>
      <c r="AE89" s="629">
        <f t="shared" si="85"/>
        <v>4.4282731785062195E-2</v>
      </c>
      <c r="AF89" s="633">
        <f t="shared" si="86"/>
        <v>-0.99880613768608462</v>
      </c>
      <c r="AG89" s="602">
        <f t="shared" si="87"/>
        <v>2.5385838886510879</v>
      </c>
      <c r="AH89" s="603">
        <f t="shared" si="88"/>
        <v>88.818262492072179</v>
      </c>
      <c r="AI89" s="585">
        <f t="shared" si="89"/>
        <v>-2.7999995957601169</v>
      </c>
      <c r="AJ89" s="586">
        <f t="shared" si="90"/>
        <v>155.02724362411035</v>
      </c>
      <c r="AK89" s="635">
        <f t="shared" si="211"/>
        <v>2.2679489671342812E-7</v>
      </c>
      <c r="AL89" s="629">
        <f t="shared" si="91"/>
        <v>-4.8849762748194511E-2</v>
      </c>
      <c r="AM89" s="634">
        <f t="shared" si="92"/>
        <v>-0.99880613768608462</v>
      </c>
      <c r="AN89" s="581">
        <f t="shared" si="93"/>
        <v>-2.7999995957300783</v>
      </c>
      <c r="AO89" s="582">
        <f t="shared" si="461"/>
        <v>0</v>
      </c>
      <c r="AP89" s="585">
        <f t="shared" si="95"/>
        <v>-89.99973399276341</v>
      </c>
      <c r="AQ89" s="586">
        <f t="shared" si="471"/>
        <v>0.43102121017736716</v>
      </c>
      <c r="AS89" s="52">
        <f t="shared" si="543"/>
        <v>-204.97302238312622</v>
      </c>
      <c r="AT89" s="72">
        <f t="shared" si="472"/>
        <v>5.1217693700066957E-2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Nose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4.2210000000000001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2.121</v>
      </c>
      <c r="II89" s="734" cm="1">
        <f t="array" ref="II89">IFERROR(ROUND(VALUE(IF($IH89&lt;1,$IH89+LARGE((IF($M$9:$M$150="",0,$M$9:$M$150)-MOD(IF($M$9:$M$150="",0,$M$9:$M$150),1)),1),$IH89)),4),"")</f>
        <v>2.121</v>
      </c>
      <c r="IJ89" s="533">
        <f t="shared" si="542"/>
        <v>1613</v>
      </c>
      <c r="IK89" s="533" t="str">
        <f t="shared" si="517"/>
        <v>Inactive</v>
      </c>
      <c r="IL89" s="727">
        <f t="shared" si="647"/>
        <v>139.32302238312624</v>
      </c>
      <c r="IM89" s="759">
        <v>5.8398463806328203E-2</v>
      </c>
      <c r="IN89" s="5">
        <f t="shared" si="648"/>
        <v>0.16</v>
      </c>
      <c r="IO89" s="771">
        <v>80</v>
      </c>
      <c r="IP89" s="9">
        <f t="shared" si="649"/>
        <v>-5.2919999999999998</v>
      </c>
      <c r="IQ89" s="5">
        <f t="shared" si="650"/>
        <v>-6.88E-2</v>
      </c>
      <c r="IR89" s="5">
        <f t="shared" si="518"/>
        <v>0.314</v>
      </c>
      <c r="IS89" s="5">
        <f t="shared" si="651"/>
        <v>-0.3024666886445721</v>
      </c>
      <c r="IT89" s="727">
        <f t="shared" si="652"/>
        <v>-161.18002316942864</v>
      </c>
      <c r="IU89" s="9">
        <f t="shared" si="653"/>
        <v>-5.2890288772296179</v>
      </c>
      <c r="IV89" s="5">
        <f t="shared" si="654"/>
        <v>-9.1124682954881825E-2</v>
      </c>
      <c r="IW89" s="5">
        <f t="shared" si="519"/>
        <v>0.26250000000000001</v>
      </c>
      <c r="IX89" s="5">
        <f t="shared" si="655"/>
        <v>0.26250000000000001</v>
      </c>
      <c r="IY89" s="762">
        <f t="shared" si="656"/>
        <v>2.7999995957300783</v>
      </c>
    </row>
    <row r="90" spans="1:259" ht="15" customHeight="1" x14ac:dyDescent="0.25">
      <c r="A90" s="79"/>
      <c r="B90" s="707">
        <v>-2.589945636781767</v>
      </c>
      <c r="C90" s="708">
        <v>-5.4291969089003613</v>
      </c>
      <c r="D90" s="709">
        <v>-0.22213818272887859</v>
      </c>
      <c r="E90" s="710">
        <v>-8.8047338410575202E-2</v>
      </c>
      <c r="F90" s="708">
        <v>-0.18457055429627175</v>
      </c>
      <c r="G90" s="711">
        <v>0.97886739484241725</v>
      </c>
      <c r="H90" s="710">
        <v>0.26250000000000001</v>
      </c>
      <c r="I90" s="708">
        <v>0.40699999999999997</v>
      </c>
      <c r="J90" s="570">
        <v>4.2240000000000002</v>
      </c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Inactive</v>
      </c>
      <c r="L90" s="320"/>
      <c r="M90" s="168">
        <f t="shared" si="464"/>
        <v>4.2240000000000002</v>
      </c>
      <c r="N90" s="632">
        <f t="shared" si="465"/>
        <v>-2.589945636781767</v>
      </c>
      <c r="O90" s="629">
        <f t="shared" si="466"/>
        <v>-5.4291969089003613</v>
      </c>
      <c r="P90" s="633">
        <f t="shared" si="467"/>
        <v>-0.22213818272887859</v>
      </c>
      <c r="Q90" s="585">
        <f t="shared" si="520"/>
        <v>244.4969776933963</v>
      </c>
      <c r="R90" s="629">
        <f t="shared" si="79"/>
        <v>6.0153135809447331</v>
      </c>
      <c r="S90" s="634">
        <f t="shared" si="80"/>
        <v>-0.22213818272887859</v>
      </c>
      <c r="T90" s="635">
        <f t="shared" si="81"/>
        <v>-5.4291969089003604</v>
      </c>
      <c r="U90" s="629">
        <f t="shared" si="82"/>
        <v>2.589945636781767</v>
      </c>
      <c r="V90" s="636">
        <f t="shared" si="114"/>
        <v>-0.22213818272887859</v>
      </c>
      <c r="W90" s="585">
        <f t="shared" si="645"/>
        <v>154.4969776933963</v>
      </c>
      <c r="X90" s="629">
        <f t="shared" si="83"/>
        <v>6.0153135809447331</v>
      </c>
      <c r="Y90" s="630">
        <f t="shared" si="644"/>
        <v>-0.22213818272887859</v>
      </c>
      <c r="Z90" s="632">
        <f t="shared" si="468"/>
        <v>8.8047338410575202E-2</v>
      </c>
      <c r="AA90" s="629">
        <f t="shared" si="469"/>
        <v>0.18457055429627175</v>
      </c>
      <c r="AB90" s="629">
        <f t="shared" si="470"/>
        <v>-0.97886739484241725</v>
      </c>
      <c r="AC90" s="636">
        <f t="shared" si="84"/>
        <v>1</v>
      </c>
      <c r="AD90" s="637">
        <f t="shared" si="115"/>
        <v>8.8047338410575202E-2</v>
      </c>
      <c r="AE90" s="629">
        <f t="shared" si="85"/>
        <v>0.18457055429627175</v>
      </c>
      <c r="AF90" s="633">
        <f t="shared" si="86"/>
        <v>-0.97886739484241725</v>
      </c>
      <c r="AG90" s="602">
        <f t="shared" si="87"/>
        <v>10.678050248403387</v>
      </c>
      <c r="AH90" s="603">
        <f t="shared" si="88"/>
        <v>84.948718181675645</v>
      </c>
      <c r="AI90" s="585">
        <f t="shared" si="89"/>
        <v>-11.799998296298066</v>
      </c>
      <c r="AJ90" s="586">
        <f t="shared" si="90"/>
        <v>154.49704123688349</v>
      </c>
      <c r="AK90" s="635">
        <f t="shared" si="211"/>
        <v>2.2679489672383646E-7</v>
      </c>
      <c r="AL90" s="629">
        <f t="shared" si="91"/>
        <v>-0.2044960227348393</v>
      </c>
      <c r="AM90" s="634">
        <f t="shared" si="92"/>
        <v>-0.97886739484241725</v>
      </c>
      <c r="AN90" s="581">
        <f t="shared" si="93"/>
        <v>-11.799998296291038</v>
      </c>
      <c r="AO90" s="582">
        <f t="shared" si="461"/>
        <v>0</v>
      </c>
      <c r="AP90" s="585">
        <f t="shared" si="95"/>
        <v>-89.999936456512827</v>
      </c>
      <c r="AQ90" s="586">
        <f t="shared" si="471"/>
        <v>0.37898163647989697</v>
      </c>
      <c r="AS90" s="52">
        <f t="shared" si="543"/>
        <v>-205.5030223066037</v>
      </c>
      <c r="AT90" s="72">
        <f t="shared" si="472"/>
        <v>-7.942775057151491E-2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Nose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4.2240000000000002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2.1240000000000001</v>
      </c>
      <c r="II90" s="734" cm="1">
        <f t="array" ref="II90">IFERROR(ROUND(VALUE(IF($IH90&lt;1,$IH90+LARGE((IF($M$9:$M$150="",0,$M$9:$M$150)-MOD(IF($M$9:$M$150="",0,$M$9:$M$150),1)),1),$IH90)),4),"")</f>
        <v>2.1240000000000001</v>
      </c>
      <c r="IJ90" s="533">
        <f t="shared" si="542"/>
        <v>1613</v>
      </c>
      <c r="IK90" s="533" t="str">
        <f t="shared" si="517"/>
        <v>Inactive</v>
      </c>
      <c r="IL90" s="727">
        <f t="shared" si="647"/>
        <v>139.29302230660372</v>
      </c>
      <c r="IM90" s="759">
        <v>6.2594120331899705E-2</v>
      </c>
      <c r="IN90" s="5">
        <f t="shared" si="648"/>
        <v>0.18</v>
      </c>
      <c r="IO90" s="771">
        <v>90</v>
      </c>
      <c r="IP90" s="9">
        <f t="shared" si="649"/>
        <v>-6.0277999999999992</v>
      </c>
      <c r="IQ90" s="5">
        <f t="shared" si="650"/>
        <v>-0.19939999999999999</v>
      </c>
      <c r="IR90" s="5">
        <f t="shared" si="518"/>
        <v>0.314</v>
      </c>
      <c r="IS90" s="5">
        <f t="shared" si="651"/>
        <v>-0.30152097103588155</v>
      </c>
      <c r="IT90" s="727">
        <f t="shared" si="652"/>
        <v>-145.39739408260087</v>
      </c>
      <c r="IU90" s="9">
        <f t="shared" si="653"/>
        <v>-6.0153135809447331</v>
      </c>
      <c r="IV90" s="5">
        <f t="shared" si="654"/>
        <v>-0.22213818272887859</v>
      </c>
      <c r="IW90" s="5">
        <f t="shared" si="519"/>
        <v>0.26250000000000001</v>
      </c>
      <c r="IX90" s="5">
        <f t="shared" si="655"/>
        <v>0.26250000000000001</v>
      </c>
      <c r="IY90" s="762">
        <f t="shared" si="656"/>
        <v>11.799998296291038</v>
      </c>
    </row>
    <row r="91" spans="1:259" ht="15" customHeight="1" x14ac:dyDescent="0.25">
      <c r="A91" s="79"/>
      <c r="B91" s="707">
        <v>-2.6518497770996072</v>
      </c>
      <c r="C91" s="708">
        <v>-6.1714498351115719</v>
      </c>
      <c r="D91" s="709">
        <v>-0.50199987892296893</v>
      </c>
      <c r="E91" s="710">
        <v>0.66719757562557003</v>
      </c>
      <c r="F91" s="708">
        <v>-0.61939589258496741</v>
      </c>
      <c r="G91" s="711">
        <v>0.41375853263495788</v>
      </c>
      <c r="H91" s="710">
        <v>0.26600000000000001</v>
      </c>
      <c r="I91" s="708">
        <v>0.52</v>
      </c>
      <c r="J91" s="570">
        <v>4.2270000000000003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1313</v>
      </c>
      <c r="L91" s="320"/>
      <c r="M91" s="168">
        <f t="shared" si="464"/>
        <v>4.2270000000000003</v>
      </c>
      <c r="N91" s="632">
        <f t="shared" si="465"/>
        <v>-2.6518497770996072</v>
      </c>
      <c r="O91" s="629">
        <f t="shared" si="466"/>
        <v>-6.1714498351115719</v>
      </c>
      <c r="P91" s="633">
        <f t="shared" si="467"/>
        <v>-0.50199987892296893</v>
      </c>
      <c r="Q91" s="585">
        <f t="shared" si="520"/>
        <v>246.74697736853653</v>
      </c>
      <c r="R91" s="629">
        <f t="shared" si="79"/>
        <v>6.7170752792865054</v>
      </c>
      <c r="S91" s="634">
        <f t="shared" si="80"/>
        <v>-0.50199987892296893</v>
      </c>
      <c r="T91" s="635">
        <f t="shared" si="81"/>
        <v>-6.1714498351115719</v>
      </c>
      <c r="U91" s="629">
        <f t="shared" si="82"/>
        <v>2.6518497770996072</v>
      </c>
      <c r="V91" s="636">
        <f t="shared" si="114"/>
        <v>-0.50199987892296893</v>
      </c>
      <c r="W91" s="585">
        <f t="shared" si="645"/>
        <v>156.74697736853653</v>
      </c>
      <c r="X91" s="629">
        <f t="shared" si="83"/>
        <v>6.7170752792865054</v>
      </c>
      <c r="Y91" s="630">
        <f t="shared" si="644"/>
        <v>-0.50199987892296893</v>
      </c>
      <c r="Z91" s="632">
        <f t="shared" si="468"/>
        <v>-0.66719757562557003</v>
      </c>
      <c r="AA91" s="629">
        <f t="shared" si="469"/>
        <v>0.61939589258496741</v>
      </c>
      <c r="AB91" s="629">
        <f t="shared" si="470"/>
        <v>-0.41375853263495788</v>
      </c>
      <c r="AC91" s="636">
        <f t="shared" si="84"/>
        <v>1</v>
      </c>
      <c r="AD91" s="637">
        <f t="shared" si="115"/>
        <v>-0.66719757562557003</v>
      </c>
      <c r="AE91" s="629">
        <f t="shared" si="85"/>
        <v>0.61939589258496741</v>
      </c>
      <c r="AF91" s="633">
        <f t="shared" si="86"/>
        <v>-0.41375853263495788</v>
      </c>
      <c r="AG91" s="602">
        <f t="shared" si="87"/>
        <v>56.256943795123526</v>
      </c>
      <c r="AH91" s="603">
        <f t="shared" si="88"/>
        <v>131.8511390677082</v>
      </c>
      <c r="AI91" s="585">
        <f t="shared" si="89"/>
        <v>-65.55884032780375</v>
      </c>
      <c r="AJ91" s="586">
        <f t="shared" si="90"/>
        <v>-132.87222959175099</v>
      </c>
      <c r="AK91" s="635">
        <f t="shared" si="211"/>
        <v>0.85753411838805071</v>
      </c>
      <c r="AL91" s="629">
        <f t="shared" si="91"/>
        <v>-0.30567811906022213</v>
      </c>
      <c r="AM91" s="634">
        <f t="shared" si="92"/>
        <v>-0.41375853263495788</v>
      </c>
      <c r="AN91" s="581">
        <f t="shared" si="93"/>
        <v>-36.456389971034255</v>
      </c>
      <c r="AO91" s="582">
        <f t="shared" si="461"/>
        <v>30.959168886942035</v>
      </c>
      <c r="AP91" s="585">
        <f t="shared" si="95"/>
        <v>-19.619206960287531</v>
      </c>
      <c r="AQ91" s="586">
        <f t="shared" si="471"/>
        <v>0.33938877769992198</v>
      </c>
      <c r="AS91" s="52">
        <f t="shared" si="543"/>
        <v>-203.25302263146347</v>
      </c>
      <c r="AT91" s="72">
        <f t="shared" si="472"/>
        <v>-0.36085194654000818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4.2270000000000003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2.1269999999999998</v>
      </c>
      <c r="II91" s="734" cm="1">
        <f t="array" ref="II91">IFERROR(ROUND(VALUE(IF($IH91&lt;1,$IH91+LARGE((IF($M$9:$M$150="",0,$M$9:$M$150)-MOD(IF($M$9:$M$150="",0,$M$9:$M$150),1)),1),$IH91)),4),"")</f>
        <v>2.1269999999999998</v>
      </c>
      <c r="IJ91" s="533">
        <f t="shared" si="542"/>
        <v>1613</v>
      </c>
      <c r="IK91" s="533">
        <f t="shared" si="517"/>
        <v>1313</v>
      </c>
      <c r="IL91" s="727">
        <f t="shared" si="647"/>
        <v>136.44302263146346</v>
      </c>
      <c r="IM91" s="759">
        <v>4.1358543793853002E-2</v>
      </c>
      <c r="IN91" s="5">
        <f t="shared" si="648"/>
        <v>0.22</v>
      </c>
      <c r="IO91" s="771">
        <v>110</v>
      </c>
      <c r="IP91" s="9">
        <f t="shared" si="649"/>
        <v>-6.7089999999999996</v>
      </c>
      <c r="IQ91" s="5">
        <f t="shared" si="650"/>
        <v>-0.48759999999999992</v>
      </c>
      <c r="IR91" s="5">
        <f t="shared" si="518"/>
        <v>0.314</v>
      </c>
      <c r="IS91" s="5">
        <f t="shared" si="651"/>
        <v>-0.30032686484440707</v>
      </c>
      <c r="IT91" s="727">
        <f t="shared" si="652"/>
        <v>-130.70646954328441</v>
      </c>
      <c r="IU91" s="9">
        <f t="shared" si="653"/>
        <v>-6.7170752792865054</v>
      </c>
      <c r="IV91" s="5">
        <f t="shared" si="654"/>
        <v>-0.50199987892296893</v>
      </c>
      <c r="IW91" s="5">
        <f t="shared" si="519"/>
        <v>0.26600000000000001</v>
      </c>
      <c r="IX91" s="5">
        <f t="shared" si="655"/>
        <v>0.22810407549122153</v>
      </c>
      <c r="IY91" s="762">
        <f t="shared" si="656"/>
        <v>36.456389971034255</v>
      </c>
    </row>
    <row r="92" spans="1:259" ht="15" customHeight="1" x14ac:dyDescent="0.25">
      <c r="A92" s="79"/>
      <c r="B92" s="707">
        <v>-2.9414974996460765</v>
      </c>
      <c r="C92" s="708">
        <v>-6.7053623548622241</v>
      </c>
      <c r="D92" s="709">
        <v>-0.93091588567615013</v>
      </c>
      <c r="E92" s="710">
        <v>0.62547934218127199</v>
      </c>
      <c r="F92" s="708">
        <v>-0.69943329364671047</v>
      </c>
      <c r="G92" s="711">
        <v>0.34578701572354875</v>
      </c>
      <c r="H92" s="710">
        <v>0.26600000000000001</v>
      </c>
      <c r="I92" s="708">
        <v>0.52</v>
      </c>
      <c r="J92" s="570">
        <v>4.2300000000000004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1313</v>
      </c>
      <c r="L92" s="320"/>
      <c r="M92" s="168">
        <f t="shared" si="464"/>
        <v>4.2300000000000004</v>
      </c>
      <c r="N92" s="632">
        <f t="shared" si="465"/>
        <v>-2.9414974996460765</v>
      </c>
      <c r="O92" s="629">
        <f t="shared" si="466"/>
        <v>-6.7053623548622241</v>
      </c>
      <c r="P92" s="633">
        <f t="shared" si="467"/>
        <v>-0.93091588567615013</v>
      </c>
      <c r="Q92" s="585">
        <f t="shared" si="520"/>
        <v>246.31397743105401</v>
      </c>
      <c r="R92" s="629">
        <f t="shared" si="79"/>
        <v>7.3221780810376078</v>
      </c>
      <c r="S92" s="634">
        <f t="shared" si="80"/>
        <v>-0.93091588567615013</v>
      </c>
      <c r="T92" s="635">
        <f t="shared" si="81"/>
        <v>-6.7053623548622241</v>
      </c>
      <c r="U92" s="629">
        <f t="shared" si="82"/>
        <v>2.9414974996460761</v>
      </c>
      <c r="V92" s="636">
        <f t="shared" si="114"/>
        <v>-0.93091588567615013</v>
      </c>
      <c r="W92" s="585">
        <f t="shared" si="645"/>
        <v>156.31397743105401</v>
      </c>
      <c r="X92" s="629">
        <f t="shared" si="83"/>
        <v>7.3221780810376078</v>
      </c>
      <c r="Y92" s="630">
        <f t="shared" si="644"/>
        <v>-0.93091588567615013</v>
      </c>
      <c r="Z92" s="632">
        <f t="shared" si="468"/>
        <v>-0.62547934218127199</v>
      </c>
      <c r="AA92" s="629">
        <f t="shared" si="469"/>
        <v>0.69943329364671047</v>
      </c>
      <c r="AB92" s="629">
        <f t="shared" si="470"/>
        <v>-0.34578701572354875</v>
      </c>
      <c r="AC92" s="636">
        <f t="shared" si="84"/>
        <v>1</v>
      </c>
      <c r="AD92" s="637">
        <f t="shared" si="115"/>
        <v>-0.62547934218127199</v>
      </c>
      <c r="AE92" s="629">
        <f t="shared" si="85"/>
        <v>0.69943329364671047</v>
      </c>
      <c r="AF92" s="633">
        <f t="shared" si="86"/>
        <v>-0.34578701572354875</v>
      </c>
      <c r="AG92" s="602">
        <f t="shared" si="87"/>
        <v>63.693051352498216</v>
      </c>
      <c r="AH92" s="603">
        <f t="shared" si="88"/>
        <v>128.71737854903151</v>
      </c>
      <c r="AI92" s="585">
        <f t="shared" si="89"/>
        <v>-69.77015447105552</v>
      </c>
      <c r="AJ92" s="586">
        <f t="shared" si="90"/>
        <v>-138.19481964287658</v>
      </c>
      <c r="AK92" s="635">
        <f t="shared" si="211"/>
        <v>0.85376876252529355</v>
      </c>
      <c r="AL92" s="629">
        <f t="shared" si="91"/>
        <v>-0.38924316293678318</v>
      </c>
      <c r="AM92" s="634">
        <f t="shared" si="92"/>
        <v>-0.34578701572354875</v>
      </c>
      <c r="AN92" s="581">
        <f t="shared" si="93"/>
        <v>-48.383478652333054</v>
      </c>
      <c r="AO92" s="582">
        <f t="shared" si="461"/>
        <v>31.376021994491513</v>
      </c>
      <c r="AP92" s="585">
        <f t="shared" si="95"/>
        <v>-24.508797073930605</v>
      </c>
      <c r="AQ92" s="586">
        <f t="shared" si="471"/>
        <v>0.31134235854921805</v>
      </c>
      <c r="AS92" s="52">
        <f t="shared" si="543"/>
        <v>-203.68602256894599</v>
      </c>
      <c r="AT92" s="73">
        <f t="shared" si="472"/>
        <v>-0.78946725889215985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Taper</v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4.2300000000000004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2.13</v>
      </c>
      <c r="II92" s="734" cm="1">
        <f t="array" ref="II92">IFERROR(ROUND(VALUE(IF($IH92&lt;1,$IH92+LARGE((IF($M$9:$M$150="",0,$M$9:$M$150)-MOD(IF($M$9:$M$150="",0,$M$9:$M$150),1)),1),$IH92)),4),"")</f>
        <v>2.13</v>
      </c>
      <c r="IJ92" s="533">
        <f t="shared" si="542"/>
        <v>1613</v>
      </c>
      <c r="IK92" s="533">
        <f t="shared" si="517"/>
        <v>1313</v>
      </c>
      <c r="IL92" s="727">
        <f t="shared" si="647"/>
        <v>136.28602256894601</v>
      </c>
      <c r="IM92" s="759">
        <v>3.46217304957009E-2</v>
      </c>
      <c r="IN92" s="5">
        <f t="shared" si="648"/>
        <v>0.22</v>
      </c>
      <c r="IO92" s="771">
        <v>110</v>
      </c>
      <c r="IP92" s="9">
        <f t="shared" si="649"/>
        <v>-7.3108999999999993</v>
      </c>
      <c r="IQ92" s="5">
        <f t="shared" si="650"/>
        <v>-0.91489999999999994</v>
      </c>
      <c r="IR92" s="5">
        <f t="shared" si="518"/>
        <v>0.314</v>
      </c>
      <c r="IS92" s="5">
        <f t="shared" si="651"/>
        <v>-0.29900904337907097</v>
      </c>
      <c r="IT92" s="727">
        <f t="shared" si="652"/>
        <v>-117.09647941408109</v>
      </c>
      <c r="IU92" s="9">
        <f t="shared" si="653"/>
        <v>-7.3221780810376078</v>
      </c>
      <c r="IV92" s="5">
        <f t="shared" si="654"/>
        <v>-0.93091588567615013</v>
      </c>
      <c r="IW92" s="5">
        <f t="shared" si="519"/>
        <v>0.26600000000000001</v>
      </c>
      <c r="IX92" s="5">
        <f t="shared" si="655"/>
        <v>0.22710249083172809</v>
      </c>
      <c r="IY92" s="762">
        <f t="shared" si="656"/>
        <v>48.383478652333054</v>
      </c>
    </row>
    <row r="93" spans="1:259" ht="15" customHeight="1" x14ac:dyDescent="0.25">
      <c r="A93" s="79"/>
      <c r="B93" s="707">
        <v>-3.1912089415839646</v>
      </c>
      <c r="C93" s="708">
        <v>-7.1377055223268133</v>
      </c>
      <c r="D93" s="709">
        <v>-1.4789016313212699</v>
      </c>
      <c r="E93" s="710">
        <v>0.59046921614592562</v>
      </c>
      <c r="F93" s="708">
        <v>-0.76217203512638287</v>
      </c>
      <c r="G93" s="711">
        <v>0.26540515001658149</v>
      </c>
      <c r="H93" s="710">
        <v>0.26600000000000001</v>
      </c>
      <c r="I93" s="708">
        <v>0.52</v>
      </c>
      <c r="J93" s="570">
        <v>4.2329999999999997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1313</v>
      </c>
      <c r="L93" s="320"/>
      <c r="M93" s="168">
        <f t="shared" si="464"/>
        <v>4.2329999999999997</v>
      </c>
      <c r="N93" s="632">
        <f t="shared" si="465"/>
        <v>-3.1912089415839646</v>
      </c>
      <c r="O93" s="629">
        <f t="shared" si="466"/>
        <v>-7.1377055223268133</v>
      </c>
      <c r="P93" s="633">
        <f t="shared" si="467"/>
        <v>-1.4789016313212699</v>
      </c>
      <c r="Q93" s="585">
        <f t="shared" si="520"/>
        <v>245.91097748924</v>
      </c>
      <c r="R93" s="629">
        <f t="shared" si="79"/>
        <v>7.8186095075978912</v>
      </c>
      <c r="S93" s="634">
        <f t="shared" si="80"/>
        <v>-1.4789016313212699</v>
      </c>
      <c r="T93" s="635">
        <f t="shared" si="81"/>
        <v>-7.1377055223268142</v>
      </c>
      <c r="U93" s="629">
        <f t="shared" si="82"/>
        <v>3.191208941583962</v>
      </c>
      <c r="V93" s="636">
        <f t="shared" si="114"/>
        <v>-1.4789016313212699</v>
      </c>
      <c r="W93" s="585">
        <f t="shared" si="645"/>
        <v>155.91097748924</v>
      </c>
      <c r="X93" s="629">
        <f t="shared" si="83"/>
        <v>7.8186095075978912</v>
      </c>
      <c r="Y93" s="630">
        <f t="shared" si="644"/>
        <v>-1.4789016313212699</v>
      </c>
      <c r="Z93" s="632">
        <f t="shared" si="468"/>
        <v>-0.59046921614592562</v>
      </c>
      <c r="AA93" s="629">
        <f t="shared" si="469"/>
        <v>0.76217203512638287</v>
      </c>
      <c r="AB93" s="629">
        <f t="shared" si="470"/>
        <v>-0.26540515001658149</v>
      </c>
      <c r="AC93" s="636">
        <f t="shared" si="84"/>
        <v>1</v>
      </c>
      <c r="AD93" s="637">
        <f t="shared" si="115"/>
        <v>-0.59046921614592562</v>
      </c>
      <c r="AE93" s="629">
        <f t="shared" si="85"/>
        <v>0.76217203512638287</v>
      </c>
      <c r="AF93" s="633">
        <f t="shared" si="86"/>
        <v>-0.26540515001658149</v>
      </c>
      <c r="AG93" s="602">
        <f t="shared" si="87"/>
        <v>70.800753182066089</v>
      </c>
      <c r="AH93" s="603">
        <f t="shared" si="88"/>
        <v>126.19031227462594</v>
      </c>
      <c r="AI93" s="585">
        <f t="shared" si="89"/>
        <v>-74.608971739053629</v>
      </c>
      <c r="AJ93" s="586">
        <f t="shared" si="90"/>
        <v>-142.23437292062144</v>
      </c>
      <c r="AK93" s="635">
        <f t="shared" si="211"/>
        <v>0.85013141939242676</v>
      </c>
      <c r="AL93" s="629">
        <f t="shared" si="91"/>
        <v>-0.45479300358129293</v>
      </c>
      <c r="AM93" s="634">
        <f t="shared" si="92"/>
        <v>-0.26540515001658149</v>
      </c>
      <c r="AN93" s="581">
        <f t="shared" si="93"/>
        <v>-59.733296497807054</v>
      </c>
      <c r="AO93" s="582">
        <f t="shared" si="461"/>
        <v>31.774033843566574</v>
      </c>
      <c r="AP93" s="585">
        <f t="shared" si="95"/>
        <v>-28.145350409861454</v>
      </c>
      <c r="AQ93" s="586">
        <f t="shared" si="471"/>
        <v>0.29157447371545669</v>
      </c>
      <c r="AS93" s="52">
        <f t="shared" si="543"/>
        <v>-204.08902251076</v>
      </c>
      <c r="AT93" s="73">
        <f t="shared" si="472"/>
        <v>-1.3371731434665755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>Taper</v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4.2329999999999997</v>
      </c>
      <c r="IH93" s="731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2.133</v>
      </c>
      <c r="II93" s="734" cm="1">
        <f t="array" ref="II93">IFERROR(ROUND(VALUE(IF($IH93&lt;1,$IH93+LARGE((IF($M$9:$M$150="",0,$M$9:$M$150)-MOD(IF($M$9:$M$150="",0,$M$9:$M$150),1)),1),$IH93)),4),"")</f>
        <v>2.133</v>
      </c>
      <c r="IJ93" s="533">
        <f t="shared" si="542"/>
        <v>1613</v>
      </c>
      <c r="IK93" s="533">
        <f t="shared" si="517"/>
        <v>1313</v>
      </c>
      <c r="IL93" s="727">
        <f t="shared" si="647"/>
        <v>136.17902251076003</v>
      </c>
      <c r="IM93" s="759">
        <v>2.8499797742216101E-2</v>
      </c>
      <c r="IN93" s="5">
        <f t="shared" si="648"/>
        <v>0.22</v>
      </c>
      <c r="IO93" s="771">
        <v>110</v>
      </c>
      <c r="IP93" s="9">
        <f t="shared" si="649"/>
        <v>-7.8044000000000002</v>
      </c>
      <c r="IQ93" s="5">
        <f t="shared" si="650"/>
        <v>-1.4608000000000001</v>
      </c>
      <c r="IR93" s="5">
        <f t="shared" si="518"/>
        <v>0.314</v>
      </c>
      <c r="IS93" s="5">
        <f t="shared" si="651"/>
        <v>-0.29773831728240396</v>
      </c>
      <c r="IT93" s="727">
        <f t="shared" si="652"/>
        <v>-104.61807510564242</v>
      </c>
      <c r="IU93" s="9">
        <f t="shared" si="653"/>
        <v>-7.8186095075978912</v>
      </c>
      <c r="IV93" s="5">
        <f t="shared" si="654"/>
        <v>-1.4789016313212699</v>
      </c>
      <c r="IW93" s="5">
        <f t="shared" si="519"/>
        <v>0.26600000000000001</v>
      </c>
      <c r="IX93" s="5">
        <f t="shared" si="655"/>
        <v>0.22613495755838553</v>
      </c>
      <c r="IY93" s="762">
        <f t="shared" si="656"/>
        <v>59.733296497807054</v>
      </c>
    </row>
    <row r="94" spans="1:259" ht="15" customHeight="1" x14ac:dyDescent="0.25">
      <c r="A94" s="79"/>
      <c r="B94" s="707">
        <v>-3.8806188981850549</v>
      </c>
      <c r="C94" s="708">
        <v>-7.1362108624886949</v>
      </c>
      <c r="D94" s="709">
        <v>-2.1286670625286952</v>
      </c>
      <c r="E94" s="710">
        <v>-0.43296702501215389</v>
      </c>
      <c r="F94" s="708">
        <v>-0.79619924304167067</v>
      </c>
      <c r="G94" s="711">
        <v>0.42261841019055918</v>
      </c>
      <c r="H94" s="710">
        <v>0.26250000000000001</v>
      </c>
      <c r="I94" s="708">
        <v>0.40699999999999997</v>
      </c>
      <c r="J94" s="570">
        <v>4.2359999999999998</v>
      </c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Inactive</v>
      </c>
      <c r="L94" s="320"/>
      <c r="M94" s="168">
        <f t="shared" si="464"/>
        <v>4.2359999999999998</v>
      </c>
      <c r="N94" s="632">
        <f t="shared" si="465"/>
        <v>-3.8806188981850549</v>
      </c>
      <c r="O94" s="629">
        <f t="shared" si="466"/>
        <v>-7.1362108624886949</v>
      </c>
      <c r="P94" s="633">
        <f t="shared" si="467"/>
        <v>-2.1286670625286952</v>
      </c>
      <c r="Q94" s="585">
        <f t="shared" si="520"/>
        <v>241.46297813145162</v>
      </c>
      <c r="R94" s="629">
        <f t="shared" si="79"/>
        <v>8.1230972237720156</v>
      </c>
      <c r="S94" s="634">
        <f t="shared" si="80"/>
        <v>-2.1286670625286952</v>
      </c>
      <c r="T94" s="635">
        <f t="shared" si="81"/>
        <v>-7.1362108624886931</v>
      </c>
      <c r="U94" s="629">
        <f t="shared" si="82"/>
        <v>3.8806188981850567</v>
      </c>
      <c r="V94" s="636">
        <f t="shared" si="114"/>
        <v>-2.1286670625286952</v>
      </c>
      <c r="W94" s="585">
        <f t="shared" si="645"/>
        <v>151.46297813145162</v>
      </c>
      <c r="X94" s="629">
        <f t="shared" si="83"/>
        <v>8.1230972237720156</v>
      </c>
      <c r="Y94" s="630">
        <f t="shared" si="644"/>
        <v>-2.1286670625286952</v>
      </c>
      <c r="Z94" s="632">
        <f t="shared" si="468"/>
        <v>0.43296702501215389</v>
      </c>
      <c r="AA94" s="629">
        <f t="shared" si="469"/>
        <v>0.79619924304167067</v>
      </c>
      <c r="AB94" s="629">
        <f t="shared" si="470"/>
        <v>-0.42261841019055918</v>
      </c>
      <c r="AC94" s="636">
        <f t="shared" si="84"/>
        <v>1</v>
      </c>
      <c r="AD94" s="637">
        <f t="shared" si="115"/>
        <v>0.43296702501215389</v>
      </c>
      <c r="AE94" s="629">
        <f t="shared" si="85"/>
        <v>0.79619924304167067</v>
      </c>
      <c r="AF94" s="633">
        <f t="shared" si="86"/>
        <v>-0.42261841019055918</v>
      </c>
      <c r="AG94" s="602">
        <f t="shared" si="87"/>
        <v>62.040870313710705</v>
      </c>
      <c r="AH94" s="603">
        <f t="shared" si="88"/>
        <v>64.343997094798155</v>
      </c>
      <c r="AI94" s="585">
        <f t="shared" si="89"/>
        <v>-64.9999906151631</v>
      </c>
      <c r="AJ94" s="586">
        <f t="shared" si="90"/>
        <v>151.46299246917616</v>
      </c>
      <c r="AK94" s="635">
        <f t="shared" si="211"/>
        <v>2.2679489697363664E-7</v>
      </c>
      <c r="AL94" s="629">
        <f t="shared" si="91"/>
        <v>-0.90630771781330033</v>
      </c>
      <c r="AM94" s="634">
        <f t="shared" si="92"/>
        <v>-0.42261841019055918</v>
      </c>
      <c r="AN94" s="581">
        <f t="shared" si="93"/>
        <v>-64.999990615162417</v>
      </c>
      <c r="AO94" s="582">
        <f t="shared" si="461"/>
        <v>0</v>
      </c>
      <c r="AP94" s="585">
        <f t="shared" si="95"/>
        <v>-89.999985662275449</v>
      </c>
      <c r="AQ94" s="586">
        <f t="shared" si="471"/>
        <v>0.28064521908809714</v>
      </c>
      <c r="AS94" s="52">
        <f t="shared" si="543"/>
        <v>-208.53702186854838</v>
      </c>
      <c r="AT94" s="73">
        <f t="shared" si="472"/>
        <v>-1.9838496862310921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>Taper</v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4.2359999999999998</v>
      </c>
      <c r="IH94" s="731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2.1360000000000001</v>
      </c>
      <c r="II94" s="734" cm="1">
        <f t="array" ref="II94">IFERROR(ROUND(VALUE(IF($IH94&lt;1,$IH94+LARGE((IF($M$9:$M$150="",0,$M$9:$M$150)-MOD(IF($M$9:$M$150="",0,$M$9:$M$150),1)),1),$IH94)),4),"")</f>
        <v>2.1360000000000001</v>
      </c>
      <c r="IJ94" s="533">
        <f t="shared" si="542"/>
        <v>1613</v>
      </c>
      <c r="IK94" s="533" t="str">
        <f t="shared" si="517"/>
        <v>Inactive</v>
      </c>
      <c r="IL94" s="727">
        <f t="shared" si="647"/>
        <v>140.23702186854837</v>
      </c>
      <c r="IM94" s="759">
        <v>6.0361164421998098E-2</v>
      </c>
      <c r="IN94" s="5">
        <f t="shared" si="648"/>
        <v>0.28000000000000003</v>
      </c>
      <c r="IO94" s="771">
        <v>140</v>
      </c>
      <c r="IP94" s="9">
        <f t="shared" si="649"/>
        <v>-8.174199999999999</v>
      </c>
      <c r="IQ94" s="5">
        <f t="shared" si="650"/>
        <v>-2.0953999999999993</v>
      </c>
      <c r="IR94" s="5">
        <f t="shared" si="518"/>
        <v>0.314</v>
      </c>
      <c r="IS94" s="5">
        <f t="shared" si="651"/>
        <v>-0.28861563788898548</v>
      </c>
      <c r="IT94" s="727">
        <f t="shared" si="652"/>
        <v>-100.64013125358655</v>
      </c>
      <c r="IU94" s="9">
        <f t="shared" si="653"/>
        <v>-8.1230972237720156</v>
      </c>
      <c r="IV94" s="5">
        <f t="shared" si="654"/>
        <v>-2.1286670625286952</v>
      </c>
      <c r="IW94" s="5">
        <f t="shared" si="519"/>
        <v>0.26250000000000001</v>
      </c>
      <c r="IX94" s="5">
        <f t="shared" si="655"/>
        <v>0.26250000000000001</v>
      </c>
      <c r="IY94" s="762">
        <f t="shared" si="656"/>
        <v>64.999990615162417</v>
      </c>
    </row>
    <row r="95" spans="1:259" ht="15" customHeight="1" x14ac:dyDescent="0.25">
      <c r="A95" s="79"/>
      <c r="B95" s="707">
        <v>-4.0323429891518545</v>
      </c>
      <c r="C95" s="708">
        <v>-7.2922318998291482</v>
      </c>
      <c r="D95" s="709">
        <v>-2.8298447928783723</v>
      </c>
      <c r="E95" s="710">
        <v>-0.4385703190171909</v>
      </c>
      <c r="F95" s="708">
        <v>-0.79312656912069524</v>
      </c>
      <c r="G95" s="711">
        <v>0.42261841019055785</v>
      </c>
      <c r="H95" s="710">
        <v>0.26250000000000001</v>
      </c>
      <c r="I95" s="708">
        <v>0.40699999999999997</v>
      </c>
      <c r="J95" s="570">
        <v>4.2389999999999999</v>
      </c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Inactive</v>
      </c>
      <c r="L95" s="320"/>
      <c r="M95" s="168">
        <f t="shared" si="464"/>
        <v>4.2389999999999999</v>
      </c>
      <c r="N95" s="632">
        <f t="shared" si="465"/>
        <v>-4.0323429891518545</v>
      </c>
      <c r="O95" s="629">
        <f t="shared" si="466"/>
        <v>-7.2922318998291482</v>
      </c>
      <c r="P95" s="633">
        <f t="shared" si="467"/>
        <v>-2.8298447928783723</v>
      </c>
      <c r="Q95" s="585">
        <f t="shared" si="520"/>
        <v>241.05897818978201</v>
      </c>
      <c r="R95" s="629">
        <f t="shared" si="79"/>
        <v>8.3328528165957643</v>
      </c>
      <c r="S95" s="634">
        <f t="shared" si="80"/>
        <v>-2.8298447928783723</v>
      </c>
      <c r="T95" s="635">
        <f t="shared" si="81"/>
        <v>-7.2922318998291491</v>
      </c>
      <c r="U95" s="629">
        <f t="shared" si="82"/>
        <v>4.0323429891518563</v>
      </c>
      <c r="V95" s="636">
        <f t="shared" si="114"/>
        <v>-2.8298447928783723</v>
      </c>
      <c r="W95" s="585">
        <f t="shared" si="645"/>
        <v>151.05897818978201</v>
      </c>
      <c r="X95" s="629">
        <f t="shared" si="83"/>
        <v>8.3328528165957643</v>
      </c>
      <c r="Y95" s="630">
        <f t="shared" si="644"/>
        <v>-2.8298447928783723</v>
      </c>
      <c r="Z95" s="632">
        <f t="shared" si="468"/>
        <v>0.4385703190171909</v>
      </c>
      <c r="AA95" s="629">
        <f t="shared" si="469"/>
        <v>0.79312656912069524</v>
      </c>
      <c r="AB95" s="629">
        <f t="shared" si="470"/>
        <v>-0.42261841019055785</v>
      </c>
      <c r="AC95" s="636">
        <f t="shared" si="84"/>
        <v>1</v>
      </c>
      <c r="AD95" s="637">
        <f t="shared" si="115"/>
        <v>0.4385703190171909</v>
      </c>
      <c r="AE95" s="629">
        <f t="shared" si="85"/>
        <v>0.79312656912069524</v>
      </c>
      <c r="AF95" s="633">
        <f t="shared" si="86"/>
        <v>-0.42261841019055785</v>
      </c>
      <c r="AG95" s="602">
        <f t="shared" si="87"/>
        <v>61.94902601199346</v>
      </c>
      <c r="AH95" s="603">
        <f t="shared" si="88"/>
        <v>63.987302602892036</v>
      </c>
      <c r="AI95" s="585">
        <f t="shared" si="89"/>
        <v>-64.999990615163185</v>
      </c>
      <c r="AJ95" s="586">
        <f t="shared" si="90"/>
        <v>151.05899252750655</v>
      </c>
      <c r="AK95" s="635">
        <f t="shared" si="211"/>
        <v>2.2679489680710319E-7</v>
      </c>
      <c r="AL95" s="629">
        <f t="shared" si="91"/>
        <v>-0.90630771781330111</v>
      </c>
      <c r="AM95" s="634">
        <f t="shared" si="92"/>
        <v>-0.42261841019055785</v>
      </c>
      <c r="AN95" s="581">
        <f t="shared" si="93"/>
        <v>-64.999990615162503</v>
      </c>
      <c r="AO95" s="582">
        <f t="shared" si="461"/>
        <v>0</v>
      </c>
      <c r="AP95" s="585">
        <f t="shared" si="95"/>
        <v>-89.999985662275463</v>
      </c>
      <c r="AQ95" s="586">
        <f t="shared" si="471"/>
        <v>0.27358089198530494</v>
      </c>
      <c r="AS95" s="52">
        <f t="shared" si="543"/>
        <v>-208.94102181021799</v>
      </c>
      <c r="AT95" s="73">
        <f t="shared" si="472"/>
        <v>-2.684746861065721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>Taper</v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4.2389999999999999</v>
      </c>
      <c r="IH95" s="731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2.1389999999999998</v>
      </c>
      <c r="II95" s="734" cm="1">
        <f t="array" ref="II95">IFERROR(ROUND(VALUE(IF($IH95&lt;1,$IH95+LARGE((IF($M$9:$M$150="",0,$M$9:$M$150)-MOD(IF($M$9:$M$150="",0,$M$9:$M$150),1)),1),$IH95)),4),"")</f>
        <v>2.1389999999999998</v>
      </c>
      <c r="IJ95" s="533">
        <f t="shared" si="542"/>
        <v>1613</v>
      </c>
      <c r="IK95" s="533" t="str">
        <f t="shared" si="517"/>
        <v>Inactive</v>
      </c>
      <c r="IL95" s="727">
        <f t="shared" si="647"/>
        <v>140.25102181021799</v>
      </c>
      <c r="IM95" s="759">
        <v>6.0545691733129701E-2</v>
      </c>
      <c r="IN95" s="5">
        <f t="shared" si="648"/>
        <v>0.34</v>
      </c>
      <c r="IO95" s="771">
        <v>170</v>
      </c>
      <c r="IP95" s="9">
        <f t="shared" si="649"/>
        <v>-8.3992000000000022</v>
      </c>
      <c r="IQ95" s="5">
        <f t="shared" si="650"/>
        <v>-2.7900000000000005</v>
      </c>
      <c r="IR95" s="5">
        <f t="shared" si="518"/>
        <v>0.314</v>
      </c>
      <c r="IS95" s="5">
        <f t="shared" si="651"/>
        <v>-0.27771618258569303</v>
      </c>
      <c r="IT95" s="727">
        <f t="shared" si="652"/>
        <v>-95.805835600042741</v>
      </c>
      <c r="IU95" s="9">
        <f t="shared" si="653"/>
        <v>-8.3328528165957643</v>
      </c>
      <c r="IV95" s="5">
        <f t="shared" si="654"/>
        <v>-2.8298447928783723</v>
      </c>
      <c r="IW95" s="5">
        <f t="shared" si="519"/>
        <v>0.26250000000000001</v>
      </c>
      <c r="IX95" s="5">
        <f t="shared" si="655"/>
        <v>0.26250000000000001</v>
      </c>
      <c r="IY95" s="762">
        <f t="shared" si="656"/>
        <v>64.999990615162503</v>
      </c>
    </row>
    <row r="96" spans="1:259" ht="15" customHeight="1" x14ac:dyDescent="0.25">
      <c r="A96" s="79"/>
      <c r="B96" s="707">
        <v>-0.72051469069413665</v>
      </c>
      <c r="C96" s="708">
        <v>-0.33598151808385601</v>
      </c>
      <c r="D96" s="709">
        <v>-1.0847</v>
      </c>
      <c r="E96" s="710">
        <v>0.40821789367673461</v>
      </c>
      <c r="F96" s="708">
        <v>-0.87542609806559313</v>
      </c>
      <c r="G96" s="711">
        <v>0.25881904510252074</v>
      </c>
      <c r="H96" s="710">
        <v>0.314</v>
      </c>
      <c r="I96" s="708">
        <v>0.52</v>
      </c>
      <c r="J96" s="570">
        <v>5.1029999999999998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5.1029999999999998</v>
      </c>
      <c r="N96" s="632">
        <f t="shared" si="465"/>
        <v>-0.72051469069413665</v>
      </c>
      <c r="O96" s="629">
        <f t="shared" si="466"/>
        <v>-0.33598151808385601</v>
      </c>
      <c r="P96" s="633">
        <f t="shared" si="467"/>
        <v>-1.0847</v>
      </c>
      <c r="Q96" s="585">
        <f t="shared" si="520"/>
        <v>205</v>
      </c>
      <c r="R96" s="629">
        <f t="shared" si="79"/>
        <v>0.79499999999999993</v>
      </c>
      <c r="S96" s="634">
        <f t="shared" si="80"/>
        <v>-1.0847</v>
      </c>
      <c r="T96" s="635">
        <f t="shared" si="81"/>
        <v>-0.33598151808385596</v>
      </c>
      <c r="U96" s="629">
        <f t="shared" si="82"/>
        <v>0.72051469069413676</v>
      </c>
      <c r="V96" s="636">
        <f t="shared" si="114"/>
        <v>-1.0847</v>
      </c>
      <c r="W96" s="585">
        <f t="shared" si="645"/>
        <v>115</v>
      </c>
      <c r="X96" s="629">
        <f t="shared" si="83"/>
        <v>0.79499999999999993</v>
      </c>
      <c r="Y96" s="630">
        <f t="shared" si="644"/>
        <v>-1.0847</v>
      </c>
      <c r="Z96" s="632">
        <f t="shared" si="468"/>
        <v>-0.40821789367673461</v>
      </c>
      <c r="AA96" s="629">
        <f t="shared" si="469"/>
        <v>0.87542609806559313</v>
      </c>
      <c r="AB96" s="629">
        <f t="shared" si="470"/>
        <v>-0.25881904510252074</v>
      </c>
      <c r="AC96" s="636">
        <f t="shared" si="84"/>
        <v>1</v>
      </c>
      <c r="AD96" s="637">
        <f t="shared" si="115"/>
        <v>-0.40821789367673461</v>
      </c>
      <c r="AE96" s="629">
        <f t="shared" si="85"/>
        <v>0.87542609806559313</v>
      </c>
      <c r="AF96" s="633">
        <f t="shared" si="86"/>
        <v>-0.25881904510252074</v>
      </c>
      <c r="AG96" s="602">
        <f t="shared" si="87"/>
        <v>73.529727079672099</v>
      </c>
      <c r="AH96" s="603">
        <f t="shared" si="88"/>
        <v>114.09293473076308</v>
      </c>
      <c r="AI96" s="585">
        <f t="shared" si="89"/>
        <v>-75</v>
      </c>
      <c r="AJ96" s="586">
        <f t="shared" si="90"/>
        <v>-155</v>
      </c>
      <c r="AK96" s="635">
        <f t="shared" si="211"/>
        <v>0.96592582628906831</v>
      </c>
      <c r="AL96" s="629">
        <f t="shared" si="91"/>
        <v>-1.1102230246251565E-16</v>
      </c>
      <c r="AM96" s="634">
        <f t="shared" si="92"/>
        <v>-0.25881904510252074</v>
      </c>
      <c r="AN96" s="581">
        <f t="shared" si="93"/>
        <v>-2.4577439270001697E-14</v>
      </c>
      <c r="AO96" s="582">
        <f t="shared" si="461"/>
        <v>14.999999999999982</v>
      </c>
      <c r="AP96" s="585">
        <f t="shared" si="95"/>
        <v>-6.5855050044219157E-15</v>
      </c>
      <c r="AQ96" s="586">
        <f t="shared" si="471"/>
        <v>2.8651899509818453</v>
      </c>
      <c r="AS96" s="52">
        <f t="shared" si="543"/>
        <v>-245</v>
      </c>
      <c r="AT96" s="73">
        <f t="shared" si="472"/>
        <v>-0.91456111111111116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5.1029999999999998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-1.3948076842494042</v>
      </c>
      <c r="C97" s="708">
        <v>-0.65040950481893622</v>
      </c>
      <c r="D97" s="709">
        <v>-0.88539999999999996</v>
      </c>
      <c r="E97" s="710">
        <v>-0.40821789367673422</v>
      </c>
      <c r="F97" s="708">
        <v>0.87542609806559324</v>
      </c>
      <c r="G97" s="711">
        <v>-0.25881904510252096</v>
      </c>
      <c r="H97" s="710">
        <v>0.314</v>
      </c>
      <c r="I97" s="708">
        <v>0.52</v>
      </c>
      <c r="J97" s="570">
        <v>5.1059999999999999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5.1059999999999999</v>
      </c>
      <c r="N97" s="632">
        <f t="shared" si="465"/>
        <v>-1.3948076842494042</v>
      </c>
      <c r="O97" s="629">
        <f t="shared" si="466"/>
        <v>-0.65040950481893622</v>
      </c>
      <c r="P97" s="633">
        <f t="shared" si="467"/>
        <v>-0.88539999999999996</v>
      </c>
      <c r="Q97" s="585">
        <f t="shared" si="520"/>
        <v>205</v>
      </c>
      <c r="R97" s="629">
        <f t="shared" si="79"/>
        <v>1.5389999999999999</v>
      </c>
      <c r="S97" s="634">
        <f t="shared" si="80"/>
        <v>-0.88539999999999996</v>
      </c>
      <c r="T97" s="635">
        <f t="shared" si="81"/>
        <v>-0.65040950481893622</v>
      </c>
      <c r="U97" s="629">
        <f t="shared" si="82"/>
        <v>1.3948076842494044</v>
      </c>
      <c r="V97" s="636">
        <f t="shared" si="114"/>
        <v>-0.88539999999999996</v>
      </c>
      <c r="W97" s="585">
        <f t="shared" si="645"/>
        <v>115</v>
      </c>
      <c r="X97" s="629">
        <f t="shared" si="83"/>
        <v>1.5389999999999999</v>
      </c>
      <c r="Y97" s="630">
        <f t="shared" si="644"/>
        <v>-0.88539999999999996</v>
      </c>
      <c r="Z97" s="632">
        <f t="shared" si="468"/>
        <v>0.40821789367673422</v>
      </c>
      <c r="AA97" s="629">
        <f t="shared" si="469"/>
        <v>-0.87542609806559324</v>
      </c>
      <c r="AB97" s="629">
        <f t="shared" si="470"/>
        <v>0.25881904510252096</v>
      </c>
      <c r="AC97" s="636">
        <f t="shared" si="84"/>
        <v>1</v>
      </c>
      <c r="AD97" s="637">
        <f t="shared" si="115"/>
        <v>0.40821789367673422</v>
      </c>
      <c r="AE97" s="629">
        <f t="shared" si="85"/>
        <v>-0.87542609806559324</v>
      </c>
      <c r="AF97" s="633">
        <f t="shared" si="86"/>
        <v>0.25881904510252096</v>
      </c>
      <c r="AG97" s="602">
        <f t="shared" si="87"/>
        <v>-106.47027292032791</v>
      </c>
      <c r="AH97" s="603">
        <f t="shared" si="88"/>
        <v>65.907065269236952</v>
      </c>
      <c r="AI97" s="585">
        <f t="shared" si="89"/>
        <v>-105.00000000000001</v>
      </c>
      <c r="AJ97" s="586">
        <f t="shared" si="90"/>
        <v>24.999999999999964</v>
      </c>
      <c r="AK97" s="635">
        <f t="shared" si="211"/>
        <v>-0.9659258262890682</v>
      </c>
      <c r="AL97" s="629">
        <f t="shared" si="91"/>
        <v>5.5511151231257827E-16</v>
      </c>
      <c r="AM97" s="634">
        <f t="shared" si="92"/>
        <v>0.25881904510252096</v>
      </c>
      <c r="AN97" s="581">
        <f t="shared" si="93"/>
        <v>179.99999999999986</v>
      </c>
      <c r="AO97" s="582">
        <f t="shared" si="461"/>
        <v>164.99999999999997</v>
      </c>
      <c r="AP97" s="585">
        <f t="shared" si="95"/>
        <v>179.99999999999997</v>
      </c>
      <c r="AQ97" s="586">
        <f t="shared" si="471"/>
        <v>1.4809739472038776</v>
      </c>
      <c r="AS97" s="52">
        <f t="shared" si="543"/>
        <v>-245</v>
      </c>
      <c r="AT97" s="73">
        <f t="shared" si="472"/>
        <v>-0.71526111111111113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5.1059999999999999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-2.0691006778046717</v>
      </c>
      <c r="C98" s="708">
        <v>-0.96483749155401655</v>
      </c>
      <c r="D98" s="709">
        <v>-0.68600000000000005</v>
      </c>
      <c r="E98" s="710">
        <v>-0.40821789367673422</v>
      </c>
      <c r="F98" s="708">
        <v>0.87542609806559324</v>
      </c>
      <c r="G98" s="711">
        <v>-0.25881904510252096</v>
      </c>
      <c r="H98" s="710">
        <v>0.314</v>
      </c>
      <c r="I98" s="708">
        <v>0.52</v>
      </c>
      <c r="J98" s="570">
        <v>5.109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5.109</v>
      </c>
      <c r="N98" s="632">
        <f t="shared" si="465"/>
        <v>-2.0691006778046717</v>
      </c>
      <c r="O98" s="629">
        <f t="shared" si="466"/>
        <v>-0.96483749155401655</v>
      </c>
      <c r="P98" s="633">
        <f t="shared" si="467"/>
        <v>-0.68600000000000005</v>
      </c>
      <c r="Q98" s="585">
        <f t="shared" si="520"/>
        <v>205</v>
      </c>
      <c r="R98" s="629">
        <f t="shared" si="79"/>
        <v>2.2829999999999995</v>
      </c>
      <c r="S98" s="634">
        <f t="shared" si="80"/>
        <v>-0.68600000000000005</v>
      </c>
      <c r="T98" s="635">
        <f t="shared" si="81"/>
        <v>-0.96483749155401632</v>
      </c>
      <c r="U98" s="629">
        <f t="shared" si="82"/>
        <v>2.0691006778046717</v>
      </c>
      <c r="V98" s="636">
        <f t="shared" si="114"/>
        <v>-0.68600000000000005</v>
      </c>
      <c r="W98" s="585">
        <f t="shared" si="645"/>
        <v>115</v>
      </c>
      <c r="X98" s="629">
        <f t="shared" si="83"/>
        <v>2.2829999999999995</v>
      </c>
      <c r="Y98" s="630">
        <f t="shared" si="644"/>
        <v>-0.68600000000000005</v>
      </c>
      <c r="Z98" s="632">
        <f t="shared" si="468"/>
        <v>0.40821789367673422</v>
      </c>
      <c r="AA98" s="629">
        <f t="shared" si="469"/>
        <v>-0.87542609806559324</v>
      </c>
      <c r="AB98" s="629">
        <f t="shared" si="470"/>
        <v>0.25881904510252096</v>
      </c>
      <c r="AC98" s="636">
        <f t="shared" si="84"/>
        <v>1</v>
      </c>
      <c r="AD98" s="637">
        <f t="shared" si="115"/>
        <v>0.40821789367673422</v>
      </c>
      <c r="AE98" s="629">
        <f t="shared" si="85"/>
        <v>-0.87542609806559324</v>
      </c>
      <c r="AF98" s="633">
        <f t="shared" si="86"/>
        <v>0.25881904510252096</v>
      </c>
      <c r="AG98" s="602">
        <f t="shared" si="87"/>
        <v>-106.47027292032791</v>
      </c>
      <c r="AH98" s="603">
        <f t="shared" si="88"/>
        <v>65.907065269236952</v>
      </c>
      <c r="AI98" s="585">
        <f t="shared" si="89"/>
        <v>-105.00000000000001</v>
      </c>
      <c r="AJ98" s="586">
        <f t="shared" si="90"/>
        <v>24.999999999999964</v>
      </c>
      <c r="AK98" s="635">
        <f t="shared" si="211"/>
        <v>-0.9659258262890682</v>
      </c>
      <c r="AL98" s="629">
        <f t="shared" si="91"/>
        <v>5.5511151231257827E-16</v>
      </c>
      <c r="AM98" s="634">
        <f t="shared" si="92"/>
        <v>0.25881904510252096</v>
      </c>
      <c r="AN98" s="581">
        <f t="shared" si="93"/>
        <v>179.99999999999986</v>
      </c>
      <c r="AO98" s="582">
        <f t="shared" si="461"/>
        <v>164.99999999999997</v>
      </c>
      <c r="AP98" s="585">
        <f t="shared" si="95"/>
        <v>179.99999999999997</v>
      </c>
      <c r="AQ98" s="586">
        <f t="shared" si="471"/>
        <v>0.99846511425703155</v>
      </c>
      <c r="AS98" s="52">
        <f t="shared" si="543"/>
        <v>-245</v>
      </c>
      <c r="AT98" s="73">
        <f t="shared" si="472"/>
        <v>-0.5158611111111111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5.109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-2.7433030405812358</v>
      </c>
      <c r="C99" s="708">
        <v>-1.2792232164629227</v>
      </c>
      <c r="D99" s="709">
        <v>-0.48670000000000002</v>
      </c>
      <c r="E99" s="710">
        <v>-0.40821789367673544</v>
      </c>
      <c r="F99" s="708">
        <v>0.87542609806559291</v>
      </c>
      <c r="G99" s="711">
        <v>-0.25881904510252057</v>
      </c>
      <c r="H99" s="710">
        <v>0.314</v>
      </c>
      <c r="I99" s="708">
        <v>0.52</v>
      </c>
      <c r="J99" s="570">
        <v>5.1120000000000001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5.1120000000000001</v>
      </c>
      <c r="N99" s="632">
        <f t="shared" si="465"/>
        <v>-2.7433030405812358</v>
      </c>
      <c r="O99" s="629">
        <f t="shared" si="466"/>
        <v>-1.2792232164629227</v>
      </c>
      <c r="P99" s="633">
        <f t="shared" si="467"/>
        <v>-0.48670000000000002</v>
      </c>
      <c r="Q99" s="585">
        <f t="shared" si="520"/>
        <v>205</v>
      </c>
      <c r="R99" s="629">
        <f t="shared" si="79"/>
        <v>3.0268999999999999</v>
      </c>
      <c r="S99" s="634">
        <f t="shared" si="80"/>
        <v>-0.48670000000000002</v>
      </c>
      <c r="T99" s="635">
        <f t="shared" si="81"/>
        <v>-1.2792232164629227</v>
      </c>
      <c r="U99" s="629">
        <f t="shared" si="82"/>
        <v>2.7433030405812358</v>
      </c>
      <c r="V99" s="636">
        <f t="shared" si="114"/>
        <v>-0.48670000000000002</v>
      </c>
      <c r="W99" s="585">
        <f t="shared" si="645"/>
        <v>115</v>
      </c>
      <c r="X99" s="629">
        <f t="shared" si="83"/>
        <v>3.0268999999999999</v>
      </c>
      <c r="Y99" s="630">
        <f t="shared" si="644"/>
        <v>-0.48670000000000002</v>
      </c>
      <c r="Z99" s="632">
        <f t="shared" si="468"/>
        <v>0.40821789367673544</v>
      </c>
      <c r="AA99" s="629">
        <f t="shared" si="469"/>
        <v>-0.87542609806559291</v>
      </c>
      <c r="AB99" s="629">
        <f t="shared" si="470"/>
        <v>0.25881904510252057</v>
      </c>
      <c r="AC99" s="636">
        <f t="shared" si="84"/>
        <v>1</v>
      </c>
      <c r="AD99" s="637">
        <f t="shared" si="115"/>
        <v>0.40821789367673544</v>
      </c>
      <c r="AE99" s="629">
        <f t="shared" si="85"/>
        <v>-0.87542609806559291</v>
      </c>
      <c r="AF99" s="633">
        <f t="shared" si="86"/>
        <v>0.25881904510252057</v>
      </c>
      <c r="AG99" s="602">
        <f t="shared" si="87"/>
        <v>-106.47027292032789</v>
      </c>
      <c r="AH99" s="603">
        <f t="shared" si="88"/>
        <v>65.907065269236881</v>
      </c>
      <c r="AI99" s="585">
        <f t="shared" si="89"/>
        <v>-105</v>
      </c>
      <c r="AJ99" s="586">
        <f t="shared" si="90"/>
        <v>25.000000000000039</v>
      </c>
      <c r="AK99" s="635">
        <f t="shared" si="211"/>
        <v>-0.96592582628906842</v>
      </c>
      <c r="AL99" s="629">
        <f t="shared" si="91"/>
        <v>-7.2164496600635175E-16</v>
      </c>
      <c r="AM99" s="634">
        <f t="shared" si="92"/>
        <v>0.25881904510252057</v>
      </c>
      <c r="AN99" s="581">
        <f t="shared" si="93"/>
        <v>-179.99999999999986</v>
      </c>
      <c r="AO99" s="582">
        <f t="shared" si="461"/>
        <v>165.00000000000003</v>
      </c>
      <c r="AP99" s="585">
        <f t="shared" si="95"/>
        <v>-179.99999999999994</v>
      </c>
      <c r="AQ99" s="586">
        <f t="shared" si="471"/>
        <v>0.7531122069567886</v>
      </c>
      <c r="AS99" s="52">
        <f t="shared" si="543"/>
        <v>-245</v>
      </c>
      <c r="AT99" s="73">
        <f t="shared" si="472"/>
        <v>-0.31656111111111113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5.1120000000000001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-3.417596034136503</v>
      </c>
      <c r="C100" s="708">
        <v>-1.593651203198003</v>
      </c>
      <c r="D100" s="709">
        <v>-0.2873</v>
      </c>
      <c r="E100" s="710">
        <v>-0.40821789367673533</v>
      </c>
      <c r="F100" s="708">
        <v>0.87542609806559291</v>
      </c>
      <c r="G100" s="711">
        <v>-0.25881904510252063</v>
      </c>
      <c r="H100" s="710">
        <v>0.314</v>
      </c>
      <c r="I100" s="708">
        <v>0.52</v>
      </c>
      <c r="J100" s="570">
        <v>5.1150000000000002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5.1150000000000002</v>
      </c>
      <c r="N100" s="632">
        <f t="shared" si="465"/>
        <v>-3.417596034136503</v>
      </c>
      <c r="O100" s="629">
        <f t="shared" si="466"/>
        <v>-1.593651203198003</v>
      </c>
      <c r="P100" s="633">
        <f t="shared" si="467"/>
        <v>-0.2873</v>
      </c>
      <c r="Q100" s="585">
        <f t="shared" si="520"/>
        <v>205</v>
      </c>
      <c r="R100" s="629">
        <f t="shared" si="79"/>
        <v>3.7708999999999993</v>
      </c>
      <c r="S100" s="634">
        <f t="shared" si="80"/>
        <v>-0.2873</v>
      </c>
      <c r="T100" s="635">
        <f t="shared" si="81"/>
        <v>-1.5936512031980028</v>
      </c>
      <c r="U100" s="629">
        <f t="shared" si="82"/>
        <v>3.417596034136503</v>
      </c>
      <c r="V100" s="636">
        <f t="shared" si="114"/>
        <v>-0.2873</v>
      </c>
      <c r="W100" s="585">
        <f t="shared" si="645"/>
        <v>115</v>
      </c>
      <c r="X100" s="629">
        <f t="shared" si="83"/>
        <v>3.7708999999999993</v>
      </c>
      <c r="Y100" s="630">
        <f t="shared" si="644"/>
        <v>-0.2873</v>
      </c>
      <c r="Z100" s="632">
        <f t="shared" si="468"/>
        <v>0.40821789367673533</v>
      </c>
      <c r="AA100" s="629">
        <f t="shared" si="469"/>
        <v>-0.87542609806559291</v>
      </c>
      <c r="AB100" s="629">
        <f t="shared" si="470"/>
        <v>0.25881904510252063</v>
      </c>
      <c r="AC100" s="636">
        <f t="shared" si="84"/>
        <v>1</v>
      </c>
      <c r="AD100" s="637">
        <f t="shared" si="115"/>
        <v>0.40821789367673533</v>
      </c>
      <c r="AE100" s="629">
        <f t="shared" si="85"/>
        <v>-0.87542609806559291</v>
      </c>
      <c r="AF100" s="633">
        <f t="shared" si="86"/>
        <v>0.25881904510252063</v>
      </c>
      <c r="AG100" s="602">
        <f t="shared" si="87"/>
        <v>-106.4702729203279</v>
      </c>
      <c r="AH100" s="603">
        <f t="shared" si="88"/>
        <v>65.907065269236881</v>
      </c>
      <c r="AI100" s="585">
        <f t="shared" si="89"/>
        <v>-105</v>
      </c>
      <c r="AJ100" s="586">
        <f t="shared" si="90"/>
        <v>25.000000000000032</v>
      </c>
      <c r="AK100" s="635">
        <f t="shared" si="211"/>
        <v>-0.96592582628906842</v>
      </c>
      <c r="AL100" s="629">
        <f t="shared" si="91"/>
        <v>-6.6613381477509392E-16</v>
      </c>
      <c r="AM100" s="634">
        <f t="shared" si="92"/>
        <v>0.25881904510252063</v>
      </c>
      <c r="AN100" s="581">
        <f t="shared" si="93"/>
        <v>-179.99999999999986</v>
      </c>
      <c r="AO100" s="582">
        <f t="shared" si="461"/>
        <v>165.00000000000003</v>
      </c>
      <c r="AP100" s="585">
        <f t="shared" si="95"/>
        <v>-179.99999999999994</v>
      </c>
      <c r="AQ100" s="586">
        <f t="shared" si="471"/>
        <v>0.60453526570158556</v>
      </c>
      <c r="AS100" s="52">
        <f t="shared" si="543"/>
        <v>-245</v>
      </c>
      <c r="AT100" s="73">
        <f t="shared" si="472"/>
        <v>-0.1171611111111111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5.1150000000000002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-4.1027910919773332</v>
      </c>
      <c r="C101" s="708">
        <v>-1.8957556318237416</v>
      </c>
      <c r="D101" s="709">
        <v>-0.1042</v>
      </c>
      <c r="E101" s="710">
        <v>-0.3698523338380354</v>
      </c>
      <c r="F101" s="708">
        <v>0.89236851475360901</v>
      </c>
      <c r="G101" s="711">
        <v>-0.25862653582143569</v>
      </c>
      <c r="H101" s="710">
        <v>0.314</v>
      </c>
      <c r="I101" s="708">
        <v>0.52</v>
      </c>
      <c r="J101" s="570">
        <v>5.1180000000000003</v>
      </c>
      <c r="K101" s="865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1613</v>
      </c>
      <c r="L101" s="320"/>
      <c r="M101" s="168">
        <f t="shared" si="464"/>
        <v>5.1180000000000003</v>
      </c>
      <c r="N101" s="632">
        <f t="shared" si="465"/>
        <v>-4.1027910919773332</v>
      </c>
      <c r="O101" s="629">
        <f t="shared" si="466"/>
        <v>-1.8957556318237416</v>
      </c>
      <c r="P101" s="633">
        <f t="shared" si="467"/>
        <v>-0.1042</v>
      </c>
      <c r="Q101" s="585">
        <f t="shared" si="520"/>
        <v>204.8</v>
      </c>
      <c r="R101" s="629">
        <f t="shared" si="79"/>
        <v>4.5195999999999996</v>
      </c>
      <c r="S101" s="634">
        <f t="shared" si="80"/>
        <v>-0.1042</v>
      </c>
      <c r="T101" s="635">
        <f t="shared" si="81"/>
        <v>-1.8957556318237423</v>
      </c>
      <c r="U101" s="629">
        <f t="shared" si="82"/>
        <v>4.1027910919773332</v>
      </c>
      <c r="V101" s="636">
        <f t="shared" si="114"/>
        <v>-0.1042</v>
      </c>
      <c r="W101" s="585">
        <f t="shared" si="645"/>
        <v>114.80000000000001</v>
      </c>
      <c r="X101" s="629">
        <f t="shared" si="83"/>
        <v>4.5195999999999996</v>
      </c>
      <c r="Y101" s="630">
        <f t="shared" si="644"/>
        <v>-0.1042</v>
      </c>
      <c r="Z101" s="632">
        <f t="shared" si="468"/>
        <v>0.3698523338380354</v>
      </c>
      <c r="AA101" s="629">
        <f t="shared" si="469"/>
        <v>-0.89236851475360901</v>
      </c>
      <c r="AB101" s="629">
        <f t="shared" si="470"/>
        <v>0.25862653582143569</v>
      </c>
      <c r="AC101" s="636">
        <f t="shared" si="84"/>
        <v>1</v>
      </c>
      <c r="AD101" s="637">
        <f t="shared" si="115"/>
        <v>0.3698523338380354</v>
      </c>
      <c r="AE101" s="629">
        <f t="shared" si="85"/>
        <v>-0.89236851475360901</v>
      </c>
      <c r="AF101" s="633">
        <f t="shared" si="86"/>
        <v>0.25862653582143569</v>
      </c>
      <c r="AG101" s="602">
        <f t="shared" si="87"/>
        <v>-106.16266272343576</v>
      </c>
      <c r="AH101" s="603">
        <f t="shared" si="88"/>
        <v>68.293489380832639</v>
      </c>
      <c r="AI101" s="585">
        <f t="shared" si="89"/>
        <v>-104.98858124029952</v>
      </c>
      <c r="AJ101" s="586">
        <f t="shared" si="90"/>
        <v>22.512121076908333</v>
      </c>
      <c r="AK101" s="635">
        <f t="shared" si="211"/>
        <v>-0.96520737187113048</v>
      </c>
      <c r="AL101" s="629">
        <f t="shared" si="91"/>
        <v>3.856221278180022E-2</v>
      </c>
      <c r="AM101" s="634">
        <f t="shared" si="92"/>
        <v>0.25862653582143569</v>
      </c>
      <c r="AN101" s="581">
        <f t="shared" si="93"/>
        <v>171.51945661249155</v>
      </c>
      <c r="AO101" s="582">
        <f t="shared" si="461"/>
        <v>164.84176816951302</v>
      </c>
      <c r="AP101" s="585">
        <f t="shared" si="95"/>
        <v>177.71212107690832</v>
      </c>
      <c r="AQ101" s="586">
        <f t="shared" si="471"/>
        <v>0.50439590654789057</v>
      </c>
      <c r="AS101" s="52">
        <f t="shared" si="543"/>
        <v>-245.2</v>
      </c>
      <c r="AT101" s="73">
        <f t="shared" si="472"/>
        <v>6.6077777777777777E-2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5.1180000000000003</v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>
        <f t="shared" si="542"/>
        <v>1613</v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>
        <v>-4.8212438722640032</v>
      </c>
      <c r="C102" s="708">
        <v>-2.1819421450067855</v>
      </c>
      <c r="D102" s="709">
        <v>-6.88E-2</v>
      </c>
      <c r="E102" s="710">
        <v>-0.31824294315845758</v>
      </c>
      <c r="F102" s="708">
        <v>0.91329866876135835</v>
      </c>
      <c r="G102" s="711">
        <v>-0.2541790132339285</v>
      </c>
      <c r="H102" s="710">
        <v>0.314</v>
      </c>
      <c r="I102" s="708">
        <v>0.52</v>
      </c>
      <c r="J102" s="570">
        <v>5.1210000000000004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1613</v>
      </c>
      <c r="L102" s="320"/>
      <c r="M102" s="168">
        <f t="shared" si="464"/>
        <v>5.1210000000000004</v>
      </c>
      <c r="N102" s="632">
        <f t="shared" si="465"/>
        <v>-4.8212438722640032</v>
      </c>
      <c r="O102" s="629">
        <f t="shared" si="466"/>
        <v>-2.1819421450067855</v>
      </c>
      <c r="P102" s="633">
        <f t="shared" si="467"/>
        <v>-6.88E-2</v>
      </c>
      <c r="Q102" s="585">
        <f t="shared" si="520"/>
        <v>204.35</v>
      </c>
      <c r="R102" s="629">
        <f t="shared" si="79"/>
        <v>5.2920000000000007</v>
      </c>
      <c r="S102" s="634">
        <f t="shared" si="80"/>
        <v>-6.88E-2</v>
      </c>
      <c r="T102" s="635">
        <f t="shared" si="81"/>
        <v>-2.1819421450067855</v>
      </c>
      <c r="U102" s="629">
        <f t="shared" si="82"/>
        <v>4.8212438722640023</v>
      </c>
      <c r="V102" s="636">
        <f t="shared" si="114"/>
        <v>-6.88E-2</v>
      </c>
      <c r="W102" s="585">
        <f t="shared" si="645"/>
        <v>114.35</v>
      </c>
      <c r="X102" s="629">
        <f t="shared" si="83"/>
        <v>5.2920000000000007</v>
      </c>
      <c r="Y102" s="630">
        <f t="shared" si="644"/>
        <v>-6.88E-2</v>
      </c>
      <c r="Z102" s="632">
        <f t="shared" si="468"/>
        <v>0.31824294315845758</v>
      </c>
      <c r="AA102" s="629">
        <f t="shared" si="469"/>
        <v>-0.91329866876135835</v>
      </c>
      <c r="AB102" s="629">
        <f t="shared" si="470"/>
        <v>0.2541790132339285</v>
      </c>
      <c r="AC102" s="636">
        <f t="shared" si="84"/>
        <v>1</v>
      </c>
      <c r="AD102" s="637">
        <f t="shared" si="115"/>
        <v>0.31824294315845758</v>
      </c>
      <c r="AE102" s="629">
        <f t="shared" si="85"/>
        <v>-0.91329866876135835</v>
      </c>
      <c r="AF102" s="633">
        <f t="shared" si="86"/>
        <v>0.2541790132339285</v>
      </c>
      <c r="AG102" s="602">
        <f t="shared" si="87"/>
        <v>-105.55235047235172</v>
      </c>
      <c r="AH102" s="603">
        <f t="shared" si="88"/>
        <v>71.443301233622762</v>
      </c>
      <c r="AI102" s="585">
        <f t="shared" si="89"/>
        <v>-104.72494328476805</v>
      </c>
      <c r="AJ102" s="586">
        <f t="shared" si="90"/>
        <v>19.211116350043874</v>
      </c>
      <c r="AK102" s="635">
        <f t="shared" si="211"/>
        <v>-0.96326970905914711</v>
      </c>
      <c r="AL102" s="629">
        <f t="shared" si="91"/>
        <v>8.6628499008885973E-2</v>
      </c>
      <c r="AM102" s="634">
        <f t="shared" si="92"/>
        <v>0.2541790132339285</v>
      </c>
      <c r="AN102" s="581">
        <f t="shared" si="93"/>
        <v>161.18002316942889</v>
      </c>
      <c r="AO102" s="582">
        <f t="shared" si="461"/>
        <v>164.42284393073567</v>
      </c>
      <c r="AP102" s="585">
        <f t="shared" si="95"/>
        <v>174.86111635004389</v>
      </c>
      <c r="AQ102" s="586">
        <f t="shared" si="471"/>
        <v>0.43077922819351944</v>
      </c>
      <c r="AS102" s="52">
        <f t="shared" si="543"/>
        <v>-245.65</v>
      </c>
      <c r="AT102" s="73">
        <f t="shared" si="472"/>
        <v>0.1017902777777778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5.1210000000000004</v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>
        <f t="shared" si="542"/>
        <v>1613</v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>
        <v>-5.5156183515159096</v>
      </c>
      <c r="C103" s="708">
        <v>-2.4315277173869347</v>
      </c>
      <c r="D103" s="709">
        <v>-0.19939999999999999</v>
      </c>
      <c r="E103" s="710">
        <v>-0.24231845925979315</v>
      </c>
      <c r="F103" s="708">
        <v>0.94260298747207527</v>
      </c>
      <c r="G103" s="711">
        <v>-0.22974196897972021</v>
      </c>
      <c r="H103" s="710">
        <v>0.314</v>
      </c>
      <c r="I103" s="708">
        <v>0.52</v>
      </c>
      <c r="J103" s="570">
        <v>5.1239999999999997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1613</v>
      </c>
      <c r="L103" s="320"/>
      <c r="M103" s="168">
        <f t="shared" si="464"/>
        <v>5.1239999999999997</v>
      </c>
      <c r="N103" s="632">
        <f t="shared" si="465"/>
        <v>-5.5156183515159096</v>
      </c>
      <c r="O103" s="629">
        <f t="shared" si="466"/>
        <v>-2.4315277173869347</v>
      </c>
      <c r="P103" s="633">
        <f t="shared" si="467"/>
        <v>-0.19939999999999999</v>
      </c>
      <c r="Q103" s="585">
        <f t="shared" si="520"/>
        <v>203.79</v>
      </c>
      <c r="R103" s="629">
        <f t="shared" si="79"/>
        <v>6.0278</v>
      </c>
      <c r="S103" s="634">
        <f t="shared" si="80"/>
        <v>-0.19939999999999999</v>
      </c>
      <c r="T103" s="635">
        <f t="shared" si="81"/>
        <v>-2.4315277173869343</v>
      </c>
      <c r="U103" s="629">
        <f t="shared" si="82"/>
        <v>5.5156183515159096</v>
      </c>
      <c r="V103" s="636">
        <f t="shared" si="114"/>
        <v>-0.19939999999999999</v>
      </c>
      <c r="W103" s="585">
        <f t="shared" si="645"/>
        <v>113.78999999999999</v>
      </c>
      <c r="X103" s="629">
        <f t="shared" si="83"/>
        <v>6.0278</v>
      </c>
      <c r="Y103" s="630">
        <f t="shared" si="644"/>
        <v>-0.19939999999999999</v>
      </c>
      <c r="Z103" s="632">
        <f t="shared" si="468"/>
        <v>0.24231845925979315</v>
      </c>
      <c r="AA103" s="629">
        <f t="shared" si="469"/>
        <v>-0.94260298747207527</v>
      </c>
      <c r="AB103" s="629">
        <f t="shared" si="470"/>
        <v>0.22974196897972021</v>
      </c>
      <c r="AC103" s="636">
        <f t="shared" si="84"/>
        <v>1</v>
      </c>
      <c r="AD103" s="637">
        <f t="shared" si="115"/>
        <v>0.24231845925979315</v>
      </c>
      <c r="AE103" s="629">
        <f t="shared" si="85"/>
        <v>-0.94260298747207527</v>
      </c>
      <c r="AF103" s="633">
        <f t="shared" si="86"/>
        <v>0.22974196897972021</v>
      </c>
      <c r="AG103" s="602">
        <f t="shared" si="87"/>
        <v>-103.69771239902398</v>
      </c>
      <c r="AH103" s="603">
        <f t="shared" si="88"/>
        <v>75.97658179682702</v>
      </c>
      <c r="AI103" s="585">
        <f t="shared" si="89"/>
        <v>-103.28188086372728</v>
      </c>
      <c r="AJ103" s="586">
        <f t="shared" si="90"/>
        <v>14.417057641431388</v>
      </c>
      <c r="AK103" s="635">
        <f t="shared" si="211"/>
        <v>-0.96025786954102388</v>
      </c>
      <c r="AL103" s="629">
        <f t="shared" si="91"/>
        <v>0.15850379072392992</v>
      </c>
      <c r="AM103" s="634">
        <f t="shared" si="92"/>
        <v>0.22974196897972021</v>
      </c>
      <c r="AN103" s="581">
        <f t="shared" si="93"/>
        <v>145.39739408260087</v>
      </c>
      <c r="AO103" s="582">
        <f t="shared" si="461"/>
        <v>163.79264614463867</v>
      </c>
      <c r="AP103" s="585">
        <f t="shared" si="95"/>
        <v>170.62705764143138</v>
      </c>
      <c r="AQ103" s="586">
        <f t="shared" si="471"/>
        <v>0.37819660944968736</v>
      </c>
      <c r="AS103" s="52">
        <f t="shared" si="543"/>
        <v>-246.21</v>
      </c>
      <c r="AT103" s="73">
        <f t="shared" si="472"/>
        <v>-2.8420833333333312E-2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5.1239999999999997</v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>
        <f t="shared" si="542"/>
        <v>1613</v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>
        <v>-6.1669401800294077</v>
      </c>
      <c r="C104" s="708">
        <v>-2.6418799775801372</v>
      </c>
      <c r="D104" s="709">
        <v>-0.48760000000000003</v>
      </c>
      <c r="E104" s="710">
        <v>-0.1732487173170876</v>
      </c>
      <c r="F104" s="708">
        <v>0.96630646535547859</v>
      </c>
      <c r="G104" s="711">
        <v>-0.19035938894676374</v>
      </c>
      <c r="H104" s="710">
        <v>0.314</v>
      </c>
      <c r="I104" s="708">
        <v>0.52</v>
      </c>
      <c r="J104" s="570">
        <v>5.1269999999999998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1613</v>
      </c>
      <c r="L104" s="320"/>
      <c r="M104" s="168">
        <f t="shared" si="464"/>
        <v>5.1269999999999998</v>
      </c>
      <c r="N104" s="632">
        <f t="shared" si="465"/>
        <v>-6.1669401800294077</v>
      </c>
      <c r="O104" s="629">
        <f t="shared" si="466"/>
        <v>-2.6418799775801372</v>
      </c>
      <c r="P104" s="633">
        <f t="shared" si="467"/>
        <v>-0.48760000000000003</v>
      </c>
      <c r="Q104" s="585">
        <f t="shared" si="520"/>
        <v>203.19</v>
      </c>
      <c r="R104" s="629">
        <f t="shared" si="79"/>
        <v>6.7089999999999979</v>
      </c>
      <c r="S104" s="634">
        <f t="shared" si="80"/>
        <v>-0.48760000000000003</v>
      </c>
      <c r="T104" s="635">
        <f t="shared" si="81"/>
        <v>-2.6418799775801363</v>
      </c>
      <c r="U104" s="629">
        <f t="shared" si="82"/>
        <v>6.1669401800294086</v>
      </c>
      <c r="V104" s="636">
        <f t="shared" si="114"/>
        <v>-0.48760000000000003</v>
      </c>
      <c r="W104" s="585">
        <f t="shared" si="645"/>
        <v>113.19</v>
      </c>
      <c r="X104" s="629">
        <f t="shared" si="83"/>
        <v>6.7089999999999979</v>
      </c>
      <c r="Y104" s="630">
        <f t="shared" si="644"/>
        <v>-0.48760000000000003</v>
      </c>
      <c r="Z104" s="632">
        <f t="shared" si="468"/>
        <v>0.1732487173170876</v>
      </c>
      <c r="AA104" s="629">
        <f t="shared" si="469"/>
        <v>-0.96630646535547859</v>
      </c>
      <c r="AB104" s="629">
        <f t="shared" si="470"/>
        <v>0.19035938894676374</v>
      </c>
      <c r="AC104" s="636">
        <f t="shared" si="84"/>
        <v>1</v>
      </c>
      <c r="AD104" s="637">
        <f t="shared" si="115"/>
        <v>0.1732487173170876</v>
      </c>
      <c r="AE104" s="629">
        <f t="shared" si="85"/>
        <v>-0.96630646535547859</v>
      </c>
      <c r="AF104" s="633">
        <f t="shared" si="86"/>
        <v>0.19035938894676374</v>
      </c>
      <c r="AG104" s="602">
        <f t="shared" si="87"/>
        <v>-101.1443908757177</v>
      </c>
      <c r="AH104" s="603">
        <f t="shared" si="88"/>
        <v>80.023239636635978</v>
      </c>
      <c r="AI104" s="585">
        <f t="shared" si="89"/>
        <v>-100.97375846393662</v>
      </c>
      <c r="AJ104" s="586">
        <f t="shared" si="90"/>
        <v>10.164544324558987</v>
      </c>
      <c r="AK104" s="635">
        <f t="shared" si="211"/>
        <v>-0.95645498358091408</v>
      </c>
      <c r="AL104" s="629">
        <f t="shared" si="91"/>
        <v>0.22126266613020854</v>
      </c>
      <c r="AM104" s="634">
        <f t="shared" si="92"/>
        <v>0.19035938894676374</v>
      </c>
      <c r="AN104" s="581">
        <f t="shared" si="93"/>
        <v>130.70646954328436</v>
      </c>
      <c r="AO104" s="582">
        <f t="shared" si="461"/>
        <v>163.02946473233533</v>
      </c>
      <c r="AP104" s="585">
        <f t="shared" si="95"/>
        <v>166.97454432455899</v>
      </c>
      <c r="AQ104" s="586">
        <f t="shared" si="471"/>
        <v>0.33979727299625723</v>
      </c>
      <c r="AS104" s="52">
        <f t="shared" si="543"/>
        <v>-246.81</v>
      </c>
      <c r="AT104" s="73">
        <f t="shared" si="472"/>
        <v>-0.31620416666666673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5.1269999999999998</v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>
        <f t="shared" si="542"/>
        <v>1613</v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>
        <v>-6.7494975762912919</v>
      </c>
      <c r="C105" s="708">
        <v>-2.8095446744335582</v>
      </c>
      <c r="D105" s="709">
        <v>-0.91489999999999994</v>
      </c>
      <c r="E105" s="710">
        <v>-0.11503337117976851</v>
      </c>
      <c r="F105" s="708">
        <v>0.98358022539957091</v>
      </c>
      <c r="G105" s="711">
        <v>-0.13905849027638281</v>
      </c>
      <c r="H105" s="710">
        <v>0.314</v>
      </c>
      <c r="I105" s="708">
        <v>0.52</v>
      </c>
      <c r="J105" s="570">
        <v>5.13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1613</v>
      </c>
      <c r="L105" s="320"/>
      <c r="M105" s="168">
        <f t="shared" ref="M105:M136" si="660">IF(J105="","",VALUE(J105))</f>
        <v>5.13</v>
      </c>
      <c r="N105" s="632">
        <f t="shared" ref="N105:N136" si="661">IF(M105="","",B105)</f>
        <v>-6.7494975762912919</v>
      </c>
      <c r="O105" s="629">
        <f t="shared" ref="O105:O136" si="662">IF(M105="","",C105)</f>
        <v>-2.8095446744335582</v>
      </c>
      <c r="P105" s="633">
        <f t="shared" ref="P105:P136" si="663">IF(M105="","",D105)</f>
        <v>-0.91489999999999994</v>
      </c>
      <c r="Q105" s="585">
        <f t="shared" si="520"/>
        <v>202.6</v>
      </c>
      <c r="R105" s="629">
        <f t="shared" si="79"/>
        <v>7.3108999999999993</v>
      </c>
      <c r="S105" s="634">
        <f t="shared" si="80"/>
        <v>-0.91489999999999994</v>
      </c>
      <c r="T105" s="635">
        <f t="shared" si="81"/>
        <v>-2.8095446744335573</v>
      </c>
      <c r="U105" s="629">
        <f t="shared" si="82"/>
        <v>6.7494975762912919</v>
      </c>
      <c r="V105" s="636">
        <f t="shared" si="114"/>
        <v>-0.91489999999999994</v>
      </c>
      <c r="W105" s="585">
        <f t="shared" si="645"/>
        <v>112.6</v>
      </c>
      <c r="X105" s="629">
        <f t="shared" si="83"/>
        <v>7.3108999999999993</v>
      </c>
      <c r="Y105" s="630">
        <f t="shared" si="644"/>
        <v>-0.91489999999999994</v>
      </c>
      <c r="Z105" s="632">
        <f t="shared" ref="Z105:Z136" si="664">IF(M105="","",-E105)</f>
        <v>0.11503337117976851</v>
      </c>
      <c r="AA105" s="629">
        <f t="shared" ref="AA105:AA136" si="665">IF(M105="","",-F105)</f>
        <v>-0.98358022539957091</v>
      </c>
      <c r="AB105" s="629">
        <f t="shared" ref="AB105:AB136" si="666">IF(M105="","",-G105)</f>
        <v>0.13905849027638281</v>
      </c>
      <c r="AC105" s="636">
        <f t="shared" si="84"/>
        <v>1</v>
      </c>
      <c r="AD105" s="637">
        <f t="shared" si="115"/>
        <v>0.11503337117976851</v>
      </c>
      <c r="AE105" s="629">
        <f t="shared" si="85"/>
        <v>-0.98358022539957091</v>
      </c>
      <c r="AF105" s="633">
        <f t="shared" si="86"/>
        <v>0.13905849027638281</v>
      </c>
      <c r="AG105" s="602">
        <f t="shared" si="87"/>
        <v>-98.047139203338389</v>
      </c>
      <c r="AH105" s="603">
        <f t="shared" si="88"/>
        <v>83.394450149677354</v>
      </c>
      <c r="AI105" s="585">
        <f t="shared" si="89"/>
        <v>-97.993368810649741</v>
      </c>
      <c r="AJ105" s="586">
        <f t="shared" si="90"/>
        <v>6.6706508805060558</v>
      </c>
      <c r="AK105" s="635">
        <f t="shared" si="211"/>
        <v>-0.95225809993334676</v>
      </c>
      <c r="AL105" s="629">
        <f t="shared" si="91"/>
        <v>0.27178529649961813</v>
      </c>
      <c r="AM105" s="634">
        <f t="shared" si="92"/>
        <v>0.13905849027638281</v>
      </c>
      <c r="AN105" s="581">
        <f t="shared" si="93"/>
        <v>117.09647941408103</v>
      </c>
      <c r="AO105" s="582">
        <f t="shared" si="461"/>
        <v>162.22413913633656</v>
      </c>
      <c r="AP105" s="585">
        <f t="shared" si="95"/>
        <v>164.07065088050607</v>
      </c>
      <c r="AQ105" s="586">
        <f t="shared" ref="AQ105:AQ136" si="667">IF(M105="","",DEGREES(ATAN(($AS$5*SIN(RADIANS(90)))/(($X105*2*PI())-($AS$5*COS(RADIANS(90)))))))</f>
        <v>0.31182263800441756</v>
      </c>
      <c r="AS105" s="52">
        <f t="shared" si="543"/>
        <v>-247.4</v>
      </c>
      <c r="AT105" s="73">
        <f t="shared" ref="AT105:AT136" si="668">IF(M105="","",Y105+(((AS105-$AS$9)*$AS$6)*-1))</f>
        <v>-0.74309444444444439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5.13</v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>
        <f t="shared" si="542"/>
        <v>1613</v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>
        <v>-7.2315124010238101</v>
      </c>
      <c r="C106" s="708">
        <v>-2.9349425469400376</v>
      </c>
      <c r="D106" s="709">
        <v>-1.4608000000000005</v>
      </c>
      <c r="E106" s="710">
        <v>-7.1790188117652629E-2</v>
      </c>
      <c r="F106" s="708">
        <v>0.99419305741532771</v>
      </c>
      <c r="G106" s="711">
        <v>-8.0164415280067458E-2</v>
      </c>
      <c r="H106" s="710">
        <v>0.314</v>
      </c>
      <c r="I106" s="708">
        <v>0.52</v>
      </c>
      <c r="J106" s="570">
        <v>5.133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1613</v>
      </c>
      <c r="L106" s="320"/>
      <c r="M106" s="168">
        <f t="shared" si="660"/>
        <v>5.133</v>
      </c>
      <c r="N106" s="632">
        <f t="shared" si="661"/>
        <v>-7.2315124010238101</v>
      </c>
      <c r="O106" s="629">
        <f t="shared" si="662"/>
        <v>-2.9349425469400376</v>
      </c>
      <c r="P106" s="633">
        <f t="shared" si="663"/>
        <v>-1.4608000000000005</v>
      </c>
      <c r="Q106" s="585">
        <f t="shared" si="520"/>
        <v>202.09</v>
      </c>
      <c r="R106" s="629">
        <f t="shared" ref="R106:R129" si="716">IF(M106="","",SQRT(N106^2+O106^2))</f>
        <v>7.8044000000000011</v>
      </c>
      <c r="S106" s="634">
        <f t="shared" ref="S106:S129" si="717">IF(M106="","",P106)</f>
        <v>-1.4608000000000005</v>
      </c>
      <c r="T106" s="635">
        <f t="shared" ref="T106:T129" si="718">IF(M106="","",X106*COS(RADIANS(W106)))</f>
        <v>-2.9349425469400372</v>
      </c>
      <c r="U106" s="629">
        <f t="shared" ref="U106:U129" si="719">IF(M106="","",X106*SIN(RADIANS(W106)))</f>
        <v>7.2315124010238092</v>
      </c>
      <c r="V106" s="636">
        <f t="shared" ref="V106:V129" si="720">IF(M106="","",Y106)</f>
        <v>-1.4608000000000005</v>
      </c>
      <c r="W106" s="585">
        <f t="shared" si="645"/>
        <v>112.09</v>
      </c>
      <c r="X106" s="629">
        <f t="shared" ref="X106:X129" si="721">IF(M106="","",R106)</f>
        <v>7.8044000000000011</v>
      </c>
      <c r="Y106" s="630">
        <f t="shared" si="644"/>
        <v>-1.4608000000000005</v>
      </c>
      <c r="Z106" s="632">
        <f t="shared" si="664"/>
        <v>7.1790188117652629E-2</v>
      </c>
      <c r="AA106" s="629">
        <f t="shared" si="665"/>
        <v>-0.99419305741532771</v>
      </c>
      <c r="AB106" s="629">
        <f t="shared" si="666"/>
        <v>8.0164415280067458E-2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7.1790188117652629E-2</v>
      </c>
      <c r="AE106" s="629">
        <f t="shared" ref="AE106:AE129" si="724">IF(M106="","",AA106*(1/SQRT(Z106^2+AA106^2+AB106^2)))</f>
        <v>-0.99419305741532771</v>
      </c>
      <c r="AF106" s="633">
        <f t="shared" ref="AF106:AF129" si="725">IF(M106="","",AB106*(1/SQRT(Z106^2+AA106^2+AB106^2)))</f>
        <v>8.0164415280067458E-2</v>
      </c>
      <c r="AG106" s="602">
        <f t="shared" ref="AG106:AG129" si="726">IF(M106="","",DEGREES(ATAN2(-AF106,AE106)))</f>
        <v>-94.609936787951654</v>
      </c>
      <c r="AH106" s="603">
        <f t="shared" ref="AH106:AH129" si="727">IF(M106="","",DEGREES(ACOS(AD106)))</f>
        <v>85.883183803666697</v>
      </c>
      <c r="AI106" s="585">
        <f t="shared" ref="AI106:AI129" si="728">IF(M106="","",DEGREES(-ACOS(-AF106)))</f>
        <v>-94.598016390455186</v>
      </c>
      <c r="AJ106" s="586">
        <f t="shared" ref="AJ106:AJ129" si="729">IF(M106="","",DEGREES(ATAN2(-AE106,AD106)))</f>
        <v>4.1301313455610345</v>
      </c>
      <c r="AK106" s="635">
        <f t="shared" ref="AK106:AK129" si="730">IF(M106="","",(COS(RADIANS((90-$Q$8)-W106))*AD106)+(-SIN(RADIANS((90-$Q$8)-W106))*AE106))</f>
        <v>-0.94821120153631866</v>
      </c>
      <c r="AL106" s="629">
        <f t="shared" ref="AL106:AL129" si="731">IF(M106="","",(SIN(RADIANS((90-$Q$8)-W106))*AD106)+(COS(RADIANS((90-$Q$8)-W106))*AE106))</f>
        <v>0.30735839634513951</v>
      </c>
      <c r="AM106" s="634">
        <f t="shared" ref="AM106:AM129" si="732">IF(M106="","",AF106)</f>
        <v>8.0164415280067458E-2</v>
      </c>
      <c r="AN106" s="581">
        <f t="shared" ref="AN106:AN129" si="733">IF(M106="","",DEGREES(ATAN2(-AM106,AL106)))</f>
        <v>104.61807510564246</v>
      </c>
      <c r="AO106" s="582">
        <f t="shared" si="461"/>
        <v>161.47970495541952</v>
      </c>
      <c r="AP106" s="585">
        <f t="shared" ref="AP106:AP129" si="734">IF(M106="","",DEGREES(ATAN2(AK106,AL106)))</f>
        <v>162.04013134556104</v>
      </c>
      <c r="AQ106" s="586">
        <f t="shared" si="667"/>
        <v>0.29210533553366896</v>
      </c>
      <c r="AS106" s="52">
        <f t="shared" si="543"/>
        <v>-247.91</v>
      </c>
      <c r="AT106" s="73">
        <f t="shared" si="668"/>
        <v>-1.2886402777777783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5.133</v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>
        <f t="shared" si="542"/>
        <v>1613</v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>
        <v>-7.5949154662336822</v>
      </c>
      <c r="C107" s="708">
        <v>-3.0223839433077346</v>
      </c>
      <c r="D107" s="709">
        <v>-2.0954000000000002</v>
      </c>
      <c r="E107" s="710">
        <v>1.9826755235744186E-2</v>
      </c>
      <c r="F107" s="708">
        <v>0.99715475411112242</v>
      </c>
      <c r="G107" s="711">
        <v>-7.2727547259679781E-2</v>
      </c>
      <c r="H107" s="710">
        <v>0.314</v>
      </c>
      <c r="I107" s="708">
        <v>0.52</v>
      </c>
      <c r="J107" s="570">
        <v>5.1360000000000001</v>
      </c>
      <c r="K107" s="865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1613</v>
      </c>
      <c r="L107" s="320"/>
      <c r="M107" s="168">
        <f t="shared" si="660"/>
        <v>5.1360000000000001</v>
      </c>
      <c r="N107" s="632">
        <f t="shared" si="661"/>
        <v>-7.5949154662336822</v>
      </c>
      <c r="O107" s="629">
        <f t="shared" si="662"/>
        <v>-3.0223839433077346</v>
      </c>
      <c r="P107" s="633">
        <f t="shared" si="663"/>
        <v>-2.0954000000000002</v>
      </c>
      <c r="Q107" s="585">
        <f t="shared" si="520"/>
        <v>201.7</v>
      </c>
      <c r="R107" s="629">
        <f t="shared" si="716"/>
        <v>8.1742000000000008</v>
      </c>
      <c r="S107" s="634">
        <f t="shared" si="717"/>
        <v>-2.0954000000000002</v>
      </c>
      <c r="T107" s="635">
        <f t="shared" si="718"/>
        <v>-3.0223839433077333</v>
      </c>
      <c r="U107" s="629">
        <f t="shared" si="719"/>
        <v>7.5949154662336831</v>
      </c>
      <c r="V107" s="636">
        <f t="shared" si="720"/>
        <v>-2.0954000000000002</v>
      </c>
      <c r="W107" s="585">
        <f t="shared" si="645"/>
        <v>111.69999999999999</v>
      </c>
      <c r="X107" s="629">
        <f t="shared" si="721"/>
        <v>8.1742000000000008</v>
      </c>
      <c r="Y107" s="630">
        <f t="shared" si="644"/>
        <v>-2.0954000000000002</v>
      </c>
      <c r="Z107" s="632">
        <f t="shared" si="664"/>
        <v>-1.9826755235744186E-2</v>
      </c>
      <c r="AA107" s="629">
        <f t="shared" si="665"/>
        <v>-0.99715475411112242</v>
      </c>
      <c r="AB107" s="629">
        <f t="shared" si="666"/>
        <v>7.2727547259679781E-2</v>
      </c>
      <c r="AC107" s="636">
        <f t="shared" si="722"/>
        <v>1</v>
      </c>
      <c r="AD107" s="637">
        <f t="shared" si="723"/>
        <v>-1.9826755235744186E-2</v>
      </c>
      <c r="AE107" s="629">
        <f t="shared" si="724"/>
        <v>-0.99715475411112242</v>
      </c>
      <c r="AF107" s="633">
        <f t="shared" si="725"/>
        <v>7.2727547259679781E-2</v>
      </c>
      <c r="AG107" s="602">
        <f t="shared" si="726"/>
        <v>-94.171485121125613</v>
      </c>
      <c r="AH107" s="603">
        <f t="shared" si="727"/>
        <v>91.13606383589665</v>
      </c>
      <c r="AI107" s="585">
        <f t="shared" si="728"/>
        <v>-94.17066368317451</v>
      </c>
      <c r="AJ107" s="586">
        <f t="shared" si="729"/>
        <v>-1.1390806933728821</v>
      </c>
      <c r="AK107" s="635">
        <f t="shared" si="730"/>
        <v>-0.91915808244899833</v>
      </c>
      <c r="AL107" s="629">
        <f t="shared" si="731"/>
        <v>0.38711642091013315</v>
      </c>
      <c r="AM107" s="634">
        <f t="shared" si="732"/>
        <v>7.2727547259679781E-2</v>
      </c>
      <c r="AN107" s="581">
        <f t="shared" si="733"/>
        <v>100.64013125358653</v>
      </c>
      <c r="AO107" s="582">
        <f t="shared" si="461"/>
        <v>156.80330804303622</v>
      </c>
      <c r="AP107" s="585">
        <f t="shared" si="734"/>
        <v>157.16091930662714</v>
      </c>
      <c r="AQ107" s="586">
        <f t="shared" si="667"/>
        <v>0.27889073270596376</v>
      </c>
      <c r="AS107" s="52">
        <f t="shared" ref="AS107:AS138" si="737">IF(G107="","",IF(AND(W107&lt;(AS106+180),W107&gt;(AS106-180)),W107,IF(W107&gt;(AS106+180),W107-360,IF(W107&lt;(AS106-180),W107+360,"Error"))))</f>
        <v>-248.3</v>
      </c>
      <c r="AT107" s="73">
        <f t="shared" si="668"/>
        <v>-1.9229694444444445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5.1360000000000001</v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>
        <f t="shared" si="542"/>
        <v>1613</v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>
        <v>-7.8249283361514719</v>
      </c>
      <c r="C108" s="708">
        <v>-3.0523854891041804</v>
      </c>
      <c r="D108" s="709">
        <v>-2.7900000000000005</v>
      </c>
      <c r="E108" s="710">
        <v>0.11108631029381259</v>
      </c>
      <c r="F108" s="708">
        <v>0.99268906475816121</v>
      </c>
      <c r="G108" s="711">
        <v>-4.7204368175774079E-2</v>
      </c>
      <c r="H108" s="710">
        <v>0.314</v>
      </c>
      <c r="I108" s="708">
        <v>0.52</v>
      </c>
      <c r="J108" s="570">
        <v>5.1390000000000002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1613</v>
      </c>
      <c r="L108" s="320"/>
      <c r="M108" s="168">
        <f t="shared" si="660"/>
        <v>5.1390000000000002</v>
      </c>
      <c r="N108" s="632">
        <f t="shared" si="661"/>
        <v>-7.8249283361514719</v>
      </c>
      <c r="O108" s="629">
        <f t="shared" si="662"/>
        <v>-3.0523854891041804</v>
      </c>
      <c r="P108" s="633">
        <f t="shared" si="663"/>
        <v>-2.7900000000000005</v>
      </c>
      <c r="Q108" s="585">
        <f t="shared" si="520"/>
        <v>201.31</v>
      </c>
      <c r="R108" s="629">
        <f t="shared" si="716"/>
        <v>8.3992000000000004</v>
      </c>
      <c r="S108" s="634">
        <f t="shared" si="717"/>
        <v>-2.7900000000000005</v>
      </c>
      <c r="T108" s="635">
        <f t="shared" si="718"/>
        <v>-3.0523854891041808</v>
      </c>
      <c r="U108" s="629">
        <f t="shared" si="719"/>
        <v>7.824928336151471</v>
      </c>
      <c r="V108" s="636">
        <f t="shared" si="720"/>
        <v>-2.7900000000000005</v>
      </c>
      <c r="W108" s="585">
        <f t="shared" si="645"/>
        <v>111.31</v>
      </c>
      <c r="X108" s="629">
        <f t="shared" si="721"/>
        <v>8.3992000000000004</v>
      </c>
      <c r="Y108" s="630">
        <f t="shared" si="644"/>
        <v>-2.7900000000000005</v>
      </c>
      <c r="Z108" s="632">
        <f t="shared" si="664"/>
        <v>-0.11108631029381259</v>
      </c>
      <c r="AA108" s="629">
        <f t="shared" si="665"/>
        <v>-0.99268906475816121</v>
      </c>
      <c r="AB108" s="629">
        <f t="shared" si="666"/>
        <v>4.7204368175774079E-2</v>
      </c>
      <c r="AC108" s="636">
        <f t="shared" si="722"/>
        <v>1</v>
      </c>
      <c r="AD108" s="637">
        <f t="shared" si="723"/>
        <v>-0.11108631029381259</v>
      </c>
      <c r="AE108" s="629">
        <f t="shared" si="724"/>
        <v>-0.99268906475816121</v>
      </c>
      <c r="AF108" s="633">
        <f t="shared" si="725"/>
        <v>4.7204368175774079E-2</v>
      </c>
      <c r="AG108" s="602">
        <f t="shared" si="726"/>
        <v>-92.722479150622107</v>
      </c>
      <c r="AH108" s="603">
        <f t="shared" si="727"/>
        <v>96.377940374720595</v>
      </c>
      <c r="AI108" s="585">
        <f t="shared" si="728"/>
        <v>-92.705616505549983</v>
      </c>
      <c r="AJ108" s="586">
        <f t="shared" si="729"/>
        <v>-6.385087697912506</v>
      </c>
      <c r="AK108" s="635">
        <f t="shared" si="730"/>
        <v>-0.88444644135571004</v>
      </c>
      <c r="AL108" s="629">
        <f t="shared" si="731"/>
        <v>0.46424803715077395</v>
      </c>
      <c r="AM108" s="634">
        <f t="shared" si="732"/>
        <v>4.7204368175774079E-2</v>
      </c>
      <c r="AN108" s="581">
        <f t="shared" si="733"/>
        <v>95.805835600042741</v>
      </c>
      <c r="AO108" s="582">
        <f t="shared" si="461"/>
        <v>152.1834769817514</v>
      </c>
      <c r="AP108" s="585">
        <f t="shared" si="734"/>
        <v>152.30491230208747</v>
      </c>
      <c r="AQ108" s="586">
        <f t="shared" si="667"/>
        <v>0.27141984700680455</v>
      </c>
      <c r="AS108" s="52">
        <f t="shared" si="737"/>
        <v>-248.69</v>
      </c>
      <c r="AT108" s="73">
        <f t="shared" si="668"/>
        <v>-2.6172986111111114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5.1390000000000002</v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>
        <f t="shared" si="542"/>
        <v>1613</v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>
        <v>-7.9829123889401581</v>
      </c>
      <c r="C109" s="708">
        <v>-3.0739483210531895</v>
      </c>
      <c r="D109" s="709">
        <v>-3.4742999999999999</v>
      </c>
      <c r="E109" s="710">
        <v>0.19590709923398728</v>
      </c>
      <c r="F109" s="708">
        <v>0.98060259737309041</v>
      </c>
      <c r="G109" s="711">
        <v>-6.2413536090727964E-3</v>
      </c>
      <c r="H109" s="710">
        <v>0.26600000000000001</v>
      </c>
      <c r="I109" s="708">
        <v>0.52</v>
      </c>
      <c r="J109" s="570">
        <v>5.1420000000000003</v>
      </c>
      <c r="K109" s="865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1313</v>
      </c>
      <c r="L109" s="320"/>
      <c r="M109" s="168">
        <f t="shared" si="660"/>
        <v>5.1420000000000003</v>
      </c>
      <c r="N109" s="632">
        <f t="shared" si="661"/>
        <v>-7.9829123889401581</v>
      </c>
      <c r="O109" s="629">
        <f t="shared" si="662"/>
        <v>-3.0739483210531895</v>
      </c>
      <c r="P109" s="633">
        <f t="shared" si="663"/>
        <v>-3.4742999999999999</v>
      </c>
      <c r="Q109" s="585">
        <f t="shared" si="520"/>
        <v>201.06</v>
      </c>
      <c r="R109" s="629">
        <f t="shared" si="716"/>
        <v>8.5542999999999996</v>
      </c>
      <c r="S109" s="634">
        <f t="shared" si="717"/>
        <v>-3.4742999999999999</v>
      </c>
      <c r="T109" s="635">
        <f t="shared" si="718"/>
        <v>-3.0739483210531899</v>
      </c>
      <c r="U109" s="629">
        <f t="shared" si="719"/>
        <v>7.982912388940159</v>
      </c>
      <c r="V109" s="636">
        <f t="shared" si="720"/>
        <v>-3.4742999999999999</v>
      </c>
      <c r="W109" s="585">
        <f t="shared" si="645"/>
        <v>111.06</v>
      </c>
      <c r="X109" s="629">
        <f t="shared" si="721"/>
        <v>8.5542999999999996</v>
      </c>
      <c r="Y109" s="630">
        <f t="shared" si="644"/>
        <v>-3.4742999999999999</v>
      </c>
      <c r="Z109" s="632">
        <f t="shared" si="664"/>
        <v>-0.19590709923398728</v>
      </c>
      <c r="AA109" s="629">
        <f t="shared" si="665"/>
        <v>-0.98060259737309041</v>
      </c>
      <c r="AB109" s="629">
        <f t="shared" si="666"/>
        <v>6.2413536090727964E-3</v>
      </c>
      <c r="AC109" s="636">
        <f t="shared" si="722"/>
        <v>1</v>
      </c>
      <c r="AD109" s="637">
        <f t="shared" si="723"/>
        <v>-0.19590709923398728</v>
      </c>
      <c r="AE109" s="629">
        <f t="shared" si="724"/>
        <v>-0.98060259737309041</v>
      </c>
      <c r="AF109" s="633">
        <f t="shared" si="725"/>
        <v>6.2413536090727964E-3</v>
      </c>
      <c r="AG109" s="602">
        <f t="shared" si="726"/>
        <v>-90.364672082641377</v>
      </c>
      <c r="AH109" s="603">
        <f t="shared" si="727"/>
        <v>101.29771867034461</v>
      </c>
      <c r="AI109" s="585">
        <f t="shared" si="728"/>
        <v>-90.357605541998112</v>
      </c>
      <c r="AJ109" s="586">
        <f t="shared" si="729"/>
        <v>-11.297941622363579</v>
      </c>
      <c r="AK109" s="635">
        <f t="shared" si="730"/>
        <v>-0.8447045724867992</v>
      </c>
      <c r="AL109" s="629">
        <f t="shared" si="731"/>
        <v>0.53519644124846388</v>
      </c>
      <c r="AM109" s="634">
        <f t="shared" si="732"/>
        <v>6.2413536090727964E-3</v>
      </c>
      <c r="AN109" s="581">
        <f t="shared" si="733"/>
        <v>90.668141607371297</v>
      </c>
      <c r="AO109" s="582">
        <f t="shared" si="461"/>
        <v>147.64029706870997</v>
      </c>
      <c r="AP109" s="585">
        <f t="shared" si="734"/>
        <v>147.64205837763643</v>
      </c>
      <c r="AQ109" s="586">
        <f t="shared" si="667"/>
        <v>0.26649874235745852</v>
      </c>
      <c r="AS109" s="52">
        <f t="shared" si="737"/>
        <v>-248.94</v>
      </c>
      <c r="AT109" s="73">
        <f t="shared" si="668"/>
        <v>-3.3014250000000001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5.1420000000000003</v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>
        <f t="shared" si="542"/>
        <v>1313</v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>
        <v>-7.9850564641481148</v>
      </c>
      <c r="C110" s="708">
        <v>-3.0683744481999575</v>
      </c>
      <c r="D110" s="709">
        <v>-4.1595000000000004</v>
      </c>
      <c r="E110" s="710">
        <v>0.19728243740110007</v>
      </c>
      <c r="F110" s="708">
        <v>0.98033657244644912</v>
      </c>
      <c r="G110" s="711">
        <v>-4.454729736949139E-3</v>
      </c>
      <c r="H110" s="710">
        <v>0.26600000000000001</v>
      </c>
      <c r="I110" s="708">
        <v>0.52</v>
      </c>
      <c r="J110" s="570">
        <v>5.1449999999999996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1313</v>
      </c>
      <c r="L110" s="320"/>
      <c r="M110" s="168">
        <f t="shared" si="660"/>
        <v>5.1449999999999996</v>
      </c>
      <c r="N110" s="632">
        <f t="shared" si="661"/>
        <v>-7.9850564641481148</v>
      </c>
      <c r="O110" s="629">
        <f t="shared" si="662"/>
        <v>-3.0683744481999575</v>
      </c>
      <c r="P110" s="633">
        <f t="shared" si="663"/>
        <v>-4.1595000000000004</v>
      </c>
      <c r="Q110" s="585">
        <f t="shared" si="520"/>
        <v>201.01999999999998</v>
      </c>
      <c r="R110" s="629">
        <f t="shared" si="716"/>
        <v>8.5542999999999996</v>
      </c>
      <c r="S110" s="634">
        <f t="shared" si="717"/>
        <v>-4.1595000000000004</v>
      </c>
      <c r="T110" s="635">
        <f t="shared" si="718"/>
        <v>-3.0683744481999562</v>
      </c>
      <c r="U110" s="629">
        <f t="shared" si="719"/>
        <v>7.9850564641481157</v>
      </c>
      <c r="V110" s="636">
        <f t="shared" si="720"/>
        <v>-4.1595000000000004</v>
      </c>
      <c r="W110" s="585">
        <f t="shared" si="645"/>
        <v>111.01999999999998</v>
      </c>
      <c r="X110" s="629">
        <f t="shared" si="721"/>
        <v>8.5542999999999996</v>
      </c>
      <c r="Y110" s="630">
        <f t="shared" si="644"/>
        <v>-4.1595000000000004</v>
      </c>
      <c r="Z110" s="632">
        <f t="shared" si="664"/>
        <v>-0.19728243740110007</v>
      </c>
      <c r="AA110" s="629">
        <f t="shared" si="665"/>
        <v>-0.98033657244644912</v>
      </c>
      <c r="AB110" s="629">
        <f t="shared" si="666"/>
        <v>4.454729736949139E-3</v>
      </c>
      <c r="AC110" s="636">
        <f t="shared" si="722"/>
        <v>1</v>
      </c>
      <c r="AD110" s="637">
        <f t="shared" si="723"/>
        <v>-0.19728243740110007</v>
      </c>
      <c r="AE110" s="629">
        <f t="shared" si="724"/>
        <v>-0.98033657244644912</v>
      </c>
      <c r="AF110" s="633">
        <f t="shared" si="725"/>
        <v>4.454729736949139E-3</v>
      </c>
      <c r="AG110" s="602">
        <f t="shared" si="726"/>
        <v>-90.260354926280911</v>
      </c>
      <c r="AH110" s="603">
        <f t="shared" si="727"/>
        <v>101.37808817469963</v>
      </c>
      <c r="AI110" s="585">
        <f t="shared" si="728"/>
        <v>-90.25523805698694</v>
      </c>
      <c r="AJ110" s="586">
        <f t="shared" si="729"/>
        <v>-11.37820258118562</v>
      </c>
      <c r="AK110" s="635">
        <f t="shared" si="730"/>
        <v>-0.84433635655216488</v>
      </c>
      <c r="AL110" s="629">
        <f t="shared" si="731"/>
        <v>0.53579499100606254</v>
      </c>
      <c r="AM110" s="634">
        <f t="shared" si="732"/>
        <v>4.454729736949139E-3</v>
      </c>
      <c r="AN110" s="581">
        <f t="shared" si="733"/>
        <v>90.476360055799134</v>
      </c>
      <c r="AO110" s="582">
        <f t="shared" si="461"/>
        <v>147.60090154054191</v>
      </c>
      <c r="AP110" s="585">
        <f t="shared" si="734"/>
        <v>147.60179741881439</v>
      </c>
      <c r="AQ110" s="586">
        <f t="shared" si="667"/>
        <v>0.26649874235745852</v>
      </c>
      <c r="AS110" s="52">
        <f t="shared" si="737"/>
        <v>-248.98000000000002</v>
      </c>
      <c r="AT110" s="73">
        <f t="shared" si="668"/>
        <v>-3.9865972222222226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5.1449999999999996</v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>
        <f t="shared" si="542"/>
        <v>1313</v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>
        <v>-4.2032818803412466</v>
      </c>
      <c r="C111" s="708">
        <v>-0.73820122740864091</v>
      </c>
      <c r="D111" s="709">
        <v>-0.17623378580576415</v>
      </c>
      <c r="E111" s="710">
        <v>3.9230426041563263E-8</v>
      </c>
      <c r="F111" s="708">
        <v>-2.2337613758435225E-7</v>
      </c>
      <c r="G111" s="711">
        <v>0.99999999999997435</v>
      </c>
      <c r="H111" s="710">
        <v>0.26250000000000001</v>
      </c>
      <c r="I111" s="708">
        <v>0.40699999999999997</v>
      </c>
      <c r="J111" s="570">
        <v>5.2169999999999996</v>
      </c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Inactive</v>
      </c>
      <c r="L111" s="320"/>
      <c r="M111" s="168">
        <f t="shared" si="660"/>
        <v>5.2169999999999996</v>
      </c>
      <c r="N111" s="632">
        <f t="shared" si="661"/>
        <v>-4.2032818803412466</v>
      </c>
      <c r="O111" s="629">
        <f t="shared" si="662"/>
        <v>-0.73820122740864091</v>
      </c>
      <c r="P111" s="633">
        <f t="shared" si="663"/>
        <v>-0.17623378580576415</v>
      </c>
      <c r="Q111" s="585">
        <f t="shared" si="520"/>
        <v>189.96098556741936</v>
      </c>
      <c r="R111" s="629">
        <f t="shared" si="716"/>
        <v>4.2676128711204191</v>
      </c>
      <c r="S111" s="634">
        <f t="shared" si="717"/>
        <v>-0.17623378580576415</v>
      </c>
      <c r="T111" s="635">
        <f t="shared" si="718"/>
        <v>-0.7382012274086408</v>
      </c>
      <c r="U111" s="629">
        <f t="shared" si="719"/>
        <v>4.2032818803412457</v>
      </c>
      <c r="V111" s="636">
        <f t="shared" si="720"/>
        <v>-0.17623378580576415</v>
      </c>
      <c r="W111" s="585">
        <f t="shared" si="645"/>
        <v>99.960985567419357</v>
      </c>
      <c r="X111" s="629">
        <f t="shared" si="721"/>
        <v>4.2676128711204191</v>
      </c>
      <c r="Y111" s="630">
        <f t="shared" si="644"/>
        <v>-0.17623378580576415</v>
      </c>
      <c r="Z111" s="632">
        <f t="shared" si="664"/>
        <v>-3.9230426041563263E-8</v>
      </c>
      <c r="AA111" s="629">
        <f t="shared" si="665"/>
        <v>2.2337613758435225E-7</v>
      </c>
      <c r="AB111" s="629">
        <f t="shared" si="666"/>
        <v>-0.99999999999997435</v>
      </c>
      <c r="AC111" s="636">
        <f t="shared" si="722"/>
        <v>1</v>
      </c>
      <c r="AD111" s="637">
        <f t="shared" si="723"/>
        <v>-3.9230426041563263E-8</v>
      </c>
      <c r="AE111" s="629">
        <f t="shared" si="724"/>
        <v>2.2337613758435225E-7</v>
      </c>
      <c r="AF111" s="633">
        <f t="shared" si="725"/>
        <v>-0.99999999999997435</v>
      </c>
      <c r="AG111" s="602">
        <f t="shared" si="726"/>
        <v>1.2798509927517104E-5</v>
      </c>
      <c r="AH111" s="603">
        <f t="shared" si="727"/>
        <v>90.000002247737839</v>
      </c>
      <c r="AI111" s="585">
        <f t="shared" si="728"/>
        <v>-1.2976235990044085E-5</v>
      </c>
      <c r="AJ111" s="586">
        <f t="shared" si="729"/>
        <v>-170.03901443258064</v>
      </c>
      <c r="AK111" s="635">
        <f t="shared" si="730"/>
        <v>2.2679489670075478E-7</v>
      </c>
      <c r="AL111" s="629">
        <f t="shared" si="731"/>
        <v>-6.6174449004242214E-24</v>
      </c>
      <c r="AM111" s="634">
        <f t="shared" si="732"/>
        <v>-0.99999999999997435</v>
      </c>
      <c r="AN111" s="581">
        <f t="shared" si="733"/>
        <v>-3.7915166395468698E-22</v>
      </c>
      <c r="AO111" s="582">
        <f t="shared" si="461"/>
        <v>0</v>
      </c>
      <c r="AP111" s="585">
        <f t="shared" si="734"/>
        <v>-1.6717821673692683E-15</v>
      </c>
      <c r="AQ111" s="586">
        <f t="shared" si="667"/>
        <v>0.53417698566364258</v>
      </c>
      <c r="AS111" s="52">
        <f t="shared" si="737"/>
        <v>-260.03901443258064</v>
      </c>
      <c r="AT111" s="73">
        <f t="shared" si="668"/>
        <v>4.3488631057501947E-3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>Nose</v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5.2169999999999996</v>
      </c>
      <c r="IH111" s="731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3.117</v>
      </c>
      <c r="II111" s="734" cm="1">
        <f t="array" ref="II111">IFERROR(ROUND(VALUE(IF($IH111&lt;1,$IH111+LARGE((IF($M$9:$M$150="",0,$M$9:$M$150)-MOD(IF($M$9:$M$150="",0,$M$9:$M$150),1)),1),$IH111)),4),"")</f>
        <v>3.117</v>
      </c>
      <c r="IJ111" s="533">
        <f t="shared" si="542"/>
        <v>1613</v>
      </c>
      <c r="IK111" s="533" t="str">
        <f t="shared" si="713"/>
        <v>Inactive</v>
      </c>
      <c r="IL111" s="727">
        <f t="shared" si="647"/>
        <v>134.93901443258062</v>
      </c>
      <c r="IM111" s="759">
        <v>5.8274655824944503E-2</v>
      </c>
      <c r="IN111" s="5">
        <f t="shared" si="648"/>
        <v>0.18</v>
      </c>
      <c r="IO111" s="771">
        <v>90</v>
      </c>
      <c r="IP111" s="9">
        <f t="shared" si="649"/>
        <v>-4.2675999999999998</v>
      </c>
      <c r="IQ111" s="5">
        <f t="shared" si="650"/>
        <v>-0.1552</v>
      </c>
      <c r="IR111" s="5">
        <f t="shared" si="714"/>
        <v>0.314</v>
      </c>
      <c r="IS111" s="5">
        <f t="shared" si="651"/>
        <v>-0.30319115918242123</v>
      </c>
      <c r="IT111" s="727">
        <f t="shared" si="652"/>
        <v>-174.06973140637615</v>
      </c>
      <c r="IU111" s="9">
        <f t="shared" si="653"/>
        <v>-4.2676128711204191</v>
      </c>
      <c r="IV111" s="5">
        <f t="shared" si="654"/>
        <v>-0.17623378580576415</v>
      </c>
      <c r="IW111" s="5">
        <f t="shared" si="715"/>
        <v>0.26250000000000001</v>
      </c>
      <c r="IX111" s="5">
        <f t="shared" si="655"/>
        <v>0.26250000000000001</v>
      </c>
      <c r="IY111" s="762">
        <f t="shared" si="656"/>
        <v>3.7915166395468698E-22</v>
      </c>
    </row>
    <row r="112" spans="1:259" ht="15" customHeight="1" x14ac:dyDescent="0.25">
      <c r="A112" s="79"/>
      <c r="B112" s="707">
        <v>-4.9596122873004509</v>
      </c>
      <c r="C112" s="708">
        <v>-0.88477989643945643</v>
      </c>
      <c r="D112" s="709">
        <v>-8.0993715228377963E-2</v>
      </c>
      <c r="E112" s="710">
        <v>3.9830675507840212E-8</v>
      </c>
      <c r="F112" s="708">
        <v>-2.2326988704732167E-7</v>
      </c>
      <c r="G112" s="711">
        <v>0.99999999999997435</v>
      </c>
      <c r="H112" s="710">
        <v>0.26250000000000001</v>
      </c>
      <c r="I112" s="708">
        <v>0.40699999999999997</v>
      </c>
      <c r="J112" s="570">
        <v>5.22</v>
      </c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Inactive</v>
      </c>
      <c r="L112" s="320"/>
      <c r="M112" s="168">
        <f t="shared" si="660"/>
        <v>5.22</v>
      </c>
      <c r="N112" s="632">
        <f t="shared" si="661"/>
        <v>-4.9596122873004509</v>
      </c>
      <c r="O112" s="629">
        <f t="shared" si="662"/>
        <v>-0.88477989643945643</v>
      </c>
      <c r="P112" s="633">
        <f t="shared" si="663"/>
        <v>-8.0993715228377963E-2</v>
      </c>
      <c r="Q112" s="585">
        <f t="shared" si="520"/>
        <v>190.11498554518451</v>
      </c>
      <c r="R112" s="629">
        <f t="shared" si="716"/>
        <v>5.0379151943522258</v>
      </c>
      <c r="S112" s="634">
        <f t="shared" si="717"/>
        <v>-8.0993715228377963E-2</v>
      </c>
      <c r="T112" s="635">
        <f t="shared" si="718"/>
        <v>-0.88477989643945643</v>
      </c>
      <c r="U112" s="629">
        <f t="shared" si="719"/>
        <v>4.9596122873004509</v>
      </c>
      <c r="V112" s="636">
        <f t="shared" si="720"/>
        <v>-8.0993715228377963E-2</v>
      </c>
      <c r="W112" s="585">
        <f t="shared" si="645"/>
        <v>100.11498554518451</v>
      </c>
      <c r="X112" s="629">
        <f t="shared" si="721"/>
        <v>5.0379151943522258</v>
      </c>
      <c r="Y112" s="630">
        <f t="shared" si="644"/>
        <v>-8.0993715228377963E-2</v>
      </c>
      <c r="Z112" s="632">
        <f t="shared" si="664"/>
        <v>-3.9830675507840212E-8</v>
      </c>
      <c r="AA112" s="629">
        <f t="shared" si="665"/>
        <v>2.2326988704732167E-7</v>
      </c>
      <c r="AB112" s="629">
        <f t="shared" si="666"/>
        <v>-0.99999999999997435</v>
      </c>
      <c r="AC112" s="636">
        <f t="shared" si="722"/>
        <v>1</v>
      </c>
      <c r="AD112" s="637">
        <f t="shared" si="723"/>
        <v>-3.9830675507840212E-8</v>
      </c>
      <c r="AE112" s="629">
        <f t="shared" si="724"/>
        <v>2.2326988704732167E-7</v>
      </c>
      <c r="AF112" s="633">
        <f t="shared" si="725"/>
        <v>-0.99999999999997435</v>
      </c>
      <c r="AG112" s="602">
        <f t="shared" si="726"/>
        <v>1.2792422220174253E-5</v>
      </c>
      <c r="AH112" s="603">
        <f t="shared" si="727"/>
        <v>90.0000022821296</v>
      </c>
      <c r="AI112" s="585">
        <f t="shared" si="728"/>
        <v>-1.2976235990044085E-5</v>
      </c>
      <c r="AJ112" s="586">
        <f t="shared" si="729"/>
        <v>-169.88501444877872</v>
      </c>
      <c r="AK112" s="635">
        <f t="shared" si="730"/>
        <v>2.2679489670963637E-7</v>
      </c>
      <c r="AL112" s="629">
        <f t="shared" si="731"/>
        <v>2.3895408246974652E-17</v>
      </c>
      <c r="AM112" s="634">
        <f t="shared" si="732"/>
        <v>-0.99999999999997435</v>
      </c>
      <c r="AN112" s="581">
        <f t="shared" si="733"/>
        <v>1.3691060422937837E-15</v>
      </c>
      <c r="AO112" s="582">
        <f t="shared" si="461"/>
        <v>0</v>
      </c>
      <c r="AP112" s="585">
        <f t="shared" si="734"/>
        <v>6.0367585962333352E-9</v>
      </c>
      <c r="AQ112" s="586">
        <f t="shared" si="667"/>
        <v>0.4525044875886246</v>
      </c>
      <c r="AS112" s="52">
        <f t="shared" si="737"/>
        <v>-259.88501445481552</v>
      </c>
      <c r="AT112" s="73">
        <f t="shared" si="668"/>
        <v>9.9481989254132833E-2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>Nose</v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3"/>
        <v>5.22</v>
      </c>
      <c r="IH112" s="731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3.12</v>
      </c>
      <c r="II112" s="734" cm="1">
        <f t="array" ref="II112">IFERROR(ROUND(VALUE(IF($IH112&lt;1,$IH112+LARGE((IF($M$9:$M$150="",0,$M$9:$M$150)-MOD(IF($M$9:$M$150="",0,$M$9:$M$150),1)),1),$IH112)),4),"")</f>
        <v>3.12</v>
      </c>
      <c r="IJ112" s="533">
        <f t="shared" si="542"/>
        <v>1613</v>
      </c>
      <c r="IK112" s="533" t="str">
        <f t="shared" si="713"/>
        <v>Inactive</v>
      </c>
      <c r="IL112" s="727">
        <f t="shared" si="647"/>
        <v>134.40501445481547</v>
      </c>
      <c r="IM112" s="759">
        <v>5.6634669721999001E-2</v>
      </c>
      <c r="IN112" s="5">
        <f t="shared" si="648"/>
        <v>0.18</v>
      </c>
      <c r="IO112" s="771">
        <v>90</v>
      </c>
      <c r="IP112" s="9">
        <f t="shared" si="649"/>
        <v>-5.0378999999999996</v>
      </c>
      <c r="IQ112" s="5">
        <f t="shared" si="650"/>
        <v>-0.06</v>
      </c>
      <c r="IR112" s="5">
        <f t="shared" si="714"/>
        <v>0.314</v>
      </c>
      <c r="IS112" s="5">
        <f t="shared" si="651"/>
        <v>-0.30270884409817184</v>
      </c>
      <c r="IT112" s="727">
        <f t="shared" si="652"/>
        <v>-166.41060133741126</v>
      </c>
      <c r="IU112" s="9">
        <f t="shared" si="653"/>
        <v>-5.0379151943522258</v>
      </c>
      <c r="IV112" s="5">
        <f t="shared" si="654"/>
        <v>-8.0993715228377963E-2</v>
      </c>
      <c r="IW112" s="5">
        <f t="shared" si="715"/>
        <v>0.26250000000000001</v>
      </c>
      <c r="IX112" s="5">
        <f t="shared" si="655"/>
        <v>0.26250000000000001</v>
      </c>
      <c r="IY112" s="762">
        <f t="shared" si="656"/>
        <v>-1.3691060422937837E-15</v>
      </c>
    </row>
    <row r="113" spans="1:259" ht="15" customHeight="1" x14ac:dyDescent="0.25">
      <c r="A113" s="79"/>
      <c r="B113" s="707">
        <v>-5.6963878693509358</v>
      </c>
      <c r="C113" s="708">
        <v>-0.97462089224134618</v>
      </c>
      <c r="D113" s="709">
        <v>-0.16006189538107432</v>
      </c>
      <c r="E113" s="710">
        <v>-0.15079456535928151</v>
      </c>
      <c r="F113" s="708">
        <v>-2.5800357681216954E-2</v>
      </c>
      <c r="G113" s="711">
        <v>0.98822838483906483</v>
      </c>
      <c r="H113" s="710">
        <v>0.26250000000000001</v>
      </c>
      <c r="I113" s="708">
        <v>0.40699999999999997</v>
      </c>
      <c r="J113" s="570">
        <v>5.2229999999999999</v>
      </c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>Inactive</v>
      </c>
      <c r="L113" s="320"/>
      <c r="M113" s="168">
        <f t="shared" si="660"/>
        <v>5.2229999999999999</v>
      </c>
      <c r="N113" s="632">
        <f t="shared" si="661"/>
        <v>-5.6963878693509358</v>
      </c>
      <c r="O113" s="629">
        <f t="shared" si="662"/>
        <v>-0.97462089224134618</v>
      </c>
      <c r="P113" s="633">
        <f t="shared" si="663"/>
        <v>-0.16006189538107432</v>
      </c>
      <c r="Q113" s="585">
        <f t="shared" si="520"/>
        <v>189.70898560380363</v>
      </c>
      <c r="R113" s="629">
        <f t="shared" si="716"/>
        <v>5.7791626246093655</v>
      </c>
      <c r="S113" s="634">
        <f t="shared" si="717"/>
        <v>-0.16006189538107432</v>
      </c>
      <c r="T113" s="635">
        <f t="shared" si="718"/>
        <v>-0.97462089224134352</v>
      </c>
      <c r="U113" s="629">
        <f t="shared" si="719"/>
        <v>5.6963878693509358</v>
      </c>
      <c r="V113" s="636">
        <f t="shared" si="720"/>
        <v>-0.16006189538107432</v>
      </c>
      <c r="W113" s="585">
        <f t="shared" si="645"/>
        <v>99.708985603803626</v>
      </c>
      <c r="X113" s="629">
        <f t="shared" si="721"/>
        <v>5.7791626246093655</v>
      </c>
      <c r="Y113" s="630">
        <f t="shared" si="644"/>
        <v>-0.16006189538107432</v>
      </c>
      <c r="Z113" s="632">
        <f t="shared" si="664"/>
        <v>0.15079456535928151</v>
      </c>
      <c r="AA113" s="629">
        <f t="shared" si="665"/>
        <v>2.5800357681216954E-2</v>
      </c>
      <c r="AB113" s="629">
        <f t="shared" si="666"/>
        <v>-0.98822838483906483</v>
      </c>
      <c r="AC113" s="636">
        <f t="shared" si="722"/>
        <v>1</v>
      </c>
      <c r="AD113" s="637">
        <f t="shared" si="723"/>
        <v>0.15079456535928151</v>
      </c>
      <c r="AE113" s="629">
        <f t="shared" si="724"/>
        <v>2.5800357681216954E-2</v>
      </c>
      <c r="AF113" s="633">
        <f t="shared" si="725"/>
        <v>-0.98822838483906483</v>
      </c>
      <c r="AG113" s="602">
        <f t="shared" si="726"/>
        <v>1.4955205706235219</v>
      </c>
      <c r="AH113" s="603">
        <f t="shared" si="727"/>
        <v>81.327024420263939</v>
      </c>
      <c r="AI113" s="585">
        <f t="shared" si="728"/>
        <v>-8.7999987294468625</v>
      </c>
      <c r="AJ113" s="586">
        <f t="shared" si="729"/>
        <v>99.709070542335041</v>
      </c>
      <c r="AK113" s="635">
        <f t="shared" si="730"/>
        <v>2.2679489678281706E-7</v>
      </c>
      <c r="AL113" s="629">
        <f t="shared" si="731"/>
        <v>-0.15298581436957454</v>
      </c>
      <c r="AM113" s="634">
        <f t="shared" si="732"/>
        <v>-0.98822838483906483</v>
      </c>
      <c r="AN113" s="581">
        <f t="shared" si="733"/>
        <v>-8.7999987294373785</v>
      </c>
      <c r="AO113" s="582">
        <f t="shared" si="461"/>
        <v>0</v>
      </c>
      <c r="AP113" s="585">
        <f t="shared" si="734"/>
        <v>-89.99991506146857</v>
      </c>
      <c r="AQ113" s="586">
        <f t="shared" si="667"/>
        <v>0.39446728883946569</v>
      </c>
      <c r="AS113" s="52">
        <f t="shared" si="737"/>
        <v>-260.29101439619637</v>
      </c>
      <c r="AT113" s="73">
        <f t="shared" si="668"/>
        <v>2.0695753505173164E-2</v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>Nose</v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>
        <f t="shared" si="643"/>
        <v>5.2229999999999999</v>
      </c>
      <c r="IH113" s="731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3.1230000000000002</v>
      </c>
      <c r="II113" s="734" cm="1">
        <f t="array" ref="II113">IFERROR(ROUND(VALUE(IF($IH113&lt;1,$IH113+LARGE((IF($M$9:$M$150="",0,$M$9:$M$150)-MOD(IF($M$9:$M$150="",0,$M$9:$M$150),1)),1),$IH113)),4),"")</f>
        <v>3.1230000000000002</v>
      </c>
      <c r="IJ113" s="533">
        <f t="shared" si="542"/>
        <v>1613</v>
      </c>
      <c r="IK113" s="533" t="str">
        <f t="shared" si="713"/>
        <v>Inactive</v>
      </c>
      <c r="IL113" s="727">
        <f t="shared" si="647"/>
        <v>134.28101439619638</v>
      </c>
      <c r="IM113" s="759">
        <v>6.0698803229113002E-2</v>
      </c>
      <c r="IN113" s="5">
        <f t="shared" si="648"/>
        <v>0.18</v>
      </c>
      <c r="IO113" s="771">
        <v>90</v>
      </c>
      <c r="IP113" s="9">
        <f t="shared" si="649"/>
        <v>-5.7885</v>
      </c>
      <c r="IQ113" s="5">
        <f t="shared" si="650"/>
        <v>-0.13879999999999995</v>
      </c>
      <c r="IR113" s="5">
        <f t="shared" si="714"/>
        <v>0.314</v>
      </c>
      <c r="IS113" s="5">
        <f t="shared" si="651"/>
        <v>-0.30186863203867037</v>
      </c>
      <c r="IT113" s="727">
        <f t="shared" si="652"/>
        <v>-150.55373907357293</v>
      </c>
      <c r="IU113" s="9">
        <f t="shared" si="653"/>
        <v>-5.7791626246093655</v>
      </c>
      <c r="IV113" s="5">
        <f t="shared" si="654"/>
        <v>-0.16006189538107432</v>
      </c>
      <c r="IW113" s="5">
        <f t="shared" si="715"/>
        <v>0.26250000000000001</v>
      </c>
      <c r="IX113" s="5">
        <f t="shared" si="655"/>
        <v>0.26250000000000001</v>
      </c>
      <c r="IY113" s="762">
        <f t="shared" si="656"/>
        <v>8.7999987294373785</v>
      </c>
    </row>
    <row r="114" spans="1:259" ht="15" customHeight="1" x14ac:dyDescent="0.25">
      <c r="A114" s="79"/>
      <c r="B114" s="707">
        <v>-6.3573792142050145</v>
      </c>
      <c r="C114" s="708">
        <v>-1.3379700499908502</v>
      </c>
      <c r="D114" s="709">
        <v>-0.38827986627039207</v>
      </c>
      <c r="E114" s="710">
        <v>-9.1348375327036796E-2</v>
      </c>
      <c r="F114" s="708">
        <v>-0.89677347232020166</v>
      </c>
      <c r="G114" s="711">
        <v>0.43295821238068621</v>
      </c>
      <c r="H114" s="710">
        <v>0.26600000000000001</v>
      </c>
      <c r="I114" s="708">
        <v>0.52</v>
      </c>
      <c r="J114" s="570">
        <v>5.226</v>
      </c>
      <c r="K114" s="865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>1313</v>
      </c>
      <c r="L114" s="320"/>
      <c r="M114" s="168">
        <f t="shared" si="660"/>
        <v>5.226</v>
      </c>
      <c r="N114" s="632">
        <f t="shared" si="661"/>
        <v>-6.3573792142050145</v>
      </c>
      <c r="O114" s="629">
        <f t="shared" si="662"/>
        <v>-1.3379700499908502</v>
      </c>
      <c r="P114" s="633">
        <f t="shared" si="663"/>
        <v>-0.38827986627039207</v>
      </c>
      <c r="Q114" s="585">
        <f t="shared" si="520"/>
        <v>191.88498528962816</v>
      </c>
      <c r="R114" s="629">
        <f t="shared" si="716"/>
        <v>6.4966479301158451</v>
      </c>
      <c r="S114" s="634">
        <f t="shared" si="717"/>
        <v>-0.38827986627039207</v>
      </c>
      <c r="T114" s="635">
        <f t="shared" si="718"/>
        <v>-1.3379700499908509</v>
      </c>
      <c r="U114" s="629">
        <f t="shared" si="719"/>
        <v>6.3573792142050154</v>
      </c>
      <c r="V114" s="636">
        <f t="shared" si="720"/>
        <v>-0.38827986627039207</v>
      </c>
      <c r="W114" s="585">
        <f t="shared" si="645"/>
        <v>101.88498528962816</v>
      </c>
      <c r="X114" s="629">
        <f t="shared" si="721"/>
        <v>6.4966479301158451</v>
      </c>
      <c r="Y114" s="630">
        <f t="shared" si="644"/>
        <v>-0.38827986627039207</v>
      </c>
      <c r="Z114" s="632">
        <f t="shared" si="664"/>
        <v>9.1348375327036796E-2</v>
      </c>
      <c r="AA114" s="629">
        <f t="shared" si="665"/>
        <v>0.89677347232020166</v>
      </c>
      <c r="AB114" s="629">
        <f t="shared" si="666"/>
        <v>-0.43295821238068621</v>
      </c>
      <c r="AC114" s="636">
        <f t="shared" si="722"/>
        <v>1</v>
      </c>
      <c r="AD114" s="637">
        <f t="shared" si="723"/>
        <v>9.1348375327036796E-2</v>
      </c>
      <c r="AE114" s="629">
        <f t="shared" si="724"/>
        <v>0.89677347232020166</v>
      </c>
      <c r="AF114" s="633">
        <f t="shared" si="725"/>
        <v>-0.43295821238068621</v>
      </c>
      <c r="AG114" s="602">
        <f t="shared" si="726"/>
        <v>64.228957949051065</v>
      </c>
      <c r="AH114" s="603">
        <f t="shared" si="727"/>
        <v>84.758817122838906</v>
      </c>
      <c r="AI114" s="585">
        <f t="shared" si="728"/>
        <v>-64.344557245604648</v>
      </c>
      <c r="AJ114" s="586">
        <f t="shared" si="729"/>
        <v>174.18371984355753</v>
      </c>
      <c r="AK114" s="635">
        <f t="shared" si="730"/>
        <v>0.85873633641349678</v>
      </c>
      <c r="AL114" s="629">
        <f t="shared" si="731"/>
        <v>-0.27407862166766372</v>
      </c>
      <c r="AM114" s="634">
        <f t="shared" si="732"/>
        <v>-0.43295821238068621</v>
      </c>
      <c r="AN114" s="581">
        <f t="shared" si="733"/>
        <v>-32.335328967604852</v>
      </c>
      <c r="AO114" s="582">
        <f t="shared" si="461"/>
        <v>30.825006475156435</v>
      </c>
      <c r="AP114" s="585">
        <f t="shared" si="734"/>
        <v>-17.701265446070632</v>
      </c>
      <c r="AQ114" s="586">
        <f t="shared" si="667"/>
        <v>0.3509037511794123</v>
      </c>
      <c r="AS114" s="52">
        <f t="shared" si="737"/>
        <v>-258.11501471037184</v>
      </c>
      <c r="AT114" s="73">
        <f t="shared" si="668"/>
        <v>-0.2090333282770783</v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>Nose</v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>
        <f t="shared" si="643"/>
        <v>5.226</v>
      </c>
      <c r="IH114" s="731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3.1259999999999999</v>
      </c>
      <c r="II114" s="734" cm="1">
        <f t="array" ref="II114">IFERROR(ROUND(VALUE(IF($IH114&lt;1,$IH114+LARGE((IF($M$9:$M$150="",0,$M$9:$M$150)-MOD(IF($M$9:$M$150="",0,$M$9:$M$150),1)),1),$IH114)),4),"")</f>
        <v>3.1259999999999999</v>
      </c>
      <c r="IJ114" s="533">
        <f t="shared" si="542"/>
        <v>1613</v>
      </c>
      <c r="IK114" s="533">
        <f t="shared" si="713"/>
        <v>1313</v>
      </c>
      <c r="IL114" s="727">
        <f t="shared" si="647"/>
        <v>131.50501471037182</v>
      </c>
      <c r="IM114" s="759">
        <v>4.3845868193375902E-2</v>
      </c>
      <c r="IN114" s="5">
        <f t="shared" si="648"/>
        <v>0.22</v>
      </c>
      <c r="IO114" s="771">
        <v>110</v>
      </c>
      <c r="IP114" s="9">
        <f t="shared" si="649"/>
        <v>-6.4897000000000009</v>
      </c>
      <c r="IQ114" s="5">
        <f t="shared" si="650"/>
        <v>-0.37560000000000004</v>
      </c>
      <c r="IR114" s="5">
        <f t="shared" si="714"/>
        <v>0.314</v>
      </c>
      <c r="IS114" s="5">
        <f t="shared" si="651"/>
        <v>-0.30074722212769245</v>
      </c>
      <c r="IT114" s="727">
        <f t="shared" si="652"/>
        <v>-135.52674606938086</v>
      </c>
      <c r="IU114" s="9">
        <f t="shared" si="653"/>
        <v>-6.4966479301158451</v>
      </c>
      <c r="IV114" s="5">
        <f t="shared" si="654"/>
        <v>-0.38827986627039207</v>
      </c>
      <c r="IW114" s="5">
        <f t="shared" si="715"/>
        <v>0.26600000000000001</v>
      </c>
      <c r="IX114" s="5">
        <f t="shared" si="655"/>
        <v>0.22842386548599017</v>
      </c>
      <c r="IY114" s="762">
        <f t="shared" si="656"/>
        <v>32.335328967604852</v>
      </c>
    </row>
    <row r="115" spans="1:259" ht="15" customHeight="1" x14ac:dyDescent="0.25">
      <c r="A115" s="79"/>
      <c r="B115" s="707">
        <v>-6.9899232078758216</v>
      </c>
      <c r="C115" s="708">
        <v>-1.4167789103228792</v>
      </c>
      <c r="D115" s="709">
        <v>-0.77274244279331428</v>
      </c>
      <c r="E115" s="710">
        <v>-0.18637769535983073</v>
      </c>
      <c r="F115" s="708">
        <v>-0.91023218102060965</v>
      </c>
      <c r="G115" s="711">
        <v>0.3697847094010544</v>
      </c>
      <c r="H115" s="710">
        <v>0.26600000000000001</v>
      </c>
      <c r="I115" s="708">
        <v>0.52</v>
      </c>
      <c r="J115" s="570">
        <v>5.2290000000000001</v>
      </c>
      <c r="K115" s="865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>1313</v>
      </c>
      <c r="L115" s="320"/>
      <c r="M115" s="168">
        <f t="shared" si="660"/>
        <v>5.2290000000000001</v>
      </c>
      <c r="N115" s="632">
        <f t="shared" si="661"/>
        <v>-6.9899232078758216</v>
      </c>
      <c r="O115" s="629">
        <f t="shared" si="662"/>
        <v>-1.4167789103228792</v>
      </c>
      <c r="P115" s="633">
        <f t="shared" si="663"/>
        <v>-0.77274244279331428</v>
      </c>
      <c r="Q115" s="585">
        <f t="shared" si="520"/>
        <v>191.45798535127935</v>
      </c>
      <c r="R115" s="629">
        <f t="shared" si="716"/>
        <v>7.132060637202736</v>
      </c>
      <c r="S115" s="634">
        <f t="shared" si="717"/>
        <v>-0.77274244279331428</v>
      </c>
      <c r="T115" s="635">
        <f t="shared" si="718"/>
        <v>-1.4167789103228814</v>
      </c>
      <c r="U115" s="629">
        <f t="shared" si="719"/>
        <v>6.9899232078758216</v>
      </c>
      <c r="V115" s="636">
        <f t="shared" si="720"/>
        <v>-0.77274244279331428</v>
      </c>
      <c r="W115" s="585">
        <f t="shared" si="645"/>
        <v>101.45798535127935</v>
      </c>
      <c r="X115" s="629">
        <f t="shared" si="721"/>
        <v>7.132060637202736</v>
      </c>
      <c r="Y115" s="630">
        <f t="shared" si="644"/>
        <v>-0.77274244279331428</v>
      </c>
      <c r="Z115" s="632">
        <f t="shared" si="664"/>
        <v>0.18637769535983073</v>
      </c>
      <c r="AA115" s="629">
        <f t="shared" si="665"/>
        <v>0.91023218102060965</v>
      </c>
      <c r="AB115" s="629">
        <f t="shared" si="666"/>
        <v>-0.3697847094010544</v>
      </c>
      <c r="AC115" s="636">
        <f t="shared" si="722"/>
        <v>1</v>
      </c>
      <c r="AD115" s="637">
        <f t="shared" si="723"/>
        <v>0.18637769535983073</v>
      </c>
      <c r="AE115" s="629">
        <f t="shared" si="724"/>
        <v>0.91023218102060965</v>
      </c>
      <c r="AF115" s="633">
        <f t="shared" si="725"/>
        <v>-0.3697847094010544</v>
      </c>
      <c r="AG115" s="602">
        <f t="shared" si="726"/>
        <v>67.890395735125537</v>
      </c>
      <c r="AH115" s="603">
        <f t="shared" si="727"/>
        <v>79.258534357610046</v>
      </c>
      <c r="AI115" s="585">
        <f t="shared" si="728"/>
        <v>-68.29765962957903</v>
      </c>
      <c r="AJ115" s="586">
        <f t="shared" si="729"/>
        <v>168.42815816543003</v>
      </c>
      <c r="AK115" s="635">
        <f t="shared" si="730"/>
        <v>0.85506803275341259</v>
      </c>
      <c r="AL115" s="629">
        <f t="shared" si="731"/>
        <v>-0.36348029940615312</v>
      </c>
      <c r="AM115" s="634">
        <f t="shared" si="732"/>
        <v>-0.3697847094010544</v>
      </c>
      <c r="AN115" s="581">
        <f t="shared" si="733"/>
        <v>-44.507398852233408</v>
      </c>
      <c r="AO115" s="582">
        <f t="shared" si="461"/>
        <v>31.232748438752346</v>
      </c>
      <c r="AP115" s="585">
        <f t="shared" si="734"/>
        <v>-23.029827185849314</v>
      </c>
      <c r="AQ115" s="586">
        <f t="shared" si="667"/>
        <v>0.31964155904408703</v>
      </c>
      <c r="AS115" s="52">
        <f t="shared" si="737"/>
        <v>-258.54201464872062</v>
      </c>
      <c r="AT115" s="73">
        <f t="shared" si="668"/>
        <v>-0.59319937706503612</v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>Taper</v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>
        <f t="shared" si="643"/>
        <v>5.2290000000000001</v>
      </c>
      <c r="IH115" s="731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3.129</v>
      </c>
      <c r="II115" s="734" cm="1">
        <f t="array" ref="II115">IFERROR(ROUND(VALUE(IF($IH115&lt;1,$IH115+LARGE((IF($M$9:$M$150="",0,$M$9:$M$150)-MOD(IF($M$9:$M$150="",0,$M$9:$M$150),1)),1),$IH115)),4),"")</f>
        <v>3.129</v>
      </c>
      <c r="IJ115" s="533">
        <f t="shared" si="542"/>
        <v>1613</v>
      </c>
      <c r="IK115" s="533">
        <f t="shared" si="713"/>
        <v>1313</v>
      </c>
      <c r="IL115" s="727">
        <f t="shared" si="647"/>
        <v>131.34201464872061</v>
      </c>
      <c r="IM115" s="759">
        <v>3.7174308664265299E-2</v>
      </c>
      <c r="IN115" s="5">
        <f t="shared" si="648"/>
        <v>0.22</v>
      </c>
      <c r="IO115" s="771">
        <v>110</v>
      </c>
      <c r="IP115" s="9">
        <f t="shared" si="649"/>
        <v>-7.1218000000000012</v>
      </c>
      <c r="IQ115" s="5">
        <f t="shared" si="650"/>
        <v>-0.75860000000000005</v>
      </c>
      <c r="IR115" s="5">
        <f t="shared" si="714"/>
        <v>0.314</v>
      </c>
      <c r="IS115" s="5">
        <f t="shared" si="651"/>
        <v>-0.29946654536950273</v>
      </c>
      <c r="IT115" s="727">
        <f t="shared" si="652"/>
        <v>-121.49080920136009</v>
      </c>
      <c r="IU115" s="9">
        <f t="shared" si="653"/>
        <v>-7.132060637202736</v>
      </c>
      <c r="IV115" s="5">
        <f t="shared" si="654"/>
        <v>-0.77274244279331428</v>
      </c>
      <c r="IW115" s="5">
        <f t="shared" si="715"/>
        <v>0.26600000000000001</v>
      </c>
      <c r="IX115" s="5">
        <f t="shared" si="655"/>
        <v>0.22744809671240776</v>
      </c>
      <c r="IY115" s="762">
        <f t="shared" si="656"/>
        <v>44.507398852233408</v>
      </c>
    </row>
    <row r="116" spans="1:259" ht="15" customHeight="1" x14ac:dyDescent="0.25">
      <c r="A116" s="79"/>
      <c r="B116" s="707">
        <v>-7.5258655658539109</v>
      </c>
      <c r="C116" s="708">
        <v>-1.467922340488736</v>
      </c>
      <c r="D116" s="709">
        <v>-1.2842819591248975</v>
      </c>
      <c r="E116" s="710">
        <v>-0.26393707204261924</v>
      </c>
      <c r="F116" s="708">
        <v>-0.9189193329537102</v>
      </c>
      <c r="G116" s="711">
        <v>0.29312877976322549</v>
      </c>
      <c r="H116" s="710">
        <v>0.26600000000000001</v>
      </c>
      <c r="I116" s="708">
        <v>0.52</v>
      </c>
      <c r="J116" s="570">
        <v>5.2320000000000002</v>
      </c>
      <c r="K116" s="865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>1313</v>
      </c>
      <c r="L116" s="320"/>
      <c r="M116" s="168">
        <f t="shared" si="660"/>
        <v>5.2320000000000002</v>
      </c>
      <c r="N116" s="632">
        <f t="shared" si="661"/>
        <v>-7.5258655658539109</v>
      </c>
      <c r="O116" s="629">
        <f t="shared" si="662"/>
        <v>-1.467922340488736</v>
      </c>
      <c r="P116" s="633">
        <f t="shared" si="663"/>
        <v>-1.2842819591248975</v>
      </c>
      <c r="Q116" s="585">
        <f t="shared" si="520"/>
        <v>191.03698541206421</v>
      </c>
      <c r="R116" s="629">
        <f t="shared" si="716"/>
        <v>7.6676886030283953</v>
      </c>
      <c r="S116" s="634">
        <f t="shared" si="717"/>
        <v>-1.2842819591248975</v>
      </c>
      <c r="T116" s="635">
        <f t="shared" si="718"/>
        <v>-1.467922340488738</v>
      </c>
      <c r="U116" s="629">
        <f t="shared" si="719"/>
        <v>7.5258655658539118</v>
      </c>
      <c r="V116" s="636">
        <f t="shared" si="720"/>
        <v>-1.2842819591248975</v>
      </c>
      <c r="W116" s="585">
        <f t="shared" si="645"/>
        <v>101.03698541206421</v>
      </c>
      <c r="X116" s="629">
        <f t="shared" si="721"/>
        <v>7.6676886030283953</v>
      </c>
      <c r="Y116" s="630">
        <f t="shared" si="644"/>
        <v>-1.2842819591248975</v>
      </c>
      <c r="Z116" s="632">
        <f t="shared" si="664"/>
        <v>0.26393707204261924</v>
      </c>
      <c r="AA116" s="629">
        <f t="shared" si="665"/>
        <v>0.9189193329537102</v>
      </c>
      <c r="AB116" s="629">
        <f t="shared" si="666"/>
        <v>-0.29312877976322549</v>
      </c>
      <c r="AC116" s="636">
        <f t="shared" si="722"/>
        <v>1</v>
      </c>
      <c r="AD116" s="637">
        <f t="shared" si="723"/>
        <v>0.26393707204261924</v>
      </c>
      <c r="AE116" s="629">
        <f t="shared" si="724"/>
        <v>0.9189193329537102</v>
      </c>
      <c r="AF116" s="633">
        <f t="shared" si="725"/>
        <v>-0.29312877976322549</v>
      </c>
      <c r="AG116" s="602">
        <f t="shared" si="726"/>
        <v>72.307684267765893</v>
      </c>
      <c r="AH116" s="603">
        <f t="shared" si="727"/>
        <v>74.69619698313592</v>
      </c>
      <c r="AI116" s="585">
        <f t="shared" si="728"/>
        <v>-72.954635319367227</v>
      </c>
      <c r="AJ116" s="586">
        <f t="shared" si="729"/>
        <v>163.97458428774181</v>
      </c>
      <c r="AK116" s="635">
        <f t="shared" si="730"/>
        <v>0.85139402225605099</v>
      </c>
      <c r="AL116" s="629">
        <f t="shared" si="731"/>
        <v>-0.43497555947568523</v>
      </c>
      <c r="AM116" s="634">
        <f t="shared" si="732"/>
        <v>-0.29312877976322549</v>
      </c>
      <c r="AN116" s="581">
        <f t="shared" si="733"/>
        <v>-56.024083106150044</v>
      </c>
      <c r="AO116" s="582">
        <f t="shared" si="461"/>
        <v>31.636383818413336</v>
      </c>
      <c r="AP116" s="585">
        <f t="shared" si="734"/>
        <v>-27.062401124322434</v>
      </c>
      <c r="AQ116" s="586">
        <f t="shared" si="667"/>
        <v>0.29731334800912579</v>
      </c>
      <c r="AS116" s="52">
        <f t="shared" si="737"/>
        <v>-258.96301458793579</v>
      </c>
      <c r="AT116" s="73">
        <f t="shared" si="668"/>
        <v>-1.1044465323277199</v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>Taper</v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>
        <f t="shared" si="643"/>
        <v>5.2320000000000002</v>
      </c>
      <c r="IH116" s="731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3.1320000000000001</v>
      </c>
      <c r="II116" s="734" cm="1">
        <f t="array" ref="II116">IFERROR(ROUND(VALUE(IF($IH116&lt;1,$IH116+LARGE((IF($M$9:$M$150="",0,$M$9:$M$150)-MOD(IF($M$9:$M$150="",0,$M$9:$M$150),1)),1),$IH116)),4),"")</f>
        <v>3.1320000000000001</v>
      </c>
      <c r="IJ116" s="533">
        <f t="shared" si="542"/>
        <v>1613</v>
      </c>
      <c r="IK116" s="533">
        <f t="shared" si="713"/>
        <v>1313</v>
      </c>
      <c r="IL116" s="727">
        <f t="shared" si="647"/>
        <v>131.22301458793578</v>
      </c>
      <c r="IM116" s="759">
        <v>3.1049638132341899E-2</v>
      </c>
      <c r="IN116" s="5">
        <f t="shared" si="648"/>
        <v>0.22</v>
      </c>
      <c r="IO116" s="771">
        <v>110</v>
      </c>
      <c r="IP116" s="9">
        <f t="shared" si="649"/>
        <v>-7.6543999999999999</v>
      </c>
      <c r="IQ116" s="5">
        <f t="shared" si="650"/>
        <v>-1.2681999999999998</v>
      </c>
      <c r="IR116" s="5">
        <f t="shared" si="714"/>
        <v>0.314</v>
      </c>
      <c r="IS116" s="5">
        <f t="shared" si="651"/>
        <v>-0.29817356342819895</v>
      </c>
      <c r="IT116" s="727">
        <f t="shared" si="652"/>
        <v>-108.66184415334409</v>
      </c>
      <c r="IU116" s="9">
        <f t="shared" si="653"/>
        <v>-7.6676886030283953</v>
      </c>
      <c r="IV116" s="5">
        <f t="shared" si="654"/>
        <v>-1.2842819591248975</v>
      </c>
      <c r="IW116" s="5">
        <f t="shared" si="715"/>
        <v>0.26600000000000001</v>
      </c>
      <c r="IX116" s="5">
        <f t="shared" si="655"/>
        <v>0.22647080992010957</v>
      </c>
      <c r="IY116" s="762">
        <f t="shared" si="656"/>
        <v>56.024083106150044</v>
      </c>
    </row>
    <row r="117" spans="1:259" ht="15" customHeight="1" x14ac:dyDescent="0.25">
      <c r="A117" s="79"/>
      <c r="B117" s="707">
        <v>-7.9667057092249562</v>
      </c>
      <c r="C117" s="708">
        <v>-0.92840057893506456</v>
      </c>
      <c r="D117" s="709">
        <v>-1.9064142633177332</v>
      </c>
      <c r="E117" s="710">
        <v>-0.90021565067510878</v>
      </c>
      <c r="F117" s="708">
        <v>-0.10490691896913547</v>
      </c>
      <c r="G117" s="711">
        <v>0.42261841019055701</v>
      </c>
      <c r="H117" s="710">
        <v>0.26250000000000001</v>
      </c>
      <c r="I117" s="708">
        <v>0.40699999999999997</v>
      </c>
      <c r="J117" s="570">
        <v>5.2350000000000003</v>
      </c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>Inactive</v>
      </c>
      <c r="L117" s="320"/>
      <c r="M117" s="168">
        <f t="shared" si="660"/>
        <v>5.2350000000000003</v>
      </c>
      <c r="N117" s="632">
        <f t="shared" si="661"/>
        <v>-7.9667057092249562</v>
      </c>
      <c r="O117" s="629">
        <f t="shared" si="662"/>
        <v>-0.92840057893506456</v>
      </c>
      <c r="P117" s="633">
        <f t="shared" si="663"/>
        <v>-1.9064142633177332</v>
      </c>
      <c r="Q117" s="585">
        <f t="shared" si="520"/>
        <v>186.64698604590168</v>
      </c>
      <c r="R117" s="629">
        <f t="shared" si="716"/>
        <v>8.0206188970904524</v>
      </c>
      <c r="S117" s="634">
        <f t="shared" si="717"/>
        <v>-1.9064142633177332</v>
      </c>
      <c r="T117" s="635">
        <f t="shared" si="718"/>
        <v>-0.92840057893506422</v>
      </c>
      <c r="U117" s="629">
        <f t="shared" si="719"/>
        <v>7.9667057092249554</v>
      </c>
      <c r="V117" s="636">
        <f t="shared" si="720"/>
        <v>-1.9064142633177332</v>
      </c>
      <c r="W117" s="585">
        <f t="shared" si="645"/>
        <v>96.646986045901684</v>
      </c>
      <c r="X117" s="629">
        <f t="shared" si="721"/>
        <v>8.0206188970904524</v>
      </c>
      <c r="Y117" s="630">
        <f t="shared" si="644"/>
        <v>-1.9064142633177332</v>
      </c>
      <c r="Z117" s="632">
        <f t="shared" si="664"/>
        <v>0.90021565067510878</v>
      </c>
      <c r="AA117" s="629">
        <f t="shared" si="665"/>
        <v>0.10490691896913547</v>
      </c>
      <c r="AB117" s="629">
        <f t="shared" si="666"/>
        <v>-0.42261841019055701</v>
      </c>
      <c r="AC117" s="636">
        <f t="shared" si="722"/>
        <v>1</v>
      </c>
      <c r="AD117" s="637">
        <f t="shared" si="723"/>
        <v>0.90021565067510878</v>
      </c>
      <c r="AE117" s="629">
        <f t="shared" si="724"/>
        <v>0.10490691896913547</v>
      </c>
      <c r="AF117" s="633">
        <f t="shared" si="725"/>
        <v>-0.42261841019055701</v>
      </c>
      <c r="AG117" s="602">
        <f t="shared" si="726"/>
        <v>13.940800585685048</v>
      </c>
      <c r="AH117" s="603">
        <f t="shared" si="727"/>
        <v>25.813571951331152</v>
      </c>
      <c r="AI117" s="585">
        <f t="shared" si="728"/>
        <v>-64.999990615163242</v>
      </c>
      <c r="AJ117" s="586">
        <f t="shared" si="729"/>
        <v>96.647000383626221</v>
      </c>
      <c r="AK117" s="635">
        <f t="shared" si="730"/>
        <v>2.2679489676546982E-7</v>
      </c>
      <c r="AL117" s="629">
        <f t="shared" si="731"/>
        <v>-0.90630771781330133</v>
      </c>
      <c r="AM117" s="634">
        <f t="shared" si="732"/>
        <v>-0.42261841019055701</v>
      </c>
      <c r="AN117" s="581">
        <f t="shared" si="733"/>
        <v>-64.999990615162559</v>
      </c>
      <c r="AO117" s="582">
        <f t="shared" si="461"/>
        <v>0</v>
      </c>
      <c r="AP117" s="585">
        <f t="shared" si="734"/>
        <v>-89.999985662275463</v>
      </c>
      <c r="AQ117" s="586">
        <f t="shared" si="667"/>
        <v>0.284230925372078</v>
      </c>
      <c r="AS117" s="52">
        <f t="shared" si="737"/>
        <v>-263.35301395409829</v>
      </c>
      <c r="AT117" s="73">
        <f t="shared" si="668"/>
        <v>-1.7235302258496095</v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>Taper</v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>
        <f t="shared" si="643"/>
        <v>5.2350000000000003</v>
      </c>
      <c r="IH117" s="731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3.1349999999999998</v>
      </c>
      <c r="II117" s="734" cm="1">
        <f t="array" ref="II117">IFERROR(ROUND(VALUE(IF($IH117&lt;1,$IH117+LARGE((IF($M$9:$M$150="",0,$M$9:$M$150)-MOD(IF($M$9:$M$150="",0,$M$9:$M$150),1)),1),$IH117)),4),"")</f>
        <v>3.1349999999999998</v>
      </c>
      <c r="IJ117" s="533">
        <f t="shared" si="542"/>
        <v>1613</v>
      </c>
      <c r="IK117" s="533" t="str">
        <f t="shared" si="713"/>
        <v>Inactive</v>
      </c>
      <c r="IL117" s="727">
        <f t="shared" si="647"/>
        <v>135.1830139540983</v>
      </c>
      <c r="IM117" s="759">
        <v>6.1181688192149197E-2</v>
      </c>
      <c r="IN117" s="5">
        <f t="shared" si="648"/>
        <v>0.26</v>
      </c>
      <c r="IO117" s="771">
        <v>130</v>
      </c>
      <c r="IP117" s="9">
        <f t="shared" si="649"/>
        <v>-8.0692000000000004</v>
      </c>
      <c r="IQ117" s="5">
        <f t="shared" si="650"/>
        <v>-1.8747</v>
      </c>
      <c r="IR117" s="5">
        <f t="shared" si="714"/>
        <v>0.314</v>
      </c>
      <c r="IS117" s="5">
        <f t="shared" si="651"/>
        <v>-0.28897459544686516</v>
      </c>
      <c r="IT117" s="727">
        <f t="shared" si="652"/>
        <v>-104.39480026946289</v>
      </c>
      <c r="IU117" s="9">
        <f t="shared" si="653"/>
        <v>-8.0206188970904524</v>
      </c>
      <c r="IV117" s="5">
        <f t="shared" si="654"/>
        <v>-1.9064142633177332</v>
      </c>
      <c r="IW117" s="5">
        <f t="shared" si="715"/>
        <v>0.26250000000000001</v>
      </c>
      <c r="IX117" s="5">
        <f t="shared" si="655"/>
        <v>0.26250000000000001</v>
      </c>
      <c r="IY117" s="762">
        <f t="shared" si="656"/>
        <v>64.999990615162559</v>
      </c>
    </row>
    <row r="118" spans="1:259" ht="15" customHeight="1" x14ac:dyDescent="0.25">
      <c r="A118" s="79"/>
      <c r="B118" s="707">
        <v>-8.232582958928651</v>
      </c>
      <c r="C118" s="708">
        <v>-0.88838251713010818</v>
      </c>
      <c r="D118" s="709">
        <v>-2.591724324274526</v>
      </c>
      <c r="E118" s="710">
        <v>-0.9010765017814768</v>
      </c>
      <c r="F118" s="708">
        <v>-9.7235884863876756E-2</v>
      </c>
      <c r="G118" s="711">
        <v>0.42261841019055851</v>
      </c>
      <c r="H118" s="710">
        <v>0.26250000000000001</v>
      </c>
      <c r="I118" s="708">
        <v>0.40699999999999997</v>
      </c>
      <c r="J118" s="570">
        <v>5.2380000000000004</v>
      </c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>Inactive</v>
      </c>
      <c r="L118" s="320"/>
      <c r="M118" s="168">
        <f t="shared" si="660"/>
        <v>5.2380000000000004</v>
      </c>
      <c r="N118" s="632">
        <f t="shared" si="661"/>
        <v>-8.232582958928651</v>
      </c>
      <c r="O118" s="629">
        <f t="shared" si="662"/>
        <v>-0.88838251713010818</v>
      </c>
      <c r="P118" s="633">
        <f t="shared" si="663"/>
        <v>-2.591724324274526</v>
      </c>
      <c r="Q118" s="585">
        <f t="shared" si="520"/>
        <v>186.15898611636018</v>
      </c>
      <c r="R118" s="629">
        <f t="shared" si="716"/>
        <v>8.2803771455402231</v>
      </c>
      <c r="S118" s="634">
        <f t="shared" si="717"/>
        <v>-2.591724324274526</v>
      </c>
      <c r="T118" s="635">
        <f t="shared" si="718"/>
        <v>-0.88838251713011118</v>
      </c>
      <c r="U118" s="629">
        <f t="shared" si="719"/>
        <v>8.232582958928651</v>
      </c>
      <c r="V118" s="636">
        <f t="shared" si="720"/>
        <v>-2.591724324274526</v>
      </c>
      <c r="W118" s="585">
        <f t="shared" si="645"/>
        <v>96.158986116360182</v>
      </c>
      <c r="X118" s="629">
        <f t="shared" si="721"/>
        <v>8.2803771455402231</v>
      </c>
      <c r="Y118" s="630">
        <f t="shared" si="644"/>
        <v>-2.591724324274526</v>
      </c>
      <c r="Z118" s="632">
        <f t="shared" si="664"/>
        <v>0.9010765017814768</v>
      </c>
      <c r="AA118" s="629">
        <f t="shared" si="665"/>
        <v>9.7235884863876756E-2</v>
      </c>
      <c r="AB118" s="629">
        <f t="shared" si="666"/>
        <v>-0.42261841019055851</v>
      </c>
      <c r="AC118" s="636">
        <f t="shared" si="722"/>
        <v>1</v>
      </c>
      <c r="AD118" s="637">
        <f t="shared" si="723"/>
        <v>0.9010765017814768</v>
      </c>
      <c r="AE118" s="629">
        <f t="shared" si="724"/>
        <v>9.7235884863876756E-2</v>
      </c>
      <c r="AF118" s="633">
        <f t="shared" si="725"/>
        <v>-0.42261841019055851</v>
      </c>
      <c r="AG118" s="602">
        <f t="shared" si="726"/>
        <v>12.957097340091602</v>
      </c>
      <c r="AH118" s="603">
        <f t="shared" si="727"/>
        <v>25.70006864250864</v>
      </c>
      <c r="AI118" s="585">
        <f t="shared" si="728"/>
        <v>-64.999990615163142</v>
      </c>
      <c r="AJ118" s="586">
        <f t="shared" si="729"/>
        <v>96.159000454084691</v>
      </c>
      <c r="AK118" s="635">
        <f t="shared" si="730"/>
        <v>2.2679489637689176E-7</v>
      </c>
      <c r="AL118" s="629">
        <f t="shared" si="731"/>
        <v>-0.90630771781330055</v>
      </c>
      <c r="AM118" s="634">
        <f t="shared" si="732"/>
        <v>-0.42261841019055851</v>
      </c>
      <c r="AN118" s="581">
        <f t="shared" si="733"/>
        <v>-64.99999061516246</v>
      </c>
      <c r="AO118" s="582">
        <f t="shared" si="461"/>
        <v>0</v>
      </c>
      <c r="AP118" s="585">
        <f t="shared" si="734"/>
        <v>-89.999985662275492</v>
      </c>
      <c r="AQ118" s="586">
        <f t="shared" si="667"/>
        <v>0.27531464400563405</v>
      </c>
      <c r="AS118" s="52">
        <f t="shared" si="737"/>
        <v>-263.84101388363979</v>
      </c>
      <c r="AT118" s="73">
        <f t="shared" si="668"/>
        <v>-2.4085013979664427</v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>Taper</v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>
        <f t="shared" si="643"/>
        <v>5.2380000000000004</v>
      </c>
      <c r="IH118" s="731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3.1379999999999999</v>
      </c>
      <c r="II118" s="734" cm="1">
        <f t="array" ref="II118">IFERROR(ROUND(VALUE(IF($IH118&lt;1,$IH118+LARGE((IF($M$9:$M$150="",0,$M$9:$M$150)-MOD(IF($M$9:$M$150="",0,$M$9:$M$150),1)),1),$IH118)),4),"")</f>
        <v>3.1379999999999999</v>
      </c>
      <c r="IJ118" s="533">
        <f t="shared" si="542"/>
        <v>1613</v>
      </c>
      <c r="IK118" s="533" t="str">
        <f t="shared" si="713"/>
        <v>Inactive</v>
      </c>
      <c r="IL118" s="727">
        <f t="shared" si="647"/>
        <v>135.24101388363979</v>
      </c>
      <c r="IM118" s="759">
        <v>6.1707220708081399E-2</v>
      </c>
      <c r="IN118" s="5">
        <f t="shared" si="648"/>
        <v>0.32</v>
      </c>
      <c r="IO118" s="771">
        <v>160</v>
      </c>
      <c r="IP118" s="9">
        <f t="shared" si="649"/>
        <v>-8.3444000000000003</v>
      </c>
      <c r="IQ118" s="5">
        <f t="shared" si="650"/>
        <v>-2.5529999999999999</v>
      </c>
      <c r="IR118" s="5">
        <f t="shared" si="714"/>
        <v>0.314</v>
      </c>
      <c r="IS118" s="5">
        <f t="shared" si="651"/>
        <v>-0.27794202704844406</v>
      </c>
      <c r="IT118" s="727">
        <f t="shared" si="652"/>
        <v>-99.114602866049779</v>
      </c>
      <c r="IU118" s="9">
        <f t="shared" si="653"/>
        <v>-8.2803771455402231</v>
      </c>
      <c r="IV118" s="5">
        <f t="shared" si="654"/>
        <v>-2.591724324274526</v>
      </c>
      <c r="IW118" s="5">
        <f t="shared" si="715"/>
        <v>0.26250000000000001</v>
      </c>
      <c r="IX118" s="5">
        <f t="shared" si="655"/>
        <v>0.26250000000000001</v>
      </c>
      <c r="IY118" s="762">
        <f t="shared" si="656"/>
        <v>64.99999061516246</v>
      </c>
    </row>
    <row r="119" spans="1:259" ht="15" customHeight="1" x14ac:dyDescent="0.25">
      <c r="A119" s="79"/>
      <c r="B119" s="707">
        <v>-2.2763416158746796</v>
      </c>
      <c r="C119" s="708">
        <v>1.5939115589759223</v>
      </c>
      <c r="D119" s="709">
        <v>-0.55310000000000004</v>
      </c>
      <c r="E119" s="710">
        <v>0.55403229322232361</v>
      </c>
      <c r="F119" s="708">
        <v>0.79124011523622384</v>
      </c>
      <c r="G119" s="711">
        <v>-0.25881904510252079</v>
      </c>
      <c r="H119" s="710">
        <v>0.314</v>
      </c>
      <c r="I119" s="708">
        <v>0.52</v>
      </c>
      <c r="J119" s="570">
        <v>6.1109999999999998</v>
      </c>
      <c r="K119" s="865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>1613</v>
      </c>
      <c r="L119" s="320"/>
      <c r="M119" s="168">
        <f t="shared" si="660"/>
        <v>6.1109999999999998</v>
      </c>
      <c r="N119" s="632">
        <f t="shared" si="661"/>
        <v>-2.2763416158746796</v>
      </c>
      <c r="O119" s="629">
        <f t="shared" si="662"/>
        <v>1.5939115589759223</v>
      </c>
      <c r="P119" s="633">
        <f t="shared" si="663"/>
        <v>-0.55310000000000004</v>
      </c>
      <c r="Q119" s="585">
        <f t="shared" si="520"/>
        <v>145</v>
      </c>
      <c r="R119" s="629">
        <f t="shared" si="716"/>
        <v>2.7789000000000006</v>
      </c>
      <c r="S119" s="634">
        <f t="shared" si="717"/>
        <v>-0.55310000000000004</v>
      </c>
      <c r="T119" s="635">
        <f t="shared" si="718"/>
        <v>1.5939115589759225</v>
      </c>
      <c r="U119" s="629">
        <f t="shared" si="719"/>
        <v>2.2763416158746796</v>
      </c>
      <c r="V119" s="636">
        <f t="shared" si="720"/>
        <v>-0.55310000000000004</v>
      </c>
      <c r="W119" s="585">
        <f t="shared" si="645"/>
        <v>55</v>
      </c>
      <c r="X119" s="629">
        <f t="shared" si="721"/>
        <v>2.7789000000000006</v>
      </c>
      <c r="Y119" s="630">
        <f t="shared" si="644"/>
        <v>-0.55310000000000004</v>
      </c>
      <c r="Z119" s="632">
        <f t="shared" si="664"/>
        <v>-0.55403229322232361</v>
      </c>
      <c r="AA119" s="629">
        <f t="shared" si="665"/>
        <v>-0.79124011523622384</v>
      </c>
      <c r="AB119" s="629">
        <f t="shared" si="666"/>
        <v>0.25881904510252079</v>
      </c>
      <c r="AC119" s="636">
        <f t="shared" si="722"/>
        <v>1</v>
      </c>
      <c r="AD119" s="637">
        <f t="shared" si="723"/>
        <v>-0.55403229322232361</v>
      </c>
      <c r="AE119" s="629">
        <f t="shared" si="724"/>
        <v>-0.79124011523622384</v>
      </c>
      <c r="AF119" s="633">
        <f t="shared" si="725"/>
        <v>0.25881904510252079</v>
      </c>
      <c r="AG119" s="602">
        <f t="shared" si="726"/>
        <v>-108.11320873476265</v>
      </c>
      <c r="AH119" s="603">
        <f t="shared" si="727"/>
        <v>123.64408738086664</v>
      </c>
      <c r="AI119" s="585">
        <f t="shared" si="728"/>
        <v>-105.00000000000001</v>
      </c>
      <c r="AJ119" s="586">
        <f t="shared" si="729"/>
        <v>-35.000000000000014</v>
      </c>
      <c r="AK119" s="635">
        <f t="shared" si="730"/>
        <v>-0.96592582628906842</v>
      </c>
      <c r="AL119" s="629">
        <f t="shared" si="731"/>
        <v>1.6653345369377348E-16</v>
      </c>
      <c r="AM119" s="634">
        <f t="shared" si="732"/>
        <v>0.25881904510252079</v>
      </c>
      <c r="AN119" s="581">
        <f t="shared" si="733"/>
        <v>179.99999999999997</v>
      </c>
      <c r="AO119" s="582">
        <f t="shared" si="461"/>
        <v>165.00000000000003</v>
      </c>
      <c r="AP119" s="585">
        <f t="shared" si="734"/>
        <v>180</v>
      </c>
      <c r="AQ119" s="586">
        <f t="shared" si="667"/>
        <v>0.82031410356972856</v>
      </c>
      <c r="AS119" s="52">
        <f t="shared" si="737"/>
        <v>-305</v>
      </c>
      <c r="AT119" s="73">
        <f t="shared" si="668"/>
        <v>-0.34129444444444446</v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>
        <f t="shared" si="643"/>
        <v>6.1109999999999998</v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>
        <f t="shared" si="542"/>
        <v>1613</v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>
        <v>-2.885790736825689</v>
      </c>
      <c r="C120" s="708">
        <v>2.0206524276211004</v>
      </c>
      <c r="D120" s="709">
        <v>-0.3538</v>
      </c>
      <c r="E120" s="710">
        <v>0.55403229322232361</v>
      </c>
      <c r="F120" s="708">
        <v>0.79124011523622384</v>
      </c>
      <c r="G120" s="711">
        <v>-0.25881904510252085</v>
      </c>
      <c r="H120" s="710">
        <v>0.314</v>
      </c>
      <c r="I120" s="708">
        <v>0.52</v>
      </c>
      <c r="J120" s="570">
        <v>6.1139999999999999</v>
      </c>
      <c r="K120" s="865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>1613</v>
      </c>
      <c r="L120" s="320"/>
      <c r="M120" s="168">
        <f t="shared" si="660"/>
        <v>6.1139999999999999</v>
      </c>
      <c r="N120" s="632">
        <f t="shared" si="661"/>
        <v>-2.885790736825689</v>
      </c>
      <c r="O120" s="629">
        <f t="shared" si="662"/>
        <v>2.0206524276211004</v>
      </c>
      <c r="P120" s="633">
        <f t="shared" si="663"/>
        <v>-0.3538</v>
      </c>
      <c r="Q120" s="585">
        <f t="shared" si="520"/>
        <v>145</v>
      </c>
      <c r="R120" s="629">
        <f t="shared" si="716"/>
        <v>3.5228999999999999</v>
      </c>
      <c r="S120" s="634">
        <f t="shared" si="717"/>
        <v>-0.3538</v>
      </c>
      <c r="T120" s="635">
        <f t="shared" si="718"/>
        <v>2.0206524276211004</v>
      </c>
      <c r="U120" s="629">
        <f t="shared" si="719"/>
        <v>2.885790736825689</v>
      </c>
      <c r="V120" s="636">
        <f t="shared" si="720"/>
        <v>-0.3538</v>
      </c>
      <c r="W120" s="585">
        <f t="shared" si="645"/>
        <v>55</v>
      </c>
      <c r="X120" s="629">
        <f t="shared" si="721"/>
        <v>3.5228999999999999</v>
      </c>
      <c r="Y120" s="630">
        <f t="shared" si="644"/>
        <v>-0.3538</v>
      </c>
      <c r="Z120" s="632">
        <f t="shared" si="664"/>
        <v>-0.55403229322232361</v>
      </c>
      <c r="AA120" s="629">
        <f t="shared" si="665"/>
        <v>-0.79124011523622384</v>
      </c>
      <c r="AB120" s="629">
        <f t="shared" si="666"/>
        <v>0.25881904510252085</v>
      </c>
      <c r="AC120" s="636">
        <f t="shared" si="722"/>
        <v>1.0000000000000002</v>
      </c>
      <c r="AD120" s="637">
        <f t="shared" si="723"/>
        <v>-0.5540322932223235</v>
      </c>
      <c r="AE120" s="629">
        <f t="shared" si="724"/>
        <v>-0.79124011523622362</v>
      </c>
      <c r="AF120" s="633">
        <f t="shared" si="725"/>
        <v>0.25881904510252079</v>
      </c>
      <c r="AG120" s="602">
        <f t="shared" si="726"/>
        <v>-108.11320873476267</v>
      </c>
      <c r="AH120" s="603">
        <f t="shared" si="727"/>
        <v>123.64408738086664</v>
      </c>
      <c r="AI120" s="585">
        <f t="shared" si="728"/>
        <v>-105.00000000000001</v>
      </c>
      <c r="AJ120" s="586">
        <f t="shared" si="729"/>
        <v>-35.000000000000014</v>
      </c>
      <c r="AK120" s="635">
        <f t="shared" si="730"/>
        <v>-0.9659258262890682</v>
      </c>
      <c r="AL120" s="629">
        <f t="shared" si="731"/>
        <v>1.6653345369377348E-16</v>
      </c>
      <c r="AM120" s="634">
        <f t="shared" si="732"/>
        <v>0.25881904510252079</v>
      </c>
      <c r="AN120" s="581">
        <f t="shared" si="733"/>
        <v>179.99999999999997</v>
      </c>
      <c r="AO120" s="582">
        <f t="shared" ref="AO120:AO150" si="742">IF(ROUND(IF(M120="",0,DEGREES(ACOS(AK120))),4)=90,0,IF(M120="","",DEGREES(ACOS(AK120))))</f>
        <v>164.99999999999997</v>
      </c>
      <c r="AP120" s="585">
        <f t="shared" si="734"/>
        <v>180</v>
      </c>
      <c r="AQ120" s="586">
        <f t="shared" si="667"/>
        <v>0.64708896200506827</v>
      </c>
      <c r="AS120" s="52">
        <f t="shared" si="737"/>
        <v>-305</v>
      </c>
      <c r="AT120" s="73">
        <f t="shared" si="668"/>
        <v>-0.14199444444444445</v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>
        <f t="shared" si="643"/>
        <v>6.1139999999999999</v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>
        <f t="shared" si="542"/>
        <v>1613</v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>
        <v>-3.4915357340830293</v>
      </c>
      <c r="C121" s="708">
        <v>2.4538924136198954</v>
      </c>
      <c r="D121" s="709">
        <v>-0.1552</v>
      </c>
      <c r="E121" s="710">
        <v>0.57719944991447636</v>
      </c>
      <c r="F121" s="708">
        <v>0.77453332977794709</v>
      </c>
      <c r="G121" s="711">
        <v>-0.25872556132224761</v>
      </c>
      <c r="H121" s="710">
        <v>0.314</v>
      </c>
      <c r="I121" s="708">
        <v>0.52</v>
      </c>
      <c r="J121" s="570">
        <v>6.117</v>
      </c>
      <c r="K121" s="865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>1613</v>
      </c>
      <c r="L121" s="320"/>
      <c r="M121" s="168">
        <f t="shared" si="660"/>
        <v>6.117</v>
      </c>
      <c r="N121" s="632">
        <f t="shared" si="661"/>
        <v>-3.4915357340830293</v>
      </c>
      <c r="O121" s="629">
        <f t="shared" si="662"/>
        <v>2.4538924136198954</v>
      </c>
      <c r="P121" s="633">
        <f t="shared" si="663"/>
        <v>-0.1552</v>
      </c>
      <c r="Q121" s="585">
        <f t="shared" si="520"/>
        <v>144.9</v>
      </c>
      <c r="R121" s="629">
        <f t="shared" si="716"/>
        <v>4.2675999999999989</v>
      </c>
      <c r="S121" s="634">
        <f t="shared" si="717"/>
        <v>-0.1552</v>
      </c>
      <c r="T121" s="635">
        <f t="shared" si="718"/>
        <v>2.4538924136198945</v>
      </c>
      <c r="U121" s="629">
        <f t="shared" si="719"/>
        <v>3.4915357340830293</v>
      </c>
      <c r="V121" s="636">
        <f t="shared" si="720"/>
        <v>-0.1552</v>
      </c>
      <c r="W121" s="585">
        <f t="shared" si="645"/>
        <v>54.900000000000006</v>
      </c>
      <c r="X121" s="629">
        <f t="shared" si="721"/>
        <v>4.2675999999999989</v>
      </c>
      <c r="Y121" s="630">
        <f t="shared" si="644"/>
        <v>-0.1552</v>
      </c>
      <c r="Z121" s="632">
        <f t="shared" si="664"/>
        <v>-0.57719944991447636</v>
      </c>
      <c r="AA121" s="629">
        <f t="shared" si="665"/>
        <v>-0.77453332977794709</v>
      </c>
      <c r="AB121" s="629">
        <f t="shared" si="666"/>
        <v>0.25872556132224761</v>
      </c>
      <c r="AC121" s="636">
        <f t="shared" si="722"/>
        <v>1.0000000000000002</v>
      </c>
      <c r="AD121" s="637">
        <f t="shared" si="723"/>
        <v>-0.57719944991447625</v>
      </c>
      <c r="AE121" s="629">
        <f t="shared" si="724"/>
        <v>-0.77453332977794687</v>
      </c>
      <c r="AF121" s="633">
        <f t="shared" si="725"/>
        <v>0.25872556132224755</v>
      </c>
      <c r="AG121" s="602">
        <f t="shared" si="726"/>
        <v>-108.47141101357354</v>
      </c>
      <c r="AH121" s="603">
        <f t="shared" si="727"/>
        <v>125.25380697619472</v>
      </c>
      <c r="AI121" s="585">
        <f t="shared" si="728"/>
        <v>-104.9944548986302</v>
      </c>
      <c r="AJ121" s="586">
        <f t="shared" si="729"/>
        <v>-36.694297757749425</v>
      </c>
      <c r="AK121" s="635">
        <f t="shared" si="730"/>
        <v>-0.96557694007140493</v>
      </c>
      <c r="AL121" s="629">
        <f t="shared" si="731"/>
        <v>2.6874834340519682E-2</v>
      </c>
      <c r="AM121" s="634">
        <f t="shared" si="732"/>
        <v>0.25872556132224755</v>
      </c>
      <c r="AN121" s="581">
        <f t="shared" si="733"/>
        <v>174.06973140637589</v>
      </c>
      <c r="AO121" s="582">
        <f t="shared" si="742"/>
        <v>164.92295897981776</v>
      </c>
      <c r="AP121" s="585">
        <f t="shared" si="734"/>
        <v>178.40570224225056</v>
      </c>
      <c r="AQ121" s="586">
        <f t="shared" si="667"/>
        <v>0.53417859665293377</v>
      </c>
      <c r="AS121" s="52">
        <f t="shared" si="737"/>
        <v>-305.10000000000002</v>
      </c>
      <c r="AT121" s="73">
        <f t="shared" si="668"/>
        <v>5.6675000000000031E-2</v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>
        <f t="shared" si="643"/>
        <v>6.117</v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>
        <f t="shared" si="542"/>
        <v>1613</v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>
        <v>-4.1024535203536674</v>
      </c>
      <c r="C122" s="708">
        <v>2.9240915723242642</v>
      </c>
      <c r="D122" s="709">
        <v>-0.06</v>
      </c>
      <c r="E122" s="710">
        <v>0.6103951758849907</v>
      </c>
      <c r="F122" s="708">
        <v>0.74879344014836191</v>
      </c>
      <c r="G122" s="711">
        <v>-0.25831398190402471</v>
      </c>
      <c r="H122" s="710">
        <v>0.314</v>
      </c>
      <c r="I122" s="708">
        <v>0.52</v>
      </c>
      <c r="J122" s="570">
        <v>6.12</v>
      </c>
      <c r="K122" s="865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>1613</v>
      </c>
      <c r="L122" s="320"/>
      <c r="M122" s="168">
        <f t="shared" si="660"/>
        <v>6.12</v>
      </c>
      <c r="N122" s="632">
        <f t="shared" si="661"/>
        <v>-4.1024535203536674</v>
      </c>
      <c r="O122" s="629">
        <f t="shared" si="662"/>
        <v>2.9240915723242642</v>
      </c>
      <c r="P122" s="633">
        <f t="shared" si="663"/>
        <v>-0.06</v>
      </c>
      <c r="Q122" s="585">
        <f t="shared" si="520"/>
        <v>144.51999999999998</v>
      </c>
      <c r="R122" s="629">
        <f t="shared" si="716"/>
        <v>5.0378999999999987</v>
      </c>
      <c r="S122" s="634">
        <f t="shared" si="717"/>
        <v>-0.06</v>
      </c>
      <c r="T122" s="635">
        <f t="shared" si="718"/>
        <v>2.924091572324266</v>
      </c>
      <c r="U122" s="629">
        <f t="shared" si="719"/>
        <v>4.1024535203536665</v>
      </c>
      <c r="V122" s="636">
        <f t="shared" si="720"/>
        <v>-0.06</v>
      </c>
      <c r="W122" s="585">
        <f t="shared" si="645"/>
        <v>54.519999999999982</v>
      </c>
      <c r="X122" s="629">
        <f t="shared" si="721"/>
        <v>5.0378999999999987</v>
      </c>
      <c r="Y122" s="630">
        <f t="shared" si="644"/>
        <v>-0.06</v>
      </c>
      <c r="Z122" s="632">
        <f t="shared" si="664"/>
        <v>-0.6103951758849907</v>
      </c>
      <c r="AA122" s="629">
        <f t="shared" si="665"/>
        <v>-0.74879344014836191</v>
      </c>
      <c r="AB122" s="629">
        <f t="shared" si="666"/>
        <v>0.25831398190402471</v>
      </c>
      <c r="AC122" s="636">
        <f t="shared" si="722"/>
        <v>1</v>
      </c>
      <c r="AD122" s="637">
        <f t="shared" si="723"/>
        <v>-0.6103951758849907</v>
      </c>
      <c r="AE122" s="629">
        <f t="shared" si="724"/>
        <v>-0.74879344014836191</v>
      </c>
      <c r="AF122" s="633">
        <f t="shared" si="725"/>
        <v>0.25831398190402471</v>
      </c>
      <c r="AG122" s="602">
        <f t="shared" si="726"/>
        <v>-109.03308352632874</v>
      </c>
      <c r="AH122" s="603">
        <f t="shared" si="727"/>
        <v>127.61808224151115</v>
      </c>
      <c r="AI122" s="585">
        <f t="shared" si="728"/>
        <v>-104.97004328562943</v>
      </c>
      <c r="AJ122" s="586">
        <f t="shared" si="729"/>
        <v>-39.185942761300453</v>
      </c>
      <c r="AK122" s="635">
        <f t="shared" si="730"/>
        <v>-0.96404090477124804</v>
      </c>
      <c r="AL122" s="629">
        <f t="shared" si="731"/>
        <v>6.244213866229098E-2</v>
      </c>
      <c r="AM122" s="634">
        <f t="shared" si="732"/>
        <v>0.25831398190402471</v>
      </c>
      <c r="AN122" s="581">
        <f t="shared" si="733"/>
        <v>166.41060133741146</v>
      </c>
      <c r="AO122" s="582">
        <f t="shared" si="742"/>
        <v>164.58824569795448</v>
      </c>
      <c r="AP122" s="585">
        <f t="shared" si="734"/>
        <v>176.29405723869957</v>
      </c>
      <c r="AQ122" s="586">
        <f t="shared" si="667"/>
        <v>0.45250585228952594</v>
      </c>
      <c r="AS122" s="52">
        <f t="shared" si="737"/>
        <v>-305.48</v>
      </c>
      <c r="AT122" s="73">
        <f t="shared" si="668"/>
        <v>0.15213888888888891</v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>
        <f t="shared" si="643"/>
        <v>6.12</v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>
        <f t="shared" si="542"/>
        <v>1613</v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>
        <v>-4.6824009706759844</v>
      </c>
      <c r="C123" s="708">
        <v>3.4032122178630861</v>
      </c>
      <c r="D123" s="709">
        <v>-0.13879999999999995</v>
      </c>
      <c r="E123" s="710">
        <v>0.67468063589032978</v>
      </c>
      <c r="F123" s="708">
        <v>0.6980991901441238</v>
      </c>
      <c r="G123" s="711">
        <v>-0.23971558204409413</v>
      </c>
      <c r="H123" s="710">
        <v>0.314</v>
      </c>
      <c r="I123" s="708">
        <v>0.52</v>
      </c>
      <c r="J123" s="570">
        <v>6.1230000000000002</v>
      </c>
      <c r="K123" s="865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>1613</v>
      </c>
      <c r="L123" s="320"/>
      <c r="M123" s="168">
        <f t="shared" si="660"/>
        <v>6.1230000000000002</v>
      </c>
      <c r="N123" s="632">
        <f t="shared" si="661"/>
        <v>-4.6824009706759844</v>
      </c>
      <c r="O123" s="629">
        <f t="shared" si="662"/>
        <v>3.4032122178630861</v>
      </c>
      <c r="P123" s="633">
        <f t="shared" si="663"/>
        <v>-0.13879999999999995</v>
      </c>
      <c r="Q123" s="585">
        <f t="shared" si="520"/>
        <v>143.99</v>
      </c>
      <c r="R123" s="629">
        <f t="shared" si="716"/>
        <v>5.7884999999999991</v>
      </c>
      <c r="S123" s="634">
        <f t="shared" si="717"/>
        <v>-0.13879999999999995</v>
      </c>
      <c r="T123" s="635">
        <f t="shared" si="718"/>
        <v>3.4032122178630848</v>
      </c>
      <c r="U123" s="629">
        <f t="shared" si="719"/>
        <v>4.6824009706759853</v>
      </c>
      <c r="V123" s="636">
        <f t="shared" si="720"/>
        <v>-0.13879999999999995</v>
      </c>
      <c r="W123" s="585">
        <f t="shared" si="645"/>
        <v>53.990000000000009</v>
      </c>
      <c r="X123" s="629">
        <f t="shared" si="721"/>
        <v>5.7884999999999991</v>
      </c>
      <c r="Y123" s="630">
        <f t="shared" si="644"/>
        <v>-0.13879999999999995</v>
      </c>
      <c r="Z123" s="632">
        <f t="shared" si="664"/>
        <v>-0.67468063589032978</v>
      </c>
      <c r="AA123" s="629">
        <f t="shared" si="665"/>
        <v>-0.6980991901441238</v>
      </c>
      <c r="AB123" s="629">
        <f t="shared" si="666"/>
        <v>0.23971558204409413</v>
      </c>
      <c r="AC123" s="636">
        <f t="shared" si="722"/>
        <v>1</v>
      </c>
      <c r="AD123" s="637">
        <f t="shared" si="723"/>
        <v>-0.67468063589032978</v>
      </c>
      <c r="AE123" s="629">
        <f t="shared" si="724"/>
        <v>-0.6980991901441238</v>
      </c>
      <c r="AF123" s="633">
        <f t="shared" si="725"/>
        <v>0.23971558204409413</v>
      </c>
      <c r="AG123" s="602">
        <f t="shared" si="726"/>
        <v>-108.95161405192479</v>
      </c>
      <c r="AH123" s="603">
        <f t="shared" si="727"/>
        <v>132.42935465680051</v>
      </c>
      <c r="AI123" s="585">
        <f t="shared" si="728"/>
        <v>-103.86975439879379</v>
      </c>
      <c r="AJ123" s="586">
        <f t="shared" si="729"/>
        <v>-44.02267344141498</v>
      </c>
      <c r="AK123" s="635">
        <f t="shared" si="730"/>
        <v>-0.96136507018684836</v>
      </c>
      <c r="AL123" s="629">
        <f t="shared" si="731"/>
        <v>0.13532790381106752</v>
      </c>
      <c r="AM123" s="634">
        <f t="shared" si="732"/>
        <v>0.23971558204409413</v>
      </c>
      <c r="AN123" s="581">
        <f t="shared" si="733"/>
        <v>150.55373907357301</v>
      </c>
      <c r="AO123" s="582">
        <f t="shared" si="742"/>
        <v>164.02150211702016</v>
      </c>
      <c r="AP123" s="585">
        <f t="shared" si="734"/>
        <v>171.98732655858501</v>
      </c>
      <c r="AQ123" s="586">
        <f t="shared" si="667"/>
        <v>0.39383099739154676</v>
      </c>
      <c r="AS123" s="52">
        <f t="shared" si="737"/>
        <v>-306.01</v>
      </c>
      <c r="AT123" s="73">
        <f t="shared" si="668"/>
        <v>7.3706944444444505E-2</v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>
        <f t="shared" si="643"/>
        <v>6.1230000000000002</v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>
        <f t="shared" si="542"/>
        <v>1613</v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>
        <v>-5.2093691655598864</v>
      </c>
      <c r="C124" s="708">
        <v>3.8702298364456218</v>
      </c>
      <c r="D124" s="709">
        <v>-0.37560000000000004</v>
      </c>
      <c r="E124" s="710">
        <v>0.73284920591583291</v>
      </c>
      <c r="F124" s="708">
        <v>0.64873477227420451</v>
      </c>
      <c r="G124" s="711">
        <v>-0.20512249177228062</v>
      </c>
      <c r="H124" s="710">
        <v>0.314</v>
      </c>
      <c r="I124" s="708">
        <v>0.52</v>
      </c>
      <c r="J124" s="570">
        <v>6.1260000000000003</v>
      </c>
      <c r="K124" s="865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>1613</v>
      </c>
      <c r="L124" s="320"/>
      <c r="M124" s="168">
        <f t="shared" si="660"/>
        <v>6.1260000000000003</v>
      </c>
      <c r="N124" s="632">
        <f t="shared" si="661"/>
        <v>-5.2093691655598864</v>
      </c>
      <c r="O124" s="629">
        <f t="shared" si="662"/>
        <v>3.8702298364456218</v>
      </c>
      <c r="P124" s="633">
        <f t="shared" si="663"/>
        <v>-0.37560000000000004</v>
      </c>
      <c r="Q124" s="585">
        <f t="shared" si="520"/>
        <v>143.38999999999999</v>
      </c>
      <c r="R124" s="629">
        <f t="shared" si="716"/>
        <v>6.4897000000000009</v>
      </c>
      <c r="S124" s="634">
        <f t="shared" si="717"/>
        <v>-0.37560000000000004</v>
      </c>
      <c r="T124" s="635">
        <f t="shared" si="718"/>
        <v>3.8702298364456227</v>
      </c>
      <c r="U124" s="629">
        <f t="shared" si="719"/>
        <v>5.2093691655598855</v>
      </c>
      <c r="V124" s="636">
        <f t="shared" si="720"/>
        <v>-0.37560000000000004</v>
      </c>
      <c r="W124" s="585">
        <f t="shared" si="645"/>
        <v>53.389999999999986</v>
      </c>
      <c r="X124" s="629">
        <f t="shared" si="721"/>
        <v>6.4897000000000009</v>
      </c>
      <c r="Y124" s="630">
        <f t="shared" si="644"/>
        <v>-0.37560000000000004</v>
      </c>
      <c r="Z124" s="632">
        <f t="shared" si="664"/>
        <v>-0.73284920591583291</v>
      </c>
      <c r="AA124" s="629">
        <f t="shared" si="665"/>
        <v>-0.64873477227420451</v>
      </c>
      <c r="AB124" s="629">
        <f t="shared" si="666"/>
        <v>0.20512249177228062</v>
      </c>
      <c r="AC124" s="636">
        <f t="shared" si="722"/>
        <v>1</v>
      </c>
      <c r="AD124" s="637">
        <f t="shared" si="723"/>
        <v>-0.73284920591583291</v>
      </c>
      <c r="AE124" s="629">
        <f t="shared" si="724"/>
        <v>-0.64873477227420451</v>
      </c>
      <c r="AF124" s="633">
        <f t="shared" si="725"/>
        <v>0.20512249177228062</v>
      </c>
      <c r="AG124" s="602">
        <f t="shared" si="726"/>
        <v>-107.54635672220485</v>
      </c>
      <c r="AH124" s="603">
        <f t="shared" si="727"/>
        <v>137.12578789382638</v>
      </c>
      <c r="AI124" s="585">
        <f t="shared" si="728"/>
        <v>-101.83666969258775</v>
      </c>
      <c r="AJ124" s="586">
        <f t="shared" si="729"/>
        <v>-48.484015918555365</v>
      </c>
      <c r="AK124" s="635">
        <f t="shared" si="730"/>
        <v>-0.95779370104360639</v>
      </c>
      <c r="AL124" s="629">
        <f t="shared" si="731"/>
        <v>0.20138517723586669</v>
      </c>
      <c r="AM124" s="634">
        <f t="shared" si="732"/>
        <v>0.20512249177228062</v>
      </c>
      <c r="AN124" s="581">
        <f t="shared" si="733"/>
        <v>135.52674606938072</v>
      </c>
      <c r="AO124" s="582">
        <f t="shared" si="742"/>
        <v>163.29425986593529</v>
      </c>
      <c r="AP124" s="585">
        <f t="shared" si="734"/>
        <v>168.12598408144467</v>
      </c>
      <c r="AQ124" s="586">
        <f t="shared" si="667"/>
        <v>0.35127942242427262</v>
      </c>
      <c r="AS124" s="52">
        <f t="shared" si="737"/>
        <v>-306.61</v>
      </c>
      <c r="AT124" s="73">
        <f t="shared" si="668"/>
        <v>-0.16267638888888891</v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>
        <f t="shared" si="643"/>
        <v>6.1260000000000003</v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>
        <f t="shared" si="542"/>
        <v>1613</v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>
        <v>-5.6727267701847204</v>
      </c>
      <c r="C125" s="708">
        <v>4.3058339762268609</v>
      </c>
      <c r="D125" s="709">
        <v>-0.75859999999999994</v>
      </c>
      <c r="E125" s="710">
        <v>0.78086471131988178</v>
      </c>
      <c r="F125" s="708">
        <v>0.60462888895007438</v>
      </c>
      <c r="G125" s="711">
        <v>-0.15708026375810649</v>
      </c>
      <c r="H125" s="710">
        <v>0.314</v>
      </c>
      <c r="I125" s="708">
        <v>0.52</v>
      </c>
      <c r="J125" s="570">
        <v>6.1289999999999996</v>
      </c>
      <c r="K125" s="865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>1613</v>
      </c>
      <c r="L125" s="320"/>
      <c r="M125" s="168">
        <f t="shared" si="660"/>
        <v>6.1289999999999996</v>
      </c>
      <c r="N125" s="632">
        <f t="shared" si="661"/>
        <v>-5.6727267701847204</v>
      </c>
      <c r="O125" s="629">
        <f t="shared" si="662"/>
        <v>4.3058339762268609</v>
      </c>
      <c r="P125" s="633">
        <f t="shared" si="663"/>
        <v>-0.75859999999999994</v>
      </c>
      <c r="Q125" s="585">
        <f t="shared" si="520"/>
        <v>142.80000000000001</v>
      </c>
      <c r="R125" s="629">
        <f t="shared" si="716"/>
        <v>7.1217999999999995</v>
      </c>
      <c r="S125" s="634">
        <f t="shared" si="717"/>
        <v>-0.75859999999999994</v>
      </c>
      <c r="T125" s="635">
        <f t="shared" si="718"/>
        <v>4.30583397622686</v>
      </c>
      <c r="U125" s="629">
        <f t="shared" si="719"/>
        <v>5.6727267701847213</v>
      </c>
      <c r="V125" s="636">
        <f t="shared" si="720"/>
        <v>-0.75859999999999994</v>
      </c>
      <c r="W125" s="585">
        <f t="shared" si="645"/>
        <v>52.800000000000011</v>
      </c>
      <c r="X125" s="629">
        <f t="shared" si="721"/>
        <v>7.1217999999999995</v>
      </c>
      <c r="Y125" s="630">
        <f t="shared" si="644"/>
        <v>-0.75859999999999994</v>
      </c>
      <c r="Z125" s="632">
        <f t="shared" si="664"/>
        <v>-0.78086471131988178</v>
      </c>
      <c r="AA125" s="629">
        <f t="shared" si="665"/>
        <v>-0.60462888895007438</v>
      </c>
      <c r="AB125" s="629">
        <f t="shared" si="666"/>
        <v>0.15708026375810649</v>
      </c>
      <c r="AC125" s="636">
        <f t="shared" si="722"/>
        <v>1</v>
      </c>
      <c r="AD125" s="637">
        <f t="shared" si="723"/>
        <v>-0.78086471131988178</v>
      </c>
      <c r="AE125" s="629">
        <f t="shared" si="724"/>
        <v>-0.60462888895007438</v>
      </c>
      <c r="AF125" s="633">
        <f t="shared" si="725"/>
        <v>0.15708026375810649</v>
      </c>
      <c r="AG125" s="602">
        <f t="shared" si="726"/>
        <v>-104.56327602011928</v>
      </c>
      <c r="AH125" s="603">
        <f t="shared" si="727"/>
        <v>141.33981587579771</v>
      </c>
      <c r="AI125" s="585">
        <f t="shared" si="728"/>
        <v>-99.03746471249444</v>
      </c>
      <c r="AJ125" s="586">
        <f t="shared" si="729"/>
        <v>-52.249136209182772</v>
      </c>
      <c r="AK125" s="635">
        <f t="shared" si="730"/>
        <v>-0.95371511264172804</v>
      </c>
      <c r="AL125" s="629">
        <f t="shared" si="731"/>
        <v>0.25642401341617715</v>
      </c>
      <c r="AM125" s="634">
        <f t="shared" si="732"/>
        <v>0.15708026375810649</v>
      </c>
      <c r="AN125" s="581">
        <f t="shared" si="733"/>
        <v>121.49080920135999</v>
      </c>
      <c r="AO125" s="582">
        <f t="shared" si="742"/>
        <v>162.49964977488295</v>
      </c>
      <c r="AP125" s="585">
        <f t="shared" si="734"/>
        <v>164.95086379081721</v>
      </c>
      <c r="AQ125" s="586">
        <f t="shared" si="667"/>
        <v>0.32010206872923086</v>
      </c>
      <c r="AS125" s="52">
        <f t="shared" si="737"/>
        <v>-307.2</v>
      </c>
      <c r="AT125" s="73">
        <f t="shared" si="668"/>
        <v>-0.54526666666666657</v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>
        <f t="shared" si="643"/>
        <v>6.1289999999999996</v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>
        <f t="shared" si="542"/>
        <v>1613</v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>
        <v>-6.053072069585216</v>
      </c>
      <c r="C126" s="708">
        <v>4.6850995592844509</v>
      </c>
      <c r="D126" s="709">
        <v>-1.2681999999999998</v>
      </c>
      <c r="E126" s="710">
        <v>0.81608831964910356</v>
      </c>
      <c r="F126" s="708">
        <v>0.56915608809882701</v>
      </c>
      <c r="G126" s="711">
        <v>-0.10030554277976421</v>
      </c>
      <c r="H126" s="710">
        <v>0.314</v>
      </c>
      <c r="I126" s="708">
        <v>0.52</v>
      </c>
      <c r="J126" s="570">
        <v>6.1319999999999997</v>
      </c>
      <c r="K126" s="865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>1613</v>
      </c>
      <c r="L126" s="320"/>
      <c r="M126" s="168">
        <f t="shared" si="660"/>
        <v>6.1319999999999997</v>
      </c>
      <c r="N126" s="632">
        <f t="shared" si="661"/>
        <v>-6.053072069585216</v>
      </c>
      <c r="O126" s="629">
        <f t="shared" si="662"/>
        <v>4.6850995592844509</v>
      </c>
      <c r="P126" s="633">
        <f t="shared" si="663"/>
        <v>-1.2681999999999998</v>
      </c>
      <c r="Q126" s="585">
        <f t="shared" si="520"/>
        <v>142.26000000000002</v>
      </c>
      <c r="R126" s="629">
        <f t="shared" si="716"/>
        <v>7.6544000000000008</v>
      </c>
      <c r="S126" s="634">
        <f t="shared" si="717"/>
        <v>-1.2681999999999998</v>
      </c>
      <c r="T126" s="635">
        <f t="shared" si="718"/>
        <v>4.68509955928445</v>
      </c>
      <c r="U126" s="629">
        <f t="shared" si="719"/>
        <v>6.0530720695852169</v>
      </c>
      <c r="V126" s="636">
        <f t="shared" si="720"/>
        <v>-1.2681999999999998</v>
      </c>
      <c r="W126" s="585">
        <f t="shared" si="645"/>
        <v>52.260000000000019</v>
      </c>
      <c r="X126" s="629">
        <f t="shared" si="721"/>
        <v>7.6544000000000008</v>
      </c>
      <c r="Y126" s="630">
        <f t="shared" si="644"/>
        <v>-1.2681999999999998</v>
      </c>
      <c r="Z126" s="632">
        <f t="shared" si="664"/>
        <v>-0.81608831964910356</v>
      </c>
      <c r="AA126" s="629">
        <f t="shared" si="665"/>
        <v>-0.56915608809882701</v>
      </c>
      <c r="AB126" s="629">
        <f t="shared" si="666"/>
        <v>0.10030554277976421</v>
      </c>
      <c r="AC126" s="636">
        <f t="shared" si="722"/>
        <v>1</v>
      </c>
      <c r="AD126" s="637">
        <f t="shared" si="723"/>
        <v>-0.81608831964910356</v>
      </c>
      <c r="AE126" s="629">
        <f t="shared" si="724"/>
        <v>-0.56915608809882701</v>
      </c>
      <c r="AF126" s="633">
        <f t="shared" si="725"/>
        <v>0.10030554277976421</v>
      </c>
      <c r="AG126" s="602">
        <f t="shared" si="726"/>
        <v>-99.994919930065279</v>
      </c>
      <c r="AH126" s="603">
        <f t="shared" si="727"/>
        <v>144.69511502888719</v>
      </c>
      <c r="AI126" s="585">
        <f t="shared" si="728"/>
        <v>-95.756765254366115</v>
      </c>
      <c r="AJ126" s="586">
        <f t="shared" si="729"/>
        <v>-55.107320999637956</v>
      </c>
      <c r="AK126" s="635">
        <f t="shared" si="730"/>
        <v>-0.94959733575859562</v>
      </c>
      <c r="AL126" s="629">
        <f t="shared" si="731"/>
        <v>0.29699107395313096</v>
      </c>
      <c r="AM126" s="634">
        <f t="shared" si="732"/>
        <v>0.10030554277976421</v>
      </c>
      <c r="AN126" s="581">
        <f t="shared" si="733"/>
        <v>108.66184415334409</v>
      </c>
      <c r="AO126" s="582">
        <f t="shared" si="742"/>
        <v>161.731385807712</v>
      </c>
      <c r="AP126" s="585">
        <f t="shared" si="734"/>
        <v>162.632679000362</v>
      </c>
      <c r="AQ126" s="586">
        <f t="shared" si="667"/>
        <v>0.29782949662292962</v>
      </c>
      <c r="AS126" s="52">
        <f t="shared" si="737"/>
        <v>-307.74</v>
      </c>
      <c r="AT126" s="73">
        <f t="shared" si="668"/>
        <v>-1.0544916666666664</v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>
        <f t="shared" si="643"/>
        <v>6.1319999999999997</v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>
        <f t="shared" si="542"/>
        <v>1613</v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>
        <v>-6.3438483628908315</v>
      </c>
      <c r="C127" s="708">
        <v>4.986740076307095</v>
      </c>
      <c r="D127" s="709">
        <v>-1.8746999999999996</v>
      </c>
      <c r="E127" s="710">
        <v>0.86664961603771928</v>
      </c>
      <c r="F127" s="708">
        <v>0.48934627252072849</v>
      </c>
      <c r="G127" s="711">
        <v>-9.725568668074229E-2</v>
      </c>
      <c r="H127" s="710">
        <v>0.314</v>
      </c>
      <c r="I127" s="708">
        <v>0.52</v>
      </c>
      <c r="J127" s="570">
        <v>6.1349999999999998</v>
      </c>
      <c r="K127" s="865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>1613</v>
      </c>
      <c r="L127" s="320"/>
      <c r="M127" s="168">
        <f t="shared" si="660"/>
        <v>6.1349999999999998</v>
      </c>
      <c r="N127" s="632">
        <f t="shared" si="661"/>
        <v>-6.3438483628908315</v>
      </c>
      <c r="O127" s="629">
        <f t="shared" si="662"/>
        <v>4.986740076307095</v>
      </c>
      <c r="P127" s="633">
        <f t="shared" si="663"/>
        <v>-1.8746999999999996</v>
      </c>
      <c r="Q127" s="585">
        <f t="shared" si="520"/>
        <v>141.83000000000001</v>
      </c>
      <c r="R127" s="629">
        <f t="shared" si="716"/>
        <v>8.0691999999999986</v>
      </c>
      <c r="S127" s="634">
        <f t="shared" si="717"/>
        <v>-1.8746999999999996</v>
      </c>
      <c r="T127" s="635">
        <f t="shared" si="718"/>
        <v>4.9867400763070941</v>
      </c>
      <c r="U127" s="629">
        <f t="shared" si="719"/>
        <v>6.3438483628908324</v>
      </c>
      <c r="V127" s="636">
        <f t="shared" si="720"/>
        <v>-1.8746999999999996</v>
      </c>
      <c r="W127" s="585">
        <f t="shared" si="645"/>
        <v>51.830000000000013</v>
      </c>
      <c r="X127" s="629">
        <f t="shared" si="721"/>
        <v>8.0691999999999986</v>
      </c>
      <c r="Y127" s="630">
        <f t="shared" si="644"/>
        <v>-1.8746999999999996</v>
      </c>
      <c r="Z127" s="632">
        <f t="shared" si="664"/>
        <v>-0.86664961603771928</v>
      </c>
      <c r="AA127" s="629">
        <f t="shared" si="665"/>
        <v>-0.48934627252072849</v>
      </c>
      <c r="AB127" s="629">
        <f t="shared" si="666"/>
        <v>9.725568668074229E-2</v>
      </c>
      <c r="AC127" s="636">
        <f t="shared" si="722"/>
        <v>1</v>
      </c>
      <c r="AD127" s="637">
        <f t="shared" si="723"/>
        <v>-0.86664961603771928</v>
      </c>
      <c r="AE127" s="629">
        <f t="shared" si="724"/>
        <v>-0.48934627252072849</v>
      </c>
      <c r="AF127" s="633">
        <f t="shared" si="725"/>
        <v>9.725568668074229E-2</v>
      </c>
      <c r="AG127" s="602">
        <f t="shared" si="726"/>
        <v>-101.24083851048219</v>
      </c>
      <c r="AH127" s="603">
        <f t="shared" si="727"/>
        <v>150.07160697692689</v>
      </c>
      <c r="AI127" s="585">
        <f t="shared" si="728"/>
        <v>-95.581162469451698</v>
      </c>
      <c r="AJ127" s="586">
        <f t="shared" si="729"/>
        <v>-60.54912761119737</v>
      </c>
      <c r="AK127" s="635">
        <f t="shared" si="730"/>
        <v>-0.92030125938492113</v>
      </c>
      <c r="AL127" s="629">
        <f t="shared" si="731"/>
        <v>0.37892865210061039</v>
      </c>
      <c r="AM127" s="634">
        <f t="shared" si="732"/>
        <v>9.725568668074229E-2</v>
      </c>
      <c r="AN127" s="581">
        <f t="shared" si="733"/>
        <v>104.39480026946283</v>
      </c>
      <c r="AO127" s="582">
        <f t="shared" si="742"/>
        <v>156.97016380424895</v>
      </c>
      <c r="AP127" s="585">
        <f t="shared" si="734"/>
        <v>157.62087238880261</v>
      </c>
      <c r="AQ127" s="586">
        <f t="shared" si="667"/>
        <v>0.2825197238479597</v>
      </c>
      <c r="AS127" s="52">
        <f t="shared" si="737"/>
        <v>-308.16999999999996</v>
      </c>
      <c r="AT127" s="73">
        <f t="shared" si="668"/>
        <v>-1.6606930555555552</v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>
        <f t="shared" si="643"/>
        <v>6.1349999999999998</v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>
        <f t="shared" si="542"/>
        <v>1613</v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>
        <v>-6.5213194300515909</v>
      </c>
      <c r="C128" s="708">
        <v>5.2059009067818023</v>
      </c>
      <c r="D128" s="709">
        <v>-2.5530000000000004</v>
      </c>
      <c r="E128" s="710">
        <v>0.91126819152303673</v>
      </c>
      <c r="F128" s="708">
        <v>0.40516412632874516</v>
      </c>
      <c r="G128" s="711">
        <v>-7.3704232270600592E-2</v>
      </c>
      <c r="H128" s="710">
        <v>0.314</v>
      </c>
      <c r="I128" s="708">
        <v>0.52</v>
      </c>
      <c r="J128" s="570">
        <v>6.1379999999999999</v>
      </c>
      <c r="K128" s="865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>1613</v>
      </c>
      <c r="L128" s="320"/>
      <c r="M128" s="168">
        <f t="shared" si="660"/>
        <v>6.1379999999999999</v>
      </c>
      <c r="N128" s="632">
        <f t="shared" si="661"/>
        <v>-6.5213194300515909</v>
      </c>
      <c r="O128" s="629">
        <f t="shared" si="662"/>
        <v>5.2059009067818023</v>
      </c>
      <c r="P128" s="633">
        <f t="shared" si="663"/>
        <v>-2.5530000000000004</v>
      </c>
      <c r="Q128" s="585">
        <f t="shared" si="520"/>
        <v>141.4</v>
      </c>
      <c r="R128" s="629">
        <f t="shared" si="716"/>
        <v>8.3444000000000003</v>
      </c>
      <c r="S128" s="634">
        <f t="shared" si="717"/>
        <v>-2.5530000000000004</v>
      </c>
      <c r="T128" s="635">
        <f t="shared" si="718"/>
        <v>5.2059009067818014</v>
      </c>
      <c r="U128" s="629">
        <f t="shared" si="719"/>
        <v>6.5213194300515918</v>
      </c>
      <c r="V128" s="636">
        <f t="shared" si="720"/>
        <v>-2.5530000000000004</v>
      </c>
      <c r="W128" s="585">
        <f t="shared" si="645"/>
        <v>51.400000000000006</v>
      </c>
      <c r="X128" s="629">
        <f t="shared" si="721"/>
        <v>8.3444000000000003</v>
      </c>
      <c r="Y128" s="630">
        <f t="shared" si="644"/>
        <v>-2.5530000000000004</v>
      </c>
      <c r="Z128" s="632">
        <f t="shared" si="664"/>
        <v>-0.91126819152303673</v>
      </c>
      <c r="AA128" s="629">
        <f t="shared" si="665"/>
        <v>-0.40516412632874516</v>
      </c>
      <c r="AB128" s="629">
        <f t="shared" si="666"/>
        <v>7.3704232270600592E-2</v>
      </c>
      <c r="AC128" s="636">
        <f t="shared" si="722"/>
        <v>1</v>
      </c>
      <c r="AD128" s="637">
        <f t="shared" si="723"/>
        <v>-0.91126819152303673</v>
      </c>
      <c r="AE128" s="629">
        <f t="shared" si="724"/>
        <v>-0.40516412632874516</v>
      </c>
      <c r="AF128" s="633">
        <f t="shared" si="725"/>
        <v>7.3704232270600592E-2</v>
      </c>
      <c r="AG128" s="602">
        <f t="shared" si="726"/>
        <v>-100.31005190842178</v>
      </c>
      <c r="AH128" s="603">
        <f t="shared" si="727"/>
        <v>155.68119872289193</v>
      </c>
      <c r="AI128" s="585">
        <f t="shared" si="728"/>
        <v>-94.226774208677099</v>
      </c>
      <c r="AJ128" s="586">
        <f t="shared" si="729"/>
        <v>-66.029318809208689</v>
      </c>
      <c r="AK128" s="635">
        <f t="shared" si="730"/>
        <v>-0.88516569123708266</v>
      </c>
      <c r="AL128" s="629">
        <f t="shared" si="731"/>
        <v>0.45940111580423804</v>
      </c>
      <c r="AM128" s="634">
        <f t="shared" si="732"/>
        <v>7.3704232270600592E-2</v>
      </c>
      <c r="AN128" s="581">
        <f t="shared" si="733"/>
        <v>99.114602866049751</v>
      </c>
      <c r="AO128" s="582">
        <f t="shared" si="742"/>
        <v>152.2719182172435</v>
      </c>
      <c r="AP128" s="585">
        <f t="shared" si="734"/>
        <v>152.5706811907913</v>
      </c>
      <c r="AQ128" s="586">
        <f t="shared" si="667"/>
        <v>0.2732023098441933</v>
      </c>
      <c r="AS128" s="52">
        <f t="shared" si="737"/>
        <v>-308.60000000000002</v>
      </c>
      <c r="AT128" s="73">
        <f t="shared" si="668"/>
        <v>-2.3386944444444446</v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>
        <f t="shared" si="643"/>
        <v>6.1379999999999999</v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>
        <f t="shared" si="542"/>
        <v>1613</v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>
        <v>-6.6535735304226664</v>
      </c>
      <c r="C129" s="708">
        <v>5.3764307644811034</v>
      </c>
      <c r="D129" s="709">
        <v>-3.2459000000000007</v>
      </c>
      <c r="E129" s="710">
        <v>0.94718030995909364</v>
      </c>
      <c r="F129" s="708">
        <v>0.32064077396819324</v>
      </c>
      <c r="G129" s="711">
        <v>-6.2413536090727972E-3</v>
      </c>
      <c r="H129" s="710">
        <v>0.26600000000000001</v>
      </c>
      <c r="I129" s="708">
        <v>0.52</v>
      </c>
      <c r="J129" s="570">
        <v>6.141</v>
      </c>
      <c r="K129" s="865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>1313</v>
      </c>
      <c r="L129" s="320"/>
      <c r="M129" s="168">
        <f t="shared" si="660"/>
        <v>6.141</v>
      </c>
      <c r="N129" s="632">
        <f t="shared" si="661"/>
        <v>-6.6535735304226664</v>
      </c>
      <c r="O129" s="629">
        <f t="shared" si="662"/>
        <v>5.3764307644811034</v>
      </c>
      <c r="P129" s="633">
        <f t="shared" si="663"/>
        <v>-3.2459000000000007</v>
      </c>
      <c r="Q129" s="585">
        <f t="shared" si="520"/>
        <v>141.06</v>
      </c>
      <c r="R129" s="629">
        <f t="shared" si="716"/>
        <v>8.5542999999999996</v>
      </c>
      <c r="S129" s="634">
        <f t="shared" si="717"/>
        <v>-3.2459000000000007</v>
      </c>
      <c r="T129" s="635">
        <f t="shared" si="718"/>
        <v>5.3764307644811034</v>
      </c>
      <c r="U129" s="629">
        <f t="shared" si="719"/>
        <v>6.6535735304226655</v>
      </c>
      <c r="V129" s="636">
        <f t="shared" si="720"/>
        <v>-3.2459000000000007</v>
      </c>
      <c r="W129" s="585">
        <f t="shared" si="645"/>
        <v>51.06</v>
      </c>
      <c r="X129" s="629">
        <f t="shared" si="721"/>
        <v>8.5542999999999996</v>
      </c>
      <c r="Y129" s="630">
        <f t="shared" si="644"/>
        <v>-3.2459000000000007</v>
      </c>
      <c r="Z129" s="632">
        <f t="shared" si="664"/>
        <v>-0.94718030995909364</v>
      </c>
      <c r="AA129" s="629">
        <f t="shared" si="665"/>
        <v>-0.32064077396819324</v>
      </c>
      <c r="AB129" s="629">
        <f t="shared" si="666"/>
        <v>6.2413536090727972E-3</v>
      </c>
      <c r="AC129" s="636">
        <f t="shared" si="722"/>
        <v>1</v>
      </c>
      <c r="AD129" s="637">
        <f t="shared" si="723"/>
        <v>-0.94718030995909364</v>
      </c>
      <c r="AE129" s="629">
        <f t="shared" si="724"/>
        <v>-0.32064077396819324</v>
      </c>
      <c r="AF129" s="633">
        <f t="shared" si="725"/>
        <v>6.2413536090727972E-3</v>
      </c>
      <c r="AG129" s="602">
        <f t="shared" si="726"/>
        <v>-91.115135986207335</v>
      </c>
      <c r="AH129" s="603">
        <f t="shared" si="727"/>
        <v>161.29464528651096</v>
      </c>
      <c r="AI129" s="585">
        <f t="shared" si="728"/>
        <v>-90.357605541998112</v>
      </c>
      <c r="AJ129" s="586">
        <f t="shared" si="729"/>
        <v>-71.297941622363581</v>
      </c>
      <c r="AK129" s="635">
        <f t="shared" si="730"/>
        <v>-0.8447045724867992</v>
      </c>
      <c r="AL129" s="629">
        <f t="shared" si="731"/>
        <v>0.53519644124846399</v>
      </c>
      <c r="AM129" s="634">
        <f t="shared" si="732"/>
        <v>6.2413536090727972E-3</v>
      </c>
      <c r="AN129" s="581">
        <f t="shared" si="733"/>
        <v>90.668141607371297</v>
      </c>
      <c r="AO129" s="582">
        <f t="shared" si="742"/>
        <v>147.64029706870997</v>
      </c>
      <c r="AP129" s="585">
        <f t="shared" si="734"/>
        <v>147.6420583776364</v>
      </c>
      <c r="AQ129" s="586">
        <f t="shared" si="667"/>
        <v>0.26649874235745852</v>
      </c>
      <c r="AS129" s="52">
        <f t="shared" si="737"/>
        <v>-308.94</v>
      </c>
      <c r="AT129" s="73">
        <f t="shared" si="668"/>
        <v>-3.0313583333333338</v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>
        <f t="shared" si="643"/>
        <v>6.141</v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>
        <f t="shared" si="542"/>
        <v>1313</v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>
        <v>-6.6498184525382786</v>
      </c>
      <c r="C130" s="713">
        <v>5.3810745245054328</v>
      </c>
      <c r="D130" s="714">
        <v>-3.9310999999999989</v>
      </c>
      <c r="E130" s="715">
        <v>0.94763759469813857</v>
      </c>
      <c r="F130" s="713">
        <v>0.31931668371335875</v>
      </c>
      <c r="G130" s="716">
        <v>-4.4547297369491416E-3</v>
      </c>
      <c r="H130" s="715">
        <v>0.26600000000000001</v>
      </c>
      <c r="I130" s="713">
        <v>0.52</v>
      </c>
      <c r="J130" s="571">
        <v>6.1440000000000001</v>
      </c>
      <c r="K130" s="866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>1313</v>
      </c>
      <c r="L130" s="320"/>
      <c r="M130" s="543">
        <f t="shared" si="660"/>
        <v>6.1440000000000001</v>
      </c>
      <c r="N130" s="638">
        <f t="shared" si="661"/>
        <v>-6.6498184525382786</v>
      </c>
      <c r="O130" s="639">
        <f t="shared" si="662"/>
        <v>5.3810745245054328</v>
      </c>
      <c r="P130" s="640">
        <f t="shared" si="663"/>
        <v>-3.9310999999999989</v>
      </c>
      <c r="Q130" s="593">
        <f t="shared" ref="Q130:Q150" si="743">IF(M130="","",IF(DEGREES(ATAN2(N130,O130))&lt;0,DEGREES(ATAN2(N130,O130))+360,IF(DEGREES(ATAN2(N130,O130))&gt;360,DEGREES(ATAN2(N130,O130))-360,DEGREES(ATAN2(N130,O130)))))</f>
        <v>141.02000000000001</v>
      </c>
      <c r="R130" s="639">
        <f t="shared" ref="R130:R150" si="744">IF(M130="","",SQRT(N130^2+O130^2))</f>
        <v>8.5542999999999978</v>
      </c>
      <c r="S130" s="641">
        <f t="shared" ref="S130:S150" si="745">IF(M130="","",P130)</f>
        <v>-3.9310999999999989</v>
      </c>
      <c r="T130" s="642">
        <f t="shared" ref="T130:T150" si="746">IF(M130="","",X130*COS(RADIANS(W130)))</f>
        <v>5.3810745245054319</v>
      </c>
      <c r="U130" s="639">
        <f t="shared" ref="U130:U150" si="747">IF(M130="","",X130*SIN(RADIANS(W130)))</f>
        <v>6.6498184525382804</v>
      </c>
      <c r="V130" s="643">
        <f t="shared" ref="V130:V150" si="748">IF(M130="","",Y130)</f>
        <v>-3.9310999999999989</v>
      </c>
      <c r="W130" s="593">
        <f t="shared" ref="W130:W150" si="749">IF(M130="","",IF(Q130-$Q$8&lt;0,360+Q130-$Q$8,Q130-$Q$8))</f>
        <v>51.02000000000001</v>
      </c>
      <c r="X130" s="639">
        <f t="shared" ref="X130:X150" si="750">IF(M130="","",R130)</f>
        <v>8.5542999999999978</v>
      </c>
      <c r="Y130" s="644">
        <f t="shared" ref="Y130:Y150" si="751">IF(M130="","",S130)</f>
        <v>-3.9310999999999989</v>
      </c>
      <c r="Z130" s="638">
        <f t="shared" si="664"/>
        <v>-0.94763759469813857</v>
      </c>
      <c r="AA130" s="639">
        <f t="shared" si="665"/>
        <v>-0.31931668371335875</v>
      </c>
      <c r="AB130" s="639">
        <f t="shared" si="666"/>
        <v>4.4547297369491416E-3</v>
      </c>
      <c r="AC130" s="643">
        <f t="shared" ref="AC130:AC150" si="752">IF(M130="","",SQRT(Z130^2+AA130^2+AB130^2))</f>
        <v>1</v>
      </c>
      <c r="AD130" s="645">
        <f t="shared" ref="AD130:AD150" si="753">IF(M130="","",Z130*(1/SQRT(Z130^2+AA130^2+AB130^2)))</f>
        <v>-0.94763759469813857</v>
      </c>
      <c r="AE130" s="639">
        <f t="shared" ref="AE130:AE150" si="754">IF(M130="","",AA130*(1/SQRT(Z130^2+AA130^2+AB130^2)))</f>
        <v>-0.31931668371335875</v>
      </c>
      <c r="AF130" s="640">
        <f t="shared" ref="AF130:AF150" si="755">IF(M130="","",AB130*(1/SQRT(Z130^2+AA130^2+AB130^2)))</f>
        <v>4.4547297369491416E-3</v>
      </c>
      <c r="AG130" s="604">
        <f t="shared" ref="AG130:AG150" si="756">IF(M130="","",DEGREES(ATAN2(-AF130,AE130)))</f>
        <v>-90.799271285221948</v>
      </c>
      <c r="AH130" s="605">
        <f t="shared" ref="AH130:AH150" si="757">IF(M130="","",DEGREES(ACOS(AD130)))</f>
        <v>161.37651548746095</v>
      </c>
      <c r="AI130" s="593">
        <f t="shared" ref="AI130:AI150" si="758">IF(M130="","",DEGREES(-ACOS(-AF130)))</f>
        <v>-90.25523805698694</v>
      </c>
      <c r="AJ130" s="594">
        <f t="shared" ref="AJ130:AJ150" si="759">IF(M130="","",DEGREES(ATAN2(-AE130,AD130)))</f>
        <v>-71.378202581185604</v>
      </c>
      <c r="AK130" s="642">
        <f t="shared" ref="AK130:AK150" si="760">IF(M130="","",(COS(RADIANS((90-$Q$8)-W130))*AD130)+(-SIN(RADIANS((90-$Q$8)-W130))*AE130))</f>
        <v>-0.84433635655216455</v>
      </c>
      <c r="AL130" s="639">
        <f t="shared" ref="AL130:AL150" si="761">IF(M130="","",(SIN(RADIANS((90-$Q$8)-W130))*AD130)+(COS(RADIANS((90-$Q$8)-W130))*AE130))</f>
        <v>0.53579499100606265</v>
      </c>
      <c r="AM130" s="641">
        <f t="shared" ref="AM130:AM150" si="762">IF(M130="","",AF130)</f>
        <v>4.4547297369491416E-3</v>
      </c>
      <c r="AN130" s="591">
        <f t="shared" ref="AN130:AN150" si="763">IF(M130="","",DEGREES(ATAN2(-AM130,AL130)))</f>
        <v>90.476360055799134</v>
      </c>
      <c r="AO130" s="592">
        <f t="shared" si="742"/>
        <v>147.60090154054188</v>
      </c>
      <c r="AP130" s="593">
        <f t="shared" ref="AP130:AP150" si="764">IF(M130="","",DEGREES(ATAN2(AK130,AL130)))</f>
        <v>147.60179741881436</v>
      </c>
      <c r="AQ130" s="594">
        <f t="shared" si="667"/>
        <v>0.26649874235745857</v>
      </c>
      <c r="AS130" s="555">
        <f t="shared" si="737"/>
        <v>-308.98</v>
      </c>
      <c r="AT130" s="556">
        <f t="shared" si="668"/>
        <v>-3.7165305555555546</v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>
        <f t="shared" si="643"/>
        <v>6.1440000000000001</v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>
        <f t="shared" si="542"/>
        <v>1313</v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>
        <v>-2.5688779963227448</v>
      </c>
      <c r="C131" s="713">
        <v>3.0907152047127688</v>
      </c>
      <c r="D131" s="714">
        <v>-0.24070147190697214</v>
      </c>
      <c r="E131" s="715">
        <v>-1.7441496964503381E-7</v>
      </c>
      <c r="F131" s="713">
        <v>-1.4496669802097332E-7</v>
      </c>
      <c r="G131" s="716">
        <v>0.99999999999997435</v>
      </c>
      <c r="H131" s="715">
        <v>0.26250000000000001</v>
      </c>
      <c r="I131" s="708">
        <v>0.40699999999999997</v>
      </c>
      <c r="J131" s="571">
        <v>6.2160000000000002</v>
      </c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>Inactive</v>
      </c>
      <c r="L131" s="320"/>
      <c r="M131" s="543">
        <f t="shared" si="660"/>
        <v>6.2160000000000002</v>
      </c>
      <c r="N131" s="638">
        <f t="shared" si="661"/>
        <v>-2.5688779963227448</v>
      </c>
      <c r="O131" s="639">
        <f t="shared" si="662"/>
        <v>3.0907152047127688</v>
      </c>
      <c r="P131" s="640">
        <f t="shared" si="663"/>
        <v>-0.24070147190697214</v>
      </c>
      <c r="Q131" s="593">
        <f t="shared" si="743"/>
        <v>129.7319942634098</v>
      </c>
      <c r="R131" s="639">
        <f t="shared" si="744"/>
        <v>4.0189121210389578</v>
      </c>
      <c r="S131" s="641">
        <f t="shared" si="745"/>
        <v>-0.24070147190697214</v>
      </c>
      <c r="T131" s="642">
        <f t="shared" si="746"/>
        <v>3.0907152047127684</v>
      </c>
      <c r="U131" s="639">
        <f t="shared" si="747"/>
        <v>2.5688779963227462</v>
      </c>
      <c r="V131" s="643">
        <f t="shared" si="748"/>
        <v>-0.24070147190697214</v>
      </c>
      <c r="W131" s="593">
        <f t="shared" si="749"/>
        <v>39.731994263409803</v>
      </c>
      <c r="X131" s="639">
        <f t="shared" si="750"/>
        <v>4.0189121210389578</v>
      </c>
      <c r="Y131" s="644">
        <f t="shared" si="751"/>
        <v>-0.24070147190697214</v>
      </c>
      <c r="Z131" s="638">
        <f t="shared" si="664"/>
        <v>1.7441496964503381E-7</v>
      </c>
      <c r="AA131" s="639">
        <f t="shared" si="665"/>
        <v>1.4496669802097332E-7</v>
      </c>
      <c r="AB131" s="639">
        <f t="shared" si="666"/>
        <v>-0.99999999999997435</v>
      </c>
      <c r="AC131" s="643">
        <f t="shared" si="752"/>
        <v>1</v>
      </c>
      <c r="AD131" s="645">
        <f t="shared" si="753"/>
        <v>1.7441496964503381E-7</v>
      </c>
      <c r="AE131" s="639">
        <f t="shared" si="754"/>
        <v>1.4496669802097332E-7</v>
      </c>
      <c r="AF131" s="640">
        <f t="shared" si="755"/>
        <v>-0.99999999999997435</v>
      </c>
      <c r="AG131" s="604">
        <f t="shared" si="756"/>
        <v>8.3059799665494289E-6</v>
      </c>
      <c r="AH131" s="605">
        <f t="shared" si="757"/>
        <v>89.999990006758352</v>
      </c>
      <c r="AI131" s="593">
        <f t="shared" si="758"/>
        <v>-1.2976235990044085E-5</v>
      </c>
      <c r="AJ131" s="594">
        <f t="shared" si="759"/>
        <v>129.73199426340977</v>
      </c>
      <c r="AK131" s="642">
        <f t="shared" si="760"/>
        <v>2.2679489670489093E-7</v>
      </c>
      <c r="AL131" s="639">
        <f t="shared" si="761"/>
        <v>-9.26442286059391E-23</v>
      </c>
      <c r="AM131" s="641">
        <f t="shared" si="762"/>
        <v>-0.99999999999997435</v>
      </c>
      <c r="AN131" s="591">
        <f t="shared" si="763"/>
        <v>-5.3081232953656169E-21</v>
      </c>
      <c r="AO131" s="592">
        <f t="shared" si="742"/>
        <v>0</v>
      </c>
      <c r="AP131" s="593">
        <f t="shared" si="764"/>
        <v>-2.3404950342742912E-14</v>
      </c>
      <c r="AQ131" s="594">
        <f t="shared" si="667"/>
        <v>0.56723115195583207</v>
      </c>
      <c r="AS131" s="555">
        <f t="shared" si="737"/>
        <v>-320.26800573659023</v>
      </c>
      <c r="AT131" s="556">
        <f t="shared" si="668"/>
        <v>-1.8293134589895593E-2</v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>Nose</v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>
        <f t="shared" si="643"/>
        <v>6.2160000000000002</v>
      </c>
      <c r="IH131" s="731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>4.1159999999999997</v>
      </c>
      <c r="II131" s="734" cm="1">
        <f t="array" ref="II131">IFERROR(ROUND(VALUE(IF($IH131&lt;1,$IH131+LARGE((IF($M$9:$M$150="",0,$M$9:$M$150)-MOD(IF($M$9:$M$150="",0,$M$9:$M$150),1)),1),$IH131)),4),"")</f>
        <v>4.1159999999999997</v>
      </c>
      <c r="IJ131" s="533">
        <f t="shared" si="542"/>
        <v>1613</v>
      </c>
      <c r="IK131" s="533" t="str">
        <f t="shared" si="713"/>
        <v>Inactive</v>
      </c>
      <c r="IL131" s="727">
        <f t="shared" si="647"/>
        <v>130.22800573659023</v>
      </c>
      <c r="IM131" s="759">
        <v>5.8141265827455102E-2</v>
      </c>
      <c r="IN131" s="5">
        <f t="shared" si="648"/>
        <v>0.18</v>
      </c>
      <c r="IO131" s="771">
        <v>90</v>
      </c>
      <c r="IP131" s="9">
        <f t="shared" si="649"/>
        <v>-4.0189000000000004</v>
      </c>
      <c r="IQ131" s="5">
        <f t="shared" si="650"/>
        <v>-0.22090000000000001</v>
      </c>
      <c r="IR131" s="5">
        <f t="shared" si="714"/>
        <v>0.314</v>
      </c>
      <c r="IS131" s="5">
        <f t="shared" si="651"/>
        <v>-0.30326493648688452</v>
      </c>
      <c r="IT131" s="727">
        <f t="shared" si="652"/>
        <v>-176.60365734160374</v>
      </c>
      <c r="IU131" s="9">
        <f t="shared" si="653"/>
        <v>-4.0189121210389578</v>
      </c>
      <c r="IV131" s="5">
        <f t="shared" si="654"/>
        <v>-0.24070147190697214</v>
      </c>
      <c r="IW131" s="5">
        <f t="shared" si="715"/>
        <v>0.26250000000000001</v>
      </c>
      <c r="IX131" s="5">
        <f t="shared" si="655"/>
        <v>0.26250000000000001</v>
      </c>
      <c r="IY131" s="762">
        <f t="shared" si="656"/>
        <v>5.3081232953656169E-21</v>
      </c>
    </row>
    <row r="132" spans="1:259" ht="15" customHeight="1" x14ac:dyDescent="0.25">
      <c r="A132" s="79"/>
      <c r="B132" s="712">
        <v>-3.0839207858054611</v>
      </c>
      <c r="C132" s="713">
        <v>3.6569599823482863</v>
      </c>
      <c r="D132" s="714">
        <v>-9.1195362663213292E-2</v>
      </c>
      <c r="E132" s="715">
        <v>-1.7337570502455844E-7</v>
      </c>
      <c r="F132" s="713">
        <v>-1.4620803705471402E-7</v>
      </c>
      <c r="G132" s="716">
        <v>0.99999999999997435</v>
      </c>
      <c r="H132" s="715">
        <v>0.26250000000000001</v>
      </c>
      <c r="I132" s="708">
        <v>0.40699999999999997</v>
      </c>
      <c r="J132" s="571">
        <v>6.2190000000000003</v>
      </c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>Inactive</v>
      </c>
      <c r="L132" s="320"/>
      <c r="M132" s="543">
        <f t="shared" si="660"/>
        <v>6.2190000000000003</v>
      </c>
      <c r="N132" s="638">
        <f t="shared" si="661"/>
        <v>-3.0839207858054611</v>
      </c>
      <c r="O132" s="639">
        <f t="shared" si="662"/>
        <v>3.6569599823482863</v>
      </c>
      <c r="P132" s="640">
        <f t="shared" si="663"/>
        <v>-9.1195362663213292E-2</v>
      </c>
      <c r="Q132" s="593">
        <f t="shared" si="743"/>
        <v>130.1409942043575</v>
      </c>
      <c r="R132" s="639">
        <f t="shared" si="744"/>
        <v>4.7837144276827139</v>
      </c>
      <c r="S132" s="641">
        <f t="shared" si="745"/>
        <v>-9.1195362663213292E-2</v>
      </c>
      <c r="T132" s="642">
        <f t="shared" si="746"/>
        <v>3.6569599823482863</v>
      </c>
      <c r="U132" s="639">
        <f t="shared" si="747"/>
        <v>3.0839207858054616</v>
      </c>
      <c r="V132" s="643">
        <f t="shared" si="748"/>
        <v>-9.1195362663213292E-2</v>
      </c>
      <c r="W132" s="593">
        <f t="shared" si="749"/>
        <v>40.140994204357497</v>
      </c>
      <c r="X132" s="639">
        <f t="shared" si="750"/>
        <v>4.7837144276827139</v>
      </c>
      <c r="Y132" s="644">
        <f t="shared" si="751"/>
        <v>-9.1195362663213292E-2</v>
      </c>
      <c r="Z132" s="638">
        <f t="shared" si="664"/>
        <v>1.7337570502455844E-7</v>
      </c>
      <c r="AA132" s="639">
        <f t="shared" si="665"/>
        <v>1.4620803705471402E-7</v>
      </c>
      <c r="AB132" s="639">
        <f t="shared" si="666"/>
        <v>-0.99999999999997435</v>
      </c>
      <c r="AC132" s="643">
        <f t="shared" si="752"/>
        <v>1</v>
      </c>
      <c r="AD132" s="645">
        <f t="shared" si="753"/>
        <v>1.7337570502455844E-7</v>
      </c>
      <c r="AE132" s="639">
        <f t="shared" si="754"/>
        <v>1.4620803705471402E-7</v>
      </c>
      <c r="AF132" s="640">
        <f t="shared" si="755"/>
        <v>-0.99999999999997435</v>
      </c>
      <c r="AG132" s="604">
        <f t="shared" si="756"/>
        <v>8.3771034541276206E-6</v>
      </c>
      <c r="AH132" s="605">
        <f t="shared" si="757"/>
        <v>89.999990066303823</v>
      </c>
      <c r="AI132" s="593">
        <f t="shared" si="758"/>
        <v>-1.2976235990044085E-5</v>
      </c>
      <c r="AJ132" s="594">
        <f t="shared" si="759"/>
        <v>130.14099421111058</v>
      </c>
      <c r="AK132" s="642">
        <f t="shared" si="760"/>
        <v>2.267948967506882E-7</v>
      </c>
      <c r="AL132" s="639">
        <f t="shared" si="761"/>
        <v>2.6730784863459418E-17</v>
      </c>
      <c r="AM132" s="641">
        <f t="shared" si="762"/>
        <v>-0.99999999999997435</v>
      </c>
      <c r="AN132" s="591">
        <f t="shared" si="763"/>
        <v>1.5315611557484483E-15</v>
      </c>
      <c r="AO132" s="592">
        <f t="shared" si="742"/>
        <v>0</v>
      </c>
      <c r="AP132" s="593">
        <f t="shared" si="764"/>
        <v>6.7530671002356299E-9</v>
      </c>
      <c r="AQ132" s="594">
        <f t="shared" si="667"/>
        <v>0.4765489447549221</v>
      </c>
      <c r="AS132" s="555">
        <f t="shared" si="737"/>
        <v>-319.85900579564247</v>
      </c>
      <c r="AT132" s="556">
        <f t="shared" si="668"/>
        <v>0.130928946917094</v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>Nose</v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>
        <f t="shared" si="643"/>
        <v>6.2190000000000003</v>
      </c>
      <c r="IH132" s="731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>4.1189999999999998</v>
      </c>
      <c r="II132" s="734" cm="1">
        <f t="array" ref="II132">IFERROR(ROUND(VALUE(IF($IH132&lt;1,$IH132+LARGE((IF($M$9:$M$150="",0,$M$9:$M$150)-MOD(IF($M$9:$M$150="",0,$M$9:$M$150),1)),1),$IH132)),4),"")</f>
        <v>4.1189999999999998</v>
      </c>
      <c r="IJ132" s="533">
        <f t="shared" si="542"/>
        <v>1613</v>
      </c>
      <c r="IK132" s="533" t="str">
        <f t="shared" si="713"/>
        <v>Inactive</v>
      </c>
      <c r="IL132" s="727">
        <f t="shared" si="647"/>
        <v>129.52900579564252</v>
      </c>
      <c r="IM132" s="759">
        <v>5.6580133139550001E-2</v>
      </c>
      <c r="IN132" s="5">
        <f t="shared" si="648"/>
        <v>0.18</v>
      </c>
      <c r="IO132" s="771">
        <v>90</v>
      </c>
      <c r="IP132" s="9">
        <f t="shared" si="649"/>
        <v>-4.7836999999999996</v>
      </c>
      <c r="IQ132" s="5">
        <f t="shared" si="650"/>
        <v>-7.149999999999998E-2</v>
      </c>
      <c r="IR132" s="5">
        <f t="shared" si="714"/>
        <v>0.314</v>
      </c>
      <c r="IS132" s="5">
        <f t="shared" si="651"/>
        <v>-0.30290960678071455</v>
      </c>
      <c r="IT132" s="727">
        <f t="shared" si="652"/>
        <v>-168.88837868166399</v>
      </c>
      <c r="IU132" s="9">
        <f t="shared" si="653"/>
        <v>-4.7837144276827139</v>
      </c>
      <c r="IV132" s="5">
        <f t="shared" si="654"/>
        <v>-9.1195362663213292E-2</v>
      </c>
      <c r="IW132" s="5">
        <f t="shared" si="715"/>
        <v>0.26250000000000001</v>
      </c>
      <c r="IX132" s="5">
        <f t="shared" si="655"/>
        <v>0.26250000000000001</v>
      </c>
      <c r="IY132" s="762">
        <f t="shared" si="656"/>
        <v>-1.5315611557484483E-15</v>
      </c>
    </row>
    <row r="133" spans="1:259" ht="15" customHeight="1" x14ac:dyDescent="0.25">
      <c r="A133" s="79"/>
      <c r="B133" s="712">
        <v>-3.551984638744941</v>
      </c>
      <c r="C133" s="713">
        <v>4.2500860584972155</v>
      </c>
      <c r="D133" s="714">
        <v>-0.1144319609149535</v>
      </c>
      <c r="E133" s="715">
        <v>-6.4805089542158939E-2</v>
      </c>
      <c r="F133" s="713">
        <v>7.754142525723319E-2</v>
      </c>
      <c r="G133" s="716">
        <v>0.99488071030576819</v>
      </c>
      <c r="H133" s="715">
        <v>0.26250000000000001</v>
      </c>
      <c r="I133" s="708">
        <v>0.40699999999999997</v>
      </c>
      <c r="J133" s="571">
        <v>6.2220000000000004</v>
      </c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>Inactive</v>
      </c>
      <c r="L133" s="320"/>
      <c r="M133" s="543">
        <f t="shared" si="660"/>
        <v>6.2220000000000004</v>
      </c>
      <c r="N133" s="638">
        <f t="shared" si="661"/>
        <v>-3.551984638744941</v>
      </c>
      <c r="O133" s="639">
        <f t="shared" si="662"/>
        <v>4.2500860584972155</v>
      </c>
      <c r="P133" s="640">
        <f t="shared" si="663"/>
        <v>-0.1144319609149535</v>
      </c>
      <c r="Q133" s="593">
        <f t="shared" si="743"/>
        <v>129.88699424103055</v>
      </c>
      <c r="R133" s="639">
        <f t="shared" si="744"/>
        <v>5.5389372968569006</v>
      </c>
      <c r="S133" s="641">
        <f t="shared" si="745"/>
        <v>-0.1144319609149535</v>
      </c>
      <c r="T133" s="642">
        <f t="shared" si="746"/>
        <v>4.2500860584972164</v>
      </c>
      <c r="U133" s="639">
        <f t="shared" si="747"/>
        <v>3.5519846387449405</v>
      </c>
      <c r="V133" s="643">
        <f t="shared" si="748"/>
        <v>-0.1144319609149535</v>
      </c>
      <c r="W133" s="593">
        <f t="shared" si="749"/>
        <v>39.88699424103055</v>
      </c>
      <c r="X133" s="639">
        <f t="shared" si="750"/>
        <v>5.5389372968569006</v>
      </c>
      <c r="Y133" s="644">
        <f t="shared" si="751"/>
        <v>-0.1144319609149535</v>
      </c>
      <c r="Z133" s="638">
        <f t="shared" si="664"/>
        <v>6.4805089542158939E-2</v>
      </c>
      <c r="AA133" s="639">
        <f t="shared" si="665"/>
        <v>-7.754142525723319E-2</v>
      </c>
      <c r="AB133" s="639">
        <f t="shared" si="666"/>
        <v>-0.99488071030576819</v>
      </c>
      <c r="AC133" s="643">
        <f t="shared" si="752"/>
        <v>1</v>
      </c>
      <c r="AD133" s="645">
        <f t="shared" si="753"/>
        <v>6.4805089542158939E-2</v>
      </c>
      <c r="AE133" s="639">
        <f t="shared" si="754"/>
        <v>-7.754142525723319E-2</v>
      </c>
      <c r="AF133" s="640">
        <f t="shared" si="755"/>
        <v>-0.99488071030576819</v>
      </c>
      <c r="AG133" s="604">
        <f t="shared" si="756"/>
        <v>-4.4566476903594667</v>
      </c>
      <c r="AH133" s="605">
        <f t="shared" si="757"/>
        <v>86.284337999476421</v>
      </c>
      <c r="AI133" s="593">
        <f t="shared" si="758"/>
        <v>-5.7999991625981906</v>
      </c>
      <c r="AJ133" s="594">
        <f t="shared" si="759"/>
        <v>39.887122826706353</v>
      </c>
      <c r="AK133" s="642">
        <f t="shared" si="760"/>
        <v>2.2679489671689756E-7</v>
      </c>
      <c r="AL133" s="639">
        <f t="shared" si="761"/>
        <v>-0.10105628264209446</v>
      </c>
      <c r="AM133" s="641">
        <f t="shared" si="762"/>
        <v>-0.99488071030576819</v>
      </c>
      <c r="AN133" s="591">
        <f t="shared" si="763"/>
        <v>-5.7999991625837284</v>
      </c>
      <c r="AO133" s="592">
        <f t="shared" si="742"/>
        <v>0</v>
      </c>
      <c r="AP133" s="593">
        <f t="shared" si="764"/>
        <v>-89.999871414324204</v>
      </c>
      <c r="AQ133" s="594">
        <f t="shared" si="667"/>
        <v>0.41157487404050286</v>
      </c>
      <c r="AS133" s="555">
        <f t="shared" si="737"/>
        <v>-320.11300575896945</v>
      </c>
      <c r="AT133" s="556">
        <f t="shared" si="668"/>
        <v>0.10786873752877529</v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>Nose</v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>
        <f t="shared" si="643"/>
        <v>6.2220000000000004</v>
      </c>
      <c r="IH133" s="731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>4.1219999999999999</v>
      </c>
      <c r="II133" s="734" cm="1">
        <f t="array" ref="II133">IFERROR(ROUND(VALUE(IF($IH133&lt;1,$IH133+LARGE((IF($M$9:$M$150="",0,$M$9:$M$150)-MOD(IF($M$9:$M$150="",0,$M$9:$M$150),1)),1),$IH133)),4),"")</f>
        <v>4.1219999999999999</v>
      </c>
      <c r="IJ133" s="533">
        <f t="shared" si="542"/>
        <v>1613</v>
      </c>
      <c r="IK133" s="533" t="str">
        <f t="shared" si="713"/>
        <v>Inactive</v>
      </c>
      <c r="IL133" s="727">
        <f t="shared" si="647"/>
        <v>129.28300575896947</v>
      </c>
      <c r="IM133" s="759">
        <v>5.86951080929616E-2</v>
      </c>
      <c r="IN133" s="5">
        <f t="shared" si="648"/>
        <v>0.18</v>
      </c>
      <c r="IO133" s="771">
        <v>90</v>
      </c>
      <c r="IP133" s="9">
        <f t="shared" si="649"/>
        <v>-5.5450999999999997</v>
      </c>
      <c r="IQ133" s="5">
        <f t="shared" si="650"/>
        <v>-9.4599999999999976E-2</v>
      </c>
      <c r="IR133" s="5">
        <f t="shared" si="714"/>
        <v>0.314</v>
      </c>
      <c r="IS133" s="5">
        <f t="shared" si="651"/>
        <v>-0.30217862889289565</v>
      </c>
      <c r="IT133" s="727">
        <f t="shared" si="652"/>
        <v>-155.76810004258451</v>
      </c>
      <c r="IU133" s="9">
        <f t="shared" si="653"/>
        <v>-5.5389372968569006</v>
      </c>
      <c r="IV133" s="5">
        <f t="shared" si="654"/>
        <v>-0.1144319609149535</v>
      </c>
      <c r="IW133" s="5">
        <f t="shared" si="715"/>
        <v>0.26250000000000001</v>
      </c>
      <c r="IX133" s="5">
        <f t="shared" si="655"/>
        <v>0.26250000000000001</v>
      </c>
      <c r="IY133" s="762">
        <f t="shared" si="656"/>
        <v>5.7999991625837284</v>
      </c>
    </row>
    <row r="134" spans="1:259" ht="15" customHeight="1" x14ac:dyDescent="0.25">
      <c r="A134" s="79"/>
      <c r="B134" s="712">
        <v>-4.1953036763230012</v>
      </c>
      <c r="C134" s="713">
        <v>4.6567419593056023</v>
      </c>
      <c r="D134" s="714">
        <v>-0.2907313407497733</v>
      </c>
      <c r="E134" s="715">
        <v>-0.8007162869441028</v>
      </c>
      <c r="F134" s="713">
        <v>-0.39587981000046124</v>
      </c>
      <c r="G134" s="716">
        <v>0.44959159673691412</v>
      </c>
      <c r="H134" s="715">
        <v>0.26600000000000001</v>
      </c>
      <c r="I134" s="713">
        <v>0.52</v>
      </c>
      <c r="J134" s="571">
        <v>6.2249999999999996</v>
      </c>
      <c r="K134" s="866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>1313</v>
      </c>
      <c r="L134" s="320"/>
      <c r="M134" s="543">
        <f t="shared" si="660"/>
        <v>6.2249999999999996</v>
      </c>
      <c r="N134" s="638">
        <f t="shared" si="661"/>
        <v>-4.1953036763230012</v>
      </c>
      <c r="O134" s="639">
        <f t="shared" si="662"/>
        <v>4.6567419593056023</v>
      </c>
      <c r="P134" s="640">
        <f t="shared" si="663"/>
        <v>-0.2907313407497733</v>
      </c>
      <c r="Q134" s="593">
        <f t="shared" si="743"/>
        <v>132.01599393364103</v>
      </c>
      <c r="R134" s="639">
        <f t="shared" si="744"/>
        <v>6.2678400276432287</v>
      </c>
      <c r="S134" s="641">
        <f t="shared" si="745"/>
        <v>-0.2907313407497733</v>
      </c>
      <c r="T134" s="642">
        <f t="shared" si="746"/>
        <v>4.6567419593056023</v>
      </c>
      <c r="U134" s="639">
        <f t="shared" si="747"/>
        <v>4.1953036763230012</v>
      </c>
      <c r="V134" s="643">
        <f t="shared" si="748"/>
        <v>-0.2907313407497733</v>
      </c>
      <c r="W134" s="593">
        <f t="shared" si="749"/>
        <v>42.015993933641028</v>
      </c>
      <c r="X134" s="639">
        <f t="shared" si="750"/>
        <v>6.2678400276432287</v>
      </c>
      <c r="Y134" s="644">
        <f t="shared" si="751"/>
        <v>-0.2907313407497733</v>
      </c>
      <c r="Z134" s="638">
        <f t="shared" si="664"/>
        <v>0.8007162869441028</v>
      </c>
      <c r="AA134" s="639">
        <f t="shared" si="665"/>
        <v>0.39587981000046124</v>
      </c>
      <c r="AB134" s="639">
        <f t="shared" si="666"/>
        <v>-0.44959159673691412</v>
      </c>
      <c r="AC134" s="643">
        <f t="shared" si="752"/>
        <v>1</v>
      </c>
      <c r="AD134" s="645">
        <f t="shared" si="753"/>
        <v>0.8007162869441028</v>
      </c>
      <c r="AE134" s="639">
        <f t="shared" si="754"/>
        <v>0.39587981000046124</v>
      </c>
      <c r="AF134" s="640">
        <f t="shared" si="755"/>
        <v>-0.44959159673691412</v>
      </c>
      <c r="AG134" s="604">
        <f t="shared" si="756"/>
        <v>41.364952678448155</v>
      </c>
      <c r="AH134" s="605">
        <f t="shared" si="757"/>
        <v>36.801442739920169</v>
      </c>
      <c r="AI134" s="593">
        <f t="shared" si="758"/>
        <v>-63.282515758906975</v>
      </c>
      <c r="AJ134" s="594">
        <f t="shared" si="759"/>
        <v>116.30811802099933</v>
      </c>
      <c r="AK134" s="642">
        <f t="shared" si="760"/>
        <v>0.85987599067928122</v>
      </c>
      <c r="AL134" s="639">
        <f t="shared" si="761"/>
        <v>-0.24182778334359506</v>
      </c>
      <c r="AM134" s="641">
        <f t="shared" si="762"/>
        <v>-0.44959159673691412</v>
      </c>
      <c r="AN134" s="591">
        <f t="shared" si="763"/>
        <v>-28.275062931574084</v>
      </c>
      <c r="AO134" s="592">
        <f t="shared" si="742"/>
        <v>30.697338017156746</v>
      </c>
      <c r="AP134" s="593">
        <f t="shared" si="764"/>
        <v>-15.707875912641706</v>
      </c>
      <c r="AQ134" s="594">
        <f t="shared" si="667"/>
        <v>0.36371317706924383</v>
      </c>
      <c r="AS134" s="555">
        <f t="shared" si="737"/>
        <v>-317.98400606635897</v>
      </c>
      <c r="AT134" s="556">
        <f t="shared" si="668"/>
        <v>-6.990911431480179E-2</v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>Nose</v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>
        <f t="shared" si="643"/>
        <v>6.2249999999999996</v>
      </c>
      <c r="IH134" s="731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>4.125</v>
      </c>
      <c r="II134" s="734" cm="1">
        <f t="array" ref="II134">IFERROR(ROUND(VALUE(IF($IH134&lt;1,$IH134+LARGE((IF($M$9:$M$150="",0,$M$9:$M$150)-MOD(IF($M$9:$M$150="",0,$M$9:$M$150),1)),1),$IH134)),4),"")</f>
        <v>4.125</v>
      </c>
      <c r="IJ134" s="533">
        <f t="shared" si="542"/>
        <v>1613</v>
      </c>
      <c r="IK134" s="533">
        <f t="shared" si="713"/>
        <v>1313</v>
      </c>
      <c r="IL134" s="727">
        <f t="shared" si="647"/>
        <v>126.574006066359</v>
      </c>
      <c r="IM134" s="759">
        <v>4.6115031530504703E-2</v>
      </c>
      <c r="IN134" s="5">
        <f t="shared" si="648"/>
        <v>0.22</v>
      </c>
      <c r="IO134" s="771">
        <v>110</v>
      </c>
      <c r="IP134" s="9">
        <f t="shared" si="649"/>
        <v>-6.2620000000000005</v>
      </c>
      <c r="IQ134" s="5">
        <f t="shared" si="650"/>
        <v>-0.2797</v>
      </c>
      <c r="IR134" s="5">
        <f t="shared" si="714"/>
        <v>0.314</v>
      </c>
      <c r="IS134" s="5">
        <f t="shared" si="651"/>
        <v>-0.30114829830714201</v>
      </c>
      <c r="IT134" s="727">
        <f t="shared" si="652"/>
        <v>-140.36668545363938</v>
      </c>
      <c r="IU134" s="9">
        <f t="shared" si="653"/>
        <v>-6.2678400276432287</v>
      </c>
      <c r="IV134" s="5">
        <f t="shared" si="654"/>
        <v>-0.2907313407497733</v>
      </c>
      <c r="IW134" s="5">
        <f t="shared" si="715"/>
        <v>0.26600000000000001</v>
      </c>
      <c r="IX134" s="5">
        <f t="shared" si="655"/>
        <v>0.22872701352068886</v>
      </c>
      <c r="IY134" s="762">
        <f t="shared" si="656"/>
        <v>28.275062931574084</v>
      </c>
    </row>
    <row r="135" spans="1:259" ht="15" customHeight="1" x14ac:dyDescent="0.25">
      <c r="A135" s="79"/>
      <c r="B135" s="712">
        <v>-4.601200119818099</v>
      </c>
      <c r="C135" s="713">
        <v>5.1819109968130999</v>
      </c>
      <c r="D135" s="714">
        <v>-0.62810490732605206</v>
      </c>
      <c r="E135" s="715">
        <v>-0.86304307015652326</v>
      </c>
      <c r="F135" s="713">
        <v>-0.31773577928078867</v>
      </c>
      <c r="G135" s="716">
        <v>0.39268388510305907</v>
      </c>
      <c r="H135" s="715">
        <v>0.26600000000000001</v>
      </c>
      <c r="I135" s="713">
        <v>0.52</v>
      </c>
      <c r="J135" s="571">
        <v>6.2279999999999998</v>
      </c>
      <c r="K135" s="866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>1313</v>
      </c>
      <c r="L135" s="320"/>
      <c r="M135" s="543">
        <f t="shared" si="660"/>
        <v>6.2279999999999998</v>
      </c>
      <c r="N135" s="638">
        <f t="shared" si="661"/>
        <v>-4.601200119818099</v>
      </c>
      <c r="O135" s="639">
        <f t="shared" si="662"/>
        <v>5.1819109968130999</v>
      </c>
      <c r="P135" s="640">
        <f t="shared" si="663"/>
        <v>-0.62810490732605206</v>
      </c>
      <c r="Q135" s="593">
        <f t="shared" si="743"/>
        <v>131.60299399327084</v>
      </c>
      <c r="R135" s="639">
        <f t="shared" si="744"/>
        <v>6.9298805272173789</v>
      </c>
      <c r="S135" s="641">
        <f t="shared" si="745"/>
        <v>-0.62810490732605206</v>
      </c>
      <c r="T135" s="642">
        <f t="shared" si="746"/>
        <v>5.1819109968131007</v>
      </c>
      <c r="U135" s="639">
        <f t="shared" si="747"/>
        <v>4.6012001198180981</v>
      </c>
      <c r="V135" s="643">
        <f t="shared" si="748"/>
        <v>-0.62810490732605206</v>
      </c>
      <c r="W135" s="593">
        <f t="shared" si="749"/>
        <v>41.602993993270843</v>
      </c>
      <c r="X135" s="639">
        <f t="shared" si="750"/>
        <v>6.9298805272173789</v>
      </c>
      <c r="Y135" s="644">
        <f t="shared" si="751"/>
        <v>-0.62810490732605206</v>
      </c>
      <c r="Z135" s="638">
        <f t="shared" si="664"/>
        <v>0.86304307015652326</v>
      </c>
      <c r="AA135" s="639">
        <f t="shared" si="665"/>
        <v>0.31773577928078867</v>
      </c>
      <c r="AB135" s="639">
        <f t="shared" si="666"/>
        <v>-0.39268388510305907</v>
      </c>
      <c r="AC135" s="643">
        <f t="shared" si="752"/>
        <v>1</v>
      </c>
      <c r="AD135" s="645">
        <f t="shared" si="753"/>
        <v>0.86304307015652326</v>
      </c>
      <c r="AE135" s="639">
        <f t="shared" si="754"/>
        <v>0.31773577928078867</v>
      </c>
      <c r="AF135" s="640">
        <f t="shared" si="755"/>
        <v>-0.39268388510305907</v>
      </c>
      <c r="AG135" s="604">
        <f t="shared" si="756"/>
        <v>38.977666257984318</v>
      </c>
      <c r="AH135" s="605">
        <f t="shared" si="757"/>
        <v>30.340004916694241</v>
      </c>
      <c r="AI135" s="593">
        <f t="shared" si="758"/>
        <v>-66.878398015578483</v>
      </c>
      <c r="AJ135" s="594">
        <f t="shared" si="759"/>
        <v>110.21156253997751</v>
      </c>
      <c r="AK135" s="642">
        <f t="shared" si="760"/>
        <v>0.85631754520990233</v>
      </c>
      <c r="AL135" s="639">
        <f t="shared" si="761"/>
        <v>-0.3354394552613848</v>
      </c>
      <c r="AM135" s="641">
        <f t="shared" si="762"/>
        <v>-0.39268388510305907</v>
      </c>
      <c r="AN135" s="591">
        <f t="shared" si="763"/>
        <v>-40.504701716917552</v>
      </c>
      <c r="AO135" s="592">
        <f t="shared" si="742"/>
        <v>31.094402270006768</v>
      </c>
      <c r="AP135" s="593">
        <f t="shared" si="764"/>
        <v>-21.39143145329334</v>
      </c>
      <c r="AQ135" s="594">
        <f t="shared" si="667"/>
        <v>0.32896693849084352</v>
      </c>
      <c r="AS135" s="555">
        <f t="shared" si="737"/>
        <v>-318.39700600672916</v>
      </c>
      <c r="AT135" s="556">
        <f t="shared" si="668"/>
        <v>-0.4069958753769346</v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>Taper</v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>
        <f t="shared" si="643"/>
        <v>6.2279999999999998</v>
      </c>
      <c r="IH135" s="731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>4.1280000000000001</v>
      </c>
      <c r="II135" s="734" cm="1">
        <f t="array" ref="II135">IFERROR(ROUND(VALUE(IF($IH135&lt;1,$IH135+LARGE((IF($M$9:$M$150="",0,$M$9:$M$150)-MOD(IF($M$9:$M$150="",0,$M$9:$M$150),1)),1),$IH135)),4),"")</f>
        <v>4.1280000000000001</v>
      </c>
      <c r="IJ135" s="533">
        <f t="shared" si="542"/>
        <v>1613</v>
      </c>
      <c r="IK135" s="533">
        <f t="shared" si="713"/>
        <v>1313</v>
      </c>
      <c r="IL135" s="727">
        <f t="shared" si="647"/>
        <v>126.38700600672917</v>
      </c>
      <c r="IM135" s="759">
        <v>3.9634996883193899E-2</v>
      </c>
      <c r="IN135" s="5">
        <f t="shared" si="648"/>
        <v>0.22</v>
      </c>
      <c r="IO135" s="771">
        <v>110</v>
      </c>
      <c r="IP135" s="9">
        <f t="shared" si="649"/>
        <v>-6.920700000000001</v>
      </c>
      <c r="IQ135" s="5">
        <f t="shared" si="650"/>
        <v>-0.61580000000000013</v>
      </c>
      <c r="IR135" s="5">
        <f t="shared" si="714"/>
        <v>0.314</v>
      </c>
      <c r="IS135" s="5">
        <f t="shared" si="651"/>
        <v>-0.29989842307881587</v>
      </c>
      <c r="IT135" s="727">
        <f t="shared" si="652"/>
        <v>-126.03043613217774</v>
      </c>
      <c r="IU135" s="9">
        <f t="shared" si="653"/>
        <v>-6.9298805272173789</v>
      </c>
      <c r="IV135" s="5">
        <f t="shared" si="654"/>
        <v>-0.62810490732605206</v>
      </c>
      <c r="IW135" s="5">
        <f t="shared" si="715"/>
        <v>0.26600000000000001</v>
      </c>
      <c r="IX135" s="5">
        <f t="shared" si="655"/>
        <v>0.22778046702583407</v>
      </c>
      <c r="IY135" s="762">
        <f t="shared" si="656"/>
        <v>40.504701716917552</v>
      </c>
    </row>
    <row r="136" spans="1:259" ht="15" customHeight="1" x14ac:dyDescent="0.25">
      <c r="A136" s="79"/>
      <c r="B136" s="712">
        <v>-4.9387615233843798</v>
      </c>
      <c r="C136" s="713">
        <v>5.646870023396878</v>
      </c>
      <c r="D136" s="714">
        <v>-1.099885734928949</v>
      </c>
      <c r="E136" s="715">
        <v>-0.91367769869555771</v>
      </c>
      <c r="F136" s="713">
        <v>-0.25039022215650081</v>
      </c>
      <c r="G136" s="716">
        <v>0.32015277533516406</v>
      </c>
      <c r="H136" s="715">
        <v>0.26600000000000001</v>
      </c>
      <c r="I136" s="713">
        <v>0.52</v>
      </c>
      <c r="J136" s="571">
        <v>6.2309999999999999</v>
      </c>
      <c r="K136" s="866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>1313</v>
      </c>
      <c r="L136" s="320"/>
      <c r="M136" s="543">
        <f t="shared" si="660"/>
        <v>6.2309999999999999</v>
      </c>
      <c r="N136" s="638">
        <f t="shared" si="661"/>
        <v>-4.9387615233843798</v>
      </c>
      <c r="O136" s="639">
        <f t="shared" si="662"/>
        <v>5.646870023396878</v>
      </c>
      <c r="P136" s="640">
        <f t="shared" si="663"/>
        <v>-1.099885734928949</v>
      </c>
      <c r="Q136" s="593">
        <f t="shared" si="743"/>
        <v>131.17299405535516</v>
      </c>
      <c r="R136" s="639">
        <f t="shared" si="744"/>
        <v>7.5019001890187971</v>
      </c>
      <c r="S136" s="641">
        <f t="shared" si="745"/>
        <v>-1.099885734928949</v>
      </c>
      <c r="T136" s="642">
        <f t="shared" si="746"/>
        <v>5.6468700233968772</v>
      </c>
      <c r="U136" s="639">
        <f t="shared" si="747"/>
        <v>4.9387615233843807</v>
      </c>
      <c r="V136" s="643">
        <f t="shared" si="748"/>
        <v>-1.099885734928949</v>
      </c>
      <c r="W136" s="593">
        <f t="shared" si="749"/>
        <v>41.172994055355161</v>
      </c>
      <c r="X136" s="639">
        <f t="shared" si="750"/>
        <v>7.5019001890187971</v>
      </c>
      <c r="Y136" s="644">
        <f t="shared" si="751"/>
        <v>-1.099885734928949</v>
      </c>
      <c r="Z136" s="638">
        <f t="shared" si="664"/>
        <v>0.91367769869555771</v>
      </c>
      <c r="AA136" s="639">
        <f t="shared" si="665"/>
        <v>0.25039022215650081</v>
      </c>
      <c r="AB136" s="639">
        <f t="shared" si="666"/>
        <v>-0.32015277533516406</v>
      </c>
      <c r="AC136" s="643">
        <f t="shared" si="752"/>
        <v>1</v>
      </c>
      <c r="AD136" s="645">
        <f t="shared" si="753"/>
        <v>0.91367769869555771</v>
      </c>
      <c r="AE136" s="639">
        <f t="shared" si="754"/>
        <v>0.25039022215650081</v>
      </c>
      <c r="AF136" s="640">
        <f t="shared" si="755"/>
        <v>-0.32015277533516406</v>
      </c>
      <c r="AG136" s="604">
        <f t="shared" si="756"/>
        <v>38.028822400209059</v>
      </c>
      <c r="AH136" s="605">
        <f t="shared" si="757"/>
        <v>23.981364789758594</v>
      </c>
      <c r="AI136" s="593">
        <f t="shared" si="758"/>
        <v>-71.327835661538771</v>
      </c>
      <c r="AJ136" s="594">
        <f t="shared" si="759"/>
        <v>105.32545110695295</v>
      </c>
      <c r="AK136" s="642">
        <f t="shared" si="760"/>
        <v>0.85258889636932711</v>
      </c>
      <c r="AL136" s="639">
        <f t="shared" si="761"/>
        <v>-0.41303071826793325</v>
      </c>
      <c r="AM136" s="641">
        <f t="shared" si="762"/>
        <v>-0.32015277533516406</v>
      </c>
      <c r="AN136" s="591">
        <f t="shared" si="763"/>
        <v>-52.219638719742399</v>
      </c>
      <c r="AO136" s="592">
        <f t="shared" si="742"/>
        <v>31.505621458550401</v>
      </c>
      <c r="AP136" s="593">
        <f t="shared" si="764"/>
        <v>-25.847542948402204</v>
      </c>
      <c r="AQ136" s="594">
        <f t="shared" si="667"/>
        <v>0.30388370922618346</v>
      </c>
      <c r="AS136" s="555">
        <f t="shared" si="737"/>
        <v>-318.82700594464484</v>
      </c>
      <c r="AT136" s="556">
        <f t="shared" si="668"/>
        <v>-0.87847809191183457</v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>Taper</v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>
        <f t="shared" si="643"/>
        <v>6.2309999999999999</v>
      </c>
      <c r="IH136" s="731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>4.1310000000000002</v>
      </c>
      <c r="II136" s="734" cm="1">
        <f t="array" ref="II136">IFERROR(ROUND(VALUE(IF($IH136&lt;1,$IH136+LARGE((IF($M$9:$M$150="",0,$M$9:$M$150)-MOD(IF($M$9:$M$150="",0,$M$9:$M$150),1)),1),$IH136)),4),"")</f>
        <v>4.1310000000000002</v>
      </c>
      <c r="IJ136" s="533">
        <f t="shared" si="542"/>
        <v>1613</v>
      </c>
      <c r="IK136" s="533">
        <f t="shared" si="713"/>
        <v>1313</v>
      </c>
      <c r="IL136" s="727">
        <f t="shared" si="647"/>
        <v>126.25700594464485</v>
      </c>
      <c r="IM136" s="759">
        <v>3.3549534380577999E-2</v>
      </c>
      <c r="IN136" s="5">
        <f t="shared" si="648"/>
        <v>0.22</v>
      </c>
      <c r="IO136" s="771">
        <v>110</v>
      </c>
      <c r="IP136" s="9">
        <f t="shared" si="649"/>
        <v>-7.4895999999999994</v>
      </c>
      <c r="IQ136" s="5">
        <f t="shared" si="650"/>
        <v>-1.0858000000000001</v>
      </c>
      <c r="IR136" s="5">
        <f t="shared" si="714"/>
        <v>0.314</v>
      </c>
      <c r="IS136" s="5">
        <f t="shared" si="651"/>
        <v>-0.29859122519281839</v>
      </c>
      <c r="IT136" s="727">
        <f t="shared" si="652"/>
        <v>-112.83602782819723</v>
      </c>
      <c r="IU136" s="9">
        <f t="shared" si="653"/>
        <v>-7.5019001890187971</v>
      </c>
      <c r="IV136" s="5">
        <f t="shared" si="654"/>
        <v>-1.099885734928949</v>
      </c>
      <c r="IW136" s="5">
        <f t="shared" si="715"/>
        <v>0.26600000000000001</v>
      </c>
      <c r="IX136" s="5">
        <f t="shared" si="655"/>
        <v>0.22678864643424101</v>
      </c>
      <c r="IY136" s="762">
        <f t="shared" si="656"/>
        <v>52.219638719742399</v>
      </c>
    </row>
    <row r="137" spans="1:259" ht="15" customHeight="1" x14ac:dyDescent="0.25">
      <c r="A137" s="79"/>
      <c r="B137" s="712">
        <v>-4.7402928993988622</v>
      </c>
      <c r="C137" s="713">
        <v>6.3212875781994935</v>
      </c>
      <c r="D137" s="714">
        <v>-1.689823646140024</v>
      </c>
      <c r="E137" s="715">
        <v>-0.54373542097754168</v>
      </c>
      <c r="F137" s="713">
        <v>0.72508307892432611</v>
      </c>
      <c r="G137" s="716">
        <v>0.42261841019055829</v>
      </c>
      <c r="H137" s="715">
        <v>0.26250000000000001</v>
      </c>
      <c r="I137" s="708">
        <v>0.40699999999999997</v>
      </c>
      <c r="J137" s="571">
        <v>6.234</v>
      </c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>Inactive</v>
      </c>
      <c r="L137" s="320"/>
      <c r="M137" s="543">
        <f t="shared" ref="M137:M150" si="888">IF(J137="","",VALUE(J137))</f>
        <v>6.234</v>
      </c>
      <c r="N137" s="638">
        <f t="shared" ref="N137:N150" si="889">IF(M137="","",B137)</f>
        <v>-4.7402928993988622</v>
      </c>
      <c r="O137" s="639">
        <f t="shared" ref="O137:O150" si="890">IF(M137="","",C137)</f>
        <v>6.3212875781994935</v>
      </c>
      <c r="P137" s="640">
        <f t="shared" ref="P137:P150" si="891">IF(M137="","",D137)</f>
        <v>-1.689823646140024</v>
      </c>
      <c r="Q137" s="593">
        <f t="shared" si="743"/>
        <v>126.86599467720893</v>
      </c>
      <c r="R137" s="639">
        <f t="shared" si="744"/>
        <v>7.9012058205308442</v>
      </c>
      <c r="S137" s="641">
        <f t="shared" si="745"/>
        <v>-1.689823646140024</v>
      </c>
      <c r="T137" s="642">
        <f t="shared" si="746"/>
        <v>6.3212875781994935</v>
      </c>
      <c r="U137" s="639">
        <f t="shared" si="747"/>
        <v>4.7402928993988622</v>
      </c>
      <c r="V137" s="643">
        <f t="shared" si="748"/>
        <v>-1.689823646140024</v>
      </c>
      <c r="W137" s="593">
        <f t="shared" si="749"/>
        <v>36.865994677208931</v>
      </c>
      <c r="X137" s="639">
        <f t="shared" si="750"/>
        <v>7.9012058205308442</v>
      </c>
      <c r="Y137" s="644">
        <f t="shared" si="751"/>
        <v>-1.689823646140024</v>
      </c>
      <c r="Z137" s="638">
        <f t="shared" ref="Z137:Z150" si="892">IF(M137="","",-E137)</f>
        <v>0.54373542097754168</v>
      </c>
      <c r="AA137" s="639">
        <f t="shared" ref="AA137:AA150" si="893">IF(M137="","",-F137)</f>
        <v>-0.72508307892432611</v>
      </c>
      <c r="AB137" s="639">
        <f t="shared" ref="AB137:AB150" si="894">IF(M137="","",-G137)</f>
        <v>-0.42261841019055829</v>
      </c>
      <c r="AC137" s="643">
        <f t="shared" si="752"/>
        <v>1</v>
      </c>
      <c r="AD137" s="645">
        <f t="shared" si="753"/>
        <v>0.54373542097754168</v>
      </c>
      <c r="AE137" s="639">
        <f t="shared" si="754"/>
        <v>-0.72508307892432611</v>
      </c>
      <c r="AF137" s="640">
        <f t="shared" si="755"/>
        <v>-0.42261841019055829</v>
      </c>
      <c r="AG137" s="604">
        <f t="shared" si="756"/>
        <v>-59.764008833368635</v>
      </c>
      <c r="AH137" s="605">
        <f t="shared" si="757"/>
        <v>57.061710977519034</v>
      </c>
      <c r="AI137" s="593">
        <f t="shared" si="758"/>
        <v>-64.999990615163156</v>
      </c>
      <c r="AJ137" s="594">
        <f t="shared" si="759"/>
        <v>36.866009014933475</v>
      </c>
      <c r="AK137" s="642">
        <f t="shared" si="760"/>
        <v>2.2679489680710319E-7</v>
      </c>
      <c r="AL137" s="639">
        <f t="shared" si="761"/>
        <v>-0.90630771781330077</v>
      </c>
      <c r="AM137" s="641">
        <f t="shared" si="762"/>
        <v>-0.42261841019055829</v>
      </c>
      <c r="AN137" s="591">
        <f t="shared" si="763"/>
        <v>-64.999990615162474</v>
      </c>
      <c r="AO137" s="592">
        <f t="shared" si="742"/>
        <v>0</v>
      </c>
      <c r="AP137" s="593">
        <f t="shared" si="764"/>
        <v>-89.999985662275463</v>
      </c>
      <c r="AQ137" s="594">
        <f t="shared" ref="AQ137:AQ150" si="895">IF(M137="","",DEGREES(ATAN(($AS$5*SIN(RADIANS(90)))/(($X137*2*PI())-($AS$5*COS(RADIANS(90)))))))</f>
        <v>0.28852651271663665</v>
      </c>
      <c r="AS137" s="555">
        <f t="shared" si="737"/>
        <v>-323.13400532279104</v>
      </c>
      <c r="AT137" s="556">
        <f t="shared" ref="AT137:AT150" si="896">IF(M137="","",Y137+(((AS137-$AS$9)*$AS$6)*-1))</f>
        <v>-1.4654250313325301</v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>Taper</v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>
        <f t="shared" si="643"/>
        <v>6.234</v>
      </c>
      <c r="IH137" s="731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>4.1340000000000003</v>
      </c>
      <c r="II137" s="734" cm="1">
        <f t="array" ref="II137">IFERROR(ROUND(VALUE(IF($IH137&lt;1,$IH137+LARGE((IF($M$9:$M$150="",0,$M$9:$M$150)-MOD(IF($M$9:$M$150="",0,$M$9:$M$150),1)),1),$IH137)),4),"")</f>
        <v>4.1340000000000003</v>
      </c>
      <c r="IJ137" s="533">
        <f t="shared" si="542"/>
        <v>1613</v>
      </c>
      <c r="IK137" s="533" t="str">
        <f t="shared" ref="IK137:IK150" si="912">IF(ISNUMBER($II137),INDEX($K$9:$K$150,MATCH($IG137,$M$9:$M$150,0)),"")</f>
        <v>Inactive</v>
      </c>
      <c r="IL137" s="727">
        <f t="shared" si="647"/>
        <v>130.1040053227911</v>
      </c>
      <c r="IM137" s="759">
        <v>6.1737651562035402E-2</v>
      </c>
      <c r="IN137" s="5">
        <f t="shared" si="648"/>
        <v>0.26</v>
      </c>
      <c r="IO137" s="771">
        <v>130</v>
      </c>
      <c r="IP137" s="9">
        <f t="shared" si="649"/>
        <v>-7.9417</v>
      </c>
      <c r="IQ137" s="5">
        <f t="shared" si="650"/>
        <v>-1.6657999999999999</v>
      </c>
      <c r="IR137" s="5">
        <f t="shared" ref="IR137:IR150" si="913">IF(ISNUMBER($II137),INDEX($H$9:$H$150,MATCH($II137,$M$9:$M$150,0)),"")</f>
        <v>0.314</v>
      </c>
      <c r="IS137" s="5">
        <f t="shared" si="651"/>
        <v>-0.29740035832490108</v>
      </c>
      <c r="IT137" s="727">
        <f t="shared" si="652"/>
        <v>-100.77995787593036</v>
      </c>
      <c r="IU137" s="9">
        <f t="shared" si="653"/>
        <v>-7.9012058205308442</v>
      </c>
      <c r="IV137" s="5">
        <f t="shared" si="654"/>
        <v>-1.689823646140024</v>
      </c>
      <c r="IW137" s="5">
        <f t="shared" ref="IW137:IW150" si="914">IF(ISNUMBER($II137),$H137,"")</f>
        <v>0.26250000000000001</v>
      </c>
      <c r="IX137" s="5">
        <f t="shared" si="655"/>
        <v>0.26250000000000001</v>
      </c>
      <c r="IY137" s="762">
        <f t="shared" si="656"/>
        <v>64.999990615162474</v>
      </c>
    </row>
    <row r="138" spans="1:259" ht="15" customHeight="1" x14ac:dyDescent="0.25">
      <c r="A138" s="79"/>
      <c r="B138" s="712">
        <v>-4.8608851935503123</v>
      </c>
      <c r="C138" s="713">
        <v>6.6163264264765518</v>
      </c>
      <c r="D138" s="714">
        <v>-2.3542412741855276</v>
      </c>
      <c r="E138" s="715">
        <v>-0.53659722050558833</v>
      </c>
      <c r="F138" s="713">
        <v>0.73038147725259461</v>
      </c>
      <c r="G138" s="716">
        <v>0.42261841019055812</v>
      </c>
      <c r="H138" s="715">
        <v>0.26250000000000001</v>
      </c>
      <c r="I138" s="708">
        <v>0.40699999999999997</v>
      </c>
      <c r="J138" s="571">
        <v>6.2370000000000001</v>
      </c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>Inactive</v>
      </c>
      <c r="L138" s="320"/>
      <c r="M138" s="543">
        <f t="shared" si="888"/>
        <v>6.2370000000000001</v>
      </c>
      <c r="N138" s="638">
        <f t="shared" si="889"/>
        <v>-4.8608851935503123</v>
      </c>
      <c r="O138" s="639">
        <f t="shared" si="890"/>
        <v>6.6163264264765518</v>
      </c>
      <c r="P138" s="640">
        <f t="shared" si="891"/>
        <v>-2.3542412741855276</v>
      </c>
      <c r="Q138" s="593">
        <f t="shared" si="743"/>
        <v>126.30399475835166</v>
      </c>
      <c r="R138" s="639">
        <f t="shared" si="744"/>
        <v>8.2099927068523417</v>
      </c>
      <c r="S138" s="641">
        <f t="shared" si="745"/>
        <v>-2.3542412741855276</v>
      </c>
      <c r="T138" s="642">
        <f t="shared" si="746"/>
        <v>6.6163264264765527</v>
      </c>
      <c r="U138" s="639">
        <f t="shared" si="747"/>
        <v>4.8608851935503115</v>
      </c>
      <c r="V138" s="643">
        <f t="shared" si="748"/>
        <v>-2.3542412741855276</v>
      </c>
      <c r="W138" s="593">
        <f t="shared" si="749"/>
        <v>36.303994758351664</v>
      </c>
      <c r="X138" s="639">
        <f t="shared" si="750"/>
        <v>8.2099927068523417</v>
      </c>
      <c r="Y138" s="644">
        <f t="shared" si="751"/>
        <v>-2.3542412741855276</v>
      </c>
      <c r="Z138" s="638">
        <f t="shared" si="892"/>
        <v>0.53659722050558833</v>
      </c>
      <c r="AA138" s="639">
        <f t="shared" si="893"/>
        <v>-0.73038147725259461</v>
      </c>
      <c r="AB138" s="639">
        <f t="shared" si="894"/>
        <v>-0.42261841019055812</v>
      </c>
      <c r="AC138" s="643">
        <f t="shared" si="752"/>
        <v>1</v>
      </c>
      <c r="AD138" s="645">
        <f t="shared" si="753"/>
        <v>0.53659722050558833</v>
      </c>
      <c r="AE138" s="639">
        <f t="shared" si="754"/>
        <v>-0.73038147725259461</v>
      </c>
      <c r="AF138" s="640">
        <f t="shared" si="755"/>
        <v>-0.42261841019055812</v>
      </c>
      <c r="AG138" s="604">
        <f t="shared" si="756"/>
        <v>-59.945168795928353</v>
      </c>
      <c r="AH138" s="605">
        <f t="shared" si="757"/>
        <v>57.547704056621214</v>
      </c>
      <c r="AI138" s="593">
        <f t="shared" si="758"/>
        <v>-64.999990615163171</v>
      </c>
      <c r="AJ138" s="594">
        <f t="shared" si="759"/>
        <v>36.304009096076207</v>
      </c>
      <c r="AK138" s="642">
        <f t="shared" si="760"/>
        <v>2.2679489686261434E-7</v>
      </c>
      <c r="AL138" s="639">
        <f t="shared" si="761"/>
        <v>-0.90630771781330088</v>
      </c>
      <c r="AM138" s="641">
        <f t="shared" si="762"/>
        <v>-0.42261841019055812</v>
      </c>
      <c r="AN138" s="591">
        <f t="shared" si="763"/>
        <v>-64.999990615162488</v>
      </c>
      <c r="AO138" s="592">
        <f t="shared" si="742"/>
        <v>0</v>
      </c>
      <c r="AP138" s="593">
        <f t="shared" si="764"/>
        <v>-89.999985662275463</v>
      </c>
      <c r="AQ138" s="594">
        <f t="shared" si="895"/>
        <v>0.27767488539010543</v>
      </c>
      <c r="AS138" s="555">
        <f t="shared" si="737"/>
        <v>-323.69600524164832</v>
      </c>
      <c r="AT138" s="556">
        <f t="shared" si="896"/>
        <v>-2.1294523816566051</v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>Taper</v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>
        <f t="shared" si="643"/>
        <v>6.2370000000000001</v>
      </c>
      <c r="IH138" s="731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>4.1369999999999996</v>
      </c>
      <c r="II138" s="734" cm="1">
        <f t="array" ref="II138">IFERROR(ROUND(VALUE(IF($IH138&lt;1,$IH138+LARGE((IF($M$9:$M$150="",0,$M$9:$M$150)-MOD(IF($M$9:$M$150="",0,$M$9:$M$150),1)),1),$IH138)),4),"")</f>
        <v>4.1369999999999996</v>
      </c>
      <c r="IJ138" s="533">
        <f t="shared" ref="IJ138:IJ150" si="915">IF(ISNUMBER($II138),INDEX($K$9:$K$150,MATCH($II138,$M$9:$M$150,0)),$K138)</f>
        <v>1613</v>
      </c>
      <c r="IK138" s="533" t="str">
        <f t="shared" si="912"/>
        <v>Inactive</v>
      </c>
      <c r="IL138" s="727">
        <f t="shared" si="647"/>
        <v>130.31600524164833</v>
      </c>
      <c r="IM138" s="759">
        <v>6.21379755908891E-2</v>
      </c>
      <c r="IN138" s="5">
        <f t="shared" si="648"/>
        <v>0.32</v>
      </c>
      <c r="IO138" s="771">
        <v>160</v>
      </c>
      <c r="IP138" s="9">
        <f t="shared" si="649"/>
        <v>-8.263399999999999</v>
      </c>
      <c r="IQ138" s="5">
        <f t="shared" si="650"/>
        <v>-2.3232999999999997</v>
      </c>
      <c r="IR138" s="5">
        <f t="shared" si="913"/>
        <v>0.314</v>
      </c>
      <c r="IS138" s="5">
        <f t="shared" si="651"/>
        <v>-0.28842148619777086</v>
      </c>
      <c r="IT138" s="727">
        <f t="shared" si="652"/>
        <v>-97.344769174349295</v>
      </c>
      <c r="IU138" s="9">
        <f t="shared" si="653"/>
        <v>-8.2099927068523417</v>
      </c>
      <c r="IV138" s="5">
        <f t="shared" si="654"/>
        <v>-2.3542412741855276</v>
      </c>
      <c r="IW138" s="5">
        <f t="shared" si="914"/>
        <v>0.26250000000000001</v>
      </c>
      <c r="IX138" s="5">
        <f t="shared" si="655"/>
        <v>0.26250000000000001</v>
      </c>
      <c r="IY138" s="762">
        <f t="shared" si="656"/>
        <v>64.999990615162488</v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-0.93969262078590843</v>
      </c>
      <c r="F154" s="170">
        <f t="shared" si="929"/>
        <v>0</v>
      </c>
      <c r="G154" s="170">
        <f t="shared" si="929"/>
        <v>0.34202014332566871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-0.96592582628906831</v>
      </c>
      <c r="F155" s="170">
        <f t="shared" si="929"/>
        <v>0</v>
      </c>
      <c r="G155" s="170">
        <f t="shared" si="929"/>
        <v>0.25881904510252068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0</v>
      </c>
      <c r="AM155">
        <v>0.29580000000000001</v>
      </c>
      <c r="AN155">
        <v>-1.1636</v>
      </c>
      <c r="AO155">
        <v>0.93969262078590843</v>
      </c>
      <c r="AP155">
        <v>0</v>
      </c>
      <c r="AQ155">
        <v>-0.34202014332566871</v>
      </c>
      <c r="AR155">
        <v>0.26600000000000001</v>
      </c>
      <c r="AS155">
        <v>0.52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-0.9659258262890682</v>
      </c>
      <c r="F156" s="170">
        <f t="shared" si="929"/>
        <v>0</v>
      </c>
      <c r="G156" s="170">
        <f t="shared" si="929"/>
        <v>0.25881904510252096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0</v>
      </c>
      <c r="AM156">
        <v>1.0429999999999999</v>
      </c>
      <c r="AN156">
        <v>-1.0183</v>
      </c>
      <c r="AO156">
        <v>0.96592582628906831</v>
      </c>
      <c r="AP156">
        <v>0</v>
      </c>
      <c r="AQ156">
        <v>-0.25881904510252068</v>
      </c>
      <c r="AR156">
        <v>0.314</v>
      </c>
      <c r="AS156">
        <v>0.52</v>
      </c>
      <c r="AT156">
        <v>1.1040000000000001</v>
      </c>
    </row>
    <row r="157" spans="1:259" x14ac:dyDescent="0.25">
      <c r="E157" s="170">
        <f t="shared" si="929"/>
        <v>-0.96592582628906831</v>
      </c>
      <c r="F157" s="170">
        <f t="shared" si="929"/>
        <v>0</v>
      </c>
      <c r="G157" s="170">
        <f t="shared" si="929"/>
        <v>0.25881904510252057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0</v>
      </c>
      <c r="AM157">
        <v>1.7869999999999999</v>
      </c>
      <c r="AN157">
        <v>-0.81889999999999996</v>
      </c>
      <c r="AO157">
        <v>0.9659258262890682</v>
      </c>
      <c r="AP157">
        <v>0</v>
      </c>
      <c r="AQ157">
        <v>-0.25881904510252096</v>
      </c>
      <c r="AR157">
        <v>0.314</v>
      </c>
      <c r="AS157">
        <v>0.52</v>
      </c>
      <c r="AT157">
        <v>1.107</v>
      </c>
    </row>
    <row r="158" spans="1:259" x14ac:dyDescent="0.25">
      <c r="E158" s="170">
        <f t="shared" si="929"/>
        <v>-0.96592582628906831</v>
      </c>
      <c r="F158" s="170">
        <f t="shared" si="929"/>
        <v>0</v>
      </c>
      <c r="G158" s="170">
        <f t="shared" si="929"/>
        <v>0.25881904510252079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0</v>
      </c>
      <c r="AM158">
        <v>2.5309999999999997</v>
      </c>
      <c r="AN158">
        <v>-0.61960000000000004</v>
      </c>
      <c r="AO158">
        <v>0.96592582628906831</v>
      </c>
      <c r="AP158">
        <v>0</v>
      </c>
      <c r="AQ158">
        <v>-0.25881904510252057</v>
      </c>
      <c r="AR158">
        <v>0.314</v>
      </c>
      <c r="AS158">
        <v>0.52</v>
      </c>
      <c r="AT158">
        <v>1.1100000000000001</v>
      </c>
    </row>
    <row r="159" spans="1:259" x14ac:dyDescent="0.25">
      <c r="E159" s="170">
        <f t="shared" si="929"/>
        <v>-0.96580094216652224</v>
      </c>
      <c r="F159" s="170">
        <f t="shared" si="929"/>
        <v>1.6032553681604736E-2</v>
      </c>
      <c r="G159" s="170">
        <f t="shared" si="929"/>
        <v>0.25878851854884211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0</v>
      </c>
      <c r="AM159">
        <v>3.2749000000000001</v>
      </c>
      <c r="AN159">
        <v>-0.42020000000000002</v>
      </c>
      <c r="AO159">
        <v>0.96592582628906831</v>
      </c>
      <c r="AP159">
        <v>0</v>
      </c>
      <c r="AQ159">
        <v>-0.25881904510252079</v>
      </c>
      <c r="AR159">
        <v>0.314</v>
      </c>
      <c r="AS159">
        <v>0.52</v>
      </c>
      <c r="AT159">
        <v>1.113</v>
      </c>
    </row>
    <row r="160" spans="1:259" x14ac:dyDescent="0.25">
      <c r="E160" s="170">
        <f t="shared" si="929"/>
        <v>-0.96437187907980504</v>
      </c>
      <c r="F160" s="170">
        <f t="shared" si="929"/>
        <v>5.6322535479807138E-2</v>
      </c>
      <c r="G160" s="170">
        <f t="shared" si="929"/>
        <v>0.25848530100802997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2.8057212644235722E-3</v>
      </c>
      <c r="AM160">
        <v>4.0188990206184814</v>
      </c>
      <c r="AN160">
        <v>-0.22090000000000001</v>
      </c>
      <c r="AO160">
        <v>0.96580094216652224</v>
      </c>
      <c r="AP160">
        <v>-1.6032553681604736E-2</v>
      </c>
      <c r="AQ160">
        <v>-0.25878851854884211</v>
      </c>
      <c r="AR160">
        <v>0.314</v>
      </c>
      <c r="AS160">
        <v>0.52</v>
      </c>
      <c r="AT160">
        <v>1.1160000000000001</v>
      </c>
    </row>
    <row r="161" spans="5:46" x14ac:dyDescent="0.25">
      <c r="E161" s="170">
        <f t="shared" si="929"/>
        <v>-0.96063536100886071</v>
      </c>
      <c r="F161" s="170">
        <f t="shared" si="929"/>
        <v>0.12548585021136516</v>
      </c>
      <c r="G161" s="170">
        <f t="shared" si="929"/>
        <v>0.24785682273463178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2.7551981760969131E-2</v>
      </c>
      <c r="AM161">
        <v>4.7836206557691261</v>
      </c>
      <c r="AN161">
        <v>-7.1499999999999994E-2</v>
      </c>
      <c r="AO161">
        <v>0.96437187907980504</v>
      </c>
      <c r="AP161">
        <v>-5.6322535479807138E-2</v>
      </c>
      <c r="AQ161">
        <v>-0.25848530100802997</v>
      </c>
      <c r="AR161">
        <v>0.314</v>
      </c>
      <c r="AS161">
        <v>0.52</v>
      </c>
      <c r="AT161">
        <v>1.119</v>
      </c>
    </row>
    <row r="162" spans="5:46" x14ac:dyDescent="0.25">
      <c r="E162" s="170">
        <f t="shared" si="929"/>
        <v>-0.95433607819386201</v>
      </c>
      <c r="F162" s="170">
        <f t="shared" si="929"/>
        <v>0.20416825806675962</v>
      </c>
      <c r="G162" s="170">
        <f t="shared" si="929"/>
        <v>0.21807790409746669</v>
      </c>
      <c r="H162" s="139"/>
      <c r="I162" s="86"/>
      <c r="J162" s="79">
        <f t="shared" si="930"/>
        <v>1.125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8.0324800011186692E-2</v>
      </c>
      <c r="AM162">
        <v>5.5445181879495324</v>
      </c>
      <c r="AN162">
        <v>-9.4600000000000017E-2</v>
      </c>
      <c r="AO162">
        <v>0.96063536100886071</v>
      </c>
      <c r="AP162">
        <v>-0.12548585021136516</v>
      </c>
      <c r="AQ162">
        <v>-0.24785682273463178</v>
      </c>
      <c r="AR162">
        <v>0.314</v>
      </c>
      <c r="AS162">
        <v>0.52</v>
      </c>
      <c r="AT162">
        <v>1.1220000000000001</v>
      </c>
    </row>
    <row r="163" spans="5:46" x14ac:dyDescent="0.25">
      <c r="E163" s="170">
        <f t="shared" si="929"/>
        <v>-0.94609808458894629</v>
      </c>
      <c r="F163" s="170">
        <f t="shared" si="929"/>
        <v>0.27298199326270911</v>
      </c>
      <c r="G163" s="170">
        <f t="shared" si="929"/>
        <v>0.17429643051837077</v>
      </c>
      <c r="H163" s="139"/>
      <c r="I163" s="86"/>
      <c r="J163" s="79">
        <f t="shared" si="930"/>
        <v>1.1279999999999999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0.15408689618439547</v>
      </c>
      <c r="AM163">
        <v>6.2601039311200148</v>
      </c>
      <c r="AN163">
        <v>-0.2797</v>
      </c>
      <c r="AO163">
        <v>0.95433607819386201</v>
      </c>
      <c r="AP163">
        <v>-0.20416825806675962</v>
      </c>
      <c r="AQ163">
        <v>-0.21807790409746669</v>
      </c>
      <c r="AR163">
        <v>0.314</v>
      </c>
      <c r="AS163">
        <v>0.52</v>
      </c>
      <c r="AT163">
        <v>1.125</v>
      </c>
    </row>
    <row r="164" spans="5:46" x14ac:dyDescent="0.25">
      <c r="E164" s="170">
        <f t="shared" si="929"/>
        <v>-0.93718437847428138</v>
      </c>
      <c r="F164" s="170">
        <f t="shared" si="929"/>
        <v>0.3275144964904001</v>
      </c>
      <c r="G164" s="170">
        <f t="shared" si="929"/>
        <v>0.12008203584389641</v>
      </c>
      <c r="H164" s="139"/>
      <c r="I164" s="86"/>
      <c r="J164" s="79">
        <f t="shared" si="930"/>
        <v>1.131</v>
      </c>
      <c r="AL164">
        <v>0.24273609734563997</v>
      </c>
      <c r="AM164">
        <v>6.9164418364535836</v>
      </c>
      <c r="AN164">
        <v>-0.61580000000000001</v>
      </c>
      <c r="AO164">
        <v>0.94609808458894629</v>
      </c>
      <c r="AP164">
        <v>-0.27298199326270911</v>
      </c>
      <c r="AQ164">
        <v>-0.17429643051837077</v>
      </c>
      <c r="AR164">
        <v>0.314</v>
      </c>
      <c r="AS164">
        <v>0.52</v>
      </c>
      <c r="AT164">
        <v>1.1279999999999999</v>
      </c>
    </row>
    <row r="165" spans="5:46" x14ac:dyDescent="0.25">
      <c r="E165" s="170">
        <f t="shared" si="929"/>
        <v>-0.92915108490268139</v>
      </c>
      <c r="F165" s="170">
        <f t="shared" si="929"/>
        <v>0.36479755904401917</v>
      </c>
      <c r="G165" s="170">
        <f t="shared" si="929"/>
        <v>6.0008352249463014E-2</v>
      </c>
      <c r="H165" s="139"/>
      <c r="I165" s="86"/>
      <c r="J165" s="79">
        <f t="shared" si="930"/>
        <v>1.1339999999999999</v>
      </c>
      <c r="AL165">
        <v>0.33583308106714865</v>
      </c>
      <c r="AM165">
        <v>7.4820668469120841</v>
      </c>
      <c r="AN165">
        <v>-1.0858000000000001</v>
      </c>
      <c r="AO165">
        <v>0.93718437847428138</v>
      </c>
      <c r="AP165">
        <v>-0.3275144964904001</v>
      </c>
      <c r="AQ165">
        <v>-0.12008203584389641</v>
      </c>
      <c r="AR165">
        <v>0.314</v>
      </c>
      <c r="AS165">
        <v>0.52</v>
      </c>
      <c r="AT165">
        <v>1.131</v>
      </c>
    </row>
    <row r="166" spans="5:46" x14ac:dyDescent="0.25">
      <c r="E166" s="170">
        <f t="shared" si="929"/>
        <v>-0.89382542871675974</v>
      </c>
      <c r="F166" s="170">
        <f t="shared" si="929"/>
        <v>0.4455580182466658</v>
      </c>
      <c r="G166" s="170">
        <f t="shared" si="929"/>
        <v>5.0538652093270055E-2</v>
      </c>
      <c r="H166" s="139"/>
      <c r="I166" s="86"/>
      <c r="J166" s="79">
        <f t="shared" si="930"/>
        <v>1.137</v>
      </c>
      <c r="AL166">
        <v>0.41978897216963124</v>
      </c>
      <c r="AM166">
        <v>7.930597462287742</v>
      </c>
      <c r="AN166">
        <v>-1.6657999999999999</v>
      </c>
      <c r="AO166">
        <v>0.92915108490268139</v>
      </c>
      <c r="AP166">
        <v>-0.36479755904401917</v>
      </c>
      <c r="AQ166">
        <v>-6.0008352249463014E-2</v>
      </c>
      <c r="AR166">
        <v>0.314</v>
      </c>
      <c r="AS166">
        <v>0.52</v>
      </c>
      <c r="AT166">
        <v>1.1339999999999999</v>
      </c>
    </row>
    <row r="167" spans="5:46" x14ac:dyDescent="0.25">
      <c r="E167" s="170">
        <f t="shared" si="929"/>
        <v>-0.8524078976708529</v>
      </c>
      <c r="F167" s="170">
        <f t="shared" si="929"/>
        <v>0.52239828282440381</v>
      </c>
      <c r="G167" s="170">
        <f t="shared" si="929"/>
        <v>2.2378786617491604E-2</v>
      </c>
      <c r="H167" s="139"/>
      <c r="I167" s="86"/>
      <c r="J167" s="79">
        <f t="shared" si="930"/>
        <v>1.1399999999999999</v>
      </c>
      <c r="AL167">
        <v>0.48719286402584439</v>
      </c>
      <c r="AM167">
        <v>8.2490255590125496</v>
      </c>
      <c r="AN167">
        <v>-2.3233000000000001</v>
      </c>
      <c r="AO167">
        <v>0.89382542871675974</v>
      </c>
      <c r="AP167">
        <v>-0.4455580182466658</v>
      </c>
      <c r="AQ167">
        <v>-5.0538652093270055E-2</v>
      </c>
      <c r="AR167">
        <v>0.314</v>
      </c>
      <c r="AS167">
        <v>0.52</v>
      </c>
      <c r="AT167">
        <v>1.137</v>
      </c>
    </row>
    <row r="168" spans="5:46" x14ac:dyDescent="0.25">
      <c r="E168" s="170">
        <f t="shared" si="929"/>
        <v>-0.80593385224666658</v>
      </c>
      <c r="F168" s="170">
        <f t="shared" si="929"/>
        <v>0.59197269473175451</v>
      </c>
      <c r="G168" s="170">
        <f t="shared" si="929"/>
        <v>6.2413536090727972E-3</v>
      </c>
      <c r="H168" s="139"/>
      <c r="I168" s="86"/>
      <c r="J168" s="79">
        <f t="shared" si="930"/>
        <v>1.143</v>
      </c>
      <c r="AL168">
        <v>0.54447199119185707</v>
      </c>
      <c r="AM168">
        <v>8.4196136544860281</v>
      </c>
      <c r="AN168">
        <v>-3.0308999999999995</v>
      </c>
      <c r="AO168">
        <v>0.8524078976708529</v>
      </c>
      <c r="AP168">
        <v>-0.52239828282440381</v>
      </c>
      <c r="AQ168">
        <v>-2.2378786617491604E-2</v>
      </c>
      <c r="AR168">
        <v>0.314</v>
      </c>
      <c r="AS168">
        <v>0.52</v>
      </c>
      <c r="AT168">
        <v>1.1399999999999999</v>
      </c>
    </row>
    <row r="169" spans="5:46" x14ac:dyDescent="0.25">
      <c r="E169" s="170">
        <f t="shared" si="929"/>
        <v>-0.80511150875861459</v>
      </c>
      <c r="F169" s="170">
        <f t="shared" si="929"/>
        <v>0.59310674743034075</v>
      </c>
      <c r="G169" s="170">
        <f t="shared" si="929"/>
        <v>4.454729736949139E-3</v>
      </c>
      <c r="H169" s="139"/>
      <c r="I169" s="86"/>
      <c r="J169" s="79">
        <f t="shared" si="930"/>
        <v>1.1459999999999999</v>
      </c>
      <c r="AL169">
        <v>0.58778125712344131</v>
      </c>
      <c r="AM169">
        <v>8.5340823574520517</v>
      </c>
      <c r="AN169">
        <v>-3.7026999999999997</v>
      </c>
      <c r="AO169">
        <v>0.80593385224666658</v>
      </c>
      <c r="AP169">
        <v>-0.59197269473175451</v>
      </c>
      <c r="AQ169">
        <v>-6.2413536090727972E-3</v>
      </c>
      <c r="AR169">
        <v>0.26600000000000001</v>
      </c>
      <c r="AS169">
        <v>0.52</v>
      </c>
      <c r="AT169">
        <v>1.143</v>
      </c>
    </row>
    <row r="170" spans="5:46" x14ac:dyDescent="0.25">
      <c r="E170" s="170">
        <f t="shared" si="929"/>
        <v>2.1916203894295953E-7</v>
      </c>
      <c r="F170" s="170">
        <f t="shared" si="929"/>
        <v>-5.8343173198414107E-8</v>
      </c>
      <c r="G170" s="170">
        <f t="shared" si="929"/>
        <v>-0.99999999999997435</v>
      </c>
      <c r="H170" s="139"/>
      <c r="I170" s="86"/>
      <c r="J170" s="79">
        <f t="shared" si="930"/>
        <v>1.218</v>
      </c>
      <c r="AL170">
        <v>0.59373902683170587</v>
      </c>
      <c r="AM170">
        <v>8.5336699290526177</v>
      </c>
      <c r="AN170">
        <v>-4.3879999999999999</v>
      </c>
      <c r="AO170">
        <v>0.80511150875861459</v>
      </c>
      <c r="AP170">
        <v>-0.59310674743034075</v>
      </c>
      <c r="AQ170">
        <v>-4.454729736949139E-3</v>
      </c>
      <c r="AR170">
        <v>0.26600000000000001</v>
      </c>
      <c r="AS170">
        <v>0.52</v>
      </c>
      <c r="AT170">
        <v>1.1459999999999999</v>
      </c>
    </row>
    <row r="171" spans="5:46" x14ac:dyDescent="0.25">
      <c r="E171" s="170">
        <f t="shared" si="929"/>
        <v>-1.2620791145703039E-2</v>
      </c>
      <c r="F171" s="170">
        <f t="shared" si="929"/>
        <v>-4.7191259269730029E-2</v>
      </c>
      <c r="G171" s="170">
        <f t="shared" si="929"/>
        <v>-0.99880613768608462</v>
      </c>
      <c r="H171" s="139"/>
      <c r="I171" s="86"/>
      <c r="J171" s="79">
        <f t="shared" si="930"/>
        <v>1.2210000000000001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  <c r="AL171">
        <v>1.1626743129039374</v>
      </c>
      <c r="AM171">
        <v>4.367504529709481</v>
      </c>
      <c r="AN171">
        <v>-0.12390786132410929</v>
      </c>
      <c r="AO171">
        <v>-2.1916203894295953E-7</v>
      </c>
      <c r="AP171">
        <v>5.8343173198414107E-8</v>
      </c>
      <c r="AQ171">
        <v>0.99999999999997435</v>
      </c>
      <c r="AR171">
        <v>0.26250000000000001</v>
      </c>
      <c r="AS171">
        <v>0.41199999999999998</v>
      </c>
      <c r="AT171">
        <v>1.218</v>
      </c>
    </row>
    <row r="172" spans="5:46" x14ac:dyDescent="0.25">
      <c r="E172" s="170">
        <f t="shared" si="929"/>
        <v>-5.4659276677502755E-2</v>
      </c>
      <c r="F172" s="170">
        <f t="shared" si="929"/>
        <v>-0.19705579612767443</v>
      </c>
      <c r="G172" s="170">
        <f t="shared" si="929"/>
        <v>-0.97886739484241714</v>
      </c>
      <c r="H172" s="139"/>
      <c r="I172" s="86"/>
      <c r="J172" s="79">
        <f t="shared" si="930"/>
        <v>1.224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1.3664935890338796</v>
      </c>
      <c r="AM172">
        <v>5.1094541523824351</v>
      </c>
      <c r="AN172">
        <v>-8.8541341830191661E-2</v>
      </c>
      <c r="AO172">
        <v>1.2620791145703039E-2</v>
      </c>
      <c r="AP172">
        <v>4.7191259269730029E-2</v>
      </c>
      <c r="AQ172">
        <v>0.99880613768608462</v>
      </c>
      <c r="AR172">
        <v>0.26250000000000001</v>
      </c>
      <c r="AS172">
        <v>0.41199999999999998</v>
      </c>
      <c r="AT172">
        <v>1.2210000000000001</v>
      </c>
    </row>
    <row r="173" spans="5:46" x14ac:dyDescent="0.25">
      <c r="E173" s="170">
        <f t="shared" si="929"/>
        <v>0.76461852494847393</v>
      </c>
      <c r="F173" s="170">
        <f t="shared" si="929"/>
        <v>-0.49412790649525806</v>
      </c>
      <c r="G173" s="170">
        <f t="shared" si="929"/>
        <v>-0.41375853263495788</v>
      </c>
      <c r="H173" s="139"/>
      <c r="I173" s="86"/>
      <c r="J173" s="79">
        <f t="shared" si="930"/>
        <v>1.2270000000000001</v>
      </c>
      <c r="O173">
        <f>IF($J24="","",IFERROR(INDEX(Settings!$AK$14:$AK$32,MATCH((((ROUND($H24,6)*2)*1000000)+ROUND($I24,6)),Settings!$AI$14:$AI$32,0)),"Undefined"))</f>
        <v>1313</v>
      </c>
      <c r="AL173">
        <v>1.6078259104119443</v>
      </c>
      <c r="AM173">
        <v>5.7964552373762146</v>
      </c>
      <c r="AN173">
        <v>-0.21955484160418845</v>
      </c>
      <c r="AO173">
        <v>5.4659276677502755E-2</v>
      </c>
      <c r="AP173">
        <v>0.19705579612767443</v>
      </c>
      <c r="AQ173">
        <v>0.97886739484241714</v>
      </c>
      <c r="AR173">
        <v>0.26250000000000001</v>
      </c>
      <c r="AS173">
        <v>0.41199999999999998</v>
      </c>
      <c r="AT173">
        <v>1.224</v>
      </c>
    </row>
    <row r="174" spans="5:46" x14ac:dyDescent="0.25">
      <c r="E174" s="170">
        <f t="shared" ref="E174:G193" si="933">E29*-1</f>
        <v>0.7374324709198643</v>
      </c>
      <c r="F174" s="170">
        <f t="shared" si="933"/>
        <v>-0.58019366645114778</v>
      </c>
      <c r="G174" s="170">
        <f t="shared" si="933"/>
        <v>-0.34578701572354875</v>
      </c>
      <c r="H174" s="139"/>
      <c r="I174" s="86"/>
      <c r="J174" s="79">
        <f t="shared" si="930"/>
        <v>1.23</v>
      </c>
      <c r="AL174">
        <v>1.5398984019877335</v>
      </c>
      <c r="AM174">
        <v>6.5381811858618226</v>
      </c>
      <c r="AN174">
        <v>-0.49941653779827888</v>
      </c>
      <c r="AO174">
        <v>-0.76461852494847393</v>
      </c>
      <c r="AP174">
        <v>0.49412790649525806</v>
      </c>
      <c r="AQ174">
        <v>0.41375853263495788</v>
      </c>
      <c r="AR174">
        <v>0.26600000000000001</v>
      </c>
      <c r="AS174">
        <v>0.52</v>
      </c>
      <c r="AT174">
        <v>1.2270000000000001</v>
      </c>
    </row>
    <row r="175" spans="5:46" x14ac:dyDescent="0.25">
      <c r="E175" s="170">
        <f t="shared" si="933"/>
        <v>0.71384872456611492</v>
      </c>
      <c r="F175" s="170">
        <f t="shared" si="933"/>
        <v>-0.64805872016354127</v>
      </c>
      <c r="G175" s="170">
        <f t="shared" si="933"/>
        <v>-0.26540515001658105</v>
      </c>
      <c r="H175" s="139"/>
      <c r="I175" s="86"/>
      <c r="J175" s="79">
        <f t="shared" si="930"/>
        <v>1.2330000000000001</v>
      </c>
      <c r="AL175">
        <v>1.7324325419107232</v>
      </c>
      <c r="AM175">
        <v>7.1142792564079418</v>
      </c>
      <c r="AN175">
        <v>-0.92833254455145986</v>
      </c>
      <c r="AO175">
        <v>-0.7374324709198643</v>
      </c>
      <c r="AP175">
        <v>0.58019366645114778</v>
      </c>
      <c r="AQ175">
        <v>0.34578701572354875</v>
      </c>
      <c r="AR175">
        <v>0.26600000000000001</v>
      </c>
      <c r="AS175">
        <v>0.52</v>
      </c>
      <c r="AT175">
        <v>1.23</v>
      </c>
    </row>
    <row r="176" spans="5:46" x14ac:dyDescent="0.25">
      <c r="E176" s="170">
        <f t="shared" si="933"/>
        <v>-0.28813036730627789</v>
      </c>
      <c r="F176" s="170">
        <f t="shared" si="933"/>
        <v>-0.85928724580547267</v>
      </c>
      <c r="G176" s="170">
        <f t="shared" si="933"/>
        <v>-0.42261841019055801</v>
      </c>
      <c r="H176" s="139"/>
      <c r="I176" s="86"/>
      <c r="J176" s="79">
        <f t="shared" si="930"/>
        <v>1.236</v>
      </c>
      <c r="AL176">
        <v>1.903274501816324</v>
      </c>
      <c r="AM176">
        <v>7.5834161697111133</v>
      </c>
      <c r="AN176">
        <v>-1.4763182901965799</v>
      </c>
      <c r="AO176">
        <v>-0.71384872456611492</v>
      </c>
      <c r="AP176">
        <v>0.64805872016354127</v>
      </c>
      <c r="AQ176">
        <v>0.26540515001658105</v>
      </c>
      <c r="AR176">
        <v>0.26600000000000001</v>
      </c>
      <c r="AS176">
        <v>0.52</v>
      </c>
      <c r="AT176">
        <v>1.2330000000000001</v>
      </c>
    </row>
    <row r="177" spans="5:46" x14ac:dyDescent="0.25">
      <c r="E177" s="170">
        <f t="shared" si="933"/>
        <v>-0.29418209979126825</v>
      </c>
      <c r="F177" s="170">
        <f t="shared" si="933"/>
        <v>-0.85723425709102741</v>
      </c>
      <c r="G177" s="170">
        <f t="shared" si="933"/>
        <v>-0.42261841019055807</v>
      </c>
      <c r="H177" s="139"/>
      <c r="I177" s="86"/>
      <c r="J177" s="79">
        <f t="shared" si="930"/>
        <v>1.2390000000000001</v>
      </c>
      <c r="AL177">
        <v>2.5824702663838566</v>
      </c>
      <c r="AM177">
        <v>7.7016592907045656</v>
      </c>
      <c r="AN177">
        <v>-2.1260837214040049</v>
      </c>
      <c r="AO177">
        <v>0.28813036730627789</v>
      </c>
      <c r="AP177">
        <v>0.85928724580547267</v>
      </c>
      <c r="AQ177">
        <v>0.42261841019055801</v>
      </c>
      <c r="AR177">
        <v>0.26250000000000001</v>
      </c>
      <c r="AS177">
        <v>0.41199999999999998</v>
      </c>
      <c r="AT177">
        <v>1.236</v>
      </c>
    </row>
    <row r="178" spans="5:46" x14ac:dyDescent="0.25">
      <c r="E178" s="170">
        <f t="shared" si="933"/>
        <v>-0.40821789367673511</v>
      </c>
      <c r="F178" s="170">
        <f t="shared" si="933"/>
        <v>0.87542609806559302</v>
      </c>
      <c r="G178" s="170">
        <f t="shared" si="933"/>
        <v>0.25881904510252091</v>
      </c>
      <c r="H178" s="139"/>
      <c r="I178" s="86"/>
      <c r="J178" s="79">
        <f t="shared" si="930"/>
        <v>2.1120000000000001</v>
      </c>
      <c r="AL178">
        <v>2.7047964815656815</v>
      </c>
      <c r="AM178">
        <v>7.8816566822183933</v>
      </c>
      <c r="AN178">
        <v>-2.8272614517536816</v>
      </c>
      <c r="AO178">
        <v>0.29418209979126825</v>
      </c>
      <c r="AP178">
        <v>0.85723425709102741</v>
      </c>
      <c r="AQ178">
        <v>0.42261841019055807</v>
      </c>
      <c r="AR178">
        <v>0.26250000000000001</v>
      </c>
      <c r="AS178">
        <v>0.41199999999999998</v>
      </c>
      <c r="AT178">
        <v>1.2390000000000001</v>
      </c>
    </row>
    <row r="179" spans="5:46" x14ac:dyDescent="0.25">
      <c r="E179" s="170">
        <f t="shared" si="933"/>
        <v>-0.40821789367673511</v>
      </c>
      <c r="F179" s="170">
        <f t="shared" si="933"/>
        <v>0.87542609806559302</v>
      </c>
      <c r="G179" s="170">
        <f t="shared" si="933"/>
        <v>0.25881904510252085</v>
      </c>
      <c r="H179" s="139"/>
      <c r="I179" s="86"/>
      <c r="J179" s="79">
        <f t="shared" si="930"/>
        <v>2.1150000000000002</v>
      </c>
      <c r="AL179">
        <v>2.7433030405812358</v>
      </c>
      <c r="AM179">
        <v>1.2792232164629236</v>
      </c>
      <c r="AN179">
        <v>-0.48670000000000002</v>
      </c>
      <c r="AO179">
        <v>0.40821789367673511</v>
      </c>
      <c r="AP179">
        <v>-0.87542609806559302</v>
      </c>
      <c r="AQ179">
        <v>-0.25881904510252091</v>
      </c>
      <c r="AR179">
        <v>0.314</v>
      </c>
      <c r="AS179">
        <v>0.52</v>
      </c>
      <c r="AT179">
        <v>2.1120000000000001</v>
      </c>
    </row>
    <row r="180" spans="5:46" x14ac:dyDescent="0.25">
      <c r="E180" s="170">
        <f t="shared" si="933"/>
        <v>-0.36985233383803651</v>
      </c>
      <c r="F180" s="170">
        <f t="shared" si="933"/>
        <v>0.89236851475360857</v>
      </c>
      <c r="G180" s="170">
        <f t="shared" si="933"/>
        <v>0.25862653582143574</v>
      </c>
      <c r="H180" s="139"/>
      <c r="I180" s="86"/>
      <c r="J180" s="79">
        <f t="shared" si="930"/>
        <v>2.1179999999999999</v>
      </c>
      <c r="AL180">
        <v>3.417596034136503</v>
      </c>
      <c r="AM180">
        <v>1.5936512031980041</v>
      </c>
      <c r="AN180">
        <v>-0.2873</v>
      </c>
      <c r="AO180">
        <v>0.40821789367673511</v>
      </c>
      <c r="AP180">
        <v>-0.87542609806559302</v>
      </c>
      <c r="AQ180">
        <v>-0.25881904510252085</v>
      </c>
      <c r="AR180">
        <v>0.314</v>
      </c>
      <c r="AS180">
        <v>0.52</v>
      </c>
      <c r="AT180">
        <v>2.1150000000000002</v>
      </c>
    </row>
    <row r="181" spans="5:46" x14ac:dyDescent="0.25">
      <c r="E181" s="170">
        <f t="shared" si="933"/>
        <v>-0.31824294315845653</v>
      </c>
      <c r="F181" s="170">
        <f t="shared" si="933"/>
        <v>0.91329866876135868</v>
      </c>
      <c r="G181" s="170">
        <f t="shared" si="933"/>
        <v>0.2541790132339285</v>
      </c>
      <c r="H181" s="139"/>
      <c r="I181" s="86"/>
      <c r="J181" s="79">
        <f t="shared" si="930"/>
        <v>2.121</v>
      </c>
      <c r="AL181">
        <v>4.1027910919773332</v>
      </c>
      <c r="AM181">
        <v>1.8957556318237427</v>
      </c>
      <c r="AN181">
        <v>-0.1042</v>
      </c>
      <c r="AO181">
        <v>0.36985233383803651</v>
      </c>
      <c r="AP181">
        <v>-0.89236851475360857</v>
      </c>
      <c r="AQ181">
        <v>-0.25862653582143574</v>
      </c>
      <c r="AR181">
        <v>0.314</v>
      </c>
      <c r="AS181">
        <v>0.52</v>
      </c>
      <c r="AT181">
        <v>2.1179999999999999</v>
      </c>
    </row>
    <row r="182" spans="5:46" x14ac:dyDescent="0.25">
      <c r="E182" s="170">
        <f t="shared" si="933"/>
        <v>-0.24231845925979395</v>
      </c>
      <c r="F182" s="170">
        <f t="shared" si="933"/>
        <v>0.94260298747207516</v>
      </c>
      <c r="G182" s="170">
        <f t="shared" si="933"/>
        <v>0.22974196897972021</v>
      </c>
      <c r="H182" s="139"/>
      <c r="I182" s="86"/>
      <c r="J182" s="79">
        <f t="shared" si="930"/>
        <v>2.1240000000000001</v>
      </c>
      <c r="AL182">
        <v>4.8212438722640014</v>
      </c>
      <c r="AM182">
        <v>2.1819421450067868</v>
      </c>
      <c r="AN182">
        <v>-6.88E-2</v>
      </c>
      <c r="AO182">
        <v>0.31824294315845653</v>
      </c>
      <c r="AP182">
        <v>-0.91329866876135868</v>
      </c>
      <c r="AQ182">
        <v>-0.2541790132339285</v>
      </c>
      <c r="AR182">
        <v>0.314</v>
      </c>
      <c r="AS182">
        <v>0.52</v>
      </c>
      <c r="AT182">
        <v>2.121</v>
      </c>
    </row>
    <row r="183" spans="5:46" x14ac:dyDescent="0.25">
      <c r="E183" s="170">
        <f t="shared" si="933"/>
        <v>-0.1732487173170876</v>
      </c>
      <c r="F183" s="170">
        <f t="shared" si="933"/>
        <v>0.96630646535547859</v>
      </c>
      <c r="G183" s="170">
        <f t="shared" si="933"/>
        <v>0.19035938894676385</v>
      </c>
      <c r="H183" s="139"/>
      <c r="I183" s="86"/>
      <c r="J183" s="79">
        <f t="shared" si="930"/>
        <v>2.1269999999999998</v>
      </c>
      <c r="AL183">
        <v>5.5156183515159087</v>
      </c>
      <c r="AM183">
        <v>2.4315277173869361</v>
      </c>
      <c r="AN183">
        <v>-0.19939999999999999</v>
      </c>
      <c r="AO183">
        <v>0.24231845925979395</v>
      </c>
      <c r="AP183">
        <v>-0.94260298747207516</v>
      </c>
      <c r="AQ183">
        <v>-0.22974196897972021</v>
      </c>
      <c r="AR183">
        <v>0.314</v>
      </c>
      <c r="AS183">
        <v>0.52</v>
      </c>
      <c r="AT183">
        <v>2.1240000000000001</v>
      </c>
    </row>
    <row r="184" spans="5:46" x14ac:dyDescent="0.25">
      <c r="E184" s="170">
        <f t="shared" si="933"/>
        <v>-0.11503337117976943</v>
      </c>
      <c r="F184" s="170">
        <f t="shared" si="933"/>
        <v>0.9835802253995708</v>
      </c>
      <c r="G184" s="170">
        <f t="shared" si="933"/>
        <v>0.13905849027638281</v>
      </c>
      <c r="H184" s="139"/>
      <c r="I184" s="86"/>
      <c r="J184" s="79">
        <f t="shared" si="930"/>
        <v>2.13</v>
      </c>
      <c r="AL184">
        <v>6.1669401800294086</v>
      </c>
      <c r="AM184">
        <v>2.6418799775801394</v>
      </c>
      <c r="AN184">
        <v>-0.48759999999999992</v>
      </c>
      <c r="AO184">
        <v>0.1732487173170876</v>
      </c>
      <c r="AP184">
        <v>-0.96630646535547859</v>
      </c>
      <c r="AQ184">
        <v>-0.19035938894676385</v>
      </c>
      <c r="AR184">
        <v>0.314</v>
      </c>
      <c r="AS184">
        <v>0.52</v>
      </c>
      <c r="AT184">
        <v>2.1269999999999998</v>
      </c>
    </row>
    <row r="185" spans="5:46" x14ac:dyDescent="0.25">
      <c r="E185" s="170">
        <f t="shared" si="933"/>
        <v>-7.1790188117652629E-2</v>
      </c>
      <c r="F185" s="170">
        <f t="shared" si="933"/>
        <v>0.99419305741532771</v>
      </c>
      <c r="G185" s="170">
        <f t="shared" si="933"/>
        <v>8.0164415280067458E-2</v>
      </c>
      <c r="H185" s="139"/>
      <c r="I185" s="86"/>
      <c r="J185" s="79">
        <f t="shared" si="930"/>
        <v>2.133</v>
      </c>
      <c r="AL185">
        <v>6.749497576291291</v>
      </c>
      <c r="AM185">
        <v>2.8095446744335604</v>
      </c>
      <c r="AN185">
        <v>-0.91489999999999994</v>
      </c>
      <c r="AO185">
        <v>0.11503337117976943</v>
      </c>
      <c r="AP185">
        <v>-0.9835802253995708</v>
      </c>
      <c r="AQ185">
        <v>-0.13905849027638281</v>
      </c>
      <c r="AR185">
        <v>0.314</v>
      </c>
      <c r="AS185">
        <v>0.52</v>
      </c>
      <c r="AT185">
        <v>2.13</v>
      </c>
    </row>
    <row r="186" spans="5:46" x14ac:dyDescent="0.25">
      <c r="E186" s="170">
        <f t="shared" si="933"/>
        <v>1.9826755235744193E-2</v>
      </c>
      <c r="F186" s="170">
        <f t="shared" si="933"/>
        <v>0.99715475411112242</v>
      </c>
      <c r="G186" s="170">
        <f t="shared" si="933"/>
        <v>7.2727547259679809E-2</v>
      </c>
      <c r="H186" s="139"/>
      <c r="I186" s="86"/>
      <c r="J186" s="79">
        <f t="shared" si="930"/>
        <v>2.1360000000000001</v>
      </c>
      <c r="AL186">
        <v>7.2315124010238074</v>
      </c>
      <c r="AM186">
        <v>2.9349425469400394</v>
      </c>
      <c r="AN186">
        <v>-1.4608000000000001</v>
      </c>
      <c r="AO186">
        <v>7.1790188117652629E-2</v>
      </c>
      <c r="AP186">
        <v>-0.99419305741532771</v>
      </c>
      <c r="AQ186">
        <v>-8.0164415280067458E-2</v>
      </c>
      <c r="AR186">
        <v>0.314</v>
      </c>
      <c r="AS186">
        <v>0.52</v>
      </c>
      <c r="AT186">
        <v>2.133</v>
      </c>
    </row>
    <row r="187" spans="5:46" x14ac:dyDescent="0.25">
      <c r="E187" s="170">
        <f t="shared" si="933"/>
        <v>0.11108631029381262</v>
      </c>
      <c r="F187" s="170">
        <f t="shared" si="933"/>
        <v>0.99268906475816121</v>
      </c>
      <c r="G187" s="170">
        <f t="shared" si="933"/>
        <v>4.7204368175774093E-2</v>
      </c>
      <c r="H187" s="139"/>
      <c r="I187" s="86"/>
      <c r="J187" s="79">
        <f t="shared" si="930"/>
        <v>2.1389999999999998</v>
      </c>
      <c r="AL187">
        <v>7.5949154662336795</v>
      </c>
      <c r="AM187">
        <v>3.0223839433077369</v>
      </c>
      <c r="AN187">
        <v>-2.0953999999999993</v>
      </c>
      <c r="AO187">
        <v>-1.9826755235744193E-2</v>
      </c>
      <c r="AP187">
        <v>-0.99715475411112242</v>
      </c>
      <c r="AQ187">
        <v>-7.2727547259679809E-2</v>
      </c>
      <c r="AR187">
        <v>0.314</v>
      </c>
      <c r="AS187">
        <v>0.52</v>
      </c>
      <c r="AT187">
        <v>2.1360000000000001</v>
      </c>
    </row>
    <row r="188" spans="5:46" x14ac:dyDescent="0.25">
      <c r="E188" s="170">
        <f t="shared" si="933"/>
        <v>0.19590709923398722</v>
      </c>
      <c r="F188" s="170">
        <f t="shared" si="933"/>
        <v>0.98060259737309041</v>
      </c>
      <c r="G188" s="170">
        <f t="shared" si="933"/>
        <v>6.2413536090727946E-3</v>
      </c>
      <c r="H188" s="139"/>
      <c r="I188" s="86"/>
      <c r="J188" s="79">
        <f t="shared" si="930"/>
        <v>2.1419999999999999</v>
      </c>
      <c r="AL188">
        <v>7.8249283361514719</v>
      </c>
      <c r="AM188">
        <v>3.0523854891041822</v>
      </c>
      <c r="AN188">
        <v>-2.7900000000000005</v>
      </c>
      <c r="AO188">
        <v>-0.11108631029381262</v>
      </c>
      <c r="AP188">
        <v>-0.99268906475816121</v>
      </c>
      <c r="AQ188">
        <v>-4.7204368175774093E-2</v>
      </c>
      <c r="AR188">
        <v>0.314</v>
      </c>
      <c r="AS188">
        <v>0.52</v>
      </c>
      <c r="AT188">
        <v>2.1389999999999998</v>
      </c>
    </row>
    <row r="189" spans="5:46" x14ac:dyDescent="0.25">
      <c r="E189" s="170">
        <f t="shared" si="933"/>
        <v>0.19728243740109921</v>
      </c>
      <c r="F189" s="170">
        <f t="shared" si="933"/>
        <v>0.98033657244644923</v>
      </c>
      <c r="G189" s="170">
        <f t="shared" si="933"/>
        <v>4.4547297369491408E-3</v>
      </c>
      <c r="H189" s="139"/>
      <c r="I189" s="86"/>
      <c r="J189" s="79">
        <f t="shared" si="930"/>
        <v>2.145</v>
      </c>
      <c r="AL189">
        <v>7.9829123889401563</v>
      </c>
      <c r="AM189">
        <v>3.0739483210531926</v>
      </c>
      <c r="AN189">
        <v>-3.4742999999999999</v>
      </c>
      <c r="AO189">
        <v>-0.19590709923398722</v>
      </c>
      <c r="AP189">
        <v>-0.98060259737309041</v>
      </c>
      <c r="AQ189">
        <v>-6.2413536090727946E-3</v>
      </c>
      <c r="AR189">
        <v>0.26600000000000001</v>
      </c>
      <c r="AS189">
        <v>0.52</v>
      </c>
      <c r="AT189">
        <v>2.1419999999999999</v>
      </c>
    </row>
    <row r="190" spans="5:46" x14ac:dyDescent="0.25">
      <c r="E190" s="170">
        <f t="shared" si="933"/>
        <v>3.9230324720631807E-8</v>
      </c>
      <c r="F190" s="170">
        <f t="shared" si="933"/>
        <v>-2.2337615538003783E-7</v>
      </c>
      <c r="G190" s="170">
        <f t="shared" si="933"/>
        <v>-0.99999999999997435</v>
      </c>
      <c r="H190" s="139"/>
      <c r="I190" s="86"/>
      <c r="J190" s="79">
        <f t="shared" si="930"/>
        <v>2.2170000000000001</v>
      </c>
      <c r="AL190">
        <v>7.9850564641481139</v>
      </c>
      <c r="AM190">
        <v>3.0683744481999589</v>
      </c>
      <c r="AN190">
        <v>-4.1595000000000004</v>
      </c>
      <c r="AO190">
        <v>-0.19728243740109921</v>
      </c>
      <c r="AP190">
        <v>-0.98033657244644923</v>
      </c>
      <c r="AQ190">
        <v>-4.4547297369491408E-3</v>
      </c>
      <c r="AR190">
        <v>0.26600000000000001</v>
      </c>
      <c r="AS190">
        <v>0.52</v>
      </c>
      <c r="AT190">
        <v>2.145</v>
      </c>
    </row>
    <row r="191" spans="5:46" x14ac:dyDescent="0.25">
      <c r="E191" s="170">
        <f t="shared" si="933"/>
        <v>3.9830574189809791E-8</v>
      </c>
      <c r="F191" s="170">
        <f t="shared" si="933"/>
        <v>-2.2326990511454793E-7</v>
      </c>
      <c r="G191" s="170">
        <f t="shared" si="933"/>
        <v>-0.99999999999997435</v>
      </c>
      <c r="H191" s="139"/>
      <c r="I191" s="86"/>
      <c r="J191" s="79">
        <f t="shared" si="930"/>
        <v>2.2200000000000002</v>
      </c>
      <c r="AL191">
        <v>4.203282215181356</v>
      </c>
      <c r="AM191">
        <v>0.73819932084280671</v>
      </c>
      <c r="AN191">
        <v>-0.17623378580576415</v>
      </c>
      <c r="AO191">
        <v>-3.9230324720631807E-8</v>
      </c>
      <c r="AP191">
        <v>2.2337615538003783E-7</v>
      </c>
      <c r="AQ191">
        <v>0.99999999999997435</v>
      </c>
      <c r="AR191">
        <v>0.26250000000000001</v>
      </c>
      <c r="AS191">
        <v>0.41199999999999998</v>
      </c>
      <c r="AT191">
        <v>2.2170000000000001</v>
      </c>
    </row>
    <row r="192" spans="5:46" x14ac:dyDescent="0.25">
      <c r="E192" s="170">
        <f t="shared" si="933"/>
        <v>-0.15079457706204499</v>
      </c>
      <c r="F192" s="170">
        <f t="shared" si="933"/>
        <v>-2.5800289282338608E-2</v>
      </c>
      <c r="G192" s="170">
        <f t="shared" si="933"/>
        <v>-0.98822838483906483</v>
      </c>
      <c r="H192" s="139"/>
      <c r="I192" s="86"/>
      <c r="J192" s="79">
        <f t="shared" si="930"/>
        <v>2.2229999999999999</v>
      </c>
      <c r="AL192">
        <v>4.9596126886270708</v>
      </c>
      <c r="AM192">
        <v>0.88477764680985438</v>
      </c>
      <c r="AN192">
        <v>-8.0993715228377963E-2</v>
      </c>
      <c r="AO192">
        <v>-3.9830574189809791E-8</v>
      </c>
      <c r="AP192">
        <v>2.2326990511454793E-7</v>
      </c>
      <c r="AQ192">
        <v>0.99999999999997435</v>
      </c>
      <c r="AR192">
        <v>0.26250000000000001</v>
      </c>
      <c r="AS192">
        <v>0.41199999999999998</v>
      </c>
      <c r="AT192">
        <v>2.2200000000000002</v>
      </c>
    </row>
    <row r="193" spans="5:46" x14ac:dyDescent="0.25">
      <c r="E193" s="170">
        <f t="shared" si="933"/>
        <v>-9.1348782094321165E-2</v>
      </c>
      <c r="F193" s="170">
        <f t="shared" si="933"/>
        <v>-0.89677343088541872</v>
      </c>
      <c r="G193" s="170">
        <f t="shared" si="933"/>
        <v>-0.43295821238068621</v>
      </c>
      <c r="H193" s="139"/>
      <c r="I193" s="86"/>
      <c r="J193" s="79">
        <f t="shared" si="930"/>
        <v>2.226</v>
      </c>
      <c r="AL193">
        <v>5.6963883114284393</v>
      </c>
      <c r="AM193">
        <v>0.97461830841785113</v>
      </c>
      <c r="AN193">
        <v>-0.16006189538107432</v>
      </c>
      <c r="AO193">
        <v>0.15079457706204499</v>
      </c>
      <c r="AP193">
        <v>2.5800289282338608E-2</v>
      </c>
      <c r="AQ193">
        <v>0.98822838483906483</v>
      </c>
      <c r="AR193">
        <v>0.26250000000000001</v>
      </c>
      <c r="AS193">
        <v>0.41199999999999998</v>
      </c>
      <c r="AT193">
        <v>2.2229999999999999</v>
      </c>
    </row>
    <row r="194" spans="5:46" x14ac:dyDescent="0.25">
      <c r="E194" s="170">
        <f t="shared" ref="E194:G213" si="934">E49*-1</f>
        <v>-0.18637810823183829</v>
      </c>
      <c r="F194" s="170">
        <f t="shared" si="934"/>
        <v>-0.91023209648149572</v>
      </c>
      <c r="G194" s="170">
        <f t="shared" si="934"/>
        <v>-0.36978470940105446</v>
      </c>
      <c r="H194" s="139"/>
      <c r="I194" s="86"/>
      <c r="J194" s="79">
        <f t="shared" si="930"/>
        <v>2.2290000000000001</v>
      </c>
      <c r="AL194">
        <v>6.3573798210939181</v>
      </c>
      <c r="AM194">
        <v>1.3379671663483907</v>
      </c>
      <c r="AN194">
        <v>-0.38827986627039185</v>
      </c>
      <c r="AO194">
        <v>9.1348782094321165E-2</v>
      </c>
      <c r="AP194">
        <v>0.89677343088541872</v>
      </c>
      <c r="AQ194">
        <v>0.43295821238068621</v>
      </c>
      <c r="AR194">
        <v>0.26600000000000001</v>
      </c>
      <c r="AS194">
        <v>0.52</v>
      </c>
      <c r="AT194">
        <v>2.226</v>
      </c>
    </row>
    <row r="195" spans="5:46" x14ac:dyDescent="0.25">
      <c r="E195" s="170">
        <f t="shared" si="934"/>
        <v>-0.26393748885502227</v>
      </c>
      <c r="F195" s="170">
        <f t="shared" si="934"/>
        <v>-0.9189192132344538</v>
      </c>
      <c r="G195" s="170">
        <f t="shared" si="934"/>
        <v>-0.29312877976322549</v>
      </c>
      <c r="H195" s="139"/>
      <c r="I195" s="86"/>
      <c r="J195" s="79">
        <f t="shared" si="930"/>
        <v>2.2320000000000002</v>
      </c>
      <c r="AL195">
        <v>6.9899238505115555</v>
      </c>
      <c r="AM195">
        <v>1.4167757397649119</v>
      </c>
      <c r="AN195">
        <v>-0.77274244279331472</v>
      </c>
      <c r="AO195">
        <v>0.18637810823183829</v>
      </c>
      <c r="AP195">
        <v>0.91023209648149572</v>
      </c>
      <c r="AQ195">
        <v>0.36978470940105446</v>
      </c>
      <c r="AR195">
        <v>0.26600000000000001</v>
      </c>
      <c r="AS195">
        <v>0.52</v>
      </c>
      <c r="AT195">
        <v>2.2290000000000001</v>
      </c>
    </row>
    <row r="196" spans="5:46" x14ac:dyDescent="0.25">
      <c r="E196" s="170">
        <f t="shared" si="934"/>
        <v>-0.90021569825972358</v>
      </c>
      <c r="F196" s="170">
        <f t="shared" si="934"/>
        <v>-0.1049065106404939</v>
      </c>
      <c r="G196" s="170">
        <f t="shared" si="934"/>
        <v>-0.42261841019055774</v>
      </c>
      <c r="H196" s="139"/>
      <c r="I196" s="86"/>
      <c r="J196" s="79">
        <f t="shared" si="930"/>
        <v>2.2349999999999999</v>
      </c>
      <c r="AL196">
        <v>7.5258662316877274</v>
      </c>
      <c r="AM196">
        <v>1.4679189268327804</v>
      </c>
      <c r="AN196">
        <v>-1.2842819591248975</v>
      </c>
      <c r="AO196">
        <v>0.26393748885502227</v>
      </c>
      <c r="AP196">
        <v>0.9189192132344538</v>
      </c>
      <c r="AQ196">
        <v>0.29312877976322549</v>
      </c>
      <c r="AR196">
        <v>0.26600000000000001</v>
      </c>
      <c r="AS196">
        <v>0.52</v>
      </c>
      <c r="AT196">
        <v>2.2320000000000002</v>
      </c>
    </row>
    <row r="197" spans="5:46" x14ac:dyDescent="0.25">
      <c r="E197" s="170">
        <f t="shared" si="934"/>
        <v>-0.90107654588658936</v>
      </c>
      <c r="F197" s="170">
        <f t="shared" si="934"/>
        <v>-9.7235476144762856E-2</v>
      </c>
      <c r="G197" s="170">
        <f t="shared" si="934"/>
        <v>-0.42261841019055785</v>
      </c>
      <c r="H197" s="139"/>
      <c r="I197" s="86"/>
      <c r="J197" s="79">
        <f t="shared" si="930"/>
        <v>2.238</v>
      </c>
      <c r="AL197">
        <v>7.9667061303371645</v>
      </c>
      <c r="AM197">
        <v>0.9283969653185753</v>
      </c>
      <c r="AN197">
        <v>-1.9064142633177321</v>
      </c>
      <c r="AO197">
        <v>0.90021569825972358</v>
      </c>
      <c r="AP197">
        <v>0.1049065106404939</v>
      </c>
      <c r="AQ197">
        <v>0.42261841019055774</v>
      </c>
      <c r="AR197">
        <v>0.26250000000000001</v>
      </c>
      <c r="AS197">
        <v>0.41199999999999998</v>
      </c>
      <c r="AT197">
        <v>2.2349999999999999</v>
      </c>
    </row>
    <row r="198" spans="5:46" x14ac:dyDescent="0.25">
      <c r="E198" s="170">
        <f t="shared" si="934"/>
        <v>0.5540322932223235</v>
      </c>
      <c r="F198" s="170">
        <f t="shared" si="934"/>
        <v>0.79124011523622384</v>
      </c>
      <c r="G198" s="170">
        <f t="shared" si="934"/>
        <v>0.25881904510252091</v>
      </c>
      <c r="H198" s="139"/>
      <c r="I198" s="86"/>
      <c r="J198" s="79">
        <f t="shared" si="930"/>
        <v>3.1019999999999999</v>
      </c>
      <c r="AL198">
        <v>8.2325833618890485</v>
      </c>
      <c r="AM198">
        <v>0.88837878291441652</v>
      </c>
      <c r="AN198">
        <v>-2.5917243242745269</v>
      </c>
      <c r="AO198">
        <v>0.90107654588658936</v>
      </c>
      <c r="AP198">
        <v>9.7235476144762856E-2</v>
      </c>
      <c r="AQ198">
        <v>0.42261841019055785</v>
      </c>
      <c r="AR198">
        <v>0.26250000000000001</v>
      </c>
      <c r="AS198">
        <v>0.41199999999999998</v>
      </c>
      <c r="AT198">
        <v>2.238</v>
      </c>
    </row>
    <row r="199" spans="5:46" x14ac:dyDescent="0.25">
      <c r="E199" s="170">
        <f t="shared" si="934"/>
        <v>0.55403229322232339</v>
      </c>
      <c r="F199" s="170">
        <f t="shared" si="934"/>
        <v>0.79124011523622384</v>
      </c>
      <c r="G199" s="170">
        <f t="shared" si="934"/>
        <v>0.25881904510252091</v>
      </c>
      <c r="H199" s="139"/>
      <c r="I199" s="86"/>
      <c r="J199" s="79">
        <f t="shared" si="930"/>
        <v>3.105</v>
      </c>
      <c r="AL199">
        <v>0.44807616822607849</v>
      </c>
      <c r="AM199">
        <v>-0.31374631068402242</v>
      </c>
      <c r="AN199">
        <v>-1.1512</v>
      </c>
      <c r="AO199">
        <v>-0.5540322932223235</v>
      </c>
      <c r="AP199">
        <v>-0.79124011523622384</v>
      </c>
      <c r="AQ199">
        <v>-0.25881904510252091</v>
      </c>
      <c r="AR199">
        <v>0.314</v>
      </c>
      <c r="AS199">
        <v>0.52</v>
      </c>
      <c r="AT199">
        <v>3.1019999999999999</v>
      </c>
    </row>
    <row r="200" spans="5:46" x14ac:dyDescent="0.25">
      <c r="E200" s="170">
        <f t="shared" si="934"/>
        <v>0.55403229322232361</v>
      </c>
      <c r="F200" s="170">
        <f t="shared" si="934"/>
        <v>0.79124011523622373</v>
      </c>
      <c r="G200" s="170">
        <f t="shared" si="934"/>
        <v>0.25881904510252102</v>
      </c>
      <c r="H200" s="139"/>
      <c r="I200" s="86"/>
      <c r="J200" s="79">
        <f t="shared" si="930"/>
        <v>3.1080000000000001</v>
      </c>
      <c r="AL200">
        <v>1.0575252891770883</v>
      </c>
      <c r="AM200">
        <v>-0.74048717932920083</v>
      </c>
      <c r="AN200">
        <v>-0.95179999999999998</v>
      </c>
      <c r="AO200">
        <v>-0.55403229322232339</v>
      </c>
      <c r="AP200">
        <v>-0.79124011523622384</v>
      </c>
      <c r="AQ200">
        <v>-0.25881904510252091</v>
      </c>
      <c r="AR200">
        <v>0.314</v>
      </c>
      <c r="AS200">
        <v>0.52</v>
      </c>
      <c r="AT200">
        <v>3.105</v>
      </c>
    </row>
    <row r="201" spans="5:46" x14ac:dyDescent="0.25">
      <c r="E201" s="170">
        <f t="shared" si="934"/>
        <v>0.55403229322232328</v>
      </c>
      <c r="F201" s="170">
        <f t="shared" si="934"/>
        <v>0.79124011523622406</v>
      </c>
      <c r="G201" s="170">
        <f t="shared" si="934"/>
        <v>0.25881904510252074</v>
      </c>
      <c r="H201" s="139"/>
      <c r="I201" s="86"/>
      <c r="J201" s="79">
        <f t="shared" si="930"/>
        <v>3.1110000000000002</v>
      </c>
      <c r="AL201">
        <v>1.6669744101280981</v>
      </c>
      <c r="AM201">
        <v>-1.1672280479743795</v>
      </c>
      <c r="AN201">
        <v>-0.75249999999999995</v>
      </c>
      <c r="AO201">
        <v>-0.55403229322232361</v>
      </c>
      <c r="AP201">
        <v>-0.79124011523622373</v>
      </c>
      <c r="AQ201">
        <v>-0.25881904510252102</v>
      </c>
      <c r="AR201">
        <v>0.314</v>
      </c>
      <c r="AS201">
        <v>0.52</v>
      </c>
      <c r="AT201">
        <v>3.1080000000000001</v>
      </c>
    </row>
    <row r="202" spans="5:46" x14ac:dyDescent="0.25">
      <c r="E202" s="170">
        <f t="shared" si="934"/>
        <v>0.55403229322232361</v>
      </c>
      <c r="F202" s="170">
        <f t="shared" si="934"/>
        <v>0.79124011523622373</v>
      </c>
      <c r="G202" s="170">
        <f t="shared" si="934"/>
        <v>0.25881904510252052</v>
      </c>
      <c r="H202" s="139"/>
      <c r="I202" s="86"/>
      <c r="J202" s="79">
        <f t="shared" si="930"/>
        <v>3.1139999999999999</v>
      </c>
      <c r="AL202">
        <v>2.2763416158746792</v>
      </c>
      <c r="AM202">
        <v>-1.5939115589759227</v>
      </c>
      <c r="AN202">
        <v>-0.55310000000000004</v>
      </c>
      <c r="AO202">
        <v>-0.55403229322232328</v>
      </c>
      <c r="AP202">
        <v>-0.79124011523622406</v>
      </c>
      <c r="AQ202">
        <v>-0.25881904510252074</v>
      </c>
      <c r="AR202">
        <v>0.314</v>
      </c>
      <c r="AS202">
        <v>0.52</v>
      </c>
      <c r="AT202">
        <v>3.1110000000000002</v>
      </c>
    </row>
    <row r="203" spans="5:46" x14ac:dyDescent="0.25">
      <c r="E203" s="170">
        <f t="shared" si="934"/>
        <v>0.57719944991447569</v>
      </c>
      <c r="F203" s="170">
        <f t="shared" si="934"/>
        <v>0.77453332977794753</v>
      </c>
      <c r="G203" s="170">
        <f t="shared" si="934"/>
        <v>0.25872556132224755</v>
      </c>
      <c r="H203" s="139"/>
      <c r="I203" s="86"/>
      <c r="J203" s="79">
        <f t="shared" si="930"/>
        <v>3.117</v>
      </c>
      <c r="AL203">
        <v>2.8857907368256885</v>
      </c>
      <c r="AM203">
        <v>-2.0206524276211013</v>
      </c>
      <c r="AN203">
        <v>-0.3538</v>
      </c>
      <c r="AO203">
        <v>-0.55403229322232361</v>
      </c>
      <c r="AP203">
        <v>-0.79124011523622373</v>
      </c>
      <c r="AQ203">
        <v>-0.25881904510252052</v>
      </c>
      <c r="AR203">
        <v>0.314</v>
      </c>
      <c r="AS203">
        <v>0.52</v>
      </c>
      <c r="AT203">
        <v>3.1139999999999999</v>
      </c>
    </row>
    <row r="204" spans="5:46" x14ac:dyDescent="0.25">
      <c r="E204" s="170">
        <f t="shared" si="934"/>
        <v>0.6103951758849917</v>
      </c>
      <c r="F204" s="170">
        <f t="shared" si="934"/>
        <v>0.74879344014836102</v>
      </c>
      <c r="G204" s="170">
        <f t="shared" si="934"/>
        <v>0.25831398190402494</v>
      </c>
      <c r="H204" s="139"/>
      <c r="I204" s="86"/>
      <c r="J204" s="79">
        <f t="shared" si="930"/>
        <v>3.12</v>
      </c>
      <c r="AL204">
        <v>3.4915357340830293</v>
      </c>
      <c r="AM204">
        <v>-2.4538924136198967</v>
      </c>
      <c r="AN204">
        <v>-0.1552</v>
      </c>
      <c r="AO204">
        <v>-0.57719944991447569</v>
      </c>
      <c r="AP204">
        <v>-0.77453332977794753</v>
      </c>
      <c r="AQ204">
        <v>-0.25872556132224755</v>
      </c>
      <c r="AR204">
        <v>0.314</v>
      </c>
      <c r="AS204">
        <v>0.52</v>
      </c>
      <c r="AT204">
        <v>3.117</v>
      </c>
    </row>
    <row r="205" spans="5:46" x14ac:dyDescent="0.25">
      <c r="E205" s="170">
        <f t="shared" si="934"/>
        <v>0.67468063589033045</v>
      </c>
      <c r="F205" s="170">
        <f t="shared" si="934"/>
        <v>0.69809919014412303</v>
      </c>
      <c r="G205" s="170">
        <f t="shared" si="934"/>
        <v>0.23971558204409432</v>
      </c>
      <c r="H205" s="139"/>
      <c r="I205" s="86"/>
      <c r="J205" s="79">
        <f t="shared" si="930"/>
        <v>3.1230000000000002</v>
      </c>
      <c r="AL205">
        <v>4.1024535203536674</v>
      </c>
      <c r="AM205">
        <v>-2.924091572324266</v>
      </c>
      <c r="AN205">
        <v>-0.06</v>
      </c>
      <c r="AO205">
        <v>-0.6103951758849917</v>
      </c>
      <c r="AP205">
        <v>-0.74879344014836102</v>
      </c>
      <c r="AQ205">
        <v>-0.25831398190402494</v>
      </c>
      <c r="AR205">
        <v>0.314</v>
      </c>
      <c r="AS205">
        <v>0.52</v>
      </c>
      <c r="AT205">
        <v>3.12</v>
      </c>
    </row>
    <row r="206" spans="5:46" x14ac:dyDescent="0.25">
      <c r="E206" s="170">
        <f t="shared" si="934"/>
        <v>0.73284920591583247</v>
      </c>
      <c r="F206" s="170">
        <f t="shared" si="934"/>
        <v>0.64873477227420484</v>
      </c>
      <c r="G206" s="170">
        <f t="shared" si="934"/>
        <v>0.2051224917722809</v>
      </c>
      <c r="H206" s="139"/>
      <c r="I206" s="86"/>
      <c r="J206" s="79">
        <f t="shared" si="930"/>
        <v>3.1259999999999999</v>
      </c>
      <c r="AL206">
        <v>4.6824009706759844</v>
      </c>
      <c r="AM206">
        <v>-3.4032122178630875</v>
      </c>
      <c r="AN206">
        <v>-0.13879999999999995</v>
      </c>
      <c r="AO206">
        <v>-0.67468063589033045</v>
      </c>
      <c r="AP206">
        <v>-0.69809919014412303</v>
      </c>
      <c r="AQ206">
        <v>-0.23971558204409432</v>
      </c>
      <c r="AR206">
        <v>0.314</v>
      </c>
      <c r="AS206">
        <v>0.52</v>
      </c>
      <c r="AT206">
        <v>3.1230000000000002</v>
      </c>
    </row>
    <row r="207" spans="5:46" x14ac:dyDescent="0.25">
      <c r="E207" s="170">
        <f t="shared" si="934"/>
        <v>0.780864711319882</v>
      </c>
      <c r="F207" s="170">
        <f t="shared" si="934"/>
        <v>0.60462888895007427</v>
      </c>
      <c r="G207" s="170">
        <f t="shared" si="934"/>
        <v>0.15708026375810677</v>
      </c>
      <c r="H207" s="139"/>
      <c r="I207" s="86"/>
      <c r="J207" s="79">
        <f t="shared" si="930"/>
        <v>3.129</v>
      </c>
      <c r="AL207">
        <v>5.2093691655598855</v>
      </c>
      <c r="AM207">
        <v>-3.8702298364456236</v>
      </c>
      <c r="AN207">
        <v>-0.37560000000000004</v>
      </c>
      <c r="AO207">
        <v>-0.73284920591583247</v>
      </c>
      <c r="AP207">
        <v>-0.64873477227420484</v>
      </c>
      <c r="AQ207">
        <v>-0.2051224917722809</v>
      </c>
      <c r="AR207">
        <v>0.314</v>
      </c>
      <c r="AS207">
        <v>0.52</v>
      </c>
      <c r="AT207">
        <v>3.1259999999999999</v>
      </c>
    </row>
    <row r="208" spans="5:46" x14ac:dyDescent="0.25">
      <c r="E208" s="170">
        <f t="shared" si="934"/>
        <v>0.81608831964910411</v>
      </c>
      <c r="F208" s="170">
        <f t="shared" si="934"/>
        <v>0.56915608809882612</v>
      </c>
      <c r="G208" s="170">
        <f t="shared" si="934"/>
        <v>0.10030554277976436</v>
      </c>
      <c r="H208" s="139"/>
      <c r="I208" s="86"/>
      <c r="J208" s="79">
        <f t="shared" si="930"/>
        <v>3.1320000000000001</v>
      </c>
      <c r="AL208">
        <v>5.6727267701847204</v>
      </c>
      <c r="AM208">
        <v>-4.3058339762268636</v>
      </c>
      <c r="AN208">
        <v>-0.75860000000000005</v>
      </c>
      <c r="AO208">
        <v>-0.780864711319882</v>
      </c>
      <c r="AP208">
        <v>-0.60462888895007427</v>
      </c>
      <c r="AQ208">
        <v>-0.15708026375810677</v>
      </c>
      <c r="AR208">
        <v>0.314</v>
      </c>
      <c r="AS208">
        <v>0.52</v>
      </c>
      <c r="AT208">
        <v>3.129</v>
      </c>
    </row>
    <row r="209" spans="5:46" x14ac:dyDescent="0.25">
      <c r="E209" s="170">
        <f t="shared" si="934"/>
        <v>0.86664961603771973</v>
      </c>
      <c r="F209" s="170">
        <f t="shared" si="934"/>
        <v>0.4893462725207276</v>
      </c>
      <c r="G209" s="170">
        <f t="shared" si="934"/>
        <v>9.7255686680742789E-2</v>
      </c>
      <c r="H209" s="139"/>
      <c r="I209" s="86"/>
      <c r="J209" s="79">
        <f t="shared" si="930"/>
        <v>3.1349999999999998</v>
      </c>
      <c r="AL209">
        <v>6.0530720695852143</v>
      </c>
      <c r="AM209">
        <v>-4.6850995592844527</v>
      </c>
      <c r="AN209">
        <v>-1.2681999999999998</v>
      </c>
      <c r="AO209">
        <v>-0.81608831964910411</v>
      </c>
      <c r="AP209">
        <v>-0.56915608809882612</v>
      </c>
      <c r="AQ209">
        <v>-0.10030554277976436</v>
      </c>
      <c r="AR209">
        <v>0.314</v>
      </c>
      <c r="AS209">
        <v>0.52</v>
      </c>
      <c r="AT209">
        <v>3.1320000000000001</v>
      </c>
    </row>
    <row r="210" spans="5:46" x14ac:dyDescent="0.25">
      <c r="E210" s="170">
        <f t="shared" si="934"/>
        <v>0.91126819152303695</v>
      </c>
      <c r="F210" s="170">
        <f t="shared" si="934"/>
        <v>0.40516412632874477</v>
      </c>
      <c r="G210" s="170">
        <f t="shared" si="934"/>
        <v>7.3704232270600689E-2</v>
      </c>
      <c r="H210" s="139"/>
      <c r="I210" s="86"/>
      <c r="J210" s="79">
        <f t="shared" si="930"/>
        <v>3.1379999999999999</v>
      </c>
      <c r="AL210">
        <v>6.3438483628908315</v>
      </c>
      <c r="AM210">
        <v>-4.9867400763070986</v>
      </c>
      <c r="AN210">
        <v>-1.8747</v>
      </c>
      <c r="AO210">
        <v>-0.86664961603771973</v>
      </c>
      <c r="AP210">
        <v>-0.4893462725207276</v>
      </c>
      <c r="AQ210">
        <v>-9.7255686680742789E-2</v>
      </c>
      <c r="AR210">
        <v>0.314</v>
      </c>
      <c r="AS210">
        <v>0.52</v>
      </c>
      <c r="AT210">
        <v>3.1349999999999998</v>
      </c>
    </row>
    <row r="211" spans="5:46" x14ac:dyDescent="0.25">
      <c r="E211" s="170">
        <f t="shared" si="934"/>
        <v>0.94718030995909364</v>
      </c>
      <c r="F211" s="170">
        <f t="shared" si="934"/>
        <v>0.32064077396819324</v>
      </c>
      <c r="G211" s="170">
        <f t="shared" si="934"/>
        <v>6.2413536090727972E-3</v>
      </c>
      <c r="H211" s="139"/>
      <c r="I211" s="86"/>
      <c r="J211" s="79">
        <f t="shared" si="930"/>
        <v>3.141</v>
      </c>
      <c r="AL211">
        <v>6.52131943005159</v>
      </c>
      <c r="AM211">
        <v>-5.2059009067818032</v>
      </c>
      <c r="AN211">
        <v>-2.5529999999999999</v>
      </c>
      <c r="AO211">
        <v>-0.91126819152303695</v>
      </c>
      <c r="AP211">
        <v>-0.40516412632874477</v>
      </c>
      <c r="AQ211">
        <v>-7.3704232270600689E-2</v>
      </c>
      <c r="AR211">
        <v>0.314</v>
      </c>
      <c r="AS211">
        <v>0.52</v>
      </c>
      <c r="AT211">
        <v>3.1379999999999999</v>
      </c>
    </row>
    <row r="212" spans="5:46" x14ac:dyDescent="0.25">
      <c r="E212" s="170">
        <f t="shared" si="934"/>
        <v>0.94763759469813857</v>
      </c>
      <c r="F212" s="170">
        <f t="shared" si="934"/>
        <v>0.31931668371335875</v>
      </c>
      <c r="G212" s="170">
        <f t="shared" si="934"/>
        <v>4.4547297369491416E-3</v>
      </c>
      <c r="H212" s="139"/>
      <c r="I212" s="86"/>
      <c r="J212" s="79">
        <f t="shared" si="930"/>
        <v>3.1440000000000001</v>
      </c>
      <c r="AL212">
        <v>6.6535735304226646</v>
      </c>
      <c r="AM212">
        <v>-5.3764307644811051</v>
      </c>
      <c r="AN212">
        <v>-3.2458999999999998</v>
      </c>
      <c r="AO212">
        <v>-0.94718030995909364</v>
      </c>
      <c r="AP212">
        <v>-0.32064077396819324</v>
      </c>
      <c r="AQ212">
        <v>-6.2413536090727972E-3</v>
      </c>
      <c r="AR212">
        <v>0.26600000000000001</v>
      </c>
      <c r="AS212">
        <v>0.52</v>
      </c>
      <c r="AT212">
        <v>3.141</v>
      </c>
    </row>
    <row r="213" spans="5:46" x14ac:dyDescent="0.25">
      <c r="E213" s="170">
        <f t="shared" si="934"/>
        <v>-1.7441503535964967E-7</v>
      </c>
      <c r="F213" s="170">
        <f t="shared" si="934"/>
        <v>-1.4496661898583181E-7</v>
      </c>
      <c r="G213" s="170">
        <f t="shared" si="934"/>
        <v>-0.99999999999997435</v>
      </c>
      <c r="H213" s="139"/>
      <c r="I213" s="86"/>
      <c r="J213" s="79">
        <f t="shared" si="930"/>
        <v>3.2160000000000002</v>
      </c>
      <c r="AL213">
        <v>6.6498184525382777</v>
      </c>
      <c r="AM213">
        <v>-5.3810745245054354</v>
      </c>
      <c r="AN213">
        <v>-3.9310999999999989</v>
      </c>
      <c r="AO213">
        <v>-0.94763759469813857</v>
      </c>
      <c r="AP213">
        <v>-0.31931668371335875</v>
      </c>
      <c r="AQ213">
        <v>-4.4547297369491416E-3</v>
      </c>
      <c r="AR213">
        <v>0.26600000000000001</v>
      </c>
      <c r="AS213">
        <v>0.52</v>
      </c>
      <c r="AT213">
        <v>3.1440000000000001</v>
      </c>
    </row>
    <row r="214" spans="5:46" x14ac:dyDescent="0.25">
      <c r="E214" s="170">
        <f t="shared" ref="E214:G233" si="935">E69*-1</f>
        <v>-1.7337577128797489E-7</v>
      </c>
      <c r="F214" s="170">
        <f t="shared" si="935"/>
        <v>-1.4620795835993965E-7</v>
      </c>
      <c r="G214" s="170">
        <f t="shared" si="935"/>
        <v>-0.99999999999997435</v>
      </c>
      <c r="H214" s="139"/>
      <c r="I214" s="86"/>
      <c r="J214" s="79">
        <f t="shared" si="930"/>
        <v>3.2189999999999999</v>
      </c>
      <c r="AL214">
        <v>2.5688765944056109</v>
      </c>
      <c r="AM214">
        <v>-3.0907163699292894</v>
      </c>
      <c r="AN214">
        <v>-0.24328481303166233</v>
      </c>
      <c r="AO214">
        <v>1.7441503535964967E-7</v>
      </c>
      <c r="AP214">
        <v>1.4496661898583181E-7</v>
      </c>
      <c r="AQ214">
        <v>0.99999999999997435</v>
      </c>
      <c r="AR214">
        <v>0.26250000000000001</v>
      </c>
      <c r="AS214">
        <v>0.41199999999999998</v>
      </c>
      <c r="AT214">
        <v>3.2160000000000002</v>
      </c>
    </row>
    <row r="215" spans="5:46" x14ac:dyDescent="0.25">
      <c r="E215" s="170">
        <f t="shared" si="935"/>
        <v>-6.4805054370153284E-2</v>
      </c>
      <c r="F215" s="170">
        <f t="shared" si="935"/>
        <v>7.7541454652152342E-2</v>
      </c>
      <c r="G215" s="170">
        <f t="shared" si="935"/>
        <v>-0.99488071030576819</v>
      </c>
      <c r="H215" s="139"/>
      <c r="I215" s="86"/>
      <c r="J215" s="79">
        <f t="shared" si="930"/>
        <v>3.222</v>
      </c>
      <c r="AL215">
        <v>3.0839191270454238</v>
      </c>
      <c r="AM215">
        <v>-3.6569613811829007</v>
      </c>
      <c r="AN215">
        <v>-9.377870378790347E-2</v>
      </c>
      <c r="AO215">
        <v>1.7337577128797489E-7</v>
      </c>
      <c r="AP215">
        <v>1.4620795835993965E-7</v>
      </c>
      <c r="AQ215">
        <v>0.99999999999997435</v>
      </c>
      <c r="AR215">
        <v>0.26250000000000001</v>
      </c>
      <c r="AS215">
        <v>0.41199999999999998</v>
      </c>
      <c r="AT215">
        <v>3.2189999999999999</v>
      </c>
    </row>
    <row r="216" spans="5:46" x14ac:dyDescent="0.25">
      <c r="E216" s="170">
        <f t="shared" si="935"/>
        <v>-0.80071646651106143</v>
      </c>
      <c r="F216" s="170">
        <f t="shared" si="935"/>
        <v>-0.39587944680368592</v>
      </c>
      <c r="G216" s="170">
        <f t="shared" si="935"/>
        <v>-0.44959159673691423</v>
      </c>
      <c r="H216" s="139"/>
      <c r="I216" s="86"/>
      <c r="J216" s="79">
        <f t="shared" si="930"/>
        <v>3.2250000000000001</v>
      </c>
      <c r="AL216">
        <v>3.5519827109489186</v>
      </c>
      <c r="AM216">
        <v>-4.2500876696407541</v>
      </c>
      <c r="AN216">
        <v>-0.11701530203964346</v>
      </c>
      <c r="AO216">
        <v>6.4805054370153284E-2</v>
      </c>
      <c r="AP216">
        <v>-7.7541454652152342E-2</v>
      </c>
      <c r="AQ216">
        <v>0.99488071030576819</v>
      </c>
      <c r="AR216">
        <v>0.26250000000000001</v>
      </c>
      <c r="AS216">
        <v>0.41199999999999998</v>
      </c>
      <c r="AT216">
        <v>3.222</v>
      </c>
    </row>
    <row r="217" spans="5:46" x14ac:dyDescent="0.25">
      <c r="E217" s="170">
        <f t="shared" si="935"/>
        <v>-0.8630432142781409</v>
      </c>
      <c r="F217" s="170">
        <f t="shared" si="935"/>
        <v>-0.31773538781322841</v>
      </c>
      <c r="G217" s="170">
        <f t="shared" si="935"/>
        <v>-0.39268388510305896</v>
      </c>
      <c r="H217" s="139"/>
      <c r="I217" s="86"/>
      <c r="J217" s="79">
        <f t="shared" si="930"/>
        <v>3.2280000000000002</v>
      </c>
      <c r="AL217">
        <v>4.1953015640719489</v>
      </c>
      <c r="AM217">
        <v>-4.6567438622520489</v>
      </c>
      <c r="AN217">
        <v>-0.29331468187446347</v>
      </c>
      <c r="AO217">
        <v>0.80071646651106143</v>
      </c>
      <c r="AP217">
        <v>0.39587944680368592</v>
      </c>
      <c r="AQ217">
        <v>0.44959159673691423</v>
      </c>
      <c r="AR217">
        <v>0.26600000000000001</v>
      </c>
      <c r="AS217">
        <v>0.52</v>
      </c>
      <c r="AT217">
        <v>3.2250000000000001</v>
      </c>
    </row>
    <row r="218" spans="5:46" x14ac:dyDescent="0.25">
      <c r="E218" s="170">
        <f t="shared" si="935"/>
        <v>-0.91367781226991318</v>
      </c>
      <c r="F218" s="170">
        <f t="shared" si="935"/>
        <v>-0.25038980772159641</v>
      </c>
      <c r="G218" s="170">
        <f t="shared" si="935"/>
        <v>-0.32015277533516334</v>
      </c>
      <c r="H218" s="139"/>
      <c r="I218" s="86"/>
      <c r="J218" s="79">
        <f t="shared" si="930"/>
        <v>3.2309999999999999</v>
      </c>
      <c r="AL218">
        <v>4.6011977693556894</v>
      </c>
      <c r="AM218">
        <v>-5.1819130838699765</v>
      </c>
      <c r="AN218">
        <v>-0.63068824845074223</v>
      </c>
      <c r="AO218">
        <v>0.8630432142781409</v>
      </c>
      <c r="AP218">
        <v>0.31773538781322841</v>
      </c>
      <c r="AQ218">
        <v>0.39268388510305896</v>
      </c>
      <c r="AR218">
        <v>0.26600000000000001</v>
      </c>
      <c r="AS218">
        <v>0.52</v>
      </c>
      <c r="AT218">
        <v>3.2280000000000002</v>
      </c>
    </row>
    <row r="219" spans="5:46" x14ac:dyDescent="0.25">
      <c r="E219" s="170">
        <f t="shared" si="935"/>
        <v>-0.54373509208720217</v>
      </c>
      <c r="F219" s="170">
        <f t="shared" si="935"/>
        <v>0.72508332555708876</v>
      </c>
      <c r="G219" s="170">
        <f t="shared" si="935"/>
        <v>-0.4226184101905579</v>
      </c>
      <c r="H219" s="139"/>
      <c r="I219" s="86"/>
      <c r="J219" s="79">
        <f t="shared" ref="J219:J282" si="936">J74</f>
        <v>3.234</v>
      </c>
      <c r="AL219">
        <v>4.938758962021268</v>
      </c>
      <c r="AM219">
        <v>-5.6468722635681123</v>
      </c>
      <c r="AN219">
        <v>-1.1024690760536393</v>
      </c>
      <c r="AO219">
        <v>0.91367781226991318</v>
      </c>
      <c r="AP219">
        <v>0.25038980772159641</v>
      </c>
      <c r="AQ219">
        <v>0.32015277533516334</v>
      </c>
      <c r="AR219">
        <v>0.26600000000000001</v>
      </c>
      <c r="AS219">
        <v>0.52</v>
      </c>
      <c r="AT219">
        <v>3.2309999999999999</v>
      </c>
    </row>
    <row r="220" spans="5:46" x14ac:dyDescent="0.25">
      <c r="E220" s="170">
        <f t="shared" si="935"/>
        <v>-0.53659688921195003</v>
      </c>
      <c r="F220" s="170">
        <f t="shared" si="935"/>
        <v>0.73038172064754148</v>
      </c>
      <c r="G220" s="170">
        <f t="shared" si="935"/>
        <v>-0.42261841019055812</v>
      </c>
      <c r="H220" s="139"/>
      <c r="I220" s="86"/>
      <c r="J220" s="79">
        <f t="shared" si="936"/>
        <v>3.2370000000000001</v>
      </c>
      <c r="AL220">
        <v>4.7402900321268504</v>
      </c>
      <c r="AM220">
        <v>-6.3212897283473195</v>
      </c>
      <c r="AN220">
        <v>-1.6924069872647132</v>
      </c>
      <c r="AO220">
        <v>0.54373509208720217</v>
      </c>
      <c r="AP220">
        <v>-0.72508332555708876</v>
      </c>
      <c r="AQ220">
        <v>0.4226184101905579</v>
      </c>
      <c r="AR220">
        <v>0.26250000000000001</v>
      </c>
      <c r="AS220">
        <v>0.41199999999999998</v>
      </c>
      <c r="AT220">
        <v>3.234</v>
      </c>
    </row>
    <row r="221" spans="5:46" x14ac:dyDescent="0.25">
      <c r="E221" s="170">
        <f t="shared" si="935"/>
        <v>0.9512512425641978</v>
      </c>
      <c r="F221" s="170">
        <f t="shared" si="935"/>
        <v>-0.16773125949652073</v>
      </c>
      <c r="G221" s="170">
        <f t="shared" si="935"/>
        <v>0.25881904510252074</v>
      </c>
      <c r="H221" s="139"/>
      <c r="I221" s="86"/>
      <c r="J221" s="79">
        <f t="shared" si="936"/>
        <v>4.1130000000000004</v>
      </c>
      <c r="AL221">
        <v>4.8608821924516787</v>
      </c>
      <c r="AM221">
        <v>-6.6163286313237784</v>
      </c>
      <c r="AN221">
        <v>-2.3568246153102179</v>
      </c>
      <c r="AO221">
        <v>0.53659688921195003</v>
      </c>
      <c r="AP221">
        <v>-0.73038172064754148</v>
      </c>
      <c r="AQ221">
        <v>0.42261841019055812</v>
      </c>
      <c r="AR221">
        <v>0.26250000000000001</v>
      </c>
      <c r="AS221">
        <v>0.41199999999999998</v>
      </c>
      <c r="AT221">
        <v>3.2370000000000001</v>
      </c>
    </row>
    <row r="222" spans="5:46" x14ac:dyDescent="0.25">
      <c r="E222" s="170">
        <f t="shared" si="935"/>
        <v>0.94834423198192841</v>
      </c>
      <c r="F222" s="170">
        <f t="shared" si="935"/>
        <v>-0.1834985567624498</v>
      </c>
      <c r="G222" s="170">
        <f t="shared" si="935"/>
        <v>0.25878851854884199</v>
      </c>
      <c r="H222" s="139"/>
      <c r="I222" s="86"/>
      <c r="J222" s="79">
        <f t="shared" si="936"/>
        <v>4.1159999999999997</v>
      </c>
      <c r="AL222">
        <v>-0.56868041704143002</v>
      </c>
      <c r="AM222">
        <v>-3.2251469103396797</v>
      </c>
      <c r="AN222">
        <v>-0.42020000000000002</v>
      </c>
      <c r="AO222">
        <v>-0.9512512425641978</v>
      </c>
      <c r="AP222">
        <v>0.16773125949652073</v>
      </c>
      <c r="AQ222">
        <v>-0.25881904510252074</v>
      </c>
      <c r="AR222">
        <v>0.314</v>
      </c>
      <c r="AS222">
        <v>0.52</v>
      </c>
      <c r="AT222">
        <v>4.1130000000000004</v>
      </c>
    </row>
    <row r="223" spans="5:46" x14ac:dyDescent="0.25">
      <c r="E223" s="170">
        <f t="shared" si="935"/>
        <v>0.93994059765709459</v>
      </c>
      <c r="F223" s="170">
        <f t="shared" si="935"/>
        <v>-0.22292828900525835</v>
      </c>
      <c r="G223" s="170">
        <f t="shared" si="935"/>
        <v>0.25848530100802991</v>
      </c>
      <c r="H223" s="139"/>
      <c r="I223" s="86"/>
      <c r="J223" s="79">
        <f t="shared" si="936"/>
        <v>4.1189999999999998</v>
      </c>
      <c r="AL223">
        <v>-0.70063758721180569</v>
      </c>
      <c r="AM223">
        <v>-3.9573557056936415</v>
      </c>
      <c r="AN223">
        <v>-0.22090000000000001</v>
      </c>
      <c r="AO223">
        <v>-0.94834423198192841</v>
      </c>
      <c r="AP223">
        <v>0.1834985567624498</v>
      </c>
      <c r="AQ223">
        <v>-0.25878851854884199</v>
      </c>
      <c r="AR223">
        <v>0.314</v>
      </c>
      <c r="AS223">
        <v>0.52</v>
      </c>
      <c r="AT223">
        <v>4.1159999999999997</v>
      </c>
    </row>
    <row r="224" spans="5:46" x14ac:dyDescent="0.25">
      <c r="E224" s="170">
        <f t="shared" si="935"/>
        <v>0.92425076212701818</v>
      </c>
      <c r="F224" s="170">
        <f t="shared" si="935"/>
        <v>-0.29039201802308456</v>
      </c>
      <c r="G224" s="170">
        <f t="shared" si="935"/>
        <v>0.24785682273463175</v>
      </c>
      <c r="H224" s="139"/>
      <c r="I224" s="86"/>
      <c r="J224" s="79">
        <f t="shared" si="936"/>
        <v>4.1219999999999999</v>
      </c>
      <c r="AL224">
        <v>-0.85780041477324798</v>
      </c>
      <c r="AM224">
        <v>-4.706162357846873</v>
      </c>
      <c r="AN224">
        <v>-7.149999999999998E-2</v>
      </c>
      <c r="AO224">
        <v>-0.93994059765709459</v>
      </c>
      <c r="AP224">
        <v>0.22292828900525835</v>
      </c>
      <c r="AQ224">
        <v>-0.25848530100802991</v>
      </c>
      <c r="AR224">
        <v>0.314</v>
      </c>
      <c r="AS224">
        <v>0.52</v>
      </c>
      <c r="AT224">
        <v>4.1189999999999998</v>
      </c>
    </row>
    <row r="225" spans="5:46" x14ac:dyDescent="0.25">
      <c r="E225" s="170">
        <f t="shared" si="935"/>
        <v>0.90438412283385605</v>
      </c>
      <c r="F225" s="170">
        <f t="shared" si="935"/>
        <v>-0.3667852043233108</v>
      </c>
      <c r="G225" s="170">
        <f t="shared" si="935"/>
        <v>0.21807790409746677</v>
      </c>
      <c r="H225" s="139"/>
      <c r="I225" s="86"/>
      <c r="J225" s="79">
        <f t="shared" si="936"/>
        <v>4.125</v>
      </c>
      <c r="AL225">
        <v>-1.0418999651887584</v>
      </c>
      <c r="AM225">
        <v>-5.4463362430664946</v>
      </c>
      <c r="AN225">
        <v>-9.4599999999999976E-2</v>
      </c>
      <c r="AO225">
        <v>-0.92425076212701818</v>
      </c>
      <c r="AP225">
        <v>0.29039201802308456</v>
      </c>
      <c r="AQ225">
        <v>-0.24785682273463175</v>
      </c>
      <c r="AR225">
        <v>0.314</v>
      </c>
      <c r="AS225">
        <v>0.52</v>
      </c>
      <c r="AT225">
        <v>4.1219999999999999</v>
      </c>
    </row>
    <row r="226" spans="5:46" x14ac:dyDescent="0.25">
      <c r="E226" s="170">
        <f t="shared" si="935"/>
        <v>0.88432190314723857</v>
      </c>
      <c r="F226" s="170">
        <f t="shared" si="935"/>
        <v>-0.43312299168088603</v>
      </c>
      <c r="G226" s="170">
        <f t="shared" si="935"/>
        <v>0.17429643051837065</v>
      </c>
      <c r="H226" s="139"/>
      <c r="I226" s="86"/>
      <c r="J226" s="79">
        <f t="shared" si="936"/>
        <v>4.1280000000000001</v>
      </c>
      <c r="AL226">
        <v>-1.2388016096445569</v>
      </c>
      <c r="AM226">
        <v>-6.1382419773044186</v>
      </c>
      <c r="AN226">
        <v>-0.2797</v>
      </c>
      <c r="AO226">
        <v>-0.90438412283385605</v>
      </c>
      <c r="AP226">
        <v>0.3667852043233108</v>
      </c>
      <c r="AQ226">
        <v>-0.21807790409746677</v>
      </c>
      <c r="AR226">
        <v>0.314</v>
      </c>
      <c r="AS226">
        <v>0.52</v>
      </c>
      <c r="AT226">
        <v>4.125</v>
      </c>
    </row>
    <row r="227" spans="5:46" x14ac:dyDescent="0.25">
      <c r="E227" s="170">
        <f t="shared" si="935"/>
        <v>0.8660741464483398</v>
      </c>
      <c r="F227" s="170">
        <f t="shared" si="935"/>
        <v>-0.48527917482760885</v>
      </c>
      <c r="G227" s="170">
        <f t="shared" si="935"/>
        <v>0.12008203584389644</v>
      </c>
      <c r="H227" s="139"/>
      <c r="I227" s="86"/>
      <c r="J227" s="79">
        <f t="shared" si="936"/>
        <v>4.1310000000000002</v>
      </c>
      <c r="AL227">
        <v>-1.4400759114413937</v>
      </c>
      <c r="AM227">
        <v>-6.7692148628394309</v>
      </c>
      <c r="AN227">
        <v>-0.61580000000000013</v>
      </c>
      <c r="AO227">
        <v>-0.88432190314723857</v>
      </c>
      <c r="AP227">
        <v>0.43312299168088603</v>
      </c>
      <c r="AQ227">
        <v>-0.17429643051837065</v>
      </c>
      <c r="AR227">
        <v>0.314</v>
      </c>
      <c r="AS227">
        <v>0.52</v>
      </c>
      <c r="AT227">
        <v>4.1280000000000001</v>
      </c>
    </row>
    <row r="228" spans="5:46" x14ac:dyDescent="0.25">
      <c r="E228" s="170">
        <f t="shared" si="935"/>
        <v>0.851688760786527</v>
      </c>
      <c r="F228" s="170">
        <f t="shared" si="935"/>
        <v>-0.52060085709708026</v>
      </c>
      <c r="G228" s="170">
        <f t="shared" si="935"/>
        <v>6.0008352249462861E-2</v>
      </c>
      <c r="H228" s="139"/>
      <c r="I228" s="86"/>
      <c r="J228" s="79">
        <f t="shared" si="936"/>
        <v>4.1340000000000003</v>
      </c>
      <c r="AL228">
        <v>-1.629978295101344</v>
      </c>
      <c r="AM228">
        <v>-7.3100806368670455</v>
      </c>
      <c r="AN228">
        <v>-1.0858000000000001</v>
      </c>
      <c r="AO228">
        <v>-0.8660741464483398</v>
      </c>
      <c r="AP228">
        <v>0.48527917482760885</v>
      </c>
      <c r="AQ228">
        <v>-0.12008203584389644</v>
      </c>
      <c r="AR228">
        <v>0.314</v>
      </c>
      <c r="AS228">
        <v>0.52</v>
      </c>
      <c r="AT228">
        <v>4.1310000000000002</v>
      </c>
    </row>
    <row r="229" spans="5:46" x14ac:dyDescent="0.25">
      <c r="E229" s="170">
        <f t="shared" si="935"/>
        <v>0.80287587412630312</v>
      </c>
      <c r="F229" s="170">
        <f t="shared" si="935"/>
        <v>-0.59400014763509967</v>
      </c>
      <c r="G229" s="170">
        <f t="shared" si="935"/>
        <v>5.0538652093269618E-2</v>
      </c>
      <c r="H229" s="139"/>
      <c r="I229" s="86"/>
      <c r="J229" s="79">
        <f t="shared" si="936"/>
        <v>4.1369999999999996</v>
      </c>
      <c r="AL229">
        <v>-1.7905452315579271</v>
      </c>
      <c r="AM229">
        <v>-7.7372182768579805</v>
      </c>
      <c r="AN229">
        <v>-1.6657999999999999</v>
      </c>
      <c r="AO229">
        <v>-0.851688760786527</v>
      </c>
      <c r="AP229">
        <v>0.52060085709708026</v>
      </c>
      <c r="AQ229">
        <v>-6.0008352249462861E-2</v>
      </c>
      <c r="AR229">
        <v>0.314</v>
      </c>
      <c r="AS229">
        <v>0.52</v>
      </c>
      <c r="AT229">
        <v>4.1340000000000003</v>
      </c>
    </row>
    <row r="230" spans="5:46" x14ac:dyDescent="0.25">
      <c r="E230" s="170">
        <f t="shared" si="935"/>
        <v>0.74874439652630109</v>
      </c>
      <c r="F230" s="170">
        <f t="shared" si="935"/>
        <v>-0.66248095714518018</v>
      </c>
      <c r="G230" s="170">
        <f t="shared" si="935"/>
        <v>2.2378786617491597E-2</v>
      </c>
      <c r="H230" s="139"/>
      <c r="I230" s="86"/>
      <c r="J230" s="79">
        <f t="shared" si="936"/>
        <v>4.1399999999999997</v>
      </c>
      <c r="AL230">
        <v>-1.9122195655553336</v>
      </c>
      <c r="AM230">
        <v>-8.0391041723010002</v>
      </c>
      <c r="AN230">
        <v>-2.3232999999999997</v>
      </c>
      <c r="AO230">
        <v>-0.80287587412630312</v>
      </c>
      <c r="AP230">
        <v>0.59400014763509967</v>
      </c>
      <c r="AQ230">
        <v>-5.0538652093269618E-2</v>
      </c>
      <c r="AR230">
        <v>0.314</v>
      </c>
      <c r="AS230">
        <v>0.52</v>
      </c>
      <c r="AT230">
        <v>4.1369999999999996</v>
      </c>
    </row>
    <row r="231" spans="5:46" x14ac:dyDescent="0.25">
      <c r="E231" s="170">
        <f t="shared" si="935"/>
        <v>0.69089492643876094</v>
      </c>
      <c r="F231" s="170">
        <f t="shared" si="935"/>
        <v>-0.72292824410608392</v>
      </c>
      <c r="G231" s="170">
        <f t="shared" si="935"/>
        <v>6.2413536090727955E-3</v>
      </c>
      <c r="H231" s="139"/>
      <c r="I231" s="86"/>
      <c r="J231" s="79">
        <f t="shared" si="936"/>
        <v>4.1429999999999998</v>
      </c>
      <c r="AL231">
        <v>-1.9982508059848378</v>
      </c>
      <c r="AM231">
        <v>-8.19715423524414</v>
      </c>
      <c r="AN231">
        <v>-3.0308999999999995</v>
      </c>
      <c r="AO231">
        <v>-0.74874439652630109</v>
      </c>
      <c r="AP231">
        <v>0.66248095714518018</v>
      </c>
      <c r="AQ231">
        <v>-2.2378786617491597E-2</v>
      </c>
      <c r="AR231">
        <v>0.314</v>
      </c>
      <c r="AS231">
        <v>0.52</v>
      </c>
      <c r="AT231">
        <v>4.1399999999999997</v>
      </c>
    </row>
    <row r="232" spans="5:46" x14ac:dyDescent="0.25">
      <c r="E232" s="170">
        <f t="shared" si="935"/>
        <v>0.68988815001160131</v>
      </c>
      <c r="F232" s="170">
        <f t="shared" si="935"/>
        <v>-0.72390226954785908</v>
      </c>
      <c r="G232" s="170">
        <f t="shared" si="935"/>
        <v>4.4547297369491416E-3</v>
      </c>
      <c r="H232" s="139"/>
      <c r="I232" s="86"/>
      <c r="J232" s="79">
        <f t="shared" si="936"/>
        <v>4.1459999999999999</v>
      </c>
      <c r="AL232">
        <v>-2.060779388521476</v>
      </c>
      <c r="AM232">
        <v>-8.3023633262972183</v>
      </c>
      <c r="AN232">
        <v>-3.7026999999999997</v>
      </c>
      <c r="AO232">
        <v>-0.69089492643876094</v>
      </c>
      <c r="AP232">
        <v>0.72292824410608392</v>
      </c>
      <c r="AQ232">
        <v>-6.2413536090727955E-3</v>
      </c>
      <c r="AR232">
        <v>0.26600000000000001</v>
      </c>
      <c r="AS232">
        <v>0.52</v>
      </c>
      <c r="AT232">
        <v>4.1429999999999998</v>
      </c>
    </row>
    <row r="233" spans="5:46" x14ac:dyDescent="0.25">
      <c r="E233" s="170">
        <f t="shared" si="935"/>
        <v>-2.0570124853685374E-7</v>
      </c>
      <c r="F233" s="170">
        <f t="shared" si="935"/>
        <v>9.5513986048787397E-8</v>
      </c>
      <c r="G233" s="170">
        <f t="shared" si="935"/>
        <v>-0.99999999999997435</v>
      </c>
      <c r="H233" s="139"/>
      <c r="I233" s="86"/>
      <c r="J233" s="79">
        <f t="shared" si="936"/>
        <v>4.218</v>
      </c>
      <c r="AL233">
        <v>-2.0665750288808571</v>
      </c>
      <c r="AM233">
        <v>-8.3009226077590963</v>
      </c>
      <c r="AN233">
        <v>-4.3879999999999999</v>
      </c>
      <c r="AO233">
        <v>-0.68988815001160131</v>
      </c>
      <c r="AP233">
        <v>0.72390226954785908</v>
      </c>
      <c r="AQ233">
        <v>-4.4547297369491416E-3</v>
      </c>
      <c r="AR233">
        <v>0.26600000000000001</v>
      </c>
      <c r="AS233">
        <v>0.52</v>
      </c>
      <c r="AT233">
        <v>4.1459999999999999</v>
      </c>
    </row>
    <row r="234" spans="5:46" x14ac:dyDescent="0.25">
      <c r="E234" s="170">
        <f t="shared" ref="E234:G253" si="937">E89*-1</f>
        <v>2.0623748113729717E-2</v>
      </c>
      <c r="F234" s="170">
        <f t="shared" si="937"/>
        <v>4.4282731785062195E-2</v>
      </c>
      <c r="G234" s="170">
        <f t="shared" si="937"/>
        <v>-0.99880613768608462</v>
      </c>
      <c r="H234" s="139"/>
      <c r="I234" s="86"/>
      <c r="J234" s="79">
        <f t="shared" si="936"/>
        <v>4.2210000000000001</v>
      </c>
      <c r="AL234">
        <v>-1.9034216361936547</v>
      </c>
      <c r="AM234">
        <v>-4.0992552311108108</v>
      </c>
      <c r="AN234">
        <v>-0.12649120244879944</v>
      </c>
      <c r="AO234">
        <v>2.0570124853685374E-7</v>
      </c>
      <c r="AP234">
        <v>-9.5513986048787397E-8</v>
      </c>
      <c r="AQ234">
        <v>0.99999999999997435</v>
      </c>
      <c r="AR234">
        <v>0.26250000000000001</v>
      </c>
      <c r="AS234">
        <v>0.41199999999999998</v>
      </c>
      <c r="AT234">
        <v>4.218</v>
      </c>
    </row>
    <row r="235" spans="5:46" x14ac:dyDescent="0.25">
      <c r="E235" s="170">
        <f t="shared" si="937"/>
        <v>8.8047338410575202E-2</v>
      </c>
      <c r="F235" s="170">
        <f t="shared" si="937"/>
        <v>0.18457055429627175</v>
      </c>
      <c r="G235" s="170">
        <f t="shared" si="937"/>
        <v>-0.97886739484241725</v>
      </c>
      <c r="H235" s="139"/>
      <c r="I235" s="86"/>
      <c r="J235" s="79">
        <f t="shared" si="936"/>
        <v>4.2240000000000002</v>
      </c>
      <c r="AL235">
        <v>-2.2329829372909002</v>
      </c>
      <c r="AM235">
        <v>-4.7945399848094397</v>
      </c>
      <c r="AN235">
        <v>-9.1124682954881825E-2</v>
      </c>
      <c r="AO235">
        <v>-2.0623748113729717E-2</v>
      </c>
      <c r="AP235">
        <v>-4.4282731785062195E-2</v>
      </c>
      <c r="AQ235">
        <v>0.99880613768608462</v>
      </c>
      <c r="AR235">
        <v>0.26250000000000001</v>
      </c>
      <c r="AS235">
        <v>0.41199999999999998</v>
      </c>
      <c r="AT235">
        <v>4.2210000000000001</v>
      </c>
    </row>
    <row r="236" spans="5:46" x14ac:dyDescent="0.25">
      <c r="E236" s="170">
        <f t="shared" si="937"/>
        <v>-0.66719757562557003</v>
      </c>
      <c r="F236" s="170">
        <f t="shared" si="937"/>
        <v>0.61939589258496741</v>
      </c>
      <c r="G236" s="170">
        <f t="shared" si="937"/>
        <v>-0.41375853263495788</v>
      </c>
      <c r="H236" s="139"/>
      <c r="I236" s="86"/>
      <c r="J236" s="79">
        <f t="shared" si="936"/>
        <v>4.2270000000000003</v>
      </c>
      <c r="AL236">
        <v>-2.589945636781767</v>
      </c>
      <c r="AM236">
        <v>-5.4291969089003613</v>
      </c>
      <c r="AN236">
        <v>-0.22213818272887859</v>
      </c>
      <c r="AO236">
        <v>-8.8047338410575202E-2</v>
      </c>
      <c r="AP236">
        <v>-0.18457055429627175</v>
      </c>
      <c r="AQ236">
        <v>0.97886739484241725</v>
      </c>
      <c r="AR236">
        <v>0.26250000000000001</v>
      </c>
      <c r="AS236">
        <v>0.41199999999999998</v>
      </c>
      <c r="AT236">
        <v>4.2240000000000002</v>
      </c>
    </row>
    <row r="237" spans="5:46" x14ac:dyDescent="0.25">
      <c r="E237" s="170">
        <f t="shared" si="937"/>
        <v>-0.62547934218127199</v>
      </c>
      <c r="F237" s="170">
        <f t="shared" si="937"/>
        <v>0.69943329364671047</v>
      </c>
      <c r="G237" s="170">
        <f t="shared" si="937"/>
        <v>-0.34578701572354875</v>
      </c>
      <c r="H237" s="139"/>
      <c r="I237" s="86"/>
      <c r="J237" s="79">
        <f t="shared" si="936"/>
        <v>4.2300000000000004</v>
      </c>
      <c r="AL237">
        <v>-2.6518497770996072</v>
      </c>
      <c r="AM237">
        <v>-6.1714498351115719</v>
      </c>
      <c r="AN237">
        <v>-0.50199987892296893</v>
      </c>
      <c r="AO237">
        <v>0.66719757562557003</v>
      </c>
      <c r="AP237">
        <v>-0.61939589258496741</v>
      </c>
      <c r="AQ237">
        <v>0.41375853263495788</v>
      </c>
      <c r="AR237">
        <v>0.26600000000000001</v>
      </c>
      <c r="AS237">
        <v>0.52</v>
      </c>
      <c r="AT237">
        <v>4.2270000000000003</v>
      </c>
    </row>
    <row r="238" spans="5:46" x14ac:dyDescent="0.25">
      <c r="E238" s="170">
        <f t="shared" si="937"/>
        <v>-0.59046921614592562</v>
      </c>
      <c r="F238" s="170">
        <f t="shared" si="937"/>
        <v>0.76217203512638287</v>
      </c>
      <c r="G238" s="170">
        <f t="shared" si="937"/>
        <v>-0.26540515001658149</v>
      </c>
      <c r="H238" s="139"/>
      <c r="I238" s="86"/>
      <c r="J238" s="79">
        <f t="shared" si="936"/>
        <v>4.2329999999999997</v>
      </c>
      <c r="AL238">
        <v>-2.9414974996460765</v>
      </c>
      <c r="AM238">
        <v>-6.7053623548622241</v>
      </c>
      <c r="AN238">
        <v>-0.93091588567615013</v>
      </c>
      <c r="AO238">
        <v>0.62547934218127199</v>
      </c>
      <c r="AP238">
        <v>-0.69943329364671047</v>
      </c>
      <c r="AQ238">
        <v>0.34578701572354875</v>
      </c>
      <c r="AR238">
        <v>0.26600000000000001</v>
      </c>
      <c r="AS238">
        <v>0.52</v>
      </c>
      <c r="AT238">
        <v>4.2300000000000004</v>
      </c>
    </row>
    <row r="239" spans="5:46" x14ac:dyDescent="0.25">
      <c r="E239" s="170">
        <f t="shared" si="937"/>
        <v>0.43296702501215389</v>
      </c>
      <c r="F239" s="170">
        <f t="shared" si="937"/>
        <v>0.79619924304167067</v>
      </c>
      <c r="G239" s="170">
        <f t="shared" si="937"/>
        <v>-0.42261841019055918</v>
      </c>
      <c r="H239" s="139"/>
      <c r="I239" s="86"/>
      <c r="J239" s="79">
        <f t="shared" si="936"/>
        <v>4.2359999999999998</v>
      </c>
      <c r="AL239">
        <v>-3.1912089415839646</v>
      </c>
      <c r="AM239">
        <v>-7.1377055223268133</v>
      </c>
      <c r="AN239">
        <v>-1.4789016313212699</v>
      </c>
      <c r="AO239">
        <v>0.59046921614592562</v>
      </c>
      <c r="AP239">
        <v>-0.76217203512638287</v>
      </c>
      <c r="AQ239">
        <v>0.26540515001658149</v>
      </c>
      <c r="AR239">
        <v>0.26600000000000001</v>
      </c>
      <c r="AS239">
        <v>0.52</v>
      </c>
      <c r="AT239">
        <v>4.2329999999999997</v>
      </c>
    </row>
    <row r="240" spans="5:46" x14ac:dyDescent="0.25">
      <c r="E240" s="170">
        <f t="shared" si="937"/>
        <v>0.4385703190171909</v>
      </c>
      <c r="F240" s="170">
        <f t="shared" si="937"/>
        <v>0.79312656912069524</v>
      </c>
      <c r="G240" s="170">
        <f t="shared" si="937"/>
        <v>-0.42261841019055785</v>
      </c>
      <c r="H240" s="139"/>
      <c r="I240" s="86"/>
      <c r="J240" s="79">
        <f t="shared" si="936"/>
        <v>4.2389999999999999</v>
      </c>
      <c r="AL240">
        <v>-3.8806188981850549</v>
      </c>
      <c r="AM240">
        <v>-7.1362108624886949</v>
      </c>
      <c r="AN240">
        <v>-2.1286670625286952</v>
      </c>
      <c r="AO240">
        <v>-0.43296702501215389</v>
      </c>
      <c r="AP240">
        <v>-0.79619924304167067</v>
      </c>
      <c r="AQ240">
        <v>0.42261841019055918</v>
      </c>
      <c r="AR240">
        <v>0.26250000000000001</v>
      </c>
      <c r="AS240">
        <v>0.41199999999999998</v>
      </c>
      <c r="AT240">
        <v>4.2359999999999998</v>
      </c>
    </row>
    <row r="241" spans="5:46" x14ac:dyDescent="0.25">
      <c r="E241" s="170">
        <f t="shared" si="937"/>
        <v>-0.40821789367673461</v>
      </c>
      <c r="F241" s="170">
        <f t="shared" si="937"/>
        <v>0.87542609806559313</v>
      </c>
      <c r="G241" s="170">
        <f t="shared" si="937"/>
        <v>-0.25881904510252074</v>
      </c>
      <c r="H241" s="139"/>
      <c r="I241" s="86"/>
      <c r="J241" s="79">
        <f t="shared" si="936"/>
        <v>5.1029999999999998</v>
      </c>
      <c r="AL241">
        <v>-4.0323429891518545</v>
      </c>
      <c r="AM241">
        <v>-7.2922318998291482</v>
      </c>
      <c r="AN241">
        <v>-2.8298447928783723</v>
      </c>
      <c r="AO241">
        <v>-0.4385703190171909</v>
      </c>
      <c r="AP241">
        <v>-0.79312656912069524</v>
      </c>
      <c r="AQ241">
        <v>0.42261841019055785</v>
      </c>
      <c r="AR241">
        <v>0.26250000000000001</v>
      </c>
      <c r="AS241">
        <v>0.41199999999999998</v>
      </c>
      <c r="AT241">
        <v>4.2389999999999999</v>
      </c>
    </row>
    <row r="242" spans="5:46" x14ac:dyDescent="0.25">
      <c r="E242" s="170">
        <f t="shared" si="937"/>
        <v>0.40821789367673422</v>
      </c>
      <c r="F242" s="170">
        <f t="shared" si="937"/>
        <v>-0.87542609806559324</v>
      </c>
      <c r="G242" s="170">
        <f t="shared" si="937"/>
        <v>0.25881904510252096</v>
      </c>
      <c r="H242" s="139"/>
      <c r="I242" s="86"/>
      <c r="J242" s="79">
        <f t="shared" si="936"/>
        <v>5.1059999999999999</v>
      </c>
      <c r="AL242">
        <v>-0.72051469069413665</v>
      </c>
      <c r="AM242">
        <v>-0.33598151808385601</v>
      </c>
      <c r="AN242">
        <v>-1.0847</v>
      </c>
      <c r="AO242">
        <v>0.40821789367673461</v>
      </c>
      <c r="AP242">
        <v>-0.87542609806559313</v>
      </c>
      <c r="AQ242">
        <v>0.25881904510252074</v>
      </c>
      <c r="AR242">
        <v>0.314</v>
      </c>
      <c r="AS242">
        <v>0.52</v>
      </c>
      <c r="AT242">
        <v>5.1029999999999998</v>
      </c>
    </row>
    <row r="243" spans="5:46" x14ac:dyDescent="0.25">
      <c r="E243" s="170">
        <f t="shared" si="937"/>
        <v>0.40821789367673422</v>
      </c>
      <c r="F243" s="170">
        <f t="shared" si="937"/>
        <v>-0.87542609806559324</v>
      </c>
      <c r="G243" s="170">
        <f t="shared" si="937"/>
        <v>0.25881904510252096</v>
      </c>
      <c r="H243" s="139"/>
      <c r="I243" s="86"/>
      <c r="J243" s="79">
        <f t="shared" si="936"/>
        <v>5.109</v>
      </c>
      <c r="AL243">
        <v>-1.3948076842494042</v>
      </c>
      <c r="AM243">
        <v>-0.65040950481893622</v>
      </c>
      <c r="AN243">
        <v>-0.88539999999999996</v>
      </c>
      <c r="AO243">
        <v>-0.40821789367673422</v>
      </c>
      <c r="AP243">
        <v>0.87542609806559324</v>
      </c>
      <c r="AQ243">
        <v>-0.25881904510252096</v>
      </c>
      <c r="AR243">
        <v>0.314</v>
      </c>
      <c r="AS243">
        <v>0.52</v>
      </c>
      <c r="AT243">
        <v>5.1059999999999999</v>
      </c>
    </row>
    <row r="244" spans="5:46" x14ac:dyDescent="0.25">
      <c r="E244" s="170">
        <f t="shared" si="937"/>
        <v>0.40821789367673544</v>
      </c>
      <c r="F244" s="170">
        <f t="shared" si="937"/>
        <v>-0.87542609806559291</v>
      </c>
      <c r="G244" s="170">
        <f t="shared" si="937"/>
        <v>0.25881904510252057</v>
      </c>
      <c r="H244" s="139"/>
      <c r="I244" s="86"/>
      <c r="J244" s="79">
        <f t="shared" si="936"/>
        <v>5.1120000000000001</v>
      </c>
      <c r="AL244">
        <v>-2.0691006778046717</v>
      </c>
      <c r="AM244">
        <v>-0.96483749155401655</v>
      </c>
      <c r="AN244">
        <v>-0.68600000000000005</v>
      </c>
      <c r="AO244">
        <v>-0.40821789367673422</v>
      </c>
      <c r="AP244">
        <v>0.87542609806559324</v>
      </c>
      <c r="AQ244">
        <v>-0.25881904510252096</v>
      </c>
      <c r="AR244">
        <v>0.314</v>
      </c>
      <c r="AS244">
        <v>0.52</v>
      </c>
      <c r="AT244">
        <v>5.109</v>
      </c>
    </row>
    <row r="245" spans="5:46" x14ac:dyDescent="0.25">
      <c r="E245" s="170">
        <f t="shared" si="937"/>
        <v>0.40821789367673533</v>
      </c>
      <c r="F245" s="170">
        <f t="shared" si="937"/>
        <v>-0.87542609806559291</v>
      </c>
      <c r="G245" s="170">
        <f t="shared" si="937"/>
        <v>0.25881904510252063</v>
      </c>
      <c r="H245" s="139"/>
      <c r="I245" s="86"/>
      <c r="J245" s="79">
        <f t="shared" si="936"/>
        <v>5.1150000000000002</v>
      </c>
      <c r="AL245">
        <v>-2.7433030405812358</v>
      </c>
      <c r="AM245">
        <v>-1.2792232164629227</v>
      </c>
      <c r="AN245">
        <v>-0.48670000000000002</v>
      </c>
      <c r="AO245">
        <v>-0.40821789367673544</v>
      </c>
      <c r="AP245">
        <v>0.87542609806559291</v>
      </c>
      <c r="AQ245">
        <v>-0.25881904510252057</v>
      </c>
      <c r="AR245">
        <v>0.314</v>
      </c>
      <c r="AS245">
        <v>0.52</v>
      </c>
      <c r="AT245">
        <v>5.1120000000000001</v>
      </c>
    </row>
    <row r="246" spans="5:46" x14ac:dyDescent="0.25">
      <c r="E246" s="170">
        <f t="shared" si="937"/>
        <v>0.3698523338380354</v>
      </c>
      <c r="F246" s="170">
        <f t="shared" si="937"/>
        <v>-0.89236851475360901</v>
      </c>
      <c r="G246" s="170">
        <f t="shared" si="937"/>
        <v>0.25862653582143569</v>
      </c>
      <c r="H246" s="139"/>
      <c r="I246" s="86"/>
      <c r="J246" s="79">
        <f t="shared" si="936"/>
        <v>5.1180000000000003</v>
      </c>
      <c r="AL246">
        <v>-3.417596034136503</v>
      </c>
      <c r="AM246">
        <v>-1.593651203198003</v>
      </c>
      <c r="AN246">
        <v>-0.2873</v>
      </c>
      <c r="AO246">
        <v>-0.40821789367673533</v>
      </c>
      <c r="AP246">
        <v>0.87542609806559291</v>
      </c>
      <c r="AQ246">
        <v>-0.25881904510252063</v>
      </c>
      <c r="AR246">
        <v>0.314</v>
      </c>
      <c r="AS246">
        <v>0.52</v>
      </c>
      <c r="AT246">
        <v>5.1150000000000002</v>
      </c>
    </row>
    <row r="247" spans="5:46" x14ac:dyDescent="0.25">
      <c r="E247" s="170">
        <f t="shared" si="937"/>
        <v>0.31824294315845758</v>
      </c>
      <c r="F247" s="170">
        <f t="shared" si="937"/>
        <v>-0.91329866876135835</v>
      </c>
      <c r="G247" s="170">
        <f t="shared" si="937"/>
        <v>0.2541790132339285</v>
      </c>
      <c r="H247" s="139"/>
      <c r="I247" s="86"/>
      <c r="J247" s="79">
        <f t="shared" si="936"/>
        <v>5.1210000000000004</v>
      </c>
      <c r="AL247">
        <v>-4.1027910919773332</v>
      </c>
      <c r="AM247">
        <v>-1.8957556318237416</v>
      </c>
      <c r="AN247">
        <v>-0.1042</v>
      </c>
      <c r="AO247">
        <v>-0.3698523338380354</v>
      </c>
      <c r="AP247">
        <v>0.89236851475360901</v>
      </c>
      <c r="AQ247">
        <v>-0.25862653582143569</v>
      </c>
      <c r="AR247">
        <v>0.314</v>
      </c>
      <c r="AS247">
        <v>0.52</v>
      </c>
      <c r="AT247">
        <v>5.1180000000000003</v>
      </c>
    </row>
    <row r="248" spans="5:46" x14ac:dyDescent="0.25">
      <c r="E248" s="170">
        <f t="shared" si="937"/>
        <v>0.24231845925979315</v>
      </c>
      <c r="F248" s="170">
        <f t="shared" si="937"/>
        <v>-0.94260298747207527</v>
      </c>
      <c r="G248" s="170">
        <f t="shared" si="937"/>
        <v>0.22974196897972021</v>
      </c>
      <c r="H248" s="139"/>
      <c r="I248" s="86"/>
      <c r="J248" s="79">
        <f t="shared" si="936"/>
        <v>5.1239999999999997</v>
      </c>
      <c r="AL248">
        <v>-4.8212438722640032</v>
      </c>
      <c r="AM248">
        <v>-2.1819421450067855</v>
      </c>
      <c r="AN248">
        <v>-6.88E-2</v>
      </c>
      <c r="AO248">
        <v>-0.31824294315845758</v>
      </c>
      <c r="AP248">
        <v>0.91329866876135835</v>
      </c>
      <c r="AQ248">
        <v>-0.2541790132339285</v>
      </c>
      <c r="AR248">
        <v>0.314</v>
      </c>
      <c r="AS248">
        <v>0.52</v>
      </c>
      <c r="AT248">
        <v>5.1210000000000004</v>
      </c>
    </row>
    <row r="249" spans="5:46" x14ac:dyDescent="0.25">
      <c r="E249" s="170">
        <f t="shared" si="937"/>
        <v>0.1732487173170876</v>
      </c>
      <c r="F249" s="170">
        <f t="shared" si="937"/>
        <v>-0.96630646535547859</v>
      </c>
      <c r="G249" s="170">
        <f t="shared" si="937"/>
        <v>0.19035938894676374</v>
      </c>
      <c r="H249" s="139"/>
      <c r="I249" s="86"/>
      <c r="J249" s="79">
        <f t="shared" si="936"/>
        <v>5.1269999999999998</v>
      </c>
      <c r="AL249">
        <v>-5.5156183515159096</v>
      </c>
      <c r="AM249">
        <v>-2.4315277173869347</v>
      </c>
      <c r="AN249">
        <v>-0.19939999999999999</v>
      </c>
      <c r="AO249">
        <v>-0.24231845925979315</v>
      </c>
      <c r="AP249">
        <v>0.94260298747207527</v>
      </c>
      <c r="AQ249">
        <v>-0.22974196897972021</v>
      </c>
      <c r="AR249">
        <v>0.314</v>
      </c>
      <c r="AS249">
        <v>0.52</v>
      </c>
      <c r="AT249">
        <v>5.1239999999999997</v>
      </c>
    </row>
    <row r="250" spans="5:46" x14ac:dyDescent="0.25">
      <c r="E250" s="170">
        <f t="shared" si="937"/>
        <v>0.11503337117976851</v>
      </c>
      <c r="F250" s="170">
        <f t="shared" si="937"/>
        <v>-0.98358022539957091</v>
      </c>
      <c r="G250" s="170">
        <f t="shared" si="937"/>
        <v>0.13905849027638281</v>
      </c>
      <c r="H250" s="139"/>
      <c r="I250" s="86"/>
      <c r="J250" s="79">
        <f t="shared" si="936"/>
        <v>5.13</v>
      </c>
      <c r="AL250">
        <v>-6.1669401800294077</v>
      </c>
      <c r="AM250">
        <v>-2.6418799775801372</v>
      </c>
      <c r="AN250">
        <v>-0.48760000000000003</v>
      </c>
      <c r="AO250">
        <v>-0.1732487173170876</v>
      </c>
      <c r="AP250">
        <v>0.96630646535547859</v>
      </c>
      <c r="AQ250">
        <v>-0.19035938894676374</v>
      </c>
      <c r="AR250">
        <v>0.314</v>
      </c>
      <c r="AS250">
        <v>0.52</v>
      </c>
      <c r="AT250">
        <v>5.1269999999999998</v>
      </c>
    </row>
    <row r="251" spans="5:46" x14ac:dyDescent="0.25">
      <c r="E251" s="170">
        <f t="shared" si="937"/>
        <v>7.1790188117652629E-2</v>
      </c>
      <c r="F251" s="170">
        <f t="shared" si="937"/>
        <v>-0.99419305741532771</v>
      </c>
      <c r="G251" s="170">
        <f t="shared" si="937"/>
        <v>8.0164415280067458E-2</v>
      </c>
      <c r="H251" s="139"/>
      <c r="I251" s="86"/>
      <c r="J251" s="79">
        <f t="shared" si="936"/>
        <v>5.133</v>
      </c>
      <c r="AL251">
        <v>-6.7494975762912919</v>
      </c>
      <c r="AM251">
        <v>-2.8095446744335582</v>
      </c>
      <c r="AN251">
        <v>-0.91489999999999994</v>
      </c>
      <c r="AO251">
        <v>-0.11503337117976851</v>
      </c>
      <c r="AP251">
        <v>0.98358022539957091</v>
      </c>
      <c r="AQ251">
        <v>-0.13905849027638281</v>
      </c>
      <c r="AR251">
        <v>0.314</v>
      </c>
      <c r="AS251">
        <v>0.52</v>
      </c>
      <c r="AT251">
        <v>5.13</v>
      </c>
    </row>
    <row r="252" spans="5:46" x14ac:dyDescent="0.25">
      <c r="E252" s="170">
        <f t="shared" si="937"/>
        <v>-1.9826755235744186E-2</v>
      </c>
      <c r="F252" s="170">
        <f t="shared" si="937"/>
        <v>-0.99715475411112242</v>
      </c>
      <c r="G252" s="170">
        <f t="shared" si="937"/>
        <v>7.2727547259679781E-2</v>
      </c>
      <c r="H252" s="139"/>
      <c r="I252" s="86"/>
      <c r="J252" s="79">
        <f t="shared" si="936"/>
        <v>5.1360000000000001</v>
      </c>
      <c r="AL252">
        <v>-7.2315124010238101</v>
      </c>
      <c r="AM252">
        <v>-2.9349425469400376</v>
      </c>
      <c r="AN252">
        <v>-1.4608000000000005</v>
      </c>
      <c r="AO252">
        <v>-7.1790188117652629E-2</v>
      </c>
      <c r="AP252">
        <v>0.99419305741532771</v>
      </c>
      <c r="AQ252">
        <v>-8.0164415280067458E-2</v>
      </c>
      <c r="AR252">
        <v>0.314</v>
      </c>
      <c r="AS252">
        <v>0.52</v>
      </c>
      <c r="AT252">
        <v>5.133</v>
      </c>
    </row>
    <row r="253" spans="5:46" x14ac:dyDescent="0.25">
      <c r="E253" s="170">
        <f t="shared" si="937"/>
        <v>-0.11108631029381259</v>
      </c>
      <c r="F253" s="170">
        <f t="shared" si="937"/>
        <v>-0.99268906475816121</v>
      </c>
      <c r="G253" s="170">
        <f t="shared" si="937"/>
        <v>4.7204368175774079E-2</v>
      </c>
      <c r="H253" s="139"/>
      <c r="I253" s="86"/>
      <c r="J253" s="79">
        <f t="shared" si="936"/>
        <v>5.1390000000000002</v>
      </c>
      <c r="AL253">
        <v>-7.5949154662336822</v>
      </c>
      <c r="AM253">
        <v>-3.0223839433077346</v>
      </c>
      <c r="AN253">
        <v>-2.0954000000000002</v>
      </c>
      <c r="AO253">
        <v>1.9826755235744186E-2</v>
      </c>
      <c r="AP253">
        <v>0.99715475411112242</v>
      </c>
      <c r="AQ253">
        <v>-7.2727547259679781E-2</v>
      </c>
      <c r="AR253">
        <v>0.314</v>
      </c>
      <c r="AS253">
        <v>0.52</v>
      </c>
      <c r="AT253">
        <v>5.1360000000000001</v>
      </c>
    </row>
    <row r="254" spans="5:46" x14ac:dyDescent="0.25">
      <c r="E254" s="170">
        <f t="shared" ref="E254:G273" si="938">E109*-1</f>
        <v>-0.19590709923398728</v>
      </c>
      <c r="F254" s="170">
        <f t="shared" si="938"/>
        <v>-0.98060259737309041</v>
      </c>
      <c r="G254" s="170">
        <f t="shared" si="938"/>
        <v>6.2413536090727964E-3</v>
      </c>
      <c r="H254" s="139"/>
      <c r="I254" s="86"/>
      <c r="J254" s="79">
        <f t="shared" si="936"/>
        <v>5.1420000000000003</v>
      </c>
      <c r="AL254">
        <v>-7.8249283361514719</v>
      </c>
      <c r="AM254">
        <v>-3.0523854891041804</v>
      </c>
      <c r="AN254">
        <v>-2.7900000000000005</v>
      </c>
      <c r="AO254">
        <v>0.11108631029381259</v>
      </c>
      <c r="AP254">
        <v>0.99268906475816121</v>
      </c>
      <c r="AQ254">
        <v>-4.7204368175774079E-2</v>
      </c>
      <c r="AR254">
        <v>0.314</v>
      </c>
      <c r="AS254">
        <v>0.52</v>
      </c>
      <c r="AT254">
        <v>5.1390000000000002</v>
      </c>
    </row>
    <row r="255" spans="5:46" x14ac:dyDescent="0.25">
      <c r="E255" s="170">
        <f t="shared" si="938"/>
        <v>-0.19728243740110007</v>
      </c>
      <c r="F255" s="170">
        <f t="shared" si="938"/>
        <v>-0.98033657244644912</v>
      </c>
      <c r="G255" s="170">
        <f t="shared" si="938"/>
        <v>4.454729736949139E-3</v>
      </c>
      <c r="H255" s="139"/>
      <c r="I255" s="86"/>
      <c r="J255" s="79">
        <f t="shared" si="936"/>
        <v>5.1449999999999996</v>
      </c>
      <c r="AL255">
        <v>-7.9829123889401581</v>
      </c>
      <c r="AM255">
        <v>-3.0739483210531895</v>
      </c>
      <c r="AN255">
        <v>-3.4742999999999999</v>
      </c>
      <c r="AO255">
        <v>0.19590709923398728</v>
      </c>
      <c r="AP255">
        <v>0.98060259737309041</v>
      </c>
      <c r="AQ255">
        <v>-6.2413536090727964E-3</v>
      </c>
      <c r="AR255">
        <v>0.26600000000000001</v>
      </c>
      <c r="AS255">
        <v>0.52</v>
      </c>
      <c r="AT255">
        <v>5.1420000000000003</v>
      </c>
    </row>
    <row r="256" spans="5:46" x14ac:dyDescent="0.25">
      <c r="E256" s="170">
        <f t="shared" si="938"/>
        <v>-3.9230426041563263E-8</v>
      </c>
      <c r="F256" s="170">
        <f t="shared" si="938"/>
        <v>2.2337613758435225E-7</v>
      </c>
      <c r="G256" s="170">
        <f t="shared" si="938"/>
        <v>-0.99999999999997435</v>
      </c>
      <c r="H256" s="139"/>
      <c r="I256" s="86"/>
      <c r="J256" s="79">
        <f t="shared" si="936"/>
        <v>5.2169999999999996</v>
      </c>
      <c r="AL256">
        <v>-7.9850564641481148</v>
      </c>
      <c r="AM256">
        <v>-3.0683744481999575</v>
      </c>
      <c r="AN256">
        <v>-4.1595000000000004</v>
      </c>
      <c r="AO256">
        <v>0.19728243740110007</v>
      </c>
      <c r="AP256">
        <v>0.98033657244644912</v>
      </c>
      <c r="AQ256">
        <v>-4.454729736949139E-3</v>
      </c>
      <c r="AR256">
        <v>0.26600000000000001</v>
      </c>
      <c r="AS256">
        <v>0.52</v>
      </c>
      <c r="AT256">
        <v>5.1449999999999996</v>
      </c>
    </row>
    <row r="257" spans="5:46" x14ac:dyDescent="0.25">
      <c r="E257" s="170">
        <f t="shared" si="938"/>
        <v>-3.9830675507840212E-8</v>
      </c>
      <c r="F257" s="170">
        <f t="shared" si="938"/>
        <v>2.2326988704732167E-7</v>
      </c>
      <c r="G257" s="170">
        <f t="shared" si="938"/>
        <v>-0.99999999999997435</v>
      </c>
      <c r="H257" s="139"/>
      <c r="I257" s="86"/>
      <c r="J257" s="79">
        <f t="shared" si="936"/>
        <v>5.22</v>
      </c>
      <c r="AL257">
        <v>-4.2032818803412466</v>
      </c>
      <c r="AM257">
        <v>-0.73820122740864091</v>
      </c>
      <c r="AN257">
        <v>-0.17623378580576415</v>
      </c>
      <c r="AO257">
        <v>3.9230426041563263E-8</v>
      </c>
      <c r="AP257">
        <v>-2.2337613758435225E-7</v>
      </c>
      <c r="AQ257">
        <v>0.99999999999997435</v>
      </c>
      <c r="AR257">
        <v>0.26250000000000001</v>
      </c>
      <c r="AS257">
        <v>0.41199999999999998</v>
      </c>
      <c r="AT257">
        <v>5.2169999999999996</v>
      </c>
    </row>
    <row r="258" spans="5:46" x14ac:dyDescent="0.25">
      <c r="E258" s="170">
        <f t="shared" si="938"/>
        <v>0.15079456535928151</v>
      </c>
      <c r="F258" s="170">
        <f t="shared" si="938"/>
        <v>2.5800357681216954E-2</v>
      </c>
      <c r="G258" s="170">
        <f t="shared" si="938"/>
        <v>-0.98822838483906483</v>
      </c>
      <c r="H258" s="139"/>
      <c r="I258" s="86"/>
      <c r="J258" s="79">
        <f t="shared" si="936"/>
        <v>5.2229999999999999</v>
      </c>
      <c r="AL258">
        <v>-4.9596122873004509</v>
      </c>
      <c r="AM258">
        <v>-0.88477989643945643</v>
      </c>
      <c r="AN258">
        <v>-8.0993715228377963E-2</v>
      </c>
      <c r="AO258">
        <v>3.9830675507840212E-8</v>
      </c>
      <c r="AP258">
        <v>-2.2326988704732167E-7</v>
      </c>
      <c r="AQ258">
        <v>0.99999999999997435</v>
      </c>
      <c r="AR258">
        <v>0.26250000000000001</v>
      </c>
      <c r="AS258">
        <v>0.41199999999999998</v>
      </c>
      <c r="AT258">
        <v>5.22</v>
      </c>
    </row>
    <row r="259" spans="5:46" x14ac:dyDescent="0.25">
      <c r="E259" s="170">
        <f t="shared" si="938"/>
        <v>9.1348375327036796E-2</v>
      </c>
      <c r="F259" s="170">
        <f t="shared" si="938"/>
        <v>0.89677347232020166</v>
      </c>
      <c r="G259" s="170">
        <f t="shared" si="938"/>
        <v>-0.43295821238068621</v>
      </c>
      <c r="H259" s="139"/>
      <c r="I259" s="86"/>
      <c r="J259" s="79">
        <f t="shared" si="936"/>
        <v>5.226</v>
      </c>
      <c r="AL259">
        <v>-5.6963878693509358</v>
      </c>
      <c r="AM259">
        <v>-0.97462089224134618</v>
      </c>
      <c r="AN259">
        <v>-0.16006189538107432</v>
      </c>
      <c r="AO259">
        <v>-0.15079456535928151</v>
      </c>
      <c r="AP259">
        <v>-2.5800357681216954E-2</v>
      </c>
      <c r="AQ259">
        <v>0.98822838483906483</v>
      </c>
      <c r="AR259">
        <v>0.26250000000000001</v>
      </c>
      <c r="AS259">
        <v>0.41199999999999998</v>
      </c>
      <c r="AT259">
        <v>5.2229999999999999</v>
      </c>
    </row>
    <row r="260" spans="5:46" x14ac:dyDescent="0.25">
      <c r="E260" s="170">
        <f t="shared" si="938"/>
        <v>0.18637769535983073</v>
      </c>
      <c r="F260" s="170">
        <f t="shared" si="938"/>
        <v>0.91023218102060965</v>
      </c>
      <c r="G260" s="170">
        <f t="shared" si="938"/>
        <v>-0.3697847094010544</v>
      </c>
      <c r="H260" s="139"/>
      <c r="I260" s="86"/>
      <c r="J260" s="79">
        <f t="shared" si="936"/>
        <v>5.2290000000000001</v>
      </c>
      <c r="AL260">
        <v>-6.3573792142050145</v>
      </c>
      <c r="AM260">
        <v>-1.3379700499908502</v>
      </c>
      <c r="AN260">
        <v>-0.38827986627039207</v>
      </c>
      <c r="AO260">
        <v>-9.1348375327036796E-2</v>
      </c>
      <c r="AP260">
        <v>-0.89677347232020166</v>
      </c>
      <c r="AQ260">
        <v>0.43295821238068621</v>
      </c>
      <c r="AR260">
        <v>0.26600000000000001</v>
      </c>
      <c r="AS260">
        <v>0.52</v>
      </c>
      <c r="AT260">
        <v>5.226</v>
      </c>
    </row>
    <row r="261" spans="5:46" x14ac:dyDescent="0.25">
      <c r="E261" s="170">
        <f t="shared" si="938"/>
        <v>0.26393707204261924</v>
      </c>
      <c r="F261" s="170">
        <f t="shared" si="938"/>
        <v>0.9189193329537102</v>
      </c>
      <c r="G261" s="170">
        <f t="shared" si="938"/>
        <v>-0.29312877976322549</v>
      </c>
      <c r="H261" s="139"/>
      <c r="I261" s="86"/>
      <c r="J261" s="79">
        <f t="shared" si="936"/>
        <v>5.2320000000000002</v>
      </c>
      <c r="AL261">
        <v>-6.9899232078758216</v>
      </c>
      <c r="AM261">
        <v>-1.4167789103228792</v>
      </c>
      <c r="AN261">
        <v>-0.77274244279331428</v>
      </c>
      <c r="AO261">
        <v>-0.18637769535983073</v>
      </c>
      <c r="AP261">
        <v>-0.91023218102060965</v>
      </c>
      <c r="AQ261">
        <v>0.3697847094010544</v>
      </c>
      <c r="AR261">
        <v>0.26600000000000001</v>
      </c>
      <c r="AS261">
        <v>0.52</v>
      </c>
      <c r="AT261">
        <v>5.2290000000000001</v>
      </c>
    </row>
    <row r="262" spans="5:46" x14ac:dyDescent="0.25">
      <c r="E262" s="170">
        <f t="shared" si="938"/>
        <v>0.90021565067510878</v>
      </c>
      <c r="F262" s="170">
        <f t="shared" si="938"/>
        <v>0.10490691896913547</v>
      </c>
      <c r="G262" s="170">
        <f t="shared" si="938"/>
        <v>-0.42261841019055701</v>
      </c>
      <c r="H262" s="139"/>
      <c r="I262" s="86"/>
      <c r="J262" s="79">
        <f t="shared" si="936"/>
        <v>5.2350000000000003</v>
      </c>
      <c r="AL262">
        <v>-7.5258655658539109</v>
      </c>
      <c r="AM262">
        <v>-1.467922340488736</v>
      </c>
      <c r="AN262">
        <v>-1.2842819591248975</v>
      </c>
      <c r="AO262">
        <v>-0.26393707204261924</v>
      </c>
      <c r="AP262">
        <v>-0.9189193329537102</v>
      </c>
      <c r="AQ262">
        <v>0.29312877976322549</v>
      </c>
      <c r="AR262">
        <v>0.26600000000000001</v>
      </c>
      <c r="AS262">
        <v>0.52</v>
      </c>
      <c r="AT262">
        <v>5.2320000000000002</v>
      </c>
    </row>
    <row r="263" spans="5:46" x14ac:dyDescent="0.25">
      <c r="E263" s="170">
        <f t="shared" si="938"/>
        <v>0.9010765017814768</v>
      </c>
      <c r="F263" s="170">
        <f t="shared" si="938"/>
        <v>9.7235884863876756E-2</v>
      </c>
      <c r="G263" s="170">
        <f t="shared" si="938"/>
        <v>-0.42261841019055851</v>
      </c>
      <c r="H263" s="139"/>
      <c r="I263" s="86"/>
      <c r="J263" s="79">
        <f t="shared" si="936"/>
        <v>5.2380000000000004</v>
      </c>
      <c r="AL263">
        <v>-7.9667057092249562</v>
      </c>
      <c r="AM263">
        <v>-0.92840057893506456</v>
      </c>
      <c r="AN263">
        <v>-1.9064142633177332</v>
      </c>
      <c r="AO263">
        <v>-0.90021565067510878</v>
      </c>
      <c r="AP263">
        <v>-0.10490691896913547</v>
      </c>
      <c r="AQ263">
        <v>0.42261841019055701</v>
      </c>
      <c r="AR263">
        <v>0.26250000000000001</v>
      </c>
      <c r="AS263">
        <v>0.41199999999999998</v>
      </c>
      <c r="AT263">
        <v>5.2350000000000003</v>
      </c>
    </row>
    <row r="264" spans="5:46" x14ac:dyDescent="0.25">
      <c r="E264" s="170">
        <f t="shared" si="938"/>
        <v>-0.55403229322232361</v>
      </c>
      <c r="F264" s="170">
        <f t="shared" si="938"/>
        <v>-0.79124011523622384</v>
      </c>
      <c r="G264" s="170">
        <f t="shared" si="938"/>
        <v>0.25881904510252079</v>
      </c>
      <c r="H264" s="139"/>
      <c r="I264" s="86"/>
      <c r="J264" s="79">
        <f t="shared" si="936"/>
        <v>6.1109999999999998</v>
      </c>
      <c r="AL264">
        <v>-8.232582958928651</v>
      </c>
      <c r="AM264">
        <v>-0.88838251713010818</v>
      </c>
      <c r="AN264">
        <v>-2.591724324274526</v>
      </c>
      <c r="AO264">
        <v>-0.9010765017814768</v>
      </c>
      <c r="AP264">
        <v>-9.7235884863876756E-2</v>
      </c>
      <c r="AQ264">
        <v>0.42261841019055851</v>
      </c>
      <c r="AR264">
        <v>0.26250000000000001</v>
      </c>
      <c r="AS264">
        <v>0.41199999999999998</v>
      </c>
      <c r="AT264">
        <v>5.2380000000000004</v>
      </c>
    </row>
    <row r="265" spans="5:46" x14ac:dyDescent="0.25">
      <c r="E265" s="170">
        <f t="shared" si="938"/>
        <v>-0.55403229322232361</v>
      </c>
      <c r="F265" s="170">
        <f t="shared" si="938"/>
        <v>-0.79124011523622384</v>
      </c>
      <c r="G265" s="170">
        <f t="shared" si="938"/>
        <v>0.25881904510252085</v>
      </c>
      <c r="H265" s="139"/>
      <c r="I265" s="86"/>
      <c r="J265" s="79">
        <f t="shared" si="936"/>
        <v>6.1139999999999999</v>
      </c>
      <c r="AL265">
        <v>-2.2763416158746796</v>
      </c>
      <c r="AM265">
        <v>1.5939115589759223</v>
      </c>
      <c r="AN265">
        <v>-0.55310000000000004</v>
      </c>
      <c r="AO265">
        <v>0.55403229322232361</v>
      </c>
      <c r="AP265">
        <v>0.79124011523622384</v>
      </c>
      <c r="AQ265">
        <v>-0.25881904510252079</v>
      </c>
      <c r="AR265">
        <v>0.314</v>
      </c>
      <c r="AS265">
        <v>0.52</v>
      </c>
      <c r="AT265">
        <v>6.1109999999999998</v>
      </c>
    </row>
    <row r="266" spans="5:46" x14ac:dyDescent="0.25">
      <c r="E266" s="170">
        <f t="shared" si="938"/>
        <v>-0.57719944991447636</v>
      </c>
      <c r="F266" s="170">
        <f t="shared" si="938"/>
        <v>-0.77453332977794709</v>
      </c>
      <c r="G266" s="170">
        <f t="shared" si="938"/>
        <v>0.25872556132224761</v>
      </c>
      <c r="H266" s="139"/>
      <c r="I266" s="86"/>
      <c r="J266" s="79">
        <f t="shared" si="936"/>
        <v>6.117</v>
      </c>
      <c r="AL266">
        <v>-2.885790736825689</v>
      </c>
      <c r="AM266">
        <v>2.0206524276211004</v>
      </c>
      <c r="AN266">
        <v>-0.3538</v>
      </c>
      <c r="AO266">
        <v>0.55403229322232361</v>
      </c>
      <c r="AP266">
        <v>0.79124011523622384</v>
      </c>
      <c r="AQ266">
        <v>-0.25881904510252085</v>
      </c>
      <c r="AR266">
        <v>0.314</v>
      </c>
      <c r="AS266">
        <v>0.52</v>
      </c>
      <c r="AT266">
        <v>6.1139999999999999</v>
      </c>
    </row>
    <row r="267" spans="5:46" x14ac:dyDescent="0.25">
      <c r="E267" s="170">
        <f t="shared" si="938"/>
        <v>-0.6103951758849907</v>
      </c>
      <c r="F267" s="170">
        <f t="shared" si="938"/>
        <v>-0.74879344014836191</v>
      </c>
      <c r="G267" s="170">
        <f t="shared" si="938"/>
        <v>0.25831398190402471</v>
      </c>
      <c r="H267" s="139"/>
      <c r="I267" s="86"/>
      <c r="J267" s="79">
        <f t="shared" si="936"/>
        <v>6.12</v>
      </c>
      <c r="AL267">
        <v>-3.4915357340830293</v>
      </c>
      <c r="AM267">
        <v>2.4538924136198954</v>
      </c>
      <c r="AN267">
        <v>-0.1552</v>
      </c>
      <c r="AO267">
        <v>0.57719944991447636</v>
      </c>
      <c r="AP267">
        <v>0.77453332977794709</v>
      </c>
      <c r="AQ267">
        <v>-0.25872556132224761</v>
      </c>
      <c r="AR267">
        <v>0.314</v>
      </c>
      <c r="AS267">
        <v>0.52</v>
      </c>
      <c r="AT267">
        <v>6.117</v>
      </c>
    </row>
    <row r="268" spans="5:46" x14ac:dyDescent="0.25">
      <c r="E268" s="170">
        <f t="shared" si="938"/>
        <v>-0.67468063589032978</v>
      </c>
      <c r="F268" s="170">
        <f t="shared" si="938"/>
        <v>-0.6980991901441238</v>
      </c>
      <c r="G268" s="170">
        <f t="shared" si="938"/>
        <v>0.23971558204409413</v>
      </c>
      <c r="H268" s="139"/>
      <c r="I268" s="86"/>
      <c r="J268" s="79">
        <f t="shared" si="936"/>
        <v>6.1230000000000002</v>
      </c>
      <c r="AL268">
        <v>-4.1024535203536674</v>
      </c>
      <c r="AM268">
        <v>2.9240915723242642</v>
      </c>
      <c r="AN268">
        <v>-0.06</v>
      </c>
      <c r="AO268">
        <v>0.6103951758849907</v>
      </c>
      <c r="AP268">
        <v>0.74879344014836191</v>
      </c>
      <c r="AQ268">
        <v>-0.25831398190402471</v>
      </c>
      <c r="AR268">
        <v>0.314</v>
      </c>
      <c r="AS268">
        <v>0.52</v>
      </c>
      <c r="AT268">
        <v>6.12</v>
      </c>
    </row>
    <row r="269" spans="5:46" x14ac:dyDescent="0.25">
      <c r="E269" s="170">
        <f t="shared" si="938"/>
        <v>-0.73284920591583291</v>
      </c>
      <c r="F269" s="170">
        <f t="shared" si="938"/>
        <v>-0.64873477227420451</v>
      </c>
      <c r="G269" s="170">
        <f t="shared" si="938"/>
        <v>0.20512249177228062</v>
      </c>
      <c r="H269" s="139"/>
      <c r="I269" s="86"/>
      <c r="J269" s="79">
        <f t="shared" si="936"/>
        <v>6.1260000000000003</v>
      </c>
      <c r="AL269">
        <v>-4.6824009706759844</v>
      </c>
      <c r="AM269">
        <v>3.4032122178630861</v>
      </c>
      <c r="AN269">
        <v>-0.13879999999999995</v>
      </c>
      <c r="AO269">
        <v>0.67468063589032978</v>
      </c>
      <c r="AP269">
        <v>0.6980991901441238</v>
      </c>
      <c r="AQ269">
        <v>-0.23971558204409413</v>
      </c>
      <c r="AR269">
        <v>0.314</v>
      </c>
      <c r="AS269">
        <v>0.52</v>
      </c>
      <c r="AT269">
        <v>6.1230000000000002</v>
      </c>
    </row>
    <row r="270" spans="5:46" x14ac:dyDescent="0.25">
      <c r="E270" s="170">
        <f t="shared" si="938"/>
        <v>-0.78086471131988178</v>
      </c>
      <c r="F270" s="170">
        <f t="shared" si="938"/>
        <v>-0.60462888895007438</v>
      </c>
      <c r="G270" s="170">
        <f t="shared" si="938"/>
        <v>0.15708026375810649</v>
      </c>
      <c r="H270" s="139"/>
      <c r="I270" s="86"/>
      <c r="J270" s="79">
        <f t="shared" si="936"/>
        <v>6.1289999999999996</v>
      </c>
      <c r="AL270">
        <v>-5.2093691655598864</v>
      </c>
      <c r="AM270">
        <v>3.8702298364456218</v>
      </c>
      <c r="AN270">
        <v>-0.37560000000000004</v>
      </c>
      <c r="AO270">
        <v>0.73284920591583291</v>
      </c>
      <c r="AP270">
        <v>0.64873477227420451</v>
      </c>
      <c r="AQ270">
        <v>-0.20512249177228062</v>
      </c>
      <c r="AR270">
        <v>0.314</v>
      </c>
      <c r="AS270">
        <v>0.52</v>
      </c>
      <c r="AT270">
        <v>6.1260000000000003</v>
      </c>
    </row>
    <row r="271" spans="5:46" x14ac:dyDescent="0.25">
      <c r="E271" s="170">
        <f t="shared" si="938"/>
        <v>-0.81608831964910356</v>
      </c>
      <c r="F271" s="170">
        <f t="shared" si="938"/>
        <v>-0.56915608809882701</v>
      </c>
      <c r="G271" s="170">
        <f t="shared" si="938"/>
        <v>0.10030554277976421</v>
      </c>
      <c r="H271" s="139"/>
      <c r="I271" s="86"/>
      <c r="J271" s="79">
        <f t="shared" si="936"/>
        <v>6.1319999999999997</v>
      </c>
      <c r="AL271">
        <v>-5.6727267701847204</v>
      </c>
      <c r="AM271">
        <v>4.3058339762268609</v>
      </c>
      <c r="AN271">
        <v>-0.75859999999999994</v>
      </c>
      <c r="AO271">
        <v>0.78086471131988178</v>
      </c>
      <c r="AP271">
        <v>0.60462888895007438</v>
      </c>
      <c r="AQ271">
        <v>-0.15708026375810649</v>
      </c>
      <c r="AR271">
        <v>0.314</v>
      </c>
      <c r="AS271">
        <v>0.52</v>
      </c>
      <c r="AT271">
        <v>6.1289999999999996</v>
      </c>
    </row>
    <row r="272" spans="5:46" x14ac:dyDescent="0.25">
      <c r="E272" s="170">
        <f t="shared" si="938"/>
        <v>-0.86664961603771928</v>
      </c>
      <c r="F272" s="170">
        <f t="shared" si="938"/>
        <v>-0.48934627252072849</v>
      </c>
      <c r="G272" s="170">
        <f t="shared" si="938"/>
        <v>9.725568668074229E-2</v>
      </c>
      <c r="H272" s="139"/>
      <c r="I272" s="86"/>
      <c r="J272" s="79">
        <f t="shared" si="936"/>
        <v>6.1349999999999998</v>
      </c>
      <c r="AL272">
        <v>-6.053072069585216</v>
      </c>
      <c r="AM272">
        <v>4.6850995592844509</v>
      </c>
      <c r="AN272">
        <v>-1.2681999999999998</v>
      </c>
      <c r="AO272">
        <v>0.81608831964910356</v>
      </c>
      <c r="AP272">
        <v>0.56915608809882701</v>
      </c>
      <c r="AQ272">
        <v>-0.10030554277976421</v>
      </c>
      <c r="AR272">
        <v>0.314</v>
      </c>
      <c r="AS272">
        <v>0.52</v>
      </c>
      <c r="AT272">
        <v>6.1319999999999997</v>
      </c>
    </row>
    <row r="273" spans="5:46" x14ac:dyDescent="0.25">
      <c r="E273" s="170">
        <f t="shared" si="938"/>
        <v>-0.91126819152303673</v>
      </c>
      <c r="F273" s="170">
        <f t="shared" si="938"/>
        <v>-0.40516412632874516</v>
      </c>
      <c r="G273" s="170">
        <f t="shared" si="938"/>
        <v>7.3704232270600592E-2</v>
      </c>
      <c r="H273" s="139"/>
      <c r="I273" s="86"/>
      <c r="J273" s="79">
        <f t="shared" si="936"/>
        <v>6.1379999999999999</v>
      </c>
      <c r="AL273">
        <v>-6.3438483628908315</v>
      </c>
      <c r="AM273">
        <v>4.986740076307095</v>
      </c>
      <c r="AN273">
        <v>-1.8746999999999996</v>
      </c>
      <c r="AO273">
        <v>0.86664961603771928</v>
      </c>
      <c r="AP273">
        <v>0.48934627252072849</v>
      </c>
      <c r="AQ273">
        <v>-9.725568668074229E-2</v>
      </c>
      <c r="AR273">
        <v>0.314</v>
      </c>
      <c r="AS273">
        <v>0.52</v>
      </c>
      <c r="AT273">
        <v>6.1349999999999998</v>
      </c>
    </row>
    <row r="274" spans="5:46" x14ac:dyDescent="0.25">
      <c r="E274" s="170">
        <f t="shared" ref="E274:G293" si="939">E129*-1</f>
        <v>-0.94718030995909364</v>
      </c>
      <c r="F274" s="170">
        <f t="shared" si="939"/>
        <v>-0.32064077396819324</v>
      </c>
      <c r="G274" s="170">
        <f t="shared" si="939"/>
        <v>6.2413536090727972E-3</v>
      </c>
      <c r="H274" s="139"/>
      <c r="I274" s="86"/>
      <c r="J274" s="79">
        <f t="shared" si="936"/>
        <v>6.141</v>
      </c>
      <c r="AL274">
        <v>-6.5213194300515909</v>
      </c>
      <c r="AM274">
        <v>5.2059009067818023</v>
      </c>
      <c r="AN274">
        <v>-2.5530000000000004</v>
      </c>
      <c r="AO274">
        <v>0.91126819152303673</v>
      </c>
      <c r="AP274">
        <v>0.40516412632874516</v>
      </c>
      <c r="AQ274">
        <v>-7.3704232270600592E-2</v>
      </c>
      <c r="AR274">
        <v>0.314</v>
      </c>
      <c r="AS274">
        <v>0.52</v>
      </c>
      <c r="AT274">
        <v>6.1379999999999999</v>
      </c>
    </row>
    <row r="275" spans="5:46" x14ac:dyDescent="0.25">
      <c r="E275" s="170">
        <f t="shared" si="939"/>
        <v>-0.94763759469813857</v>
      </c>
      <c r="F275" s="170">
        <f t="shared" si="939"/>
        <v>-0.31931668371335875</v>
      </c>
      <c r="G275" s="170">
        <f t="shared" si="939"/>
        <v>4.4547297369491416E-3</v>
      </c>
      <c r="H275" s="139"/>
      <c r="I275" s="86"/>
      <c r="J275" s="79">
        <f t="shared" si="936"/>
        <v>6.1440000000000001</v>
      </c>
      <c r="AL275">
        <v>-6.6535735304226664</v>
      </c>
      <c r="AM275">
        <v>5.3764307644811034</v>
      </c>
      <c r="AN275">
        <v>-3.2459000000000007</v>
      </c>
      <c r="AO275">
        <v>0.94718030995909364</v>
      </c>
      <c r="AP275">
        <v>0.32064077396819324</v>
      </c>
      <c r="AQ275">
        <v>-6.2413536090727972E-3</v>
      </c>
      <c r="AR275">
        <v>0.26600000000000001</v>
      </c>
      <c r="AS275">
        <v>0.52</v>
      </c>
      <c r="AT275">
        <v>6.141</v>
      </c>
    </row>
    <row r="276" spans="5:46" x14ac:dyDescent="0.25">
      <c r="E276" s="170">
        <f t="shared" si="939"/>
        <v>1.7441496964503381E-7</v>
      </c>
      <c r="F276" s="170">
        <f t="shared" si="939"/>
        <v>1.4496669802097332E-7</v>
      </c>
      <c r="G276" s="170">
        <f t="shared" si="939"/>
        <v>-0.99999999999997435</v>
      </c>
      <c r="H276" s="139"/>
      <c r="I276" s="86"/>
      <c r="J276" s="79">
        <f t="shared" si="936"/>
        <v>6.2160000000000002</v>
      </c>
      <c r="AL276">
        <v>-6.6498184525382786</v>
      </c>
      <c r="AM276">
        <v>5.3810745245054328</v>
      </c>
      <c r="AN276">
        <v>-3.9310999999999989</v>
      </c>
      <c r="AO276">
        <v>0.94763759469813857</v>
      </c>
      <c r="AP276">
        <v>0.31931668371335875</v>
      </c>
      <c r="AQ276">
        <v>-4.4547297369491416E-3</v>
      </c>
      <c r="AR276">
        <v>0.26600000000000001</v>
      </c>
      <c r="AS276">
        <v>0.52</v>
      </c>
      <c r="AT276">
        <v>6.1440000000000001</v>
      </c>
    </row>
    <row r="277" spans="5:46" x14ac:dyDescent="0.25">
      <c r="E277" s="170">
        <f t="shared" si="939"/>
        <v>1.7337570502455844E-7</v>
      </c>
      <c r="F277" s="170">
        <f t="shared" si="939"/>
        <v>1.4620803705471402E-7</v>
      </c>
      <c r="G277" s="170">
        <f t="shared" si="939"/>
        <v>-0.99999999999997435</v>
      </c>
      <c r="H277" s="139"/>
      <c r="I277" s="86"/>
      <c r="J277" s="79">
        <f t="shared" si="936"/>
        <v>6.2190000000000003</v>
      </c>
      <c r="AL277">
        <v>-2.5688779963227448</v>
      </c>
      <c r="AM277">
        <v>3.0907152047127688</v>
      </c>
      <c r="AN277">
        <v>-0.24070147190697214</v>
      </c>
      <c r="AO277">
        <v>-1.7441496964503381E-7</v>
      </c>
      <c r="AP277">
        <v>-1.4496669802097332E-7</v>
      </c>
      <c r="AQ277">
        <v>0.99999999999997435</v>
      </c>
      <c r="AR277">
        <v>0.26250000000000001</v>
      </c>
      <c r="AS277">
        <v>0.41199999999999998</v>
      </c>
      <c r="AT277">
        <v>6.2160000000000002</v>
      </c>
    </row>
    <row r="278" spans="5:46" x14ac:dyDescent="0.25">
      <c r="E278" s="170">
        <f t="shared" si="939"/>
        <v>6.4805089542158939E-2</v>
      </c>
      <c r="F278" s="170">
        <f t="shared" si="939"/>
        <v>-7.754142525723319E-2</v>
      </c>
      <c r="G278" s="170">
        <f t="shared" si="939"/>
        <v>-0.99488071030576819</v>
      </c>
      <c r="H278" s="139"/>
      <c r="I278" s="86"/>
      <c r="J278" s="79">
        <f t="shared" si="936"/>
        <v>6.2220000000000004</v>
      </c>
      <c r="AL278">
        <v>-3.0839207858054611</v>
      </c>
      <c r="AM278">
        <v>3.6569599823482863</v>
      </c>
      <c r="AN278">
        <v>-9.1195362663213292E-2</v>
      </c>
      <c r="AO278">
        <v>-1.7337570502455844E-7</v>
      </c>
      <c r="AP278">
        <v>-1.4620803705471402E-7</v>
      </c>
      <c r="AQ278">
        <v>0.99999999999997435</v>
      </c>
      <c r="AR278">
        <v>0.26250000000000001</v>
      </c>
      <c r="AS278">
        <v>0.41199999999999998</v>
      </c>
      <c r="AT278">
        <v>6.2190000000000003</v>
      </c>
    </row>
    <row r="279" spans="5:46" x14ac:dyDescent="0.25">
      <c r="E279" s="170">
        <f t="shared" si="939"/>
        <v>0.8007162869441028</v>
      </c>
      <c r="F279" s="170">
        <f t="shared" si="939"/>
        <v>0.39587981000046124</v>
      </c>
      <c r="G279" s="170">
        <f t="shared" si="939"/>
        <v>-0.44959159673691412</v>
      </c>
      <c r="H279" s="139"/>
      <c r="I279" s="86"/>
      <c r="J279" s="79">
        <f t="shared" si="936"/>
        <v>6.2249999999999996</v>
      </c>
      <c r="AL279">
        <v>-3.551984638744941</v>
      </c>
      <c r="AM279">
        <v>4.2500860584972155</v>
      </c>
      <c r="AN279">
        <v>-0.1144319609149535</v>
      </c>
      <c r="AO279">
        <v>-6.4805089542158939E-2</v>
      </c>
      <c r="AP279">
        <v>7.754142525723319E-2</v>
      </c>
      <c r="AQ279">
        <v>0.99488071030576819</v>
      </c>
      <c r="AR279">
        <v>0.26250000000000001</v>
      </c>
      <c r="AS279">
        <v>0.41199999999999998</v>
      </c>
      <c r="AT279">
        <v>6.2220000000000004</v>
      </c>
    </row>
    <row r="280" spans="5:46" x14ac:dyDescent="0.25">
      <c r="E280" s="170">
        <f t="shared" si="939"/>
        <v>0.86304307015652326</v>
      </c>
      <c r="F280" s="170">
        <f t="shared" si="939"/>
        <v>0.31773577928078867</v>
      </c>
      <c r="G280" s="170">
        <f t="shared" si="939"/>
        <v>-0.39268388510305907</v>
      </c>
      <c r="H280" s="139"/>
      <c r="I280" s="86"/>
      <c r="J280" s="79">
        <f t="shared" si="936"/>
        <v>6.2279999999999998</v>
      </c>
      <c r="AL280">
        <v>-4.1953036763230012</v>
      </c>
      <c r="AM280">
        <v>4.6567419593056023</v>
      </c>
      <c r="AN280">
        <v>-0.2907313407497733</v>
      </c>
      <c r="AO280">
        <v>-0.8007162869441028</v>
      </c>
      <c r="AP280">
        <v>-0.39587981000046124</v>
      </c>
      <c r="AQ280">
        <v>0.44959159673691412</v>
      </c>
      <c r="AR280">
        <v>0.26600000000000001</v>
      </c>
      <c r="AS280">
        <v>0.52</v>
      </c>
      <c r="AT280">
        <v>6.2249999999999996</v>
      </c>
    </row>
    <row r="281" spans="5:46" x14ac:dyDescent="0.25">
      <c r="E281" s="170">
        <f t="shared" si="939"/>
        <v>0.91367769869555771</v>
      </c>
      <c r="F281" s="170">
        <f t="shared" si="939"/>
        <v>0.25039022215650081</v>
      </c>
      <c r="G281" s="170">
        <f t="shared" si="939"/>
        <v>-0.32015277533516406</v>
      </c>
      <c r="H281" s="139"/>
      <c r="I281" s="86"/>
      <c r="J281" s="79">
        <f t="shared" si="936"/>
        <v>6.2309999999999999</v>
      </c>
      <c r="AL281">
        <v>-4.601200119818099</v>
      </c>
      <c r="AM281">
        <v>5.1819109968130999</v>
      </c>
      <c r="AN281">
        <v>-0.62810490732605206</v>
      </c>
      <c r="AO281">
        <v>-0.86304307015652326</v>
      </c>
      <c r="AP281">
        <v>-0.31773577928078867</v>
      </c>
      <c r="AQ281">
        <v>0.39268388510305907</v>
      </c>
      <c r="AR281">
        <v>0.26600000000000001</v>
      </c>
      <c r="AS281">
        <v>0.52</v>
      </c>
      <c r="AT281">
        <v>6.2279999999999998</v>
      </c>
    </row>
    <row r="282" spans="5:46" x14ac:dyDescent="0.25">
      <c r="E282" s="170">
        <f t="shared" si="939"/>
        <v>0.54373542097754168</v>
      </c>
      <c r="F282" s="170">
        <f t="shared" si="939"/>
        <v>-0.72508307892432611</v>
      </c>
      <c r="G282" s="170">
        <f t="shared" si="939"/>
        <v>-0.42261841019055829</v>
      </c>
      <c r="H282" s="139"/>
      <c r="I282" s="86"/>
      <c r="J282" s="79">
        <f t="shared" si="936"/>
        <v>6.234</v>
      </c>
      <c r="AL282">
        <v>-4.9387615233843798</v>
      </c>
      <c r="AM282">
        <v>5.646870023396878</v>
      </c>
      <c r="AN282">
        <v>-1.099885734928949</v>
      </c>
      <c r="AO282">
        <v>-0.91367769869555771</v>
      </c>
      <c r="AP282">
        <v>-0.25039022215650081</v>
      </c>
      <c r="AQ282">
        <v>0.32015277533516406</v>
      </c>
      <c r="AR282">
        <v>0.26600000000000001</v>
      </c>
      <c r="AS282">
        <v>0.52</v>
      </c>
      <c r="AT282">
        <v>6.2309999999999999</v>
      </c>
    </row>
    <row r="283" spans="5:46" x14ac:dyDescent="0.25">
      <c r="E283" s="170">
        <f t="shared" si="939"/>
        <v>0.53659722050558833</v>
      </c>
      <c r="F283" s="170">
        <f t="shared" si="939"/>
        <v>-0.73038147725259461</v>
      </c>
      <c r="G283" s="170">
        <f t="shared" si="939"/>
        <v>-0.42261841019055812</v>
      </c>
      <c r="H283" s="139"/>
      <c r="I283" s="86"/>
      <c r="J283" s="79">
        <f t="shared" ref="J283:J295" si="940">J138</f>
        <v>6.2370000000000001</v>
      </c>
      <c r="AL283">
        <v>-4.7402928993988622</v>
      </c>
      <c r="AM283">
        <v>6.3212875781994935</v>
      </c>
      <c r="AN283">
        <v>-1.689823646140024</v>
      </c>
      <c r="AO283">
        <v>-0.54373542097754168</v>
      </c>
      <c r="AP283">
        <v>0.72508307892432611</v>
      </c>
      <c r="AQ283">
        <v>0.42261841019055829</v>
      </c>
      <c r="AR283">
        <v>0.26250000000000001</v>
      </c>
      <c r="AS283">
        <v>0.41199999999999998</v>
      </c>
      <c r="AT283">
        <v>6.234</v>
      </c>
    </row>
    <row r="284" spans="5:46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  <c r="AL284">
        <v>-4.8608851935503123</v>
      </c>
      <c r="AM284">
        <v>6.6163264264765518</v>
      </c>
      <c r="AN284">
        <v>-2.3542412741855276</v>
      </c>
      <c r="AO284">
        <v>-0.53659722050558833</v>
      </c>
      <c r="AP284">
        <v>0.73038147725259461</v>
      </c>
      <c r="AQ284">
        <v>0.42261841019055812</v>
      </c>
      <c r="AR284">
        <v>0.26250000000000001</v>
      </c>
      <c r="AS284">
        <v>0.41199999999999998</v>
      </c>
      <c r="AT284">
        <v>6.2370000000000001</v>
      </c>
    </row>
    <row r="285" spans="5:46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46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46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46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9C0478B3-DEF4-4EE4-83E1-70B729FC4C8E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730D2D9A-9EAB-456A-9C96-47BF2139B055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17.5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1.125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1.1279999999999999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1.131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1.1339999999999999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1.137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1.1399999999999999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1.143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1.1459999999999999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1.218</v>
      </c>
      <c r="N180" s="869" t="str">
        <f>Assy.Model!K25</f>
        <v>Inactive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1.2210000000000001</v>
      </c>
      <c r="N181" s="869" t="str">
        <f>Assy.Model!K26</f>
        <v>Inactive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1.224</v>
      </c>
      <c r="N182" s="869" t="str">
        <f>Assy.Model!K27</f>
        <v>Inactive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1.2270000000000001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1.23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1.2330000000000001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1.236</v>
      </c>
      <c r="N186" s="869" t="str">
        <f>Assy.Model!K31</f>
        <v>Inactive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1.2390000000000001</v>
      </c>
      <c r="N187" s="869" t="str">
        <f>Assy.Model!K32</f>
        <v>Inactive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2.1120000000000001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2.1150000000000002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2.1179999999999999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2.121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2.1240000000000001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2.1269999999999998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2.13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2.133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2.1360000000000001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2.1389999999999998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2.1419999999999999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2.145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2.2170000000000001</v>
      </c>
      <c r="N200" s="869" t="str">
        <f>Assy.Model!K45</f>
        <v>Inactive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2.2200000000000002</v>
      </c>
      <c r="N201" s="869" t="str">
        <f>Assy.Model!K46</f>
        <v>Inactive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2.2229999999999999</v>
      </c>
      <c r="N202" s="869" t="str">
        <f>Assy.Model!K47</f>
        <v>Inactive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2.226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2.2290000000000001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2.2320000000000002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2.2349999999999999</v>
      </c>
      <c r="N206" s="869" t="str">
        <f>Assy.Model!K51</f>
        <v>Inactive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2.238</v>
      </c>
      <c r="N207" s="869" t="str">
        <f>Assy.Model!K52</f>
        <v>Inactive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3.1019999999999999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3.105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3.1080000000000001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3.1110000000000002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3.1139999999999999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3.117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3.12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3.1230000000000002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3.1259999999999999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3.129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3.1320000000000001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3.1349999999999998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3.1379999999999999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3.141</v>
      </c>
      <c r="N221" s="869">
        <f>Assy.Model!K66</f>
        <v>1313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3.1440000000000001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3.2160000000000002</v>
      </c>
      <c r="N223" s="869" t="str">
        <f>Assy.Model!K68</f>
        <v>Inactive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3.2189999999999999</v>
      </c>
      <c r="N224" s="869" t="str">
        <f>Assy.Model!K69</f>
        <v>Inactive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3.222</v>
      </c>
      <c r="N225" s="869" t="str">
        <f>Assy.Model!K70</f>
        <v>Inactive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3.2250000000000001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3.2280000000000002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3.2309999999999999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3.234</v>
      </c>
      <c r="N229" s="869" t="str">
        <f>Assy.Model!K74</f>
        <v>Inactive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3.2370000000000001</v>
      </c>
      <c r="N230" s="869" t="str">
        <f>Assy.Model!K75</f>
        <v>Inactive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4.1130000000000004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4.1159999999999997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4.1189999999999998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4.1219999999999999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4.125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4.1280000000000001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4.1310000000000002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4.1340000000000003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4.1369999999999996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4.1399999999999997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4.1429999999999998</v>
      </c>
      <c r="N241" s="869">
        <f>Assy.Model!K86</f>
        <v>1313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4.1459999999999999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4.218</v>
      </c>
      <c r="N243" s="869" t="str">
        <f>Assy.Model!K88</f>
        <v>Inactive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4.2210000000000001</v>
      </c>
      <c r="N244" s="869" t="str">
        <f>Assy.Model!K89</f>
        <v>Inactive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4.2240000000000002</v>
      </c>
      <c r="N245" s="869" t="str">
        <f>Assy.Model!K90</f>
        <v>Inactive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4.2270000000000003</v>
      </c>
      <c r="N246" s="869">
        <f>Assy.Model!K91</f>
        <v>1313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4.2300000000000004</v>
      </c>
      <c r="N247" s="869">
        <f>Assy.Model!K92</f>
        <v>1313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4.2329999999999997</v>
      </c>
      <c r="N248" s="869">
        <f>Assy.Model!K93</f>
        <v>1313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4.2359999999999998</v>
      </c>
      <c r="N249" s="869" t="str">
        <f>Assy.Model!K94</f>
        <v>Inactive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4.2389999999999999</v>
      </c>
      <c r="N250" s="869" t="str">
        <f>Assy.Model!K95</f>
        <v>Inactive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5.1029999999999998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5.1059999999999999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5.109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5.1120000000000001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5.1150000000000002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5.1180000000000003</v>
      </c>
      <c r="N256" s="869">
        <f>Assy.Model!K101</f>
        <v>1613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5.1210000000000004</v>
      </c>
      <c r="N257" s="869">
        <f>Assy.Model!K102</f>
        <v>1613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5.1239999999999997</v>
      </c>
      <c r="N258" s="869">
        <f>Assy.Model!K103</f>
        <v>1613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5.1269999999999998</v>
      </c>
      <c r="N259" s="869">
        <f>Assy.Model!K104</f>
        <v>1613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5.13</v>
      </c>
      <c r="N260" s="869">
        <f>Assy.Model!K105</f>
        <v>1613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5.133</v>
      </c>
      <c r="N261" s="869">
        <f>Assy.Model!K106</f>
        <v>1613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5.1360000000000001</v>
      </c>
      <c r="N262" s="869">
        <f>Assy.Model!K107</f>
        <v>1613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5.1390000000000002</v>
      </c>
      <c r="N263" s="869">
        <f>Assy.Model!K108</f>
        <v>1613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5.1420000000000003</v>
      </c>
      <c r="N264" s="869">
        <f>Assy.Model!K109</f>
        <v>1313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5.1449999999999996</v>
      </c>
      <c r="N265" s="869">
        <f>Assy.Model!K110</f>
        <v>1313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5.2169999999999996</v>
      </c>
      <c r="N266" s="869" t="str">
        <f>Assy.Model!K111</f>
        <v>Inactive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5.22</v>
      </c>
      <c r="N267" s="869" t="str">
        <f>Assy.Model!K112</f>
        <v>Inactive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>
        <f>Assy.Model!$M113</f>
        <v>5.2229999999999999</v>
      </c>
      <c r="N268" s="869" t="str">
        <f>Assy.Model!K113</f>
        <v>Inactive</v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>
        <f>Assy.Model!$M114</f>
        <v>5.226</v>
      </c>
      <c r="N269" s="869">
        <f>Assy.Model!K114</f>
        <v>1313</v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>
        <f>Assy.Model!$M115</f>
        <v>5.2290000000000001</v>
      </c>
      <c r="N270" s="869">
        <f>Assy.Model!K115</f>
        <v>1313</v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>
        <f>Assy.Model!$M116</f>
        <v>5.2320000000000002</v>
      </c>
      <c r="N271" s="869">
        <f>Assy.Model!K116</f>
        <v>1313</v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>
        <f>Assy.Model!$M117</f>
        <v>5.2350000000000003</v>
      </c>
      <c r="N272" s="869" t="str">
        <f>Assy.Model!K117</f>
        <v>Inactive</v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>
        <f>Assy.Model!$M118</f>
        <v>5.2380000000000004</v>
      </c>
      <c r="N273" s="869" t="str">
        <f>Assy.Model!K118</f>
        <v>Inactive</v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>
        <f>Assy.Model!$M119</f>
        <v>6.1109999999999998</v>
      </c>
      <c r="N274" s="869">
        <f>Assy.Model!K119</f>
        <v>1613</v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>
        <f>Assy.Model!$M120</f>
        <v>6.1139999999999999</v>
      </c>
      <c r="N275" s="869">
        <f>Assy.Model!K120</f>
        <v>1613</v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>
        <f>Assy.Model!$M121</f>
        <v>6.117</v>
      </c>
      <c r="N276" s="869">
        <f>Assy.Model!K121</f>
        <v>1613</v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>
        <f>Assy.Model!$M122</f>
        <v>6.12</v>
      </c>
      <c r="N277" s="869">
        <f>Assy.Model!K122</f>
        <v>1613</v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>
        <f>Assy.Model!$M123</f>
        <v>6.1230000000000002</v>
      </c>
      <c r="N278" s="869">
        <f>Assy.Model!K123</f>
        <v>1613</v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>
        <f>Assy.Model!$M124</f>
        <v>6.1260000000000003</v>
      </c>
      <c r="N279" s="869">
        <f>Assy.Model!K124</f>
        <v>1613</v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>
        <f>Assy.Model!$M125</f>
        <v>6.1289999999999996</v>
      </c>
      <c r="N280" s="869">
        <f>Assy.Model!K125</f>
        <v>1613</v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>
        <f>Assy.Model!$M126</f>
        <v>6.1319999999999997</v>
      </c>
      <c r="N281" s="869">
        <f>Assy.Model!K126</f>
        <v>1613</v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>
        <f>Assy.Model!$M127</f>
        <v>6.1349999999999998</v>
      </c>
      <c r="N282" s="869">
        <f>Assy.Model!K127</f>
        <v>1613</v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>
        <f>Assy.Model!$M128</f>
        <v>6.1379999999999999</v>
      </c>
      <c r="N283" s="869">
        <f>Assy.Model!K128</f>
        <v>1613</v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>
        <f>Assy.Model!$M129</f>
        <v>6.141</v>
      </c>
      <c r="N284" s="869">
        <f>Assy.Model!K129</f>
        <v>1313</v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>
        <f>Assy.Model!$M130</f>
        <v>6.1440000000000001</v>
      </c>
      <c r="N285" s="869">
        <f>Assy.Model!K130</f>
        <v>1313</v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>
        <f>Assy.Model!$M131</f>
        <v>6.2160000000000002</v>
      </c>
      <c r="N286" s="869" t="str">
        <f>Assy.Model!K131</f>
        <v>Inactive</v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>
        <f>Assy.Model!$M132</f>
        <v>6.2190000000000003</v>
      </c>
      <c r="N287" s="869" t="str">
        <f>Assy.Model!K132</f>
        <v>Inactive</v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>
        <f>Assy.Model!$M133</f>
        <v>6.2220000000000004</v>
      </c>
      <c r="N288" s="869" t="str">
        <f>Assy.Model!K133</f>
        <v>Inactive</v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>
        <f>Assy.Model!$M134</f>
        <v>6.2249999999999996</v>
      </c>
      <c r="N289" s="869">
        <f>Assy.Model!K134</f>
        <v>1313</v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>
        <f>Assy.Model!$M135</f>
        <v>6.2279999999999998</v>
      </c>
      <c r="N290" s="869">
        <f>Assy.Model!K135</f>
        <v>1313</v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>
        <f>Assy.Model!$M136</f>
        <v>6.2309999999999999</v>
      </c>
      <c r="N291" s="869">
        <f>Assy.Model!K136</f>
        <v>1313</v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>
        <f>Assy.Model!$M137</f>
        <v>6.234</v>
      </c>
      <c r="N292" s="869" t="str">
        <f>Assy.Model!K137</f>
        <v>Inactive</v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>
        <f>Assy.Model!$M138</f>
        <v>6.2370000000000001</v>
      </c>
      <c r="N293" s="869" t="str">
        <f>Assy.Model!K138</f>
        <v>Inactive</v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2023-03-30T14:06:17Z</dcterms:modified>
</cp:coreProperties>
</file>