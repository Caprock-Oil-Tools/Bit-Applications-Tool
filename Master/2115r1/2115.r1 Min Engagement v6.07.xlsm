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15\"/>
    </mc:Choice>
  </mc:AlternateContent>
  <xr:revisionPtr revIDLastSave="0" documentId="13_ncr:1_{8F1A154B-74DB-4365-A217-E8794D9E9B2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K11" i="1"/>
  <c r="IY11" i="1"/>
  <c r="IT11" i="1"/>
  <c r="IQ11" i="1"/>
  <c r="IX11" i="1"/>
  <c r="IP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R11" i="1" l="1"/>
  <c r="IL11" i="1"/>
  <c r="IS11" i="1"/>
  <c r="JA9" i="1" a="1"/>
  <c r="JA9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9" i="1" l="1"/>
  <c r="IU15" i="1"/>
  <c r="IE15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IL15" i="1" s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IT15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IF15" i="1" s="1"/>
  <c r="AO16" i="1"/>
  <c r="AP16" i="1"/>
  <c r="AO13" i="1"/>
  <c r="AP13" i="1"/>
  <c r="AO14" i="1"/>
  <c r="IS20" i="1" s="1"/>
  <c r="AP14" i="1"/>
  <c r="AP11" i="1"/>
  <c r="AO12" i="1"/>
  <c r="IS15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1" i="1" l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<sst xmlns="http://schemas.openxmlformats.org/spreadsheetml/2006/main" count="734" uniqueCount="391">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</sst>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6.75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24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1.113's θ about Z Axis</v>
      </c>
      <c r="U5" s="1021"/>
      <c r="V5" s="1072"/>
      <c r="W5" s="1021" t="str">
        <f>CONCATENATE("Relative to ",M8,"'s θ about Z Axis")</f>
        <v>Relative to 1.113's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1.113's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86.862100453056641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-0.46990141722267431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0.34240103268151456</v>
      </c>
      <c r="D9" s="704">
        <v>-0.26970081341765328</v>
      </c>
      <c r="E9" s="705">
        <v>-0.90630781366099955</v>
      </c>
      <c r="F9" s="703">
        <v>-7.3386870597457673E-2</v>
      </c>
      <c r="G9" s="706">
        <v>0.41619768634740262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0.34240103268151456</v>
      </c>
      <c r="P9" s="625">
        <f t="shared" ref="P9:P40" si="4">IF(M9="","",D9)</f>
        <v>-0.26970081341765328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0.34240103268151456</v>
      </c>
      <c r="S9" s="626">
        <f>IF(M9="","",P9)</f>
        <v>-0.26970081341765328</v>
      </c>
      <c r="T9" s="627">
        <f>IF(M9="","",X9*COS(RADIANS(W9)))</f>
        <v>0.34188766405503801</v>
      </c>
      <c r="U9" s="624">
        <f>IF(M9="","",X9*SIN(RADIANS(W9)))</f>
        <v>1.8742794571703639E-2</v>
      </c>
      <c r="V9" s="628">
        <f>IF(M9="","",Y9)</f>
        <v>-0.26970081341765328</v>
      </c>
      <c r="W9" s="583">
        <f t="shared" ref="W9:W14" si="5">IF(M9="","",IF(Q9-$Q$8&lt;0,360+Q9-$Q$8,Q9-$Q$8))</f>
        <v>3.137899546943359</v>
      </c>
      <c r="X9" s="629">
        <f>IF(M9="","",R9)</f>
        <v>0.34240103268151456</v>
      </c>
      <c r="Y9" s="630">
        <f>IF(M9="","",S9)</f>
        <v>-0.26970081341765328</v>
      </c>
      <c r="Z9" s="623">
        <f t="shared" ref="Z9:Z40" si="6">IF(M9="","",-E9)</f>
        <v>0.90630781366099955</v>
      </c>
      <c r="AA9" s="624">
        <f t="shared" ref="AA9:AA40" si="7">IF(M9="","",-F9)</f>
        <v>7.3386870597457673E-2</v>
      </c>
      <c r="AB9" s="624">
        <f t="shared" ref="AB9:AB40" si="8">IF(M9="","",-G9)</f>
        <v>-0.41619768634740262</v>
      </c>
      <c r="AC9" s="628">
        <f>IF(M9="","",SQRT(Z9^2+AA9^2+AB9^2))</f>
        <v>1</v>
      </c>
      <c r="AD9" s="631">
        <f>IF(M9="","",Z9*(1/SQRT(Z9^2+AA9^2+AB9^2)))</f>
        <v>0.90630781366099955</v>
      </c>
      <c r="AE9" s="624">
        <f>IF(M9="","",AA9*(1/SQRT(Z9^2+AA9^2+AB9^2)))</f>
        <v>7.3386870597457673E-2</v>
      </c>
      <c r="AF9" s="625">
        <f>IF(M9="","",AB9*(1/SQRT(Z9^2+AA9^2+AB9^2)))</f>
        <v>-0.41619768634740262</v>
      </c>
      <c r="AG9" s="599">
        <f>IF(M9="","",DEGREES(ATAN2(-AF9,AE9)))</f>
        <v>9.9999985561788396</v>
      </c>
      <c r="AH9" s="600">
        <f>IF(M9="","",DEGREES(ACOS(AD9)))</f>
        <v>24.999996390447112</v>
      </c>
      <c r="AI9" s="583">
        <f>IF(M9="","",DEGREES(-ACOS(-AF9)))</f>
        <v>-65.405236833866326</v>
      </c>
      <c r="AJ9" s="601">
        <f>IF(M9="","",DEGREES(ATAN2(-AE9,AD9)))</f>
        <v>94.629336854056319</v>
      </c>
      <c r="AK9" s="627">
        <f>IF(M9="","",(COS(RADIANS((90-$Q$8)-W9))*AD9)+(-SIN(RADIANS((90-$Q$8)-W9))*AE9))</f>
        <v>0.90630781366099955</v>
      </c>
      <c r="AL9" s="624">
        <f>IF(M9="","",(SIN(RADIANS((90-$Q$8)-W9))*AD9)+(COS(RADIANS((90-$Q$8)-W9))*AE9))</f>
        <v>7.3386870597457673E-2</v>
      </c>
      <c r="AM9" s="626">
        <f>IF(M9="","",AF9)</f>
        <v>-0.41619768634740262</v>
      </c>
      <c r="AN9" s="581">
        <f>IF(M9="","",DEGREES(ATAN2(-AM9,AL9)))</f>
        <v>9.9999985561788396</v>
      </c>
      <c r="AO9" s="582">
        <f>IF(ROUND(IF(M9="",0,DEGREES(ACOS(AK9))),4)=90,0,IF(M9="","",DEGREES(ACOS(AK9))))</f>
        <v>24.999996390447112</v>
      </c>
      <c r="AP9" s="781">
        <f>IF(M9="","",DEGREES(ATAN2(AK9,AL9)))</f>
        <v>4.6293368540563282</v>
      </c>
      <c r="AQ9" s="584">
        <f t="shared" ref="AQ9:AQ40" si="9">IF(M9="","",DEGREES(ATAN(($AS$5*SIN(RADIANS(90)))/(($X9*2*PI())-($AS$5*COS(RADIANS(90)))))))</f>
        <v>6.6283312344282139</v>
      </c>
      <c r="AS9" s="51">
        <f>IF(M9="","",W9)</f>
        <v>3.137899546943359</v>
      </c>
      <c r="AT9" s="71">
        <f t="shared" ref="AT9:AT40" si="10">IF(M9="","",Y9+(((AS9-$AS$9)*$AS$6)*-1))</f>
        <v>-0.26970081341765328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19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1.1591378088512715E-3</v>
      </c>
      <c r="C10" s="708">
        <v>1.1425028577830609</v>
      </c>
      <c r="D10" s="709">
        <v>-0.12860038785876982</v>
      </c>
      <c r="E10" s="710">
        <v>-0.97623192729004094</v>
      </c>
      <c r="F10" s="708">
        <v>-2.3347442871420036E-2</v>
      </c>
      <c r="G10" s="711">
        <v>0.21546721572187807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1.1591378088512715E-3</v>
      </c>
      <c r="O10" s="629">
        <f t="shared" si="3"/>
        <v>1.1425028577830609</v>
      </c>
      <c r="P10" s="633">
        <f t="shared" si="4"/>
        <v>-0.12860038785876982</v>
      </c>
      <c r="Q10" s="585">
        <f>IF(M10="","",IF(DEGREES(ATAN2(N10,O10))&lt;0,DEGREES(ATAN2(N10,O10))+360,IF(DEGREES(ATAN2(N10,O10))&gt;360,DEGREES(ATAN2(N10,O10))-360,DEGREES(ATAN2(N10,O10)))))</f>
        <v>89.941870008392939</v>
      </c>
      <c r="R10" s="629">
        <f t="shared" ref="R10:R105" si="79">IF(M10="","",SQRT(N10^2+O10^2))</f>
        <v>1.1425034457903929</v>
      </c>
      <c r="S10" s="634">
        <f t="shared" ref="S10:S105" si="80">IF(M10="","",P10)</f>
        <v>-0.12860038785876982</v>
      </c>
      <c r="T10" s="635">
        <f t="shared" ref="T10:T105" si="81">IF(M10="","",X10*COS(RADIANS(W10)))</f>
        <v>1.1408533310962083</v>
      </c>
      <c r="U10" s="629">
        <f t="shared" ref="U10:U105" si="82">IF(M10="","",X10*SIN(RADIANS(W10)))</f>
        <v>6.1382412543059303E-2</v>
      </c>
      <c r="V10" s="636">
        <f>IF(M10="","",Y10)</f>
        <v>-0.12860038785876982</v>
      </c>
      <c r="W10" s="585">
        <f t="shared" si="5"/>
        <v>3.0797695553362985</v>
      </c>
      <c r="X10" s="629">
        <f t="shared" ref="X10:X105" si="83">IF(M10="","",R10)</f>
        <v>1.1425034457903929</v>
      </c>
      <c r="Y10" s="630">
        <f>IF(M10="","",S10)</f>
        <v>-0.12860038785876982</v>
      </c>
      <c r="Z10" s="632">
        <f t="shared" si="6"/>
        <v>0.97623192729004094</v>
      </c>
      <c r="AA10" s="629">
        <f t="shared" si="7"/>
        <v>2.3347442871420036E-2</v>
      </c>
      <c r="AB10" s="629">
        <f t="shared" si="8"/>
        <v>-0.21546721572187807</v>
      </c>
      <c r="AC10" s="636">
        <f t="shared" ref="AC10:AC105" si="84">IF(M10="","",SQRT(Z10^2+AA10^2+AB10^2))</f>
        <v>1</v>
      </c>
      <c r="AD10" s="637">
        <f>IF(M10="","",Z10*(1/SQRT(Z10^2+AA10^2+AB10^2)))</f>
        <v>0.97623192729004094</v>
      </c>
      <c r="AE10" s="629">
        <f t="shared" ref="AE10:AE105" si="85">IF(M10="","",AA10*(1/SQRT(Z10^2+AA10^2+AB10^2)))</f>
        <v>2.3347442871420036E-2</v>
      </c>
      <c r="AF10" s="633">
        <f t="shared" ref="AF10:AF105" si="86">IF(M10="","",AB10*(1/SQRT(Z10^2+AA10^2+AB10^2)))</f>
        <v>-0.21546721572187807</v>
      </c>
      <c r="AG10" s="602">
        <f t="shared" ref="AG10:AG105" si="87">IF(M10="","",DEGREES(ATAN2(-AF10,AE10)))</f>
        <v>6.1842866699573786</v>
      </c>
      <c r="AH10" s="603">
        <f t="shared" ref="AH10:AH105" si="88">IF(M10="","",DEGREES(ACOS(AD10)))</f>
        <v>12.516951867060415</v>
      </c>
      <c r="AI10" s="585">
        <f t="shared" ref="AI10:AI105" si="89">IF(M10="","",DEGREES(-ACOS(-AF10)))</f>
        <v>-77.557060740623569</v>
      </c>
      <c r="AJ10" s="586">
        <f t="shared" ref="AJ10:AJ105" si="90">IF(M10="","",DEGREES(ATAN2(-AE10,AD10)))</f>
        <v>91.370017662918784</v>
      </c>
      <c r="AK10" s="635">
        <f>IF(M10="","",(COS(RADIANS((90-$Q$8)-W10))*AD10)+(-SIN(RADIANS((90-$Q$8)-W10))*AE10))</f>
        <v>0.97620773748527057</v>
      </c>
      <c r="AL10" s="629">
        <f t="shared" ref="AL10:AL105" si="91">IF(M10="","",(SIN(RADIANS((90-$Q$8)-W10))*AD10)+(COS(RADIANS((90-$Q$8)-W10))*AE10))</f>
        <v>2.4337876303223899E-2</v>
      </c>
      <c r="AM10" s="634">
        <f t="shared" ref="AM10:AM105" si="92">IF(M10="","",AF10)</f>
        <v>-0.21546721572187807</v>
      </c>
      <c r="AN10" s="581">
        <f t="shared" ref="AN10:AN105" si="93">IF(M10="","",DEGREES(ATAN2(-AM10,AL10)))</f>
        <v>6.4444706229175059</v>
      </c>
      <c r="AO10" s="582">
        <f t="shared" ref="AO10:AO54" si="94">IF(ROUND(IF(M10="",0,DEGREES(ACOS(AK10))),4)=90,0,IF(M10="","",DEGREES(ACOS(AK10))))</f>
        <v>12.523345238362184</v>
      </c>
      <c r="AP10" s="585">
        <f t="shared" ref="AP10:AP105" si="95">IF(M10="","",DEGREES(ATAN2(AK10,AL10)))</f>
        <v>1.4281476545258496</v>
      </c>
      <c r="AQ10" s="586">
        <f t="shared" si="9"/>
        <v>1.9945722342482926</v>
      </c>
      <c r="AS10" s="52">
        <f>IF($M10="","",IF(AND($W10&lt;($AS$9+180),$W10&gt;($AS$9-180)),$W10,IF($W10&gt;($AS$9+180),$W10-360,IF($W10&lt;($AS$9-180),$W10+360,"Error"))))</f>
        <v>3.0797695553362985</v>
      </c>
      <c r="AT10" s="72">
        <f t="shared" si="10"/>
        <v>-0.12856001980904269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5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5.09981620448966E-2</v>
      </c>
      <c r="C11" s="708">
        <v>2.0054577215646101</v>
      </c>
      <c r="D11" s="709">
        <v>-7.6200229819893162E-2</v>
      </c>
      <c r="E11" s="710">
        <v>-0.97031672858167761</v>
      </c>
      <c r="F11" s="708">
        <v>0.13689059794341291</v>
      </c>
      <c r="G11" s="711">
        <v>0.19936501806797974</v>
      </c>
      <c r="H11" s="710">
        <v>0.314</v>
      </c>
      <c r="I11" s="708">
        <v>0.52</v>
      </c>
      <c r="J11" s="570">
        <v>1.1080000000000001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1.1080000000000001</v>
      </c>
      <c r="N11" s="632">
        <f t="shared" si="2"/>
        <v>5.09981620448966E-2</v>
      </c>
      <c r="O11" s="629">
        <f t="shared" si="3"/>
        <v>2.0054577215646101</v>
      </c>
      <c r="P11" s="633">
        <f t="shared" si="4"/>
        <v>-7.6200229819893162E-2</v>
      </c>
      <c r="Q11" s="585">
        <f t="shared" ref="Q11:Q73" si="113">IF(M11="","",IF(DEGREES(ATAN2(N11,O11))&lt;0,DEGREES(ATAN2(N11,O11))+360,IF(DEGREES(ATAN2(N11,O11))&gt;360,DEGREES(ATAN2(N11,O11))-360,DEGREES(ATAN2(N11,O11)))))</f>
        <v>88.543300210321433</v>
      </c>
      <c r="R11" s="629">
        <f t="shared" si="79"/>
        <v>2.0061060504158483</v>
      </c>
      <c r="S11" s="634">
        <f t="shared" si="80"/>
        <v>-7.6200229819893162E-2</v>
      </c>
      <c r="T11" s="635">
        <f t="shared" si="81"/>
        <v>2.005242503168049</v>
      </c>
      <c r="U11" s="629">
        <f t="shared" si="82"/>
        <v>5.8855662458346239E-2</v>
      </c>
      <c r="V11" s="636">
        <f t="shared" ref="V11:V105" si="114">IF(M11="","",Y11)</f>
        <v>-7.6200229819893162E-2</v>
      </c>
      <c r="W11" s="585">
        <f t="shared" si="5"/>
        <v>1.6811997572647925</v>
      </c>
      <c r="X11" s="629">
        <f>IF(M11="","",R11)</f>
        <v>2.0061060504158483</v>
      </c>
      <c r="Y11" s="630">
        <f>IF(M11="","",S11)</f>
        <v>-7.6200229819893162E-2</v>
      </c>
      <c r="Z11" s="632">
        <f t="shared" si="6"/>
        <v>0.97031672858167761</v>
      </c>
      <c r="AA11" s="629">
        <f t="shared" si="7"/>
        <v>-0.13689059794341291</v>
      </c>
      <c r="AB11" s="629">
        <f t="shared" si="8"/>
        <v>-0.19936501806797974</v>
      </c>
      <c r="AC11" s="636">
        <f t="shared" si="84"/>
        <v>1</v>
      </c>
      <c r="AD11" s="637">
        <f t="shared" ref="AD11:AD105" si="115">IF(M11="","",Z11*(1/SQRT(Z11^2+AA11^2+AB11^2)))</f>
        <v>0.97031672858167761</v>
      </c>
      <c r="AE11" s="629">
        <f t="shared" si="85"/>
        <v>-0.13689059794341291</v>
      </c>
      <c r="AF11" s="633">
        <f t="shared" si="86"/>
        <v>-0.19936501806797974</v>
      </c>
      <c r="AG11" s="602">
        <f>IF(M11="","",DEGREES(ATAN2(-AF11,AE11)))</f>
        <v>-34.474776978852603</v>
      </c>
      <c r="AH11" s="603">
        <f t="shared" si="88"/>
        <v>13.995025034648853</v>
      </c>
      <c r="AI11" s="585">
        <f t="shared" si="89"/>
        <v>-78.500170517643213</v>
      </c>
      <c r="AJ11" s="586">
        <f t="shared" si="90"/>
        <v>81.96980632773105</v>
      </c>
      <c r="AK11" s="635">
        <f>IF(M11="","",(COS(RADIANS((90-$Q$8)-W11))*AD11)+(-SIN(RADIANS((90-$Q$8)-W11))*AE11))</f>
        <v>0.97348310384137304</v>
      </c>
      <c r="AL11" s="629">
        <f t="shared" si="91"/>
        <v>-0.11217948166273771</v>
      </c>
      <c r="AM11" s="634">
        <f t="shared" si="92"/>
        <v>-0.19936501806797974</v>
      </c>
      <c r="AN11" s="581">
        <f>IF(M11="","",DEGREES(ATAN2(-AM11,AL11)))</f>
        <v>-29.365756126466287</v>
      </c>
      <c r="AO11" s="582">
        <f>IF(ROUND(IF(M11="",0,DEGREES(ACOS(AK11))),4)=90,0,IF(M11="","",DEGREES(ACOS(AK11))))</f>
        <v>13.224015587331687</v>
      </c>
      <c r="AP11" s="585">
        <f t="shared" si="95"/>
        <v>-6.5734938825903981</v>
      </c>
      <c r="AQ11" s="586">
        <f t="shared" si="9"/>
        <v>1.1362449003655741</v>
      </c>
      <c r="AS11" s="52">
        <f t="shared" ref="AS11:AS42" si="116">IF(G11="","",IF(AND(W11&lt;(AS10+180),W11&gt;(AS10-180)),W11,IF(W11&gt;(AS10+180),W11-360,IF(W11&lt;(AS10-180),W11+360,"Error"))))</f>
        <v>1.6811997572647925</v>
      </c>
      <c r="AT11" s="72">
        <f t="shared" si="10"/>
        <v>-7.5188632743727488E-2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1.1080000000000001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0.14872166638978285</v>
      </c>
      <c r="C12" s="708">
        <v>2.7128346801142893</v>
      </c>
      <c r="D12" s="709">
        <v>-0.46990141722267431</v>
      </c>
      <c r="E12" s="710">
        <v>-0.93920168675572391</v>
      </c>
      <c r="F12" s="708">
        <v>0.30566697739373133</v>
      </c>
      <c r="G12" s="711">
        <v>0.15642215484445726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0.14872166638978285</v>
      </c>
      <c r="O12" s="629">
        <f t="shared" si="3"/>
        <v>2.7128346801142893</v>
      </c>
      <c r="P12" s="633">
        <f t="shared" si="4"/>
        <v>-0.46990141722267431</v>
      </c>
      <c r="Q12" s="585">
        <f>IF(M12="","",IF(DEGREES(ATAN2(N12,O12))&lt;0,DEGREES(ATAN2(N12,O12))+360,IF(DEGREES(ATAN2(N12,O12))&gt;360,DEGREES(ATAN2(N12,O12))-360,DEGREES(ATAN2(N12,O12)))))</f>
        <v>86.862100453056641</v>
      </c>
      <c r="R12" s="629">
        <f t="shared" si="79"/>
        <v>2.7169081941951134</v>
      </c>
      <c r="S12" s="634">
        <f t="shared" si="80"/>
        <v>-0.46990141722267431</v>
      </c>
      <c r="T12" s="635">
        <f>IF(M12="","",X12*COS(RADIANS(W12)))</f>
        <v>2.7169081941951134</v>
      </c>
      <c r="U12" s="629">
        <f t="shared" si="82"/>
        <v>0</v>
      </c>
      <c r="V12" s="636">
        <f t="shared" si="114"/>
        <v>-0.46990141722267431</v>
      </c>
      <c r="W12" s="585">
        <f>IF(M12="","",IF(Q12-$Q$8&lt;0,360+Q12-$Q$8,Q12-$Q$8))</f>
        <v>0</v>
      </c>
      <c r="X12" s="629">
        <f t="shared" si="83"/>
        <v>2.7169081941951134</v>
      </c>
      <c r="Y12" s="630">
        <f>IF(M12="","",S12)</f>
        <v>-0.46990141722267431</v>
      </c>
      <c r="Z12" s="632">
        <f t="shared" si="6"/>
        <v>0.93920168675572391</v>
      </c>
      <c r="AA12" s="629">
        <f t="shared" si="7"/>
        <v>-0.30566697739373133</v>
      </c>
      <c r="AB12" s="629">
        <f t="shared" si="8"/>
        <v>-0.15642215484445726</v>
      </c>
      <c r="AC12" s="636">
        <f t="shared" si="84"/>
        <v>1</v>
      </c>
      <c r="AD12" s="637">
        <f t="shared" si="115"/>
        <v>0.93920168675572391</v>
      </c>
      <c r="AE12" s="629">
        <f t="shared" si="85"/>
        <v>-0.30566697739373133</v>
      </c>
      <c r="AF12" s="633">
        <f t="shared" si="86"/>
        <v>-0.15642215484445726</v>
      </c>
      <c r="AG12" s="602">
        <f t="shared" si="87"/>
        <v>-62.899337494662504</v>
      </c>
      <c r="AH12" s="603">
        <f t="shared" si="88"/>
        <v>20.082080574605996</v>
      </c>
      <c r="AI12" s="585">
        <f t="shared" si="89"/>
        <v>-81.000714113488698</v>
      </c>
      <c r="AJ12" s="586">
        <f t="shared" si="90"/>
        <v>71.97231256872351</v>
      </c>
      <c r="AK12" s="635">
        <f t="shared" ref="AK12:AK105" si="211">IF(M12="","",(COS(RADIANS((90-$Q$8)-W12))*AD12)+(-SIN(RADIANS((90-$Q$8)-W12))*AE12))</f>
        <v>0.95452552104336885</v>
      </c>
      <c r="AL12" s="629">
        <f>IF(M12="","",(SIN(RADIANS((90-$Q$8)-W12))*AD12)+(COS(RADIANS((90-$Q$8)-W12))*AE12))</f>
        <v>-0.2537974372421874</v>
      </c>
      <c r="AM12" s="634">
        <f t="shared" si="92"/>
        <v>-0.15642215484445726</v>
      </c>
      <c r="AN12" s="581">
        <f>IF(M12="","",DEGREES(ATAN2(-AM12,AL12)))</f>
        <v>-58.353360248392235</v>
      </c>
      <c r="AO12" s="582">
        <f t="shared" si="94"/>
        <v>17.34527412069713</v>
      </c>
      <c r="AP12" s="585">
        <f t="shared" si="95"/>
        <v>-14.889787884333131</v>
      </c>
      <c r="AQ12" s="586">
        <f t="shared" si="9"/>
        <v>0.83902859828276843</v>
      </c>
      <c r="AS12" s="52">
        <f t="shared" si="116"/>
        <v>0</v>
      </c>
      <c r="AT12" s="72">
        <f>IF(M12="","",Y12+(((AS12-$AS$9)*$AS$6)*-1))</f>
        <v>-0.46772232031507477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0.21873398754112058</v>
      </c>
      <c r="C13" s="708">
        <v>3.0735358145355498</v>
      </c>
      <c r="D13" s="709">
        <v>-1.1961036074484801</v>
      </c>
      <c r="E13" s="710">
        <v>-0.84760454967760768</v>
      </c>
      <c r="F13" s="708">
        <v>0.52020069815810044</v>
      </c>
      <c r="G13" s="711">
        <v>0.10467932461400793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190</v>
      </c>
      <c r="M13" s="168">
        <f t="shared" si="1"/>
        <v>1.1180000000000001</v>
      </c>
      <c r="N13" s="632">
        <f t="shared" si="2"/>
        <v>0.21873398754112058</v>
      </c>
      <c r="O13" s="629">
        <f t="shared" si="3"/>
        <v>3.0735358145355498</v>
      </c>
      <c r="P13" s="633">
        <f t="shared" si="4"/>
        <v>-1.1961036074484801</v>
      </c>
      <c r="Q13" s="585">
        <f t="shared" si="113"/>
        <v>85.929300587736279</v>
      </c>
      <c r="R13" s="629">
        <f t="shared" si="79"/>
        <v>3.0813092932288288</v>
      </c>
      <c r="S13" s="634">
        <f t="shared" si="80"/>
        <v>-1.1961036074484801</v>
      </c>
      <c r="T13" s="635">
        <f>IF(M13="","",X13*COS(RADIANS(W13)))</f>
        <v>3.080900948089758</v>
      </c>
      <c r="U13" s="629">
        <f t="shared" si="82"/>
        <v>-5.0162820873383432E-2</v>
      </c>
      <c r="V13" s="636">
        <f t="shared" si="114"/>
        <v>-1.1961036074484801</v>
      </c>
      <c r="W13" s="585">
        <f t="shared" si="5"/>
        <v>359.06720013467964</v>
      </c>
      <c r="X13" s="629">
        <f t="shared" si="83"/>
        <v>3.0813092932288288</v>
      </c>
      <c r="Y13" s="630">
        <f>IF(M13="","",S13)</f>
        <v>-1.1961036074484801</v>
      </c>
      <c r="Z13" s="632">
        <f t="shared" si="6"/>
        <v>0.84760454967760768</v>
      </c>
      <c r="AA13" s="629">
        <f t="shared" si="7"/>
        <v>-0.52020069815810044</v>
      </c>
      <c r="AB13" s="629">
        <f t="shared" si="8"/>
        <v>-0.10467932461400793</v>
      </c>
      <c r="AC13" s="636">
        <f t="shared" si="84"/>
        <v>1</v>
      </c>
      <c r="AD13" s="637">
        <f>IF(M13="","",Z13*(1/SQRT(Z13^2+AA13^2+AB13^2)))</f>
        <v>0.84760454967760768</v>
      </c>
      <c r="AE13" s="629">
        <f t="shared" si="85"/>
        <v>-0.52020069815810044</v>
      </c>
      <c r="AF13" s="633">
        <f t="shared" si="86"/>
        <v>-0.10467932461400793</v>
      </c>
      <c r="AG13" s="602">
        <f>IF(M13="","",DEGREES(ATAN2(-AF13,AE13)))</f>
        <v>-78.622390367780739</v>
      </c>
      <c r="AH13" s="603">
        <f t="shared" si="88"/>
        <v>32.047924935364058</v>
      </c>
      <c r="AI13" s="585">
        <f t="shared" si="89"/>
        <v>-83.991308600225025</v>
      </c>
      <c r="AJ13" s="586">
        <f t="shared" si="90"/>
        <v>58.461293281601961</v>
      </c>
      <c r="AK13" s="635">
        <f t="shared" si="211"/>
        <v>0.88239389632259235</v>
      </c>
      <c r="AL13" s="629">
        <f t="shared" si="91"/>
        <v>-0.45871914144821696</v>
      </c>
      <c r="AM13" s="634">
        <f t="shared" si="92"/>
        <v>-0.10467932461400793</v>
      </c>
      <c r="AN13" s="581">
        <f t="shared" si="93"/>
        <v>-77.145270251423867</v>
      </c>
      <c r="AO13" s="582">
        <f t="shared" si="94"/>
        <v>28.067500095263487</v>
      </c>
      <c r="AP13" s="585">
        <f t="shared" si="95"/>
        <v>-27.468007306134336</v>
      </c>
      <c r="AQ13" s="586">
        <f t="shared" si="9"/>
        <v>0.73981535691466216</v>
      </c>
      <c r="AS13" s="52">
        <f t="shared" si="116"/>
        <v>-0.93279986532036219</v>
      </c>
      <c r="AT13" s="72">
        <f t="shared" si="10"/>
        <v>-1.1932767328566303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0.2419488912519015</v>
      </c>
      <c r="C14" s="708">
        <v>3.1795172206665945</v>
      </c>
      <c r="D14" s="709">
        <v>-1.9191057880230569</v>
      </c>
      <c r="E14" s="710">
        <v>-0.77326954245195478</v>
      </c>
      <c r="F14" s="708">
        <v>0.63407745166984764</v>
      </c>
      <c r="G14" s="711">
        <v>1.3008419219013557E-7</v>
      </c>
      <c r="H14" s="710">
        <v>0.26600000000000001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1.123</v>
      </c>
      <c r="N14" s="632">
        <f t="shared" si="2"/>
        <v>0.2419488912519015</v>
      </c>
      <c r="O14" s="629">
        <f t="shared" si="3"/>
        <v>3.1795172206665945</v>
      </c>
      <c r="P14" s="633">
        <f t="shared" si="4"/>
        <v>-1.9191057880230569</v>
      </c>
      <c r="Q14" s="585">
        <f t="shared" si="113"/>
        <v>85.648400628293217</v>
      </c>
      <c r="R14" s="629">
        <f t="shared" si="79"/>
        <v>3.1887096171482048</v>
      </c>
      <c r="S14" s="634">
        <f t="shared" si="80"/>
        <v>-1.9191057880230569</v>
      </c>
      <c r="T14" s="635">
        <f t="shared" si="81"/>
        <v>3.1879942219023163</v>
      </c>
      <c r="U14" s="629">
        <f t="shared" si="82"/>
        <v>-6.7541569502749046E-2</v>
      </c>
      <c r="V14" s="636">
        <f t="shared" si="114"/>
        <v>-1.9191057880230569</v>
      </c>
      <c r="W14" s="585">
        <f t="shared" si="5"/>
        <v>358.78630017523653</v>
      </c>
      <c r="X14" s="629">
        <f t="shared" si="83"/>
        <v>3.1887096171482048</v>
      </c>
      <c r="Y14" s="630">
        <f t="shared" ref="Y14:Y75" si="223">IF(M14="","",S14)</f>
        <v>-1.9191057880230569</v>
      </c>
      <c r="Z14" s="632">
        <f t="shared" si="6"/>
        <v>0.77326954245195478</v>
      </c>
      <c r="AA14" s="629">
        <f t="shared" si="7"/>
        <v>-0.63407745166984764</v>
      </c>
      <c r="AB14" s="629">
        <f t="shared" si="8"/>
        <v>-1.3008419219013557E-7</v>
      </c>
      <c r="AC14" s="636">
        <f t="shared" si="84"/>
        <v>1</v>
      </c>
      <c r="AD14" s="637">
        <f>IF(M14="","",Z14*(1/SQRT(Z14^2+AA14^2+AB14^2)))</f>
        <v>0.77326954245195478</v>
      </c>
      <c r="AE14" s="629">
        <f t="shared" si="85"/>
        <v>-0.63407745166984764</v>
      </c>
      <c r="AF14" s="633">
        <f t="shared" si="86"/>
        <v>-1.3008419219013557E-7</v>
      </c>
      <c r="AG14" s="602">
        <f t="shared" si="87"/>
        <v>-89.999988245481404</v>
      </c>
      <c r="AH14" s="603">
        <f t="shared" si="88"/>
        <v>39.351594318332644</v>
      </c>
      <c r="AI14" s="585">
        <f t="shared" si="89"/>
        <v>-89.999992546724812</v>
      </c>
      <c r="AJ14" s="586">
        <f t="shared" si="90"/>
        <v>50.648405681667924</v>
      </c>
      <c r="AK14" s="635">
        <f>IF(M14="","",(COS(RADIANS((90-$Q$8)-W14))*AD14)+(-SIN(RADIANS((90-$Q$8)-W14))*AE14))</f>
        <v>0.81915209487729224</v>
      </c>
      <c r="AL14" s="629">
        <f t="shared" si="91"/>
        <v>-0.57357636410344426</v>
      </c>
      <c r="AM14" s="634">
        <f t="shared" si="92"/>
        <v>-1.3008419219013557E-7</v>
      </c>
      <c r="AN14" s="581">
        <f t="shared" si="93"/>
        <v>-89.999987005609611</v>
      </c>
      <c r="AO14" s="582">
        <f t="shared" si="94"/>
        <v>34.999994946625925</v>
      </c>
      <c r="AP14" s="585">
        <f>IF(M14="","",DEGREES(ATAN2(AK14,AL14)))</f>
        <v>-34.999994946625243</v>
      </c>
      <c r="AQ14" s="586">
        <f t="shared" si="9"/>
        <v>0.71489994336999119</v>
      </c>
      <c r="AS14" s="52">
        <f t="shared" si="116"/>
        <v>-1.2136998247634665</v>
      </c>
      <c r="AT14" s="72">
        <f t="shared" si="10"/>
        <v>-1.916083844014927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1.0844497742967683</v>
      </c>
      <c r="C15" s="708">
        <v>2.5302478912863426</v>
      </c>
      <c r="D15" s="709">
        <v>-0.44086148530948349</v>
      </c>
      <c r="E15" s="710">
        <v>-0.68383342521601465</v>
      </c>
      <c r="F15" s="708">
        <v>0.67005312474051637</v>
      </c>
      <c r="G15" s="711">
        <v>0.28879171834178935</v>
      </c>
      <c r="H15" s="710">
        <v>0.26600000000000001</v>
      </c>
      <c r="I15" s="708">
        <v>0.52</v>
      </c>
      <c r="J15" s="570">
        <v>1.2130000000000001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180</v>
      </c>
      <c r="M15" s="168">
        <f t="shared" si="1"/>
        <v>1.2130000000000001</v>
      </c>
      <c r="N15" s="632">
        <f t="shared" si="2"/>
        <v>1.0844497742967683</v>
      </c>
      <c r="O15" s="629">
        <f t="shared" si="3"/>
        <v>2.5302478912863426</v>
      </c>
      <c r="P15" s="633">
        <f t="shared" si="4"/>
        <v>-0.44086148530948349</v>
      </c>
      <c r="Q15" s="585">
        <f t="shared" si="113"/>
        <v>66.800303349621771</v>
      </c>
      <c r="R15" s="629">
        <f t="shared" si="79"/>
        <v>2.7528504689378419</v>
      </c>
      <c r="S15" s="634">
        <f t="shared" si="80"/>
        <v>-0.44086148530948349</v>
      </c>
      <c r="T15" s="635">
        <f t="shared" si="81"/>
        <v>2.5858162676705279</v>
      </c>
      <c r="U15" s="629">
        <f t="shared" si="82"/>
        <v>-0.94431982621448618</v>
      </c>
      <c r="V15" s="636">
        <f t="shared" si="114"/>
        <v>-0.44086148530948349</v>
      </c>
      <c r="W15" s="585">
        <f t="shared" ref="W15:W78" si="224">IF(M15="","",IF(Q15-$Q$8&lt;0,360+Q15-$Q$8,Q15-$Q$8))</f>
        <v>339.93820289656514</v>
      </c>
      <c r="X15" s="629">
        <f>IF(M15="","",R15)</f>
        <v>2.7528504689378419</v>
      </c>
      <c r="Y15" s="630">
        <f>IF(M15="","",S15)</f>
        <v>-0.44086148530948349</v>
      </c>
      <c r="Z15" s="632">
        <f t="shared" si="6"/>
        <v>0.68383342521601465</v>
      </c>
      <c r="AA15" s="629">
        <f t="shared" si="7"/>
        <v>-0.67005312474051637</v>
      </c>
      <c r="AB15" s="629">
        <f t="shared" si="8"/>
        <v>-0.28879171834178935</v>
      </c>
      <c r="AC15" s="636">
        <f t="shared" si="84"/>
        <v>1</v>
      </c>
      <c r="AD15" s="637">
        <f t="shared" si="115"/>
        <v>0.68383342521601465</v>
      </c>
      <c r="AE15" s="629">
        <f t="shared" si="85"/>
        <v>-0.67005312474051637</v>
      </c>
      <c r="AF15" s="633">
        <f t="shared" si="86"/>
        <v>-0.28879171834178935</v>
      </c>
      <c r="AG15" s="602">
        <f t="shared" si="87"/>
        <v>-66.684042773751088</v>
      </c>
      <c r="AH15" s="603">
        <f t="shared" si="88"/>
        <v>46.856068420641691</v>
      </c>
      <c r="AI15" s="585">
        <f t="shared" si="89"/>
        <v>-73.214368212651721</v>
      </c>
      <c r="AJ15" s="586">
        <f t="shared" si="90"/>
        <v>45.583155061200834</v>
      </c>
      <c r="AK15" s="635">
        <f t="shared" si="211"/>
        <v>0.89249564034024931</v>
      </c>
      <c r="AL15" s="629">
        <f t="shared" si="91"/>
        <v>-0.3464835860338048</v>
      </c>
      <c r="AM15" s="634">
        <f t="shared" si="92"/>
        <v>-0.28879171834178935</v>
      </c>
      <c r="AN15" s="581">
        <f>IF(M15="","",DEGREES(ATAN2(-AM15,AL15)))</f>
        <v>-50.18902308298523</v>
      </c>
      <c r="AO15" s="582">
        <f t="shared" si="94"/>
        <v>26.811457219091487</v>
      </c>
      <c r="AP15" s="585">
        <f t="shared" si="95"/>
        <v>-21.217148288420962</v>
      </c>
      <c r="AQ15" s="586">
        <f t="shared" si="9"/>
        <v>0.82807545362118984</v>
      </c>
      <c r="AS15" s="52">
        <f t="shared" si="116"/>
        <v>-20.061797103434856</v>
      </c>
      <c r="AT15" s="72">
        <f t="shared" si="10"/>
        <v>-0.42475058485783196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>Taper</v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1.2130000000000001</v>
      </c>
      <c r="IH15" s="731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1.113</v>
      </c>
      <c r="II15" s="734" cm="1">
        <f t="array" ref="II15">IFERROR(ROUND(VALUE(IF($IH15&lt;1,$IH15+LARGE((IF($M$9:$M$150="",0,$M$9:$M$150)-MOD(IF($M$9:$M$150="",0,$M$9:$M$150),1)),1),$IH15)),4),"")</f>
        <v>1.113</v>
      </c>
      <c r="IJ15" s="533">
        <f t="shared" si="112"/>
        <v>1613</v>
      </c>
      <c r="IK15" s="533">
        <f t="shared" si="66"/>
        <v>1313</v>
      </c>
      <c r="IL15" s="727">
        <f t="shared" si="67"/>
        <v>20.061797103434856</v>
      </c>
      <c r="IM15" s="759">
        <v>1.5690820079176802E-2</v>
      </c>
      <c r="IN15" s="5">
        <f t="shared" si="68"/>
        <v>0.36</v>
      </c>
      <c r="IO15" s="771">
        <v>180</v>
      </c>
      <c r="IP15" s="9">
        <f t="shared" si="69"/>
        <v>-2.7169081941951134</v>
      </c>
      <c r="IQ15" s="5">
        <f t="shared" si="70"/>
        <v>-0.46990141722267431</v>
      </c>
      <c r="IR15" s="5">
        <f t="shared" si="71"/>
        <v>0.314</v>
      </c>
      <c r="IS15" s="5">
        <f t="shared" si="72"/>
        <v>0.29972101360761783</v>
      </c>
      <c r="IT15" s="727">
        <f t="shared" si="73"/>
        <v>58.353360248392235</v>
      </c>
      <c r="IU15" s="9">
        <f t="shared" si="74"/>
        <v>-2.7528504689378419</v>
      </c>
      <c r="IV15" s="5">
        <f t="shared" si="75"/>
        <v>-0.44086148530948349</v>
      </c>
      <c r="IW15" s="5">
        <f t="shared" si="76"/>
        <v>0.26600000000000001</v>
      </c>
      <c r="IX15" s="5">
        <f t="shared" si="77"/>
        <v>0.23740384033050635</v>
      </c>
      <c r="IY15" s="762">
        <f t="shared" si="78"/>
        <v>50.18902308298523</v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1.2458898963512799</v>
      </c>
      <c r="C16" s="708">
        <v>2.8648861377381376</v>
      </c>
      <c r="D16" s="709">
        <v>-1.1930075772458015</v>
      </c>
      <c r="E16" s="710">
        <v>-0.58782455476678908</v>
      </c>
      <c r="F16" s="708">
        <v>0.79888410011912314</v>
      </c>
      <c r="G16" s="711">
        <v>0.12746170950558075</v>
      </c>
      <c r="H16" s="710">
        <v>0.26600000000000001</v>
      </c>
      <c r="I16" s="708">
        <v>0.52</v>
      </c>
      <c r="J16" s="570">
        <v>1.218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1.218</v>
      </c>
      <c r="N16" s="632">
        <f t="shared" si="2"/>
        <v>1.2458898963512799</v>
      </c>
      <c r="O16" s="629">
        <f t="shared" si="3"/>
        <v>2.8648861377381376</v>
      </c>
      <c r="P16" s="633">
        <f t="shared" si="4"/>
        <v>-1.1930075772458015</v>
      </c>
      <c r="Q16" s="585">
        <f>IF(M16="","",IF(DEGREES(ATAN2(N16,O16))&lt;0,DEGREES(ATAN2(N16,O16))+360,IF(DEGREES(ATAN2(N16,O16))&gt;360,DEGREES(ATAN2(N16,O16))-360,DEGREES(ATAN2(N16,O16)))))</f>
        <v>66.496603393470608</v>
      </c>
      <c r="R16" s="629">
        <f t="shared" si="79"/>
        <v>3.124070136222032</v>
      </c>
      <c r="S16" s="634">
        <f t="shared" si="80"/>
        <v>-1.1930075772458015</v>
      </c>
      <c r="T16" s="635">
        <f t="shared" si="81"/>
        <v>2.9287899044802281</v>
      </c>
      <c r="U16" s="629">
        <f t="shared" si="82"/>
        <v>-1.087200032859198</v>
      </c>
      <c r="V16" s="636">
        <f t="shared" si="114"/>
        <v>-1.1930075772458015</v>
      </c>
      <c r="W16" s="585">
        <f>IF(M16="","",IF(Q16-$Q$8&lt;0,360+Q16-$Q$8,Q16-$Q$8))</f>
        <v>339.63450294041394</v>
      </c>
      <c r="X16" s="629">
        <f t="shared" si="83"/>
        <v>3.124070136222032</v>
      </c>
      <c r="Y16" s="630">
        <f t="shared" si="223"/>
        <v>-1.1930075772458015</v>
      </c>
      <c r="Z16" s="632">
        <f t="shared" si="6"/>
        <v>0.58782455476678908</v>
      </c>
      <c r="AA16" s="629">
        <f t="shared" si="7"/>
        <v>-0.79888410011912314</v>
      </c>
      <c r="AB16" s="629">
        <f t="shared" si="8"/>
        <v>-0.12746170950558075</v>
      </c>
      <c r="AC16" s="636">
        <f t="shared" si="84"/>
        <v>1</v>
      </c>
      <c r="AD16" s="637">
        <f t="shared" si="115"/>
        <v>0.58782455476678908</v>
      </c>
      <c r="AE16" s="629">
        <f t="shared" si="85"/>
        <v>-0.79888410011912314</v>
      </c>
      <c r="AF16" s="633">
        <f t="shared" si="86"/>
        <v>-0.12746170950558075</v>
      </c>
      <c r="AG16" s="602">
        <f t="shared" si="87"/>
        <v>-80.934881763110781</v>
      </c>
      <c r="AH16" s="603">
        <f t="shared" si="88"/>
        <v>53.99721649154295</v>
      </c>
      <c r="AI16" s="585">
        <f t="shared" si="89"/>
        <v>-82.677061278959613</v>
      </c>
      <c r="AJ16" s="586">
        <f t="shared" si="90"/>
        <v>36.345896896173549</v>
      </c>
      <c r="AK16" s="635">
        <f t="shared" si="211"/>
        <v>0.85765425558203279</v>
      </c>
      <c r="AL16" s="629">
        <f t="shared" si="91"/>
        <v>-0.49817937581953764</v>
      </c>
      <c r="AM16" s="634">
        <f t="shared" si="92"/>
        <v>-0.12746170950558075</v>
      </c>
      <c r="AN16" s="581">
        <f t="shared" si="93"/>
        <v>-75.648457905533434</v>
      </c>
      <c r="AO16" s="582">
        <f t="shared" si="94"/>
        <v>30.94578565991592</v>
      </c>
      <c r="AP16" s="585">
        <f t="shared" si="95"/>
        <v>-30.150706497297048</v>
      </c>
      <c r="AQ16" s="586">
        <f t="shared" si="9"/>
        <v>0.72969020521801942</v>
      </c>
      <c r="AS16" s="52">
        <f t="shared" si="116"/>
        <v>-20.365497059586062</v>
      </c>
      <c r="AT16" s="72">
        <f t="shared" si="10"/>
        <v>-1.1766857740468228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>Gage</v>
      </c>
      <c r="IG16" s="847">
        <f t="shared" si="210"/>
        <v>1.218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1.1180000000000001</v>
      </c>
      <c r="II16" s="734" cm="1">
        <f t="array" ref="II16">IFERROR(ROUND(VALUE(IF($IH16&lt;1,$IH16+LARGE((IF($M$9:$M$150="",0,$M$9:$M$150)-MOD(IF($M$9:$M$150="",0,$M$9:$M$150),1)),1),$IH16)),4),"")</f>
        <v>1.1180000000000001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19.4326971942657</v>
      </c>
      <c r="IM16" s="759">
        <v>5.6104162070783996E-3</v>
      </c>
      <c r="IN16" s="5">
        <f>IF(ISNUMBER($II16),(($IO16*12)/60)/$AS$3,"")</f>
        <v>0.34</v>
      </c>
      <c r="IO16" s="771">
        <v>170</v>
      </c>
      <c r="IP16" s="9">
        <f>IF(ISNUMBER($II16),(INDEX($X$9:$X$150,MATCH($II16,$M$9:$M$150,0))*-1),"")</f>
        <v>-3.0813092932288288</v>
      </c>
      <c r="IQ16" s="5">
        <f>IF(ISNUMBER($II16),INDEX($Y$9:$Y$150,MATCH($II16,$M$9:$M$150,0)),"")</f>
        <v>-1.1961036074484801</v>
      </c>
      <c r="IR16" s="5">
        <f t="shared" si="71"/>
        <v>0.314</v>
      </c>
      <c r="IS16" s="5">
        <f>IF(ISNUMBER($II16),$IR16*COS(RADIANS(INDEX($AO$9:$AO$150,MATCH($II16,$M$9:$M$150,0)))),"")</f>
        <v>0.27707168344529398</v>
      </c>
      <c r="IT16" s="727">
        <f>IF(ISNUMBER($II16),(-1*INDEX($AN$9:$AN$150,MATCH($II16,$M$9:$M$150,0))),"")</f>
        <v>77.145270251423867</v>
      </c>
      <c r="IU16" s="9">
        <f>IF(ISNUMBER($II16),-$X16,"")</f>
        <v>-3.124070136222032</v>
      </c>
      <c r="IV16" s="5">
        <f>IF(ISNUMBER($II16),$Y16,"")</f>
        <v>-1.1930075772458015</v>
      </c>
      <c r="IW16" s="5">
        <f t="shared" si="76"/>
        <v>0.26600000000000001</v>
      </c>
      <c r="IX16" s="5">
        <f>IF(ISNUMBER($II16),$IW16*COS(RADIANS($AO16)),"")</f>
        <v>0.22813603198482074</v>
      </c>
      <c r="IY16" s="762">
        <f>IF(ISNUMBER($II16),(-1*$AN16),"")</f>
        <v>75.648457905533434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1.7439325411129065</v>
      </c>
      <c r="C17" s="708">
        <v>0.59612815797187368</v>
      </c>
      <c r="D17" s="709">
        <v>-5.2200157435674834E-2</v>
      </c>
      <c r="E17" s="710">
        <v>-0.23562245616746216</v>
      </c>
      <c r="F17" s="708">
        <v>0.9490058819382714</v>
      </c>
      <c r="G17" s="711">
        <v>0.20945141249506091</v>
      </c>
      <c r="H17" s="710">
        <v>0.314</v>
      </c>
      <c r="I17" s="708">
        <v>0.52</v>
      </c>
      <c r="J17" s="570">
        <v>2.1070000000000002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2.1070000000000002</v>
      </c>
      <c r="N17" s="632">
        <f t="shared" si="2"/>
        <v>1.7439325411129065</v>
      </c>
      <c r="O17" s="629">
        <f t="shared" si="3"/>
        <v>0.59612815797187368</v>
      </c>
      <c r="P17" s="633">
        <f t="shared" si="4"/>
        <v>-5.2200157435674834E-2</v>
      </c>
      <c r="Q17" s="585">
        <f>IF(M17="","",IF(DEGREES(ATAN2(N17,O17))&lt;0,DEGREES(ATAN2(N17,O17))+360,IF(DEGREES(ATAN2(N17,O17))&gt;360,DEGREES(ATAN2(N17,O17))-360,DEGREES(ATAN2(N17,O17)))))</f>
        <v>18.871958292049531</v>
      </c>
      <c r="R17" s="629">
        <f>IF(M17="","",SQRT(N17^2+O17^2))</f>
        <v>1.8430055585047644</v>
      </c>
      <c r="S17" s="634">
        <f>IF(M17="","",P17)</f>
        <v>-5.2200157435674834E-2</v>
      </c>
      <c r="T17" s="635">
        <f>IF(M17="","",X17*COS(RADIANS(W17)))</f>
        <v>0.69069602658412965</v>
      </c>
      <c r="U17" s="629">
        <f>IF(M17="","",X17*SIN(RADIANS(W17)))</f>
        <v>-1.7086861875547406</v>
      </c>
      <c r="V17" s="636">
        <f>IF(M17="","",Y17)</f>
        <v>-5.2200157435674834E-2</v>
      </c>
      <c r="W17" s="585">
        <f t="shared" si="224"/>
        <v>292.0098578389929</v>
      </c>
      <c r="X17" s="629">
        <f>IF(M17="","",R17)</f>
        <v>1.8430055585047644</v>
      </c>
      <c r="Y17" s="630">
        <f t="shared" si="223"/>
        <v>-5.2200157435674834E-2</v>
      </c>
      <c r="Z17" s="632">
        <f t="shared" si="6"/>
        <v>0.23562245616746216</v>
      </c>
      <c r="AA17" s="629">
        <f t="shared" si="7"/>
        <v>-0.9490058819382714</v>
      </c>
      <c r="AB17" s="629">
        <f t="shared" si="8"/>
        <v>-0.20945141249506091</v>
      </c>
      <c r="AC17" s="636">
        <f>IF(M17="","",SQRT(Z17^2+AA17^2+AB17^2))</f>
        <v>1</v>
      </c>
      <c r="AD17" s="637">
        <f>IF(M17="","",Z17*(1/SQRT(Z17^2+AA17^2+AB17^2)))</f>
        <v>0.23562245616746216</v>
      </c>
      <c r="AE17" s="629">
        <f>IF(M17="","",AA17*(1/SQRT(Z17^2+AA17^2+AB17^2)))</f>
        <v>-0.9490058819382714</v>
      </c>
      <c r="AF17" s="633">
        <f>IF(M17="","",AB17*(1/SQRT(Z17^2+AA17^2+AB17^2)))</f>
        <v>-0.20945141249506091</v>
      </c>
      <c r="AG17" s="602">
        <f>IF(M17="","",DEGREES(ATAN2(-AF17,AE17)))</f>
        <v>-77.553996882551118</v>
      </c>
      <c r="AH17" s="603">
        <f>IF(M17="","",DEGREES(ACOS(AD17)))</f>
        <v>76.371682735342958</v>
      </c>
      <c r="AI17" s="585">
        <f>IF(M17="","",DEGREES(-ACOS(-AF17)))</f>
        <v>-77.909794438244631</v>
      </c>
      <c r="AJ17" s="586">
        <f>IF(M17="","",DEGREES(ATAN2(-AE17,AD17)))</f>
        <v>13.943640531816783</v>
      </c>
      <c r="AK17" s="635">
        <f>IF(M17="","",(COS(RADIANS((90-$Q$8)-W17))*AD17)+(-SIN(RADIANS((90-$Q$8)-W17))*AE17))</f>
        <v>0.97420401783719346</v>
      </c>
      <c r="AL17" s="629">
        <f>IF(M17="","",(SIN(RADIANS((90-$Q$8)-W17))*AD17)+(COS(RADIANS((90-$Q$8)-W17))*AE17))</f>
        <v>-8.4003794162484824E-2</v>
      </c>
      <c r="AM17" s="634">
        <f>IF(M17="","",AF17)</f>
        <v>-0.20945141249506091</v>
      </c>
      <c r="AN17" s="581">
        <f>IF(M17="","",DEGREES(ATAN2(-AM17,AL17)))</f>
        <v>-21.854032120372821</v>
      </c>
      <c r="AO17" s="582">
        <f t="shared" si="94"/>
        <v>13.042225316906521</v>
      </c>
      <c r="AP17" s="585">
        <f>IF(M17="","",DEGREES(ATAN2(AK17,AL17)))</f>
        <v>-4.928317760232785</v>
      </c>
      <c r="AQ17" s="586">
        <f t="shared" si="9"/>
        <v>1.2367692201469467</v>
      </c>
      <c r="AS17" s="52">
        <f t="shared" si="116"/>
        <v>-67.9901421610071</v>
      </c>
      <c r="AT17" s="72">
        <f t="shared" si="10"/>
        <v>-2.8056840273759029E-3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2.1070000000000002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2.4802054251088128</v>
      </c>
      <c r="C18" s="708">
        <v>0.76602828546484714</v>
      </c>
      <c r="D18" s="709">
        <v>-0.35800107973125644</v>
      </c>
      <c r="E18" s="710">
        <v>-6.8368445646530801E-2</v>
      </c>
      <c r="F18" s="708">
        <v>0.9835593801929976</v>
      </c>
      <c r="G18" s="711">
        <v>0.16714275716956356</v>
      </c>
      <c r="H18" s="710">
        <v>0.314</v>
      </c>
      <c r="I18" s="708">
        <v>0.52</v>
      </c>
      <c r="J18" s="570">
        <v>2.1120000000000001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2.1120000000000001</v>
      </c>
      <c r="N18" s="632">
        <f t="shared" si="2"/>
        <v>2.4802054251088128</v>
      </c>
      <c r="O18" s="629">
        <f t="shared" si="3"/>
        <v>0.76602828546484714</v>
      </c>
      <c r="P18" s="633">
        <f t="shared" si="4"/>
        <v>-0.35800107973125644</v>
      </c>
      <c r="Q18" s="585">
        <f t="shared" si="113"/>
        <v>17.163658538697501</v>
      </c>
      <c r="R18" s="629">
        <f>IF(M18="","",SQRT(N18^2+O18^2))</f>
        <v>2.5958078289564117</v>
      </c>
      <c r="S18" s="634">
        <f>IF(M18="","",P18)</f>
        <v>-0.35800107973125644</v>
      </c>
      <c r="T18" s="635">
        <f>IF(M18="","",X18*COS(RADIANS(W18)))</f>
        <v>0.90064448544740106</v>
      </c>
      <c r="U18" s="629">
        <f>IF(M18="","",X18*SIN(RADIANS(W18)))</f>
        <v>-2.4345549481793558</v>
      </c>
      <c r="V18" s="636">
        <f>IF(M18="","",Y18)</f>
        <v>-0.35800107973125644</v>
      </c>
      <c r="W18" s="585">
        <f t="shared" si="224"/>
        <v>290.30155808564086</v>
      </c>
      <c r="X18" s="629">
        <f>IF(M18="","",R18)</f>
        <v>2.5958078289564117</v>
      </c>
      <c r="Y18" s="630">
        <f t="shared" si="223"/>
        <v>-0.35800107973125644</v>
      </c>
      <c r="Z18" s="632">
        <f t="shared" si="6"/>
        <v>6.8368445646530801E-2</v>
      </c>
      <c r="AA18" s="629">
        <f t="shared" si="7"/>
        <v>-0.9835593801929976</v>
      </c>
      <c r="AB18" s="629">
        <f t="shared" si="8"/>
        <v>-0.16714275716956356</v>
      </c>
      <c r="AC18" s="636">
        <f>IF(M18="","",SQRT(Z18^2+AA18^2+AB18^2))</f>
        <v>1</v>
      </c>
      <c r="AD18" s="637">
        <f>IF(M18="","",Z18*(1/SQRT(Z18^2+AA18^2+AB18^2)))</f>
        <v>6.8368445646530801E-2</v>
      </c>
      <c r="AE18" s="629">
        <f>IF(M18="","",AA18*(1/SQRT(Z18^2+AA18^2+AB18^2)))</f>
        <v>-0.9835593801929976</v>
      </c>
      <c r="AF18" s="633">
        <f>IF(M18="","",AB18*(1/SQRT(Z18^2+AA18^2+AB18^2)))</f>
        <v>-0.16714275716956356</v>
      </c>
      <c r="AG18" s="602">
        <f>IF(M18="","",DEGREES(ATAN2(-AF18,AE18)))</f>
        <v>-80.355484097487732</v>
      </c>
      <c r="AH18" s="603">
        <f>IF(M18="","",DEGREES(ACOS(AD18)))</f>
        <v>86.079718499186711</v>
      </c>
      <c r="AI18" s="585">
        <f>IF(M18="","",DEGREES(-ACOS(-AF18)))</f>
        <v>-80.378265725567758</v>
      </c>
      <c r="AJ18" s="586">
        <f>IF(M18="","",DEGREES(ATAN2(-AE18,AD18)))</f>
        <v>3.9763054423909789</v>
      </c>
      <c r="AK18" s="635">
        <f>IF(M18="","",(COS(RADIANS((90-$Q$8)-W18))*AD18)+(-SIN(RADIANS((90-$Q$8)-W18))*AE18))</f>
        <v>0.9599329526915007</v>
      </c>
      <c r="AL18" s="629">
        <f>IF(M18="","",(SIN(RADIANS((90-$Q$8)-W18))*AD18)+(COS(RADIANS((90-$Q$8)-W18))*AE18))</f>
        <v>-0.22492671042527007</v>
      </c>
      <c r="AM18" s="634">
        <f>IF(M18="","",AF18)</f>
        <v>-0.16714275716956356</v>
      </c>
      <c r="AN18" s="581">
        <f>IF(M18="","",DEGREES(ATAN2(-AM18,AL18)))</f>
        <v>-53.384005808077291</v>
      </c>
      <c r="AO18" s="582">
        <f t="shared" si="94"/>
        <v>16.273918823353423</v>
      </c>
      <c r="AP18" s="585">
        <f>IF(M18="","",DEGREES(ATAN2(AK18,AL18)))</f>
        <v>-13.187353096306541</v>
      </c>
      <c r="AQ18" s="586">
        <f t="shared" si="9"/>
        <v>0.87816520591336922</v>
      </c>
      <c r="AS18" s="52">
        <f t="shared" si="116"/>
        <v>-69.698441914359137</v>
      </c>
      <c r="AT18" s="72">
        <f t="shared" si="10"/>
        <v>-0.3074202870497964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2.1120000000000001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2.9262042254638239</v>
      </c>
      <c r="C19" s="708">
        <v>0.84045522880131773</v>
      </c>
      <c r="D19" s="709">
        <v>-1.0354031227758187</v>
      </c>
      <c r="E19" s="710">
        <v>0.14274013832794405</v>
      </c>
      <c r="F19" s="708">
        <v>0.9825603802515146</v>
      </c>
      <c r="G19" s="711">
        <v>0.1191652301223744</v>
      </c>
      <c r="H19" s="710">
        <v>0.314</v>
      </c>
      <c r="I19" s="708">
        <v>0.52</v>
      </c>
      <c r="J19" s="570">
        <v>2.117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</v>
      </c>
      <c r="N19" s="632">
        <f t="shared" si="2"/>
        <v>2.9262042254638239</v>
      </c>
      <c r="O19" s="629">
        <f t="shared" si="3"/>
        <v>0.84045522880131773</v>
      </c>
      <c r="P19" s="633">
        <f t="shared" si="4"/>
        <v>-1.0354031227758187</v>
      </c>
      <c r="Q19" s="585">
        <f t="shared" si="113"/>
        <v>16.024958703105408</v>
      </c>
      <c r="R19" s="629">
        <f>IF(M19="","",SQRT(N19^2+O19^2))</f>
        <v>3.0445091822396946</v>
      </c>
      <c r="S19" s="634">
        <f>IF(M19="","",P19)</f>
        <v>-1.0354031227758187</v>
      </c>
      <c r="T19" s="635">
        <f>IF(M19="","",X19*COS(RADIANS(W19)))</f>
        <v>0.99937350337588093</v>
      </c>
      <c r="U19" s="629">
        <f>IF(M19="","",X19*SIN(RADIANS(W19)))</f>
        <v>-2.875810974576047</v>
      </c>
      <c r="V19" s="636">
        <f>IF(M19="","",Y19)</f>
        <v>-1.0354031227758187</v>
      </c>
      <c r="W19" s="585">
        <f t="shared" si="224"/>
        <v>289.16285825004877</v>
      </c>
      <c r="X19" s="629">
        <f>IF(M19="","",R19)</f>
        <v>3.0445091822396946</v>
      </c>
      <c r="Y19" s="630">
        <f t="shared" si="223"/>
        <v>-1.0354031227758187</v>
      </c>
      <c r="Z19" s="632">
        <f t="shared" si="6"/>
        <v>-0.14274013832794405</v>
      </c>
      <c r="AA19" s="629">
        <f t="shared" si="7"/>
        <v>-0.9825603802515146</v>
      </c>
      <c r="AB19" s="629">
        <f t="shared" si="8"/>
        <v>-0.1191652301223744</v>
      </c>
      <c r="AC19" s="636">
        <f>IF(M19="","",SQRT(Z19^2+AA19^2+AB19^2))</f>
        <v>1</v>
      </c>
      <c r="AD19" s="637">
        <f>IF(M19="","",Z19*(1/SQRT(Z19^2+AA19^2+AB19^2)))</f>
        <v>-0.14274013832794405</v>
      </c>
      <c r="AE19" s="629">
        <f>IF(M19="","",AA19*(1/SQRT(Z19^2+AA19^2+AB19^2)))</f>
        <v>-0.9825603802515146</v>
      </c>
      <c r="AF19" s="633">
        <f>IF(M19="","",AB19*(1/SQRT(Z19^2+AA19^2+AB19^2)))</f>
        <v>-0.1191652301223744</v>
      </c>
      <c r="AG19" s="602">
        <f>IF(M19="","",DEGREES(ATAN2(-AF19,AE19)))</f>
        <v>-83.084922403426702</v>
      </c>
      <c r="AH19" s="603">
        <f>IF(M19="","",DEGREES(ACOS(AD19)))</f>
        <v>98.206437421835233</v>
      </c>
      <c r="AI19" s="585">
        <f>IF(M19="","",DEGREES(-ACOS(-AF19)))</f>
        <v>-83.156071900837901</v>
      </c>
      <c r="AJ19" s="586">
        <f>IF(M19="","",DEGREES(ATAN2(-AE19,AD19)))</f>
        <v>-8.2657430758428116</v>
      </c>
      <c r="AK19" s="635">
        <f>IF(M19="","",(COS(RADIANS((90-$Q$8)-W19))*AD19)+(-SIN(RADIANS((90-$Q$8)-W19))*AE19))</f>
        <v>0.90497530995157383</v>
      </c>
      <c r="AL19" s="629">
        <f>IF(M19="","",(SIN(RADIANS((90-$Q$8)-W19))*AD19)+(COS(RADIANS((90-$Q$8)-W19))*AE19))</f>
        <v>-0.40843522902405788</v>
      </c>
      <c r="AM19" s="634">
        <f>IF(M19="","",AF19)</f>
        <v>-0.1191652301223744</v>
      </c>
      <c r="AN19" s="581">
        <f>IF(M19="","",DEGREES(ATAN2(-AM19,AL19)))</f>
        <v>-73.734845381576903</v>
      </c>
      <c r="AO19" s="582">
        <f t="shared" si="94"/>
        <v>25.180042069418416</v>
      </c>
      <c r="AP19" s="585">
        <f>IF(M19="","",DEGREES(ATAN2(AK19,AL19)))</f>
        <v>-24.290701778948211</v>
      </c>
      <c r="AQ19" s="586">
        <f t="shared" si="9"/>
        <v>0.74875676735023788</v>
      </c>
      <c r="AS19" s="52">
        <f t="shared" si="116"/>
        <v>-70.837141749951229</v>
      </c>
      <c r="AT19" s="72">
        <f t="shared" si="10"/>
        <v>-0.98403156631964195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3.070520892932683</v>
      </c>
      <c r="C20" s="708">
        <v>0.86009910391612954</v>
      </c>
      <c r="D20" s="709">
        <v>-1.7820053745282094</v>
      </c>
      <c r="E20" s="710">
        <v>0.33136483209844508</v>
      </c>
      <c r="F20" s="708">
        <v>0.94350270166457528</v>
      </c>
      <c r="G20" s="711">
        <v>1.3008419229360957E-7</v>
      </c>
      <c r="H20" s="710">
        <v>0.26600000000000001</v>
      </c>
      <c r="I20" s="708">
        <v>0.52</v>
      </c>
      <c r="J20" s="570">
        <v>2.1219999999999999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2.1219999999999999</v>
      </c>
      <c r="N20" s="632">
        <f t="shared" si="2"/>
        <v>3.070520892932683</v>
      </c>
      <c r="O20" s="629">
        <f t="shared" si="3"/>
        <v>0.86009910391612954</v>
      </c>
      <c r="P20" s="633">
        <f t="shared" si="4"/>
        <v>-1.7820053745282094</v>
      </c>
      <c r="Q20" s="585">
        <f t="shared" si="113"/>
        <v>15.648358757479722</v>
      </c>
      <c r="R20" s="629">
        <f>IF(M20="","",SQRT(N20^2+O20^2))</f>
        <v>3.1887096171482043</v>
      </c>
      <c r="S20" s="634">
        <f>IF(M20="","",P20)</f>
        <v>-1.7820053745282094</v>
      </c>
      <c r="T20" s="635">
        <f>IF(M20="","",X20*COS(RADIANS(W20)))</f>
        <v>1.0268877201229922</v>
      </c>
      <c r="U20" s="629">
        <f>IF(M20="","",X20*SIN(RADIANS(W20)))</f>
        <v>-3.0188359731449559</v>
      </c>
      <c r="V20" s="636">
        <f>IF(M20="","",Y20)</f>
        <v>-1.7820053745282094</v>
      </c>
      <c r="W20" s="585">
        <f t="shared" si="224"/>
        <v>288.78625830442309</v>
      </c>
      <c r="X20" s="629">
        <f>IF(M20="","",R20)</f>
        <v>3.1887096171482043</v>
      </c>
      <c r="Y20" s="630">
        <f t="shared" si="223"/>
        <v>-1.7820053745282094</v>
      </c>
      <c r="Z20" s="632">
        <f t="shared" si="6"/>
        <v>-0.33136483209844508</v>
      </c>
      <c r="AA20" s="629">
        <f t="shared" si="7"/>
        <v>-0.94350270166457528</v>
      </c>
      <c r="AB20" s="629">
        <f t="shared" si="8"/>
        <v>-1.3008419229360957E-7</v>
      </c>
      <c r="AC20" s="636">
        <f>IF(M20="","",SQRT(Z20^2+AA20^2+AB20^2))</f>
        <v>1</v>
      </c>
      <c r="AD20" s="637">
        <f>IF(M20="","",Z20*(1/SQRT(Z20^2+AA20^2+AB20^2)))</f>
        <v>-0.33136483209844508</v>
      </c>
      <c r="AE20" s="629">
        <f>IF(M20="","",AA20*(1/SQRT(Z20^2+AA20^2+AB20^2)))</f>
        <v>-0.94350270166457528</v>
      </c>
      <c r="AF20" s="633">
        <f>IF(M20="","",AB20*(1/SQRT(Z20^2+AA20^2+AB20^2)))</f>
        <v>-1.3008419229360957E-7</v>
      </c>
      <c r="AG20" s="602">
        <f>IF(M20="","",DEGREES(ATAN2(-AF20,AE20)))</f>
        <v>-89.99999210041986</v>
      </c>
      <c r="AH20" s="603">
        <f>IF(M20="","",DEGREES(ACOS(AD20)))</f>
        <v>109.3516361891454</v>
      </c>
      <c r="AI20" s="585">
        <f>IF(M20="","",DEGREES(-ACOS(-AF20)))</f>
        <v>-89.999992546724798</v>
      </c>
      <c r="AJ20" s="586">
        <f>IF(M20="","",DEGREES(ATAN2(-AE20,AD20)))</f>
        <v>-19.351636189145559</v>
      </c>
      <c r="AK20" s="635">
        <f>IF(M20="","",(COS(RADIANS((90-$Q$8)-W20))*AD20)+(-SIN(RADIANS((90-$Q$8)-W20))*AE20))</f>
        <v>0.81915209487729168</v>
      </c>
      <c r="AL20" s="629">
        <f>IF(M20="","",(SIN(RADIANS((90-$Q$8)-W20))*AD20)+(COS(RADIANS((90-$Q$8)-W20))*AE20))</f>
        <v>-0.57357636410344504</v>
      </c>
      <c r="AM20" s="634">
        <f>IF(M20="","",AF20)</f>
        <v>-1.3008419229360957E-7</v>
      </c>
      <c r="AN20" s="581">
        <f>IF(M20="","",DEGREES(ATAN2(-AM20,AL20)))</f>
        <v>-89.999987005609611</v>
      </c>
      <c r="AO20" s="582">
        <f t="shared" si="94"/>
        <v>34.999994946625982</v>
      </c>
      <c r="AP20" s="585">
        <f>IF(M20="","",DEGREES(ATAN2(AK20,AL20)))</f>
        <v>-34.9999949466253</v>
      </c>
      <c r="AQ20" s="586">
        <f t="shared" si="9"/>
        <v>0.7148999433699913</v>
      </c>
      <c r="AS20" s="52">
        <f t="shared" si="116"/>
        <v>-71.213741695576914</v>
      </c>
      <c r="AT20" s="72">
        <f t="shared" si="10"/>
        <v>-1.7303722903320147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2.1219999999999999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2.6228298933801533</v>
      </c>
      <c r="C21" s="708">
        <v>-0.14571774959140474</v>
      </c>
      <c r="D21" s="709">
        <v>-0.32679587322834791</v>
      </c>
      <c r="E21" s="710">
        <v>0.35580922104952867</v>
      </c>
      <c r="F21" s="708">
        <v>0.88230593321177708</v>
      </c>
      <c r="G21" s="711">
        <v>0.308116923318767</v>
      </c>
      <c r="H21" s="710">
        <v>0.26600000000000001</v>
      </c>
      <c r="I21" s="708">
        <v>0.52</v>
      </c>
      <c r="J21" s="570">
        <v>2.2120000000000002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2.2120000000000002</v>
      </c>
      <c r="N21" s="632">
        <f t="shared" si="2"/>
        <v>2.6228298933801533</v>
      </c>
      <c r="O21" s="629">
        <f t="shared" si="3"/>
        <v>-0.14571774959140474</v>
      </c>
      <c r="P21" s="633">
        <f t="shared" si="4"/>
        <v>-0.32679587322834791</v>
      </c>
      <c r="Q21" s="585">
        <f t="shared" si="113"/>
        <v>356.8200614759495</v>
      </c>
      <c r="R21" s="629">
        <f>IF(M21="","",SQRT(N21^2+O21^2))</f>
        <v>2.626874628175949</v>
      </c>
      <c r="S21" s="634">
        <f>IF(M21="","",P21)</f>
        <v>-0.32679587322834791</v>
      </c>
      <c r="T21" s="635">
        <f>IF(M21="","",X21*COS(RADIANS(W21)))</f>
        <v>-1.9273865088734149E-3</v>
      </c>
      <c r="U21" s="629">
        <f>IF(M21="","",X21*SIN(RADIANS(W21)))</f>
        <v>-2.6268739210962857</v>
      </c>
      <c r="V21" s="636">
        <f>IF(M21="","",Y21)</f>
        <v>-0.32679587322834791</v>
      </c>
      <c r="W21" s="585">
        <f t="shared" si="224"/>
        <v>269.95796102289285</v>
      </c>
      <c r="X21" s="629">
        <f>IF(M21="","",R21)</f>
        <v>2.626874628175949</v>
      </c>
      <c r="Y21" s="630">
        <f t="shared" si="223"/>
        <v>-0.32679587322834791</v>
      </c>
      <c r="Z21" s="632">
        <f t="shared" si="6"/>
        <v>-0.35580922104952867</v>
      </c>
      <c r="AA21" s="629">
        <f t="shared" si="7"/>
        <v>-0.88230593321177708</v>
      </c>
      <c r="AB21" s="629">
        <f t="shared" si="8"/>
        <v>-0.308116923318767</v>
      </c>
      <c r="AC21" s="636">
        <f>IF(M21="","",SQRT(Z21^2+AA21^2+AB21^2))</f>
        <v>1</v>
      </c>
      <c r="AD21" s="637">
        <f>IF(M21="","",Z21*(1/SQRT(Z21^2+AA21^2+AB21^2)))</f>
        <v>-0.35580922104952867</v>
      </c>
      <c r="AE21" s="629">
        <f>IF(M21="","",AA21*(1/SQRT(Z21^2+AA21^2+AB21^2)))</f>
        <v>-0.88230593321177708</v>
      </c>
      <c r="AF21" s="633">
        <f>IF(M21="","",AB21*(1/SQRT(Z21^2+AA21^2+AB21^2)))</f>
        <v>-0.308116923318767</v>
      </c>
      <c r="AG21" s="602">
        <f>IF(M21="","",DEGREES(ATAN2(-AF21,AE21)))</f>
        <v>-70.74989014475112</v>
      </c>
      <c r="AH21" s="603">
        <f>IF(M21="","",DEGREES(ACOS(AD21)))</f>
        <v>110.84304781488471</v>
      </c>
      <c r="AI21" s="585">
        <f>IF(M21="","",DEGREES(-ACOS(-AF21)))</f>
        <v>-72.054215867377863</v>
      </c>
      <c r="AJ21" s="586">
        <f>IF(M21="","",DEGREES(ATAN2(-AE21,AD21)))</f>
        <v>-21.962837334882256</v>
      </c>
      <c r="AK21" s="635">
        <f>IF(M21="","",(COS(RADIANS((90-$Q$8)-W21))*AD21)+(-SIN(RADIANS((90-$Q$8)-W21))*AE21))</f>
        <v>0.90068481774199682</v>
      </c>
      <c r="AL21" s="629">
        <f>IF(M21="","",(SIN(RADIANS((90-$Q$8)-W21))*AD21)+(COS(RADIANS((90-$Q$8)-W21))*AE21))</f>
        <v>-0.30631816899041964</v>
      </c>
      <c r="AM21" s="634">
        <f>IF(M21="","",AF21)</f>
        <v>-0.308116923318767</v>
      </c>
      <c r="AN21" s="581">
        <f>IF(M21="","",DEGREES(ATAN2(-AM21,AL21)))</f>
        <v>-44.832267495349257</v>
      </c>
      <c r="AO21" s="582">
        <f>IF(ROUND(IF(M21="",0,DEGREES(ACOS(AK21))),4)=90,0,IF(M21="","",DEGREES(ACOS(AK21))))</f>
        <v>25.751770016553262</v>
      </c>
      <c r="AP21" s="585">
        <f>IF(M21="","",DEGREES(ATAN2(AK21,AL21)))</f>
        <v>-18.78289881083175</v>
      </c>
      <c r="AQ21" s="586">
        <f t="shared" si="9"/>
        <v>0.86778116057099464</v>
      </c>
      <c r="AS21" s="52">
        <f t="shared" si="116"/>
        <v>-90.042038977107154</v>
      </c>
      <c r="AT21" s="72">
        <f t="shared" si="10"/>
        <v>-0.26208758258664616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2.2120000000000002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2.1120000000000001</v>
      </c>
      <c r="II21" s="734" cm="1">
        <f t="array" ref="II21">IFERROR(ROUND(VALUE(IF($IH21&lt;1,$IH21+LARGE((IF($M$9:$M$150="",0,$M$9:$M$150)-MOD(IF($M$9:$M$150="",0,$M$9:$M$150),1)),1),$IH21)),4),"")</f>
        <v>2.1120000000000001</v>
      </c>
      <c r="IJ21" s="533">
        <f t="shared" si="112"/>
        <v>1613</v>
      </c>
      <c r="IK21" s="533">
        <f t="shared" si="66"/>
        <v>1313</v>
      </c>
      <c r="IL21" s="727">
        <f t="shared" si="225"/>
        <v>20.343597062748017</v>
      </c>
      <c r="IM21" s="759">
        <v>1.7601201934537399E-2</v>
      </c>
      <c r="IN21" s="5">
        <f t="shared" si="226"/>
        <v>0.38</v>
      </c>
      <c r="IO21" s="771">
        <v>190</v>
      </c>
      <c r="IP21" s="9">
        <f t="shared" si="227"/>
        <v>-2.5958078289564117</v>
      </c>
      <c r="IQ21" s="5">
        <f t="shared" si="228"/>
        <v>-0.35800107973125644</v>
      </c>
      <c r="IR21" s="5">
        <f t="shared" si="71"/>
        <v>0.314</v>
      </c>
      <c r="IS21" s="5">
        <f t="shared" si="229"/>
        <v>0.30141894714513123</v>
      </c>
      <c r="IT21" s="727">
        <f t="shared" si="230"/>
        <v>53.384005808077291</v>
      </c>
      <c r="IU21" s="9">
        <f t="shared" si="231"/>
        <v>-2.626874628175949</v>
      </c>
      <c r="IV21" s="5">
        <f t="shared" si="232"/>
        <v>-0.32679587322834791</v>
      </c>
      <c r="IW21" s="5">
        <f t="shared" si="76"/>
        <v>0.26600000000000001</v>
      </c>
      <c r="IX21" s="5">
        <f t="shared" si="233"/>
        <v>0.23958216151937117</v>
      </c>
      <c r="IY21" s="762">
        <f t="shared" si="234"/>
        <v>44.832267495349257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3.0850961604212999</v>
      </c>
      <c r="C22" s="708">
        <v>-0.18645181299871466</v>
      </c>
      <c r="D22" s="709">
        <v>-1.0246906793521069</v>
      </c>
      <c r="E22" s="710">
        <v>0.5349876143544553</v>
      </c>
      <c r="F22" s="708">
        <v>0.82713372450310396</v>
      </c>
      <c r="G22" s="711">
        <v>0.1721570628146058</v>
      </c>
      <c r="H22" s="710">
        <v>0.26600000000000001</v>
      </c>
      <c r="I22" s="708">
        <v>0.52</v>
      </c>
      <c r="J22" s="570">
        <v>2.2170000000000001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2.2170000000000001</v>
      </c>
      <c r="N22" s="632">
        <f t="shared" si="2"/>
        <v>3.0850961604212999</v>
      </c>
      <c r="O22" s="629">
        <f t="shared" si="3"/>
        <v>-0.18645181299871466</v>
      </c>
      <c r="P22" s="633">
        <f t="shared" si="4"/>
        <v>-1.0246906793521069</v>
      </c>
      <c r="Q22" s="585">
        <f t="shared" si="113"/>
        <v>356.54146151617437</v>
      </c>
      <c r="R22" s="629">
        <f t="shared" si="79"/>
        <v>3.0907252543079196</v>
      </c>
      <c r="S22" s="634">
        <f t="shared" si="80"/>
        <v>-1.0246906793521069</v>
      </c>
      <c r="T22" s="635">
        <f t="shared" si="81"/>
        <v>-1.7296242332708062E-2</v>
      </c>
      <c r="U22" s="629">
        <f t="shared" si="82"/>
        <v>-3.0906768575213297</v>
      </c>
      <c r="V22" s="636">
        <f t="shared" si="114"/>
        <v>-1.0246906793521069</v>
      </c>
      <c r="W22" s="585">
        <f t="shared" si="224"/>
        <v>269.67936106311771</v>
      </c>
      <c r="X22" s="629">
        <f t="shared" si="83"/>
        <v>3.0907252543079196</v>
      </c>
      <c r="Y22" s="630">
        <f t="shared" si="223"/>
        <v>-1.0246906793521069</v>
      </c>
      <c r="Z22" s="632">
        <f t="shared" si="6"/>
        <v>-0.5349876143544553</v>
      </c>
      <c r="AA22" s="629">
        <f t="shared" si="7"/>
        <v>-0.82713372450310396</v>
      </c>
      <c r="AB22" s="629">
        <f t="shared" si="8"/>
        <v>-0.1721570628146058</v>
      </c>
      <c r="AC22" s="636">
        <f t="shared" si="84"/>
        <v>1</v>
      </c>
      <c r="AD22" s="637">
        <f t="shared" si="115"/>
        <v>-0.5349876143544553</v>
      </c>
      <c r="AE22" s="629">
        <f t="shared" si="85"/>
        <v>-0.82713372450310396</v>
      </c>
      <c r="AF22" s="633">
        <f t="shared" si="86"/>
        <v>-0.1721570628146058</v>
      </c>
      <c r="AG22" s="602">
        <f t="shared" si="87"/>
        <v>-78.242497225078338</v>
      </c>
      <c r="AH22" s="603">
        <f t="shared" si="88"/>
        <v>122.34307145324806</v>
      </c>
      <c r="AI22" s="585">
        <f t="shared" si="89"/>
        <v>-80.086741009663655</v>
      </c>
      <c r="AJ22" s="586">
        <f t="shared" si="90"/>
        <v>-32.894667648656913</v>
      </c>
      <c r="AK22" s="635">
        <f t="shared" si="211"/>
        <v>0.85790106530885324</v>
      </c>
      <c r="AL22" s="629">
        <f t="shared" si="91"/>
        <v>-0.48411538693268447</v>
      </c>
      <c r="AM22" s="634">
        <f t="shared" si="92"/>
        <v>-0.1721570628146058</v>
      </c>
      <c r="AN22" s="581">
        <f t="shared" si="93"/>
        <v>-70.424021870818038</v>
      </c>
      <c r="AO22" s="582">
        <f t="shared" si="94"/>
        <v>30.918274800005548</v>
      </c>
      <c r="AP22" s="585">
        <f t="shared" si="95"/>
        <v>-29.436129164831261</v>
      </c>
      <c r="AQ22" s="586">
        <f t="shared" si="9"/>
        <v>0.73756174285549025</v>
      </c>
      <c r="AS22" s="52">
        <f t="shared" si="116"/>
        <v>-90.32063893688229</v>
      </c>
      <c r="AT22" s="72">
        <f t="shared" si="10"/>
        <v>-0.95978891651611686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2.2170000000000001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2.117</v>
      </c>
      <c r="II22" s="734" cm="1">
        <f t="array" ref="II22">IFERROR(ROUND(VALUE(IF($IH22&lt;1,$IH22+LARGE((IF($M$9:$M$150="",0,$M$9:$M$150)-MOD(IF($M$9:$M$150="",0,$M$9:$M$150),1)),1),$IH22)),4),"")</f>
        <v>2.117</v>
      </c>
      <c r="IJ22" s="533">
        <f t="shared" si="112"/>
        <v>1613</v>
      </c>
      <c r="IK22" s="533">
        <f t="shared" si="66"/>
        <v>1313</v>
      </c>
      <c r="IL22" s="727">
        <f t="shared" si="225"/>
        <v>19.483497186931061</v>
      </c>
      <c r="IM22" s="759">
        <v>7.5900186691075797E-3</v>
      </c>
      <c r="IN22" s="5">
        <f t="shared" si="226"/>
        <v>0.36</v>
      </c>
      <c r="IO22" s="771">
        <v>180</v>
      </c>
      <c r="IP22" s="9">
        <f t="shared" si="227"/>
        <v>-3.0445091822396946</v>
      </c>
      <c r="IQ22" s="5">
        <f t="shared" si="228"/>
        <v>-1.0354031227758187</v>
      </c>
      <c r="IR22" s="5">
        <f t="shared" si="71"/>
        <v>0.314</v>
      </c>
      <c r="IS22" s="5">
        <f t="shared" si="229"/>
        <v>0.28416224732479417</v>
      </c>
      <c r="IT22" s="727">
        <f t="shared" si="230"/>
        <v>73.734845381576903</v>
      </c>
      <c r="IU22" s="9">
        <f t="shared" si="231"/>
        <v>-3.0907252543079196</v>
      </c>
      <c r="IV22" s="5">
        <f t="shared" si="232"/>
        <v>-1.0246906793521069</v>
      </c>
      <c r="IW22" s="5">
        <f t="shared" si="76"/>
        <v>0.26600000000000001</v>
      </c>
      <c r="IX22" s="5">
        <f t="shared" si="233"/>
        <v>0.22820168337215496</v>
      </c>
      <c r="IY22" s="762">
        <f t="shared" si="234"/>
        <v>70.424021870818038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0.50233936932589784</v>
      </c>
      <c r="C23" s="708">
        <v>-0.71741579627497132</v>
      </c>
      <c r="D23" s="709">
        <v>-0.17570052991279825</v>
      </c>
      <c r="E23" s="710">
        <v>0.76546194362595554</v>
      </c>
      <c r="F23" s="708">
        <v>0.59084739713371681</v>
      </c>
      <c r="G23" s="711">
        <v>0.25488696742024014</v>
      </c>
      <c r="H23" s="710">
        <v>0.314</v>
      </c>
      <c r="I23" s="708">
        <v>0.52</v>
      </c>
      <c r="J23" s="570">
        <v>3.1030000000000002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3.1030000000000002</v>
      </c>
      <c r="N23" s="632">
        <f t="shared" si="2"/>
        <v>0.50233936932589784</v>
      </c>
      <c r="O23" s="629">
        <f t="shared" si="3"/>
        <v>-0.71741579627497132</v>
      </c>
      <c r="P23" s="633">
        <f t="shared" si="4"/>
        <v>-0.17570052991279825</v>
      </c>
      <c r="Q23" s="585">
        <f t="shared" si="113"/>
        <v>304.99996895784517</v>
      </c>
      <c r="R23" s="629">
        <f t="shared" si="79"/>
        <v>0.87580264142076658</v>
      </c>
      <c r="S23" s="634">
        <f t="shared" si="80"/>
        <v>-0.17570052991279825</v>
      </c>
      <c r="T23" s="635">
        <f t="shared" si="81"/>
        <v>-0.68884245264373023</v>
      </c>
      <c r="U23" s="629">
        <f t="shared" si="82"/>
        <v>-0.54085704410256319</v>
      </c>
      <c r="V23" s="636">
        <f t="shared" si="114"/>
        <v>-0.17570052991279825</v>
      </c>
      <c r="W23" s="585">
        <f t="shared" si="224"/>
        <v>218.13786850478851</v>
      </c>
      <c r="X23" s="629">
        <f t="shared" si="83"/>
        <v>0.87580264142076658</v>
      </c>
      <c r="Y23" s="630">
        <f t="shared" si="223"/>
        <v>-0.17570052991279825</v>
      </c>
      <c r="Z23" s="632">
        <f t="shared" si="6"/>
        <v>-0.76546194362595554</v>
      </c>
      <c r="AA23" s="629">
        <f t="shared" si="7"/>
        <v>-0.59084739713371681</v>
      </c>
      <c r="AB23" s="629">
        <f t="shared" si="8"/>
        <v>-0.25488696742024014</v>
      </c>
      <c r="AC23" s="636">
        <f t="shared" si="84"/>
        <v>1</v>
      </c>
      <c r="AD23" s="637">
        <f t="shared" si="115"/>
        <v>-0.76546194362595554</v>
      </c>
      <c r="AE23" s="629">
        <f t="shared" si="85"/>
        <v>-0.59084739713371681</v>
      </c>
      <c r="AF23" s="633">
        <f t="shared" si="86"/>
        <v>-0.25488696742024014</v>
      </c>
      <c r="AG23" s="602">
        <f t="shared" si="87"/>
        <v>-66.665008726918458</v>
      </c>
      <c r="AH23" s="603">
        <f t="shared" si="88"/>
        <v>139.94810608664307</v>
      </c>
      <c r="AI23" s="585">
        <f t="shared" si="89"/>
        <v>-75.233112454846449</v>
      </c>
      <c r="AJ23" s="586">
        <f t="shared" si="90"/>
        <v>-52.336044207908316</v>
      </c>
      <c r="AK23" s="635">
        <f t="shared" si="211"/>
        <v>0.96592583607220739</v>
      </c>
      <c r="AL23" s="629">
        <f t="shared" si="91"/>
        <v>4.4943442764441732E-2</v>
      </c>
      <c r="AM23" s="634">
        <f t="shared" si="92"/>
        <v>-0.25488696742024014</v>
      </c>
      <c r="AN23" s="581">
        <f t="shared" si="93"/>
        <v>9.9999985561788343</v>
      </c>
      <c r="AO23" s="582">
        <f t="shared" si="94"/>
        <v>14.999997834268255</v>
      </c>
      <c r="AP23" s="585">
        <f t="shared" si="95"/>
        <v>2.6639868342465127</v>
      </c>
      <c r="AQ23" s="586">
        <f t="shared" si="9"/>
        <v>2.6012254573018554</v>
      </c>
      <c r="AS23" s="52">
        <f t="shared" si="116"/>
        <v>-141.86213149521149</v>
      </c>
      <c r="AT23" s="72">
        <f t="shared" si="10"/>
        <v>-7.5006063911301837E-2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3.1030000000000002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10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6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190</v>
      </c>
      <c r="JI23" s="801">
        <v>180</v>
      </c>
    </row>
    <row r="24" spans="1:269" ht="15" customHeight="1" x14ac:dyDescent="0.25">
      <c r="A24" s="79"/>
      <c r="B24" s="707">
        <v>0.94351570392645068</v>
      </c>
      <c r="C24" s="708">
        <v>-1.3878581861183936</v>
      </c>
      <c r="D24" s="709">
        <v>-4.7900144466835715E-2</v>
      </c>
      <c r="E24" s="710">
        <v>0.83680526554273882</v>
      </c>
      <c r="F24" s="708">
        <v>0.50304053458279352</v>
      </c>
      <c r="G24" s="711">
        <v>0.21611841228040715</v>
      </c>
      <c r="H24" s="710">
        <v>0.314</v>
      </c>
      <c r="I24" s="708">
        <v>0.52</v>
      </c>
      <c r="J24" s="570">
        <v>3.1059999999999999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3.1059999999999999</v>
      </c>
      <c r="N24" s="632">
        <f t="shared" si="2"/>
        <v>0.94351570392645068</v>
      </c>
      <c r="O24" s="629">
        <f t="shared" si="3"/>
        <v>-1.3878581861183936</v>
      </c>
      <c r="P24" s="633">
        <f t="shared" si="4"/>
        <v>-4.7900144466835715E-2</v>
      </c>
      <c r="Q24" s="585">
        <f t="shared" si="113"/>
        <v>304.20926907200811</v>
      </c>
      <c r="R24" s="629">
        <f t="shared" si="79"/>
        <v>1.6782050614664654</v>
      </c>
      <c r="S24" s="634">
        <f t="shared" si="80"/>
        <v>-4.7900144466835715E-2</v>
      </c>
      <c r="T24" s="635">
        <f t="shared" si="81"/>
        <v>-1.3341299490259162</v>
      </c>
      <c r="U24" s="629">
        <f t="shared" si="82"/>
        <v>-1.0180714648018425</v>
      </c>
      <c r="V24" s="636">
        <f t="shared" si="114"/>
        <v>-4.7900144466835715E-2</v>
      </c>
      <c r="W24" s="585">
        <f t="shared" si="224"/>
        <v>217.34716861895146</v>
      </c>
      <c r="X24" s="629">
        <f t="shared" si="83"/>
        <v>1.6782050614664654</v>
      </c>
      <c r="Y24" s="630">
        <f t="shared" si="223"/>
        <v>-4.7900144466835715E-2</v>
      </c>
      <c r="Z24" s="632">
        <f t="shared" si="6"/>
        <v>-0.83680526554273882</v>
      </c>
      <c r="AA24" s="629">
        <f t="shared" si="7"/>
        <v>-0.50304053458279352</v>
      </c>
      <c r="AB24" s="629">
        <f t="shared" si="8"/>
        <v>-0.21611841228040715</v>
      </c>
      <c r="AC24" s="636">
        <f t="shared" si="84"/>
        <v>1</v>
      </c>
      <c r="AD24" s="637">
        <f t="shared" si="115"/>
        <v>-0.83680526554273882</v>
      </c>
      <c r="AE24" s="629">
        <f t="shared" si="85"/>
        <v>-0.50304053458279352</v>
      </c>
      <c r="AF24" s="633">
        <f t="shared" si="86"/>
        <v>-0.21611841228040715</v>
      </c>
      <c r="AG24" s="602">
        <f t="shared" si="87"/>
        <v>-66.750467049979079</v>
      </c>
      <c r="AH24" s="603">
        <f t="shared" si="88"/>
        <v>146.80428537849923</v>
      </c>
      <c r="AI24" s="585">
        <f t="shared" si="89"/>
        <v>-77.518849640325953</v>
      </c>
      <c r="AJ24" s="586">
        <f t="shared" si="90"/>
        <v>-58.988068407855351</v>
      </c>
      <c r="AK24" s="635">
        <f>IF(M24="","",(COS(RADIANS((90-$Q$8)-W24))*AD24)+(-SIN(RADIANS((90-$Q$8)-W24))*AE24))</f>
        <v>0.9748473053890736</v>
      </c>
      <c r="AL24" s="629">
        <f t="shared" si="91"/>
        <v>-5.4456983473733067E-2</v>
      </c>
      <c r="AM24" s="634">
        <f t="shared" si="92"/>
        <v>-0.21611841228040715</v>
      </c>
      <c r="AN24" s="581">
        <f t="shared" si="93"/>
        <v>-14.142832863283939</v>
      </c>
      <c r="AO24" s="582">
        <f t="shared" si="94"/>
        <v>12.877881445238692</v>
      </c>
      <c r="AP24" s="585">
        <f t="shared" si="95"/>
        <v>-3.1973374798634473</v>
      </c>
      <c r="AQ24" s="586">
        <f t="shared" si="9"/>
        <v>1.3581770590207345</v>
      </c>
      <c r="AS24" s="52">
        <f t="shared" si="116"/>
        <v>-142.65283138104854</v>
      </c>
      <c r="AT24" s="72">
        <f t="shared" si="10"/>
        <v>5.3343418677603102E-2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1.3225439252318301</v>
      </c>
      <c r="C25" s="708">
        <v>-2.0767403645131552</v>
      </c>
      <c r="D25" s="709">
        <v>-0.26140078838477782</v>
      </c>
      <c r="E25" s="710">
        <v>0.91902106457374266</v>
      </c>
      <c r="F25" s="708">
        <v>0.35355141616165287</v>
      </c>
      <c r="G25" s="711">
        <v>0.17436077253738749</v>
      </c>
      <c r="H25" s="710">
        <v>0.314</v>
      </c>
      <c r="I25" s="708">
        <v>0.52</v>
      </c>
      <c r="J25" s="570">
        <v>3.1110000000000002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3.1110000000000002</v>
      </c>
      <c r="N25" s="632">
        <f t="shared" si="2"/>
        <v>1.3225439252318301</v>
      </c>
      <c r="O25" s="629">
        <f t="shared" si="3"/>
        <v>-2.0767403645131552</v>
      </c>
      <c r="P25" s="633">
        <f t="shared" si="4"/>
        <v>-0.26140078838477782</v>
      </c>
      <c r="Q25" s="585">
        <f t="shared" si="113"/>
        <v>302.49046932017211</v>
      </c>
      <c r="R25" s="629">
        <f>IF(M25="","",SQRT(N25^2+O25^2))</f>
        <v>2.4621074257159963</v>
      </c>
      <c r="S25" s="634">
        <f>IF(M25="","",P25)</f>
        <v>-0.26140078838477782</v>
      </c>
      <c r="T25" s="635">
        <f>IF(M25="","",X25*COS(RADIANS(W25)))</f>
        <v>-2.0012315313514226</v>
      </c>
      <c r="U25" s="629">
        <f>IF(M25="","",X25*SIN(RADIANS(W25)))</f>
        <v>-1.434240333309132</v>
      </c>
      <c r="V25" s="636">
        <f>IF(M25="","",Y25)</f>
        <v>-0.26140078838477782</v>
      </c>
      <c r="W25" s="585">
        <f t="shared" si="224"/>
        <v>215.62836886711546</v>
      </c>
      <c r="X25" s="629">
        <f>IF(M25="","",R25)</f>
        <v>2.4621074257159963</v>
      </c>
      <c r="Y25" s="630">
        <f t="shared" si="223"/>
        <v>-0.26140078838477782</v>
      </c>
      <c r="Z25" s="632">
        <f t="shared" si="6"/>
        <v>-0.91902106457374266</v>
      </c>
      <c r="AA25" s="629">
        <f t="shared" si="7"/>
        <v>-0.35355141616165287</v>
      </c>
      <c r="AB25" s="629">
        <f t="shared" si="8"/>
        <v>-0.17436077253738749</v>
      </c>
      <c r="AC25" s="636">
        <f>IF(M25="","",SQRT(Z25^2+AA25^2+AB25^2))</f>
        <v>1</v>
      </c>
      <c r="AD25" s="637">
        <f>IF(M25="","",Z25*(1/SQRT(Z25^2+AA25^2+AB25^2)))</f>
        <v>-0.91902106457374266</v>
      </c>
      <c r="AE25" s="629">
        <f>IF(M25="","",AA25*(1/SQRT(Z25^2+AA25^2+AB25^2)))</f>
        <v>-0.35355141616165287</v>
      </c>
      <c r="AF25" s="633">
        <f>IF(M25="","",AB25*(1/SQRT(Z25^2+AA25^2+AB25^2)))</f>
        <v>-0.17436077253738749</v>
      </c>
      <c r="AG25" s="602">
        <f>IF(M25="","",DEGREES(ATAN2(-AF25,AE25)))</f>
        <v>-63.748890836985844</v>
      </c>
      <c r="AH25" s="603">
        <f>IF(M25="","",DEGREES(ACOS(AD25)))</f>
        <v>156.7833852588374</v>
      </c>
      <c r="AI25" s="585">
        <f>IF(M25="","",DEGREES(-ACOS(-AF25)))</f>
        <v>-79.95853882447922</v>
      </c>
      <c r="AJ25" s="586">
        <f>IF(M25="","",DEGREES(ATAN2(-AE25,AD25)))</f>
        <v>-68.958047831723718</v>
      </c>
      <c r="AK25" s="635">
        <f>IF(M25="","",(COS(RADIANS((90-$Q$8)-W25))*AD25)+(-SIN(RADIANS((90-$Q$8)-W25))*AE25))</f>
        <v>0.96509006614479698</v>
      </c>
      <c r="AL25" s="629">
        <f>IF(M25="","",(SIN(RADIANS((90-$Q$8)-W25))*AD25)+(COS(RADIANS((90-$Q$8)-W25))*AE25))</f>
        <v>-0.1954468859531836</v>
      </c>
      <c r="AM25" s="634">
        <f>IF(M25="","",AF25)</f>
        <v>-0.17436077253738749</v>
      </c>
      <c r="AN25" s="581">
        <f>IF(M25="","",DEGREES(ATAN2(-AM25,AL25)))</f>
        <v>-48.263422282991677</v>
      </c>
      <c r="AO25" s="582">
        <f>IF(ROUND(IF(M25="",0,DEGREES(ACOS(AK25))),4)=90,0,IF(M25="","",DEGREES(ACOS(AK25))))</f>
        <v>15.183914189531215</v>
      </c>
      <c r="AP25" s="585">
        <f>IF(M25="","",DEGREES(ATAN2(AK25,AL25)))</f>
        <v>-11.448517151895842</v>
      </c>
      <c r="AQ25" s="586">
        <f t="shared" si="9"/>
        <v>0.92584433221896045</v>
      </c>
      <c r="AS25" s="52">
        <f t="shared" si="116"/>
        <v>-144.37163113288454</v>
      </c>
      <c r="AT25" s="72">
        <f t="shared" si="10"/>
        <v>-0.158963614301564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3.1110000000000002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1.5468650937418587</v>
      </c>
      <c r="C26" s="708">
        <v>-2.5572621984863746</v>
      </c>
      <c r="D26" s="709">
        <v>-0.88020265469120595</v>
      </c>
      <c r="E26" s="710">
        <v>0.97689580825795896</v>
      </c>
      <c r="F26" s="708">
        <v>0.1726271808922909</v>
      </c>
      <c r="G26" s="711">
        <v>0.1259937943916668</v>
      </c>
      <c r="H26" s="710">
        <v>0.314</v>
      </c>
      <c r="I26" s="708">
        <v>0.52</v>
      </c>
      <c r="J26" s="570">
        <v>3.1160000000000001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3.1160000000000001</v>
      </c>
      <c r="N26" s="632">
        <f t="shared" si="2"/>
        <v>1.5468650937418587</v>
      </c>
      <c r="O26" s="629">
        <f t="shared" si="3"/>
        <v>-2.5572621984863746</v>
      </c>
      <c r="P26" s="633">
        <f t="shared" si="4"/>
        <v>-0.88020265469120595</v>
      </c>
      <c r="Q26" s="585">
        <f t="shared" si="113"/>
        <v>301.16936951091532</v>
      </c>
      <c r="R26" s="629">
        <f>IF(M26="","",SQRT(N26^2+O26^2))</f>
        <v>2.988709013946385</v>
      </c>
      <c r="S26" s="634">
        <f>IF(M26="","",P26)</f>
        <v>-0.88020265469120595</v>
      </c>
      <c r="T26" s="635">
        <f>IF(M26="","",X26*COS(RADIANS(W26)))</f>
        <v>-2.468753724586096</v>
      </c>
      <c r="U26" s="629">
        <f>IF(M26="","",X26*SIN(RADIANS(W26)))</f>
        <v>-1.6845286039087166</v>
      </c>
      <c r="V26" s="636">
        <f>IF(M26="","",Y26)</f>
        <v>-0.88020265469120595</v>
      </c>
      <c r="W26" s="585">
        <f t="shared" si="224"/>
        <v>214.30726905785866</v>
      </c>
      <c r="X26" s="629">
        <f>IF(M26="","",R26)</f>
        <v>2.988709013946385</v>
      </c>
      <c r="Y26" s="630">
        <f t="shared" si="223"/>
        <v>-0.88020265469120595</v>
      </c>
      <c r="Z26" s="632">
        <f t="shared" si="6"/>
        <v>-0.97689580825795896</v>
      </c>
      <c r="AA26" s="629">
        <f t="shared" si="7"/>
        <v>-0.1726271808922909</v>
      </c>
      <c r="AB26" s="629">
        <f t="shared" si="8"/>
        <v>-0.1259937943916668</v>
      </c>
      <c r="AC26" s="636">
        <f>IF(M26="","",SQRT(Z26^2+AA26^2+AB26^2))</f>
        <v>1</v>
      </c>
      <c r="AD26" s="637">
        <f>IF(M26="","",Z26*(1/SQRT(Z26^2+AA26^2+AB26^2)))</f>
        <v>-0.97689580825795896</v>
      </c>
      <c r="AE26" s="629">
        <f>IF(M26="","",AA26*(1/SQRT(Z26^2+AA26^2+AB26^2)))</f>
        <v>-0.1726271808922909</v>
      </c>
      <c r="AF26" s="633">
        <f>IF(M26="","",AB26*(1/SQRT(Z26^2+AA26^2+AB26^2)))</f>
        <v>-0.1259937943916668</v>
      </c>
      <c r="AG26" s="602">
        <f>IF(M26="","",DEGREES(ATAN2(-AF26,AE26)))</f>
        <v>-53.875763020785449</v>
      </c>
      <c r="AH26" s="603">
        <f>IF(M26="","",DEGREES(ACOS(AD26)))</f>
        <v>167.6597842306781</v>
      </c>
      <c r="AI26" s="585">
        <f>IF(M26="","",DEGREES(-ACOS(-AF26)))</f>
        <v>-82.761850235564097</v>
      </c>
      <c r="AJ26" s="586">
        <f>IF(M26="","",DEGREES(ATAN2(-AE26,AD26)))</f>
        <v>-79.978722141797334</v>
      </c>
      <c r="AK26" s="635">
        <f>IF(M26="","",(COS(RADIANS((90-$Q$8)-W26))*AD26)+(-SIN(RADIANS((90-$Q$8)-W26))*AE26))</f>
        <v>0.92521877163944721</v>
      </c>
      <c r="AL26" s="629">
        <f>IF(M26="","",(SIN(RADIANS((90-$Q$8)-W26))*AD26)+(COS(RADIANS((90-$Q$8)-W26))*AE26))</f>
        <v>-0.35790471969615467</v>
      </c>
      <c r="AM26" s="634">
        <f>IF(M26="","",AF26)</f>
        <v>-0.1259937943916668</v>
      </c>
      <c r="AN26" s="581">
        <f>IF(M26="","",DEGREES(ATAN2(-AM26,AL26)))</f>
        <v>-70.606317246566647</v>
      </c>
      <c r="AO26" s="582">
        <f t="shared" si="94"/>
        <v>22.298632969049692</v>
      </c>
      <c r="AP26" s="585">
        <f>IF(M26="","",DEGREES(ATAN2(AK26,AL26)))</f>
        <v>-21.148091652712633</v>
      </c>
      <c r="AQ26" s="586">
        <f t="shared" si="9"/>
        <v>0.76273466305789472</v>
      </c>
      <c r="AS26" s="52">
        <f t="shared" si="116"/>
        <v>-145.69273094214134</v>
      </c>
      <c r="AT26" s="72">
        <f t="shared" si="10"/>
        <v>-0.77684805018489711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3.1160000000000001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1.6255017415860966</v>
      </c>
      <c r="C27" s="708">
        <v>-2.7432850946618763</v>
      </c>
      <c r="D27" s="709">
        <v>-1.6449049610333624</v>
      </c>
      <c r="E27" s="710">
        <v>0.99711717047608439</v>
      </c>
      <c r="F27" s="708">
        <v>-7.5877192500451579E-2</v>
      </c>
      <c r="G27" s="711">
        <v>1.3008419233814161E-7</v>
      </c>
      <c r="H27" s="710">
        <v>0.26600000000000001</v>
      </c>
      <c r="I27" s="708">
        <v>0.52</v>
      </c>
      <c r="J27" s="570">
        <v>3.121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3.121</v>
      </c>
      <c r="N27" s="632">
        <f t="shared" si="2"/>
        <v>1.6255017415860966</v>
      </c>
      <c r="O27" s="629">
        <f t="shared" si="3"/>
        <v>-2.7432850946618763</v>
      </c>
      <c r="P27" s="633">
        <f t="shared" si="4"/>
        <v>-1.6449049610333624</v>
      </c>
      <c r="Q27" s="585">
        <f t="shared" si="113"/>
        <v>300.64836958613836</v>
      </c>
      <c r="R27" s="629">
        <f t="shared" si="79"/>
        <v>3.1887096171482052</v>
      </c>
      <c r="S27" s="634">
        <f t="shared" si="80"/>
        <v>-1.6449049610333624</v>
      </c>
      <c r="T27" s="635">
        <f t="shared" si="81"/>
        <v>-2.6501931975085675</v>
      </c>
      <c r="U27" s="629">
        <f t="shared" si="82"/>
        <v>-1.7732301143316875</v>
      </c>
      <c r="V27" s="636">
        <f t="shared" si="114"/>
        <v>-1.6449049610333624</v>
      </c>
      <c r="W27" s="585">
        <f t="shared" si="224"/>
        <v>213.7862691330817</v>
      </c>
      <c r="X27" s="629">
        <f t="shared" si="83"/>
        <v>3.1887096171482052</v>
      </c>
      <c r="Y27" s="630">
        <f t="shared" si="223"/>
        <v>-1.6449049610333624</v>
      </c>
      <c r="Z27" s="632">
        <f t="shared" si="6"/>
        <v>-0.99711717047608439</v>
      </c>
      <c r="AA27" s="629">
        <f t="shared" si="7"/>
        <v>7.5877192500451579E-2</v>
      </c>
      <c r="AB27" s="629">
        <f t="shared" si="8"/>
        <v>-1.3008419233814161E-7</v>
      </c>
      <c r="AC27" s="636">
        <f t="shared" si="84"/>
        <v>1</v>
      </c>
      <c r="AD27" s="637">
        <f t="shared" si="115"/>
        <v>-0.99711717047608439</v>
      </c>
      <c r="AE27" s="629">
        <f t="shared" si="85"/>
        <v>7.5877192500451579E-2</v>
      </c>
      <c r="AF27" s="633">
        <f t="shared" si="86"/>
        <v>-1.3008419233814161E-7</v>
      </c>
      <c r="AG27" s="602">
        <f t="shared" si="87"/>
        <v>89.999901771863762</v>
      </c>
      <c r="AH27" s="603">
        <f t="shared" si="88"/>
        <v>175.64837463950684</v>
      </c>
      <c r="AI27" s="585">
        <f t="shared" si="89"/>
        <v>-89.999992546724798</v>
      </c>
      <c r="AJ27" s="586">
        <f t="shared" si="90"/>
        <v>-94.351625360486892</v>
      </c>
      <c r="AK27" s="635">
        <f t="shared" si="211"/>
        <v>0.81915209487729235</v>
      </c>
      <c r="AL27" s="629">
        <f t="shared" si="91"/>
        <v>-0.57357636410344415</v>
      </c>
      <c r="AM27" s="634">
        <f t="shared" si="92"/>
        <v>-1.3008419233814161E-7</v>
      </c>
      <c r="AN27" s="581">
        <f t="shared" si="93"/>
        <v>-89.999987005609597</v>
      </c>
      <c r="AO27" s="582">
        <f t="shared" si="94"/>
        <v>34.999994946625911</v>
      </c>
      <c r="AP27" s="585">
        <f t="shared" si="95"/>
        <v>-34.999994946625236</v>
      </c>
      <c r="AQ27" s="586">
        <f t="shared" si="9"/>
        <v>0.71489994336999108</v>
      </c>
      <c r="AS27" s="52">
        <f t="shared" si="116"/>
        <v>-146.2137308669183</v>
      </c>
      <c r="AT27" s="72">
        <f t="shared" si="10"/>
        <v>-1.5411885510237362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0.50810255092938661</v>
      </c>
      <c r="C28" s="708">
        <v>-2.4357019692795636</v>
      </c>
      <c r="D28" s="709">
        <v>-0.22859404981673243</v>
      </c>
      <c r="E28" s="710">
        <v>0.94355641338325857</v>
      </c>
      <c r="F28" s="708">
        <v>-7.3593834371809122E-2</v>
      </c>
      <c r="G28" s="711">
        <v>0.32293225652724161</v>
      </c>
      <c r="H28" s="710">
        <v>0.26600000000000001</v>
      </c>
      <c r="I28" s="708">
        <v>0.52</v>
      </c>
      <c r="J28" s="570">
        <v>3.2109999999999999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3.2109999999999999</v>
      </c>
      <c r="N28" s="632">
        <f t="shared" si="2"/>
        <v>0.50810255092938661</v>
      </c>
      <c r="O28" s="629">
        <f t="shared" si="3"/>
        <v>-2.4357019692795636</v>
      </c>
      <c r="P28" s="633">
        <f t="shared" si="4"/>
        <v>-0.22859404981673243</v>
      </c>
      <c r="Q28" s="585">
        <f t="shared" si="113"/>
        <v>281.78327230992141</v>
      </c>
      <c r="R28" s="629">
        <f t="shared" si="79"/>
        <v>2.488134298106373</v>
      </c>
      <c r="S28" s="634">
        <f t="shared" si="80"/>
        <v>-0.22859404981673243</v>
      </c>
      <c r="T28" s="635">
        <f t="shared" si="81"/>
        <v>-2.4042368927185223</v>
      </c>
      <c r="U28" s="629">
        <f t="shared" si="82"/>
        <v>-0.64066937581288919</v>
      </c>
      <c r="V28" s="636">
        <f t="shared" si="114"/>
        <v>-0.22859404981673243</v>
      </c>
      <c r="W28" s="585">
        <f t="shared" si="224"/>
        <v>194.92117185686476</v>
      </c>
      <c r="X28" s="629">
        <f t="shared" si="83"/>
        <v>2.488134298106373</v>
      </c>
      <c r="Y28" s="630">
        <f t="shared" si="223"/>
        <v>-0.22859404981673243</v>
      </c>
      <c r="Z28" s="632">
        <f t="shared" si="6"/>
        <v>-0.94355641338325857</v>
      </c>
      <c r="AA28" s="629">
        <f t="shared" si="7"/>
        <v>7.3593834371809122E-2</v>
      </c>
      <c r="AB28" s="629">
        <f t="shared" si="8"/>
        <v>-0.32293225652724161</v>
      </c>
      <c r="AC28" s="636">
        <f t="shared" si="84"/>
        <v>1</v>
      </c>
      <c r="AD28" s="637">
        <f t="shared" si="115"/>
        <v>-0.94355641338325857</v>
      </c>
      <c r="AE28" s="629">
        <f t="shared" si="85"/>
        <v>7.3593834371809122E-2</v>
      </c>
      <c r="AF28" s="633">
        <f t="shared" si="86"/>
        <v>-0.32293225652724161</v>
      </c>
      <c r="AG28" s="602">
        <f t="shared" si="87"/>
        <v>12.838026950792989</v>
      </c>
      <c r="AH28" s="603">
        <f t="shared" si="88"/>
        <v>160.65765316506975</v>
      </c>
      <c r="AI28" s="585">
        <f t="shared" si="89"/>
        <v>-71.1596516553209</v>
      </c>
      <c r="AJ28" s="586">
        <f t="shared" si="90"/>
        <v>-94.459825246042996</v>
      </c>
      <c r="AK28" s="635">
        <f t="shared" si="211"/>
        <v>0.90864428055495527</v>
      </c>
      <c r="AL28" s="629">
        <f t="shared" si="91"/>
        <v>-0.26472689532609189</v>
      </c>
      <c r="AM28" s="634">
        <f t="shared" si="92"/>
        <v>-0.32293225652724161</v>
      </c>
      <c r="AN28" s="581">
        <f t="shared" si="93"/>
        <v>-39.343523909103574</v>
      </c>
      <c r="AO28" s="582">
        <f t="shared" si="94"/>
        <v>24.681331641634184</v>
      </c>
      <c r="AP28" s="585">
        <f t="shared" si="95"/>
        <v>-16.243097555964408</v>
      </c>
      <c r="AQ28" s="586">
        <f t="shared" si="9"/>
        <v>0.91616129243653477</v>
      </c>
      <c r="AS28" s="52">
        <f t="shared" si="116"/>
        <v>-165.07882814313524</v>
      </c>
      <c r="AT28" s="72">
        <f t="shared" si="10"/>
        <v>-0.1117768778097334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Nose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3.2109999999999999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3.1110000000000002</v>
      </c>
      <c r="II28" s="734" cm="1">
        <f t="array" ref="II28">IFERROR(ROUND(VALUE(IF($IH28&lt;1,$IH28+LARGE((IF($M$9:$M$150="",0,$M$9:$M$150)-MOD(IF($M$9:$M$150="",0,$M$9:$M$150),1)),1),$IH28)),4),"")</f>
        <v>3.1110000000000002</v>
      </c>
      <c r="IJ28" s="533">
        <f t="shared" si="112"/>
        <v>1613</v>
      </c>
      <c r="IK28" s="533">
        <f t="shared" si="66"/>
        <v>1313</v>
      </c>
      <c r="IL28" s="727">
        <f t="shared" si="225"/>
        <v>20.707197010250695</v>
      </c>
      <c r="IM28" s="759">
        <v>1.94525461175938E-2</v>
      </c>
      <c r="IN28" s="5">
        <f t="shared" si="226"/>
        <v>0.38</v>
      </c>
      <c r="IO28" s="771">
        <v>190</v>
      </c>
      <c r="IP28" s="9">
        <f t="shared" si="227"/>
        <v>-2.4621074257159963</v>
      </c>
      <c r="IQ28" s="5">
        <f t="shared" si="228"/>
        <v>-0.26140078838477782</v>
      </c>
      <c r="IR28" s="5">
        <f t="shared" si="71"/>
        <v>0.314</v>
      </c>
      <c r="IS28" s="5">
        <f t="shared" si="229"/>
        <v>0.30303828076946626</v>
      </c>
      <c r="IT28" s="727">
        <f t="shared" si="230"/>
        <v>48.263422282991677</v>
      </c>
      <c r="IU28" s="9">
        <f t="shared" si="231"/>
        <v>-2.488134298106373</v>
      </c>
      <c r="IV28" s="5">
        <f t="shared" si="232"/>
        <v>-0.22859404981673243</v>
      </c>
      <c r="IW28" s="5">
        <f t="shared" si="76"/>
        <v>0.26600000000000001</v>
      </c>
      <c r="IX28" s="5">
        <f t="shared" si="233"/>
        <v>0.24169937862761812</v>
      </c>
      <c r="IY28" s="762">
        <f t="shared" si="234"/>
        <v>39.343523909103574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0.61081938382742473</v>
      </c>
      <c r="C29" s="708">
        <v>-2.9746593254916465</v>
      </c>
      <c r="D29" s="709">
        <v>-0.86165201040783435</v>
      </c>
      <c r="E29" s="710">
        <v>0.93434562297977142</v>
      </c>
      <c r="F29" s="708">
        <v>-0.28328104792592351</v>
      </c>
      <c r="G29" s="711">
        <v>0.21621772523207616</v>
      </c>
      <c r="H29" s="710">
        <v>0.26600000000000001</v>
      </c>
      <c r="I29" s="708">
        <v>0.52</v>
      </c>
      <c r="J29" s="570">
        <v>3.2160000000000002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3.2160000000000002</v>
      </c>
      <c r="N29" s="632">
        <f t="shared" si="2"/>
        <v>0.61081938382742473</v>
      </c>
      <c r="O29" s="629">
        <f t="shared" si="3"/>
        <v>-2.9746593254916465</v>
      </c>
      <c r="P29" s="633">
        <f t="shared" si="4"/>
        <v>-0.86165201040783435</v>
      </c>
      <c r="Q29" s="585">
        <f t="shared" si="113"/>
        <v>281.60387233582355</v>
      </c>
      <c r="R29" s="629">
        <f>IF(M29="","",SQRT(N29^2+O29^2))</f>
        <v>3.036724950072649</v>
      </c>
      <c r="S29" s="634">
        <f>IF(M29="","",P29)</f>
        <v>-0.86165201040783435</v>
      </c>
      <c r="T29" s="635">
        <f>IF(M29="","",X29*COS(RADIANS(W29)))</f>
        <v>-2.9367635314806382</v>
      </c>
      <c r="U29" s="629">
        <f>IF(M29="","",X29*SIN(RADIANS(W29)))</f>
        <v>-0.77273435445766414</v>
      </c>
      <c r="V29" s="636">
        <f>IF(M29="","",Y29)</f>
        <v>-0.86165201040783435</v>
      </c>
      <c r="W29" s="585">
        <f t="shared" si="224"/>
        <v>194.7417718827669</v>
      </c>
      <c r="X29" s="629">
        <f>IF(M29="","",R29)</f>
        <v>3.036724950072649</v>
      </c>
      <c r="Y29" s="630">
        <f t="shared" si="223"/>
        <v>-0.86165201040783435</v>
      </c>
      <c r="Z29" s="632">
        <f t="shared" si="6"/>
        <v>-0.93434562297977142</v>
      </c>
      <c r="AA29" s="629">
        <f t="shared" si="7"/>
        <v>0.28328104792592351</v>
      </c>
      <c r="AB29" s="629">
        <f t="shared" si="8"/>
        <v>-0.21621772523207616</v>
      </c>
      <c r="AC29" s="636">
        <f>IF(M29="","",SQRT(Z29^2+AA29^2+AB29^2))</f>
        <v>1</v>
      </c>
      <c r="AD29" s="637">
        <f>IF(M29="","",Z29*(1/SQRT(Z29^2+AA29^2+AB29^2)))</f>
        <v>-0.93434562297977142</v>
      </c>
      <c r="AE29" s="629">
        <f>IF(M29="","",AA29*(1/SQRT(Z29^2+AA29^2+AB29^2)))</f>
        <v>0.28328104792592351</v>
      </c>
      <c r="AF29" s="633">
        <f>IF(M29="","",AB29*(1/SQRT(Z29^2+AA29^2+AB29^2)))</f>
        <v>-0.21621772523207616</v>
      </c>
      <c r="AG29" s="602">
        <f>IF(M29="","",DEGREES(ATAN2(-AF29,AE29)))</f>
        <v>52.646873270321315</v>
      </c>
      <c r="AH29" s="603">
        <f>IF(M29="","",DEGREES(ACOS(AD29)))</f>
        <v>159.12268167889468</v>
      </c>
      <c r="AI29" s="585">
        <f>IF(M29="","",DEGREES(-ACOS(-AF29)))</f>
        <v>-77.513021630862667</v>
      </c>
      <c r="AJ29" s="586">
        <f>IF(M29="","",DEGREES(ATAN2(-AE29,AD29)))</f>
        <v>-106.86659901268817</v>
      </c>
      <c r="AK29" s="635">
        <f>IF(M29="","",(COS(RADIANS((90-$Q$8)-W29))*AD29)+(-SIN(RADIANS((90-$Q$8)-W29))*AE29))</f>
        <v>0.85826882853602782</v>
      </c>
      <c r="AL29" s="629">
        <f>IF(M29="","",(SIN(RADIANS((90-$Q$8)-W29))*AD29)+(COS(RADIANS((90-$Q$8)-W29))*AE29))</f>
        <v>-0.46542938589958094</v>
      </c>
      <c r="AM29" s="634">
        <f>IF(M29="","",AF29)</f>
        <v>-0.21621772523207616</v>
      </c>
      <c r="AN29" s="581">
        <f>IF(M29="","",DEGREES(ATAN2(-AM29,AL29)))</f>
        <v>-65.082521740680065</v>
      </c>
      <c r="AO29" s="582">
        <f t="shared" si="94"/>
        <v>30.877240785585457</v>
      </c>
      <c r="AP29" s="585">
        <f>IF(M29="","",DEGREES(ATAN2(AK29,AL29)))</f>
        <v>-28.470471348511715</v>
      </c>
      <c r="AQ29" s="586">
        <f t="shared" si="9"/>
        <v>0.75067588432207077</v>
      </c>
      <c r="AS29" s="52">
        <f t="shared" si="116"/>
        <v>-165.2582281172331</v>
      </c>
      <c r="AT29" s="72">
        <f t="shared" si="10"/>
        <v>-0.7447102550854896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3.2160000000000002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3.1160000000000001</v>
      </c>
      <c r="II29" s="734" cm="1">
        <f t="array" ref="II29">IFERROR(ROUND(VALUE(IF($IH29&lt;1,$IH29+LARGE((IF($M$9:$M$150="",0,$M$9:$M$150)-MOD(IF($M$9:$M$150="",0,$M$9:$M$150),1)),1),$IH29)),4),"")</f>
        <v>3.1160000000000001</v>
      </c>
      <c r="IJ29" s="533">
        <f t="shared" si="112"/>
        <v>1613</v>
      </c>
      <c r="IK29" s="533">
        <f t="shared" si="66"/>
        <v>1313</v>
      </c>
      <c r="IL29" s="727">
        <f t="shared" si="225"/>
        <v>19.565497175091764</v>
      </c>
      <c r="IM29" s="759">
        <v>9.58802462814419E-3</v>
      </c>
      <c r="IN29" s="5">
        <f t="shared" si="226"/>
        <v>0.36</v>
      </c>
      <c r="IO29" s="771">
        <v>180</v>
      </c>
      <c r="IP29" s="9">
        <f t="shared" si="227"/>
        <v>-2.988709013946385</v>
      </c>
      <c r="IQ29" s="5">
        <f t="shared" si="228"/>
        <v>-0.88020265469120595</v>
      </c>
      <c r="IR29" s="5">
        <f t="shared" si="71"/>
        <v>0.314</v>
      </c>
      <c r="IS29" s="5">
        <f t="shared" si="229"/>
        <v>0.29051869429478644</v>
      </c>
      <c r="IT29" s="727">
        <f t="shared" si="230"/>
        <v>70.606317246566647</v>
      </c>
      <c r="IU29" s="9">
        <f t="shared" si="231"/>
        <v>-3.036724950072649</v>
      </c>
      <c r="IV29" s="5">
        <f t="shared" si="232"/>
        <v>-0.86165201040783435</v>
      </c>
      <c r="IW29" s="5">
        <f t="shared" si="76"/>
        <v>0.26600000000000001</v>
      </c>
      <c r="IX29" s="5">
        <f t="shared" si="233"/>
        <v>0.22829950839058341</v>
      </c>
      <c r="IY29" s="762">
        <f t="shared" si="234"/>
        <v>65.082521740680065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190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180</v>
      </c>
    </row>
    <row r="30" spans="1:269" ht="15" customHeight="1" x14ac:dyDescent="0.25">
      <c r="A30" s="79"/>
      <c r="B30" s="707">
        <v>-0.43070018593287651</v>
      </c>
      <c r="C30" s="708">
        <v>-0.43069989289116362</v>
      </c>
      <c r="D30" s="709">
        <v>-0.22270067166522575</v>
      </c>
      <c r="E30" s="710">
        <v>0.70645871531396387</v>
      </c>
      <c r="F30" s="708">
        <v>-0.62246738641407151</v>
      </c>
      <c r="G30" s="711">
        <v>0.33682404369014229</v>
      </c>
      <c r="H30" s="710">
        <v>0.314</v>
      </c>
      <c r="I30" s="708">
        <v>0.52</v>
      </c>
      <c r="J30" s="570">
        <v>4.1020000000000003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4.1020000000000003</v>
      </c>
      <c r="N30" s="632">
        <f t="shared" si="2"/>
        <v>-0.43070018593287651</v>
      </c>
      <c r="O30" s="629">
        <f t="shared" si="3"/>
        <v>-0.43069989289116362</v>
      </c>
      <c r="P30" s="633">
        <f t="shared" si="4"/>
        <v>-0.22270067166522575</v>
      </c>
      <c r="Q30" s="585">
        <f t="shared" si="113"/>
        <v>224.99998050841441</v>
      </c>
      <c r="R30" s="629">
        <f>IF(M30="","",SQRT(N30^2+O30^2))</f>
        <v>0.60910183705114052</v>
      </c>
      <c r="S30" s="634">
        <f>IF(M30="","",P30)</f>
        <v>-0.22270067166522575</v>
      </c>
      <c r="T30" s="635">
        <f>IF(M30="","",X30*COS(RADIANS(W30)))</f>
        <v>-0.453630364896487</v>
      </c>
      <c r="U30" s="629">
        <f>IF(M30="","",X30*SIN(RADIANS(W30)))</f>
        <v>0.4064782158282953</v>
      </c>
      <c r="V30" s="636">
        <f>IF(M30="","",Y30)</f>
        <v>-0.22270067166522575</v>
      </c>
      <c r="W30" s="585">
        <f t="shared" si="224"/>
        <v>138.13788005535775</v>
      </c>
      <c r="X30" s="629">
        <f>IF(M30="","",R30)</f>
        <v>0.60910183705114052</v>
      </c>
      <c r="Y30" s="630">
        <f t="shared" si="223"/>
        <v>-0.22270067166522575</v>
      </c>
      <c r="Z30" s="632">
        <f t="shared" si="6"/>
        <v>-0.70645871531396387</v>
      </c>
      <c r="AA30" s="629">
        <f t="shared" si="7"/>
        <v>0.62246738641407151</v>
      </c>
      <c r="AB30" s="629">
        <f t="shared" si="8"/>
        <v>-0.33682404369014229</v>
      </c>
      <c r="AC30" s="636">
        <f>IF(M30="","",SQRT(Z30^2+AA30^2+AB30^2))</f>
        <v>1</v>
      </c>
      <c r="AD30" s="637">
        <f>IF(M30="","",Z30*(1/SQRT(Z30^2+AA30^2+AB30^2)))</f>
        <v>-0.70645871531396387</v>
      </c>
      <c r="AE30" s="629">
        <f>IF(M30="","",AA30*(1/SQRT(Z30^2+AA30^2+AB30^2)))</f>
        <v>0.62246738641407151</v>
      </c>
      <c r="AF30" s="633">
        <f>IF(M30="","",AB30*(1/SQRT(Z30^2+AA30^2+AB30^2)))</f>
        <v>-0.33682404369014229</v>
      </c>
      <c r="AG30" s="602">
        <f>IF(M30="","",DEGREES(ATAN2(-AF30,AE30)))</f>
        <v>61.581685617746601</v>
      </c>
      <c r="AH30" s="603">
        <f>IF(M30="","",DEGREES(ACOS(AD30)))</f>
        <v>134.94751224914032</v>
      </c>
      <c r="AI30" s="585">
        <f>IF(M30="","",DEGREES(-ACOS(-AF30)))</f>
        <v>-70.316504667624201</v>
      </c>
      <c r="AJ30" s="586">
        <f>IF(M30="","",DEGREES(ATAN2(-AE30,AD30)))</f>
        <v>-131.38357899964939</v>
      </c>
      <c r="AK30" s="635">
        <f>IF(M30="","",(COS(RADIANS((90-$Q$8)-W30))*AD30)+(-SIN(RADIANS((90-$Q$8)-W30))*AE30))</f>
        <v>0.93969263802333458</v>
      </c>
      <c r="AL30" s="629">
        <f>IF(M30="","",(SIN(RADIANS((90-$Q$8)-W30))*AD30)+(COS(RADIANS((90-$Q$8)-W30))*AE30))</f>
        <v>5.9391157902229097E-2</v>
      </c>
      <c r="AM30" s="634">
        <f>IF(M30="","",AF30)</f>
        <v>-0.33682404369014229</v>
      </c>
      <c r="AN30" s="581">
        <f>IF(M30="","",DEGREES(ATAN2(-AM30,AL30)))</f>
        <v>9.9999985561788822</v>
      </c>
      <c r="AO30" s="582">
        <f>IF(ROUND(IF(M30="",0,DEGREES(ACOS(AK30))),4)=90,0,IF(M30="","",DEGREES(ACOS(AK30))))</f>
        <v>19.999997112357679</v>
      </c>
      <c r="AP30" s="585">
        <f>IF(M30="","",DEGREES(ATAN2(AK30,AL30)))</f>
        <v>3.6164404919362174</v>
      </c>
      <c r="AQ30" s="586">
        <f t="shared" si="9"/>
        <v>3.7374575255574021</v>
      </c>
      <c r="AS30" s="52">
        <f t="shared" si="116"/>
        <v>-221.86211994464225</v>
      </c>
      <c r="AT30" s="72">
        <f t="shared" si="10"/>
        <v>-6.6450658129402429E-2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4.1020000000000003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-1.0024004147766596</v>
      </c>
      <c r="C31" s="708">
        <v>-0.99047969546308212</v>
      </c>
      <c r="D31" s="709">
        <v>-8.1600246106342256E-2</v>
      </c>
      <c r="E31" s="710">
        <v>0.67424442759792147</v>
      </c>
      <c r="F31" s="708">
        <v>-0.705429093935665</v>
      </c>
      <c r="G31" s="711">
        <v>0.21855032665786142</v>
      </c>
      <c r="H31" s="710">
        <v>0.314</v>
      </c>
      <c r="I31" s="708">
        <v>0.52</v>
      </c>
      <c r="J31" s="570">
        <v>4.1050000000000004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4.1050000000000004</v>
      </c>
      <c r="N31" s="632">
        <f t="shared" si="2"/>
        <v>-1.0024004147766596</v>
      </c>
      <c r="O31" s="629">
        <f t="shared" si="3"/>
        <v>-0.99047969546308212</v>
      </c>
      <c r="P31" s="633">
        <f t="shared" si="4"/>
        <v>-8.1600246106342256E-2</v>
      </c>
      <c r="Q31" s="585">
        <f t="shared" si="113"/>
        <v>224.65728055789415</v>
      </c>
      <c r="R31" s="629">
        <f>IF(M31="","",SQRT(N31^2+O31^2))</f>
        <v>1.4092042501600182</v>
      </c>
      <c r="S31" s="634">
        <f>IF(M31="","",P31)</f>
        <v>-8.1600246106342256E-2</v>
      </c>
      <c r="T31" s="635">
        <f>IF(M31="","",X31*COS(RADIANS(W31)))</f>
        <v>-1.0438653517760386</v>
      </c>
      <c r="U31" s="629">
        <f>IF(M31="","",X31*SIN(RADIANS(W31)))</f>
        <v>0.94667932587045889</v>
      </c>
      <c r="V31" s="636">
        <f>IF(M31="","",Y31)</f>
        <v>-8.1600246106342256E-2</v>
      </c>
      <c r="W31" s="585">
        <f t="shared" si="224"/>
        <v>137.79518010483753</v>
      </c>
      <c r="X31" s="629">
        <f>IF(M31="","",R31)</f>
        <v>1.4092042501600182</v>
      </c>
      <c r="Y31" s="630">
        <f t="shared" si="223"/>
        <v>-8.1600246106342256E-2</v>
      </c>
      <c r="Z31" s="632">
        <f t="shared" si="6"/>
        <v>-0.67424442759792147</v>
      </c>
      <c r="AA31" s="629">
        <f t="shared" si="7"/>
        <v>0.705429093935665</v>
      </c>
      <c r="AB31" s="629">
        <f t="shared" si="8"/>
        <v>-0.21855032665786142</v>
      </c>
      <c r="AC31" s="636">
        <f>IF(M31="","",SQRT(Z31^2+AA31^2+AB31^2))</f>
        <v>1</v>
      </c>
      <c r="AD31" s="637">
        <f>IF(M31="","",Z31*(1/SQRT(Z31^2+AA31^2+AB31^2)))</f>
        <v>-0.67424442759792147</v>
      </c>
      <c r="AE31" s="629">
        <f>IF(M31="","",AA31*(1/SQRT(Z31^2+AA31^2+AB31^2)))</f>
        <v>0.705429093935665</v>
      </c>
      <c r="AF31" s="633">
        <f>IF(M31="","",AB31*(1/SQRT(Z31^2+AA31^2+AB31^2)))</f>
        <v>-0.21855032665786142</v>
      </c>
      <c r="AG31" s="602">
        <f>IF(M31="","",DEGREES(ATAN2(-AF31,AE31)))</f>
        <v>72.786396863240654</v>
      </c>
      <c r="AH31" s="603">
        <f>IF(M31="","",DEGREES(ACOS(AD31)))</f>
        <v>132.39550312199799</v>
      </c>
      <c r="AI31" s="585">
        <f>IF(M31="","",DEGREES(-ACOS(-AF31)))</f>
        <v>-77.376099031762919</v>
      </c>
      <c r="AJ31" s="586">
        <f>IF(M31="","",DEGREES(ATAN2(-AE31,AD31)))</f>
        <v>-136.29483211281647</v>
      </c>
      <c r="AK31" s="635">
        <f>IF(M31="","",(COS(RADIANS((90-$Q$8)-W31))*AD31)+(-SIN(RADIANS((90-$Q$8)-W31))*AE31))</f>
        <v>0.97569094864380013</v>
      </c>
      <c r="AL31" s="629">
        <f>IF(M31="","",(SIN(RADIANS((90-$Q$8)-W31))*AD31)+(COS(RADIANS((90-$Q$8)-W31))*AE31))</f>
        <v>-1.6215037844651115E-2</v>
      </c>
      <c r="AM31" s="634">
        <f>IF(M31="","",AF31)</f>
        <v>-0.21855032665786142</v>
      </c>
      <c r="AN31" s="581">
        <f>IF(M31="","",DEGREES(ATAN2(-AM31,AL31)))</f>
        <v>-4.2432063057951677</v>
      </c>
      <c r="AO31" s="582">
        <f t="shared" si="94"/>
        <v>12.659173643638827</v>
      </c>
      <c r="AP31" s="585">
        <f>IF(M31="","",DEGREES(ATAN2(AK31,AL31)))</f>
        <v>-0.9521126707106462</v>
      </c>
      <c r="AQ31" s="586">
        <f t="shared" si="9"/>
        <v>1.6173107019993249</v>
      </c>
      <c r="AS31" s="52">
        <f t="shared" si="116"/>
        <v>-222.20481989516247</v>
      </c>
      <c r="AT31" s="72">
        <f t="shared" si="10"/>
        <v>7.4887753506231225E-2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4.1050000000000004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-1.699753001540909</v>
      </c>
      <c r="C32" s="708">
        <v>-1.5759227619991014</v>
      </c>
      <c r="D32" s="709">
        <v>-0.18160054770725192</v>
      </c>
      <c r="E32" s="710">
        <v>0.53790083716495019</v>
      </c>
      <c r="F32" s="708">
        <v>-0.82400898642483145</v>
      </c>
      <c r="G32" s="711">
        <v>0.1779659508680462</v>
      </c>
      <c r="H32" s="710">
        <v>0.314</v>
      </c>
      <c r="I32" s="708">
        <v>0.52</v>
      </c>
      <c r="J32" s="570">
        <v>4.1100000000000003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4.1100000000000003</v>
      </c>
      <c r="N32" s="632">
        <f t="shared" si="2"/>
        <v>-1.699753001540909</v>
      </c>
      <c r="O32" s="629">
        <f t="shared" si="3"/>
        <v>-1.5759227619991014</v>
      </c>
      <c r="P32" s="633">
        <f t="shared" si="4"/>
        <v>-0.18160054770725192</v>
      </c>
      <c r="Q32" s="585">
        <f t="shared" si="113"/>
        <v>222.83508082098726</v>
      </c>
      <c r="R32" s="629">
        <f t="shared" si="79"/>
        <v>2.3179069908074843</v>
      </c>
      <c r="S32" s="634">
        <f t="shared" si="80"/>
        <v>-0.18160054770725192</v>
      </c>
      <c r="T32" s="635">
        <f t="shared" si="81"/>
        <v>-1.6666032479298722</v>
      </c>
      <c r="U32" s="629">
        <f t="shared" si="82"/>
        <v>1.6109396115384982</v>
      </c>
      <c r="V32" s="636">
        <f t="shared" si="114"/>
        <v>-0.18160054770725192</v>
      </c>
      <c r="W32" s="585">
        <f t="shared" si="224"/>
        <v>135.97298036793063</v>
      </c>
      <c r="X32" s="629">
        <f t="shared" si="83"/>
        <v>2.3179069908074843</v>
      </c>
      <c r="Y32" s="630">
        <f t="shared" si="223"/>
        <v>-0.18160054770725192</v>
      </c>
      <c r="Z32" s="632">
        <f t="shared" si="6"/>
        <v>-0.53790083716495019</v>
      </c>
      <c r="AA32" s="629">
        <f t="shared" si="7"/>
        <v>0.82400898642483145</v>
      </c>
      <c r="AB32" s="629">
        <f t="shared" si="8"/>
        <v>-0.1779659508680462</v>
      </c>
      <c r="AC32" s="636">
        <f t="shared" si="84"/>
        <v>1</v>
      </c>
      <c r="AD32" s="637">
        <f t="shared" si="115"/>
        <v>-0.53790083716495019</v>
      </c>
      <c r="AE32" s="629">
        <f t="shared" si="85"/>
        <v>0.82400898642483145</v>
      </c>
      <c r="AF32" s="633">
        <f t="shared" si="86"/>
        <v>-0.1779659508680462</v>
      </c>
      <c r="AG32" s="602">
        <f t="shared" si="87"/>
        <v>77.812694822375832</v>
      </c>
      <c r="AH32" s="603">
        <f t="shared" si="88"/>
        <v>122.54085374907744</v>
      </c>
      <c r="AI32" s="585">
        <f t="shared" si="89"/>
        <v>-79.748695443011485</v>
      </c>
      <c r="AJ32" s="586">
        <f t="shared" si="90"/>
        <v>-146.86409390686748</v>
      </c>
      <c r="AK32" s="635">
        <f t="shared" si="211"/>
        <v>0.96997072353436853</v>
      </c>
      <c r="AL32" s="629">
        <f t="shared" si="91"/>
        <v>-0.16578575275893204</v>
      </c>
      <c r="AM32" s="634">
        <f t="shared" si="92"/>
        <v>-0.1779659508680462</v>
      </c>
      <c r="AN32" s="581">
        <f t="shared" si="93"/>
        <v>-42.970680302184611</v>
      </c>
      <c r="AO32" s="582">
        <f t="shared" si="94"/>
        <v>14.076766065956816</v>
      </c>
      <c r="AP32" s="585">
        <f t="shared" si="95"/>
        <v>-9.6991747278547802</v>
      </c>
      <c r="AQ32" s="586">
        <f t="shared" si="9"/>
        <v>0.98343150185491957</v>
      </c>
      <c r="AS32" s="52">
        <f t="shared" si="116"/>
        <v>-224.02701963206937</v>
      </c>
      <c r="AT32" s="72">
        <f t="shared" si="10"/>
        <v>-2.3847131610715305E-2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4.1100000000000003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-2.1877828849273735</v>
      </c>
      <c r="C33" s="708">
        <v>-1.9260623917409416</v>
      </c>
      <c r="D33" s="709">
        <v>-0.7329022104330668</v>
      </c>
      <c r="E33" s="710">
        <v>0.37952054424859583</v>
      </c>
      <c r="F33" s="708">
        <v>-0.91501634735336279</v>
      </c>
      <c r="G33" s="711">
        <v>0.13678172600665645</v>
      </c>
      <c r="H33" s="710">
        <v>0.314</v>
      </c>
      <c r="I33" s="708">
        <v>0.52</v>
      </c>
      <c r="J33" s="570">
        <v>4.1150000000000002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4.1150000000000002</v>
      </c>
      <c r="N33" s="632">
        <f t="shared" si="2"/>
        <v>-2.1877828849273735</v>
      </c>
      <c r="O33" s="629">
        <f t="shared" si="3"/>
        <v>-1.9260623917409416</v>
      </c>
      <c r="P33" s="633">
        <f t="shared" si="4"/>
        <v>-0.7329022104330668</v>
      </c>
      <c r="Q33" s="585">
        <f t="shared" si="113"/>
        <v>221.35978103399418</v>
      </c>
      <c r="R33" s="629">
        <f t="shared" si="79"/>
        <v>2.9148087910633138</v>
      </c>
      <c r="S33" s="634">
        <f t="shared" si="80"/>
        <v>-0.7329022104330668</v>
      </c>
      <c r="T33" s="635">
        <f t="shared" si="81"/>
        <v>-2.0429323230660259</v>
      </c>
      <c r="U33" s="629">
        <f t="shared" si="82"/>
        <v>2.0790713820915401</v>
      </c>
      <c r="V33" s="636">
        <f t="shared" si="114"/>
        <v>-0.7329022104330668</v>
      </c>
      <c r="W33" s="585">
        <f t="shared" si="224"/>
        <v>134.49768058093753</v>
      </c>
      <c r="X33" s="629">
        <f t="shared" si="83"/>
        <v>2.9148087910633138</v>
      </c>
      <c r="Y33" s="630">
        <f t="shared" si="223"/>
        <v>-0.7329022104330668</v>
      </c>
      <c r="Z33" s="632">
        <f t="shared" si="6"/>
        <v>-0.37952054424859583</v>
      </c>
      <c r="AA33" s="629">
        <f t="shared" si="7"/>
        <v>0.91501634735336279</v>
      </c>
      <c r="AB33" s="629">
        <f t="shared" si="8"/>
        <v>-0.13678172600665645</v>
      </c>
      <c r="AC33" s="636">
        <f t="shared" si="84"/>
        <v>1</v>
      </c>
      <c r="AD33" s="637">
        <f t="shared" si="115"/>
        <v>-0.37952054424859583</v>
      </c>
      <c r="AE33" s="629">
        <f t="shared" si="85"/>
        <v>0.91501634735336279</v>
      </c>
      <c r="AF33" s="633">
        <f t="shared" si="86"/>
        <v>-0.13678172600665645</v>
      </c>
      <c r="AG33" s="602">
        <f t="shared" si="87"/>
        <v>81.498063516200858</v>
      </c>
      <c r="AH33" s="603">
        <f t="shared" si="88"/>
        <v>112.30398723151274</v>
      </c>
      <c r="AI33" s="585">
        <f t="shared" si="89"/>
        <v>-82.138338886765652</v>
      </c>
      <c r="AJ33" s="586">
        <f t="shared" si="90"/>
        <v>-157.47283476914819</v>
      </c>
      <c r="AK33" s="635">
        <f t="shared" si="211"/>
        <v>0.93757002507934362</v>
      </c>
      <c r="AL33" s="629">
        <f t="shared" si="91"/>
        <v>-0.31977055446579089</v>
      </c>
      <c r="AM33" s="634">
        <f t="shared" si="92"/>
        <v>-0.13678172600665645</v>
      </c>
      <c r="AN33" s="581">
        <f t="shared" si="93"/>
        <v>-66.841202092631661</v>
      </c>
      <c r="AO33" s="582">
        <f t="shared" si="94"/>
        <v>20.352602049074612</v>
      </c>
      <c r="AP33" s="585">
        <f t="shared" si="95"/>
        <v>-18.832615803142353</v>
      </c>
      <c r="AQ33" s="586">
        <f t="shared" si="9"/>
        <v>0.78207018425743058</v>
      </c>
      <c r="AS33" s="52">
        <f t="shared" si="116"/>
        <v>-225.50231941906247</v>
      </c>
      <c r="AT33" s="72">
        <f t="shared" si="10"/>
        <v>-0.57412428059556275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4.1150000000000002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-2.4193425959762598</v>
      </c>
      <c r="C34" s="708">
        <v>-2.0771736628862563</v>
      </c>
      <c r="D34" s="709">
        <v>-1.5078045475385156</v>
      </c>
      <c r="E34" s="710">
        <v>9.8423332738979977E-2</v>
      </c>
      <c r="F34" s="708">
        <v>-0.99514463650895246</v>
      </c>
      <c r="G34" s="711">
        <v>1.300841920315285E-7</v>
      </c>
      <c r="H34" s="710">
        <v>0.26600000000000001</v>
      </c>
      <c r="I34" s="708">
        <v>0.52</v>
      </c>
      <c r="J34" s="570">
        <v>4.12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4.12</v>
      </c>
      <c r="N34" s="632">
        <f t="shared" si="2"/>
        <v>-2.4193425959762598</v>
      </c>
      <c r="O34" s="629">
        <f t="shared" si="3"/>
        <v>-2.0771736628862563</v>
      </c>
      <c r="P34" s="633">
        <f t="shared" si="4"/>
        <v>-1.5078045475385156</v>
      </c>
      <c r="Q34" s="585">
        <f t="shared" si="113"/>
        <v>220.64838113670763</v>
      </c>
      <c r="R34" s="629">
        <f>IF(M34="","",SQRT(N34^2+O34^2))</f>
        <v>3.1887096171482052</v>
      </c>
      <c r="S34" s="634">
        <f>IF(M34="","",P34)</f>
        <v>-1.5078045475385156</v>
      </c>
      <c r="T34" s="635">
        <f>IF(M34="","",X34*COS(RADIANS(W34)))</f>
        <v>-2.2064924477564896</v>
      </c>
      <c r="U34" s="629">
        <f>IF(M34="","",X34*SIN(RADIANS(W34)))</f>
        <v>2.3020121851300068</v>
      </c>
      <c r="V34" s="636">
        <f>IF(M34="","",Y34)</f>
        <v>-1.5078045475385156</v>
      </c>
      <c r="W34" s="585">
        <f t="shared" si="224"/>
        <v>133.786280683651</v>
      </c>
      <c r="X34" s="629">
        <f>IF(M34="","",R34)</f>
        <v>3.1887096171482052</v>
      </c>
      <c r="Y34" s="630">
        <f t="shared" si="223"/>
        <v>-1.5078045475385156</v>
      </c>
      <c r="Z34" s="632">
        <f t="shared" si="6"/>
        <v>-9.8423332738979977E-2</v>
      </c>
      <c r="AA34" s="629">
        <f t="shared" si="7"/>
        <v>0.99514463650895246</v>
      </c>
      <c r="AB34" s="629">
        <f t="shared" si="8"/>
        <v>-1.300841920315285E-7</v>
      </c>
      <c r="AC34" s="636">
        <f>IF(M34="","",SQRT(Z34^2+AA34^2+AB34^2))</f>
        <v>1</v>
      </c>
      <c r="AD34" s="637">
        <f>IF(M34="","",Z34*(1/SQRT(Z34^2+AA34^2+AB34^2)))</f>
        <v>-9.8423332738979977E-2</v>
      </c>
      <c r="AE34" s="629">
        <f>IF(M34="","",AA34*(1/SQRT(Z34^2+AA34^2+AB34^2)))</f>
        <v>0.99514463650895246</v>
      </c>
      <c r="AF34" s="633">
        <f>IF(M34="","",AB34*(1/SQRT(Z34^2+AA34^2+AB34^2)))</f>
        <v>-1.300841920315285E-7</v>
      </c>
      <c r="AG34" s="602">
        <f>IF(M34="","",DEGREES(ATAN2(-AF34,AE34)))</f>
        <v>89.999992510359888</v>
      </c>
      <c r="AH34" s="603">
        <f>IF(M34="","",DEGREES(ACOS(AD34)))</f>
        <v>95.648386190082306</v>
      </c>
      <c r="AI34" s="585">
        <f>IF(M34="","",DEGREES(-ACOS(-AF34)))</f>
        <v>-89.999992546724812</v>
      </c>
      <c r="AJ34" s="586">
        <f>IF(M34="","",DEGREES(ATAN2(-AE34,AD34)))</f>
        <v>-174.35161380991764</v>
      </c>
      <c r="AK34" s="635">
        <f>IF(M34="","",(COS(RADIANS((90-$Q$8)-W34))*AD34)+(-SIN(RADIANS((90-$Q$8)-W34))*AE34))</f>
        <v>0.81915209487729146</v>
      </c>
      <c r="AL34" s="629">
        <f>IF(M34="","",(SIN(RADIANS((90-$Q$8)-W34))*AD34)+(COS(RADIANS((90-$Q$8)-W34))*AE34))</f>
        <v>-0.57357636410344526</v>
      </c>
      <c r="AM34" s="634">
        <f>IF(M34="","",AF34)</f>
        <v>-1.300841920315285E-7</v>
      </c>
      <c r="AN34" s="581">
        <f>IF(M34="","",DEGREES(ATAN2(-AM34,AL34)))</f>
        <v>-89.999987005609626</v>
      </c>
      <c r="AO34" s="582">
        <f t="shared" si="94"/>
        <v>34.999994946626011</v>
      </c>
      <c r="AP34" s="585">
        <f>IF(M34="","",DEGREES(ATAN2(AK34,AL34)))</f>
        <v>-34.999994946625314</v>
      </c>
      <c r="AQ34" s="586">
        <f t="shared" si="9"/>
        <v>0.71489994336999108</v>
      </c>
      <c r="AS34" s="52">
        <f t="shared" si="116"/>
        <v>-226.213719316349</v>
      </c>
      <c r="AT34" s="72">
        <f t="shared" si="10"/>
        <v>-1.3485325899945626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-2.1735988427396613</v>
      </c>
      <c r="C35" s="708">
        <v>-0.86333184833794907</v>
      </c>
      <c r="D35" s="709">
        <v>-0.14778822741540368</v>
      </c>
      <c r="E35" s="710">
        <v>0.13172465702712238</v>
      </c>
      <c r="F35" s="708">
        <v>-0.93366467424962341</v>
      </c>
      <c r="G35" s="711">
        <v>0.33304487804113075</v>
      </c>
      <c r="H35" s="710">
        <v>0.26600000000000001</v>
      </c>
      <c r="I35" s="708">
        <v>0.52</v>
      </c>
      <c r="J35" s="570">
        <v>4.21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4.21</v>
      </c>
      <c r="N35" s="632">
        <f t="shared" si="2"/>
        <v>-2.1735988427396613</v>
      </c>
      <c r="O35" s="629">
        <f t="shared" si="3"/>
        <v>-0.86333184833794907</v>
      </c>
      <c r="P35" s="633">
        <f t="shared" si="4"/>
        <v>-0.14778822741540368</v>
      </c>
      <c r="Q35" s="585">
        <f t="shared" si="113"/>
        <v>201.662483877932</v>
      </c>
      <c r="R35" s="629">
        <f>IF(M35="","",SQRT(N35^2+O35^2))</f>
        <v>2.3387761349718392</v>
      </c>
      <c r="S35" s="634">
        <f>IF(M35="","",P35)</f>
        <v>-0.14778822741540368</v>
      </c>
      <c r="T35" s="635">
        <f>IF(M35="","",X35*COS(RADIANS(W35)))</f>
        <v>-0.98101872793059541</v>
      </c>
      <c r="U35" s="629">
        <f>IF(M35="","",X35*SIN(RADIANS(W35)))</f>
        <v>2.123081737701884</v>
      </c>
      <c r="V35" s="636">
        <f>IF(M35="","",Y35)</f>
        <v>-0.14778822741540368</v>
      </c>
      <c r="W35" s="585">
        <f t="shared" si="224"/>
        <v>114.80038342487536</v>
      </c>
      <c r="X35" s="629">
        <f>IF(M35="","",R35)</f>
        <v>2.3387761349718392</v>
      </c>
      <c r="Y35" s="630">
        <f t="shared" si="223"/>
        <v>-0.14778822741540368</v>
      </c>
      <c r="Z35" s="632">
        <f t="shared" si="6"/>
        <v>-0.13172465702712238</v>
      </c>
      <c r="AA35" s="629">
        <f t="shared" si="7"/>
        <v>0.93366467424962341</v>
      </c>
      <c r="AB35" s="629">
        <f t="shared" si="8"/>
        <v>-0.33304487804113075</v>
      </c>
      <c r="AC35" s="636">
        <f>IF(M35="","",SQRT(Z35^2+AA35^2+AB35^2))</f>
        <v>1</v>
      </c>
      <c r="AD35" s="637">
        <f>IF(M35="","",Z35*(1/SQRT(Z35^2+AA35^2+AB35^2)))</f>
        <v>-0.13172465702712238</v>
      </c>
      <c r="AE35" s="629">
        <f>IF(M35="","",AA35*(1/SQRT(Z35^2+AA35^2+AB35^2)))</f>
        <v>0.93366467424962341</v>
      </c>
      <c r="AF35" s="633">
        <f>IF(M35="","",AB35*(1/SQRT(Z35^2+AA35^2+AB35^2)))</f>
        <v>-0.33304487804113075</v>
      </c>
      <c r="AG35" s="602">
        <f>IF(M35="","",DEGREES(ATAN2(-AF35,AE35)))</f>
        <v>70.368318465284489</v>
      </c>
      <c r="AH35" s="603">
        <f>IF(M35="","",DEGREES(ACOS(AD35)))</f>
        <v>97.569265028774382</v>
      </c>
      <c r="AI35" s="585">
        <f>IF(M35="","",DEGREES(-ACOS(-AF35)))</f>
        <v>-70.546308235687135</v>
      </c>
      <c r="AJ35" s="586">
        <f>IF(M35="","",DEGREES(ATAN2(-AE35,AD35)))</f>
        <v>-171.96951347227213</v>
      </c>
      <c r="AK35" s="635">
        <f>IF(M35="","",(COS(RADIANS((90-$Q$8)-W35))*AD35)+(-SIN(RADIANS((90-$Q$8)-W35))*AE35))</f>
        <v>0.91634873258384675</v>
      </c>
      <c r="AL35" s="629">
        <f>IF(M35="","",(SIN(RADIANS((90-$Q$8)-W35))*AD35)+(COS(RADIANS((90-$Q$8)-W35))*AE35))</f>
        <v>-0.22222985736067541</v>
      </c>
      <c r="AM35" s="634">
        <f>IF(M35="","",AF35)</f>
        <v>-0.33304487804113075</v>
      </c>
      <c r="AN35" s="581">
        <f>IF(M35="","",DEGREES(ATAN2(-AM35,AL35)))</f>
        <v>-33.713874022119597</v>
      </c>
      <c r="AO35" s="582">
        <f t="shared" si="94"/>
        <v>23.602003091394614</v>
      </c>
      <c r="AP35" s="585">
        <f>IF(M35="","",DEGREES(ATAN2(AK35,AL35)))</f>
        <v>-13.631997350204145</v>
      </c>
      <c r="AQ35" s="586">
        <f t="shared" si="9"/>
        <v>0.97465794007231377</v>
      </c>
      <c r="AS35" s="52">
        <f t="shared" si="116"/>
        <v>-245.19961657512465</v>
      </c>
      <c r="AT35" s="72">
        <f t="shared" si="10"/>
        <v>2.4668381002699108E-2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4.21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4.1100000000000003</v>
      </c>
      <c r="II35" s="734" cm="1">
        <f t="array" ref="II35">IFERROR(ROUND(VALUE(IF($IH35&lt;1,$IH35+LARGE((IF($M$9:$M$150="",0,$M$9:$M$150)-MOD(IF($M$9:$M$150="",0,$M$9:$M$150),1)),1),$IH35)),4),"")</f>
        <v>4.1100000000000003</v>
      </c>
      <c r="IJ35" s="533">
        <f t="shared" si="112"/>
        <v>1613</v>
      </c>
      <c r="IK35" s="533">
        <f t="shared" si="66"/>
        <v>1313</v>
      </c>
      <c r="IL35" s="727">
        <f t="shared" si="225"/>
        <v>21.172596943055268</v>
      </c>
      <c r="IM35" s="759">
        <v>2.1249580829607199E-2</v>
      </c>
      <c r="IN35" s="5">
        <f t="shared" si="226"/>
        <v>0.38</v>
      </c>
      <c r="IO35" s="771">
        <v>190</v>
      </c>
      <c r="IP35" s="9">
        <f t="shared" si="227"/>
        <v>-2.3179069908074843</v>
      </c>
      <c r="IQ35" s="5">
        <f t="shared" si="228"/>
        <v>-0.18160054770725192</v>
      </c>
      <c r="IR35" s="5">
        <f t="shared" si="71"/>
        <v>0.314</v>
      </c>
      <c r="IS35" s="5">
        <f t="shared" si="229"/>
        <v>0.30457080718979174</v>
      </c>
      <c r="IT35" s="727">
        <f t="shared" si="230"/>
        <v>42.970680302184611</v>
      </c>
      <c r="IU35" s="9">
        <f t="shared" si="231"/>
        <v>-2.3387761349718392</v>
      </c>
      <c r="IV35" s="5">
        <f t="shared" si="232"/>
        <v>-0.14778822741540368</v>
      </c>
      <c r="IW35" s="5">
        <f t="shared" si="76"/>
        <v>0.26600000000000001</v>
      </c>
      <c r="IX35" s="5">
        <f t="shared" si="233"/>
        <v>0.24374876286730324</v>
      </c>
      <c r="IY35" s="762">
        <f t="shared" si="234"/>
        <v>33.713874022119597</v>
      </c>
    </row>
    <row r="36" spans="1:267" ht="15" customHeight="1" x14ac:dyDescent="0.25">
      <c r="A36" s="79"/>
      <c r="B36" s="707">
        <v>-2.7508425273120487</v>
      </c>
      <c r="C36" s="708">
        <v>-1.0933522153154067</v>
      </c>
      <c r="D36" s="709">
        <v>-0.70942097778827129</v>
      </c>
      <c r="E36" s="710">
        <v>-8.0587778234550017E-2</v>
      </c>
      <c r="F36" s="708">
        <v>-0.96529023268076819</v>
      </c>
      <c r="G36" s="711">
        <v>0.24843586031474502</v>
      </c>
      <c r="H36" s="710">
        <v>0.26600000000000001</v>
      </c>
      <c r="I36" s="708">
        <v>0.52</v>
      </c>
      <c r="J36" s="570">
        <v>4.2149999999999999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4.2149999999999999</v>
      </c>
      <c r="N36" s="632">
        <f t="shared" si="2"/>
        <v>-2.7508425273120487</v>
      </c>
      <c r="O36" s="629">
        <f t="shared" si="3"/>
        <v>-1.0933522153154067</v>
      </c>
      <c r="P36" s="633">
        <f t="shared" si="4"/>
        <v>-0.70942097778827129</v>
      </c>
      <c r="Q36" s="585">
        <f t="shared" si="113"/>
        <v>201.6758838759973</v>
      </c>
      <c r="R36" s="629">
        <f>IF(M36="","",SQRT(N36^2+O36^2))</f>
        <v>2.960161089671244</v>
      </c>
      <c r="S36" s="634">
        <f>IF(M36="","",P36)</f>
        <v>-0.70942097778827129</v>
      </c>
      <c r="T36" s="635">
        <f>IF(M36="","",X36*COS(RADIANS(W36)))</f>
        <v>-1.242292138960202</v>
      </c>
      <c r="U36" s="629">
        <f>IF(M36="","",X36*SIN(RADIANS(W36)))</f>
        <v>2.6868687943927094</v>
      </c>
      <c r="V36" s="636">
        <f>IF(M36="","",Y36)</f>
        <v>-0.70942097778827129</v>
      </c>
      <c r="W36" s="585">
        <f t="shared" si="224"/>
        <v>114.81378342294066</v>
      </c>
      <c r="X36" s="629">
        <f>IF(M36="","",R36)</f>
        <v>2.960161089671244</v>
      </c>
      <c r="Y36" s="630">
        <f t="shared" si="223"/>
        <v>-0.70942097778827129</v>
      </c>
      <c r="Z36" s="632">
        <f t="shared" si="6"/>
        <v>8.0587778234550017E-2</v>
      </c>
      <c r="AA36" s="629">
        <f t="shared" si="7"/>
        <v>0.96529023268076819</v>
      </c>
      <c r="AB36" s="629">
        <f t="shared" si="8"/>
        <v>-0.24843586031474502</v>
      </c>
      <c r="AC36" s="636">
        <f>IF(M36="","",SQRT(Z36^2+AA36^2+AB36^2))</f>
        <v>1</v>
      </c>
      <c r="AD36" s="637">
        <f>IF(M36="","",Z36*(1/SQRT(Z36^2+AA36^2+AB36^2)))</f>
        <v>8.0587778234550017E-2</v>
      </c>
      <c r="AE36" s="629">
        <f>IF(M36="","",AA36*(1/SQRT(Z36^2+AA36^2+AB36^2)))</f>
        <v>0.96529023268076819</v>
      </c>
      <c r="AF36" s="633">
        <f>IF(M36="","",AB36*(1/SQRT(Z36^2+AA36^2+AB36^2)))</f>
        <v>-0.24843586031474502</v>
      </c>
      <c r="AG36" s="602">
        <f>IF(M36="","",DEGREES(ATAN2(-AF36,AE36)))</f>
        <v>75.567069752459716</v>
      </c>
      <c r="AH36" s="603">
        <f>IF(M36="","",DEGREES(ACOS(AD36)))</f>
        <v>85.377647963501929</v>
      </c>
      <c r="AI36" s="585">
        <f>IF(M36="","",DEGREES(-ACOS(-AF36)))</f>
        <v>-75.615026253948002</v>
      </c>
      <c r="AJ36" s="586">
        <f>IF(M36="","",DEGREES(ATAN2(-AE36,AD36)))</f>
        <v>175.22769765012202</v>
      </c>
      <c r="AK36" s="635">
        <f>IF(M36="","",(COS(RADIANS((90-$Q$8)-W36))*AD36)+(-SIN(RADIANS((90-$Q$8)-W36))*AE36))</f>
        <v>0.86726719243587758</v>
      </c>
      <c r="AL36" s="629">
        <f>IF(M36="","",(SIN(RADIANS((90-$Q$8)-W36))*AD36)+(COS(RADIANS((90-$Q$8)-W36))*AE36))</f>
        <v>-0.43142466345129477</v>
      </c>
      <c r="AM36" s="634">
        <f>IF(M36="","",AF36)</f>
        <v>-0.24843586031474502</v>
      </c>
      <c r="AN36" s="581">
        <f>IF(M36="","",DEGREES(ATAN2(-AM36,AL36)))</f>
        <v>-60.064514405872785</v>
      </c>
      <c r="AO36" s="582">
        <f t="shared" si="94"/>
        <v>29.857393969586177</v>
      </c>
      <c r="AP36" s="585">
        <f>IF(M36="","",DEGREES(ATAN2(AK36,AL36)))</f>
        <v>-26.448186225875286</v>
      </c>
      <c r="AQ36" s="586">
        <f t="shared" si="9"/>
        <v>0.7700896282064984</v>
      </c>
      <c r="AS36" s="52">
        <f t="shared" si="116"/>
        <v>-245.18621657705933</v>
      </c>
      <c r="AT36" s="72">
        <f t="shared" si="10"/>
        <v>-0.53697367492438053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4.2149999999999999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4.1150000000000002</v>
      </c>
      <c r="II36" s="734" cm="1">
        <f t="array" ref="II36">IFERROR(ROUND(VALUE(IF($IH36&lt;1,$IH36+LARGE((IF($M$9:$M$150="",0,$M$9:$M$150)-MOD(IF($M$9:$M$150="",0,$M$9:$M$150),1)),1),$IH36)),4),"")</f>
        <v>4.1150000000000002</v>
      </c>
      <c r="IJ36" s="533">
        <f t="shared" si="112"/>
        <v>1613</v>
      </c>
      <c r="IK36" s="533">
        <f t="shared" si="66"/>
        <v>1313</v>
      </c>
      <c r="IL36" s="727">
        <f t="shared" si="225"/>
        <v>19.683897157996867</v>
      </c>
      <c r="IM36" s="759">
        <v>1.16367152465602E-2</v>
      </c>
      <c r="IN36" s="5">
        <f t="shared" si="226"/>
        <v>0.36</v>
      </c>
      <c r="IO36" s="771">
        <v>180</v>
      </c>
      <c r="IP36" s="9">
        <f t="shared" si="227"/>
        <v>-2.9148087910633138</v>
      </c>
      <c r="IQ36" s="5">
        <f t="shared" si="228"/>
        <v>-0.7329022104330668</v>
      </c>
      <c r="IR36" s="5">
        <f t="shared" si="71"/>
        <v>0.314</v>
      </c>
      <c r="IS36" s="5">
        <f t="shared" si="229"/>
        <v>0.29439698787491392</v>
      </c>
      <c r="IT36" s="727">
        <f t="shared" si="230"/>
        <v>66.841202092631661</v>
      </c>
      <c r="IU36" s="9">
        <f t="shared" si="231"/>
        <v>-2.960161089671244</v>
      </c>
      <c r="IV36" s="5">
        <f t="shared" si="232"/>
        <v>-0.70942097778827129</v>
      </c>
      <c r="IW36" s="5">
        <f t="shared" si="76"/>
        <v>0.26600000000000001</v>
      </c>
      <c r="IX36" s="5">
        <f t="shared" si="233"/>
        <v>0.23069307318794344</v>
      </c>
      <c r="IY36" s="762">
        <f t="shared" si="234"/>
        <v>60.064514405872785</v>
      </c>
    </row>
    <row r="37" spans="1:267" ht="15" customHeight="1" x14ac:dyDescent="0.25">
      <c r="A37" s="79"/>
      <c r="B37" s="707">
        <v>-1.932448435622224</v>
      </c>
      <c r="C37" s="708">
        <v>0.9766075784849847</v>
      </c>
      <c r="D37" s="709">
        <v>-0.11950036041308701</v>
      </c>
      <c r="E37" s="710">
        <v>-0.56242983153648962</v>
      </c>
      <c r="F37" s="708">
        <v>-0.80562661286829584</v>
      </c>
      <c r="G37" s="711">
        <v>0.18611406512188389</v>
      </c>
      <c r="H37" s="710">
        <v>0.314</v>
      </c>
      <c r="I37" s="708">
        <v>0.52</v>
      </c>
      <c r="J37" s="570">
        <v>5.109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5.109</v>
      </c>
      <c r="N37" s="632">
        <f t="shared" si="2"/>
        <v>-1.932448435622224</v>
      </c>
      <c r="O37" s="629">
        <f t="shared" si="3"/>
        <v>0.9766075784849847</v>
      </c>
      <c r="P37" s="633">
        <f t="shared" si="4"/>
        <v>-0.11950036041308701</v>
      </c>
      <c r="Q37" s="585">
        <f t="shared" si="113"/>
        <v>153.18919087660962</v>
      </c>
      <c r="R37" s="629">
        <f t="shared" si="79"/>
        <v>2.1652065302628953</v>
      </c>
      <c r="S37" s="634">
        <f t="shared" si="80"/>
        <v>-0.11950036041308701</v>
      </c>
      <c r="T37" s="635">
        <f t="shared" si="81"/>
        <v>0.8693624470878295</v>
      </c>
      <c r="U37" s="629">
        <f t="shared" si="82"/>
        <v>1.9830098976774038</v>
      </c>
      <c r="V37" s="636">
        <f t="shared" si="114"/>
        <v>-0.11950036041308701</v>
      </c>
      <c r="W37" s="585">
        <f t="shared" si="224"/>
        <v>66.327090423552974</v>
      </c>
      <c r="X37" s="629">
        <f t="shared" si="83"/>
        <v>2.1652065302628953</v>
      </c>
      <c r="Y37" s="630">
        <f t="shared" si="223"/>
        <v>-0.11950036041308701</v>
      </c>
      <c r="Z37" s="632">
        <f t="shared" si="6"/>
        <v>0.56242983153648962</v>
      </c>
      <c r="AA37" s="629">
        <f t="shared" si="7"/>
        <v>0.80562661286829584</v>
      </c>
      <c r="AB37" s="629">
        <f t="shared" si="8"/>
        <v>-0.18611406512188389</v>
      </c>
      <c r="AC37" s="636">
        <f t="shared" si="84"/>
        <v>1</v>
      </c>
      <c r="AD37" s="637">
        <f t="shared" si="115"/>
        <v>0.56242983153648962</v>
      </c>
      <c r="AE37" s="629">
        <f t="shared" si="85"/>
        <v>0.80562661286829584</v>
      </c>
      <c r="AF37" s="633">
        <f t="shared" si="86"/>
        <v>-0.18611406512188389</v>
      </c>
      <c r="AG37" s="602">
        <f t="shared" si="87"/>
        <v>76.991863602541329</v>
      </c>
      <c r="AH37" s="603">
        <f t="shared" si="88"/>
        <v>55.775996098364928</v>
      </c>
      <c r="AI37" s="585">
        <f t="shared" si="89"/>
        <v>-79.27390825211981</v>
      </c>
      <c r="AJ37" s="586">
        <f t="shared" si="90"/>
        <v>145.08005993135194</v>
      </c>
      <c r="AK37" s="635">
        <f t="shared" si="211"/>
        <v>0.97270403268265559</v>
      </c>
      <c r="AL37" s="629">
        <f t="shared" si="91"/>
        <v>-0.13859444276992705</v>
      </c>
      <c r="AM37" s="634">
        <f t="shared" si="92"/>
        <v>-0.18611406512188389</v>
      </c>
      <c r="AN37" s="581">
        <f t="shared" si="93"/>
        <v>-36.674124377981904</v>
      </c>
      <c r="AO37" s="582">
        <f t="shared" si="94"/>
        <v>13.417751058611522</v>
      </c>
      <c r="AP37" s="585">
        <f t="shared" si="95"/>
        <v>-8.1091309452576805</v>
      </c>
      <c r="AQ37" s="586">
        <f t="shared" si="9"/>
        <v>1.0527725814708577</v>
      </c>
      <c r="AS37" s="52">
        <f t="shared" si="116"/>
        <v>-293.67290957644701</v>
      </c>
      <c r="AT37" s="72">
        <f t="shared" si="10"/>
        <v>8.6618257033711871E-2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5.109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-2.4836904461416509</v>
      </c>
      <c r="C38" s="708">
        <v>1.343358311396267</v>
      </c>
      <c r="D38" s="709">
        <v>-0.59540179573181617</v>
      </c>
      <c r="E38" s="710">
        <v>-0.69917368364541677</v>
      </c>
      <c r="F38" s="708">
        <v>-0.7006342873661523</v>
      </c>
      <c r="G38" s="711">
        <v>0.14236486738174825</v>
      </c>
      <c r="H38" s="710">
        <v>0.314</v>
      </c>
      <c r="I38" s="708">
        <v>0.52</v>
      </c>
      <c r="J38" s="570">
        <v>5.1139999999999999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5.1139999999999999</v>
      </c>
      <c r="N38" s="632">
        <f t="shared" si="2"/>
        <v>-2.4836904461416509</v>
      </c>
      <c r="O38" s="629">
        <f t="shared" si="3"/>
        <v>1.343358311396267</v>
      </c>
      <c r="P38" s="633">
        <f t="shared" si="4"/>
        <v>-0.59540179573181617</v>
      </c>
      <c r="Q38" s="585">
        <f t="shared" si="113"/>
        <v>151.59229110717342</v>
      </c>
      <c r="R38" s="629">
        <f t="shared" si="79"/>
        <v>2.8237085163048863</v>
      </c>
      <c r="S38" s="634">
        <f t="shared" si="80"/>
        <v>-0.59540179573181617</v>
      </c>
      <c r="T38" s="635">
        <f t="shared" si="81"/>
        <v>1.2053886988254292</v>
      </c>
      <c r="U38" s="629">
        <f t="shared" si="82"/>
        <v>2.5535011004103136</v>
      </c>
      <c r="V38" s="636">
        <f t="shared" si="114"/>
        <v>-0.59540179573181617</v>
      </c>
      <c r="W38" s="585">
        <f t="shared" si="224"/>
        <v>64.730190654116782</v>
      </c>
      <c r="X38" s="629">
        <f t="shared" si="83"/>
        <v>2.8237085163048863</v>
      </c>
      <c r="Y38" s="630">
        <f t="shared" si="223"/>
        <v>-0.59540179573181617</v>
      </c>
      <c r="Z38" s="632">
        <f t="shared" si="6"/>
        <v>0.69917368364541677</v>
      </c>
      <c r="AA38" s="629">
        <f t="shared" si="7"/>
        <v>0.7006342873661523</v>
      </c>
      <c r="AB38" s="629">
        <f t="shared" si="8"/>
        <v>-0.14236486738174825</v>
      </c>
      <c r="AC38" s="636">
        <f t="shared" si="84"/>
        <v>1</v>
      </c>
      <c r="AD38" s="637">
        <f t="shared" si="115"/>
        <v>0.69917368364541677</v>
      </c>
      <c r="AE38" s="629">
        <f t="shared" si="85"/>
        <v>0.7006342873661523</v>
      </c>
      <c r="AF38" s="633">
        <f t="shared" si="86"/>
        <v>-0.14236486738174825</v>
      </c>
      <c r="AG38" s="602">
        <f t="shared" si="87"/>
        <v>78.514197490891419</v>
      </c>
      <c r="AH38" s="603">
        <f t="shared" si="88"/>
        <v>45.639253937644874</v>
      </c>
      <c r="AI38" s="585">
        <f t="shared" si="89"/>
        <v>-81.815285874465999</v>
      </c>
      <c r="AJ38" s="586">
        <f t="shared" si="90"/>
        <v>135.05978419904812</v>
      </c>
      <c r="AK38" s="635">
        <f t="shared" si="211"/>
        <v>0.94889378607373465</v>
      </c>
      <c r="AL38" s="629">
        <f t="shared" si="91"/>
        <v>-0.2816608373310549</v>
      </c>
      <c r="AM38" s="634">
        <f t="shared" si="92"/>
        <v>-0.14236486738174825</v>
      </c>
      <c r="AN38" s="581">
        <f t="shared" si="93"/>
        <v>-63.185781874564888</v>
      </c>
      <c r="AO38" s="582">
        <f t="shared" si="94"/>
        <v>18.39677335942773</v>
      </c>
      <c r="AP38" s="585">
        <f t="shared" si="95"/>
        <v>-16.532506908125303</v>
      </c>
      <c r="AQ38" s="586">
        <f t="shared" si="9"/>
        <v>0.80729854131565559</v>
      </c>
      <c r="AS38" s="52">
        <f t="shared" si="116"/>
        <v>-295.26980934588323</v>
      </c>
      <c r="AT38" s="72">
        <f t="shared" si="10"/>
        <v>-0.3881742201117977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5.1139999999999999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-2.7070628785327151</v>
      </c>
      <c r="C39" s="708">
        <v>1.5077103326256793</v>
      </c>
      <c r="D39" s="709">
        <v>-1.360004101772371</v>
      </c>
      <c r="E39" s="710">
        <v>-0.86083673520290893</v>
      </c>
      <c r="F39" s="708">
        <v>-0.5021235237586662</v>
      </c>
      <c r="G39" s="711">
        <v>8.265641060061292E-2</v>
      </c>
      <c r="H39" s="710">
        <v>0.314</v>
      </c>
      <c r="I39" s="708">
        <v>0.52</v>
      </c>
      <c r="J39" s="570">
        <v>5.1189999999999998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5.1189999999999998</v>
      </c>
      <c r="N39" s="632">
        <f t="shared" si="2"/>
        <v>-2.7070628785327151</v>
      </c>
      <c r="O39" s="629">
        <f t="shared" si="3"/>
        <v>1.5077103326256793</v>
      </c>
      <c r="P39" s="633">
        <f t="shared" si="4"/>
        <v>-1.360004101772371</v>
      </c>
      <c r="Q39" s="585">
        <f t="shared" si="113"/>
        <v>150.8841912094104</v>
      </c>
      <c r="R39" s="629">
        <f t="shared" si="79"/>
        <v>3.098609345405785</v>
      </c>
      <c r="S39" s="634">
        <f t="shared" si="80"/>
        <v>-1.360004101772371</v>
      </c>
      <c r="T39" s="635">
        <f t="shared" si="81"/>
        <v>1.3572670521127912</v>
      </c>
      <c r="U39" s="629">
        <f t="shared" si="82"/>
        <v>2.7855351415275886</v>
      </c>
      <c r="V39" s="636">
        <f t="shared" si="114"/>
        <v>-1.360004101772371</v>
      </c>
      <c r="W39" s="585">
        <f t="shared" si="224"/>
        <v>64.022090756353762</v>
      </c>
      <c r="X39" s="629">
        <f t="shared" si="83"/>
        <v>3.098609345405785</v>
      </c>
      <c r="Y39" s="630">
        <f t="shared" si="223"/>
        <v>-1.360004101772371</v>
      </c>
      <c r="Z39" s="632">
        <f t="shared" si="6"/>
        <v>0.86083673520290893</v>
      </c>
      <c r="AA39" s="629">
        <f t="shared" si="7"/>
        <v>0.5021235237586662</v>
      </c>
      <c r="AB39" s="629">
        <f t="shared" si="8"/>
        <v>-8.265641060061292E-2</v>
      </c>
      <c r="AC39" s="636">
        <f t="shared" si="84"/>
        <v>1</v>
      </c>
      <c r="AD39" s="637">
        <f t="shared" si="115"/>
        <v>0.86083673520290893</v>
      </c>
      <c r="AE39" s="629">
        <f t="shared" si="85"/>
        <v>0.5021235237586662</v>
      </c>
      <c r="AF39" s="633">
        <f t="shared" si="86"/>
        <v>-8.265641060061292E-2</v>
      </c>
      <c r="AG39" s="602">
        <f t="shared" si="87"/>
        <v>80.652163044741613</v>
      </c>
      <c r="AH39" s="603">
        <f t="shared" si="88"/>
        <v>30.589338325371898</v>
      </c>
      <c r="AI39" s="585">
        <f t="shared" si="89"/>
        <v>-85.258727241059034</v>
      </c>
      <c r="AJ39" s="586">
        <f t="shared" si="90"/>
        <v>120.25488583684503</v>
      </c>
      <c r="AK39" s="635">
        <f t="shared" si="211"/>
        <v>0.85753707414392744</v>
      </c>
      <c r="AL39" s="629">
        <f t="shared" si="91"/>
        <v>-0.50773820444722806</v>
      </c>
      <c r="AM39" s="634">
        <f t="shared" si="92"/>
        <v>-8.265641060061292E-2</v>
      </c>
      <c r="AN39" s="581">
        <f t="shared" si="93"/>
        <v>-80.753738399898026</v>
      </c>
      <c r="AO39" s="582">
        <f t="shared" si="94"/>
        <v>30.958839679655387</v>
      </c>
      <c r="AP39" s="585">
        <f t="shared" si="95"/>
        <v>-30.629305372565369</v>
      </c>
      <c r="AQ39" s="586">
        <f t="shared" si="9"/>
        <v>0.73568529978491704</v>
      </c>
      <c r="AS39" s="52">
        <f t="shared" si="116"/>
        <v>-295.97790924364625</v>
      </c>
      <c r="AT39" s="72">
        <f t="shared" si="10"/>
        <v>-1.1522847901122393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5.1189999999999998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-2.7793689402422554</v>
      </c>
      <c r="C40" s="708">
        <v>1.5630026604296281</v>
      </c>
      <c r="D40" s="709">
        <v>-2.0562062015179041</v>
      </c>
      <c r="E40" s="710">
        <v>-0.90146723281962149</v>
      </c>
      <c r="F40" s="708">
        <v>-0.4328473497117864</v>
      </c>
      <c r="G40" s="711">
        <v>1.3008419225322185E-7</v>
      </c>
      <c r="H40" s="710">
        <v>0.26600000000000001</v>
      </c>
      <c r="I40" s="708">
        <v>0.52</v>
      </c>
      <c r="J40" s="570">
        <v>5.1239999999999997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5.1239999999999997</v>
      </c>
      <c r="N40" s="632">
        <f t="shared" si="2"/>
        <v>-2.7793689402422554</v>
      </c>
      <c r="O40" s="629">
        <f t="shared" si="3"/>
        <v>1.5630026604296281</v>
      </c>
      <c r="P40" s="633">
        <f t="shared" si="4"/>
        <v>-2.0562062015179041</v>
      </c>
      <c r="Q40" s="585">
        <f t="shared" si="113"/>
        <v>150.64839124345571</v>
      </c>
      <c r="R40" s="629">
        <f t="shared" si="79"/>
        <v>3.1887096171482052</v>
      </c>
      <c r="S40" s="634">
        <f t="shared" si="80"/>
        <v>-2.0562062015179041</v>
      </c>
      <c r="T40" s="635">
        <f t="shared" si="81"/>
        <v>1.408518495470642</v>
      </c>
      <c r="U40" s="629">
        <f t="shared" si="82"/>
        <v>2.8607594569293262</v>
      </c>
      <c r="V40" s="636">
        <f t="shared" si="114"/>
        <v>-2.0562062015179041</v>
      </c>
      <c r="W40" s="585">
        <f t="shared" si="224"/>
        <v>63.786290790399065</v>
      </c>
      <c r="X40" s="629">
        <f t="shared" si="83"/>
        <v>3.1887096171482052</v>
      </c>
      <c r="Y40" s="630">
        <f t="shared" si="223"/>
        <v>-2.0562062015179041</v>
      </c>
      <c r="Z40" s="632">
        <f t="shared" si="6"/>
        <v>0.90146723281962149</v>
      </c>
      <c r="AA40" s="629">
        <f t="shared" si="7"/>
        <v>0.4328473497117864</v>
      </c>
      <c r="AB40" s="629">
        <f t="shared" si="8"/>
        <v>-1.3008419225322185E-7</v>
      </c>
      <c r="AC40" s="636">
        <f t="shared" si="84"/>
        <v>1</v>
      </c>
      <c r="AD40" s="637">
        <f t="shared" si="115"/>
        <v>0.90146723281962149</v>
      </c>
      <c r="AE40" s="629">
        <f t="shared" si="85"/>
        <v>0.4328473497117864</v>
      </c>
      <c r="AF40" s="633">
        <f t="shared" si="86"/>
        <v>-1.3008419225322185E-7</v>
      </c>
      <c r="AG40" s="602">
        <f t="shared" si="87"/>
        <v>89.999982780822847</v>
      </c>
      <c r="AH40" s="603">
        <f t="shared" si="88"/>
        <v>25.648396296831436</v>
      </c>
      <c r="AI40" s="585">
        <f t="shared" si="89"/>
        <v>-89.999992546724798</v>
      </c>
      <c r="AJ40" s="586">
        <f t="shared" si="90"/>
        <v>115.64839629683043</v>
      </c>
      <c r="AK40" s="635">
        <f t="shared" si="211"/>
        <v>0.8191520948772919</v>
      </c>
      <c r="AL40" s="629">
        <f t="shared" si="91"/>
        <v>-0.5735763641034447</v>
      </c>
      <c r="AM40" s="634">
        <f t="shared" si="92"/>
        <v>-1.3008419225322185E-7</v>
      </c>
      <c r="AN40" s="581">
        <f t="shared" si="93"/>
        <v>-89.999987005609611</v>
      </c>
      <c r="AO40" s="582">
        <f t="shared" si="94"/>
        <v>34.999994946625968</v>
      </c>
      <c r="AP40" s="585">
        <f t="shared" si="95"/>
        <v>-34.999994946625279</v>
      </c>
      <c r="AQ40" s="586">
        <f t="shared" si="9"/>
        <v>0.71489994336999108</v>
      </c>
      <c r="AS40" s="52">
        <f t="shared" si="116"/>
        <v>-296.21370920960095</v>
      </c>
      <c r="AT40" s="72">
        <f t="shared" si="10"/>
        <v>-1.8483231398814151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5.1239999999999997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-1.9071498968972715</v>
      </c>
      <c r="C41" s="708">
        <v>2.1370741795724122</v>
      </c>
      <c r="D41" s="709">
        <v>-0.56905894985263816</v>
      </c>
      <c r="E41" s="710">
        <v>-0.91580392652697895</v>
      </c>
      <c r="F41" s="708">
        <v>-0.30160479489668013</v>
      </c>
      <c r="G41" s="711">
        <v>0.26521258615137272</v>
      </c>
      <c r="H41" s="710">
        <v>0.26600000000000001</v>
      </c>
      <c r="I41" s="708">
        <v>0.52</v>
      </c>
      <c r="J41" s="570">
        <v>5.2140000000000004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5.2140000000000004</v>
      </c>
      <c r="N41" s="632">
        <f t="shared" ref="N41:N72" si="240">IF(M41="","",B41)</f>
        <v>-1.9071498968972715</v>
      </c>
      <c r="O41" s="629">
        <f t="shared" ref="O41:O72" si="241">IF(M41="","",C41)</f>
        <v>2.1370741795724122</v>
      </c>
      <c r="P41" s="633">
        <f t="shared" ref="P41:P72" si="242">IF(M41="","",D41)</f>
        <v>-0.56905894985263816</v>
      </c>
      <c r="Q41" s="585">
        <f t="shared" si="113"/>
        <v>131.74609397260974</v>
      </c>
      <c r="R41" s="629">
        <f t="shared" si="79"/>
        <v>2.8643161100392485</v>
      </c>
      <c r="S41" s="634">
        <f t="shared" si="80"/>
        <v>-0.56905894985263816</v>
      </c>
      <c r="T41" s="635">
        <f t="shared" si="81"/>
        <v>2.0294739621235771</v>
      </c>
      <c r="U41" s="629">
        <f t="shared" si="82"/>
        <v>2.0212724248088878</v>
      </c>
      <c r="V41" s="636">
        <f t="shared" si="114"/>
        <v>-0.56905894985263816</v>
      </c>
      <c r="W41" s="585">
        <f t="shared" si="224"/>
        <v>44.883993519553101</v>
      </c>
      <c r="X41" s="629">
        <f t="shared" si="83"/>
        <v>2.8643161100392485</v>
      </c>
      <c r="Y41" s="630">
        <f t="shared" si="223"/>
        <v>-0.56905894985263816</v>
      </c>
      <c r="Z41" s="632">
        <f t="shared" ref="Z41:Z72" si="243">IF(M41="","",-E41)</f>
        <v>0.91580392652697895</v>
      </c>
      <c r="AA41" s="629">
        <f t="shared" ref="AA41:AA72" si="244">IF(M41="","",-F41)</f>
        <v>0.30160479489668013</v>
      </c>
      <c r="AB41" s="629">
        <f t="shared" ref="AB41:AB72" si="245">IF(M41="","",-G41)</f>
        <v>-0.26521258615137272</v>
      </c>
      <c r="AC41" s="636">
        <f t="shared" si="84"/>
        <v>1</v>
      </c>
      <c r="AD41" s="637">
        <f t="shared" si="115"/>
        <v>0.91580392652697895</v>
      </c>
      <c r="AE41" s="629">
        <f t="shared" si="85"/>
        <v>0.30160479489668013</v>
      </c>
      <c r="AF41" s="633">
        <f t="shared" si="86"/>
        <v>-0.26521258615137272</v>
      </c>
      <c r="AG41" s="602">
        <f t="shared" si="87"/>
        <v>48.673602821652572</v>
      </c>
      <c r="AH41" s="603">
        <f t="shared" si="88"/>
        <v>23.679845538132387</v>
      </c>
      <c r="AI41" s="585">
        <f t="shared" si="89"/>
        <v>-74.620414919679831</v>
      </c>
      <c r="AJ41" s="586">
        <f t="shared" si="90"/>
        <v>108.22843907655449</v>
      </c>
      <c r="AK41" s="635">
        <f t="shared" si="211"/>
        <v>0.88410160790111403</v>
      </c>
      <c r="AL41" s="629">
        <f t="shared" si="91"/>
        <v>-0.38474229174028363</v>
      </c>
      <c r="AM41" s="634">
        <f t="shared" si="92"/>
        <v>-0.26521258615137272</v>
      </c>
      <c r="AN41" s="581">
        <f t="shared" si="93"/>
        <v>-55.42052258875934</v>
      </c>
      <c r="AO41" s="582">
        <f t="shared" si="94"/>
        <v>27.858833180024394</v>
      </c>
      <c r="AP41" s="585">
        <f t="shared" si="95"/>
        <v>-23.517654896055237</v>
      </c>
      <c r="AQ41" s="586">
        <f t="shared" ref="AQ41:AQ72" si="246">IF(M41="","",DEGREES(ATAN(($AS$5*SIN(RADIANS(90)))/(($X41*2*PI())-($AS$5*COS(RADIANS(90)))))))</f>
        <v>0.79585490064223408</v>
      </c>
      <c r="AS41" s="52">
        <f t="shared" si="116"/>
        <v>-315.11600648044691</v>
      </c>
      <c r="AT41" s="72">
        <f t="shared" ref="AT41:AT72" si="247">IF(M41="","",Y41+(((AS41-$AS$9)*$AS$6)*-1))</f>
        <v>-0.34804929288917269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5.2140000000000004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0.114</v>
      </c>
      <c r="II41" s="734" cm="1">
        <f t="array" ref="II41">IFERROR(ROUND(VALUE(IF($IH41&lt;1,$IH41+LARGE((IF($M$9:$M$150="",0,$M$9:$M$150)-MOD(IF($M$9:$M$150="",0,$M$9:$M$150),1)),1),$IH41)),4),"")</f>
        <v>5.1139999999999999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19.846197134563681</v>
      </c>
      <c r="IM41" s="759">
        <v>1.37505256240945E-2</v>
      </c>
      <c r="IN41" s="5">
        <f t="shared" si="226"/>
        <v>0.36</v>
      </c>
      <c r="IO41" s="771">
        <v>180</v>
      </c>
      <c r="IP41" s="9">
        <f t="shared" si="227"/>
        <v>-2.8237085163048863</v>
      </c>
      <c r="IQ41" s="5">
        <f t="shared" si="228"/>
        <v>-0.59540179573181617</v>
      </c>
      <c r="IR41" s="5">
        <f t="shared" ref="IR41:IR72" si="383">IF(ISNUMBER($II41),INDEX($H$9:$H$150,MATCH($II41,$M$9:$M$150,0)),"")</f>
        <v>0.314</v>
      </c>
      <c r="IS41" s="5">
        <f t="shared" si="229"/>
        <v>0.29795264882715267</v>
      </c>
      <c r="IT41" s="727">
        <f t="shared" si="230"/>
        <v>63.185781874564888</v>
      </c>
      <c r="IU41" s="9">
        <f t="shared" si="231"/>
        <v>-2.8643161100392485</v>
      </c>
      <c r="IV41" s="5">
        <f t="shared" si="232"/>
        <v>-0.56905894985263816</v>
      </c>
      <c r="IW41" s="5">
        <f t="shared" ref="IW41:IW72" si="384">IF(ISNUMBER($II41),$H41,"")</f>
        <v>0.26600000000000001</v>
      </c>
      <c r="IX41" s="5">
        <f t="shared" si="233"/>
        <v>0.23517102770169634</v>
      </c>
      <c r="IY41" s="762">
        <f t="shared" si="234"/>
        <v>55.42052258875934</v>
      </c>
    </row>
    <row r="42" spans="1:267" ht="15" customHeight="1" x14ac:dyDescent="0.25">
      <c r="A42" s="79"/>
      <c r="B42" s="707">
        <v>-2.0771187657435517</v>
      </c>
      <c r="C42" s="708">
        <v>2.3498627087576205</v>
      </c>
      <c r="D42" s="709">
        <v>-1.3640025359279899</v>
      </c>
      <c r="E42" s="710">
        <v>-0.97877838150980623</v>
      </c>
      <c r="F42" s="708">
        <v>-0.18751212674295809</v>
      </c>
      <c r="G42" s="711">
        <v>8.2656410600613253E-2</v>
      </c>
      <c r="H42" s="710">
        <v>0.26600000000000001</v>
      </c>
      <c r="I42" s="708">
        <v>0.52</v>
      </c>
      <c r="J42" s="570">
        <v>5.2190000000000003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5.2190000000000003</v>
      </c>
      <c r="N42" s="632">
        <f t="shared" si="240"/>
        <v>-2.0771187657435517</v>
      </c>
      <c r="O42" s="629">
        <f t="shared" si="241"/>
        <v>2.3498627087576205</v>
      </c>
      <c r="P42" s="633">
        <f t="shared" si="242"/>
        <v>-1.3640025359279899</v>
      </c>
      <c r="Q42" s="585">
        <f t="shared" si="113"/>
        <v>131.47449401182396</v>
      </c>
      <c r="R42" s="629">
        <f t="shared" ref="R42:R47" si="385">IF(M42="","",SQRT(N42^2+O42^2))</f>
        <v>3.1362839662590689</v>
      </c>
      <c r="S42" s="634">
        <f t="shared" ref="S42:S47" si="386">IF(M42="","",P42)</f>
        <v>-1.3640025359279899</v>
      </c>
      <c r="T42" s="635">
        <f t="shared" ref="T42:T47" si="387">IF(M42="","",X42*COS(RADIANS(W42)))</f>
        <v>2.2326394755090821</v>
      </c>
      <c r="U42" s="629">
        <f t="shared" ref="U42:U47" si="388">IF(M42="","",X42*SIN(RADIANS(W42)))</f>
        <v>2.2026343521820064</v>
      </c>
      <c r="V42" s="636">
        <f t="shared" ref="V42:V47" si="389">IF(M42="","",Y42)</f>
        <v>-1.3640025359279899</v>
      </c>
      <c r="W42" s="585">
        <f t="shared" si="224"/>
        <v>44.612393558767323</v>
      </c>
      <c r="X42" s="629">
        <f t="shared" ref="X42:X47" si="390">IF(M42="","",R42)</f>
        <v>3.1362839662590689</v>
      </c>
      <c r="Y42" s="630">
        <f t="shared" si="223"/>
        <v>-1.3640025359279899</v>
      </c>
      <c r="Z42" s="632">
        <f t="shared" si="243"/>
        <v>0.97877838150980623</v>
      </c>
      <c r="AA42" s="629">
        <f t="shared" si="244"/>
        <v>0.18751212674295809</v>
      </c>
      <c r="AB42" s="629">
        <f t="shared" si="245"/>
        <v>-8.2656410600613253E-2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0.97877838150980623</v>
      </c>
      <c r="AE42" s="629">
        <f t="shared" ref="AE42:AE47" si="393">IF(M42="","",AA42*(1/SQRT(Z42^2+AA42^2+AB42^2)))</f>
        <v>0.18751212674295809</v>
      </c>
      <c r="AF42" s="633">
        <f t="shared" ref="AF42:AF47" si="394">IF(M42="","",AB42*(1/SQRT(Z42^2+AA42^2+AB42^2)))</f>
        <v>-8.2656410600613253E-2</v>
      </c>
      <c r="AG42" s="602">
        <f t="shared" ref="AG42:AG47" si="395">IF(M42="","",DEGREES(ATAN2(-AF42,AE42)))</f>
        <v>66.211842328561218</v>
      </c>
      <c r="AH42" s="603">
        <f t="shared" ref="AH42:AH47" si="396">IF(M42="","",DEGREES(ACOS(AD42)))</f>
        <v>11.824912161144951</v>
      </c>
      <c r="AI42" s="585">
        <f t="shared" ref="AI42:AI47" si="397">IF(M42="","",DEGREES(-ACOS(-AF42)))</f>
        <v>-85.25872724105902</v>
      </c>
      <c r="AJ42" s="586">
        <f t="shared" ref="AJ42:AJ47" si="398">IF(M42="","",DEGREES(ATAN2(-AE42,AD42)))</f>
        <v>100.84518863925858</v>
      </c>
      <c r="AK42" s="635">
        <f t="shared" ref="AK42:AK47" si="399">IF(M42="","",(COS(RADIANS((90-$Q$8)-W42))*AD42)+(-SIN(RADIANS((90-$Q$8)-W42))*AE42))</f>
        <v>0.85753707414392732</v>
      </c>
      <c r="AL42" s="629">
        <f t="shared" ref="AL42:AL47" si="400">IF(M42="","",(SIN(RADIANS((90-$Q$8)-W42))*AD42)+(COS(RADIANS((90-$Q$8)-W42))*AE42))</f>
        <v>-0.50773820444722817</v>
      </c>
      <c r="AM42" s="634">
        <f t="shared" ref="AM42:AM47" si="401">IF(M42="","",AF42)</f>
        <v>-8.2656410600613253E-2</v>
      </c>
      <c r="AN42" s="581">
        <f t="shared" ref="AN42:AN47" si="402">IF(M42="","",DEGREES(ATAN2(-AM42,AL42)))</f>
        <v>-80.753738399897998</v>
      </c>
      <c r="AO42" s="582">
        <f t="shared" si="94"/>
        <v>30.958839679655398</v>
      </c>
      <c r="AP42" s="585">
        <f t="shared" ref="AP42:AP47" si="403">IF(M42="","",DEGREES(ATAN2(AK42,AL42)))</f>
        <v>-30.629305372565376</v>
      </c>
      <c r="AQ42" s="586">
        <f t="shared" si="246"/>
        <v>0.72684883172671055</v>
      </c>
      <c r="AS42" s="52">
        <f t="shared" si="116"/>
        <v>-315.38760644123266</v>
      </c>
      <c r="AT42" s="72">
        <f t="shared" si="247"/>
        <v>-1.1428042678806454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>Gage</v>
      </c>
      <c r="IG42" s="847">
        <f t="shared" si="210"/>
        <v>5.2190000000000003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0.11899999999999999</v>
      </c>
      <c r="II42" s="734" cm="1">
        <f t="array" ref="II42">IFERROR(ROUND(VALUE(IF($IH42&lt;1,$IH42+LARGE((IF($M$9:$M$150="",0,$M$9:$M$150)-MOD(IF($M$9:$M$150="",0,$M$9:$M$150),1)),1),$IH42)),4),"")</f>
        <v>5.1189999999999998</v>
      </c>
      <c r="IJ42" s="533">
        <f t="shared" si="112"/>
        <v>1613</v>
      </c>
      <c r="IK42" s="533">
        <f t="shared" si="382"/>
        <v>1313</v>
      </c>
      <c r="IL42" s="727">
        <f t="shared" si="225"/>
        <v>19.409697197586439</v>
      </c>
      <c r="IM42" s="759">
        <v>3.6523300376178599E-3</v>
      </c>
      <c r="IN42" s="5">
        <f t="shared" si="226"/>
        <v>0.32</v>
      </c>
      <c r="IO42" s="771">
        <v>160</v>
      </c>
      <c r="IP42" s="9">
        <f t="shared" si="227"/>
        <v>-3.098609345405785</v>
      </c>
      <c r="IQ42" s="5">
        <f t="shared" si="228"/>
        <v>-1.360004101772371</v>
      </c>
      <c r="IR42" s="5">
        <f t="shared" si="383"/>
        <v>0.314</v>
      </c>
      <c r="IS42" s="5">
        <f t="shared" si="229"/>
        <v>0.26926664128119321</v>
      </c>
      <c r="IT42" s="727">
        <f t="shared" si="230"/>
        <v>80.753738399898026</v>
      </c>
      <c r="IU42" s="9">
        <f t="shared" si="231"/>
        <v>-3.1362839662590689</v>
      </c>
      <c r="IV42" s="5">
        <f t="shared" si="232"/>
        <v>-1.3640025359279899</v>
      </c>
      <c r="IW42" s="5">
        <f t="shared" si="384"/>
        <v>0.26600000000000001</v>
      </c>
      <c r="IX42" s="5">
        <f t="shared" si="233"/>
        <v>0.22810486172228467</v>
      </c>
      <c r="IY42" s="762">
        <f t="shared" si="234"/>
        <v>80.753738399897998</v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0.90630781366099955</v>
      </c>
      <c r="F154" s="170">
        <f t="shared" si="929"/>
        <v>7.3386870597457673E-2</v>
      </c>
      <c r="G154" s="170">
        <f t="shared" si="929"/>
        <v>-0.41619768634740262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0.97623192729004094</v>
      </c>
      <c r="F155" s="170">
        <f t="shared" si="929"/>
        <v>2.3347442871420036E-2</v>
      </c>
      <c r="G155" s="170">
        <f t="shared" si="929"/>
        <v>-0.21546721572187807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0.97031672858167761</v>
      </c>
      <c r="F156" s="170">
        <f t="shared" si="929"/>
        <v>-0.13689059794341291</v>
      </c>
      <c r="G156" s="170">
        <f t="shared" si="929"/>
        <v>-0.19936501806797974</v>
      </c>
      <c r="H156" s="139"/>
      <c r="I156" s="86"/>
      <c r="J156" s="79">
        <f t="shared" si="930"/>
        <v>1.1080000000000001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0.93920168675572391</v>
      </c>
      <c r="F157" s="170">
        <f t="shared" si="929"/>
        <v>-0.30566697739373133</v>
      </c>
      <c r="G157" s="170">
        <f t="shared" si="929"/>
        <v>-0.15642215484445726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0.84760454967760768</v>
      </c>
      <c r="F158" s="170">
        <f t="shared" si="929"/>
        <v>-0.52020069815810044</v>
      </c>
      <c r="G158" s="170">
        <f t="shared" si="929"/>
        <v>-0.10467932461400793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0.77326954245195478</v>
      </c>
      <c r="F159" s="170">
        <f t="shared" si="929"/>
        <v>-0.63407745166984764</v>
      </c>
      <c r="G159" s="170">
        <f t="shared" si="929"/>
        <v>-1.3008419219013557E-7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0.68383342521601465</v>
      </c>
      <c r="F160" s="170">
        <f t="shared" si="929"/>
        <v>-0.67005312474051637</v>
      </c>
      <c r="G160" s="170">
        <f t="shared" si="929"/>
        <v>-0.28879171834178935</v>
      </c>
      <c r="H160" s="139"/>
      <c r="I160" s="86"/>
      <c r="J160" s="79">
        <f t="shared" si="930"/>
        <v>1.2130000000000001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0.58782455476678908</v>
      </c>
      <c r="F161" s="170">
        <f t="shared" si="929"/>
        <v>-0.79888410011912314</v>
      </c>
      <c r="G161" s="170">
        <f t="shared" si="929"/>
        <v>-0.12746170950558075</v>
      </c>
      <c r="H161" s="139"/>
      <c r="I161" s="86"/>
      <c r="J161" s="79">
        <f t="shared" si="930"/>
        <v>1.218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0.23562245616746216</v>
      </c>
      <c r="F162" s="170">
        <f t="shared" si="929"/>
        <v>-0.9490058819382714</v>
      </c>
      <c r="G162" s="170">
        <f t="shared" si="929"/>
        <v>-0.20945141249506091</v>
      </c>
      <c r="H162" s="139"/>
      <c r="I162" s="86"/>
      <c r="J162" s="79">
        <f t="shared" si="930"/>
        <v>2.1070000000000002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6.8368445646530801E-2</v>
      </c>
      <c r="F163" s="170">
        <f t="shared" si="929"/>
        <v>-0.9835593801929976</v>
      </c>
      <c r="G163" s="170">
        <f t="shared" si="929"/>
        <v>-0.16714275716956356</v>
      </c>
      <c r="H163" s="139"/>
      <c r="I163" s="86"/>
      <c r="J163" s="79">
        <f t="shared" si="930"/>
        <v>2.1120000000000001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-0.14274013832794405</v>
      </c>
      <c r="F164" s="170">
        <f t="shared" si="929"/>
        <v>-0.9825603802515146</v>
      </c>
      <c r="G164" s="170">
        <f t="shared" si="929"/>
        <v>-0.1191652301223744</v>
      </c>
      <c r="H164" s="139"/>
      <c r="I164" s="86"/>
      <c r="J164" s="79">
        <f t="shared" si="930"/>
        <v>2.117</v>
      </c>
    </row>
    <row r="165" spans="5:16" x14ac:dyDescent="0.25">
      <c r="E165" s="170">
        <f t="shared" si="929"/>
        <v>-0.33136483209844508</v>
      </c>
      <c r="F165" s="170">
        <f t="shared" si="929"/>
        <v>-0.94350270166457528</v>
      </c>
      <c r="G165" s="170">
        <f t="shared" si="929"/>
        <v>-1.3008419229360957E-7</v>
      </c>
      <c r="H165" s="139"/>
      <c r="I165" s="86"/>
      <c r="J165" s="79">
        <f t="shared" si="930"/>
        <v>2.1219999999999999</v>
      </c>
    </row>
    <row r="166" spans="5:16" x14ac:dyDescent="0.25">
      <c r="E166" s="170">
        <f t="shared" si="929"/>
        <v>-0.35580922104952867</v>
      </c>
      <c r="F166" s="170">
        <f t="shared" si="929"/>
        <v>-0.88230593321177708</v>
      </c>
      <c r="G166" s="170">
        <f t="shared" si="929"/>
        <v>-0.308116923318767</v>
      </c>
      <c r="H166" s="139"/>
      <c r="I166" s="86"/>
      <c r="J166" s="79">
        <f t="shared" si="930"/>
        <v>2.2120000000000002</v>
      </c>
    </row>
    <row r="167" spans="5:16" x14ac:dyDescent="0.25">
      <c r="E167" s="170">
        <f t="shared" si="929"/>
        <v>-0.5349876143544553</v>
      </c>
      <c r="F167" s="170">
        <f t="shared" si="929"/>
        <v>-0.82713372450310396</v>
      </c>
      <c r="G167" s="170">
        <f t="shared" si="929"/>
        <v>-0.1721570628146058</v>
      </c>
      <c r="H167" s="139"/>
      <c r="I167" s="86"/>
      <c r="J167" s="79">
        <f t="shared" si="930"/>
        <v>2.2170000000000001</v>
      </c>
    </row>
    <row r="168" spans="5:16" x14ac:dyDescent="0.25">
      <c r="E168" s="170">
        <f t="shared" si="929"/>
        <v>-0.76546194362595554</v>
      </c>
      <c r="F168" s="170">
        <f t="shared" si="929"/>
        <v>-0.59084739713371681</v>
      </c>
      <c r="G168" s="170">
        <f t="shared" si="929"/>
        <v>-0.25488696742024014</v>
      </c>
      <c r="H168" s="139"/>
      <c r="I168" s="86"/>
      <c r="J168" s="79">
        <f t="shared" si="930"/>
        <v>3.1030000000000002</v>
      </c>
    </row>
    <row r="169" spans="5:16" x14ac:dyDescent="0.25">
      <c r="E169" s="170">
        <f t="shared" si="929"/>
        <v>-0.83680526554273882</v>
      </c>
      <c r="F169" s="170">
        <f t="shared" si="929"/>
        <v>-0.50304053458279352</v>
      </c>
      <c r="G169" s="170">
        <f t="shared" si="929"/>
        <v>-0.21611841228040715</v>
      </c>
      <c r="H169" s="139"/>
      <c r="I169" s="86"/>
      <c r="J169" s="79">
        <f t="shared" si="930"/>
        <v>3.1059999999999999</v>
      </c>
    </row>
    <row r="170" spans="5:16" x14ac:dyDescent="0.25">
      <c r="E170" s="170">
        <f t="shared" si="929"/>
        <v>-0.91902106457374266</v>
      </c>
      <c r="F170" s="170">
        <f t="shared" si="929"/>
        <v>-0.35355141616165287</v>
      </c>
      <c r="G170" s="170">
        <f t="shared" si="929"/>
        <v>-0.17436077253738749</v>
      </c>
      <c r="H170" s="139"/>
      <c r="I170" s="86"/>
      <c r="J170" s="79">
        <f t="shared" si="930"/>
        <v>3.1110000000000002</v>
      </c>
    </row>
    <row r="171" spans="5:16" x14ac:dyDescent="0.25">
      <c r="E171" s="170">
        <f t="shared" si="929"/>
        <v>-0.97689580825795896</v>
      </c>
      <c r="F171" s="170">
        <f t="shared" si="929"/>
        <v>-0.1726271808922909</v>
      </c>
      <c r="G171" s="170">
        <f t="shared" si="929"/>
        <v>-0.1259937943916668</v>
      </c>
      <c r="H171" s="139"/>
      <c r="I171" s="86"/>
      <c r="J171" s="79">
        <f t="shared" si="930"/>
        <v>3.1160000000000001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-0.99711717047608439</v>
      </c>
      <c r="F172" s="170">
        <f t="shared" si="929"/>
        <v>7.5877192500451579E-2</v>
      </c>
      <c r="G172" s="170">
        <f t="shared" si="929"/>
        <v>-1.3008419233814161E-7</v>
      </c>
      <c r="H172" s="139"/>
      <c r="I172" s="86"/>
      <c r="J172" s="79">
        <f t="shared" si="930"/>
        <v>3.121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-0.94355641338325857</v>
      </c>
      <c r="F173" s="170">
        <f t="shared" si="929"/>
        <v>7.3593834371809122E-2</v>
      </c>
      <c r="G173" s="170">
        <f t="shared" si="929"/>
        <v>-0.32293225652724161</v>
      </c>
      <c r="H173" s="139"/>
      <c r="I173" s="86"/>
      <c r="J173" s="79">
        <f t="shared" si="930"/>
        <v>3.2109999999999999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-0.93434562297977142</v>
      </c>
      <c r="F174" s="170">
        <f t="shared" si="933"/>
        <v>0.28328104792592351</v>
      </c>
      <c r="G174" s="170">
        <f t="shared" si="933"/>
        <v>-0.21621772523207616</v>
      </c>
      <c r="H174" s="139"/>
      <c r="I174" s="86"/>
      <c r="J174" s="79">
        <f t="shared" si="930"/>
        <v>3.2160000000000002</v>
      </c>
    </row>
    <row r="175" spans="5:16" x14ac:dyDescent="0.25">
      <c r="E175" s="170">
        <f t="shared" si="933"/>
        <v>-0.70645871531396387</v>
      </c>
      <c r="F175" s="170">
        <f t="shared" si="933"/>
        <v>0.62246738641407151</v>
      </c>
      <c r="G175" s="170">
        <f t="shared" si="933"/>
        <v>-0.33682404369014229</v>
      </c>
      <c r="H175" s="139"/>
      <c r="I175" s="86"/>
      <c r="J175" s="79">
        <f t="shared" si="930"/>
        <v>4.1020000000000003</v>
      </c>
    </row>
    <row r="176" spans="5:16" x14ac:dyDescent="0.25">
      <c r="E176" s="170">
        <f t="shared" si="933"/>
        <v>-0.67424442759792147</v>
      </c>
      <c r="F176" s="170">
        <f t="shared" si="933"/>
        <v>0.705429093935665</v>
      </c>
      <c r="G176" s="170">
        <f t="shared" si="933"/>
        <v>-0.21855032665786142</v>
      </c>
      <c r="H176" s="139"/>
      <c r="I176" s="86"/>
      <c r="J176" s="79">
        <f t="shared" si="930"/>
        <v>4.1050000000000004</v>
      </c>
    </row>
    <row r="177" spans="5:10" x14ac:dyDescent="0.25">
      <c r="E177" s="170">
        <f t="shared" si="933"/>
        <v>-0.53790083716495019</v>
      </c>
      <c r="F177" s="170">
        <f t="shared" si="933"/>
        <v>0.82400898642483145</v>
      </c>
      <c r="G177" s="170">
        <f t="shared" si="933"/>
        <v>-0.1779659508680462</v>
      </c>
      <c r="H177" s="139"/>
      <c r="I177" s="86"/>
      <c r="J177" s="79">
        <f t="shared" si="930"/>
        <v>4.1100000000000003</v>
      </c>
    </row>
    <row r="178" spans="5:10" x14ac:dyDescent="0.25">
      <c r="E178" s="170">
        <f t="shared" si="933"/>
        <v>-0.37952054424859583</v>
      </c>
      <c r="F178" s="170">
        <f t="shared" si="933"/>
        <v>0.91501634735336279</v>
      </c>
      <c r="G178" s="170">
        <f t="shared" si="933"/>
        <v>-0.13678172600665645</v>
      </c>
      <c r="H178" s="139"/>
      <c r="I178" s="86"/>
      <c r="J178" s="79">
        <f t="shared" si="930"/>
        <v>4.1150000000000002</v>
      </c>
    </row>
    <row r="179" spans="5:10" x14ac:dyDescent="0.25">
      <c r="E179" s="170">
        <f t="shared" si="933"/>
        <v>-9.8423332738979977E-2</v>
      </c>
      <c r="F179" s="170">
        <f t="shared" si="933"/>
        <v>0.99514463650895246</v>
      </c>
      <c r="G179" s="170">
        <f t="shared" si="933"/>
        <v>-1.300841920315285E-7</v>
      </c>
      <c r="H179" s="139"/>
      <c r="I179" s="86"/>
      <c r="J179" s="79">
        <f t="shared" si="930"/>
        <v>4.12</v>
      </c>
    </row>
    <row r="180" spans="5:10" x14ac:dyDescent="0.25">
      <c r="E180" s="170">
        <f t="shared" si="933"/>
        <v>-0.13172465702712238</v>
      </c>
      <c r="F180" s="170">
        <f t="shared" si="933"/>
        <v>0.93366467424962341</v>
      </c>
      <c r="G180" s="170">
        <f t="shared" si="933"/>
        <v>-0.33304487804113075</v>
      </c>
      <c r="H180" s="139"/>
      <c r="I180" s="86"/>
      <c r="J180" s="79">
        <f t="shared" si="930"/>
        <v>4.21</v>
      </c>
    </row>
    <row r="181" spans="5:10" x14ac:dyDescent="0.25">
      <c r="E181" s="170">
        <f t="shared" si="933"/>
        <v>8.0587778234550017E-2</v>
      </c>
      <c r="F181" s="170">
        <f t="shared" si="933"/>
        <v>0.96529023268076819</v>
      </c>
      <c r="G181" s="170">
        <f t="shared" si="933"/>
        <v>-0.24843586031474502</v>
      </c>
      <c r="H181" s="139"/>
      <c r="I181" s="86"/>
      <c r="J181" s="79">
        <f t="shared" si="930"/>
        <v>4.2149999999999999</v>
      </c>
    </row>
    <row r="182" spans="5:10" x14ac:dyDescent="0.25">
      <c r="E182" s="170">
        <f t="shared" si="933"/>
        <v>0.56242983153648962</v>
      </c>
      <c r="F182" s="170">
        <f t="shared" si="933"/>
        <v>0.80562661286829584</v>
      </c>
      <c r="G182" s="170">
        <f t="shared" si="933"/>
        <v>-0.18611406512188389</v>
      </c>
      <c r="H182" s="139"/>
      <c r="I182" s="86"/>
      <c r="J182" s="79">
        <f t="shared" si="930"/>
        <v>5.109</v>
      </c>
    </row>
    <row r="183" spans="5:10" x14ac:dyDescent="0.25">
      <c r="E183" s="170">
        <f t="shared" si="933"/>
        <v>0.69917368364541677</v>
      </c>
      <c r="F183" s="170">
        <f t="shared" si="933"/>
        <v>0.7006342873661523</v>
      </c>
      <c r="G183" s="170">
        <f t="shared" si="933"/>
        <v>-0.14236486738174825</v>
      </c>
      <c r="H183" s="139"/>
      <c r="I183" s="86"/>
      <c r="J183" s="79">
        <f t="shared" si="930"/>
        <v>5.1139999999999999</v>
      </c>
    </row>
    <row r="184" spans="5:10" x14ac:dyDescent="0.25">
      <c r="E184" s="170">
        <f t="shared" si="933"/>
        <v>0.86083673520290893</v>
      </c>
      <c r="F184" s="170">
        <f t="shared" si="933"/>
        <v>0.5021235237586662</v>
      </c>
      <c r="G184" s="170">
        <f t="shared" si="933"/>
        <v>-8.265641060061292E-2</v>
      </c>
      <c r="H184" s="139"/>
      <c r="I184" s="86"/>
      <c r="J184" s="79">
        <f t="shared" si="930"/>
        <v>5.1189999999999998</v>
      </c>
    </row>
    <row r="185" spans="5:10" x14ac:dyDescent="0.25">
      <c r="E185" s="170">
        <f t="shared" si="933"/>
        <v>0.90146723281962149</v>
      </c>
      <c r="F185" s="170">
        <f t="shared" si="933"/>
        <v>0.4328473497117864</v>
      </c>
      <c r="G185" s="170">
        <f t="shared" si="933"/>
        <v>-1.3008419225322185E-7</v>
      </c>
      <c r="H185" s="139"/>
      <c r="I185" s="86"/>
      <c r="J185" s="79">
        <f t="shared" si="930"/>
        <v>5.1239999999999997</v>
      </c>
    </row>
    <row r="186" spans="5:10" x14ac:dyDescent="0.25">
      <c r="E186" s="170">
        <f t="shared" si="933"/>
        <v>0.91580392652697895</v>
      </c>
      <c r="F186" s="170">
        <f t="shared" si="933"/>
        <v>0.30160479489668013</v>
      </c>
      <c r="G186" s="170">
        <f t="shared" si="933"/>
        <v>-0.26521258615137272</v>
      </c>
      <c r="H186" s="139"/>
      <c r="I186" s="86"/>
      <c r="J186" s="79">
        <f t="shared" si="930"/>
        <v>5.2140000000000004</v>
      </c>
    </row>
    <row r="187" spans="5:10" x14ac:dyDescent="0.25">
      <c r="E187" s="170">
        <f t="shared" si="933"/>
        <v>0.97877838150980623</v>
      </c>
      <c r="F187" s="170">
        <f t="shared" si="933"/>
        <v>0.18751212674295809</v>
      </c>
      <c r="G187" s="170">
        <f t="shared" si="933"/>
        <v>-8.2656410600613253E-2</v>
      </c>
      <c r="H187" s="139"/>
      <c r="I187" s="86"/>
      <c r="J187" s="79">
        <f t="shared" si="930"/>
        <v>5.2190000000000003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1D08280-747E-4253-BC58-5F130AF2B2BB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2819FE4D-9124-425D-8995-BB17AB3FF21C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6.75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1.1080000000000001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1.2130000000000001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1.218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2.1070000000000002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2.1120000000000001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2.1219999999999999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2.2120000000000002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2.2170000000000001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3.1030000000000002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3.1059999999999999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3.1110000000000002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3.1160000000000001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3.2109999999999999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3.2160000000000002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4.1020000000000003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4.1050000000000004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4.1100000000000003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4.1150000000000002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4.21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4.2149999999999999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5.109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5.1139999999999999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5.1189999999999998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5.1239999999999997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5.2140000000000004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5.2190000000000003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2023-03-29T12:46:43Z</dcterms:modified>
</cp:coreProperties>
</file>