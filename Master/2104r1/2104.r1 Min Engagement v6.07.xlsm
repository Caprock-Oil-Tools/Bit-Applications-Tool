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04\"/>
    </mc:Choice>
  </mc:AlternateContent>
  <xr:revisionPtr revIDLastSave="0" documentId="13_ncr:1_{611889A8-5DCF-43A5-8EC9-D2EB335EF894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9" i="1" l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6" i="1" l="1" a="1"/>
  <c r="L6" i="1" s="1"/>
  <c r="L2" i="1" a="1"/>
  <c r="L2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K11" i="1"/>
  <c r="IY11" i="1"/>
  <c r="IX11" i="1"/>
  <c r="IP11" i="1"/>
  <c r="IW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R55" i="1"/>
  <c r="IK55" i="1"/>
  <c r="IW55" i="1"/>
  <c r="IQ55" i="1"/>
  <c r="IN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V11" i="1" l="1"/>
  <c r="IQ11" i="1"/>
  <c r="IN11" i="1"/>
  <c r="IR11" i="1"/>
  <c r="IT11" i="1"/>
  <c r="IL11" i="1"/>
  <c r="IS11" i="1"/>
  <c r="IU11" i="1"/>
  <c r="IE11" i="1" s="1"/>
  <c r="JA9" i="1" a="1"/>
  <c r="JA9" i="1" s="1"/>
  <c r="JA23" i="1" a="1"/>
  <c r="JA23" i="1" s="1"/>
  <c r="IF85" i="1"/>
  <c r="IF129" i="1"/>
  <c r="IF73" i="1"/>
  <c r="IF49" i="1"/>
  <c r="IF138" i="1"/>
  <c r="IF10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F11" i="1" l="1"/>
  <c r="JB10" i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64" i="1" l="1"/>
  <c r="IV55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37" i="1" l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IL16" i="1" s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55" i="1" l="1"/>
  <c r="IL23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IX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IY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IT55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77" i="1" l="1"/>
  <c r="IF55" i="1"/>
  <c r="IT20" i="1"/>
  <c r="IY78" i="1"/>
  <c r="IT82" i="1"/>
  <c r="IT75" i="1"/>
  <c r="IT76" i="1"/>
  <c r="IT74" i="1"/>
  <c r="IY61" i="1"/>
  <c r="IT68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IS77" i="1" s="1"/>
  <c r="AP74" i="1"/>
  <c r="AO74" i="1"/>
  <c r="IX74" i="1" s="1"/>
  <c r="IF74" i="1" s="1"/>
  <c r="AP71" i="1"/>
  <c r="AO72" i="1"/>
  <c r="IS78" i="1" s="1"/>
  <c r="AP72" i="1"/>
  <c r="AO69" i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IS64" i="1" s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75" i="1" l="1"/>
  <c r="IS54" i="1"/>
  <c r="IS55" i="1"/>
  <c r="IS20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<sst xmlns="http://schemas.openxmlformats.org/spreadsheetml/2006/main" count="734" uniqueCount="391">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</sst>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5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3" fontId="26" fillId="63" borderId="0" xfId="0" applyNumberFormat="1" applyFont="1" applyFill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0" fontId="26" fillId="0" borderId="0" xfId="0" applyNumberFormat="1" applyFont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3" t="s">
        <v>77</v>
      </c>
      <c r="D1" s="913"/>
      <c r="E1" s="913"/>
      <c r="F1" s="913"/>
      <c r="G1" s="913"/>
      <c r="H1" s="913"/>
      <c r="I1" s="913"/>
      <c r="J1" s="913"/>
      <c r="K1" s="91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0" t="s">
        <v>80</v>
      </c>
      <c r="B6" s="900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9" t="s">
        <v>379</v>
      </c>
      <c r="AQ7" s="899"/>
      <c r="AR7" s="899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5">
        <v>9</v>
      </c>
      <c r="D9" s="875"/>
      <c r="E9" s="875"/>
      <c r="F9" s="875"/>
      <c r="G9" s="875"/>
      <c r="H9" s="875"/>
      <c r="I9" s="875"/>
      <c r="J9" s="875"/>
      <c r="K9" s="906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4"/>
      <c r="C10" s="895"/>
      <c r="D10" s="895"/>
      <c r="E10" s="895"/>
      <c r="F10" s="895"/>
      <c r="G10" s="895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1"/>
      <c r="B11" s="901" t="s">
        <v>33</v>
      </c>
      <c r="C11" s="910" t="s">
        <v>34</v>
      </c>
      <c r="D11" s="910"/>
      <c r="E11" s="907" t="s">
        <v>39</v>
      </c>
      <c r="F11" s="901" t="s">
        <v>35</v>
      </c>
      <c r="G11" s="901" t="s">
        <v>36</v>
      </c>
      <c r="H11" s="901" t="s">
        <v>43</v>
      </c>
      <c r="I11" s="908" t="s">
        <v>67</v>
      </c>
      <c r="J11" s="910" t="s">
        <v>56</v>
      </c>
      <c r="K11" s="910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4" t="s">
        <v>347</v>
      </c>
      <c r="AN11" s="875"/>
      <c r="AO11" s="875"/>
      <c r="AP11" s="875"/>
      <c r="AQ11" s="875"/>
      <c r="AR11" s="876"/>
      <c r="AS11" s="885" t="s">
        <v>354</v>
      </c>
      <c r="AT11" s="886"/>
      <c r="AU11" s="886"/>
      <c r="AV11" s="887"/>
      <c r="BC11" s="470"/>
    </row>
    <row r="12" spans="1:55" ht="15.75" thickBot="1" x14ac:dyDescent="0.3">
      <c r="A12" s="912"/>
      <c r="B12" s="902"/>
      <c r="C12" s="48" t="s">
        <v>8</v>
      </c>
      <c r="D12" s="49" t="s">
        <v>10</v>
      </c>
      <c r="E12" s="902"/>
      <c r="F12" s="902"/>
      <c r="G12" s="902"/>
      <c r="H12" s="902"/>
      <c r="I12" s="909"/>
      <c r="J12" s="53" t="s">
        <v>8</v>
      </c>
      <c r="K12" s="54" t="s">
        <v>10</v>
      </c>
      <c r="M12" s="31"/>
      <c r="N12" s="31"/>
      <c r="O12" s="922" t="s">
        <v>46</v>
      </c>
      <c r="P12" s="923"/>
      <c r="Q12" s="903" t="s">
        <v>45</v>
      </c>
      <c r="R12" s="904"/>
      <c r="S12" s="904"/>
      <c r="T12" s="904"/>
      <c r="U12" s="904"/>
      <c r="V12" s="904"/>
      <c r="W12" s="904"/>
      <c r="X12" s="904"/>
      <c r="Y12" s="904"/>
      <c r="Z12" s="904"/>
      <c r="AA12" s="904"/>
      <c r="AB12" s="904"/>
      <c r="AC12" s="904"/>
      <c r="AD12" s="904"/>
      <c r="AE12" s="905"/>
      <c r="AF12" s="916" t="s">
        <v>56</v>
      </c>
      <c r="AG12" s="917"/>
      <c r="AH12" s="31"/>
      <c r="AK12" s="880" t="s">
        <v>355</v>
      </c>
      <c r="AL12" s="896"/>
      <c r="AM12" s="877" t="s">
        <v>352</v>
      </c>
      <c r="AN12" s="878"/>
      <c r="AO12" s="879"/>
      <c r="AP12" s="880" t="s">
        <v>380</v>
      </c>
      <c r="AQ12" s="879"/>
      <c r="AR12" s="802" t="s">
        <v>378</v>
      </c>
      <c r="AS12" s="882" t="s">
        <v>352</v>
      </c>
      <c r="AT12" s="879"/>
      <c r="AU12" s="883" t="s">
        <v>353</v>
      </c>
      <c r="AV12" s="884"/>
      <c r="AW12" s="888" t="s">
        <v>351</v>
      </c>
      <c r="AX12" s="889"/>
      <c r="AZ12" s="880" t="s">
        <v>60</v>
      </c>
      <c r="BA12" s="879"/>
      <c r="BC12" s="881" t="s">
        <v>383</v>
      </c>
    </row>
    <row r="13" spans="1:55" ht="15.75" thickBot="1" x14ac:dyDescent="0.3">
      <c r="A13" s="64" t="s">
        <v>57</v>
      </c>
      <c r="B13" s="890" t="s">
        <v>97</v>
      </c>
      <c r="C13" s="892" t="str">
        <f>SUBSTITUTE(ADDRESS(1,COLUMN(Assy.Model!X9),4),"1","")</f>
        <v>X</v>
      </c>
      <c r="D13" s="101" t="str">
        <f>SUBSTITUTE(ADDRESS(1,COLUMN(Assy.Model!Y9),4),"1","")</f>
        <v>Y</v>
      </c>
      <c r="E13" s="897" t="str">
        <f>SUBSTITUTE(ADDRESS(1,COLUMN(Assy.Model!H9),4),"1","")</f>
        <v>H</v>
      </c>
      <c r="F13" s="897" t="str">
        <f>SUBSTITUTE(ADDRESS(1,COLUMN(Assy.Model!AN9),4),"1","")</f>
        <v>AN</v>
      </c>
      <c r="G13" s="897" t="str">
        <f>SUBSTITUTE(ADDRESS(1,COLUMN(Assy.Model!AO9),4),"1","")</f>
        <v>AO</v>
      </c>
      <c r="H13" s="897" t="str">
        <f>SUBSTITUTE(ADDRESS(1,COLUMN(Assy.Model!AO9),4),"1","")</f>
        <v>AO</v>
      </c>
      <c r="I13" s="897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4"/>
      <c r="P13" s="92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1"/>
    </row>
    <row r="14" spans="1:55" x14ac:dyDescent="0.25">
      <c r="A14" s="62" t="s">
        <v>58</v>
      </c>
      <c r="B14" s="891"/>
      <c r="C14" s="893"/>
      <c r="D14" s="102" t="str">
        <f>SUBSTITUTE(ADDRESS(1,COLUMN(Assy.Model!AT9),4),"1","")</f>
        <v>AT</v>
      </c>
      <c r="E14" s="898"/>
      <c r="F14" s="898"/>
      <c r="G14" s="898"/>
      <c r="H14" s="898"/>
      <c r="I14" s="898"/>
      <c r="J14" s="91">
        <v>0</v>
      </c>
      <c r="K14" s="92">
        <v>0</v>
      </c>
      <c r="L14" s="31"/>
      <c r="M14" s="190">
        <v>6.25E-2</v>
      </c>
      <c r="N14" s="31">
        <v>32</v>
      </c>
      <c r="O14" s="92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9.875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5" t="s">
        <v>64</v>
      </c>
      <c r="C21" s="875"/>
      <c r="D21" s="875"/>
      <c r="E21" s="875"/>
      <c r="F21" s="906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1"/>
      <c r="C22" s="905" t="s">
        <v>63</v>
      </c>
      <c r="D22" s="906"/>
      <c r="E22" s="908" t="s">
        <v>60</v>
      </c>
      <c r="F22" s="908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6"/>
      <c r="C23" s="57" t="s">
        <v>8</v>
      </c>
      <c r="D23" s="57" t="s">
        <v>9</v>
      </c>
      <c r="E23" s="909"/>
      <c r="F23" s="909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8">
        <v>0</v>
      </c>
      <c r="E24" s="918">
        <v>2</v>
      </c>
      <c r="F24" s="91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4.9375</v>
      </c>
      <c r="D25" s="919"/>
      <c r="E25" s="919"/>
      <c r="F25" s="91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4" t="s">
        <v>311</v>
      </c>
      <c r="C27" s="914"/>
      <c r="D27" s="914"/>
      <c r="E27" s="914"/>
      <c r="F27" s="91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5" t="s">
        <v>390</v>
      </c>
      <c r="C28" s="915"/>
      <c r="D28" s="915"/>
      <c r="E28" s="915"/>
      <c r="F28" s="91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5" t="s">
        <v>95</v>
      </c>
      <c r="D3" s="875"/>
      <c r="E3" s="875"/>
      <c r="F3" s="875"/>
      <c r="G3" s="875"/>
      <c r="H3" s="875"/>
      <c r="I3" s="875"/>
      <c r="J3" s="875"/>
      <c r="K3" s="876"/>
      <c r="L3" s="932"/>
      <c r="M3" s="875"/>
      <c r="N3" s="875"/>
      <c r="O3" s="875"/>
      <c r="P3" s="875"/>
      <c r="Q3" s="875"/>
      <c r="R3" s="906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4" t="s">
        <v>86</v>
      </c>
      <c r="C4" s="971" t="s">
        <v>82</v>
      </c>
      <c r="D4" s="875" t="s">
        <v>83</v>
      </c>
      <c r="E4" s="875"/>
      <c r="F4" s="875"/>
      <c r="G4" s="875"/>
      <c r="H4" s="875"/>
      <c r="I4" s="875"/>
      <c r="J4" s="875"/>
      <c r="K4" s="875"/>
      <c r="L4" s="150" t="s">
        <v>91</v>
      </c>
      <c r="M4" s="905" t="s">
        <v>94</v>
      </c>
      <c r="N4" s="875"/>
      <c r="O4" s="875"/>
      <c r="P4" s="876"/>
      <c r="Q4" s="875" t="s">
        <v>52</v>
      </c>
      <c r="R4" s="906"/>
      <c r="S4" s="107"/>
      <c r="T4" s="905">
        <v>350</v>
      </c>
      <c r="U4" s="875"/>
      <c r="V4" s="875" t="s">
        <v>76</v>
      </c>
      <c r="W4" s="875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5"/>
      <c r="C5" s="972"/>
      <c r="D5" s="960" t="s">
        <v>85</v>
      </c>
      <c r="E5" s="974" t="s">
        <v>89</v>
      </c>
      <c r="F5" s="910" t="s">
        <v>34</v>
      </c>
      <c r="G5" s="910"/>
      <c r="H5" s="907" t="s">
        <v>39</v>
      </c>
      <c r="I5" s="901" t="s">
        <v>35</v>
      </c>
      <c r="J5" s="901" t="s">
        <v>36</v>
      </c>
      <c r="K5" s="944" t="s">
        <v>67</v>
      </c>
      <c r="L5" s="151" t="s">
        <v>92</v>
      </c>
      <c r="M5" s="908" t="s">
        <v>90</v>
      </c>
      <c r="N5" s="908" t="s">
        <v>47</v>
      </c>
      <c r="O5" s="927" t="s">
        <v>84</v>
      </c>
      <c r="P5" s="928"/>
      <c r="Q5" s="929" t="s">
        <v>84</v>
      </c>
      <c r="R5" s="930"/>
      <c r="S5" s="107"/>
      <c r="T5" s="922" t="s">
        <v>46</v>
      </c>
      <c r="U5" s="933"/>
      <c r="V5" s="889" t="s">
        <v>45</v>
      </c>
      <c r="W5" s="917"/>
      <c r="X5" s="917"/>
      <c r="Y5" s="917"/>
      <c r="Z5" s="917"/>
      <c r="AA5" s="917"/>
      <c r="AB5" s="917"/>
      <c r="AC5" s="917"/>
      <c r="AD5" s="917"/>
      <c r="AE5" s="917"/>
      <c r="AF5" s="917"/>
      <c r="AG5" s="917"/>
      <c r="AH5" s="917"/>
      <c r="AI5" s="917"/>
      <c r="AJ5" s="917"/>
      <c r="AK5" s="31"/>
      <c r="AL5" s="31"/>
    </row>
    <row r="6" spans="2:38" ht="15" customHeight="1" thickBot="1" x14ac:dyDescent="0.3">
      <c r="B6" s="956"/>
      <c r="C6" s="973"/>
      <c r="D6" s="961"/>
      <c r="E6" s="975"/>
      <c r="F6" s="108" t="s">
        <v>8</v>
      </c>
      <c r="G6" s="109" t="s">
        <v>10</v>
      </c>
      <c r="H6" s="945"/>
      <c r="I6" s="945"/>
      <c r="J6" s="945"/>
      <c r="K6" s="934"/>
      <c r="L6" s="152" t="s">
        <v>93</v>
      </c>
      <c r="M6" s="931"/>
      <c r="N6" s="931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4"/>
      <c r="U6" s="935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2">
        <f>ROW(Assy.Model!B9)</f>
        <v>9</v>
      </c>
      <c r="D7" s="951" t="str">
        <f>SUBSTITUTE(ADDRESS(1,COLUMN(Assy.Model!B9),4),"1","")</f>
        <v>B</v>
      </c>
      <c r="E7" s="965" t="str">
        <f>SUBSTITUTE(ADDRESS(1,COLUMN(Assy.Model!M9),4),"1","")</f>
        <v>M</v>
      </c>
      <c r="F7" s="968" t="str">
        <f>SUBSTITUTE(ADDRESS(1,COLUMN(Assy.Model!X9),4),"1","")</f>
        <v>X</v>
      </c>
      <c r="G7" s="957" t="str">
        <f>SUBSTITUTE(ADDRESS(1,COLUMN(Assy.Model!AT9),4),"1","")</f>
        <v>AT</v>
      </c>
      <c r="H7" s="936" t="str">
        <f>SUBSTITUTE(ADDRESS(1,COLUMN(Assy.Model!H9),4),"1","")</f>
        <v>H</v>
      </c>
      <c r="I7" s="936" t="str">
        <f>SUBSTITUTE(ADDRESS(1,COLUMN(Assy.Model!AN9),4),"1","")</f>
        <v>AN</v>
      </c>
      <c r="J7" s="936" t="str">
        <f>SUBSTITUTE(ADDRESS(1,COLUMN(Assy.Model!AO9),4),"1","")</f>
        <v>AO</v>
      </c>
      <c r="K7" s="939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6" t="s">
        <v>81</v>
      </c>
      <c r="C8" s="963"/>
      <c r="D8" s="952"/>
      <c r="E8" s="966"/>
      <c r="F8" s="969"/>
      <c r="G8" s="958"/>
      <c r="H8" s="937"/>
      <c r="I8" s="937"/>
      <c r="J8" s="937"/>
      <c r="K8" s="940"/>
      <c r="L8" s="153" t="s">
        <v>93</v>
      </c>
      <c r="M8" s="942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6"/>
      <c r="C9" s="963"/>
      <c r="D9" s="952"/>
      <c r="E9" s="966"/>
      <c r="F9" s="969"/>
      <c r="G9" s="958"/>
      <c r="H9" s="937"/>
      <c r="I9" s="937"/>
      <c r="J9" s="937"/>
      <c r="K9" s="940"/>
      <c r="L9" s="153" t="s">
        <v>92</v>
      </c>
      <c r="M9" s="942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6"/>
      <c r="C10" s="963"/>
      <c r="D10" s="952"/>
      <c r="E10" s="966"/>
      <c r="F10" s="969"/>
      <c r="G10" s="958"/>
      <c r="H10" s="937"/>
      <c r="I10" s="937"/>
      <c r="J10" s="937"/>
      <c r="K10" s="940"/>
      <c r="L10" s="153" t="s">
        <v>92</v>
      </c>
      <c r="M10" s="942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6"/>
      <c r="C11" s="963"/>
      <c r="D11" s="952"/>
      <c r="E11" s="966"/>
      <c r="F11" s="969"/>
      <c r="G11" s="958"/>
      <c r="H11" s="937"/>
      <c r="I11" s="937"/>
      <c r="J11" s="937"/>
      <c r="K11" s="940"/>
      <c r="L11" s="153" t="s">
        <v>92</v>
      </c>
      <c r="M11" s="942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6"/>
      <c r="C12" s="963"/>
      <c r="D12" s="952"/>
      <c r="E12" s="966"/>
      <c r="F12" s="969"/>
      <c r="G12" s="958"/>
      <c r="H12" s="937"/>
      <c r="I12" s="937"/>
      <c r="J12" s="937"/>
      <c r="K12" s="940"/>
      <c r="L12" s="153" t="s">
        <v>92</v>
      </c>
      <c r="M12" s="942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6"/>
      <c r="C13" s="963"/>
      <c r="D13" s="952"/>
      <c r="E13" s="966"/>
      <c r="F13" s="969"/>
      <c r="G13" s="958"/>
      <c r="H13" s="937"/>
      <c r="I13" s="937"/>
      <c r="J13" s="937"/>
      <c r="K13" s="940"/>
      <c r="L13" s="153" t="s">
        <v>92</v>
      </c>
      <c r="M13" s="942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7"/>
      <c r="C14" s="964"/>
      <c r="D14" s="953"/>
      <c r="E14" s="967"/>
      <c r="F14" s="970"/>
      <c r="G14" s="959"/>
      <c r="H14" s="938"/>
      <c r="I14" s="938"/>
      <c r="J14" s="938"/>
      <c r="K14" s="941"/>
      <c r="L14" s="154" t="s">
        <v>93</v>
      </c>
      <c r="M14" s="943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9" t="str">
        <f>CONCATENATE(Settings!$C$19," ",Settings!$B$28)</f>
        <v>9.875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0" t="s">
        <v>315</v>
      </c>
      <c r="C2" s="1241"/>
      <c r="D2" s="1241"/>
      <c r="E2" s="1241"/>
      <c r="F2" s="1241"/>
      <c r="G2" s="1241"/>
      <c r="H2" s="1241"/>
      <c r="I2" s="1241"/>
      <c r="J2" s="1241"/>
      <c r="K2" s="1242"/>
      <c r="L2" s="984" t="str" cm="1">
        <f t="array" ref="L2">IF(OR($K$9:$K$150="Undefined"),"Undefined Element","")</f>
        <v/>
      </c>
      <c r="M2" s="1248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00" t="s">
        <v>0</v>
      </c>
      <c r="AW2" s="1142" t="s">
        <v>109</v>
      </c>
      <c r="AX2" s="1143"/>
      <c r="AY2" s="1143"/>
      <c r="AZ2" s="1143"/>
      <c r="BA2" s="1143"/>
      <c r="BB2" s="1143"/>
      <c r="BC2" s="1143"/>
      <c r="BD2" s="1143"/>
      <c r="BE2" s="1144"/>
      <c r="BF2" s="1154" t="s">
        <v>115</v>
      </c>
      <c r="BG2" s="1143"/>
      <c r="BH2" s="1143"/>
      <c r="BI2" s="1143"/>
      <c r="BJ2" s="1143"/>
      <c r="BK2" s="1143"/>
      <c r="BL2" s="1143"/>
      <c r="BM2" s="1143"/>
      <c r="BN2" s="1143"/>
      <c r="BO2" s="1143"/>
      <c r="BP2" s="1143"/>
      <c r="BQ2" s="1143"/>
      <c r="BR2" s="1143"/>
      <c r="BS2" s="1143"/>
      <c r="BT2" s="1143"/>
      <c r="BU2" s="1143"/>
      <c r="BV2" s="1143"/>
      <c r="BW2" s="1143"/>
      <c r="BX2" s="1143"/>
      <c r="BY2" s="1143"/>
      <c r="BZ2" s="1143"/>
      <c r="CA2" s="1143"/>
      <c r="CB2" s="1143"/>
      <c r="CC2" s="1143"/>
      <c r="CD2" s="1143"/>
      <c r="CE2" s="1143"/>
      <c r="CF2" s="1143"/>
      <c r="CG2" s="1143"/>
      <c r="CH2" s="1143"/>
      <c r="CI2" s="1143"/>
      <c r="CJ2" s="1143"/>
      <c r="CK2" s="1143"/>
      <c r="CL2" s="1143"/>
      <c r="CM2" s="1143"/>
      <c r="CN2" s="1143"/>
      <c r="CO2" s="1143"/>
      <c r="CP2" s="1143"/>
      <c r="CQ2" s="1143"/>
      <c r="CR2" s="1143"/>
      <c r="CS2" s="1143"/>
      <c r="CT2" s="1143"/>
      <c r="CU2" s="1143"/>
      <c r="CV2" s="1143"/>
      <c r="CW2" s="1143"/>
      <c r="CX2" s="1143"/>
      <c r="CY2" s="1143"/>
      <c r="CZ2" s="1143"/>
      <c r="DA2" s="1143"/>
      <c r="DB2" s="1143"/>
      <c r="DC2" s="1143"/>
      <c r="DD2" s="1143"/>
      <c r="DE2" s="1143"/>
      <c r="DF2" s="1143"/>
      <c r="DG2" s="1143"/>
      <c r="DH2" s="1143"/>
      <c r="DI2" s="1143"/>
      <c r="DJ2" s="1143"/>
      <c r="DK2" s="1143"/>
      <c r="DL2" s="1143"/>
      <c r="DM2" s="1143"/>
      <c r="DN2" s="1143"/>
      <c r="DO2" s="1143"/>
      <c r="DP2" s="1143"/>
      <c r="DQ2" s="1143"/>
      <c r="DR2" s="1143"/>
      <c r="DS2" s="1143"/>
      <c r="DT2" s="1143"/>
      <c r="DU2" s="1143"/>
      <c r="DV2" s="1143"/>
      <c r="DW2" s="1143"/>
      <c r="DX2" s="1143"/>
      <c r="DY2" s="1143"/>
      <c r="DZ2" s="1143"/>
      <c r="EA2" s="1143"/>
      <c r="EB2" s="1143"/>
      <c r="EC2" s="1143"/>
      <c r="ED2" s="1143"/>
      <c r="EE2" s="1143"/>
      <c r="EF2" s="1143"/>
      <c r="EG2" s="1143"/>
      <c r="EH2" s="1143"/>
      <c r="EI2" s="1143"/>
      <c r="EJ2" s="1143"/>
      <c r="EK2" s="1143"/>
      <c r="EL2" s="1143"/>
      <c r="EM2" s="1143"/>
      <c r="EN2" s="1143"/>
      <c r="EO2" s="1143"/>
      <c r="EP2" s="1143"/>
      <c r="EQ2" s="1143"/>
      <c r="ER2" s="1155"/>
      <c r="ES2" s="1045" t="s">
        <v>197</v>
      </c>
      <c r="ET2" s="1046"/>
      <c r="EU2" s="1046"/>
      <c r="EV2" s="1046"/>
      <c r="EW2" s="1046"/>
      <c r="EX2" s="1046"/>
      <c r="EY2" s="1046"/>
      <c r="EZ2" s="1046"/>
      <c r="FA2" s="1046"/>
      <c r="FB2" s="1046"/>
      <c r="FC2" s="1046"/>
      <c r="FD2" s="1046"/>
      <c r="FE2" s="1046"/>
      <c r="FF2" s="1047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2" t="s">
        <v>266</v>
      </c>
      <c r="HQ2" s="1073" t="str">
        <f>IFERROR(CONCATENATE("Sum of Lateral Forces = ",ROUND(HE3,0)," lbs @ ",ROUND(HF3,1),"° Relative to Blade 1"),"")</f>
        <v/>
      </c>
      <c r="HR2" s="1074"/>
      <c r="HS2" s="1074"/>
      <c r="HT2" s="1074"/>
      <c r="HU2" s="1074"/>
      <c r="HV2" s="107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3"/>
      <c r="C3" s="1198"/>
      <c r="D3" s="1198"/>
      <c r="E3" s="1198"/>
      <c r="F3" s="1198"/>
      <c r="G3" s="1198"/>
      <c r="H3" s="1198"/>
      <c r="I3" s="1198"/>
      <c r="J3" s="1198"/>
      <c r="K3" s="1244"/>
      <c r="L3" s="984"/>
      <c r="M3" s="1243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145"/>
      <c r="AA3" s="1146"/>
      <c r="AB3" s="1146"/>
      <c r="AC3" s="1146"/>
      <c r="AD3" s="1146"/>
      <c r="AE3" s="1146"/>
      <c r="AF3" s="1146"/>
      <c r="AG3" s="1146"/>
      <c r="AH3" s="1146"/>
      <c r="AI3" s="1146"/>
      <c r="AJ3" s="1146"/>
      <c r="AK3" s="1146"/>
      <c r="AL3" s="1146"/>
      <c r="AM3" s="1146"/>
      <c r="AN3" s="1146"/>
      <c r="AO3" s="1146"/>
      <c r="AP3" s="1146"/>
      <c r="AQ3" s="1147"/>
      <c r="AS3" s="466">
        <v>100</v>
      </c>
      <c r="AT3" s="463" t="s">
        <v>45</v>
      </c>
      <c r="AV3" s="1201"/>
      <c r="AW3" s="1048"/>
      <c r="AX3" s="1049"/>
      <c r="AY3" s="1049"/>
      <c r="AZ3" s="1049"/>
      <c r="BA3" s="1049"/>
      <c r="BB3" s="1049"/>
      <c r="BC3" s="1049"/>
      <c r="BD3" s="1049"/>
      <c r="BE3" s="1163"/>
      <c r="BF3" s="1156"/>
      <c r="BG3" s="1049"/>
      <c r="BH3" s="1049"/>
      <c r="BI3" s="1049"/>
      <c r="BJ3" s="1049"/>
      <c r="BK3" s="1049"/>
      <c r="BL3" s="1049"/>
      <c r="BM3" s="1049"/>
      <c r="BN3" s="1049"/>
      <c r="BO3" s="1049"/>
      <c r="BP3" s="1049"/>
      <c r="BQ3" s="1049"/>
      <c r="BR3" s="1049"/>
      <c r="BS3" s="1049"/>
      <c r="BT3" s="1049"/>
      <c r="BU3" s="1049"/>
      <c r="BV3" s="1049"/>
      <c r="BW3" s="1049"/>
      <c r="BX3" s="1049"/>
      <c r="BY3" s="1049"/>
      <c r="BZ3" s="1049"/>
      <c r="CA3" s="1049"/>
      <c r="CB3" s="1049"/>
      <c r="CC3" s="1049"/>
      <c r="CD3" s="1049"/>
      <c r="CE3" s="1049"/>
      <c r="CF3" s="1049"/>
      <c r="CG3" s="1049"/>
      <c r="CH3" s="1049"/>
      <c r="CI3" s="1049"/>
      <c r="CJ3" s="1049"/>
      <c r="CK3" s="1049"/>
      <c r="CL3" s="1049"/>
      <c r="CM3" s="1049"/>
      <c r="CN3" s="1049"/>
      <c r="CO3" s="1049"/>
      <c r="CP3" s="1049"/>
      <c r="CQ3" s="1049"/>
      <c r="CR3" s="1049"/>
      <c r="CS3" s="1049"/>
      <c r="CT3" s="1049"/>
      <c r="CU3" s="1049"/>
      <c r="CV3" s="1049"/>
      <c r="CW3" s="1049"/>
      <c r="CX3" s="1049"/>
      <c r="CY3" s="1049"/>
      <c r="CZ3" s="1049"/>
      <c r="DA3" s="1049"/>
      <c r="DB3" s="1049"/>
      <c r="DC3" s="1049"/>
      <c r="DD3" s="1049"/>
      <c r="DE3" s="1049"/>
      <c r="DF3" s="1049"/>
      <c r="DG3" s="1049"/>
      <c r="DH3" s="1049"/>
      <c r="DI3" s="1049"/>
      <c r="DJ3" s="1049"/>
      <c r="DK3" s="1049"/>
      <c r="DL3" s="1049"/>
      <c r="DM3" s="1049"/>
      <c r="DN3" s="1049"/>
      <c r="DO3" s="1049"/>
      <c r="DP3" s="1049"/>
      <c r="DQ3" s="1049"/>
      <c r="DR3" s="1049"/>
      <c r="DS3" s="1049"/>
      <c r="DT3" s="1049"/>
      <c r="DU3" s="1049"/>
      <c r="DV3" s="1049"/>
      <c r="DW3" s="1049"/>
      <c r="DX3" s="1049"/>
      <c r="DY3" s="1049"/>
      <c r="DZ3" s="1049"/>
      <c r="EA3" s="1049"/>
      <c r="EB3" s="1049"/>
      <c r="EC3" s="1049"/>
      <c r="ED3" s="1049"/>
      <c r="EE3" s="1049"/>
      <c r="EF3" s="1049"/>
      <c r="EG3" s="1049"/>
      <c r="EH3" s="1049"/>
      <c r="EI3" s="1049"/>
      <c r="EJ3" s="1049"/>
      <c r="EK3" s="1049"/>
      <c r="EL3" s="1049"/>
      <c r="EM3" s="1049"/>
      <c r="EN3" s="1049"/>
      <c r="EO3" s="1049"/>
      <c r="EP3" s="1049"/>
      <c r="EQ3" s="1049"/>
      <c r="ER3" s="1050"/>
      <c r="ES3" s="1048"/>
      <c r="ET3" s="1049"/>
      <c r="EU3" s="1049"/>
      <c r="EV3" s="1049"/>
      <c r="EW3" s="1049"/>
      <c r="EX3" s="1049"/>
      <c r="EY3" s="1049"/>
      <c r="EZ3" s="1049"/>
      <c r="FA3" s="1049"/>
      <c r="FB3" s="1049"/>
      <c r="FC3" s="1049"/>
      <c r="FD3" s="1049"/>
      <c r="FE3" s="1049"/>
      <c r="FF3" s="1050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3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5"/>
      <c r="C4" s="1246"/>
      <c r="D4" s="1246"/>
      <c r="E4" s="1246"/>
      <c r="F4" s="1246"/>
      <c r="G4" s="1246"/>
      <c r="H4" s="1246"/>
      <c r="I4" s="1246"/>
      <c r="J4" s="1246"/>
      <c r="K4" s="1247"/>
      <c r="L4" s="984"/>
      <c r="M4" s="1243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$Q$4</f>
        <v>Polar XY; Cartesian Z</v>
      </c>
      <c r="X4" s="1167"/>
      <c r="Y4" s="1233"/>
      <c r="Z4" s="1186" t="s">
        <v>3</v>
      </c>
      <c r="AA4" s="1184"/>
      <c r="AB4" s="1184"/>
      <c r="AC4" s="1184"/>
      <c r="AD4" s="1184"/>
      <c r="AE4" s="1184"/>
      <c r="AF4" s="1184"/>
      <c r="AG4" s="1196" t="s">
        <v>31</v>
      </c>
      <c r="AH4" s="1184"/>
      <c r="AI4" s="1184"/>
      <c r="AJ4" s="1185"/>
      <c r="AK4" s="1148" t="s">
        <v>32</v>
      </c>
      <c r="AL4" s="1149"/>
      <c r="AM4" s="1149"/>
      <c r="AN4" s="1149"/>
      <c r="AO4" s="1149"/>
      <c r="AP4" s="1149"/>
      <c r="AQ4" s="1150"/>
      <c r="AS4" s="467">
        <v>125</v>
      </c>
      <c r="AT4" s="464" t="s">
        <v>46</v>
      </c>
      <c r="AV4" s="1201"/>
      <c r="AW4" s="1096" t="s">
        <v>112</v>
      </c>
      <c r="AX4" s="1000"/>
      <c r="AY4" s="923"/>
      <c r="AZ4" s="1161"/>
      <c r="BA4" s="1162"/>
      <c r="BB4" s="1164" t="s">
        <v>113</v>
      </c>
      <c r="BC4" s="1167" t="str">
        <f>$Q$4</f>
        <v>Polar XY; Cartesian Z</v>
      </c>
      <c r="BD4" s="1167"/>
      <c r="BE4" s="1168"/>
      <c r="BF4" s="1119" t="s">
        <v>129</v>
      </c>
      <c r="BG4" s="1120"/>
      <c r="BH4" s="1120"/>
      <c r="BI4" s="1120"/>
      <c r="BJ4" s="1120"/>
      <c r="BK4" s="1120"/>
      <c r="BL4" s="1120"/>
      <c r="BM4" s="1120"/>
      <c r="BN4" s="1120"/>
      <c r="BO4" s="1120"/>
      <c r="BP4" s="1120"/>
      <c r="BQ4" s="1120"/>
      <c r="BR4" s="1120"/>
      <c r="BS4" s="1120"/>
      <c r="BT4" s="1120"/>
      <c r="BU4" s="1120"/>
      <c r="BV4" s="1120"/>
      <c r="BW4" s="1120"/>
      <c r="BX4" s="1120"/>
      <c r="BY4" s="1120"/>
      <c r="BZ4" s="1120"/>
      <c r="CA4" s="1120"/>
      <c r="CB4" s="1120"/>
      <c r="CC4" s="1120"/>
      <c r="CD4" s="1120"/>
      <c r="CE4" s="1120"/>
      <c r="CF4" s="1120"/>
      <c r="CG4" s="1120"/>
      <c r="CH4" s="1120"/>
      <c r="CI4" s="1120"/>
      <c r="CJ4" s="1120"/>
      <c r="CK4" s="1120"/>
      <c r="CL4" s="1120"/>
      <c r="CM4" s="1120"/>
      <c r="CN4" s="1121"/>
      <c r="CO4" s="1157" t="s">
        <v>193</v>
      </c>
      <c r="CP4" s="1158"/>
      <c r="CQ4" s="1158"/>
      <c r="CR4" s="1158"/>
      <c r="CS4" s="1158"/>
      <c r="CT4" s="1158"/>
      <c r="CU4" s="1158"/>
      <c r="CV4" s="1158"/>
      <c r="CW4" s="1158"/>
      <c r="CX4" s="1158"/>
      <c r="CY4" s="1158"/>
      <c r="CZ4" s="1158"/>
      <c r="DA4" s="1159"/>
      <c r="DB4" s="1042" t="s">
        <v>162</v>
      </c>
      <c r="DC4" s="1043"/>
      <c r="DD4" s="1043"/>
      <c r="DE4" s="1043"/>
      <c r="DF4" s="1043"/>
      <c r="DG4" s="1043"/>
      <c r="DH4" s="1043"/>
      <c r="DI4" s="1043"/>
      <c r="DJ4" s="1043"/>
      <c r="DK4" s="1043"/>
      <c r="DL4" s="1043"/>
      <c r="DM4" s="1043"/>
      <c r="DN4" s="1043"/>
      <c r="DO4" s="1043"/>
      <c r="DP4" s="1043"/>
      <c r="DQ4" s="1043"/>
      <c r="DR4" s="1043"/>
      <c r="DS4" s="1043"/>
      <c r="DT4" s="1043"/>
      <c r="DU4" s="1043"/>
      <c r="DV4" s="1043"/>
      <c r="DW4" s="1043"/>
      <c r="DX4" s="1043"/>
      <c r="DY4" s="1043"/>
      <c r="DZ4" s="1043"/>
      <c r="EA4" s="1043"/>
      <c r="EB4" s="1043"/>
      <c r="EC4" s="1043"/>
      <c r="ED4" s="1043"/>
      <c r="EE4" s="1043"/>
      <c r="EF4" s="1043"/>
      <c r="EG4" s="1043"/>
      <c r="EH4" s="1043"/>
      <c r="EI4" s="1043"/>
      <c r="EJ4" s="1043"/>
      <c r="EK4" s="1043"/>
      <c r="EL4" s="1043"/>
      <c r="EM4" s="1043"/>
      <c r="EN4" s="1043"/>
      <c r="EO4" s="1043"/>
      <c r="EP4" s="1043"/>
      <c r="EQ4" s="1043"/>
      <c r="ER4" s="1044"/>
      <c r="ES4" s="1065" t="s">
        <v>196</v>
      </c>
      <c r="ET4" s="1066"/>
      <c r="EU4" s="1066"/>
      <c r="EV4" s="1066"/>
      <c r="EW4" s="1066"/>
      <c r="EX4" s="1066"/>
      <c r="EY4" s="1067"/>
      <c r="EZ4" s="1100" t="s">
        <v>201</v>
      </c>
      <c r="FA4" s="1101"/>
      <c r="FB4" s="1101"/>
      <c r="FC4" s="1101"/>
      <c r="FD4" s="1101"/>
      <c r="FE4" s="1101"/>
      <c r="FF4" s="1102"/>
      <c r="FG4" s="343"/>
      <c r="FP4" s="1032" t="s">
        <v>229</v>
      </c>
      <c r="FZ4" s="1032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3" t="s">
        <v>236</v>
      </c>
      <c r="GK4" s="904"/>
      <c r="GL4" s="904"/>
      <c r="GM4" s="904"/>
      <c r="GN4" s="990"/>
      <c r="GO4" s="992" t="s">
        <v>229</v>
      </c>
      <c r="GP4" s="996" t="s">
        <v>228</v>
      </c>
      <c r="GR4" s="1002" t="s">
        <v>261</v>
      </c>
      <c r="GS4" s="932" t="s">
        <v>259</v>
      </c>
      <c r="GT4" s="875"/>
      <c r="GU4" s="875"/>
      <c r="GV4" s="875"/>
      <c r="GW4" s="875"/>
      <c r="GX4" s="875"/>
      <c r="GY4" s="875"/>
      <c r="GZ4" s="875"/>
      <c r="HA4" s="1079" t="str">
        <f>IFERROR(CONCATENATE("Lateral Forces = ",ROUND(HE3,0)," lbs @ ",ROUND(HF3,1),"° Relative to Blade 1"),"")</f>
        <v/>
      </c>
      <c r="HB4" s="1080"/>
      <c r="HC4" s="1080"/>
      <c r="HD4" s="1080"/>
      <c r="HE4" s="1080"/>
      <c r="HF4" s="1080"/>
      <c r="HG4" s="1080"/>
      <c r="HH4" s="1081"/>
      <c r="HI4" s="1087" t="s">
        <v>0</v>
      </c>
      <c r="HO4" s="1034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0" t="s">
        <v>381</v>
      </c>
      <c r="IF4" s="900"/>
      <c r="IG4" s="767" cm="1">
        <f t="array" ref="IG4">MAX(MOD(IF($IG$9:$IG$150="",0,($IG$9:$IG$150*1000)),100))</f>
        <v>25</v>
      </c>
      <c r="IL4" s="31"/>
      <c r="IM4" s="767"/>
    </row>
    <row r="5" spans="1:283" ht="15" customHeight="1" x14ac:dyDescent="0.25">
      <c r="B5" s="1234" t="str">
        <f>CONCATENATE(B7," ; ",E7," ; ",H7)</f>
        <v>Absolute-Point ; Incremental-Vector Point ; Pocket Info.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43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about Z Axis")</f>
        <v>Relative to 1.11's θ about Z Axis</v>
      </c>
      <c r="U5" s="1137"/>
      <c r="V5" s="1138"/>
      <c r="W5" s="1137" t="str">
        <f>CONCATENATE("Relative to ",M8,"'s θ about Z Axis")</f>
        <v>Relative to 1.11's θ about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01"/>
      <c r="AW5" s="1177"/>
      <c r="AX5" s="1178"/>
      <c r="AY5" s="1179"/>
      <c r="AZ5" s="1008"/>
      <c r="BA5" s="913"/>
      <c r="BB5" s="1165"/>
      <c r="BC5" s="1173" t="str">
        <f>$W$5</f>
        <v>Relative to 1.11's θ about Z Axis</v>
      </c>
      <c r="BD5" s="1137"/>
      <c r="BE5" s="1174"/>
      <c r="BF5" s="932" t="s">
        <v>128</v>
      </c>
      <c r="BG5" s="875"/>
      <c r="BH5" s="875"/>
      <c r="BI5" s="875"/>
      <c r="BJ5" s="875"/>
      <c r="BK5" s="875"/>
      <c r="BL5" s="875"/>
      <c r="BM5" s="875"/>
      <c r="BN5" s="875"/>
      <c r="BO5" s="875"/>
      <c r="BP5" s="875"/>
      <c r="BQ5" s="875"/>
      <c r="BR5" s="876"/>
      <c r="BS5" s="932" t="s">
        <v>130</v>
      </c>
      <c r="BT5" s="875"/>
      <c r="BU5" s="875"/>
      <c r="BV5" s="875"/>
      <c r="BW5" s="875"/>
      <c r="BX5" s="875"/>
      <c r="BY5" s="875"/>
      <c r="BZ5" s="875"/>
      <c r="CA5" s="875"/>
      <c r="CB5" s="875"/>
      <c r="CC5" s="875"/>
      <c r="CD5" s="875"/>
      <c r="CE5" s="876"/>
      <c r="CF5" s="932" t="s">
        <v>138</v>
      </c>
      <c r="CG5" s="875"/>
      <c r="CH5" s="876"/>
      <c r="CI5" s="932" t="s">
        <v>139</v>
      </c>
      <c r="CJ5" s="875"/>
      <c r="CK5" s="875"/>
      <c r="CL5" s="875"/>
      <c r="CM5" s="875"/>
      <c r="CN5" s="876"/>
      <c r="CO5" s="1014" t="s">
        <v>275</v>
      </c>
      <c r="CP5" s="1014" t="s">
        <v>149</v>
      </c>
      <c r="CQ5" s="1000"/>
      <c r="CR5" s="1000"/>
      <c r="CS5" s="933"/>
      <c r="CT5" s="1000" t="s">
        <v>150</v>
      </c>
      <c r="CU5" s="923"/>
      <c r="CV5" s="932" t="s">
        <v>161</v>
      </c>
      <c r="CW5" s="875"/>
      <c r="CX5" s="875"/>
      <c r="CY5" s="875"/>
      <c r="CZ5" s="875"/>
      <c r="DA5" s="876"/>
      <c r="DB5" s="932" t="s">
        <v>163</v>
      </c>
      <c r="DC5" s="875"/>
      <c r="DD5" s="875"/>
      <c r="DE5" s="875"/>
      <c r="DF5" s="875"/>
      <c r="DG5" s="875"/>
      <c r="DH5" s="876"/>
      <c r="DI5" s="1021" t="s">
        <v>173</v>
      </c>
      <c r="DJ5" s="1021"/>
      <c r="DK5" s="1129"/>
      <c r="DL5" s="1020" t="s">
        <v>174</v>
      </c>
      <c r="DM5" s="1021"/>
      <c r="DN5" s="1022"/>
      <c r="DO5" s="1131" t="s">
        <v>175</v>
      </c>
      <c r="DP5" s="1132"/>
      <c r="DQ5" s="1132"/>
      <c r="DR5" s="1013" t="s">
        <v>187</v>
      </c>
      <c r="DS5" s="1013"/>
      <c r="DT5" s="1013"/>
      <c r="DU5" s="1013"/>
      <c r="DV5" s="1013"/>
      <c r="DW5" s="1013"/>
      <c r="DX5" s="1014" t="s">
        <v>190</v>
      </c>
      <c r="DY5" s="954" t="s">
        <v>149</v>
      </c>
      <c r="DZ5" s="1013"/>
      <c r="EA5" s="1013"/>
      <c r="EB5" s="1013"/>
      <c r="EC5" s="1013" t="s">
        <v>150</v>
      </c>
      <c r="ED5" s="1013"/>
      <c r="EE5" s="1002" t="s">
        <v>194</v>
      </c>
      <c r="EF5" s="1002"/>
      <c r="EG5" s="1010"/>
      <c r="EH5" s="1026" t="s">
        <v>195</v>
      </c>
      <c r="EI5" s="1027"/>
      <c r="EJ5" s="1028"/>
      <c r="EK5" s="1013" t="s">
        <v>188</v>
      </c>
      <c r="EL5" s="1014"/>
      <c r="EM5" s="932" t="s">
        <v>189</v>
      </c>
      <c r="EN5" s="875"/>
      <c r="EO5" s="875"/>
      <c r="EP5" s="875"/>
      <c r="EQ5" s="875"/>
      <c r="ER5" s="1122"/>
      <c r="ES5" s="1096" t="s">
        <v>202</v>
      </c>
      <c r="ET5" s="1000"/>
      <c r="EU5" s="933"/>
      <c r="EV5" s="1068" t="s">
        <v>222</v>
      </c>
      <c r="EW5" s="1069"/>
      <c r="EX5" s="1069"/>
      <c r="EY5" s="1070"/>
      <c r="EZ5" s="1057" t="s">
        <v>200</v>
      </c>
      <c r="FA5" s="927" t="s">
        <v>202</v>
      </c>
      <c r="FB5" s="1110"/>
      <c r="FC5" s="928"/>
      <c r="FD5" s="1114" t="s">
        <v>222</v>
      </c>
      <c r="FE5" s="1115"/>
      <c r="FF5" s="1116"/>
      <c r="FP5" s="1034"/>
      <c r="FQ5" s="31"/>
      <c r="FR5" s="31"/>
      <c r="FS5" s="31"/>
      <c r="FT5" s="31"/>
      <c r="FZ5" s="1034"/>
      <c r="GJ5" s="988" t="s">
        <v>269</v>
      </c>
      <c r="GK5" s="1036" t="s">
        <v>267</v>
      </c>
      <c r="GL5" s="1038" t="s">
        <v>110</v>
      </c>
      <c r="GM5" s="1038" t="s">
        <v>111</v>
      </c>
      <c r="GN5" s="1039"/>
      <c r="GO5" s="993"/>
      <c r="GP5" s="997"/>
      <c r="GQ5" s="31"/>
      <c r="GR5" s="984"/>
      <c r="GS5" s="1008" t="s">
        <v>248</v>
      </c>
      <c r="GT5" s="1009"/>
      <c r="GU5" s="1004" t="s">
        <v>249</v>
      </c>
      <c r="GV5" s="1005"/>
      <c r="GW5" s="1006"/>
      <c r="GX5" s="1007"/>
      <c r="GY5" s="991" t="s">
        <v>107</v>
      </c>
      <c r="GZ5" s="915"/>
      <c r="HA5" s="1076" t="s">
        <v>248</v>
      </c>
      <c r="HB5" s="1077"/>
      <c r="HC5" s="1077"/>
      <c r="HD5" s="1078"/>
      <c r="HE5" s="1093" t="s">
        <v>249</v>
      </c>
      <c r="HF5" s="1077"/>
      <c r="HG5" s="1077"/>
      <c r="HH5" s="1094"/>
      <c r="HI5" s="1088"/>
      <c r="HN5" s="386" t="s">
        <v>263</v>
      </c>
      <c r="HO5" s="58" t="s">
        <v>264</v>
      </c>
      <c r="HS5" s="1082" t="s">
        <v>274</v>
      </c>
      <c r="HZ5" s="383"/>
    </row>
    <row r="6" spans="1:283" ht="15" customHeight="1" thickBot="1" x14ac:dyDescent="0.4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>Inactive Element</v>
      </c>
      <c r="M6" s="1243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$Q$6</f>
        <v>Projected XY</v>
      </c>
      <c r="X6" s="1170"/>
      <c r="Y6" s="1211" t="str">
        <f>$S$6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139" t="str">
        <f>AD6</f>
        <v>Unit Vector</v>
      </c>
      <c r="AL6" s="1140"/>
      <c r="AM6" s="1141"/>
      <c r="AN6" s="34" t="s">
        <v>15</v>
      </c>
      <c r="AO6" s="35" t="s">
        <v>16</v>
      </c>
      <c r="AP6" s="737" t="s">
        <v>17</v>
      </c>
      <c r="AQ6" s="1203" t="s">
        <v>108</v>
      </c>
      <c r="AS6" s="172">
        <f>(AS5/360)</f>
        <v>6.9444444444444447E-4</v>
      </c>
      <c r="AT6" s="465" t="s">
        <v>48</v>
      </c>
      <c r="AV6" s="1201"/>
      <c r="AW6" s="1194" t="s">
        <v>105</v>
      </c>
      <c r="AX6" s="1195"/>
      <c r="AY6" s="195" t="s">
        <v>110</v>
      </c>
      <c r="AZ6" s="1175" t="s">
        <v>111</v>
      </c>
      <c r="BA6" s="1176"/>
      <c r="BB6" s="1166"/>
      <c r="BC6" s="1169" t="str">
        <f>$Q$6</f>
        <v>Projected XY</v>
      </c>
      <c r="BD6" s="1170"/>
      <c r="BE6" s="1171" t="str">
        <f>$S$6</f>
        <v>Z</v>
      </c>
      <c r="BF6" s="882" t="s">
        <v>125</v>
      </c>
      <c r="BG6" s="878"/>
      <c r="BH6" s="987"/>
      <c r="BI6" s="880" t="s">
        <v>126</v>
      </c>
      <c r="BJ6" s="878"/>
      <c r="BK6" s="879"/>
      <c r="BL6" s="883" t="s">
        <v>127</v>
      </c>
      <c r="BM6" s="878"/>
      <c r="BN6" s="884"/>
      <c r="BO6" s="882" t="s">
        <v>135</v>
      </c>
      <c r="BP6" s="878"/>
      <c r="BQ6" s="878"/>
      <c r="BR6" s="884"/>
      <c r="BS6" s="882" t="s">
        <v>125</v>
      </c>
      <c r="BT6" s="878"/>
      <c r="BU6" s="987"/>
      <c r="BV6" s="880" t="s">
        <v>126</v>
      </c>
      <c r="BW6" s="878"/>
      <c r="BX6" s="879"/>
      <c r="BY6" s="883" t="s">
        <v>127</v>
      </c>
      <c r="BZ6" s="878"/>
      <c r="CA6" s="884"/>
      <c r="CB6" s="882" t="s">
        <v>135</v>
      </c>
      <c r="CC6" s="878"/>
      <c r="CD6" s="878"/>
      <c r="CE6" s="884"/>
      <c r="CF6" s="888" t="s">
        <v>136</v>
      </c>
      <c r="CG6" s="1124"/>
      <c r="CH6" s="1124"/>
      <c r="CI6" s="1126" t="s">
        <v>137</v>
      </c>
      <c r="CJ6" s="1124"/>
      <c r="CK6" s="889"/>
      <c r="CL6" s="1123" t="s">
        <v>140</v>
      </c>
      <c r="CM6" s="1124"/>
      <c r="CN6" s="1125"/>
      <c r="CO6" s="1016"/>
      <c r="CP6" s="1016"/>
      <c r="CQ6" s="1098"/>
      <c r="CR6" s="1098"/>
      <c r="CS6" s="1099"/>
      <c r="CT6" s="1098"/>
      <c r="CU6" s="1160"/>
      <c r="CV6" s="1182" t="s">
        <v>147</v>
      </c>
      <c r="CW6" s="878"/>
      <c r="CX6" s="879"/>
      <c r="CY6" s="1117" t="s">
        <v>148</v>
      </c>
      <c r="CZ6" s="1072"/>
      <c r="DA6" s="1118"/>
      <c r="DB6" s="1127" t="s">
        <v>176</v>
      </c>
      <c r="DC6" s="1063"/>
      <c r="DD6" s="1064"/>
      <c r="DE6" s="1128" t="s">
        <v>177</v>
      </c>
      <c r="DF6" s="1063"/>
      <c r="DG6" s="1064"/>
      <c r="DH6" s="253" t="s">
        <v>29</v>
      </c>
      <c r="DI6" s="1024"/>
      <c r="DJ6" s="1024"/>
      <c r="DK6" s="1130"/>
      <c r="DL6" s="1023"/>
      <c r="DM6" s="1024"/>
      <c r="DN6" s="1025"/>
      <c r="DO6" s="1133"/>
      <c r="DP6" s="1134"/>
      <c r="DQ6" s="1134"/>
      <c r="DR6" s="1015"/>
      <c r="DS6" s="1015"/>
      <c r="DT6" s="1015"/>
      <c r="DU6" s="1015"/>
      <c r="DV6" s="1015"/>
      <c r="DW6" s="1015"/>
      <c r="DX6" s="1016"/>
      <c r="DY6" s="1135"/>
      <c r="DZ6" s="1015"/>
      <c r="EA6" s="1015"/>
      <c r="EB6" s="1015"/>
      <c r="EC6" s="1015"/>
      <c r="ED6" s="1015"/>
      <c r="EE6" s="1011"/>
      <c r="EF6" s="1011"/>
      <c r="EG6" s="1012"/>
      <c r="EH6" s="1029"/>
      <c r="EI6" s="1030"/>
      <c r="EJ6" s="1031"/>
      <c r="EK6" s="1015"/>
      <c r="EL6" s="1016"/>
      <c r="EM6" s="1017" t="s">
        <v>199</v>
      </c>
      <c r="EN6" s="1018"/>
      <c r="EO6" s="1019"/>
      <c r="EP6" s="1103" t="s">
        <v>198</v>
      </c>
      <c r="EQ6" s="1018"/>
      <c r="ER6" s="1105"/>
      <c r="ES6" s="1097"/>
      <c r="ET6" s="1098"/>
      <c r="EU6" s="1099"/>
      <c r="EV6" s="274" t="s">
        <v>221</v>
      </c>
      <c r="EW6" s="1103" t="s">
        <v>202</v>
      </c>
      <c r="EX6" s="1018"/>
      <c r="EY6" s="1104"/>
      <c r="EZ6" s="1058"/>
      <c r="FA6" s="1111"/>
      <c r="FB6" s="1112"/>
      <c r="FC6" s="1113"/>
      <c r="FD6" s="1017" t="s">
        <v>202</v>
      </c>
      <c r="FE6" s="1018"/>
      <c r="FF6" s="1105"/>
      <c r="FG6" s="1107" t="s">
        <v>224</v>
      </c>
      <c r="FH6" s="1108"/>
      <c r="FI6" s="1109"/>
      <c r="FJ6" s="1013" t="s">
        <v>203</v>
      </c>
      <c r="FK6" s="1014" t="s">
        <v>214</v>
      </c>
      <c r="FL6" s="1000"/>
      <c r="FM6" s="933"/>
      <c r="FN6" s="1053" t="s">
        <v>204</v>
      </c>
      <c r="FO6" s="1060" t="s">
        <v>227</v>
      </c>
      <c r="FP6" s="1051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4" t="s">
        <v>218</v>
      </c>
      <c r="FV6" s="1000"/>
      <c r="FW6" s="933"/>
      <c r="FX6" s="1053" t="s">
        <v>219</v>
      </c>
      <c r="FY6" s="1060" t="s">
        <v>227</v>
      </c>
      <c r="FZ6" s="1051" t="s">
        <v>225</v>
      </c>
      <c r="GA6" s="1055" t="s">
        <v>239</v>
      </c>
      <c r="GB6" s="336" t="s">
        <v>207</v>
      </c>
      <c r="GC6" s="337" t="s">
        <v>240</v>
      </c>
      <c r="GD6" s="338" t="s">
        <v>226</v>
      </c>
      <c r="GE6" s="985"/>
      <c r="GF6" s="1010" t="s">
        <v>260</v>
      </c>
      <c r="GG6" s="336" t="s">
        <v>207</v>
      </c>
      <c r="GH6" s="337" t="s">
        <v>240</v>
      </c>
      <c r="GI6" s="338" t="s">
        <v>226</v>
      </c>
      <c r="GJ6" s="989"/>
      <c r="GK6" s="1037"/>
      <c r="GL6" s="1040"/>
      <c r="GM6" s="1040"/>
      <c r="GN6" s="1041"/>
      <c r="GO6" s="994" t="s">
        <v>238</v>
      </c>
      <c r="GP6" s="998" t="s">
        <v>225</v>
      </c>
      <c r="GQ6" s="1000" t="s">
        <v>203</v>
      </c>
      <c r="GR6" s="984"/>
      <c r="GS6" s="1085" t="s">
        <v>252</v>
      </c>
      <c r="GT6" s="1086"/>
      <c r="GU6" s="1071" t="s">
        <v>251</v>
      </c>
      <c r="GV6" s="1072"/>
      <c r="GW6" s="1072"/>
      <c r="GX6" s="361" t="s">
        <v>106</v>
      </c>
      <c r="GY6" s="880" t="s">
        <v>250</v>
      </c>
      <c r="GZ6" s="987"/>
      <c r="HA6" s="1062" t="s">
        <v>252</v>
      </c>
      <c r="HB6" s="1063"/>
      <c r="HC6" s="1063"/>
      <c r="HD6" s="1064"/>
      <c r="HE6" s="880" t="s">
        <v>251</v>
      </c>
      <c r="HF6" s="878"/>
      <c r="HG6" s="878"/>
      <c r="HH6" s="884"/>
      <c r="HI6" s="1088"/>
      <c r="HN6" s="971" t="s">
        <v>238</v>
      </c>
      <c r="HO6" s="974" t="s">
        <v>265</v>
      </c>
      <c r="HP6" s="954" t="s">
        <v>203</v>
      </c>
      <c r="HQ6" s="391"/>
      <c r="HS6" s="1083"/>
      <c r="HT6" s="906" t="s">
        <v>270</v>
      </c>
      <c r="HU6" s="904"/>
      <c r="HV6" s="990"/>
      <c r="HW6" s="932" t="s">
        <v>258</v>
      </c>
      <c r="HX6" s="875"/>
      <c r="HY6" s="876"/>
      <c r="HZ6" s="932" t="s">
        <v>249</v>
      </c>
      <c r="IA6" s="906"/>
      <c r="IE6" s="853"/>
      <c r="IF6" s="853"/>
    </row>
    <row r="7" spans="1:283" ht="15" customHeight="1" thickBot="1" x14ac:dyDescent="0.4">
      <c r="A7" s="143"/>
      <c r="B7" s="1251" t="s">
        <v>40</v>
      </c>
      <c r="C7" s="1252"/>
      <c r="D7" s="1253"/>
      <c r="E7" s="1254" t="s">
        <v>41</v>
      </c>
      <c r="F7" s="1252"/>
      <c r="G7" s="1255"/>
      <c r="H7" s="1230" t="s">
        <v>98</v>
      </c>
      <c r="I7" s="1231"/>
      <c r="J7" s="1232"/>
      <c r="K7" s="173"/>
      <c r="L7" s="984"/>
      <c r="M7" s="124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$Q$7</f>
        <v>&lt; θ°</v>
      </c>
      <c r="X7" s="27" t="str">
        <f>$R$7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4"/>
      <c r="AS7" s="1209" t="s">
        <v>54</v>
      </c>
      <c r="AT7" s="1207" t="s">
        <v>53</v>
      </c>
      <c r="AV7" s="120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6"/>
      <c r="BC7" s="37" t="str">
        <f>$Q$7</f>
        <v>&lt; θ°</v>
      </c>
      <c r="BD7" s="27" t="str">
        <f>$R$7</f>
        <v>r</v>
      </c>
      <c r="BE7" s="1172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6"/>
      <c r="FK7" s="350" t="s">
        <v>211</v>
      </c>
      <c r="FL7" s="351" t="s">
        <v>212</v>
      </c>
      <c r="FM7" s="352" t="s">
        <v>213</v>
      </c>
      <c r="FN7" s="1054"/>
      <c r="FO7" s="1061"/>
      <c r="FP7" s="1052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4"/>
      <c r="FY7" s="1061"/>
      <c r="FZ7" s="1052"/>
      <c r="GA7" s="1056"/>
      <c r="GB7" s="223" t="s">
        <v>232</v>
      </c>
      <c r="GC7" s="131" t="s">
        <v>233</v>
      </c>
      <c r="GD7" s="224" t="s">
        <v>234</v>
      </c>
      <c r="GE7" s="986"/>
      <c r="GF7" s="1035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5"/>
      <c r="GP7" s="999"/>
      <c r="GQ7" s="1001"/>
      <c r="GR7" s="1003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9"/>
      <c r="HJ7" s="31"/>
      <c r="HK7" s="1032" t="s">
        <v>246</v>
      </c>
      <c r="HL7" s="1032" t="s">
        <v>237</v>
      </c>
      <c r="HM7" s="922" t="s">
        <v>245</v>
      </c>
      <c r="HN7" s="972"/>
      <c r="HO7" s="1095"/>
      <c r="HP7" s="1090"/>
      <c r="HQ7" s="392"/>
      <c r="HR7" s="412"/>
      <c r="HS7" s="108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220" t="s">
        <v>364</v>
      </c>
      <c r="JC7" s="1220"/>
      <c r="JD7" s="1220"/>
      <c r="JE7" s="122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4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89.740000037539346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-8.4200253947965903E-2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0"/>
      <c r="AT8" s="1208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2"/>
      <c r="HL8" s="1092"/>
      <c r="HM8" s="934"/>
      <c r="HN8" s="973"/>
      <c r="HO8" s="975"/>
      <c r="HP8" s="1091"/>
      <c r="HQ8" s="393" t="s">
        <v>49</v>
      </c>
      <c r="HR8" s="413" t="s">
        <v>51</v>
      </c>
      <c r="HS8" s="108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0.2947008888178807</v>
      </c>
      <c r="D9" s="704">
        <v>-0.53340160873925202</v>
      </c>
      <c r="E9" s="705">
        <v>-0.93969263802333458</v>
      </c>
      <c r="F9" s="703">
        <v>-7.4026687011984574E-2</v>
      </c>
      <c r="G9" s="706">
        <v>0.33391285637839119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0.2947008888178807</v>
      </c>
      <c r="P9" s="625">
        <f t="shared" ref="P9:P40" si="4">IF(M9="","",D9)</f>
        <v>-0.53340160873925202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0.2947008888178807</v>
      </c>
      <c r="S9" s="626">
        <f>IF(M9="","",P9)</f>
        <v>-0.53340160873925202</v>
      </c>
      <c r="T9" s="627">
        <f>IF(M9="","",X9*COS(RADIANS(W9)))</f>
        <v>0.2946978545633403</v>
      </c>
      <c r="U9" s="624">
        <f>IF(M9="","",X9*SIN(RADIANS(W9)))</f>
        <v>1.3373054300344391E-3</v>
      </c>
      <c r="V9" s="628">
        <f>IF(M9="","",Y9)</f>
        <v>-0.53340160873925202</v>
      </c>
      <c r="W9" s="583">
        <f t="shared" ref="W9:W14" si="5">IF(M9="","",IF(Q9-$Q$8&lt;0,360+Q9-$Q$8,Q9-$Q$8))</f>
        <v>0.25999996246065393</v>
      </c>
      <c r="X9" s="629">
        <f>IF(M9="","",R9)</f>
        <v>0.2947008888178807</v>
      </c>
      <c r="Y9" s="630">
        <f>IF(M9="","",S9)</f>
        <v>-0.53340160873925202</v>
      </c>
      <c r="Z9" s="623">
        <f t="shared" ref="Z9:Z40" si="6">IF(M9="","",-E9)</f>
        <v>0.93969263802333458</v>
      </c>
      <c r="AA9" s="624">
        <f t="shared" ref="AA9:AA40" si="7">IF(M9="","",-F9)</f>
        <v>7.4026687011984574E-2</v>
      </c>
      <c r="AB9" s="624">
        <f t="shared" ref="AB9:AB40" si="8">IF(M9="","",-G9)</f>
        <v>-0.33391285637839119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7.4026687011984574E-2</v>
      </c>
      <c r="AF9" s="625">
        <f>IF(M9="","",AB9*(1/SQRT(Z9^2+AA9^2+AB9^2)))</f>
        <v>-0.33391285637839119</v>
      </c>
      <c r="AG9" s="599">
        <f>IF(M9="","",DEGREES(ATAN2(-AF9,AE9)))</f>
        <v>12.499998195223554</v>
      </c>
      <c r="AH9" s="600">
        <f>IF(M9="","",DEGREES(ACOS(AD9)))</f>
        <v>19.999997112357679</v>
      </c>
      <c r="AI9" s="583">
        <f>IF(M9="","",DEGREES(-ACOS(-AF9)))</f>
        <v>-70.493557137026102</v>
      </c>
      <c r="AJ9" s="601">
        <f>IF(M9="","",DEGREES(ATAN2(-AE9,AD9)))</f>
        <v>94.504318914165438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7.4026687011984574E-2</v>
      </c>
      <c r="AM9" s="626">
        <f>IF(M9="","",AF9)</f>
        <v>-0.33391285637839119</v>
      </c>
      <c r="AN9" s="581">
        <f>IF(M9="","",DEGREES(ATAN2(-AM9,AL9)))</f>
        <v>12.499998195223554</v>
      </c>
      <c r="AO9" s="582">
        <f>IF(ROUND(IF(M9="",0,DEGREES(ACOS(AK9))),4)=90,0,IF(M9="","",DEGREES(ACOS(AK9))))</f>
        <v>19.999997112357679</v>
      </c>
      <c r="AP9" s="781">
        <f>IF(M9="","",DEGREES(ATAN2(AK9,AL9)))</f>
        <v>4.5043189141654381</v>
      </c>
      <c r="AQ9" s="584">
        <f t="shared" ref="AQ9:AQ40" si="9">IF(M9="","",DEGREES(ATAN(($AS$5*SIN(RADIANS(90)))/(($X9*2*PI())-($AS$5*COS(RADIANS(90)))))))</f>
        <v>7.6892336368972902</v>
      </c>
      <c r="AS9" s="51">
        <f>IF(M9="","",W9)</f>
        <v>0.25999996246065393</v>
      </c>
      <c r="AT9" s="71">
        <f t="shared" ref="AT9:AT40" si="10">IF(M9="","",Y9+(((AS9-$AS$9)*$AS$6)*-1))</f>
        <v>-0.53340160873925202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35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1.0354031227758185</v>
      </c>
      <c r="D10" s="709">
        <v>-0.42230127366064141</v>
      </c>
      <c r="E10" s="710">
        <v>-0.96592583607220739</v>
      </c>
      <c r="F10" s="708">
        <v>-5.6018678339987658E-2</v>
      </c>
      <c r="G10" s="711">
        <v>0.25268396641901958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1.0354031227758185</v>
      </c>
      <c r="P10" s="633">
        <f t="shared" si="4"/>
        <v>-0.42230127366064141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1.0354031227758185</v>
      </c>
      <c r="S10" s="634">
        <f t="shared" ref="S10:S105" si="80">IF(M10="","",P10)</f>
        <v>-0.42230127366064141</v>
      </c>
      <c r="T10" s="635">
        <f t="shared" ref="T10:T105" si="81">IF(M10="","",X10*COS(RADIANS(W10)))</f>
        <v>1.0353924622154143</v>
      </c>
      <c r="U10" s="629">
        <f t="shared" ref="U10:U105" si="82">IF(M10="","",X10*SIN(RADIANS(W10)))</f>
        <v>4.6984935264935811E-3</v>
      </c>
      <c r="V10" s="636">
        <f>IF(M10="","",Y10)</f>
        <v>-0.42230127366064141</v>
      </c>
      <c r="W10" s="585">
        <f t="shared" si="5"/>
        <v>0.25999996246065393</v>
      </c>
      <c r="X10" s="629">
        <f t="shared" ref="X10:X105" si="83">IF(M10="","",R10)</f>
        <v>1.0354031227758185</v>
      </c>
      <c r="Y10" s="630">
        <f>IF(M10="","",S10)</f>
        <v>-0.42230127366064141</v>
      </c>
      <c r="Z10" s="632">
        <f t="shared" si="6"/>
        <v>0.96592583607220739</v>
      </c>
      <c r="AA10" s="629">
        <f t="shared" si="7"/>
        <v>5.6018678339987658E-2</v>
      </c>
      <c r="AB10" s="629">
        <f t="shared" si="8"/>
        <v>-0.25268396641901958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5.6018678339987658E-2</v>
      </c>
      <c r="AF10" s="633">
        <f t="shared" ref="AF10:AF105" si="86">IF(M10="","",AB10*(1/SQRT(Z10^2+AA10^2+AB10^2)))</f>
        <v>-0.25268396641901958</v>
      </c>
      <c r="AG10" s="602">
        <f t="shared" ref="AG10:AG105" si="87">IF(M10="","",DEGREES(ATAN2(-AF10,AE10)))</f>
        <v>12.49999819522356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-75.363607485266854</v>
      </c>
      <c r="AJ10" s="586">
        <f t="shared" ref="AJ10:AJ105" si="90">IF(M10="","",DEGREES(ATAN2(-AE10,AD10)))</f>
        <v>93.31913956845878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5.6018678339987658E-2</v>
      </c>
      <c r="AM10" s="634">
        <f t="shared" ref="AM10:AM105" si="92">IF(M10="","",AF10)</f>
        <v>-0.25268396641901958</v>
      </c>
      <c r="AN10" s="581">
        <f t="shared" ref="AN10:AN105" si="93">IF(M10="","",DEGREES(ATAN2(-AM10,AL10)))</f>
        <v>12.49999819522356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3.3191395684587914</v>
      </c>
      <c r="AQ10" s="586">
        <f t="shared" si="9"/>
        <v>2.2006940043122301</v>
      </c>
      <c r="AS10" s="52">
        <f>IF($M10="","",IF(AND($W10&lt;($AS$9+180),$W10&gt;($AS$9-180)),$W10,IF($W10&gt;($AS$9+180),$W10-360,IF($W10&lt;($AS$9-180),$W10+360,"Error"))))</f>
        <v>0.25999996246065393</v>
      </c>
      <c r="AT10" s="72">
        <f t="shared" si="10"/>
        <v>-0.42230127366064141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7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1.8134054692308954</v>
      </c>
      <c r="D11" s="709">
        <v>-0.24980075339907226</v>
      </c>
      <c r="E11" s="710">
        <v>-0.96592583607220739</v>
      </c>
      <c r="F11" s="708">
        <v>-5.6018678339987645E-2</v>
      </c>
      <c r="G11" s="711">
        <v>0.25268396641901958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1.8134054692308954</v>
      </c>
      <c r="P11" s="633">
        <f t="shared" si="4"/>
        <v>-0.24980075339907226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1.8134054692308954</v>
      </c>
      <c r="S11" s="634">
        <f t="shared" si="80"/>
        <v>-0.24980075339907226</v>
      </c>
      <c r="T11" s="635">
        <f t="shared" si="81"/>
        <v>1.8133867983208733</v>
      </c>
      <c r="U11" s="629">
        <f t="shared" si="82"/>
        <v>8.2289435589564027E-3</v>
      </c>
      <c r="V11" s="636">
        <f t="shared" ref="V11:V105" si="114">IF(M11="","",Y11)</f>
        <v>-0.24980075339907226</v>
      </c>
      <c r="W11" s="585">
        <f t="shared" si="5"/>
        <v>0.25999996246065393</v>
      </c>
      <c r="X11" s="629">
        <f>IF(M11="","",R11)</f>
        <v>1.8134054692308954</v>
      </c>
      <c r="Y11" s="630">
        <f>IF(M11="","",S11)</f>
        <v>-0.24980075339907226</v>
      </c>
      <c r="Z11" s="632">
        <f t="shared" si="6"/>
        <v>0.96592583607220739</v>
      </c>
      <c r="AA11" s="629">
        <f t="shared" si="7"/>
        <v>5.6018678339987645E-2</v>
      </c>
      <c r="AB11" s="629">
        <f t="shared" si="8"/>
        <v>-0.25268396641901958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5.6018678339987645E-2</v>
      </c>
      <c r="AF11" s="633">
        <f t="shared" si="86"/>
        <v>-0.25268396641901958</v>
      </c>
      <c r="AG11" s="602">
        <f>IF(M11="","",DEGREES(ATAN2(-AF11,AE11)))</f>
        <v>12.499998195223558</v>
      </c>
      <c r="AH11" s="603">
        <f t="shared" si="88"/>
        <v>14.999997834268255</v>
      </c>
      <c r="AI11" s="585">
        <f t="shared" si="89"/>
        <v>-75.363607485266854</v>
      </c>
      <c r="AJ11" s="586">
        <f t="shared" si="90"/>
        <v>93.31913956845878</v>
      </c>
      <c r="AK11" s="635">
        <f>IF(M11="","",(COS(RADIANS((90-$Q$8)-W11))*AD11)+(-SIN(RADIANS((90-$Q$8)-W11))*AE11))</f>
        <v>0.96592583607220739</v>
      </c>
      <c r="AL11" s="629">
        <f t="shared" si="91"/>
        <v>5.6018678339987645E-2</v>
      </c>
      <c r="AM11" s="634">
        <f t="shared" si="92"/>
        <v>-0.25268396641901958</v>
      </c>
      <c r="AN11" s="581">
        <f>IF(M11="","",DEGREES(ATAN2(-AM11,AL11)))</f>
        <v>12.499998195223558</v>
      </c>
      <c r="AO11" s="582">
        <f>IF(ROUND(IF(M11="",0,DEGREES(ACOS(AK11))),4)=90,0,IF(M11="","",DEGREES(ACOS(AK11))))</f>
        <v>14.999997834268255</v>
      </c>
      <c r="AP11" s="585">
        <f t="shared" si="95"/>
        <v>3.3191395684587905</v>
      </c>
      <c r="AQ11" s="586">
        <f t="shared" si="9"/>
        <v>1.2569504921100509</v>
      </c>
      <c r="AS11" s="52">
        <f t="shared" ref="AS11:AS42" si="116">IF(G11="","",IF(AND(W11&lt;(AS10+180),W11&gt;(AS10-180)),W11,IF(W11&gt;(AS10+180),W11-360,IF(W11&lt;(AS10-180),W11+360,"Error"))))</f>
        <v>0.25999996246065393</v>
      </c>
      <c r="AT11" s="72">
        <f t="shared" si="10"/>
        <v>-0.24980075339907226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1.1766200371687291E-2</v>
      </c>
      <c r="C12" s="708">
        <v>2.5928811235062272</v>
      </c>
      <c r="D12" s="709">
        <v>-8.4200253947965903E-2</v>
      </c>
      <c r="E12" s="710">
        <v>-0.96528443712082146</v>
      </c>
      <c r="F12" s="708">
        <v>1.1259957573594779E-2</v>
      </c>
      <c r="G12" s="711">
        <v>0.26095817444138408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1.1766200371687291E-2</v>
      </c>
      <c r="O12" s="629">
        <f t="shared" si="3"/>
        <v>2.5928811235062272</v>
      </c>
      <c r="P12" s="633">
        <f t="shared" si="4"/>
        <v>-8.4200253947965903E-2</v>
      </c>
      <c r="Q12" s="585">
        <f>IF(M12="","",IF(DEGREES(ATAN2(N12,O12))&lt;0,DEGREES(ATAN2(N12,O12))+360,IF(DEGREES(ATAN2(N12,O12))&gt;360,DEGREES(ATAN2(N12,O12))-360,DEGREES(ATAN2(N12,O12)))))</f>
        <v>89.740000037539346</v>
      </c>
      <c r="R12" s="629">
        <f t="shared" si="79"/>
        <v>2.592907820209986</v>
      </c>
      <c r="S12" s="634">
        <f t="shared" si="80"/>
        <v>-8.4200253947965903E-2</v>
      </c>
      <c r="T12" s="635">
        <f>IF(M12="","",X12*COS(RADIANS(W12)))</f>
        <v>2.592907820209986</v>
      </c>
      <c r="U12" s="629">
        <f t="shared" si="82"/>
        <v>0</v>
      </c>
      <c r="V12" s="636">
        <f t="shared" si="114"/>
        <v>-8.4200253947965903E-2</v>
      </c>
      <c r="W12" s="585">
        <f>IF(M12="","",IF(Q12-$Q$8&lt;0,360+Q12-$Q$8,Q12-$Q$8))</f>
        <v>0</v>
      </c>
      <c r="X12" s="629">
        <f t="shared" si="83"/>
        <v>2.592907820209986</v>
      </c>
      <c r="Y12" s="630">
        <f>IF(M12="","",S12)</f>
        <v>-8.4200253947965903E-2</v>
      </c>
      <c r="Z12" s="632">
        <f t="shared" si="6"/>
        <v>0.96528443712082146</v>
      </c>
      <c r="AA12" s="629">
        <f t="shared" si="7"/>
        <v>-1.1259957573594779E-2</v>
      </c>
      <c r="AB12" s="629">
        <f t="shared" si="8"/>
        <v>-0.26095817444138408</v>
      </c>
      <c r="AC12" s="636">
        <f t="shared" si="84"/>
        <v>1</v>
      </c>
      <c r="AD12" s="637">
        <f t="shared" si="115"/>
        <v>0.96528443712082146</v>
      </c>
      <c r="AE12" s="629">
        <f t="shared" si="85"/>
        <v>-1.1259957573594779E-2</v>
      </c>
      <c r="AF12" s="633">
        <f t="shared" si="86"/>
        <v>-0.26095817444138408</v>
      </c>
      <c r="AG12" s="602">
        <f t="shared" si="87"/>
        <v>-2.4706952248171241</v>
      </c>
      <c r="AH12" s="603">
        <f t="shared" si="88"/>
        <v>15.141336377384635</v>
      </c>
      <c r="AI12" s="585">
        <f t="shared" si="89"/>
        <v>-74.873075586304182</v>
      </c>
      <c r="AJ12" s="586">
        <f t="shared" si="90"/>
        <v>89.331680111846893</v>
      </c>
      <c r="AK12" s="635">
        <f t="shared" ref="AK12:AK105" si="211">IF(M12="","",(COS(RADIANS((90-$Q$8)-W12))*AD12)+(-SIN(RADIANS((90-$Q$8)-W12))*AE12))</f>
        <v>0.96532559438969734</v>
      </c>
      <c r="AL12" s="629">
        <f>IF(M12="","",(SIN(RADIANS((90-$Q$8)-W12))*AD12)+(COS(RADIANS((90-$Q$8)-W12))*AE12))</f>
        <v>-6.8795354783476783E-3</v>
      </c>
      <c r="AM12" s="634">
        <f t="shared" si="92"/>
        <v>-0.26095817444138408</v>
      </c>
      <c r="AN12" s="581">
        <f>IF(M12="","",DEGREES(ATAN2(-AM12,AL12)))</f>
        <v>-1.5101158372130812</v>
      </c>
      <c r="AO12" s="582">
        <f t="shared" si="94"/>
        <v>15.132305688707062</v>
      </c>
      <c r="AP12" s="585">
        <f t="shared" si="95"/>
        <v>-0.40831992569245451</v>
      </c>
      <c r="AQ12" s="586">
        <f t="shared" si="9"/>
        <v>0.8791472258966111</v>
      </c>
      <c r="AS12" s="52">
        <f t="shared" si="116"/>
        <v>0</v>
      </c>
      <c r="AT12" s="72">
        <f>IF(M12="","",Y12+(((AS12-$AS$9)*$AS$6)*-1))</f>
        <v>-8.4019698418479338E-2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6.4421375867304162E-2</v>
      </c>
      <c r="C13" s="708">
        <v>3.3858974163323454</v>
      </c>
      <c r="D13" s="709">
        <v>-0.15720047411662993</v>
      </c>
      <c r="E13" s="710">
        <v>-0.96072550483906505</v>
      </c>
      <c r="F13" s="708">
        <v>0.14353930380399371</v>
      </c>
      <c r="G13" s="711">
        <v>0.2374931001422749</v>
      </c>
      <c r="H13" s="710">
        <v>0.314</v>
      </c>
      <c r="I13" s="708">
        <v>0.52</v>
      </c>
      <c r="J13" s="570">
        <v>1.113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230</v>
      </c>
      <c r="M13" s="168">
        <f t="shared" si="1"/>
        <v>1.113</v>
      </c>
      <c r="N13" s="632">
        <f t="shared" si="2"/>
        <v>6.4421375867304162E-2</v>
      </c>
      <c r="O13" s="629">
        <f t="shared" si="3"/>
        <v>3.3858974163323454</v>
      </c>
      <c r="P13" s="633">
        <f t="shared" si="4"/>
        <v>-0.15720047411662993</v>
      </c>
      <c r="Q13" s="585">
        <f t="shared" si="113"/>
        <v>88.910000157376501</v>
      </c>
      <c r="R13" s="629">
        <f t="shared" si="79"/>
        <v>3.386510213714804</v>
      </c>
      <c r="S13" s="634">
        <f t="shared" si="80"/>
        <v>-0.15720047411662993</v>
      </c>
      <c r="T13" s="635">
        <f>IF(M13="","",X13*COS(RADIANS(W13)))</f>
        <v>3.3861548888545805</v>
      </c>
      <c r="U13" s="629">
        <f t="shared" si="82"/>
        <v>-4.9056052439145653E-2</v>
      </c>
      <c r="V13" s="636">
        <f t="shared" si="114"/>
        <v>-0.15720047411662993</v>
      </c>
      <c r="W13" s="585">
        <f t="shared" si="5"/>
        <v>359.17000011983714</v>
      </c>
      <c r="X13" s="629">
        <f t="shared" si="83"/>
        <v>3.386510213714804</v>
      </c>
      <c r="Y13" s="630">
        <f>IF(M13="","",S13)</f>
        <v>-0.15720047411662993</v>
      </c>
      <c r="Z13" s="632">
        <f t="shared" si="6"/>
        <v>0.96072550483906505</v>
      </c>
      <c r="AA13" s="629">
        <f t="shared" si="7"/>
        <v>-0.14353930380399371</v>
      </c>
      <c r="AB13" s="629">
        <f t="shared" si="8"/>
        <v>-0.2374931001422749</v>
      </c>
      <c r="AC13" s="636">
        <f t="shared" si="84"/>
        <v>1</v>
      </c>
      <c r="AD13" s="637">
        <f>IF(M13="","",Z13*(1/SQRT(Z13^2+AA13^2+AB13^2)))</f>
        <v>0.96072550483906505</v>
      </c>
      <c r="AE13" s="629">
        <f t="shared" si="85"/>
        <v>-0.14353930380399371</v>
      </c>
      <c r="AF13" s="633">
        <f t="shared" si="86"/>
        <v>-0.2374931001422749</v>
      </c>
      <c r="AG13" s="602">
        <f>IF(M13="","",DEGREES(ATAN2(-AF13,AE13)))</f>
        <v>-31.148495815632028</v>
      </c>
      <c r="AH13" s="603">
        <f t="shared" si="88"/>
        <v>16.111080734650713</v>
      </c>
      <c r="AI13" s="585">
        <f t="shared" si="89"/>
        <v>-76.261371802627536</v>
      </c>
      <c r="AJ13" s="586">
        <f t="shared" si="90"/>
        <v>81.502455042819165</v>
      </c>
      <c r="AK13" s="635">
        <f t="shared" si="211"/>
        <v>0.96328219855060238</v>
      </c>
      <c r="AL13" s="629">
        <f t="shared" si="91"/>
        <v>-0.12523750772164643</v>
      </c>
      <c r="AM13" s="634">
        <f t="shared" si="92"/>
        <v>-0.2374931001422749</v>
      </c>
      <c r="AN13" s="581">
        <f t="shared" si="93"/>
        <v>-27.804077555329169</v>
      </c>
      <c r="AO13" s="582">
        <f t="shared" si="94"/>
        <v>15.574491043248287</v>
      </c>
      <c r="AP13" s="585">
        <f t="shared" si="95"/>
        <v>-7.4075451145573368</v>
      </c>
      <c r="AQ13" s="586">
        <f t="shared" si="9"/>
        <v>0.67314775282187567</v>
      </c>
      <c r="AS13" s="52">
        <f t="shared" si="116"/>
        <v>-0.82999988016285897</v>
      </c>
      <c r="AT13" s="72">
        <f t="shared" si="10"/>
        <v>-0.15644352978147472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1.113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0.14424548289889044</v>
      </c>
      <c r="C14" s="708">
        <v>4.0695566925317772</v>
      </c>
      <c r="D14" s="709">
        <v>-0.5635016995211255</v>
      </c>
      <c r="E14" s="710">
        <v>-0.95242770535885679</v>
      </c>
      <c r="F14" s="708">
        <v>0.25102955364212637</v>
      </c>
      <c r="G14" s="711">
        <v>0.17281675052811715</v>
      </c>
      <c r="H14" s="710">
        <v>0.314</v>
      </c>
      <c r="I14" s="708">
        <v>0.52</v>
      </c>
      <c r="J14" s="570">
        <v>1.1160000000000001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1.1160000000000001</v>
      </c>
      <c r="N14" s="632">
        <f t="shared" si="2"/>
        <v>0.14424548289889044</v>
      </c>
      <c r="O14" s="629">
        <f t="shared" si="3"/>
        <v>4.0695566925317772</v>
      </c>
      <c r="P14" s="633">
        <f t="shared" si="4"/>
        <v>-0.5635016995211255</v>
      </c>
      <c r="Q14" s="585">
        <f t="shared" si="113"/>
        <v>87.970000293095694</v>
      </c>
      <c r="R14" s="629">
        <f t="shared" si="79"/>
        <v>4.0721122814906403</v>
      </c>
      <c r="S14" s="634">
        <f t="shared" si="80"/>
        <v>-0.5635016995211255</v>
      </c>
      <c r="T14" s="635">
        <f t="shared" si="81"/>
        <v>4.0701693550771507</v>
      </c>
      <c r="U14" s="629">
        <f t="shared" si="82"/>
        <v>-0.12577700130692795</v>
      </c>
      <c r="V14" s="636">
        <f t="shared" si="114"/>
        <v>-0.5635016995211255</v>
      </c>
      <c r="W14" s="585">
        <f t="shared" si="5"/>
        <v>358.23000025555638</v>
      </c>
      <c r="X14" s="629">
        <f t="shared" si="83"/>
        <v>4.0721122814906403</v>
      </c>
      <c r="Y14" s="630">
        <f t="shared" ref="Y14:Y75" si="223">IF(M14="","",S14)</f>
        <v>-0.5635016995211255</v>
      </c>
      <c r="Z14" s="632">
        <f t="shared" si="6"/>
        <v>0.95242770535885679</v>
      </c>
      <c r="AA14" s="629">
        <f t="shared" si="7"/>
        <v>-0.25102955364212637</v>
      </c>
      <c r="AB14" s="629">
        <f t="shared" si="8"/>
        <v>-0.17281675052811715</v>
      </c>
      <c r="AC14" s="636">
        <f t="shared" si="84"/>
        <v>1</v>
      </c>
      <c r="AD14" s="637">
        <f>IF(M14="","",Z14*(1/SQRT(Z14^2+AA14^2+AB14^2)))</f>
        <v>0.95242770535885679</v>
      </c>
      <c r="AE14" s="629">
        <f t="shared" si="85"/>
        <v>-0.25102955364212637</v>
      </c>
      <c r="AF14" s="633">
        <f t="shared" si="86"/>
        <v>-0.17281675052811715</v>
      </c>
      <c r="AG14" s="602">
        <f t="shared" si="87"/>
        <v>-55.455236209251282</v>
      </c>
      <c r="AH14" s="603">
        <f t="shared" si="88"/>
        <v>17.744002702879239</v>
      </c>
      <c r="AI14" s="585">
        <f t="shared" si="89"/>
        <v>-80.048368553470382</v>
      </c>
      <c r="AJ14" s="586">
        <f t="shared" si="90"/>
        <v>75.234458966557284</v>
      </c>
      <c r="AK14" s="635">
        <f>IF(M14="","",(COS(RADIANS((90-$Q$8)-W14))*AD14)+(-SIN(RADIANS((90-$Q$8)-W14))*AE14))</f>
        <v>0.96072213908864246</v>
      </c>
      <c r="AL14" s="629">
        <f t="shared" si="91"/>
        <v>-0.21713438742365446</v>
      </c>
      <c r="AM14" s="634">
        <f t="shared" si="92"/>
        <v>-0.17281675052811715</v>
      </c>
      <c r="AN14" s="581">
        <f t="shared" si="93"/>
        <v>-51.48380007931695</v>
      </c>
      <c r="AO14" s="582">
        <f t="shared" si="94"/>
        <v>16.111775649702935</v>
      </c>
      <c r="AP14" s="585">
        <f>IF(M14="","",DEGREES(ATAN2(AK14,AL14)))</f>
        <v>-12.735541326538433</v>
      </c>
      <c r="AQ14" s="586">
        <f t="shared" si="9"/>
        <v>0.55982102842616543</v>
      </c>
      <c r="AS14" s="52">
        <f t="shared" si="116"/>
        <v>-1.7699997444436235</v>
      </c>
      <c r="AT14" s="72">
        <f t="shared" si="10"/>
        <v>-0.562091977502442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1.1160000000000001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0.21357266605087874</v>
      </c>
      <c r="C15" s="708">
        <v>4.5120618573952802</v>
      </c>
      <c r="D15" s="709">
        <v>-1.2245036931031383</v>
      </c>
      <c r="E15" s="710">
        <v>-0.9401665845489281</v>
      </c>
      <c r="F15" s="708">
        <v>0.31686175638478692</v>
      </c>
      <c r="G15" s="711">
        <v>0.12524144936222659</v>
      </c>
      <c r="H15" s="710">
        <v>0.314</v>
      </c>
      <c r="I15" s="708">
        <v>0.52</v>
      </c>
      <c r="J15" s="570">
        <v>1.119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873">
        <f>IF($L14=$JH$22,$JH$29,IF($L14=$JI$22,$JI$29,""))</f>
        <v>200</v>
      </c>
      <c r="M15" s="168">
        <f t="shared" si="1"/>
        <v>1.119</v>
      </c>
      <c r="N15" s="632">
        <f t="shared" si="2"/>
        <v>0.21357266605087874</v>
      </c>
      <c r="O15" s="629">
        <f t="shared" si="3"/>
        <v>4.5120618573952802</v>
      </c>
      <c r="P15" s="633">
        <f t="shared" si="4"/>
        <v>-1.2245036931031383</v>
      </c>
      <c r="Q15" s="585">
        <f t="shared" si="113"/>
        <v>87.290000391275541</v>
      </c>
      <c r="R15" s="629">
        <f t="shared" si="79"/>
        <v>4.5171136236146889</v>
      </c>
      <c r="S15" s="634">
        <f t="shared" si="80"/>
        <v>-1.2245036931031383</v>
      </c>
      <c r="T15" s="635">
        <f t="shared" si="81"/>
        <v>4.5129845595389018</v>
      </c>
      <c r="U15" s="629">
        <f t="shared" si="82"/>
        <v>-0.19309545310257648</v>
      </c>
      <c r="V15" s="636">
        <f t="shared" si="114"/>
        <v>-1.2245036931031383</v>
      </c>
      <c r="W15" s="585">
        <f t="shared" ref="W15:W78" si="224">IF(M15="","",IF(Q15-$Q$8&lt;0,360+Q15-$Q$8,Q15-$Q$8))</f>
        <v>357.55000035373621</v>
      </c>
      <c r="X15" s="629">
        <f>IF(M15="","",R15)</f>
        <v>4.5171136236146889</v>
      </c>
      <c r="Y15" s="630">
        <f>IF(M15="","",S15)</f>
        <v>-1.2245036931031383</v>
      </c>
      <c r="Z15" s="632">
        <f t="shared" si="6"/>
        <v>0.9401665845489281</v>
      </c>
      <c r="AA15" s="629">
        <f t="shared" si="7"/>
        <v>-0.31686175638478692</v>
      </c>
      <c r="AB15" s="629">
        <f t="shared" si="8"/>
        <v>-0.12524144936222659</v>
      </c>
      <c r="AC15" s="636">
        <f t="shared" si="84"/>
        <v>1</v>
      </c>
      <c r="AD15" s="637">
        <f t="shared" si="115"/>
        <v>0.9401665845489281</v>
      </c>
      <c r="AE15" s="629">
        <f t="shared" si="85"/>
        <v>-0.31686175638478692</v>
      </c>
      <c r="AF15" s="633">
        <f t="shared" si="86"/>
        <v>-0.12524144936222659</v>
      </c>
      <c r="AG15" s="602">
        <f t="shared" si="87"/>
        <v>-68.433302668001673</v>
      </c>
      <c r="AH15" s="603">
        <f t="shared" si="88"/>
        <v>19.920449051508321</v>
      </c>
      <c r="AI15" s="585">
        <f t="shared" si="89"/>
        <v>-82.805300613603777</v>
      </c>
      <c r="AJ15" s="586">
        <f t="shared" si="90"/>
        <v>71.374781595552349</v>
      </c>
      <c r="AK15" s="635">
        <f t="shared" si="211"/>
        <v>0.95409661012084823</v>
      </c>
      <c r="AL15" s="629">
        <f t="shared" si="91"/>
        <v>-0.27205557872897035</v>
      </c>
      <c r="AM15" s="634">
        <f t="shared" si="92"/>
        <v>-0.12524144936222659</v>
      </c>
      <c r="AN15" s="581">
        <f>IF(M15="","",DEGREES(ATAN2(-AM15,AL15)))</f>
        <v>-65.280905364212373</v>
      </c>
      <c r="AO15" s="582">
        <f t="shared" si="94"/>
        <v>17.427515153616241</v>
      </c>
      <c r="AP15" s="585">
        <f t="shared" si="95"/>
        <v>-15.915218795723202</v>
      </c>
      <c r="AQ15" s="586">
        <f t="shared" si="9"/>
        <v>0.50467352923515429</v>
      </c>
      <c r="AS15" s="52">
        <f t="shared" si="116"/>
        <v>-2.449999646263791</v>
      </c>
      <c r="AT15" s="72">
        <f t="shared" si="10"/>
        <v>-1.222621748930413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1.119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42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0.23477215333694304</v>
      </c>
      <c r="C16" s="708">
        <v>4.6344712843585629</v>
      </c>
      <c r="D16" s="709">
        <v>-2.0130060712263109</v>
      </c>
      <c r="E16" s="710">
        <v>-0.9313735250241032</v>
      </c>
      <c r="F16" s="708">
        <v>0.3639831892247562</v>
      </c>
      <c r="G16" s="711">
        <v>7.7197698120821953E-3</v>
      </c>
      <c r="H16" s="710">
        <v>0.314</v>
      </c>
      <c r="I16" s="708">
        <v>0.52</v>
      </c>
      <c r="J16" s="570">
        <v>1.1220000000000001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1.1220000000000001</v>
      </c>
      <c r="N16" s="632">
        <f t="shared" si="2"/>
        <v>0.23477215333694304</v>
      </c>
      <c r="O16" s="629">
        <f t="shared" si="3"/>
        <v>4.6344712843585629</v>
      </c>
      <c r="P16" s="633">
        <f t="shared" si="4"/>
        <v>-2.0130060712263109</v>
      </c>
      <c r="Q16" s="585">
        <f>IF(M16="","",IF(DEGREES(ATAN2(N16,O16))&lt;0,DEGREES(ATAN2(N16,O16))+360,IF(DEGREES(ATAN2(N16,O16))&gt;360,DEGREES(ATAN2(N16,O16))-360,DEGREES(ATAN2(N16,O16)))))</f>
        <v>87.100000418708149</v>
      </c>
      <c r="R16" s="629">
        <f t="shared" si="79"/>
        <v>4.6404139954886112</v>
      </c>
      <c r="S16" s="634">
        <f t="shared" si="80"/>
        <v>-2.0130060712263109</v>
      </c>
      <c r="T16" s="635">
        <f t="shared" si="81"/>
        <v>4.6354889260465288</v>
      </c>
      <c r="U16" s="629">
        <f t="shared" si="82"/>
        <v>-0.21373924774494968</v>
      </c>
      <c r="V16" s="636">
        <f t="shared" si="114"/>
        <v>-2.0130060712263109</v>
      </c>
      <c r="W16" s="585">
        <f>IF(M16="","",IF(Q16-$Q$8&lt;0,360+Q16-$Q$8,Q16-$Q$8))</f>
        <v>357.36000038116879</v>
      </c>
      <c r="X16" s="629">
        <f t="shared" si="83"/>
        <v>4.6404139954886112</v>
      </c>
      <c r="Y16" s="630">
        <f t="shared" si="223"/>
        <v>-2.0130060712263109</v>
      </c>
      <c r="Z16" s="632">
        <f t="shared" si="6"/>
        <v>0.9313735250241032</v>
      </c>
      <c r="AA16" s="629">
        <f t="shared" si="7"/>
        <v>-0.3639831892247562</v>
      </c>
      <c r="AB16" s="629">
        <f t="shared" si="8"/>
        <v>-7.7197698120821953E-3</v>
      </c>
      <c r="AC16" s="636">
        <f t="shared" si="84"/>
        <v>1</v>
      </c>
      <c r="AD16" s="637">
        <f t="shared" si="115"/>
        <v>0.9313735250241032</v>
      </c>
      <c r="AE16" s="629">
        <f t="shared" si="85"/>
        <v>-0.3639831892247562</v>
      </c>
      <c r="AF16" s="633">
        <f t="shared" si="86"/>
        <v>-7.7197698120821953E-3</v>
      </c>
      <c r="AG16" s="602">
        <f t="shared" si="87"/>
        <v>-88.784988046365285</v>
      </c>
      <c r="AH16" s="603">
        <f t="shared" si="88"/>
        <v>21.350055293332758</v>
      </c>
      <c r="AI16" s="585">
        <f t="shared" si="89"/>
        <v>-89.557685377602382</v>
      </c>
      <c r="AJ16" s="586">
        <f t="shared" si="90"/>
        <v>68.654312961955981</v>
      </c>
      <c r="AK16" s="635">
        <f t="shared" si="211"/>
        <v>0.9485957455796501</v>
      </c>
      <c r="AL16" s="629">
        <f t="shared" si="91"/>
        <v>-0.31639613875999845</v>
      </c>
      <c r="AM16" s="634">
        <f t="shared" si="92"/>
        <v>-7.7197698120821953E-3</v>
      </c>
      <c r="AN16" s="581">
        <f t="shared" si="93"/>
        <v>-88.602313887563412</v>
      </c>
      <c r="AO16" s="582">
        <f t="shared" si="94"/>
        <v>18.450805449389247</v>
      </c>
      <c r="AP16" s="585">
        <f t="shared" si="95"/>
        <v>-18.445687456752147</v>
      </c>
      <c r="AQ16" s="586">
        <f t="shared" si="9"/>
        <v>0.49126452251069813</v>
      </c>
      <c r="AS16" s="52">
        <f t="shared" si="116"/>
        <v>-2.6399996188312116</v>
      </c>
      <c r="AT16" s="72">
        <f t="shared" si="10"/>
        <v>-2.0109921826281916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1.1220000000000001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0.25192714406912653</v>
      </c>
      <c r="C17" s="708">
        <v>4.7281073361405168</v>
      </c>
      <c r="D17" s="709">
        <v>-2.7401082641665244</v>
      </c>
      <c r="E17" s="710">
        <v>-0.8305603040741224</v>
      </c>
      <c r="F17" s="708">
        <v>0.54940997150070003</v>
      </c>
      <c r="G17" s="711">
        <v>9.1204520238316267E-2</v>
      </c>
      <c r="H17" s="710">
        <v>0.26600000000000001</v>
      </c>
      <c r="I17" s="708">
        <v>0.52</v>
      </c>
      <c r="J17" s="570">
        <v>1.125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1313</v>
      </c>
      <c r="M17" s="168">
        <f t="shared" si="1"/>
        <v>1.125</v>
      </c>
      <c r="N17" s="632">
        <f t="shared" si="2"/>
        <v>0.25192714406912653</v>
      </c>
      <c r="O17" s="629">
        <f t="shared" si="3"/>
        <v>4.7281073361405168</v>
      </c>
      <c r="P17" s="633">
        <f t="shared" si="4"/>
        <v>-2.7401082641665244</v>
      </c>
      <c r="Q17" s="585">
        <f>IF(M17="","",IF(DEGREES(ATAN2(N17,O17))&lt;0,DEGREES(ATAN2(N17,O17))+360,IF(DEGREES(ATAN2(N17,O17))&gt;360,DEGREES(ATAN2(N17,O17))-360,DEGREES(ATAN2(N17,O17)))))</f>
        <v>86.950000440365471</v>
      </c>
      <c r="R17" s="629">
        <f>IF(M17="","",SQRT(N17^2+O17^2))</f>
        <v>4.7348142801998687</v>
      </c>
      <c r="S17" s="634">
        <f>IF(M17="","",P17)</f>
        <v>-2.7401082641665244</v>
      </c>
      <c r="T17" s="635">
        <f>IF(M17="","",X17*COS(RADIANS(W17)))</f>
        <v>4.7292018603473434</v>
      </c>
      <c r="U17" s="629">
        <f>IF(M17="","",X17*SIN(RADIANS(W17)))</f>
        <v>-0.23046915644359561</v>
      </c>
      <c r="V17" s="636">
        <f>IF(M17="","",Y17)</f>
        <v>-2.7401082641665244</v>
      </c>
      <c r="W17" s="585">
        <f t="shared" si="224"/>
        <v>357.2100004028261</v>
      </c>
      <c r="X17" s="629">
        <f>IF(M17="","",R17)</f>
        <v>4.7348142801998687</v>
      </c>
      <c r="Y17" s="630">
        <f t="shared" si="223"/>
        <v>-2.7401082641665244</v>
      </c>
      <c r="Z17" s="632">
        <f t="shared" si="6"/>
        <v>0.8305603040741224</v>
      </c>
      <c r="AA17" s="629">
        <f t="shared" si="7"/>
        <v>-0.54940997150070003</v>
      </c>
      <c r="AB17" s="629">
        <f t="shared" si="8"/>
        <v>-9.1204520238316267E-2</v>
      </c>
      <c r="AC17" s="636">
        <f>IF(M17="","",SQRT(Z17^2+AA17^2+AB17^2))</f>
        <v>1</v>
      </c>
      <c r="AD17" s="637">
        <f>IF(M17="","",Z17*(1/SQRT(Z17^2+AA17^2+AB17^2)))</f>
        <v>0.8305603040741224</v>
      </c>
      <c r="AE17" s="629">
        <f>IF(M17="","",AA17*(1/SQRT(Z17^2+AA17^2+AB17^2)))</f>
        <v>-0.54940997150070003</v>
      </c>
      <c r="AF17" s="633">
        <f>IF(M17="","",AB17*(1/SQRT(Z17^2+AA17^2+AB17^2)))</f>
        <v>-9.1204520238316267E-2</v>
      </c>
      <c r="AG17" s="602">
        <f>IF(M17="","",DEGREES(ATAN2(-AF17,AE17)))</f>
        <v>-80.574596466956379</v>
      </c>
      <c r="AH17" s="603">
        <f>IF(M17="","",DEGREES(ACOS(AD17)))</f>
        <v>33.843662133834407</v>
      </c>
      <c r="AI17" s="585">
        <f>IF(M17="","",DEGREES(-ACOS(-AF17)))</f>
        <v>-84.767093963198377</v>
      </c>
      <c r="AJ17" s="586">
        <f>IF(M17="","",DEGREES(ATAN2(-AE17,AD17)))</f>
        <v>56.515636134138873</v>
      </c>
      <c r="AK17" s="635">
        <f>IF(M17="","",(COS(RADIANS((90-$Q$8)-W17))*AD17)+(-SIN(RADIANS((90-$Q$8)-W17))*AE17))</f>
        <v>0.85861647601342006</v>
      </c>
      <c r="AL17" s="629">
        <f>IF(M17="","",(SIN(RADIANS((90-$Q$8)-W17))*AD17)+(COS(RADIANS((90-$Q$8)-W17))*AE17))</f>
        <v>-0.50443977103951143</v>
      </c>
      <c r="AM17" s="634">
        <f>IF(M17="","",AF17)</f>
        <v>-9.1204520238316267E-2</v>
      </c>
      <c r="AN17" s="581">
        <f>IF(M17="","",DEGREES(ATAN2(-AM17,AL17)))</f>
        <v>-79.751435317291353</v>
      </c>
      <c r="AO17" s="582">
        <f t="shared" si="94"/>
        <v>30.838405991885818</v>
      </c>
      <c r="AP17" s="585">
        <f>IF(M17="","",DEGREES(ATAN2(AK17,AL17)))</f>
        <v>-30.434364306226559</v>
      </c>
      <c r="AQ17" s="586">
        <f t="shared" si="9"/>
        <v>0.48147040965083693</v>
      </c>
      <c r="AS17" s="52">
        <f t="shared" si="116"/>
        <v>-2.7899995971739031</v>
      </c>
      <c r="AT17" s="72">
        <f t="shared" si="10"/>
        <v>-2.737990208916778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1.125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1313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0.90195236209422303</v>
      </c>
      <c r="C18" s="708">
        <v>1.5634877150419941</v>
      </c>
      <c r="D18" s="709">
        <v>-0.26850882127777398</v>
      </c>
      <c r="E18" s="710">
        <v>-0.10815453762387729</v>
      </c>
      <c r="F18" s="708">
        <v>-0.18747983667828005</v>
      </c>
      <c r="G18" s="711">
        <v>0.97629601393760224</v>
      </c>
      <c r="H18" s="710">
        <v>0.26250000000000001</v>
      </c>
      <c r="I18" s="708">
        <v>0.40699999999999997</v>
      </c>
      <c r="J18" s="570">
        <v>1.2070000000000001</v>
      </c>
      <c r="K18" s="865" t="str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Inactive</v>
      </c>
      <c r="L18" s="779" t="s">
        <v>331</v>
      </c>
      <c r="M18" s="168">
        <f t="shared" si="1"/>
        <v>1.2070000000000001</v>
      </c>
      <c r="N18" s="632">
        <f t="shared" si="2"/>
        <v>0.90195236209422303</v>
      </c>
      <c r="O18" s="629">
        <f t="shared" si="3"/>
        <v>1.5634877150419941</v>
      </c>
      <c r="P18" s="633">
        <f t="shared" si="4"/>
        <v>-0.26850882127777398</v>
      </c>
      <c r="Q18" s="585">
        <f t="shared" si="113"/>
        <v>60.020004328575823</v>
      </c>
      <c r="R18" s="629">
        <f>IF(M18="","",SQRT(N18^2+O18^2))</f>
        <v>1.8049963707926353</v>
      </c>
      <c r="S18" s="634">
        <f>IF(M18="","",P18)</f>
        <v>-0.26850882127777398</v>
      </c>
      <c r="T18" s="635">
        <f>IF(M18="","",X18*COS(RADIANS(W18)))</f>
        <v>1.5675645326470655</v>
      </c>
      <c r="U18" s="629">
        <f>IF(M18="","",X18*SIN(RADIANS(W18)))</f>
        <v>-0.89484821872850129</v>
      </c>
      <c r="V18" s="636">
        <f>IF(M18="","",Y18)</f>
        <v>-0.26850882127777398</v>
      </c>
      <c r="W18" s="585">
        <f t="shared" si="224"/>
        <v>330.28000429103651</v>
      </c>
      <c r="X18" s="629">
        <f>IF(M18="","",R18)</f>
        <v>1.8049963707926353</v>
      </c>
      <c r="Y18" s="630">
        <f t="shared" si="223"/>
        <v>-0.26850882127777398</v>
      </c>
      <c r="Z18" s="632">
        <f t="shared" si="6"/>
        <v>0.10815453762387729</v>
      </c>
      <c r="AA18" s="629">
        <f t="shared" si="7"/>
        <v>0.18747983667828005</v>
      </c>
      <c r="AB18" s="629">
        <f t="shared" si="8"/>
        <v>-0.97629601393760224</v>
      </c>
      <c r="AC18" s="636">
        <f>IF(M18="","",SQRT(Z18^2+AA18^2+AB18^2))</f>
        <v>1</v>
      </c>
      <c r="AD18" s="637">
        <f>IF(M18="","",Z18*(1/SQRT(Z18^2+AA18^2+AB18^2)))</f>
        <v>0.10815453762387729</v>
      </c>
      <c r="AE18" s="629">
        <f>IF(M18="","",AA18*(1/SQRT(Z18^2+AA18^2+AB18^2)))</f>
        <v>0.18747983667828005</v>
      </c>
      <c r="AF18" s="633">
        <f>IF(M18="","",AB18*(1/SQRT(Z18^2+AA18^2+AB18^2)))</f>
        <v>-0.97629601393760224</v>
      </c>
      <c r="AG18" s="602">
        <f>IF(M18="","",DEGREES(ATAN2(-AF18,AE18)))</f>
        <v>10.870280054851065</v>
      </c>
      <c r="AH18" s="603">
        <f>IF(M18="","",DEGREES(ACOS(AD18)))</f>
        <v>83.791056343859708</v>
      </c>
      <c r="AI18" s="585">
        <f>IF(M18="","",DEGREES(-ACOS(-AF18)))</f>
        <v>-12.499998195230186</v>
      </c>
      <c r="AJ18" s="586">
        <f>IF(M18="","",DEGREES(ATAN2(-AE18,AD18)))</f>
        <v>150.01994429154283</v>
      </c>
      <c r="AK18" s="635">
        <f>IF(M18="","",(COS(RADIANS((90-$Q$8)-W18))*AD18)+(-SIN(RADIANS((90-$Q$8)-W18))*AE18))</f>
        <v>2.2679489684873655E-7</v>
      </c>
      <c r="AL18" s="629">
        <f>IF(M18="","",(SIN(RADIANS((90-$Q$8)-W18))*AD18)+(COS(RADIANS((90-$Q$8)-W18))*AE18))</f>
        <v>0.21643958318546497</v>
      </c>
      <c r="AM18" s="634">
        <f>IF(M18="","",AF18)</f>
        <v>-0.97629601393760224</v>
      </c>
      <c r="AN18" s="581">
        <f>IF(M18="","",DEGREES(ATAN2(-AM18,AL18)))</f>
        <v>12.499998195223556</v>
      </c>
      <c r="AO18" s="582">
        <f t="shared" si="94"/>
        <v>0</v>
      </c>
      <c r="AP18" s="585">
        <f>IF(M18="","",DEGREES(ATAN2(AK18,AL18)))</f>
        <v>89.999939962966977</v>
      </c>
      <c r="AQ18" s="586">
        <f t="shared" si="9"/>
        <v>1.2628044682640394</v>
      </c>
      <c r="AS18" s="52">
        <f t="shared" si="116"/>
        <v>-29.719995708963495</v>
      </c>
      <c r="AT18" s="72">
        <f t="shared" si="10"/>
        <v>-0.24768937983928499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Nose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1.2070000000000001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1.107</v>
      </c>
      <c r="II18" s="734" cm="1">
        <f t="array" ref="II18">IFERROR(ROUND(VALUE(IF($IH18&lt;1,$IH18+LARGE((IF($M$9:$M$150="",0,$M$9:$M$150)-MOD(IF($M$9:$M$150="",0,$M$9:$M$150),1)),1),$IH18)),4),"")</f>
        <v>1.107</v>
      </c>
      <c r="IJ18" s="533">
        <f t="shared" si="112"/>
        <v>1613</v>
      </c>
      <c r="IK18" s="533" t="str">
        <f t="shared" si="66"/>
        <v>Inactive</v>
      </c>
      <c r="IL18" s="727">
        <f t="shared" si="225"/>
        <v>29.979995671424149</v>
      </c>
      <c r="IM18" s="759">
        <v>4.6833364101601202E-2</v>
      </c>
      <c r="IN18" s="5">
        <f t="shared" si="226"/>
        <v>0.7</v>
      </c>
      <c r="IO18" s="771">
        <v>350</v>
      </c>
      <c r="IP18" s="9">
        <f t="shared" si="227"/>
        <v>-1.8134054692308954</v>
      </c>
      <c r="IQ18" s="5">
        <f t="shared" si="228"/>
        <v>-0.24980075339907226</v>
      </c>
      <c r="IR18" s="5">
        <f t="shared" si="71"/>
        <v>0.314</v>
      </c>
      <c r="IS18" s="5">
        <f t="shared" si="229"/>
        <v>0.30330071252667312</v>
      </c>
      <c r="IT18" s="727">
        <f t="shared" si="230"/>
        <v>-12.499998195223558</v>
      </c>
      <c r="IU18" s="9">
        <f t="shared" si="231"/>
        <v>-1.8049963707926353</v>
      </c>
      <c r="IV18" s="5">
        <f t="shared" si="232"/>
        <v>-0.26850882127777398</v>
      </c>
      <c r="IW18" s="5">
        <f t="shared" si="76"/>
        <v>0.26250000000000001</v>
      </c>
      <c r="IX18" s="5">
        <f t="shared" si="233"/>
        <v>0.26250000000000001</v>
      </c>
      <c r="IY18" s="762">
        <f t="shared" si="234"/>
        <v>-12.499998195223556</v>
      </c>
    </row>
    <row r="19" spans="1:269" ht="15" customHeight="1" thickBot="1" x14ac:dyDescent="0.3">
      <c r="A19" s="79"/>
      <c r="B19" s="707">
        <v>0.90488105357327664</v>
      </c>
      <c r="C19" s="708">
        <v>2.4253751762514173</v>
      </c>
      <c r="D19" s="709">
        <v>-8.8634924244932273E-2</v>
      </c>
      <c r="E19" s="710">
        <v>-3.8054985332373489E-2</v>
      </c>
      <c r="F19" s="708">
        <v>-0.10199907412614098</v>
      </c>
      <c r="G19" s="711">
        <v>0.99405633993690867</v>
      </c>
      <c r="H19" s="710">
        <v>0.26250000000000001</v>
      </c>
      <c r="I19" s="708">
        <v>0.40699999999999997</v>
      </c>
      <c r="J19" s="570">
        <v>1.21</v>
      </c>
      <c r="K19" s="865" t="str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Inactive</v>
      </c>
      <c r="L19" s="775" t="s">
        <v>366</v>
      </c>
      <c r="M19" s="168">
        <f t="shared" si="1"/>
        <v>1.21</v>
      </c>
      <c r="N19" s="632">
        <f t="shared" si="2"/>
        <v>0.90488105357327664</v>
      </c>
      <c r="O19" s="629">
        <f t="shared" si="3"/>
        <v>2.4253751762514173</v>
      </c>
      <c r="P19" s="633">
        <f t="shared" si="4"/>
        <v>-8.8634924244932273E-2</v>
      </c>
      <c r="Q19" s="585">
        <f t="shared" si="113"/>
        <v>69.540002954058082</v>
      </c>
      <c r="R19" s="629">
        <f>IF(M19="","",SQRT(N19^2+O19^2))</f>
        <v>2.5886781311496563</v>
      </c>
      <c r="S19" s="634">
        <f>IF(M19="","",P19)</f>
        <v>-8.8634924244932273E-2</v>
      </c>
      <c r="T19" s="635">
        <f>IF(M19="","",X19*COS(RADIANS(W19)))</f>
        <v>2.4294564097545219</v>
      </c>
      <c r="U19" s="629">
        <f>IF(M19="","",X19*SIN(RADIANS(W19)))</f>
        <v>-0.89386577280660318</v>
      </c>
      <c r="V19" s="636">
        <f>IF(M19="","",Y19)</f>
        <v>-8.8634924244932273E-2</v>
      </c>
      <c r="W19" s="585">
        <f t="shared" si="224"/>
        <v>339.80000291651874</v>
      </c>
      <c r="X19" s="629">
        <f>IF(M19="","",R19)</f>
        <v>2.5886781311496563</v>
      </c>
      <c r="Y19" s="630">
        <f t="shared" si="223"/>
        <v>-8.8634924244932273E-2</v>
      </c>
      <c r="Z19" s="632">
        <f t="shared" si="6"/>
        <v>3.8054985332373489E-2</v>
      </c>
      <c r="AA19" s="629">
        <f t="shared" si="7"/>
        <v>0.10199907412614098</v>
      </c>
      <c r="AB19" s="629">
        <f t="shared" si="8"/>
        <v>-0.99405633993690867</v>
      </c>
      <c r="AC19" s="636">
        <f>IF(M19="","",SQRT(Z19^2+AA19^2+AB19^2))</f>
        <v>1</v>
      </c>
      <c r="AD19" s="637">
        <f>IF(M19="","",Z19*(1/SQRT(Z19^2+AA19^2+AB19^2)))</f>
        <v>3.8054985332373489E-2</v>
      </c>
      <c r="AE19" s="629">
        <f>IF(M19="","",AA19*(1/SQRT(Z19^2+AA19^2+AB19^2)))</f>
        <v>0.10199907412614098</v>
      </c>
      <c r="AF19" s="633">
        <f>IF(M19="","",AB19*(1/SQRT(Z19^2+AA19^2+AB19^2)))</f>
        <v>-0.99405633993690867</v>
      </c>
      <c r="AG19" s="602">
        <f>IF(M19="","",DEGREES(ATAN2(-AF19,AE19)))</f>
        <v>5.8585562137345102</v>
      </c>
      <c r="AH19" s="603">
        <f>IF(M19="","",DEGREES(ACOS(AD19)))</f>
        <v>87.819083340864438</v>
      </c>
      <c r="AI19" s="585">
        <f>IF(M19="","",DEGREES(-ACOS(-AF19)))</f>
        <v>-6.2499990976252064</v>
      </c>
      <c r="AJ19" s="586">
        <f>IF(M19="","",DEGREES(ATAN2(-AE19,AD19)))</f>
        <v>159.53988359367153</v>
      </c>
      <c r="AK19" s="635">
        <f>IF(M19="","",(COS(RADIANS((90-$Q$8)-W19))*AD19)+(-SIN(RADIANS((90-$Q$8)-W19))*AE19))</f>
        <v>2.2679489662669194E-7</v>
      </c>
      <c r="AL19" s="629">
        <f>IF(M19="","",(SIN(RADIANS((90-$Q$8)-W19))*AD19)+(COS(RADIANS((90-$Q$8)-W19))*AE19))</f>
        <v>0.1088668591959267</v>
      </c>
      <c r="AM19" s="634">
        <f>IF(M19="","",AF19)</f>
        <v>-0.99405633993690867</v>
      </c>
      <c r="AN19" s="581">
        <f>IF(M19="","",DEGREES(ATAN2(-AM19,AL19)))</f>
        <v>6.2499990976117763</v>
      </c>
      <c r="AO19" s="582">
        <f t="shared" si="94"/>
        <v>0</v>
      </c>
      <c r="AP19" s="585">
        <f>IF(M19="","",DEGREES(ATAN2(AK19,AL19)))</f>
        <v>89.999880639613494</v>
      </c>
      <c r="AQ19" s="586">
        <f t="shared" si="9"/>
        <v>0.88058345479656774</v>
      </c>
      <c r="AS19" s="52">
        <f t="shared" si="116"/>
        <v>-20.199997083481264</v>
      </c>
      <c r="AT19" s="72">
        <f t="shared" si="10"/>
        <v>-7.4426592963028157E-2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Nose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1.21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1.1100000000000001</v>
      </c>
      <c r="II19" s="734" cm="1">
        <f t="array" ref="II19">IFERROR(ROUND(VALUE(IF($IH19&lt;1,$IH19+LARGE((IF($M$9:$M$150="",0,$M$9:$M$150)-MOD(IF($M$9:$M$150="",0,$M$9:$M$150),1)),1),$IH19)),4),"")</f>
        <v>1.1100000000000001</v>
      </c>
      <c r="IJ19" s="533">
        <f t="shared" si="112"/>
        <v>1613</v>
      </c>
      <c r="IK19" s="533" t="str">
        <f t="shared" si="66"/>
        <v>Inactive</v>
      </c>
      <c r="IL19" s="727">
        <f t="shared" si="225"/>
        <v>20.199997083481264</v>
      </c>
      <c r="IM19" s="759">
        <v>4.4688845824578299E-2</v>
      </c>
      <c r="IN19" s="5">
        <f t="shared" si="226"/>
        <v>0.78</v>
      </c>
      <c r="IO19" s="771">
        <v>390</v>
      </c>
      <c r="IP19" s="9">
        <f t="shared" si="227"/>
        <v>-2.592907820209986</v>
      </c>
      <c r="IQ19" s="5">
        <f t="shared" si="228"/>
        <v>-8.4200253947965903E-2</v>
      </c>
      <c r="IR19" s="5">
        <f t="shared" si="71"/>
        <v>0.314</v>
      </c>
      <c r="IS19" s="5">
        <f t="shared" si="229"/>
        <v>0.30311223663836495</v>
      </c>
      <c r="IT19" s="727">
        <f t="shared" si="230"/>
        <v>1.5101158372130812</v>
      </c>
      <c r="IU19" s="9">
        <f t="shared" si="231"/>
        <v>-2.5886781311496563</v>
      </c>
      <c r="IV19" s="5">
        <f t="shared" si="232"/>
        <v>-8.8634924244932273E-2</v>
      </c>
      <c r="IW19" s="5">
        <f t="shared" si="76"/>
        <v>0.26250000000000001</v>
      </c>
      <c r="IX19" s="5">
        <f t="shared" si="233"/>
        <v>0.26250000000000001</v>
      </c>
      <c r="IY19" s="762">
        <f t="shared" si="234"/>
        <v>-6.2499990976117763</v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707">
        <v>0.84018307616532528</v>
      </c>
      <c r="C20" s="708">
        <v>3.2937680714232398</v>
      </c>
      <c r="D20" s="709">
        <v>-0.11474552630897998</v>
      </c>
      <c r="E20" s="710">
        <v>-0.83655888090185493</v>
      </c>
      <c r="F20" s="708">
        <v>0.37717123433910771</v>
      </c>
      <c r="G20" s="711">
        <v>0.39738029489564552</v>
      </c>
      <c r="H20" s="710">
        <v>0.26600000000000001</v>
      </c>
      <c r="I20" s="708">
        <v>0.52</v>
      </c>
      <c r="J20" s="570">
        <v>1.2130000000000001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>
        <f>IF($L19=$JH$22,$JH$30,IF($L19=$JI$22,$JI$30,""))</f>
        <v>330</v>
      </c>
      <c r="M20" s="168">
        <f t="shared" si="1"/>
        <v>1.2130000000000001</v>
      </c>
      <c r="N20" s="632">
        <f t="shared" si="2"/>
        <v>0.84018307616532528</v>
      </c>
      <c r="O20" s="629">
        <f t="shared" si="3"/>
        <v>3.2937680714232398</v>
      </c>
      <c r="P20" s="633">
        <f t="shared" si="4"/>
        <v>-0.11474552630897998</v>
      </c>
      <c r="Q20" s="585">
        <f t="shared" si="113"/>
        <v>75.690002066108079</v>
      </c>
      <c r="R20" s="629">
        <f>IF(M20="","",SQRT(N20^2+O20^2))</f>
        <v>3.3992375188859336</v>
      </c>
      <c r="S20" s="634">
        <f>IF(M20="","",P20)</f>
        <v>-0.11474552630897998</v>
      </c>
      <c r="T20" s="635">
        <f>IF(M20="","",X20*COS(RADIANS(W20)))</f>
        <v>3.2975467748527421</v>
      </c>
      <c r="U20" s="629">
        <f>IF(M20="","",X20*SIN(RADIANS(W20)))</f>
        <v>-0.82522783366781705</v>
      </c>
      <c r="V20" s="636">
        <f>IF(M20="","",Y20)</f>
        <v>-0.11474552630897998</v>
      </c>
      <c r="W20" s="585">
        <f t="shared" si="224"/>
        <v>345.95000202856875</v>
      </c>
      <c r="X20" s="629">
        <f>IF(M20="","",R20)</f>
        <v>3.3992375188859336</v>
      </c>
      <c r="Y20" s="630">
        <f t="shared" si="223"/>
        <v>-0.11474552630897998</v>
      </c>
      <c r="Z20" s="632">
        <f t="shared" si="6"/>
        <v>0.83655888090185493</v>
      </c>
      <c r="AA20" s="629">
        <f t="shared" si="7"/>
        <v>-0.37717123433910771</v>
      </c>
      <c r="AB20" s="629">
        <f t="shared" si="8"/>
        <v>-0.39738029489564552</v>
      </c>
      <c r="AC20" s="636">
        <f>IF(M20="","",SQRT(Z20^2+AA20^2+AB20^2))</f>
        <v>1</v>
      </c>
      <c r="AD20" s="637">
        <f>IF(M20="","",Z20*(1/SQRT(Z20^2+AA20^2+AB20^2)))</f>
        <v>0.83655888090185493</v>
      </c>
      <c r="AE20" s="629">
        <f>IF(M20="","",AA20*(1/SQRT(Z20^2+AA20^2+AB20^2)))</f>
        <v>-0.37717123433910771</v>
      </c>
      <c r="AF20" s="633">
        <f>IF(M20="","",AB20*(1/SQRT(Z20^2+AA20^2+AB20^2)))</f>
        <v>-0.39738029489564552</v>
      </c>
      <c r="AG20" s="602">
        <f>IF(M20="","",DEGREES(ATAN2(-AF20,AE20)))</f>
        <v>-43.505417401466573</v>
      </c>
      <c r="AH20" s="603">
        <f>IF(M20="","",DEGREES(ACOS(AD20)))</f>
        <v>33.221489840880359</v>
      </c>
      <c r="AI20" s="585">
        <f>IF(M20="","",DEGREES(-ACOS(-AF20)))</f>
        <v>-66.585490116061763</v>
      </c>
      <c r="AJ20" s="586">
        <f>IF(M20="","",DEGREES(ATAN2(-AE20,AD20)))</f>
        <v>65.73127434294922</v>
      </c>
      <c r="AK20" s="635">
        <f>IF(M20="","",(COS(RADIANS((90-$Q$8)-W20))*AD20)+(-SIN(RADIANS((90-$Q$8)-W20))*AE20))</f>
        <v>0.9038273444025513</v>
      </c>
      <c r="AL20" s="629">
        <f>IF(M20="","",(SIN(RADIANS((90-$Q$8)-W20))*AD20)+(COS(RADIANS((90-$Q$8)-W20))*AE20))</f>
        <v>-0.15869792922052228</v>
      </c>
      <c r="AM20" s="634">
        <f>IF(M20="","",AF20)</f>
        <v>-0.39738029489564552</v>
      </c>
      <c r="AN20" s="581">
        <f>IF(M20="","",DEGREES(ATAN2(-AM20,AL20)))</f>
        <v>-21.769807791147105</v>
      </c>
      <c r="AO20" s="582">
        <f t="shared" si="94"/>
        <v>25.334193732479825</v>
      </c>
      <c r="AP20" s="585">
        <f>IF(M20="","",DEGREES(ATAN2(AK20,AL20)))</f>
        <v>-9.9587277231588676</v>
      </c>
      <c r="AQ20" s="586">
        <f t="shared" si="9"/>
        <v>0.67062760737771254</v>
      </c>
      <c r="AS20" s="52">
        <f t="shared" si="116"/>
        <v>-14.049997971431253</v>
      </c>
      <c r="AT20" s="72">
        <f t="shared" si="10"/>
        <v>-0.10480802774377726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Nose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1.2130000000000001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1.113</v>
      </c>
      <c r="II20" s="734" cm="1">
        <f t="array" ref="II20">IFERROR(ROUND(VALUE(IF($IH20&lt;1,$IH20+LARGE((IF($M$9:$M$150="",0,$M$9:$M$150)-MOD(IF($M$9:$M$150="",0,$M$9:$M$150),1)),1),$IH20)),4),"")</f>
        <v>1.113</v>
      </c>
      <c r="IJ20" s="533">
        <f t="shared" si="112"/>
        <v>1613</v>
      </c>
      <c r="IK20" s="533">
        <f t="shared" si="66"/>
        <v>1313</v>
      </c>
      <c r="IL20" s="727">
        <f t="shared" si="225"/>
        <v>13.219998091268394</v>
      </c>
      <c r="IM20" s="759">
        <v>1.7956697705016601E-2</v>
      </c>
      <c r="IN20" s="5">
        <f t="shared" si="226"/>
        <v>0.46</v>
      </c>
      <c r="IO20" s="771">
        <v>230</v>
      </c>
      <c r="IP20" s="9">
        <f t="shared" si="227"/>
        <v>-3.386510213714804</v>
      </c>
      <c r="IQ20" s="5">
        <f t="shared" si="228"/>
        <v>-0.15720047411662993</v>
      </c>
      <c r="IR20" s="5">
        <f t="shared" si="71"/>
        <v>0.314</v>
      </c>
      <c r="IS20" s="5">
        <f t="shared" si="229"/>
        <v>0.30247061034488915</v>
      </c>
      <c r="IT20" s="727">
        <f t="shared" si="230"/>
        <v>27.804077555329169</v>
      </c>
      <c r="IU20" s="9">
        <f t="shared" si="231"/>
        <v>-3.3992375188859336</v>
      </c>
      <c r="IV20" s="5">
        <f t="shared" si="232"/>
        <v>-0.11474552630897998</v>
      </c>
      <c r="IW20" s="5">
        <f t="shared" si="76"/>
        <v>0.26600000000000001</v>
      </c>
      <c r="IX20" s="5">
        <f t="shared" si="233"/>
        <v>0.24041807361107867</v>
      </c>
      <c r="IY20" s="762">
        <f t="shared" si="234"/>
        <v>21.769807791147105</v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707">
        <v>0.95846538336320952</v>
      </c>
      <c r="C21" s="708">
        <v>3.9892288581012609</v>
      </c>
      <c r="D21" s="709">
        <v>-0.52539458142014506</v>
      </c>
      <c r="E21" s="710">
        <v>-0.80698580677859633</v>
      </c>
      <c r="F21" s="708">
        <v>0.49983706688947477</v>
      </c>
      <c r="G21" s="711">
        <v>0.31454222963097445</v>
      </c>
      <c r="H21" s="710">
        <v>0.26600000000000001</v>
      </c>
      <c r="I21" s="708">
        <v>0.52</v>
      </c>
      <c r="J21" s="570">
        <v>1.216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1313</v>
      </c>
      <c r="L21" s="776" t="s">
        <v>367</v>
      </c>
      <c r="M21" s="168">
        <f t="shared" si="1"/>
        <v>1.216</v>
      </c>
      <c r="N21" s="632">
        <f t="shared" si="2"/>
        <v>0.95846538336320952</v>
      </c>
      <c r="O21" s="629">
        <f t="shared" si="3"/>
        <v>3.9892288581012609</v>
      </c>
      <c r="P21" s="633">
        <f t="shared" si="4"/>
        <v>-0.52539458142014506</v>
      </c>
      <c r="Q21" s="585">
        <f t="shared" si="113"/>
        <v>76.490001950602377</v>
      </c>
      <c r="R21" s="629">
        <f>IF(M21="","",SQRT(N21^2+O21^2))</f>
        <v>4.1027555098267152</v>
      </c>
      <c r="S21" s="634">
        <f>IF(M21="","",P21)</f>
        <v>-0.52539458142014506</v>
      </c>
      <c r="T21" s="635">
        <f>IF(M21="","",X21*COS(RADIANS(W21)))</f>
        <v>3.9935371471973307</v>
      </c>
      <c r="U21" s="629">
        <f>IF(M21="","",X21*SIN(RADIANS(W21)))</f>
        <v>-0.94035303337016751</v>
      </c>
      <c r="V21" s="636">
        <f>IF(M21="","",Y21)</f>
        <v>-0.52539458142014506</v>
      </c>
      <c r="W21" s="585">
        <f t="shared" si="224"/>
        <v>346.75000191306304</v>
      </c>
      <c r="X21" s="629">
        <f>IF(M21="","",R21)</f>
        <v>4.1027555098267152</v>
      </c>
      <c r="Y21" s="630">
        <f t="shared" si="223"/>
        <v>-0.52539458142014506</v>
      </c>
      <c r="Z21" s="632">
        <f t="shared" si="6"/>
        <v>0.80698580677859633</v>
      </c>
      <c r="AA21" s="629">
        <f t="shared" si="7"/>
        <v>-0.49983706688947477</v>
      </c>
      <c r="AB21" s="629">
        <f t="shared" si="8"/>
        <v>-0.31454222963097445</v>
      </c>
      <c r="AC21" s="636">
        <f>IF(M21="","",SQRT(Z21^2+AA21^2+AB21^2))</f>
        <v>1</v>
      </c>
      <c r="AD21" s="637">
        <f>IF(M21="","",Z21*(1/SQRT(Z21^2+AA21^2+AB21^2)))</f>
        <v>0.80698580677859633</v>
      </c>
      <c r="AE21" s="629">
        <f>IF(M21="","",AA21*(1/SQRT(Z21^2+AA21^2+AB21^2)))</f>
        <v>-0.49983706688947477</v>
      </c>
      <c r="AF21" s="633">
        <f>IF(M21="","",AB21*(1/SQRT(Z21^2+AA21^2+AB21^2)))</f>
        <v>-0.31454222963097445</v>
      </c>
      <c r="AG21" s="602">
        <f>IF(M21="","",DEGREES(ATAN2(-AF21,AE21)))</f>
        <v>-57.818222789173817</v>
      </c>
      <c r="AH21" s="603">
        <f>IF(M21="","",DEGREES(ACOS(AD21)))</f>
        <v>36.197526644029679</v>
      </c>
      <c r="AI21" s="585">
        <f>IF(M21="","",DEGREES(-ACOS(-AF21)))</f>
        <v>-71.666819166037214</v>
      </c>
      <c r="AJ21" s="586">
        <f>IF(M21="","",DEGREES(ATAN2(-AE21,AD21)))</f>
        <v>58.22643603157411</v>
      </c>
      <c r="AK21" s="635">
        <f>IF(M21="","",(COS(RADIANS((90-$Q$8)-W21))*AD21)+(-SIN(RADIANS((90-$Q$8)-W21))*AE21))</f>
        <v>0.9014252946724749</v>
      </c>
      <c r="AL21" s="629">
        <f>IF(M21="","",(SIN(RADIANS((90-$Q$8)-W21))*AD21)+(COS(RADIANS((90-$Q$8)-W21))*AE21))</f>
        <v>-0.29748214047807503</v>
      </c>
      <c r="AM21" s="634">
        <f>IF(M21="","",AF21)</f>
        <v>-0.31454222963097445</v>
      </c>
      <c r="AN21" s="581">
        <f>IF(M21="","",DEGREES(ATAN2(-AM21,AL21)))</f>
        <v>-43.403302049990792</v>
      </c>
      <c r="AO21" s="582">
        <f>IF(ROUND(IF(M21="",0,DEGREES(ACOS(AK21))),4)=90,0,IF(M21="","",DEGREES(ACOS(AK21))))</f>
        <v>25.653947067682804</v>
      </c>
      <c r="AP21" s="585">
        <f>IF(M21="","",DEGREES(ATAN2(AK21,AL21)))</f>
        <v>-18.263565919028277</v>
      </c>
      <c r="AQ21" s="586">
        <f t="shared" si="9"/>
        <v>0.55564002276420155</v>
      </c>
      <c r="AS21" s="52">
        <f t="shared" si="116"/>
        <v>-13.249998086936955</v>
      </c>
      <c r="AT21" s="72">
        <f t="shared" si="10"/>
        <v>-0.51601263833028566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Taper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1.216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1.1160000000000001</v>
      </c>
      <c r="II21" s="734" cm="1">
        <f t="array" ref="II21">IFERROR(ROUND(VALUE(IF($IH21&lt;1,$IH21+LARGE((IF($M$9:$M$150="",0,$M$9:$M$150)-MOD(IF($M$9:$M$150="",0,$M$9:$M$150),1)),1),$IH21)),4),"")</f>
        <v>1.1160000000000001</v>
      </c>
      <c r="IJ21" s="533">
        <f t="shared" si="112"/>
        <v>1613</v>
      </c>
      <c r="IK21" s="533">
        <f t="shared" si="66"/>
        <v>1313</v>
      </c>
      <c r="IL21" s="727">
        <f t="shared" si="225"/>
        <v>11.479998342493332</v>
      </c>
      <c r="IM21" s="759">
        <v>1.33940804961959E-2</v>
      </c>
      <c r="IN21" s="5">
        <f t="shared" si="226"/>
        <v>0.44</v>
      </c>
      <c r="IO21" s="771">
        <v>220</v>
      </c>
      <c r="IP21" s="9">
        <f t="shared" si="227"/>
        <v>-4.0721122814906403</v>
      </c>
      <c r="IQ21" s="5">
        <f t="shared" si="228"/>
        <v>-0.5635016995211255</v>
      </c>
      <c r="IR21" s="5">
        <f t="shared" si="71"/>
        <v>0.314</v>
      </c>
      <c r="IS21" s="5">
        <f t="shared" si="229"/>
        <v>0.30166675167383372</v>
      </c>
      <c r="IT21" s="727">
        <f t="shared" si="230"/>
        <v>51.48380007931695</v>
      </c>
      <c r="IU21" s="9">
        <f t="shared" si="231"/>
        <v>-4.1027555098267152</v>
      </c>
      <c r="IV21" s="5">
        <f t="shared" si="232"/>
        <v>-0.52539458142014506</v>
      </c>
      <c r="IW21" s="5">
        <f t="shared" si="76"/>
        <v>0.26600000000000001</v>
      </c>
      <c r="IX21" s="5">
        <f t="shared" si="233"/>
        <v>0.23977912838287835</v>
      </c>
      <c r="IY21" s="762">
        <f t="shared" si="234"/>
        <v>43.403302049990792</v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707">
        <v>1.0525402739826013</v>
      </c>
      <c r="C22" s="708">
        <v>4.4352674700515422</v>
      </c>
      <c r="D22" s="709">
        <v>-1.192183069164368</v>
      </c>
      <c r="E22" s="710">
        <v>-0.78057081182178722</v>
      </c>
      <c r="F22" s="708">
        <v>0.57434912484596989</v>
      </c>
      <c r="G22" s="711">
        <v>0.24664202910401259</v>
      </c>
      <c r="H22" s="710">
        <v>0.26600000000000001</v>
      </c>
      <c r="I22" s="708">
        <v>0.52</v>
      </c>
      <c r="J22" s="570">
        <v>1.2190000000000001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873" t="str">
        <f>IF($L21=$JH$22,$JH$30,IF($L21=$JI$22,$JI$30,""))</f>
        <v/>
      </c>
      <c r="M22" s="168">
        <f t="shared" si="1"/>
        <v>1.2190000000000001</v>
      </c>
      <c r="N22" s="632">
        <f t="shared" si="2"/>
        <v>1.0525402739826013</v>
      </c>
      <c r="O22" s="629">
        <f t="shared" si="3"/>
        <v>4.4352674700515422</v>
      </c>
      <c r="P22" s="633">
        <f t="shared" si="4"/>
        <v>-1.192183069164368</v>
      </c>
      <c r="Q22" s="585">
        <f t="shared" si="113"/>
        <v>76.650001927501251</v>
      </c>
      <c r="R22" s="629">
        <f t="shared" si="79"/>
        <v>4.558446945973242</v>
      </c>
      <c r="S22" s="634">
        <f t="shared" si="80"/>
        <v>-1.192183069164368</v>
      </c>
      <c r="T22" s="635">
        <f t="shared" si="81"/>
        <v>4.4399980634978675</v>
      </c>
      <c r="U22" s="629">
        <f t="shared" si="82"/>
        <v>-1.0324029036127143</v>
      </c>
      <c r="V22" s="636">
        <f t="shared" si="114"/>
        <v>-1.192183069164368</v>
      </c>
      <c r="W22" s="585">
        <f t="shared" si="224"/>
        <v>346.9100018899619</v>
      </c>
      <c r="X22" s="629">
        <f t="shared" si="83"/>
        <v>4.558446945973242</v>
      </c>
      <c r="Y22" s="630">
        <f t="shared" si="223"/>
        <v>-1.192183069164368</v>
      </c>
      <c r="Z22" s="632">
        <f t="shared" si="6"/>
        <v>0.78057081182178722</v>
      </c>
      <c r="AA22" s="629">
        <f t="shared" si="7"/>
        <v>-0.57434912484596989</v>
      </c>
      <c r="AB22" s="629">
        <f t="shared" si="8"/>
        <v>-0.24664202910401259</v>
      </c>
      <c r="AC22" s="636">
        <f t="shared" si="84"/>
        <v>1</v>
      </c>
      <c r="AD22" s="637">
        <f t="shared" si="115"/>
        <v>0.78057081182178722</v>
      </c>
      <c r="AE22" s="629">
        <f t="shared" si="85"/>
        <v>-0.57434912484596989</v>
      </c>
      <c r="AF22" s="633">
        <f t="shared" si="86"/>
        <v>-0.24664202910401259</v>
      </c>
      <c r="AG22" s="602">
        <f t="shared" si="87"/>
        <v>-66.759923481609476</v>
      </c>
      <c r="AH22" s="603">
        <f t="shared" si="88"/>
        <v>38.687131856625207</v>
      </c>
      <c r="AI22" s="585">
        <f t="shared" si="89"/>
        <v>-75.72110666964771</v>
      </c>
      <c r="AJ22" s="586">
        <f t="shared" si="90"/>
        <v>53.654121353929234</v>
      </c>
      <c r="AK22" s="635">
        <f t="shared" si="211"/>
        <v>0.89209460221187631</v>
      </c>
      <c r="AL22" s="629">
        <f t="shared" si="91"/>
        <v>-0.37859599863692389</v>
      </c>
      <c r="AM22" s="634">
        <f t="shared" si="92"/>
        <v>-0.24664202910401259</v>
      </c>
      <c r="AN22" s="581">
        <f t="shared" si="93"/>
        <v>-56.917165732184102</v>
      </c>
      <c r="AO22" s="582">
        <f t="shared" si="94"/>
        <v>26.862354707948398</v>
      </c>
      <c r="AP22" s="585">
        <f t="shared" si="95"/>
        <v>-22.995880573571988</v>
      </c>
      <c r="AQ22" s="586">
        <f t="shared" si="9"/>
        <v>0.50009767925210102</v>
      </c>
      <c r="AS22" s="52">
        <f t="shared" si="116"/>
        <v>-13.089998110038096</v>
      </c>
      <c r="AT22" s="72">
        <f t="shared" si="10"/>
        <v>-1.1829122371695773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Taper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1.2190000000000001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1.119</v>
      </c>
      <c r="II22" s="734" cm="1">
        <f t="array" ref="II22">IFERROR(ROUND(VALUE(IF($IH22&lt;1,$IH22+LARGE((IF($M$9:$M$150="",0,$M$9:$M$150)-MOD(IF($M$9:$M$150="",0,$M$9:$M$150),1)),1),$IH22)),4),"")</f>
        <v>1.119</v>
      </c>
      <c r="IJ22" s="533">
        <f t="shared" si="112"/>
        <v>1613</v>
      </c>
      <c r="IK22" s="533">
        <f t="shared" si="66"/>
        <v>1313</v>
      </c>
      <c r="IL22" s="727">
        <f t="shared" si="225"/>
        <v>10.639998463774305</v>
      </c>
      <c r="IM22" s="759">
        <v>1.0330248521319E-2</v>
      </c>
      <c r="IN22" s="5">
        <f t="shared" si="226"/>
        <v>0.42</v>
      </c>
      <c r="IO22" s="771">
        <v>210</v>
      </c>
      <c r="IP22" s="9">
        <f t="shared" si="227"/>
        <v>-4.5171136236146889</v>
      </c>
      <c r="IQ22" s="5">
        <f t="shared" si="228"/>
        <v>-1.2245036931031383</v>
      </c>
      <c r="IR22" s="5">
        <f t="shared" si="71"/>
        <v>0.314</v>
      </c>
      <c r="IS22" s="5">
        <f t="shared" si="229"/>
        <v>0.29958633557794634</v>
      </c>
      <c r="IT22" s="727">
        <f t="shared" si="230"/>
        <v>65.280905364212373</v>
      </c>
      <c r="IU22" s="9">
        <f t="shared" si="231"/>
        <v>-4.558446945973242</v>
      </c>
      <c r="IV22" s="5">
        <f t="shared" si="232"/>
        <v>-1.192183069164368</v>
      </c>
      <c r="IW22" s="5">
        <f t="shared" si="76"/>
        <v>0.26600000000000001</v>
      </c>
      <c r="IX22" s="5">
        <f t="shared" si="233"/>
        <v>0.23729716418835914</v>
      </c>
      <c r="IY22" s="762">
        <f t="shared" si="234"/>
        <v>56.917165732184102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1.1960284091143161</v>
      </c>
      <c r="C23" s="708">
        <v>4.5013279310859744</v>
      </c>
      <c r="D23" s="709">
        <v>-2.0273572630787275</v>
      </c>
      <c r="E23" s="710">
        <v>0.23273547778342346</v>
      </c>
      <c r="F23" s="708">
        <v>0.87591545068512577</v>
      </c>
      <c r="G23" s="711">
        <v>0.4226184101905579</v>
      </c>
      <c r="H23" s="710">
        <v>0.26250000000000001</v>
      </c>
      <c r="I23" s="708">
        <v>0.40699999999999997</v>
      </c>
      <c r="J23" s="570">
        <v>1.222</v>
      </c>
      <c r="K23" s="865" t="str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Inactive</v>
      </c>
      <c r="M23" s="168">
        <f t="shared" si="1"/>
        <v>1.222</v>
      </c>
      <c r="N23" s="632">
        <f t="shared" si="2"/>
        <v>1.1960284091143161</v>
      </c>
      <c r="O23" s="629">
        <f t="shared" si="3"/>
        <v>4.5013279310859744</v>
      </c>
      <c r="P23" s="633">
        <f t="shared" si="4"/>
        <v>-2.0273572630787275</v>
      </c>
      <c r="Q23" s="585">
        <f t="shared" si="113"/>
        <v>75.12</v>
      </c>
      <c r="R23" s="629">
        <f t="shared" si="79"/>
        <v>4.6575140470623664</v>
      </c>
      <c r="S23" s="634">
        <f t="shared" si="80"/>
        <v>-2.0273572630787275</v>
      </c>
      <c r="T23" s="635">
        <f t="shared" si="81"/>
        <v>4.5067089705447705</v>
      </c>
      <c r="U23" s="629">
        <f t="shared" si="82"/>
        <v>-1.1755897895926786</v>
      </c>
      <c r="V23" s="636">
        <f t="shared" si="114"/>
        <v>-2.0273572630787275</v>
      </c>
      <c r="W23" s="585">
        <f t="shared" si="224"/>
        <v>345.37999996246066</v>
      </c>
      <c r="X23" s="629">
        <f t="shared" si="83"/>
        <v>4.6575140470623664</v>
      </c>
      <c r="Y23" s="630">
        <f t="shared" si="223"/>
        <v>-2.0273572630787275</v>
      </c>
      <c r="Z23" s="632">
        <f t="shared" si="6"/>
        <v>-0.23273547778342346</v>
      </c>
      <c r="AA23" s="629">
        <f t="shared" si="7"/>
        <v>-0.87591545068512577</v>
      </c>
      <c r="AB23" s="629">
        <f t="shared" si="8"/>
        <v>-0.4226184101905579</v>
      </c>
      <c r="AC23" s="636">
        <f t="shared" si="84"/>
        <v>1</v>
      </c>
      <c r="AD23" s="637">
        <f t="shared" si="115"/>
        <v>-0.23273547778342346</v>
      </c>
      <c r="AE23" s="629">
        <f t="shared" si="85"/>
        <v>-0.87591545068512577</v>
      </c>
      <c r="AF23" s="633">
        <f t="shared" si="86"/>
        <v>-0.4226184101905579</v>
      </c>
      <c r="AG23" s="602">
        <f t="shared" si="87"/>
        <v>-64.243263559039789</v>
      </c>
      <c r="AH23" s="603">
        <f t="shared" si="88"/>
        <v>103.45817444079218</v>
      </c>
      <c r="AI23" s="585">
        <f t="shared" si="89"/>
        <v>-64.999990615163185</v>
      </c>
      <c r="AJ23" s="586">
        <f t="shared" si="90"/>
        <v>-14.879985662275471</v>
      </c>
      <c r="AK23" s="635">
        <f t="shared" si="211"/>
        <v>2.2679489675159203E-7</v>
      </c>
      <c r="AL23" s="629">
        <f t="shared" si="91"/>
        <v>-0.90630771781330099</v>
      </c>
      <c r="AM23" s="634">
        <f t="shared" si="92"/>
        <v>-0.4226184101905579</v>
      </c>
      <c r="AN23" s="581">
        <f t="shared" si="93"/>
        <v>-64.999990615162503</v>
      </c>
      <c r="AO23" s="582">
        <f t="shared" si="94"/>
        <v>0</v>
      </c>
      <c r="AP23" s="585">
        <f t="shared" si="95"/>
        <v>-89.999985662275463</v>
      </c>
      <c r="AQ23" s="586">
        <f t="shared" si="9"/>
        <v>0.48946093391555479</v>
      </c>
      <c r="AS23" s="52">
        <f t="shared" si="116"/>
        <v>-14.620000037539342</v>
      </c>
      <c r="AT23" s="72">
        <f t="shared" si="10"/>
        <v>-2.017023929745394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Taper</v>
      </c>
      <c r="IF23" s="533" t="str">
        <f>IFERROR(IF((((($IW23*COS(RADIANS(180-$IY23)))*COS(RADIANS($IY23)))-(($IX23*SIN(RADIANS(180-$IY23)))*SIN(RADIANS($IY23))))+$IU23)&lt;(((Settings!$C$19+$IF$8)/2)*-1),"Gage",""),"")</f>
        <v>Gage</v>
      </c>
      <c r="IG23" s="847">
        <f t="shared" si="210"/>
        <v>1.222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1.1220000000000001</v>
      </c>
      <c r="II23" s="734" cm="1">
        <f t="array" ref="II23">IFERROR(ROUND(VALUE(IF($IH23&lt;1,$IH23+LARGE((IF($M$9:$M$150="",0,$M$9:$M$150)-MOD(IF($M$9:$M$150="",0,$M$9:$M$150),1)),1),$IH23)),4),"")</f>
        <v>1.1220000000000001</v>
      </c>
      <c r="IJ23" s="533">
        <f t="shared" si="112"/>
        <v>1613</v>
      </c>
      <c r="IK23" s="533" t="str">
        <f t="shared" si="66"/>
        <v>Inactive</v>
      </c>
      <c r="IL23" s="727">
        <f t="shared" si="225"/>
        <v>11.98000041870813</v>
      </c>
      <c r="IM23" s="759">
        <v>1.6461075595817401E-2</v>
      </c>
      <c r="IN23" s="5">
        <f t="shared" si="226"/>
        <v>1.7</v>
      </c>
      <c r="IO23" s="771">
        <v>850</v>
      </c>
      <c r="IP23" s="9">
        <f t="shared" si="227"/>
        <v>-4.6404139954886112</v>
      </c>
      <c r="IQ23" s="5">
        <f t="shared" si="228"/>
        <v>-2.0130060712263109</v>
      </c>
      <c r="IR23" s="5">
        <f t="shared" si="71"/>
        <v>0.314</v>
      </c>
      <c r="IS23" s="5">
        <f t="shared" si="229"/>
        <v>0.29785906411201013</v>
      </c>
      <c r="IT23" s="727">
        <f t="shared" si="230"/>
        <v>88.602313887563412</v>
      </c>
      <c r="IU23" s="9">
        <f t="shared" si="231"/>
        <v>-4.6575140470623664</v>
      </c>
      <c r="IV23" s="5">
        <f t="shared" si="232"/>
        <v>-2.0273572630787275</v>
      </c>
      <c r="IW23" s="5">
        <f t="shared" si="76"/>
        <v>0.26250000000000001</v>
      </c>
      <c r="IX23" s="5">
        <f t="shared" si="233"/>
        <v>0.26250000000000001</v>
      </c>
      <c r="IY23" s="762">
        <f t="shared" si="234"/>
        <v>64.999990615162503</v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17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6</v>
      </c>
      <c r="JG23" s="801">
        <v>11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230</v>
      </c>
      <c r="JI23" s="801">
        <v>200</v>
      </c>
    </row>
    <row r="24" spans="1:269" ht="15" customHeight="1" x14ac:dyDescent="0.25">
      <c r="A24" s="79"/>
      <c r="B24" s="707">
        <v>2.602497964015118</v>
      </c>
      <c r="C24" s="708">
        <v>1.1860243196779652</v>
      </c>
      <c r="D24" s="709">
        <v>-6.9200208707829461E-2</v>
      </c>
      <c r="E24" s="710">
        <v>-0.3554705922226758</v>
      </c>
      <c r="F24" s="708">
        <v>0.89822846396396128</v>
      </c>
      <c r="G24" s="711">
        <v>0.25850780373095716</v>
      </c>
      <c r="H24" s="710">
        <v>0.314</v>
      </c>
      <c r="I24" s="708">
        <v>0.52</v>
      </c>
      <c r="J24" s="570">
        <v>2.1110000000000002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2.1110000000000002</v>
      </c>
      <c r="N24" s="632">
        <f t="shared" si="2"/>
        <v>2.602497964015118</v>
      </c>
      <c r="O24" s="629">
        <f t="shared" si="3"/>
        <v>1.1860243196779652</v>
      </c>
      <c r="P24" s="633">
        <f t="shared" si="4"/>
        <v>-6.9200208707829461E-2</v>
      </c>
      <c r="Q24" s="585">
        <f t="shared" si="113"/>
        <v>24.499957479467007</v>
      </c>
      <c r="R24" s="629">
        <f t="shared" si="79"/>
        <v>2.8600086257860156</v>
      </c>
      <c r="S24" s="634">
        <f t="shared" si="80"/>
        <v>-6.9200208707829461E-2</v>
      </c>
      <c r="T24" s="635">
        <f t="shared" si="81"/>
        <v>1.1978218272226497</v>
      </c>
      <c r="U24" s="629">
        <f t="shared" si="82"/>
        <v>-2.5970891801783407</v>
      </c>
      <c r="V24" s="636">
        <f t="shared" si="114"/>
        <v>-6.9200208707829461E-2</v>
      </c>
      <c r="W24" s="585">
        <f t="shared" si="224"/>
        <v>294.75995744192767</v>
      </c>
      <c r="X24" s="629">
        <f t="shared" si="83"/>
        <v>2.8600086257860156</v>
      </c>
      <c r="Y24" s="630">
        <f t="shared" si="223"/>
        <v>-6.9200208707829461E-2</v>
      </c>
      <c r="Z24" s="632">
        <f t="shared" si="6"/>
        <v>0.3554705922226758</v>
      </c>
      <c r="AA24" s="629">
        <f t="shared" si="7"/>
        <v>-0.89822846396396128</v>
      </c>
      <c r="AB24" s="629">
        <f t="shared" si="8"/>
        <v>-0.25850780373095716</v>
      </c>
      <c r="AC24" s="636">
        <f t="shared" si="84"/>
        <v>1</v>
      </c>
      <c r="AD24" s="637">
        <f t="shared" si="115"/>
        <v>0.3554705922226758</v>
      </c>
      <c r="AE24" s="629">
        <f t="shared" si="85"/>
        <v>-0.89822846396396128</v>
      </c>
      <c r="AF24" s="633">
        <f t="shared" si="86"/>
        <v>-0.25850780373095716</v>
      </c>
      <c r="AG24" s="602">
        <f t="shared" si="87"/>
        <v>-73.944319841005566</v>
      </c>
      <c r="AH24" s="603">
        <f t="shared" si="88"/>
        <v>69.177711359231296</v>
      </c>
      <c r="AI24" s="585">
        <f t="shared" si="89"/>
        <v>-75.018461094069679</v>
      </c>
      <c r="AJ24" s="586">
        <f t="shared" si="90"/>
        <v>21.590999224966893</v>
      </c>
      <c r="AK24" s="635">
        <f>IF(M24="","",(COS(RADIANS((90-$Q$8)-W24))*AD24)+(-SIN(RADIANS((90-$Q$8)-W24))*AE24))</f>
        <v>0.96476440354606918</v>
      </c>
      <c r="AL24" s="629">
        <f t="shared" si="91"/>
        <v>-4.9024086535034261E-2</v>
      </c>
      <c r="AM24" s="634">
        <f t="shared" si="92"/>
        <v>-0.25850780373095716</v>
      </c>
      <c r="AN24" s="581">
        <f t="shared" si="93"/>
        <v>-10.738200590193744</v>
      </c>
      <c r="AO24" s="582">
        <f t="shared" si="94"/>
        <v>15.254991900555453</v>
      </c>
      <c r="AP24" s="585">
        <f t="shared" si="95"/>
        <v>-2.9089582545000963</v>
      </c>
      <c r="AQ24" s="586">
        <f t="shared" si="9"/>
        <v>0.79705339021757871</v>
      </c>
      <c r="AS24" s="52">
        <f t="shared" si="116"/>
        <v>-65.240042558072332</v>
      </c>
      <c r="AT24" s="72">
        <f t="shared" si="10"/>
        <v>-2.3714068068570439E-2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2.1110000000000002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 t="str">
        <v>Inactive</v>
      </c>
      <c r="JB24" s="856" cm="1">
        <f t="array" ref="JB24">IF($JA24="","",COUNT(IF(IF($II$9:$II$150&lt;&gt;"",$IK$9:$IK$150,"")=$JA24,$IG$9:$IG$150,"")))</f>
        <v>10</v>
      </c>
      <c r="JC24" s="5"/>
      <c r="JD24" s="5"/>
      <c r="JE24" s="10"/>
      <c r="JF24" s="247">
        <v>6</v>
      </c>
      <c r="JG24" s="803" t="str">
        <v/>
      </c>
      <c r="JH24" s="787">
        <v>330</v>
      </c>
      <c r="JI24" s="803" t="str">
        <v/>
      </c>
    </row>
    <row r="25" spans="1:269" ht="15" customHeight="1" x14ac:dyDescent="0.25">
      <c r="A25" s="79"/>
      <c r="B25" s="707">
        <v>3.3306020818292219</v>
      </c>
      <c r="C25" s="708">
        <v>1.4544091358192848</v>
      </c>
      <c r="D25" s="709">
        <v>-0.25820077873354863</v>
      </c>
      <c r="E25" s="710">
        <v>-0.238923763144333</v>
      </c>
      <c r="F25" s="708">
        <v>0.94585200690135385</v>
      </c>
      <c r="G25" s="711">
        <v>0.21972577556042908</v>
      </c>
      <c r="H25" s="710">
        <v>0.314</v>
      </c>
      <c r="I25" s="708">
        <v>0.52</v>
      </c>
      <c r="J25" s="570">
        <v>2.1139999999999999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2.1139999999999999</v>
      </c>
      <c r="N25" s="632">
        <f t="shared" si="2"/>
        <v>3.3306020818292219</v>
      </c>
      <c r="O25" s="629">
        <f t="shared" si="3"/>
        <v>1.4544091358192848</v>
      </c>
      <c r="P25" s="633">
        <f t="shared" si="4"/>
        <v>-0.25820077873354863</v>
      </c>
      <c r="Q25" s="585">
        <f t="shared" si="113"/>
        <v>23.589957610854732</v>
      </c>
      <c r="R25" s="629">
        <f>IF(M25="","",SQRT(N25^2+O25^2))</f>
        <v>3.6343109610818591</v>
      </c>
      <c r="S25" s="634">
        <f>IF(M25="","",P25)</f>
        <v>-0.25820077873354863</v>
      </c>
      <c r="T25" s="635">
        <f>IF(M25="","",X25*COS(RADIANS(W25)))</f>
        <v>1.4695078999242712</v>
      </c>
      <c r="U25" s="629">
        <f>IF(M25="","",X25*SIN(RADIANS(W25)))</f>
        <v>-3.3239679140900118</v>
      </c>
      <c r="V25" s="636">
        <f>IF(M25="","",Y25)</f>
        <v>-0.25820077873354863</v>
      </c>
      <c r="W25" s="585">
        <f t="shared" si="224"/>
        <v>293.84995757331541</v>
      </c>
      <c r="X25" s="629">
        <f>IF(M25="","",R25)</f>
        <v>3.6343109610818591</v>
      </c>
      <c r="Y25" s="630">
        <f t="shared" si="223"/>
        <v>-0.25820077873354863</v>
      </c>
      <c r="Z25" s="632">
        <f t="shared" si="6"/>
        <v>0.238923763144333</v>
      </c>
      <c r="AA25" s="629">
        <f t="shared" si="7"/>
        <v>-0.94585200690135385</v>
      </c>
      <c r="AB25" s="629">
        <f t="shared" si="8"/>
        <v>-0.21972577556042908</v>
      </c>
      <c r="AC25" s="636">
        <f>IF(M25="","",SQRT(Z25^2+AA25^2+AB25^2))</f>
        <v>1</v>
      </c>
      <c r="AD25" s="637">
        <f>IF(M25="","",Z25*(1/SQRT(Z25^2+AA25^2+AB25^2)))</f>
        <v>0.238923763144333</v>
      </c>
      <c r="AE25" s="629">
        <f>IF(M25="","",AA25*(1/SQRT(Z25^2+AA25^2+AB25^2)))</f>
        <v>-0.94585200690135385</v>
      </c>
      <c r="AF25" s="633">
        <f>IF(M25="","",AB25*(1/SQRT(Z25^2+AA25^2+AB25^2)))</f>
        <v>-0.21972577556042908</v>
      </c>
      <c r="AG25" s="602">
        <f>IF(M25="","",DEGREES(ATAN2(-AF25,AE25)))</f>
        <v>-76.921888910493436</v>
      </c>
      <c r="AH25" s="603">
        <f>IF(M25="","",DEGREES(ACOS(AD25)))</f>
        <v>76.17697129365304</v>
      </c>
      <c r="AI25" s="585">
        <f>IF(M25="","",DEGREES(-ACOS(-AF25)))</f>
        <v>-77.307073009990788</v>
      </c>
      <c r="AJ25" s="586">
        <f>IF(M25="","",DEGREES(ATAN2(-AE25,AD25)))</f>
        <v>14.1764516552171</v>
      </c>
      <c r="AK25" s="635">
        <f>IF(M25="","",(COS(RADIANS((90-$Q$8)-W25))*AD25)+(-SIN(RADIANS((90-$Q$8)-W25))*AE25))</f>
        <v>0.96242440578838906</v>
      </c>
      <c r="AL25" s="629">
        <f>IF(M25="","",(SIN(RADIANS((90-$Q$8)-W25))*AD25)+(COS(RADIANS((90-$Q$8)-W25))*AE25))</f>
        <v>-0.15956141982708177</v>
      </c>
      <c r="AM25" s="634">
        <f>IF(M25="","",AF25)</f>
        <v>-0.21972577556042908</v>
      </c>
      <c r="AN25" s="581">
        <f>IF(M25="","",DEGREES(ATAN2(-AM25,AL25)))</f>
        <v>-35.986565886325863</v>
      </c>
      <c r="AO25" s="582">
        <f>IF(ROUND(IF(M25="",0,DEGREES(ACOS(AK25))),4)=90,0,IF(M25="","",DEGREES(ACOS(AK25))))</f>
        <v>15.756506441622244</v>
      </c>
      <c r="AP25" s="585">
        <f>IF(M25="","",DEGREES(ATAN2(AK25,AL25)))</f>
        <v>-9.4135059556376444</v>
      </c>
      <c r="AQ25" s="586">
        <f t="shared" si="9"/>
        <v>0.62725385357778718</v>
      </c>
      <c r="AS25" s="52">
        <f t="shared" si="116"/>
        <v>-66.150042426684593</v>
      </c>
      <c r="AT25" s="72">
        <f t="shared" si="10"/>
        <v>-0.21208269374108665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2.1139999999999999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3.9231985220449705</v>
      </c>
      <c r="C26" s="708">
        <v>1.6411060914717355</v>
      </c>
      <c r="D26" s="709">
        <v>-0.76100229518292184</v>
      </c>
      <c r="E26" s="710">
        <v>-0.13857770378711223</v>
      </c>
      <c r="F26" s="708">
        <v>0.97755338855296614</v>
      </c>
      <c r="G26" s="711">
        <v>0.15869969294773417</v>
      </c>
      <c r="H26" s="710">
        <v>0.314</v>
      </c>
      <c r="I26" s="708">
        <v>0.52</v>
      </c>
      <c r="J26" s="570">
        <v>2.117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2.117</v>
      </c>
      <c r="N26" s="632">
        <f t="shared" si="2"/>
        <v>3.9231985220449705</v>
      </c>
      <c r="O26" s="629">
        <f t="shared" si="3"/>
        <v>1.6411060914717355</v>
      </c>
      <c r="P26" s="633">
        <f t="shared" si="4"/>
        <v>-0.76100229518292184</v>
      </c>
      <c r="Q26" s="585">
        <f t="shared" si="113"/>
        <v>22.699957739354819</v>
      </c>
      <c r="R26" s="629">
        <f>IF(M26="","",SQRT(N26^2+O26^2))</f>
        <v>4.2526128258802816</v>
      </c>
      <c r="S26" s="634">
        <f>IF(M26="","",P26)</f>
        <v>-0.76100229518292184</v>
      </c>
      <c r="T26" s="635">
        <f>IF(M26="","",X26*COS(RADIANS(W26)))</f>
        <v>1.658892041063031</v>
      </c>
      <c r="U26" s="629">
        <f>IF(M26="","",X26*SIN(RADIANS(W26)))</f>
        <v>-3.9157110520235276</v>
      </c>
      <c r="V26" s="636">
        <f>IF(M26="","",Y26)</f>
        <v>-0.76100229518292184</v>
      </c>
      <c r="W26" s="585">
        <f t="shared" si="224"/>
        <v>292.95995770181548</v>
      </c>
      <c r="X26" s="629">
        <f>IF(M26="","",R26)</f>
        <v>4.2526128258802816</v>
      </c>
      <c r="Y26" s="630">
        <f t="shared" si="223"/>
        <v>-0.76100229518292184</v>
      </c>
      <c r="Z26" s="632">
        <f t="shared" si="6"/>
        <v>0.13857770378711223</v>
      </c>
      <c r="AA26" s="629">
        <f t="shared" si="7"/>
        <v>-0.97755338855296614</v>
      </c>
      <c r="AB26" s="629">
        <f t="shared" si="8"/>
        <v>-0.15869969294773417</v>
      </c>
      <c r="AC26" s="636">
        <f>IF(M26="","",SQRT(Z26^2+AA26^2+AB26^2))</f>
        <v>1</v>
      </c>
      <c r="AD26" s="637">
        <f>IF(M26="","",Z26*(1/SQRT(Z26^2+AA26^2+AB26^2)))</f>
        <v>0.13857770378711223</v>
      </c>
      <c r="AE26" s="629">
        <f>IF(M26="","",AA26*(1/SQRT(Z26^2+AA26^2+AB26^2)))</f>
        <v>-0.97755338855296614</v>
      </c>
      <c r="AF26" s="633">
        <f>IF(M26="","",AB26*(1/SQRT(Z26^2+AA26^2+AB26^2)))</f>
        <v>-0.15869969294773417</v>
      </c>
      <c r="AG26" s="602">
        <f>IF(M26="","",DEGREES(ATAN2(-AF26,AE26)))</f>
        <v>-80.778835545862933</v>
      </c>
      <c r="AH26" s="603">
        <f>IF(M26="","",DEGREES(ACOS(AD26)))</f>
        <v>82.034447547177024</v>
      </c>
      <c r="AI26" s="585">
        <f>IF(M26="","",DEGREES(-ACOS(-AF26)))</f>
        <v>-80.868570187047965</v>
      </c>
      <c r="AJ26" s="586">
        <f>IF(M26="","",DEGREES(ATAN2(-AE26,AD26)))</f>
        <v>8.0684732903060699</v>
      </c>
      <c r="AK26" s="635">
        <f>IF(M26="","",(COS(RADIANS((90-$Q$8)-W26))*AD26)+(-SIN(RADIANS((90-$Q$8)-W26))*AE26))</f>
        <v>0.95530839259445266</v>
      </c>
      <c r="AL26" s="629">
        <f>IF(M26="","",(SIN(RADIANS((90-$Q$8)-W26))*AD26)+(COS(RADIANS((90-$Q$8)-W26))*AE26))</f>
        <v>-0.24939984462083764</v>
      </c>
      <c r="AM26" s="634">
        <f>IF(M26="","",AF26)</f>
        <v>-0.15869969294773417</v>
      </c>
      <c r="AN26" s="581">
        <f>IF(M26="","",DEGREES(ATAN2(-AM26,AL26)))</f>
        <v>-57.530328293074334</v>
      </c>
      <c r="AO26" s="582">
        <f t="shared" si="94"/>
        <v>17.194180403119582</v>
      </c>
      <c r="AP26" s="585">
        <f>IF(M26="","",DEGREES(ATAN2(AK26,AL26)))</f>
        <v>-14.631484449048736</v>
      </c>
      <c r="AQ26" s="586">
        <f t="shared" si="9"/>
        <v>0.53606105376818136</v>
      </c>
      <c r="AS26" s="52">
        <f t="shared" si="116"/>
        <v>-67.040042298184517</v>
      </c>
      <c r="AT26" s="72">
        <f t="shared" si="10"/>
        <v>-0.71426615472414046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2.117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4.2556683540203419</v>
      </c>
      <c r="C27" s="708">
        <v>1.7341036310265503</v>
      </c>
      <c r="D27" s="709">
        <v>-1.4804044648998662</v>
      </c>
      <c r="E27" s="710">
        <v>-7.3622960587136049E-2</v>
      </c>
      <c r="F27" s="708">
        <v>0.99455247388953782</v>
      </c>
      <c r="G27" s="711">
        <v>7.3790489594427022E-2</v>
      </c>
      <c r="H27" s="710">
        <v>0.314</v>
      </c>
      <c r="I27" s="708">
        <v>0.52</v>
      </c>
      <c r="J27" s="570">
        <v>2.12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2.12</v>
      </c>
      <c r="N27" s="632">
        <f t="shared" si="2"/>
        <v>4.2556683540203419</v>
      </c>
      <c r="O27" s="629">
        <f t="shared" si="3"/>
        <v>1.7341036310265503</v>
      </c>
      <c r="P27" s="633">
        <f t="shared" si="4"/>
        <v>-1.4804044648998662</v>
      </c>
      <c r="Q27" s="585">
        <f t="shared" si="113"/>
        <v>22.169957815877339</v>
      </c>
      <c r="R27" s="629">
        <f t="shared" si="79"/>
        <v>4.5954138597682004</v>
      </c>
      <c r="S27" s="634">
        <f t="shared" si="80"/>
        <v>-1.4804044648998662</v>
      </c>
      <c r="T27" s="635">
        <f t="shared" si="81"/>
        <v>1.7533973179551798</v>
      </c>
      <c r="U27" s="629">
        <f t="shared" si="82"/>
        <v>-4.2477554529347907</v>
      </c>
      <c r="V27" s="636">
        <f t="shared" si="114"/>
        <v>-1.4804044648998662</v>
      </c>
      <c r="W27" s="585">
        <f t="shared" si="224"/>
        <v>292.42995777833801</v>
      </c>
      <c r="X27" s="629">
        <f t="shared" si="83"/>
        <v>4.5954138597682004</v>
      </c>
      <c r="Y27" s="630">
        <f t="shared" si="223"/>
        <v>-1.4804044648998662</v>
      </c>
      <c r="Z27" s="632">
        <f t="shared" si="6"/>
        <v>7.3622960587136049E-2</v>
      </c>
      <c r="AA27" s="629">
        <f t="shared" si="7"/>
        <v>-0.99455247388953782</v>
      </c>
      <c r="AB27" s="629">
        <f t="shared" si="8"/>
        <v>-7.3790489594427022E-2</v>
      </c>
      <c r="AC27" s="636">
        <f t="shared" si="84"/>
        <v>1</v>
      </c>
      <c r="AD27" s="637">
        <f t="shared" si="115"/>
        <v>7.3622960587136049E-2</v>
      </c>
      <c r="AE27" s="629">
        <f t="shared" si="85"/>
        <v>-0.99455247388953782</v>
      </c>
      <c r="AF27" s="633">
        <f t="shared" si="86"/>
        <v>-7.3790489594427022E-2</v>
      </c>
      <c r="AG27" s="602">
        <f t="shared" si="87"/>
        <v>-85.756733502597768</v>
      </c>
      <c r="AH27" s="603">
        <f t="shared" si="88"/>
        <v>85.777895001339601</v>
      </c>
      <c r="AI27" s="585">
        <f t="shared" si="89"/>
        <v>-85.768270116192028</v>
      </c>
      <c r="AJ27" s="586">
        <f t="shared" si="90"/>
        <v>4.23366793549416</v>
      </c>
      <c r="AK27" s="635">
        <f t="shared" si="211"/>
        <v>0.9488058020187452</v>
      </c>
      <c r="AL27" s="629">
        <f t="shared" si="91"/>
        <v>-0.30711970581677173</v>
      </c>
      <c r="AM27" s="634">
        <f t="shared" si="92"/>
        <v>-7.3790489594427022E-2</v>
      </c>
      <c r="AN27" s="581">
        <f t="shared" si="93"/>
        <v>-76.489845260231107</v>
      </c>
      <c r="AO27" s="582">
        <f t="shared" si="94"/>
        <v>18.412740008073946</v>
      </c>
      <c r="AP27" s="585">
        <f t="shared" si="95"/>
        <v>-17.9362898803832</v>
      </c>
      <c r="AQ27" s="586">
        <f t="shared" si="9"/>
        <v>0.49607494251332357</v>
      </c>
      <c r="AS27" s="52">
        <f t="shared" si="116"/>
        <v>-67.570042221661993</v>
      </c>
      <c r="AT27" s="72">
        <f t="shared" si="10"/>
        <v>-1.43330026893867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2.12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4.391590824084882</v>
      </c>
      <c r="C28" s="708">
        <v>1.7698577066527328</v>
      </c>
      <c r="D28" s="709">
        <v>-2.2003066361248145</v>
      </c>
      <c r="E28" s="710">
        <v>0.14692531565142397</v>
      </c>
      <c r="F28" s="708">
        <v>0.9849338491029882</v>
      </c>
      <c r="G28" s="711">
        <v>9.1204520238316322E-2</v>
      </c>
      <c r="H28" s="710">
        <v>0.26600000000000001</v>
      </c>
      <c r="I28" s="708">
        <v>0.52</v>
      </c>
      <c r="J28" s="570">
        <v>2.1230000000000002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320"/>
      <c r="M28" s="168">
        <f t="shared" si="1"/>
        <v>2.1230000000000002</v>
      </c>
      <c r="N28" s="632">
        <f t="shared" si="2"/>
        <v>4.391590824084882</v>
      </c>
      <c r="O28" s="629">
        <f t="shared" si="3"/>
        <v>1.7698577066527328</v>
      </c>
      <c r="P28" s="633">
        <f t="shared" si="4"/>
        <v>-2.2003066361248145</v>
      </c>
      <c r="Q28" s="585">
        <f t="shared" si="113"/>
        <v>21.9499578476414</v>
      </c>
      <c r="R28" s="629">
        <f t="shared" si="79"/>
        <v>4.7348142801998696</v>
      </c>
      <c r="S28" s="634">
        <f t="shared" si="80"/>
        <v>-2.2003066361248145</v>
      </c>
      <c r="T28" s="635">
        <f t="shared" si="81"/>
        <v>1.7897678198535834</v>
      </c>
      <c r="U28" s="629">
        <f t="shared" si="82"/>
        <v>-4.3835142772667188</v>
      </c>
      <c r="V28" s="636">
        <f t="shared" si="114"/>
        <v>-2.2003066361248145</v>
      </c>
      <c r="W28" s="585">
        <f t="shared" si="224"/>
        <v>292.20995781010203</v>
      </c>
      <c r="X28" s="629">
        <f t="shared" si="83"/>
        <v>4.7348142801998696</v>
      </c>
      <c r="Y28" s="630">
        <f t="shared" si="223"/>
        <v>-2.2003066361248145</v>
      </c>
      <c r="Z28" s="632">
        <f t="shared" si="6"/>
        <v>-0.14692531565142397</v>
      </c>
      <c r="AA28" s="629">
        <f t="shared" si="7"/>
        <v>-0.9849338491029882</v>
      </c>
      <c r="AB28" s="629">
        <f t="shared" si="8"/>
        <v>-9.1204520238316322E-2</v>
      </c>
      <c r="AC28" s="636">
        <f t="shared" si="84"/>
        <v>1</v>
      </c>
      <c r="AD28" s="637">
        <f t="shared" si="115"/>
        <v>-0.14692531565142397</v>
      </c>
      <c r="AE28" s="629">
        <f t="shared" si="85"/>
        <v>-0.9849338491029882</v>
      </c>
      <c r="AF28" s="633">
        <f t="shared" si="86"/>
        <v>-9.1204520238316322E-2</v>
      </c>
      <c r="AG28" s="602">
        <f t="shared" si="87"/>
        <v>-84.709518418225855</v>
      </c>
      <c r="AH28" s="603">
        <f t="shared" si="88"/>
        <v>98.448785894139206</v>
      </c>
      <c r="AI28" s="585">
        <f t="shared" si="89"/>
        <v>-84.767093963198377</v>
      </c>
      <c r="AJ28" s="586">
        <f t="shared" si="90"/>
        <v>-8.4844064585851733</v>
      </c>
      <c r="AK28" s="635">
        <f t="shared" si="211"/>
        <v>0.85861647601342006</v>
      </c>
      <c r="AL28" s="629">
        <f t="shared" si="91"/>
        <v>-0.50443977103951143</v>
      </c>
      <c r="AM28" s="634">
        <f t="shared" si="92"/>
        <v>-9.1204520238316322E-2</v>
      </c>
      <c r="AN28" s="581">
        <f t="shared" si="93"/>
        <v>-79.751435317291353</v>
      </c>
      <c r="AO28" s="582">
        <f t="shared" si="94"/>
        <v>30.838405991885818</v>
      </c>
      <c r="AP28" s="585">
        <f t="shared" si="95"/>
        <v>-30.434364306226559</v>
      </c>
      <c r="AQ28" s="586">
        <f t="shared" si="9"/>
        <v>0.48147040965083693</v>
      </c>
      <c r="AS28" s="52">
        <f t="shared" si="116"/>
        <v>-67.790042189897974</v>
      </c>
      <c r="AT28" s="72">
        <f t="shared" si="10"/>
        <v>-2.153049662407899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2.1230000000000002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1313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3.5852586363188523</v>
      </c>
      <c r="C29" s="708">
        <v>0.70144784820423334</v>
      </c>
      <c r="D29" s="709">
        <v>-0.21640733338709825</v>
      </c>
      <c r="E29" s="710">
        <v>3.198197122252134E-2</v>
      </c>
      <c r="F29" s="708">
        <v>0.92640036852863672</v>
      </c>
      <c r="G29" s="711">
        <v>0.37517930474204986</v>
      </c>
      <c r="H29" s="710">
        <v>0.26600000000000001</v>
      </c>
      <c r="I29" s="708">
        <v>0.52</v>
      </c>
      <c r="J29" s="570">
        <v>2.214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320"/>
      <c r="M29" s="168">
        <f t="shared" si="1"/>
        <v>2.214</v>
      </c>
      <c r="N29" s="632">
        <f t="shared" si="2"/>
        <v>3.5852586363188523</v>
      </c>
      <c r="O29" s="629">
        <f t="shared" si="3"/>
        <v>0.70144784820423334</v>
      </c>
      <c r="P29" s="633">
        <f t="shared" si="4"/>
        <v>-0.21640733338709825</v>
      </c>
      <c r="Q29" s="585">
        <f t="shared" si="113"/>
        <v>11.069959418518819</v>
      </c>
      <c r="R29" s="629">
        <f>IF(M29="","",SQRT(N29^2+O29^2))</f>
        <v>3.653232619619132</v>
      </c>
      <c r="S29" s="634">
        <f>IF(M29="","",P29)</f>
        <v>-0.21640733338709825</v>
      </c>
      <c r="T29" s="635">
        <f>IF(M29="","",X29*COS(RADIANS(W29)))</f>
        <v>0.71770995548980199</v>
      </c>
      <c r="U29" s="629">
        <f>IF(M29="","",X29*SIN(RADIANS(W29)))</f>
        <v>-3.5820386643418707</v>
      </c>
      <c r="V29" s="636">
        <f>IF(M29="","",Y29)</f>
        <v>-0.21640733338709825</v>
      </c>
      <c r="W29" s="585">
        <f t="shared" si="224"/>
        <v>281.32995938097946</v>
      </c>
      <c r="X29" s="629">
        <f>IF(M29="","",R29)</f>
        <v>3.653232619619132</v>
      </c>
      <c r="Y29" s="630">
        <f t="shared" si="223"/>
        <v>-0.21640733338709825</v>
      </c>
      <c r="Z29" s="632">
        <f t="shared" si="6"/>
        <v>-3.198197122252134E-2</v>
      </c>
      <c r="AA29" s="629">
        <f t="shared" si="7"/>
        <v>-0.92640036852863672</v>
      </c>
      <c r="AB29" s="629">
        <f t="shared" si="8"/>
        <v>-0.37517930474204986</v>
      </c>
      <c r="AC29" s="636">
        <f>IF(M29="","",SQRT(Z29^2+AA29^2+AB29^2))</f>
        <v>1</v>
      </c>
      <c r="AD29" s="637">
        <f>IF(M29="","",Z29*(1/SQRT(Z29^2+AA29^2+AB29^2)))</f>
        <v>-3.198197122252134E-2</v>
      </c>
      <c r="AE29" s="629">
        <f>IF(M29="","",AA29*(1/SQRT(Z29^2+AA29^2+AB29^2)))</f>
        <v>-0.92640036852863672</v>
      </c>
      <c r="AF29" s="633">
        <f>IF(M29="","",AB29*(1/SQRT(Z29^2+AA29^2+AB29^2)))</f>
        <v>-0.37517930474204986</v>
      </c>
      <c r="AG29" s="602">
        <f>IF(M29="","",DEGREES(ATAN2(-AF29,AE29)))</f>
        <v>-67.952735002896773</v>
      </c>
      <c r="AH29" s="603">
        <f>IF(M29="","",DEGREES(ACOS(AD29)))</f>
        <v>91.832744498197087</v>
      </c>
      <c r="AI29" s="585">
        <f>IF(M29="","",DEGREES(-ACOS(-AF29)))</f>
        <v>-67.964604604166283</v>
      </c>
      <c r="AJ29" s="586">
        <f>IF(M29="","",DEGREES(ATAN2(-AE29,AD29)))</f>
        <v>-1.9772277447456621</v>
      </c>
      <c r="AK29" s="635">
        <f>IF(M29="","",(COS(RADIANS((90-$Q$8)-W29))*AD29)+(-SIN(RADIANS((90-$Q$8)-W29))*AE29))</f>
        <v>0.90302249556854874</v>
      </c>
      <c r="AL29" s="629">
        <f>IF(M29="","",(SIN(RADIANS((90-$Q$8)-W29))*AD29)+(COS(RADIANS((90-$Q$8)-W29))*AE29))</f>
        <v>-0.2092626621985452</v>
      </c>
      <c r="AM29" s="634">
        <f>IF(M29="","",AF29)</f>
        <v>-0.37517930474204986</v>
      </c>
      <c r="AN29" s="581">
        <f>IF(M29="","",DEGREES(ATAN2(-AM29,AL29)))</f>
        <v>-29.151339170501906</v>
      </c>
      <c r="AO29" s="582">
        <f t="shared" si="94"/>
        <v>25.441750428041843</v>
      </c>
      <c r="AP29" s="585">
        <f>IF(M29="","",DEGREES(ATAN2(AK29,AL29)))</f>
        <v>-13.04718716326445</v>
      </c>
      <c r="AQ29" s="586">
        <f t="shared" si="9"/>
        <v>0.62400529441639419</v>
      </c>
      <c r="AS29" s="52">
        <f t="shared" si="116"/>
        <v>-78.67004061902054</v>
      </c>
      <c r="AT29" s="72">
        <f t="shared" si="10"/>
        <v>-0.16159480520551409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Nose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2.214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2.1139999999999999</v>
      </c>
      <c r="II29" s="734" cm="1">
        <f t="array" ref="II29">IFERROR(ROUND(VALUE(IF($IH29&lt;1,$IH29+LARGE((IF($M$9:$M$150="",0,$M$9:$M$150)-MOD(IF($M$9:$M$150="",0,$M$9:$M$150),1)),1),$IH29)),4),"")</f>
        <v>2.1139999999999999</v>
      </c>
      <c r="IJ29" s="533">
        <f t="shared" si="112"/>
        <v>1613</v>
      </c>
      <c r="IK29" s="533">
        <f t="shared" si="66"/>
        <v>1313</v>
      </c>
      <c r="IL29" s="727">
        <f t="shared" si="225"/>
        <v>12.519998192335947</v>
      </c>
      <c r="IM29" s="759">
        <v>1.64208973364697E-2</v>
      </c>
      <c r="IN29" s="5">
        <f t="shared" si="226"/>
        <v>0.46</v>
      </c>
      <c r="IO29" s="771">
        <v>230</v>
      </c>
      <c r="IP29" s="9">
        <f t="shared" si="227"/>
        <v>-3.6343109610818591</v>
      </c>
      <c r="IQ29" s="5">
        <f t="shared" si="228"/>
        <v>-0.25820077873354863</v>
      </c>
      <c r="IR29" s="5">
        <f t="shared" si="71"/>
        <v>0.314</v>
      </c>
      <c r="IS29" s="5">
        <f t="shared" si="229"/>
        <v>0.30220126341755416</v>
      </c>
      <c r="IT29" s="727">
        <f t="shared" si="230"/>
        <v>35.986565886325863</v>
      </c>
      <c r="IU29" s="9">
        <f t="shared" si="231"/>
        <v>-3.653232619619132</v>
      </c>
      <c r="IV29" s="5">
        <f t="shared" si="232"/>
        <v>-0.21640733338709825</v>
      </c>
      <c r="IW29" s="5">
        <f t="shared" si="76"/>
        <v>0.26600000000000001</v>
      </c>
      <c r="IX29" s="5">
        <f t="shared" si="233"/>
        <v>0.24020398382123398</v>
      </c>
      <c r="IY29" s="762">
        <f t="shared" si="234"/>
        <v>29.151339170501906</v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17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230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200</v>
      </c>
    </row>
    <row r="30" spans="1:269" ht="15" customHeight="1" x14ac:dyDescent="0.25">
      <c r="A30" s="79"/>
      <c r="B30" s="707">
        <v>4.2016576551378746</v>
      </c>
      <c r="C30" s="708">
        <v>0.86094500169310373</v>
      </c>
      <c r="D30" s="709">
        <v>-0.72539976840537435</v>
      </c>
      <c r="E30" s="710">
        <v>0.15691167380765172</v>
      </c>
      <c r="F30" s="708">
        <v>0.94393872555921732</v>
      </c>
      <c r="G30" s="711">
        <v>0.2904451910645478</v>
      </c>
      <c r="H30" s="710">
        <v>0.26600000000000001</v>
      </c>
      <c r="I30" s="708">
        <v>0.52</v>
      </c>
      <c r="J30" s="570">
        <v>2.2170000000000001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1313</v>
      </c>
      <c r="L30" s="320"/>
      <c r="M30" s="168">
        <f t="shared" si="1"/>
        <v>2.2170000000000001</v>
      </c>
      <c r="N30" s="632">
        <f t="shared" si="2"/>
        <v>4.2016576551378746</v>
      </c>
      <c r="O30" s="629">
        <f t="shared" si="3"/>
        <v>0.86094500169310373</v>
      </c>
      <c r="P30" s="633">
        <f t="shared" si="4"/>
        <v>-0.72539976840537435</v>
      </c>
      <c r="Q30" s="585">
        <f t="shared" si="113"/>
        <v>11.579959344883937</v>
      </c>
      <c r="R30" s="629">
        <f>IF(M30="","",SQRT(N30^2+O30^2))</f>
        <v>4.2889571397857358</v>
      </c>
      <c r="S30" s="634">
        <f>IF(M30="","",P30)</f>
        <v>-0.72539976840537435</v>
      </c>
      <c r="T30" s="635">
        <f>IF(M30="","",X30*COS(RADIANS(W30)))</f>
        <v>0.88000258680460464</v>
      </c>
      <c r="U30" s="629">
        <f>IF(M30="","",X30*SIN(RADIANS(W30)))</f>
        <v>-4.1977075641516821</v>
      </c>
      <c r="V30" s="636">
        <f>IF(M30="","",Y30)</f>
        <v>-0.72539976840537435</v>
      </c>
      <c r="W30" s="585">
        <f t="shared" si="224"/>
        <v>281.8399593073446</v>
      </c>
      <c r="X30" s="629">
        <f>IF(M30="","",R30)</f>
        <v>4.2889571397857358</v>
      </c>
      <c r="Y30" s="630">
        <f t="shared" si="223"/>
        <v>-0.72539976840537435</v>
      </c>
      <c r="Z30" s="632">
        <f t="shared" si="6"/>
        <v>-0.15691167380765172</v>
      </c>
      <c r="AA30" s="629">
        <f t="shared" si="7"/>
        <v>-0.94393872555921732</v>
      </c>
      <c r="AB30" s="629">
        <f t="shared" si="8"/>
        <v>-0.2904451910645478</v>
      </c>
      <c r="AC30" s="636">
        <f>IF(M30="","",SQRT(Z30^2+AA30^2+AB30^2))</f>
        <v>1</v>
      </c>
      <c r="AD30" s="637">
        <f>IF(M30="","",Z30*(1/SQRT(Z30^2+AA30^2+AB30^2)))</f>
        <v>-0.15691167380765172</v>
      </c>
      <c r="AE30" s="629">
        <f>IF(M30="","",AA30*(1/SQRT(Z30^2+AA30^2+AB30^2)))</f>
        <v>-0.94393872555921732</v>
      </c>
      <c r="AF30" s="633">
        <f>IF(M30="","",AB30*(1/SQRT(Z30^2+AA30^2+AB30^2)))</f>
        <v>-0.2904451910645478</v>
      </c>
      <c r="AG30" s="602">
        <f>IF(M30="","",DEGREES(ATAN2(-AF30,AE30)))</f>
        <v>-72.89713206046487</v>
      </c>
      <c r="AH30" s="603">
        <f>IF(M30="","",DEGREES(ACOS(AD30)))</f>
        <v>99.027683930759892</v>
      </c>
      <c r="AI30" s="585">
        <f>IF(M30="","",DEGREES(-ACOS(-AF30)))</f>
        <v>-73.115389162668393</v>
      </c>
      <c r="AJ30" s="586">
        <f>IF(M30="","",DEGREES(ATAN2(-AE30,AD30)))</f>
        <v>-9.4380211991701124</v>
      </c>
      <c r="AK30" s="635">
        <f>IF(M30="","",(COS(RADIANS((90-$Q$8)-W30))*AD30)+(-SIN(RADIANS((90-$Q$8)-W30))*AE30))</f>
        <v>0.89322763695101071</v>
      </c>
      <c r="AL30" s="629">
        <f>IF(M30="","",(SIN(RADIANS((90-$Q$8)-W30))*AD30)+(COS(RADIANS((90-$Q$8)-W30))*AE30))</f>
        <v>-0.34319962059185283</v>
      </c>
      <c r="AM30" s="634">
        <f>IF(M30="","",AF30)</f>
        <v>-0.2904451910645478</v>
      </c>
      <c r="AN30" s="581">
        <f>IF(M30="","",DEGREES(ATAN2(-AM30,AL30)))</f>
        <v>-49.759214145182177</v>
      </c>
      <c r="AO30" s="582">
        <f>IF(ROUND(IF(M30="",0,DEGREES(ACOS(AK30))),4)=90,0,IF(M30="","",DEGREES(ACOS(AK30))))</f>
        <v>26.718324908132143</v>
      </c>
      <c r="AP30" s="585">
        <f>IF(M30="","",DEGREES(ATAN2(AK30,AL30)))</f>
        <v>-21.017980544054037</v>
      </c>
      <c r="AQ30" s="586">
        <f t="shared" si="9"/>
        <v>0.53151877273069759</v>
      </c>
      <c r="AS30" s="52">
        <f t="shared" si="116"/>
        <v>-78.1600406926554</v>
      </c>
      <c r="AT30" s="72">
        <f t="shared" si="10"/>
        <v>-0.67094140683932157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>Taper</v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2.2170000000000001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2.117</v>
      </c>
      <c r="II30" s="734" cm="1">
        <f t="array" ref="II30">IFERROR(ROUND(VALUE(IF($IH30&lt;1,$IH30+LARGE((IF($M$9:$M$150="",0,$M$9:$M$150)-MOD(IF($M$9:$M$150="",0,$M$9:$M$150),1)),1),$IH30)),4),"")</f>
        <v>2.117</v>
      </c>
      <c r="IJ30" s="533">
        <f t="shared" si="112"/>
        <v>1613</v>
      </c>
      <c r="IK30" s="533">
        <f t="shared" si="66"/>
        <v>1313</v>
      </c>
      <c r="IL30" s="727">
        <f t="shared" si="225"/>
        <v>11.119998394470883</v>
      </c>
      <c r="IM30" s="759">
        <v>1.18922415028061E-2</v>
      </c>
      <c r="IN30" s="5">
        <f t="shared" si="226"/>
        <v>0.44</v>
      </c>
      <c r="IO30" s="771">
        <v>220</v>
      </c>
      <c r="IP30" s="9">
        <f t="shared" si="227"/>
        <v>-4.2526128258802816</v>
      </c>
      <c r="IQ30" s="5">
        <f t="shared" si="228"/>
        <v>-0.76100229518292184</v>
      </c>
      <c r="IR30" s="5">
        <f t="shared" si="71"/>
        <v>0.314</v>
      </c>
      <c r="IS30" s="5">
        <f t="shared" si="229"/>
        <v>0.29996683527465817</v>
      </c>
      <c r="IT30" s="727">
        <f t="shared" si="230"/>
        <v>57.530328293074334</v>
      </c>
      <c r="IU30" s="9">
        <f t="shared" si="231"/>
        <v>-4.2889571397857358</v>
      </c>
      <c r="IV30" s="5">
        <f t="shared" si="232"/>
        <v>-0.72539976840537435</v>
      </c>
      <c r="IW30" s="5">
        <f t="shared" si="76"/>
        <v>0.26600000000000001</v>
      </c>
      <c r="IX30" s="5">
        <f t="shared" si="233"/>
        <v>0.23759855142896888</v>
      </c>
      <c r="IY30" s="762">
        <f t="shared" si="234"/>
        <v>49.759214145182177</v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10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330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4.5501129767430522</v>
      </c>
      <c r="C31" s="708">
        <v>0.93896740005078871</v>
      </c>
      <c r="D31" s="709">
        <v>-1.457141238469513</v>
      </c>
      <c r="E31" s="710">
        <v>0.24783508462899492</v>
      </c>
      <c r="F31" s="708">
        <v>0.95378996221320911</v>
      </c>
      <c r="G31" s="711">
        <v>0.16988960771119649</v>
      </c>
      <c r="H31" s="710">
        <v>0.26600000000000001</v>
      </c>
      <c r="I31" s="708">
        <v>0.52</v>
      </c>
      <c r="J31" s="570">
        <v>2.2200000000000002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1313</v>
      </c>
      <c r="L31" s="320"/>
      <c r="M31" s="168">
        <f t="shared" si="1"/>
        <v>2.2200000000000002</v>
      </c>
      <c r="N31" s="632">
        <f t="shared" si="2"/>
        <v>4.5501129767430522</v>
      </c>
      <c r="O31" s="629">
        <f t="shared" si="3"/>
        <v>0.93896740005078871</v>
      </c>
      <c r="P31" s="633">
        <f t="shared" si="4"/>
        <v>-1.457141238469513</v>
      </c>
      <c r="Q31" s="585">
        <f t="shared" si="113"/>
        <v>11.659959333333372</v>
      </c>
      <c r="R31" s="629">
        <f>IF(M31="","",SQRT(N31^2+O31^2))</f>
        <v>4.6459862117190642</v>
      </c>
      <c r="S31" s="634">
        <f>IF(M31="","",P31)</f>
        <v>-1.457141238469513</v>
      </c>
      <c r="T31" s="635">
        <f>IF(M31="","",X31*COS(RADIANS(W31)))</f>
        <v>0.95960541627587681</v>
      </c>
      <c r="U31" s="629">
        <f>IF(M31="","",X31*SIN(RADIANS(W31)))</f>
        <v>-4.5458052448975046</v>
      </c>
      <c r="V31" s="636">
        <f>IF(M31="","",Y31)</f>
        <v>-1.457141238469513</v>
      </c>
      <c r="W31" s="585">
        <f t="shared" si="224"/>
        <v>281.919959295794</v>
      </c>
      <c r="X31" s="629">
        <f>IF(M31="","",R31)</f>
        <v>4.6459862117190642</v>
      </c>
      <c r="Y31" s="630">
        <f t="shared" si="223"/>
        <v>-1.457141238469513</v>
      </c>
      <c r="Z31" s="632">
        <f t="shared" si="6"/>
        <v>-0.24783508462899492</v>
      </c>
      <c r="AA31" s="629">
        <f t="shared" si="7"/>
        <v>-0.95378996221320911</v>
      </c>
      <c r="AB31" s="629">
        <f t="shared" si="8"/>
        <v>-0.16988960771119649</v>
      </c>
      <c r="AC31" s="636">
        <f>IF(M31="","",SQRT(Z31^2+AA31^2+AB31^2))</f>
        <v>1</v>
      </c>
      <c r="AD31" s="637">
        <f>IF(M31="","",Z31*(1/SQRT(Z31^2+AA31^2+AB31^2)))</f>
        <v>-0.24783508462899492</v>
      </c>
      <c r="AE31" s="629">
        <f>IF(M31="","",AA31*(1/SQRT(Z31^2+AA31^2+AB31^2)))</f>
        <v>-0.95378996221320911</v>
      </c>
      <c r="AF31" s="633">
        <f>IF(M31="","",AB31*(1/SQRT(Z31^2+AA31^2+AB31^2)))</f>
        <v>-0.16988960771119649</v>
      </c>
      <c r="AG31" s="602">
        <f>IF(M31="","",DEGREES(ATAN2(-AF31,AE31)))</f>
        <v>-79.900364545120269</v>
      </c>
      <c r="AH31" s="603">
        <f>IF(M31="","",DEGREES(ACOS(AD31)))</f>
        <v>104.3494405454507</v>
      </c>
      <c r="AI31" s="585">
        <f>IF(M31="","",DEGREES(-ACOS(-AF31)))</f>
        <v>-80.218599319913722</v>
      </c>
      <c r="AJ31" s="586">
        <f>IF(M31="","",DEGREES(ATAN2(-AE31,AD31)))</f>
        <v>-14.565758484116838</v>
      </c>
      <c r="AK31" s="635">
        <f>IF(M31="","",(COS(RADIANS((90-$Q$8)-W31))*AD31)+(-SIN(RADIANS((90-$Q$8)-W31))*AE31))</f>
        <v>0.88401963155599839</v>
      </c>
      <c r="AL31" s="629">
        <f>IF(M31="","",(SIN(RADIANS((90-$Q$8)-W31))*AD31)+(COS(RADIANS((90-$Q$8)-W31))*AE31))</f>
        <v>-0.43548457173054106</v>
      </c>
      <c r="AM31" s="634">
        <f>IF(M31="","",AF31)</f>
        <v>-0.16988960771119649</v>
      </c>
      <c r="AN31" s="581">
        <f>IF(M31="","",DEGREES(ATAN2(-AM31,AL31)))</f>
        <v>-68.688435350285388</v>
      </c>
      <c r="AO31" s="582">
        <f t="shared" si="94"/>
        <v>27.868882768247694</v>
      </c>
      <c r="AP31" s="585">
        <f>IF(M31="","",DEGREES(ATAN2(AK31,AL31)))</f>
        <v>-26.225717817450153</v>
      </c>
      <c r="AQ31" s="586">
        <f t="shared" si="9"/>
        <v>0.49067534766175147</v>
      </c>
      <c r="AS31" s="52">
        <f t="shared" si="116"/>
        <v>-78.080040704205999</v>
      </c>
      <c r="AT31" s="72">
        <f t="shared" si="10"/>
        <v>-1.4027384324509946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>Taper</v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2.2200000000000002</v>
      </c>
      <c r="IH31" s="731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2.12</v>
      </c>
      <c r="II31" s="734" cm="1">
        <f t="array" ref="II31">IFERROR(ROUND(VALUE(IF($IH31&lt;1,$IH31+LARGE((IF($M$9:$M$150="",0,$M$9:$M$150)-MOD(IF($M$9:$M$150="",0,$M$9:$M$150),1)),1),$IH31)),4),"")</f>
        <v>2.12</v>
      </c>
      <c r="IJ31" s="533">
        <f t="shared" si="112"/>
        <v>1613</v>
      </c>
      <c r="IK31" s="533">
        <f t="shared" si="66"/>
        <v>1313</v>
      </c>
      <c r="IL31" s="727">
        <f t="shared" si="225"/>
        <v>10.509998482544006</v>
      </c>
      <c r="IM31" s="759">
        <v>7.4830830804503701E-3</v>
      </c>
      <c r="IN31" s="5">
        <f t="shared" si="226"/>
        <v>0.4</v>
      </c>
      <c r="IO31" s="771">
        <v>200</v>
      </c>
      <c r="IP31" s="9">
        <f t="shared" si="227"/>
        <v>-4.5954138597682004</v>
      </c>
      <c r="IQ31" s="5">
        <f t="shared" si="228"/>
        <v>-1.4804044648998662</v>
      </c>
      <c r="IR31" s="5">
        <f t="shared" si="71"/>
        <v>0.314</v>
      </c>
      <c r="IS31" s="5">
        <f t="shared" si="229"/>
        <v>0.29792502183388597</v>
      </c>
      <c r="IT31" s="727">
        <f t="shared" si="230"/>
        <v>76.489845260231107</v>
      </c>
      <c r="IU31" s="9">
        <f t="shared" si="231"/>
        <v>-4.6459862117190642</v>
      </c>
      <c r="IV31" s="5">
        <f t="shared" si="232"/>
        <v>-1.457141238469513</v>
      </c>
      <c r="IW31" s="5">
        <f t="shared" si="76"/>
        <v>0.26600000000000001</v>
      </c>
      <c r="IX31" s="5">
        <f t="shared" si="233"/>
        <v>0.2351492219938956</v>
      </c>
      <c r="IY31" s="762">
        <f t="shared" si="234"/>
        <v>68.688435350285388</v>
      </c>
    </row>
    <row r="32" spans="1:269" ht="15" customHeight="1" x14ac:dyDescent="0.25">
      <c r="A32" s="79"/>
      <c r="B32" s="707">
        <v>0.6489339375883052</v>
      </c>
      <c r="C32" s="708">
        <v>-0.45438900760349665</v>
      </c>
      <c r="D32" s="709">
        <v>-0.47620143622353167</v>
      </c>
      <c r="E32" s="710">
        <v>0.50814497154244775</v>
      </c>
      <c r="F32" s="708">
        <v>0.82337081622491148</v>
      </c>
      <c r="G32" s="711">
        <v>0.25268396641901963</v>
      </c>
      <c r="H32" s="710">
        <v>0.314</v>
      </c>
      <c r="I32" s="708">
        <v>0.52</v>
      </c>
      <c r="J32" s="570">
        <v>3.1030000000000002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3.1030000000000002</v>
      </c>
      <c r="N32" s="632">
        <f t="shared" si="2"/>
        <v>0.6489339375883052</v>
      </c>
      <c r="O32" s="629">
        <f t="shared" si="3"/>
        <v>-0.45438900760349665</v>
      </c>
      <c r="P32" s="633">
        <f t="shared" si="4"/>
        <v>-0.47620143622353167</v>
      </c>
      <c r="Q32" s="585">
        <f t="shared" si="113"/>
        <v>324.9999660702029</v>
      </c>
      <c r="R32" s="629">
        <f t="shared" si="79"/>
        <v>0.79220238928240616</v>
      </c>
      <c r="S32" s="634">
        <f t="shared" si="80"/>
        <v>-0.47620143622353167</v>
      </c>
      <c r="T32" s="635">
        <f t="shared" si="81"/>
        <v>-0.4514395709259672</v>
      </c>
      <c r="U32" s="629">
        <f t="shared" si="82"/>
        <v>-0.6509892006684378</v>
      </c>
      <c r="V32" s="636">
        <f t="shared" si="114"/>
        <v>-0.47620143622353167</v>
      </c>
      <c r="W32" s="585">
        <f t="shared" si="224"/>
        <v>235.25996603266356</v>
      </c>
      <c r="X32" s="629">
        <f t="shared" si="83"/>
        <v>0.79220238928240616</v>
      </c>
      <c r="Y32" s="630">
        <f t="shared" si="223"/>
        <v>-0.47620143622353167</v>
      </c>
      <c r="Z32" s="632">
        <f t="shared" si="6"/>
        <v>-0.50814497154244775</v>
      </c>
      <c r="AA32" s="629">
        <f t="shared" si="7"/>
        <v>-0.82337081622491148</v>
      </c>
      <c r="AB32" s="629">
        <f t="shared" si="8"/>
        <v>-0.25268396641901963</v>
      </c>
      <c r="AC32" s="636">
        <f t="shared" si="84"/>
        <v>1</v>
      </c>
      <c r="AD32" s="637">
        <f t="shared" si="115"/>
        <v>-0.50814497154244775</v>
      </c>
      <c r="AE32" s="629">
        <f t="shared" si="85"/>
        <v>-0.82337081622491148</v>
      </c>
      <c r="AF32" s="633">
        <f t="shared" si="86"/>
        <v>-0.25268396641901963</v>
      </c>
      <c r="AG32" s="602">
        <f t="shared" si="87"/>
        <v>-72.939292949982899</v>
      </c>
      <c r="AH32" s="603">
        <f t="shared" si="88"/>
        <v>120.54034603949523</v>
      </c>
      <c r="AI32" s="585">
        <f t="shared" si="89"/>
        <v>-75.36360748526684</v>
      </c>
      <c r="AJ32" s="586">
        <f t="shared" si="90"/>
        <v>-31.680894361338339</v>
      </c>
      <c r="AK32" s="635">
        <f t="shared" si="211"/>
        <v>0.96592583607220761</v>
      </c>
      <c r="AL32" s="629">
        <f t="shared" si="91"/>
        <v>5.6018678339987416E-2</v>
      </c>
      <c r="AM32" s="634">
        <f t="shared" si="92"/>
        <v>-0.25268396641901963</v>
      </c>
      <c r="AN32" s="581">
        <f t="shared" si="93"/>
        <v>12.499998195223506</v>
      </c>
      <c r="AO32" s="582">
        <f t="shared" si="94"/>
        <v>14.999997834268203</v>
      </c>
      <c r="AP32" s="585">
        <f t="shared" si="95"/>
        <v>3.3191395684587768</v>
      </c>
      <c r="AQ32" s="586">
        <f t="shared" si="9"/>
        <v>2.8752912319116195</v>
      </c>
      <c r="AS32" s="52">
        <f t="shared" si="116"/>
        <v>-124.74003396733644</v>
      </c>
      <c r="AT32" s="72">
        <f t="shared" si="10"/>
        <v>-0.38939585710561703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3.1030000000000002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1.2729655882507276</v>
      </c>
      <c r="C33" s="708">
        <v>-0.89134122420579875</v>
      </c>
      <c r="D33" s="709">
        <v>-0.30730092681959531</v>
      </c>
      <c r="E33" s="710">
        <v>0.50814497154244753</v>
      </c>
      <c r="F33" s="708">
        <v>0.82337081622491159</v>
      </c>
      <c r="G33" s="711">
        <v>0.25268396641901958</v>
      </c>
      <c r="H33" s="710">
        <v>0.314</v>
      </c>
      <c r="I33" s="708">
        <v>0.52</v>
      </c>
      <c r="J33" s="570">
        <v>3.1059999999999999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3.1059999999999999</v>
      </c>
      <c r="N33" s="632">
        <f t="shared" si="2"/>
        <v>1.2729655882507276</v>
      </c>
      <c r="O33" s="629">
        <f t="shared" si="3"/>
        <v>-0.89134122420579875</v>
      </c>
      <c r="P33" s="633">
        <f t="shared" si="4"/>
        <v>-0.30730092681959531</v>
      </c>
      <c r="Q33" s="585">
        <f t="shared" si="113"/>
        <v>324.9999660702029</v>
      </c>
      <c r="R33" s="629">
        <f t="shared" si="79"/>
        <v>1.5540046868781359</v>
      </c>
      <c r="S33" s="634">
        <f t="shared" si="80"/>
        <v>-0.30730092681959531</v>
      </c>
      <c r="T33" s="635">
        <f t="shared" si="81"/>
        <v>-0.88555553297015033</v>
      </c>
      <c r="U33" s="629">
        <f t="shared" si="82"/>
        <v>-1.2769972454414951</v>
      </c>
      <c r="V33" s="636">
        <f t="shared" si="114"/>
        <v>-0.30730092681959531</v>
      </c>
      <c r="W33" s="585">
        <f t="shared" si="224"/>
        <v>235.25996603266356</v>
      </c>
      <c r="X33" s="629">
        <f t="shared" si="83"/>
        <v>1.5540046868781359</v>
      </c>
      <c r="Y33" s="630">
        <f t="shared" si="223"/>
        <v>-0.30730092681959531</v>
      </c>
      <c r="Z33" s="632">
        <f t="shared" si="6"/>
        <v>-0.50814497154244753</v>
      </c>
      <c r="AA33" s="629">
        <f t="shared" si="7"/>
        <v>-0.82337081622491159</v>
      </c>
      <c r="AB33" s="629">
        <f t="shared" si="8"/>
        <v>-0.25268396641901958</v>
      </c>
      <c r="AC33" s="636">
        <f t="shared" si="84"/>
        <v>1</v>
      </c>
      <c r="AD33" s="637">
        <f t="shared" si="115"/>
        <v>-0.50814497154244753</v>
      </c>
      <c r="AE33" s="629">
        <f t="shared" si="85"/>
        <v>-0.82337081622491159</v>
      </c>
      <c r="AF33" s="633">
        <f t="shared" si="86"/>
        <v>-0.25268396641901958</v>
      </c>
      <c r="AG33" s="602">
        <f t="shared" si="87"/>
        <v>-72.939292949982899</v>
      </c>
      <c r="AH33" s="603">
        <f t="shared" si="88"/>
        <v>120.54034603949523</v>
      </c>
      <c r="AI33" s="585">
        <f t="shared" si="89"/>
        <v>-75.363607485266854</v>
      </c>
      <c r="AJ33" s="586">
        <f t="shared" si="90"/>
        <v>-31.680894361338325</v>
      </c>
      <c r="AK33" s="635">
        <f t="shared" si="211"/>
        <v>0.96592583607220739</v>
      </c>
      <c r="AL33" s="629">
        <f t="shared" si="91"/>
        <v>5.6018678339987693E-2</v>
      </c>
      <c r="AM33" s="634">
        <f t="shared" si="92"/>
        <v>-0.25268396641901958</v>
      </c>
      <c r="AN33" s="581">
        <f t="shared" si="93"/>
        <v>12.499998195223567</v>
      </c>
      <c r="AO33" s="582">
        <f t="shared" si="94"/>
        <v>14.999997834268255</v>
      </c>
      <c r="AP33" s="585">
        <f t="shared" si="95"/>
        <v>3.3191395684587937</v>
      </c>
      <c r="AQ33" s="586">
        <f t="shared" si="9"/>
        <v>1.4666806847742089</v>
      </c>
      <c r="AS33" s="52">
        <f t="shared" si="116"/>
        <v>-124.74003396733644</v>
      </c>
      <c r="AT33" s="72">
        <f t="shared" si="10"/>
        <v>-0.22049534770168067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3.1059999999999999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1.9081641067651345</v>
      </c>
      <c r="C34" s="708">
        <v>-1.3405844043434143</v>
      </c>
      <c r="D34" s="709">
        <v>-0.13490040685962709</v>
      </c>
      <c r="E34" s="710">
        <v>0.52591835430914147</v>
      </c>
      <c r="F34" s="708">
        <v>0.81073848567635631</v>
      </c>
      <c r="G34" s="711">
        <v>0.25712446877723033</v>
      </c>
      <c r="H34" s="710">
        <v>0.314</v>
      </c>
      <c r="I34" s="708">
        <v>0.52</v>
      </c>
      <c r="J34" s="570">
        <v>3.109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3.109</v>
      </c>
      <c r="N34" s="632">
        <f t="shared" si="2"/>
        <v>1.9081641067651345</v>
      </c>
      <c r="O34" s="629">
        <f t="shared" si="3"/>
        <v>-1.3405844043434143</v>
      </c>
      <c r="P34" s="633">
        <f t="shared" si="4"/>
        <v>-0.13490040685962709</v>
      </c>
      <c r="Q34" s="585">
        <f t="shared" si="113"/>
        <v>324.90996608319728</v>
      </c>
      <c r="R34" s="629">
        <f>IF(M34="","",SQRT(N34^2+O34^2))</f>
        <v>2.3320070333332126</v>
      </c>
      <c r="S34" s="634">
        <f>IF(M34="","",P34)</f>
        <v>-0.13490040685962709</v>
      </c>
      <c r="T34" s="635">
        <f>IF(M34="","",X34*COS(RADIANS(W34)))</f>
        <v>-1.3319116585436246</v>
      </c>
      <c r="U34" s="629">
        <f>IF(M34="","",X34*SIN(RADIANS(W34)))</f>
        <v>-1.9142278175157581</v>
      </c>
      <c r="V34" s="636">
        <f>IF(M34="","",Y34)</f>
        <v>-0.13490040685962709</v>
      </c>
      <c r="W34" s="585">
        <f t="shared" si="224"/>
        <v>235.16996604565793</v>
      </c>
      <c r="X34" s="629">
        <f>IF(M34="","",R34)</f>
        <v>2.3320070333332126</v>
      </c>
      <c r="Y34" s="630">
        <f t="shared" si="223"/>
        <v>-0.13490040685962709</v>
      </c>
      <c r="Z34" s="632">
        <f t="shared" si="6"/>
        <v>-0.52591835430914147</v>
      </c>
      <c r="AA34" s="629">
        <f t="shared" si="7"/>
        <v>-0.81073848567635631</v>
      </c>
      <c r="AB34" s="629">
        <f t="shared" si="8"/>
        <v>-0.25712446877723033</v>
      </c>
      <c r="AC34" s="636">
        <f>IF(M34="","",SQRT(Z34^2+AA34^2+AB34^2))</f>
        <v>1</v>
      </c>
      <c r="AD34" s="637">
        <f>IF(M34="","",Z34*(1/SQRT(Z34^2+AA34^2+AB34^2)))</f>
        <v>-0.52591835430914147</v>
      </c>
      <c r="AE34" s="629">
        <f>IF(M34="","",AA34*(1/SQRT(Z34^2+AA34^2+AB34^2)))</f>
        <v>-0.81073848567635631</v>
      </c>
      <c r="AF34" s="633">
        <f>IF(M34="","",AB34*(1/SQRT(Z34^2+AA34^2+AB34^2)))</f>
        <v>-0.25712446877723033</v>
      </c>
      <c r="AG34" s="602">
        <f>IF(M34="","",DEGREES(ATAN2(-AF34,AE34)))</f>
        <v>-72.403655410429195</v>
      </c>
      <c r="AH34" s="603">
        <f>IF(M34="","",DEGREES(ACOS(AD34)))</f>
        <v>121.73008701000674</v>
      </c>
      <c r="AI34" s="585">
        <f>IF(M34="","",DEGREES(-ACOS(-AF34)))</f>
        <v>-75.100493546104346</v>
      </c>
      <c r="AJ34" s="586">
        <f>IF(M34="","",DEGREES(ATAN2(-AE34,AD34)))</f>
        <v>-32.971091684848119</v>
      </c>
      <c r="AK34" s="635">
        <f>IF(M34="","",(COS(RADIANS((90-$Q$8)-W34))*AD34)+(-SIN(RADIANS((90-$Q$8)-W34))*AE34))</f>
        <v>0.96571750852165716</v>
      </c>
      <c r="AL34" s="629">
        <f>IF(M34="","",(SIN(RADIANS((90-$Q$8)-W34))*AD34)+(COS(RADIANS((90-$Q$8)-W34))*AE34))</f>
        <v>3.5730957036578581E-2</v>
      </c>
      <c r="AM34" s="634">
        <f>IF(M34="","",AF34)</f>
        <v>-0.25712446877723033</v>
      </c>
      <c r="AN34" s="581">
        <f>IF(M34="","",DEGREES(ATAN2(-AM34,AL34)))</f>
        <v>7.911365604823569</v>
      </c>
      <c r="AO34" s="582">
        <f t="shared" si="94"/>
        <v>15.046047064459701</v>
      </c>
      <c r="AP34" s="585">
        <f>IF(M34="","",DEGREES(ATAN2(AK34,AL34)))</f>
        <v>2.1189422319546218</v>
      </c>
      <c r="AQ34" s="586">
        <f t="shared" si="9"/>
        <v>0.97748652520069323</v>
      </c>
      <c r="AS34" s="52">
        <f t="shared" si="116"/>
        <v>-124.83003395434207</v>
      </c>
      <c r="AT34" s="72">
        <f t="shared" si="10"/>
        <v>-4.8032327750736306E-2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3.109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2.5364358426641656</v>
      </c>
      <c r="C35" s="708">
        <v>-1.8279919116694274</v>
      </c>
      <c r="D35" s="709">
        <v>-9.3700282600052337E-2</v>
      </c>
      <c r="E35" s="710">
        <v>0.6352138011533065</v>
      </c>
      <c r="F35" s="708">
        <v>0.73055884695097617</v>
      </c>
      <c r="G35" s="711">
        <v>0.25057373758242885</v>
      </c>
      <c r="H35" s="710">
        <v>0.314</v>
      </c>
      <c r="I35" s="708">
        <v>0.52</v>
      </c>
      <c r="J35" s="570">
        <v>3.1120000000000001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3.1120000000000001</v>
      </c>
      <c r="N35" s="632">
        <f t="shared" si="2"/>
        <v>2.5364358426641656</v>
      </c>
      <c r="O35" s="629">
        <f t="shared" si="3"/>
        <v>-1.8279919116694274</v>
      </c>
      <c r="P35" s="633">
        <f t="shared" si="4"/>
        <v>-9.3700282600052337E-2</v>
      </c>
      <c r="Q35" s="585">
        <f t="shared" si="113"/>
        <v>324.21996618282094</v>
      </c>
      <c r="R35" s="629">
        <f>IF(M35="","",SQRT(N35^2+O35^2))</f>
        <v>3.1265094295524398</v>
      </c>
      <c r="S35" s="634">
        <f>IF(M35="","",P35)</f>
        <v>-9.3700282600052337E-2</v>
      </c>
      <c r="T35" s="635">
        <f>IF(M35="","",X35*COS(RADIANS(W35)))</f>
        <v>-1.8164631509937628</v>
      </c>
      <c r="U35" s="629">
        <f>IF(M35="","",X35*SIN(RADIANS(W35)))</f>
        <v>-2.5447048618969808</v>
      </c>
      <c r="V35" s="636">
        <f>IF(M35="","",Y35)</f>
        <v>-9.3700282600052337E-2</v>
      </c>
      <c r="W35" s="585">
        <f t="shared" si="224"/>
        <v>234.47996614528159</v>
      </c>
      <c r="X35" s="629">
        <f>IF(M35="","",R35)</f>
        <v>3.1265094295524398</v>
      </c>
      <c r="Y35" s="630">
        <f t="shared" si="223"/>
        <v>-9.3700282600052337E-2</v>
      </c>
      <c r="Z35" s="632">
        <f t="shared" si="6"/>
        <v>-0.6352138011533065</v>
      </c>
      <c r="AA35" s="629">
        <f t="shared" si="7"/>
        <v>-0.73055884695097617</v>
      </c>
      <c r="AB35" s="629">
        <f t="shared" si="8"/>
        <v>-0.25057373758242885</v>
      </c>
      <c r="AC35" s="636">
        <f>IF(M35="","",SQRT(Z35^2+AA35^2+AB35^2))</f>
        <v>1</v>
      </c>
      <c r="AD35" s="637">
        <f>IF(M35="","",Z35*(1/SQRT(Z35^2+AA35^2+AB35^2)))</f>
        <v>-0.6352138011533065</v>
      </c>
      <c r="AE35" s="629">
        <f>IF(M35="","",AA35*(1/SQRT(Z35^2+AA35^2+AB35^2)))</f>
        <v>-0.73055884695097617</v>
      </c>
      <c r="AF35" s="633">
        <f>IF(M35="","",AB35*(1/SQRT(Z35^2+AA35^2+AB35^2)))</f>
        <v>-0.25057373758242885</v>
      </c>
      <c r="AG35" s="602">
        <f>IF(M35="","",DEGREES(ATAN2(-AF35,AE35)))</f>
        <v>-71.068589405793361</v>
      </c>
      <c r="AH35" s="603">
        <f>IF(M35="","",DEGREES(ACOS(AD35)))</f>
        <v>129.43584350285266</v>
      </c>
      <c r="AI35" s="585">
        <f>IF(M35="","",DEGREES(-ACOS(-AF35)))</f>
        <v>-75.488534392532188</v>
      </c>
      <c r="AJ35" s="586">
        <f>IF(M35="","",DEGREES(ATAN2(-AE35,AD35)))</f>
        <v>-41.006641229920966</v>
      </c>
      <c r="AK35" s="635">
        <f>IF(M35="","",(COS(RADIANS((90-$Q$8)-W35))*AD35)+(-SIN(RADIANS((90-$Q$8)-W35))*AE35))</f>
        <v>0.96407236350551384</v>
      </c>
      <c r="AL35" s="629">
        <f>IF(M35="","",(SIN(RADIANS((90-$Q$8)-W35))*AD35)+(COS(RADIANS((90-$Q$8)-W35))*AE35))</f>
        <v>-8.8188887955708672E-2</v>
      </c>
      <c r="AM35" s="634">
        <f>IF(M35="","",AF35)</f>
        <v>-0.25057373758242885</v>
      </c>
      <c r="AN35" s="581">
        <f>IF(M35="","",DEGREES(ATAN2(-AM35,AL35)))</f>
        <v>-19.389409848181781</v>
      </c>
      <c r="AO35" s="582">
        <f t="shared" si="94"/>
        <v>15.404970432113993</v>
      </c>
      <c r="AP35" s="585">
        <f>IF(M35="","",DEGREES(ATAN2(AK35,AL35)))</f>
        <v>-5.2266074127418856</v>
      </c>
      <c r="AQ35" s="586">
        <f t="shared" si="9"/>
        <v>0.72912096458043352</v>
      </c>
      <c r="AS35" s="52">
        <f t="shared" si="116"/>
        <v>-125.52003385471841</v>
      </c>
      <c r="AT35" s="72">
        <f t="shared" si="10"/>
        <v>-6.3530368936779852E-3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3.1120000000000001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3.0972602721970999</v>
      </c>
      <c r="C36" s="708">
        <v>-2.3111532058126563</v>
      </c>
      <c r="D36" s="709">
        <v>-0.39460119011718947</v>
      </c>
      <c r="E36" s="710">
        <v>0.72759133407643184</v>
      </c>
      <c r="F36" s="708">
        <v>0.65683282021351075</v>
      </c>
      <c r="G36" s="711">
        <v>0.19794316575028265</v>
      </c>
      <c r="H36" s="710">
        <v>0.314</v>
      </c>
      <c r="I36" s="708">
        <v>0.52</v>
      </c>
      <c r="J36" s="570">
        <v>3.1150000000000002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3.1150000000000002</v>
      </c>
      <c r="N36" s="632">
        <f t="shared" si="2"/>
        <v>3.0972602721970999</v>
      </c>
      <c r="O36" s="629">
        <f t="shared" si="3"/>
        <v>-2.3111532058126563</v>
      </c>
      <c r="P36" s="633">
        <f t="shared" si="4"/>
        <v>-0.39460119011718947</v>
      </c>
      <c r="Q36" s="585">
        <f t="shared" si="113"/>
        <v>323.26996631998395</v>
      </c>
      <c r="R36" s="629">
        <f>IF(M36="","",SQRT(N36^2+O36^2))</f>
        <v>3.8645116553671528</v>
      </c>
      <c r="S36" s="634">
        <f>IF(M36="","",P36)</f>
        <v>-0.39460119011718947</v>
      </c>
      <c r="T36" s="635">
        <f>IF(M36="","",X36*COS(RADIANS(W36)))</f>
        <v>-2.29707453905332</v>
      </c>
      <c r="U36" s="629">
        <f>IF(M36="","",X36*SIN(RADIANS(W36)))</f>
        <v>-3.1077160257175285</v>
      </c>
      <c r="V36" s="636">
        <f>IF(M36="","",Y36)</f>
        <v>-0.39460119011718947</v>
      </c>
      <c r="W36" s="585">
        <f t="shared" si="224"/>
        <v>233.5299662824446</v>
      </c>
      <c r="X36" s="629">
        <f>IF(M36="","",R36)</f>
        <v>3.8645116553671528</v>
      </c>
      <c r="Y36" s="630">
        <f t="shared" si="223"/>
        <v>-0.39460119011718947</v>
      </c>
      <c r="Z36" s="632">
        <f t="shared" si="6"/>
        <v>-0.72759133407643184</v>
      </c>
      <c r="AA36" s="629">
        <f t="shared" si="7"/>
        <v>-0.65683282021351075</v>
      </c>
      <c r="AB36" s="629">
        <f t="shared" si="8"/>
        <v>-0.19794316575028265</v>
      </c>
      <c r="AC36" s="636">
        <f>IF(M36="","",SQRT(Z36^2+AA36^2+AB36^2))</f>
        <v>1</v>
      </c>
      <c r="AD36" s="637">
        <f>IF(M36="","",Z36*(1/SQRT(Z36^2+AA36^2+AB36^2)))</f>
        <v>-0.72759133407643184</v>
      </c>
      <c r="AE36" s="629">
        <f>IF(M36="","",AA36*(1/SQRT(Z36^2+AA36^2+AB36^2)))</f>
        <v>-0.65683282021351075</v>
      </c>
      <c r="AF36" s="633">
        <f>IF(M36="","",AB36*(1/SQRT(Z36^2+AA36^2+AB36^2)))</f>
        <v>-0.19794316575028265</v>
      </c>
      <c r="AG36" s="602">
        <f>IF(M36="","",DEGREES(ATAN2(-AF36,AE36)))</f>
        <v>-73.229292076733984</v>
      </c>
      <c r="AH36" s="603">
        <f>IF(M36="","",DEGREES(ACOS(AD36)))</f>
        <v>136.68484533556017</v>
      </c>
      <c r="AI36" s="585">
        <f>IF(M36="","",DEGREES(-ACOS(-AF36)))</f>
        <v>-78.583293327867935</v>
      </c>
      <c r="AJ36" s="586">
        <f>IF(M36="","",DEGREES(ATAN2(-AE36,AD36)))</f>
        <v>-47.925865978661037</v>
      </c>
      <c r="AK36" s="635">
        <f>IF(M36="","",(COS(RADIANS((90-$Q$8)-W36))*AD36)+(-SIN(RADIANS((90-$Q$8)-W36))*AE36))</f>
        <v>0.96155933147048578</v>
      </c>
      <c r="AL36" s="629">
        <f>IF(M36="","",(SIN(RADIANS((90-$Q$8)-W36))*AD36)+(COS(RADIANS((90-$Q$8)-W36))*AE36))</f>
        <v>-0.19032118955804272</v>
      </c>
      <c r="AM36" s="634">
        <f>IF(M36="","",AF36)</f>
        <v>-0.19794316575028265</v>
      </c>
      <c r="AN36" s="581">
        <f>IF(M36="","",DEGREES(ATAN2(-AM36,AL36)))</f>
        <v>-43.875377108044532</v>
      </c>
      <c r="AO36" s="582">
        <f t="shared" si="94"/>
        <v>15.938014592866814</v>
      </c>
      <c r="AP36" s="585">
        <f>IF(M36="","",DEGREES(ATAN2(AK36,AL36)))</f>
        <v>-11.195832298644985</v>
      </c>
      <c r="AQ36" s="586">
        <f t="shared" si="9"/>
        <v>0.58989240694870282</v>
      </c>
      <c r="AS36" s="52">
        <f t="shared" si="116"/>
        <v>-126.4700337175554</v>
      </c>
      <c r="AT36" s="72">
        <f t="shared" si="10"/>
        <v>-0.30659422228384497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3.1150000000000002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3.4909467599448583</v>
      </c>
      <c r="C37" s="708">
        <v>-2.6816061615133968</v>
      </c>
      <c r="D37" s="709">
        <v>-0.9830029647369416</v>
      </c>
      <c r="E37" s="710">
        <v>0.79474537469999507</v>
      </c>
      <c r="F37" s="708">
        <v>0.59328757371374163</v>
      </c>
      <c r="G37" s="711">
        <v>0.12802204603046397</v>
      </c>
      <c r="H37" s="710">
        <v>0.314</v>
      </c>
      <c r="I37" s="708">
        <v>0.52</v>
      </c>
      <c r="J37" s="570">
        <v>3.1179999999999999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3.1179999999999999</v>
      </c>
      <c r="N37" s="632">
        <f t="shared" si="2"/>
        <v>3.4909467599448583</v>
      </c>
      <c r="O37" s="629">
        <f t="shared" si="3"/>
        <v>-2.6816061615133968</v>
      </c>
      <c r="P37" s="633">
        <f t="shared" si="4"/>
        <v>-0.9830029647369416</v>
      </c>
      <c r="Q37" s="585">
        <f t="shared" si="113"/>
        <v>322.46996643548965</v>
      </c>
      <c r="R37" s="629">
        <f t="shared" si="79"/>
        <v>4.4020132764720419</v>
      </c>
      <c r="S37" s="634">
        <f t="shared" si="80"/>
        <v>-0.9830029647369416</v>
      </c>
      <c r="T37" s="635">
        <f t="shared" si="81"/>
        <v>-2.6657371943295307</v>
      </c>
      <c r="U37" s="629">
        <f t="shared" si="82"/>
        <v>-3.5030795162262933</v>
      </c>
      <c r="V37" s="636">
        <f t="shared" si="114"/>
        <v>-0.9830029647369416</v>
      </c>
      <c r="W37" s="585">
        <f t="shared" si="224"/>
        <v>232.72996639795031</v>
      </c>
      <c r="X37" s="629">
        <f t="shared" si="83"/>
        <v>4.4020132764720419</v>
      </c>
      <c r="Y37" s="630">
        <f t="shared" si="223"/>
        <v>-0.9830029647369416</v>
      </c>
      <c r="Z37" s="632">
        <f t="shared" si="6"/>
        <v>-0.79474537469999507</v>
      </c>
      <c r="AA37" s="629">
        <f t="shared" si="7"/>
        <v>-0.59328757371374163</v>
      </c>
      <c r="AB37" s="629">
        <f t="shared" si="8"/>
        <v>-0.12802204603046397</v>
      </c>
      <c r="AC37" s="636">
        <f t="shared" si="84"/>
        <v>1</v>
      </c>
      <c r="AD37" s="637">
        <f t="shared" si="115"/>
        <v>-0.79474537469999507</v>
      </c>
      <c r="AE37" s="629">
        <f t="shared" si="85"/>
        <v>-0.59328757371374163</v>
      </c>
      <c r="AF37" s="633">
        <f t="shared" si="86"/>
        <v>-0.12802204603046397</v>
      </c>
      <c r="AG37" s="602">
        <f t="shared" si="87"/>
        <v>-77.823184139851122</v>
      </c>
      <c r="AH37" s="603">
        <f t="shared" si="88"/>
        <v>142.6312122595844</v>
      </c>
      <c r="AI37" s="585">
        <f t="shared" si="89"/>
        <v>-82.644691166680161</v>
      </c>
      <c r="AJ37" s="586">
        <f t="shared" si="90"/>
        <v>-53.25819070334159</v>
      </c>
      <c r="AK37" s="635">
        <f t="shared" si="211"/>
        <v>0.95463806282956876</v>
      </c>
      <c r="AL37" s="629">
        <f t="shared" si="91"/>
        <v>-0.26884293691146571</v>
      </c>
      <c r="AM37" s="634">
        <f t="shared" si="92"/>
        <v>-0.12802204603046397</v>
      </c>
      <c r="AN37" s="581">
        <f t="shared" si="93"/>
        <v>-64.536376997321099</v>
      </c>
      <c r="AO37" s="582">
        <f t="shared" si="94"/>
        <v>17.323632260057622</v>
      </c>
      <c r="AP37" s="585">
        <f t="shared" si="95"/>
        <v>-15.728157138831234</v>
      </c>
      <c r="AQ37" s="586">
        <f t="shared" si="9"/>
        <v>0.51786862235608233</v>
      </c>
      <c r="AS37" s="52">
        <f t="shared" si="116"/>
        <v>-127.27003360204969</v>
      </c>
      <c r="AT37" s="72">
        <f t="shared" si="10"/>
        <v>-0.89444044142825385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3.1179999999999999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3.6580688156707009</v>
      </c>
      <c r="C38" s="708">
        <v>-2.8467070763253175</v>
      </c>
      <c r="D38" s="709">
        <v>-1.7450052629358732</v>
      </c>
      <c r="E38" s="710">
        <v>0.83026776468071106</v>
      </c>
      <c r="F38" s="708">
        <v>0.55589799181711519</v>
      </c>
      <c r="G38" s="711">
        <v>4.0408682554547382E-2</v>
      </c>
      <c r="H38" s="710">
        <v>0.314</v>
      </c>
      <c r="I38" s="708">
        <v>0.52</v>
      </c>
      <c r="J38" s="570">
        <v>3.121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3.121</v>
      </c>
      <c r="N38" s="632">
        <f t="shared" si="2"/>
        <v>3.6580688156707009</v>
      </c>
      <c r="O38" s="629">
        <f t="shared" si="3"/>
        <v>-2.8467070763253175</v>
      </c>
      <c r="P38" s="633">
        <f t="shared" si="4"/>
        <v>-1.7450052629358732</v>
      </c>
      <c r="Q38" s="585">
        <f t="shared" si="113"/>
        <v>322.1099664874672</v>
      </c>
      <c r="R38" s="629">
        <f t="shared" si="79"/>
        <v>4.6352139798053642</v>
      </c>
      <c r="S38" s="634">
        <f t="shared" si="80"/>
        <v>-1.7450052629358732</v>
      </c>
      <c r="T38" s="635">
        <f t="shared" si="81"/>
        <v>-2.8300780361342106</v>
      </c>
      <c r="U38" s="629">
        <f t="shared" si="82"/>
        <v>-3.6709490527619439</v>
      </c>
      <c r="V38" s="636">
        <f t="shared" si="114"/>
        <v>-1.7450052629358732</v>
      </c>
      <c r="W38" s="585">
        <f t="shared" si="224"/>
        <v>232.36996644992786</v>
      </c>
      <c r="X38" s="629">
        <f t="shared" si="83"/>
        <v>4.6352139798053642</v>
      </c>
      <c r="Y38" s="630">
        <f t="shared" si="223"/>
        <v>-1.7450052629358732</v>
      </c>
      <c r="Z38" s="632">
        <f t="shared" si="6"/>
        <v>-0.83026776468071106</v>
      </c>
      <c r="AA38" s="629">
        <f t="shared" si="7"/>
        <v>-0.55589799181711519</v>
      </c>
      <c r="AB38" s="629">
        <f t="shared" si="8"/>
        <v>-4.0408682554547382E-2</v>
      </c>
      <c r="AC38" s="636">
        <f t="shared" si="84"/>
        <v>1</v>
      </c>
      <c r="AD38" s="637">
        <f t="shared" si="115"/>
        <v>-0.83026776468071106</v>
      </c>
      <c r="AE38" s="629">
        <f t="shared" si="85"/>
        <v>-0.55589799181711519</v>
      </c>
      <c r="AF38" s="633">
        <f t="shared" si="86"/>
        <v>-4.0408682554547382E-2</v>
      </c>
      <c r="AG38" s="602">
        <f t="shared" si="87"/>
        <v>-85.842435136660043</v>
      </c>
      <c r="AH38" s="603">
        <f t="shared" si="88"/>
        <v>146.12625373978992</v>
      </c>
      <c r="AI38" s="585">
        <f t="shared" si="89"/>
        <v>-87.684122490861057</v>
      </c>
      <c r="AJ38" s="586">
        <f t="shared" si="90"/>
        <v>-56.196084616564569</v>
      </c>
      <c r="AK38" s="635">
        <f t="shared" si="211"/>
        <v>0.94861688126557064</v>
      </c>
      <c r="AL38" s="629">
        <f t="shared" si="91"/>
        <v>-0.31383618489936432</v>
      </c>
      <c r="AM38" s="634">
        <f t="shared" si="92"/>
        <v>-4.0408682554547382E-2</v>
      </c>
      <c r="AN38" s="581">
        <f t="shared" si="93"/>
        <v>-82.663120219113907</v>
      </c>
      <c r="AO38" s="582">
        <f t="shared" si="94"/>
        <v>18.446978770303382</v>
      </c>
      <c r="AP38" s="585">
        <f t="shared" si="95"/>
        <v>-18.306051104031773</v>
      </c>
      <c r="AQ38" s="586">
        <f t="shared" si="9"/>
        <v>0.49181562065223206</v>
      </c>
      <c r="AS38" s="52">
        <f t="shared" si="116"/>
        <v>-127.63003355007214</v>
      </c>
      <c r="AT38" s="72">
        <f t="shared" si="10"/>
        <v>-1.656192739663281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3.121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3.7285375883244187</v>
      </c>
      <c r="C39" s="708">
        <v>-2.9182997996156144</v>
      </c>
      <c r="D39" s="709">
        <v>-2.4715074540664816</v>
      </c>
      <c r="E39" s="710">
        <v>0.92644033697516937</v>
      </c>
      <c r="F39" s="708">
        <v>0.36522600881294504</v>
      </c>
      <c r="G39" s="711">
        <v>9.1204520238316517E-2</v>
      </c>
      <c r="H39" s="710">
        <v>0.26600000000000001</v>
      </c>
      <c r="I39" s="708">
        <v>0.52</v>
      </c>
      <c r="J39" s="570">
        <v>3.1240000000000001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3.1240000000000001</v>
      </c>
      <c r="N39" s="632">
        <f t="shared" si="2"/>
        <v>3.7285375883244187</v>
      </c>
      <c r="O39" s="629">
        <f t="shared" si="3"/>
        <v>-2.9182997996156144</v>
      </c>
      <c r="P39" s="633">
        <f t="shared" si="4"/>
        <v>-2.4715074540664816</v>
      </c>
      <c r="Q39" s="585">
        <f t="shared" si="113"/>
        <v>321.94996651056834</v>
      </c>
      <c r="R39" s="629">
        <f t="shared" si="79"/>
        <v>4.7348142801998696</v>
      </c>
      <c r="S39" s="634">
        <f t="shared" si="80"/>
        <v>-2.4715074540664816</v>
      </c>
      <c r="T39" s="635">
        <f t="shared" si="81"/>
        <v>-2.901350246299343</v>
      </c>
      <c r="U39" s="629">
        <f t="shared" si="82"/>
        <v>-3.7417419761767845</v>
      </c>
      <c r="V39" s="636">
        <f t="shared" si="114"/>
        <v>-2.4715074540664816</v>
      </c>
      <c r="W39" s="585">
        <f t="shared" si="224"/>
        <v>232.209966473029</v>
      </c>
      <c r="X39" s="629">
        <f t="shared" si="83"/>
        <v>4.7348142801998696</v>
      </c>
      <c r="Y39" s="630">
        <f t="shared" si="223"/>
        <v>-2.4715074540664816</v>
      </c>
      <c r="Z39" s="632">
        <f t="shared" si="6"/>
        <v>-0.92644033697516937</v>
      </c>
      <c r="AA39" s="629">
        <f t="shared" si="7"/>
        <v>-0.36522600881294504</v>
      </c>
      <c r="AB39" s="629">
        <f t="shared" si="8"/>
        <v>-9.1204520238316517E-2</v>
      </c>
      <c r="AC39" s="636">
        <f t="shared" si="84"/>
        <v>1</v>
      </c>
      <c r="AD39" s="637">
        <f t="shared" si="115"/>
        <v>-0.92644033697516937</v>
      </c>
      <c r="AE39" s="629">
        <f t="shared" si="85"/>
        <v>-0.36522600881294504</v>
      </c>
      <c r="AF39" s="633">
        <f t="shared" si="86"/>
        <v>-9.1204520238316517E-2</v>
      </c>
      <c r="AG39" s="602">
        <f t="shared" si="87"/>
        <v>-75.978815107766934</v>
      </c>
      <c r="AH39" s="603">
        <f t="shared" si="88"/>
        <v>157.88655746819998</v>
      </c>
      <c r="AI39" s="585">
        <f t="shared" si="89"/>
        <v>-84.767093963198363</v>
      </c>
      <c r="AJ39" s="586">
        <f t="shared" si="90"/>
        <v>-68.484397795658225</v>
      </c>
      <c r="AK39" s="635">
        <f t="shared" si="211"/>
        <v>0.85861647601342017</v>
      </c>
      <c r="AL39" s="629">
        <f t="shared" si="91"/>
        <v>-0.50443977103951121</v>
      </c>
      <c r="AM39" s="634">
        <f t="shared" si="92"/>
        <v>-9.1204520238316517E-2</v>
      </c>
      <c r="AN39" s="581">
        <f t="shared" si="93"/>
        <v>-79.751435317291325</v>
      </c>
      <c r="AO39" s="582">
        <f t="shared" si="94"/>
        <v>30.838405991885804</v>
      </c>
      <c r="AP39" s="585">
        <f t="shared" si="95"/>
        <v>-30.434364306226549</v>
      </c>
      <c r="AQ39" s="586">
        <f t="shared" si="9"/>
        <v>0.48147040965083693</v>
      </c>
      <c r="AS39" s="52">
        <f t="shared" si="116"/>
        <v>-127.790033526971</v>
      </c>
      <c r="AT39" s="72">
        <f t="shared" si="10"/>
        <v>-2.3825838196988207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3.1240000000000001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1313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0.51160457628880174</v>
      </c>
      <c r="C40" s="708">
        <v>-1.4584671681341206</v>
      </c>
      <c r="D40" s="709">
        <v>-0.33391179631092444</v>
      </c>
      <c r="E40" s="710">
        <v>-7.1643029588733448E-2</v>
      </c>
      <c r="F40" s="708">
        <v>0.20423851125803158</v>
      </c>
      <c r="G40" s="711">
        <v>0.97629601393760235</v>
      </c>
      <c r="H40" s="710">
        <v>0.26250000000000001</v>
      </c>
      <c r="I40" s="708">
        <v>0.40699999999999997</v>
      </c>
      <c r="J40" s="570">
        <v>3.206</v>
      </c>
      <c r="K40" s="865" t="str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Inactive</v>
      </c>
      <c r="L40" s="1314"/>
      <c r="M40" s="168">
        <f t="shared" si="1"/>
        <v>3.206</v>
      </c>
      <c r="N40" s="632">
        <f t="shared" si="2"/>
        <v>0.51160457628880174</v>
      </c>
      <c r="O40" s="629">
        <f t="shared" si="3"/>
        <v>-1.4584671681341206</v>
      </c>
      <c r="P40" s="633">
        <f t="shared" si="4"/>
        <v>-0.33391179631092444</v>
      </c>
      <c r="Q40" s="585">
        <f t="shared" si="113"/>
        <v>289.32997122031293</v>
      </c>
      <c r="R40" s="629">
        <f t="shared" si="79"/>
        <v>1.5455955884398755</v>
      </c>
      <c r="S40" s="634">
        <f t="shared" si="80"/>
        <v>-0.33391179631092444</v>
      </c>
      <c r="T40" s="635">
        <f t="shared" si="81"/>
        <v>-1.4561305720644904</v>
      </c>
      <c r="U40" s="629">
        <f t="shared" si="82"/>
        <v>-0.51821759918391919</v>
      </c>
      <c r="V40" s="636">
        <f t="shared" si="114"/>
        <v>-0.33391179631092444</v>
      </c>
      <c r="W40" s="585">
        <f t="shared" si="224"/>
        <v>199.58997118277358</v>
      </c>
      <c r="X40" s="629">
        <f t="shared" si="83"/>
        <v>1.5455955884398755</v>
      </c>
      <c r="Y40" s="630">
        <f t="shared" si="223"/>
        <v>-0.33391179631092444</v>
      </c>
      <c r="Z40" s="632">
        <f t="shared" si="6"/>
        <v>7.1643029588733448E-2</v>
      </c>
      <c r="AA40" s="629">
        <f t="shared" si="7"/>
        <v>-0.20423851125803158</v>
      </c>
      <c r="AB40" s="629">
        <f t="shared" si="8"/>
        <v>-0.97629601393760235</v>
      </c>
      <c r="AC40" s="636">
        <f t="shared" si="84"/>
        <v>1</v>
      </c>
      <c r="AD40" s="637">
        <f t="shared" si="115"/>
        <v>7.1643029588733448E-2</v>
      </c>
      <c r="AE40" s="629">
        <f t="shared" si="85"/>
        <v>-0.20423851125803158</v>
      </c>
      <c r="AF40" s="633">
        <f t="shared" si="86"/>
        <v>-0.97629601393760235</v>
      </c>
      <c r="AG40" s="602">
        <f t="shared" si="87"/>
        <v>-11.815724434243931</v>
      </c>
      <c r="AH40" s="603">
        <f t="shared" si="88"/>
        <v>85.891637133211773</v>
      </c>
      <c r="AI40" s="585">
        <f t="shared" si="89"/>
        <v>-12.499998195230159</v>
      </c>
      <c r="AJ40" s="586">
        <f t="shared" si="90"/>
        <v>19.32991118327995</v>
      </c>
      <c r="AK40" s="635">
        <f t="shared" si="211"/>
        <v>2.2679489664056973E-7</v>
      </c>
      <c r="AL40" s="629">
        <f t="shared" si="91"/>
        <v>0.21643958318546491</v>
      </c>
      <c r="AM40" s="634">
        <f t="shared" si="92"/>
        <v>-0.97629601393760235</v>
      </c>
      <c r="AN40" s="581">
        <f t="shared" si="93"/>
        <v>12.499998195223553</v>
      </c>
      <c r="AO40" s="582">
        <f t="shared" si="94"/>
        <v>0</v>
      </c>
      <c r="AP40" s="585">
        <f t="shared" si="95"/>
        <v>89.999939962967019</v>
      </c>
      <c r="AQ40" s="586">
        <f t="shared" si="9"/>
        <v>1.4746569180989308</v>
      </c>
      <c r="AS40" s="52">
        <f t="shared" si="116"/>
        <v>-160.41002881722642</v>
      </c>
      <c r="AT40" s="72">
        <f t="shared" si="10"/>
        <v>-0.22233538743614173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Nose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3.206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3.1059999999999999</v>
      </c>
      <c r="II40" s="734" cm="1">
        <f t="array" ref="II40">IFERROR(ROUND(VALUE(IF($IH40&lt;1,$IH40+LARGE((IF($M$9:$M$150="",0,$M$9:$M$150)-MOD(IF($M$9:$M$150="",0,$M$9:$M$150),1)),1),$IH40)),4),"")</f>
        <v>3.1059999999999999</v>
      </c>
      <c r="IJ40" s="533">
        <f t="shared" si="112"/>
        <v>1613</v>
      </c>
      <c r="IK40" s="533" t="str">
        <f t="shared" si="66"/>
        <v>Inactive</v>
      </c>
      <c r="IL40" s="727">
        <f t="shared" si="225"/>
        <v>35.669994849889974</v>
      </c>
      <c r="IM40" s="759">
        <v>4.9688819355256798E-2</v>
      </c>
      <c r="IN40" s="5">
        <f t="shared" si="226"/>
        <v>0.66</v>
      </c>
      <c r="IO40" s="771">
        <v>330</v>
      </c>
      <c r="IP40" s="9">
        <f t="shared" si="227"/>
        <v>-1.5540046868781359</v>
      </c>
      <c r="IQ40" s="5">
        <f t="shared" si="228"/>
        <v>-0.30730092681959531</v>
      </c>
      <c r="IR40" s="5">
        <f t="shared" si="71"/>
        <v>0.314</v>
      </c>
      <c r="IS40" s="5">
        <f t="shared" si="229"/>
        <v>0.30330071252667312</v>
      </c>
      <c r="IT40" s="727">
        <f t="shared" si="230"/>
        <v>-12.499998195223567</v>
      </c>
      <c r="IU40" s="9">
        <f t="shared" si="231"/>
        <v>-1.5455955884398755</v>
      </c>
      <c r="IV40" s="5">
        <f t="shared" si="232"/>
        <v>-0.33391179631092444</v>
      </c>
      <c r="IW40" s="5">
        <f t="shared" si="76"/>
        <v>0.26250000000000001</v>
      </c>
      <c r="IX40" s="5">
        <f t="shared" si="233"/>
        <v>0.26250000000000001</v>
      </c>
      <c r="IY40" s="762">
        <f t="shared" si="234"/>
        <v>-12.499998195223553</v>
      </c>
    </row>
    <row r="41" spans="1:267" ht="15" customHeight="1" x14ac:dyDescent="0.25">
      <c r="A41" s="79"/>
      <c r="B41" s="707">
        <v>1.235786057324606</v>
      </c>
      <c r="C41" s="708">
        <v>-1.9677246208680206</v>
      </c>
      <c r="D41" s="709">
        <v>-0.14360844457823774</v>
      </c>
      <c r="E41" s="710">
        <v>-0.11511138345711124</v>
      </c>
      <c r="F41" s="708">
        <v>0.18329065052025742</v>
      </c>
      <c r="G41" s="711">
        <v>0.97629601393760224</v>
      </c>
      <c r="H41" s="710">
        <v>0.26250000000000001</v>
      </c>
      <c r="I41" s="708">
        <v>0.40699999999999997</v>
      </c>
      <c r="J41" s="570">
        <v>3.2090000000000001</v>
      </c>
      <c r="K41" s="865" t="str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Inactive</v>
      </c>
      <c r="L41" s="320"/>
      <c r="M41" s="168">
        <f t="shared" ref="M41:M72" si="239">IF(J41="","",VALUE(J41))</f>
        <v>3.2090000000000001</v>
      </c>
      <c r="N41" s="632">
        <f t="shared" ref="N41:N72" si="240">IF(M41="","",B41)</f>
        <v>1.235786057324606</v>
      </c>
      <c r="O41" s="629">
        <f t="shared" ref="O41:O72" si="241">IF(M41="","",C41)</f>
        <v>-1.9677246208680206</v>
      </c>
      <c r="P41" s="633">
        <f t="shared" ref="P41:P72" si="242">IF(M41="","",D41)</f>
        <v>-0.14360844457823774</v>
      </c>
      <c r="Q41" s="585">
        <f t="shared" si="113"/>
        <v>302.12996937222186</v>
      </c>
      <c r="R41" s="629">
        <f t="shared" si="79"/>
        <v>2.3235979348949529</v>
      </c>
      <c r="S41" s="634">
        <f t="shared" si="80"/>
        <v>-0.14360844457823774</v>
      </c>
      <c r="T41" s="635">
        <f t="shared" si="81"/>
        <v>-1.9620965618932442</v>
      </c>
      <c r="U41" s="629">
        <f t="shared" si="82"/>
        <v>-1.2447025527630289</v>
      </c>
      <c r="V41" s="636">
        <f t="shared" si="114"/>
        <v>-0.14360844457823774</v>
      </c>
      <c r="W41" s="585">
        <f t="shared" si="224"/>
        <v>212.38996933468252</v>
      </c>
      <c r="X41" s="629">
        <f t="shared" si="83"/>
        <v>2.3235979348949529</v>
      </c>
      <c r="Y41" s="630">
        <f t="shared" si="223"/>
        <v>-0.14360844457823774</v>
      </c>
      <c r="Z41" s="632">
        <f t="shared" ref="Z41:Z72" si="243">IF(M41="","",-E41)</f>
        <v>0.11511138345711124</v>
      </c>
      <c r="AA41" s="629">
        <f t="shared" ref="AA41:AA72" si="244">IF(M41="","",-F41)</f>
        <v>-0.18329065052025742</v>
      </c>
      <c r="AB41" s="629">
        <f t="shared" ref="AB41:AB72" si="245">IF(M41="","",-G41)</f>
        <v>-0.97629601393760224</v>
      </c>
      <c r="AC41" s="636">
        <f t="shared" si="84"/>
        <v>1</v>
      </c>
      <c r="AD41" s="637">
        <f t="shared" si="115"/>
        <v>0.11511138345711124</v>
      </c>
      <c r="AE41" s="629">
        <f t="shared" si="85"/>
        <v>-0.18329065052025742</v>
      </c>
      <c r="AF41" s="633">
        <f t="shared" si="86"/>
        <v>-0.97629601393760224</v>
      </c>
      <c r="AG41" s="602">
        <f t="shared" si="87"/>
        <v>-10.632986111697164</v>
      </c>
      <c r="AH41" s="603">
        <f t="shared" si="88"/>
        <v>83.389950484654406</v>
      </c>
      <c r="AI41" s="585">
        <f t="shared" si="89"/>
        <v>-12.499998195230186</v>
      </c>
      <c r="AJ41" s="586">
        <f t="shared" si="90"/>
        <v>32.129909335188877</v>
      </c>
      <c r="AK41" s="635">
        <f t="shared" si="211"/>
        <v>2.2679489664056973E-7</v>
      </c>
      <c r="AL41" s="629">
        <f t="shared" si="91"/>
        <v>0.21643958318546497</v>
      </c>
      <c r="AM41" s="634">
        <f t="shared" si="92"/>
        <v>-0.97629601393760224</v>
      </c>
      <c r="AN41" s="581">
        <f t="shared" si="93"/>
        <v>12.499998195223556</v>
      </c>
      <c r="AO41" s="582">
        <f t="shared" si="94"/>
        <v>0</v>
      </c>
      <c r="AP41" s="585">
        <f t="shared" si="95"/>
        <v>89.999939962967019</v>
      </c>
      <c r="AQ41" s="586">
        <f t="shared" ref="AQ41:AQ72" si="246">IF(M41="","",DEGREES(ATAN(($AS$5*SIN(RADIANS(90)))/(($X41*2*PI())-($AS$5*COS(RADIANS(90)))))))</f>
        <v>0.98102335778801175</v>
      </c>
      <c r="AS41" s="52">
        <f t="shared" si="116"/>
        <v>-147.61003066531748</v>
      </c>
      <c r="AT41" s="72">
        <f t="shared" ref="AT41:AT72" si="247">IF(M41="","",Y41+(((AS41-$AS$9)*$AS$6)*-1))</f>
        <v>-4.0920923308947366E-2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Nose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3.2090000000000001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3.109</v>
      </c>
      <c r="II41" s="734" cm="1">
        <f t="array" ref="II41">IFERROR(ROUND(VALUE(IF($IH41&lt;1,$IH41+LARGE((IF($M$9:$M$150="",0,$M$9:$M$150)-MOD(IF($M$9:$M$150="",0,$M$9:$M$150),1)),1),$IH41)),4),"")</f>
        <v>3.109</v>
      </c>
      <c r="IJ41" s="533">
        <f t="shared" si="112"/>
        <v>1613</v>
      </c>
      <c r="IK41" s="533" t="str">
        <f t="shared" ref="IK41:IK72" si="382">IF(ISNUMBER($II41),INDEX($K$9:$K$150,MATCH($IG41,$M$9:$M$150,0)),"")</f>
        <v>Inactive</v>
      </c>
      <c r="IL41" s="727">
        <f t="shared" si="225"/>
        <v>22.779996710975411</v>
      </c>
      <c r="IM41" s="759">
        <v>4.4371260154587602E-2</v>
      </c>
      <c r="IN41" s="5">
        <f t="shared" si="226"/>
        <v>0.76</v>
      </c>
      <c r="IO41" s="771">
        <v>380</v>
      </c>
      <c r="IP41" s="9">
        <f t="shared" si="227"/>
        <v>-2.3320070333332126</v>
      </c>
      <c r="IQ41" s="5">
        <f t="shared" si="228"/>
        <v>-0.13490040685962709</v>
      </c>
      <c r="IR41" s="5">
        <f t="shared" ref="IR41:IR72" si="383">IF(ISNUMBER($II41),INDEX($H$9:$H$150,MATCH($II41,$M$9:$M$150,0)),"")</f>
        <v>0.314</v>
      </c>
      <c r="IS41" s="5">
        <f t="shared" si="229"/>
        <v>0.30323529767580037</v>
      </c>
      <c r="IT41" s="727">
        <f t="shared" si="230"/>
        <v>-7.911365604823569</v>
      </c>
      <c r="IU41" s="9">
        <f t="shared" si="231"/>
        <v>-2.3235979348949529</v>
      </c>
      <c r="IV41" s="5">
        <f t="shared" si="232"/>
        <v>-0.14360844457823774</v>
      </c>
      <c r="IW41" s="5">
        <f t="shared" ref="IW41:IW72" si="384">IF(ISNUMBER($II41),$H41,"")</f>
        <v>0.26250000000000001</v>
      </c>
      <c r="IX41" s="5">
        <f t="shared" si="233"/>
        <v>0.26250000000000001</v>
      </c>
      <c r="IY41" s="762">
        <f t="shared" si="234"/>
        <v>-12.499998195223556</v>
      </c>
    </row>
    <row r="42" spans="1:267" ht="15" customHeight="1" x14ac:dyDescent="0.25">
      <c r="A42" s="79"/>
      <c r="B42" s="707">
        <v>2.0192326454798013</v>
      </c>
      <c r="C42" s="708">
        <v>-2.3953718576715692</v>
      </c>
      <c r="D42" s="709">
        <v>-5.1466436321615877E-2</v>
      </c>
      <c r="E42" s="710">
        <v>0.75930848917935978</v>
      </c>
      <c r="F42" s="708">
        <v>0.5027175200693158</v>
      </c>
      <c r="G42" s="711">
        <v>0.41318968195674388</v>
      </c>
      <c r="H42" s="710">
        <v>0.26600000000000001</v>
      </c>
      <c r="I42" s="708">
        <v>0.52</v>
      </c>
      <c r="J42" s="570">
        <v>3.2120000000000002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3.2120000000000002</v>
      </c>
      <c r="N42" s="632">
        <f t="shared" si="240"/>
        <v>2.0192326454798013</v>
      </c>
      <c r="O42" s="629">
        <f t="shared" si="241"/>
        <v>-2.3953718576715692</v>
      </c>
      <c r="P42" s="633">
        <f t="shared" si="242"/>
        <v>-5.1466436321615877E-2</v>
      </c>
      <c r="Q42" s="585">
        <f t="shared" si="113"/>
        <v>310.1299682171649</v>
      </c>
      <c r="R42" s="629">
        <f t="shared" ref="R42:R47" si="385">IF(M42="","",SQRT(N42^2+O42^2))</f>
        <v>3.1329070865725179</v>
      </c>
      <c r="S42" s="634">
        <f t="shared" ref="S42:S47" si="386">IF(M42="","",P42)</f>
        <v>-5.1466436321615877E-2</v>
      </c>
      <c r="T42" s="635">
        <f t="shared" ref="T42:T47" si="387">IF(M42="","",X42*COS(RADIANS(W42)))</f>
        <v>-2.3861842404909819</v>
      </c>
      <c r="U42" s="629">
        <f t="shared" ref="U42:U47" si="388">IF(M42="","",X42*SIN(RADIANS(W42)))</f>
        <v>-2.0300816691770747</v>
      </c>
      <c r="V42" s="636">
        <f t="shared" ref="V42:V47" si="389">IF(M42="","",Y42)</f>
        <v>-5.1466436321615877E-2</v>
      </c>
      <c r="W42" s="585">
        <f t="shared" si="224"/>
        <v>220.38996817962555</v>
      </c>
      <c r="X42" s="629">
        <f t="shared" ref="X42:X47" si="390">IF(M42="","",R42)</f>
        <v>3.1329070865725179</v>
      </c>
      <c r="Y42" s="630">
        <f t="shared" si="223"/>
        <v>-5.1466436321615877E-2</v>
      </c>
      <c r="Z42" s="632">
        <f t="shared" si="243"/>
        <v>-0.75930848917935978</v>
      </c>
      <c r="AA42" s="629">
        <f t="shared" si="244"/>
        <v>-0.5027175200693158</v>
      </c>
      <c r="AB42" s="629">
        <f t="shared" si="245"/>
        <v>-0.41318968195674388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-0.75930848917935978</v>
      </c>
      <c r="AE42" s="629">
        <f t="shared" ref="AE42:AE47" si="393">IF(M42="","",AA42*(1/SQRT(Z42^2+AA42^2+AB42^2)))</f>
        <v>-0.5027175200693158</v>
      </c>
      <c r="AF42" s="633">
        <f t="shared" ref="AF42:AF47" si="394">IF(M42="","",AB42*(1/SQRT(Z42^2+AA42^2+AB42^2)))</f>
        <v>-0.41318968195674388</v>
      </c>
      <c r="AG42" s="602">
        <f t="shared" ref="AG42:AG47" si="395">IF(M42="","",DEGREES(ATAN2(-AF42,AE42)))</f>
        <v>-50.582796235054793</v>
      </c>
      <c r="AH42" s="603">
        <f t="shared" ref="AH42:AH47" si="396">IF(M42="","",DEGREES(ACOS(AD42)))</f>
        <v>139.40327369111719</v>
      </c>
      <c r="AI42" s="585">
        <f t="shared" ref="AI42:AI47" si="397">IF(M42="","",DEGREES(-ACOS(-AF42)))</f>
        <v>-65.594636237254306</v>
      </c>
      <c r="AJ42" s="586">
        <f t="shared" ref="AJ42:AJ47" si="398">IF(M42="","",DEGREES(ATAN2(-AE42,AD42)))</f>
        <v>-56.492539581478255</v>
      </c>
      <c r="AK42" s="635">
        <f t="shared" ref="AK42:AK47" si="399">IF(M42="","",(COS(RADIANS((90-$Q$8)-W42))*AD42)+(-SIN(RADIANS((90-$Q$8)-W42))*AE42))</f>
        <v>0.90456873949312</v>
      </c>
      <c r="AL42" s="629">
        <f t="shared" ref="AL42:AL47" si="400">IF(M42="","",(SIN(RADIANS((90-$Q$8)-W42))*AD42)+(COS(RADIANS((90-$Q$8)-W42))*AE42))</f>
        <v>-0.10502229409183944</v>
      </c>
      <c r="AM42" s="634">
        <f t="shared" ref="AM42:AM47" si="401">IF(M42="","",AF42)</f>
        <v>-0.41318968195674388</v>
      </c>
      <c r="AN42" s="581">
        <f t="shared" ref="AN42:AN47" si="402">IF(M42="","",DEGREES(ATAN2(-AM42,AL42)))</f>
        <v>-14.261134893799602</v>
      </c>
      <c r="AO42" s="582">
        <f t="shared" si="94"/>
        <v>25.234737987239527</v>
      </c>
      <c r="AP42" s="585">
        <f t="shared" ref="AP42:AP47" si="403">IF(M42="","",DEGREES(ATAN2(AK42,AL42)))</f>
        <v>-6.6225077986431584</v>
      </c>
      <c r="AQ42" s="586">
        <f t="shared" si="246"/>
        <v>0.72763219913378008</v>
      </c>
      <c r="AS42" s="52">
        <f t="shared" si="116"/>
        <v>-139.61003182037445</v>
      </c>
      <c r="AT42" s="72">
        <f t="shared" si="247"/>
        <v>4.5665530194241841E-2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Nose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3.2120000000000002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3.1120000000000001</v>
      </c>
      <c r="II42" s="734" cm="1">
        <f t="array" ref="II42">IFERROR(ROUND(VALUE(IF($IH42&lt;1,$IH42+LARGE((IF($M$9:$M$150="",0,$M$9:$M$150)-MOD(IF($M$9:$M$150="",0,$M$9:$M$150),1)),1),$IH42)),4),"")</f>
        <v>3.1120000000000001</v>
      </c>
      <c r="IJ42" s="533">
        <f t="shared" si="112"/>
        <v>1613</v>
      </c>
      <c r="IK42" s="533">
        <f t="shared" si="382"/>
        <v>1313</v>
      </c>
      <c r="IL42" s="727">
        <f t="shared" si="225"/>
        <v>14.089997965656039</v>
      </c>
      <c r="IM42" s="759">
        <v>1.9489456693104701E-2</v>
      </c>
      <c r="IN42" s="5">
        <f t="shared" si="226"/>
        <v>0.46</v>
      </c>
      <c r="IO42" s="771">
        <v>230</v>
      </c>
      <c r="IP42" s="9">
        <f t="shared" si="227"/>
        <v>-3.1265094295524398</v>
      </c>
      <c r="IQ42" s="5">
        <f t="shared" si="228"/>
        <v>-9.3700282600052337E-2</v>
      </c>
      <c r="IR42" s="5">
        <f t="shared" si="383"/>
        <v>0.314</v>
      </c>
      <c r="IS42" s="5">
        <f t="shared" si="229"/>
        <v>0.30271872214073137</v>
      </c>
      <c r="IT42" s="727">
        <f t="shared" si="230"/>
        <v>19.389409848181781</v>
      </c>
      <c r="IU42" s="9">
        <f t="shared" si="231"/>
        <v>-3.1329070865725179</v>
      </c>
      <c r="IV42" s="5">
        <f t="shared" si="232"/>
        <v>-5.1466436321615877E-2</v>
      </c>
      <c r="IW42" s="5">
        <f t="shared" si="384"/>
        <v>0.26600000000000001</v>
      </c>
      <c r="IX42" s="5">
        <f t="shared" si="233"/>
        <v>0.24061528470516996</v>
      </c>
      <c r="IY42" s="762">
        <f t="shared" si="234"/>
        <v>14.261134893799602</v>
      </c>
    </row>
    <row r="43" spans="1:267" ht="15" customHeight="1" x14ac:dyDescent="0.25">
      <c r="A43" s="79"/>
      <c r="B43" s="707">
        <v>2.5685559614955573</v>
      </c>
      <c r="C43" s="708">
        <v>-2.9206435873643528</v>
      </c>
      <c r="D43" s="709">
        <v>-0.35426503959066291</v>
      </c>
      <c r="E43" s="710">
        <v>0.84635384940908942</v>
      </c>
      <c r="F43" s="708">
        <v>0.40380071367207954</v>
      </c>
      <c r="G43" s="711">
        <v>0.34731850689005289</v>
      </c>
      <c r="H43" s="710">
        <v>0.26600000000000001</v>
      </c>
      <c r="I43" s="708">
        <v>0.52</v>
      </c>
      <c r="J43" s="570">
        <v>3.2149999999999999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1313</v>
      </c>
      <c r="L43" s="320"/>
      <c r="M43" s="168">
        <f t="shared" si="239"/>
        <v>3.2149999999999999</v>
      </c>
      <c r="N43" s="632">
        <f t="shared" si="240"/>
        <v>2.5685559614955573</v>
      </c>
      <c r="O43" s="629">
        <f t="shared" si="241"/>
        <v>-2.9206435873643528</v>
      </c>
      <c r="P43" s="633">
        <f t="shared" si="242"/>
        <v>-0.35426503959066291</v>
      </c>
      <c r="Q43" s="585">
        <f t="shared" si="113"/>
        <v>311.32996804390638</v>
      </c>
      <c r="R43" s="629">
        <f t="shared" si="385"/>
        <v>3.8894265247908826</v>
      </c>
      <c r="S43" s="634">
        <f t="shared" si="386"/>
        <v>-0.35426503959066291</v>
      </c>
      <c r="T43" s="635">
        <f t="shared" si="387"/>
        <v>-2.90895782073998</v>
      </c>
      <c r="U43" s="629">
        <f t="shared" si="388"/>
        <v>-2.5817829283079918</v>
      </c>
      <c r="V43" s="636">
        <f t="shared" si="389"/>
        <v>-0.35426503959066291</v>
      </c>
      <c r="W43" s="585">
        <f t="shared" si="224"/>
        <v>221.58996800636703</v>
      </c>
      <c r="X43" s="629">
        <f t="shared" si="390"/>
        <v>3.8894265247908826</v>
      </c>
      <c r="Y43" s="630">
        <f t="shared" si="223"/>
        <v>-0.35426503959066291</v>
      </c>
      <c r="Z43" s="632">
        <f t="shared" si="243"/>
        <v>-0.84635384940908942</v>
      </c>
      <c r="AA43" s="629">
        <f t="shared" si="244"/>
        <v>-0.40380071367207954</v>
      </c>
      <c r="AB43" s="629">
        <f t="shared" si="245"/>
        <v>-0.34731850689005289</v>
      </c>
      <c r="AC43" s="636">
        <f t="shared" si="391"/>
        <v>1</v>
      </c>
      <c r="AD43" s="637">
        <f t="shared" si="392"/>
        <v>-0.84635384940908942</v>
      </c>
      <c r="AE43" s="629">
        <f t="shared" si="393"/>
        <v>-0.40380071367207954</v>
      </c>
      <c r="AF43" s="633">
        <f t="shared" si="394"/>
        <v>-0.34731850689005289</v>
      </c>
      <c r="AG43" s="602">
        <f t="shared" si="395"/>
        <v>-49.300399654112269</v>
      </c>
      <c r="AH43" s="603">
        <f t="shared" si="396"/>
        <v>147.81728108320414</v>
      </c>
      <c r="AI43" s="585">
        <f t="shared" si="397"/>
        <v>-69.676609542933321</v>
      </c>
      <c r="AJ43" s="586">
        <f t="shared" si="398"/>
        <v>-64.493898739134522</v>
      </c>
      <c r="AK43" s="635">
        <f t="shared" si="399"/>
        <v>0.90221081460461339</v>
      </c>
      <c r="AL43" s="629">
        <f t="shared" si="400"/>
        <v>-0.25570588726531945</v>
      </c>
      <c r="AM43" s="634">
        <f t="shared" si="401"/>
        <v>-0.34731850689005289</v>
      </c>
      <c r="AN43" s="581">
        <f t="shared" si="402"/>
        <v>-36.361570484636431</v>
      </c>
      <c r="AO43" s="582">
        <f t="shared" si="94"/>
        <v>25.549792005240441</v>
      </c>
      <c r="AP43" s="585">
        <f t="shared" si="403"/>
        <v>-15.823866783040899</v>
      </c>
      <c r="AQ43" s="586">
        <f t="shared" si="246"/>
        <v>0.58611394151241025</v>
      </c>
      <c r="AS43" s="52">
        <f t="shared" ref="AS43:AS74" si="406">IF(G43="","",IF(AND(W43&lt;(AS42+180),W43&gt;(AS42-180)),W43,IF(W43&gt;(AS42+180),W43-360,IF(W43&lt;(AS42-180),W43+360,"Error"))))</f>
        <v>-138.41003199363297</v>
      </c>
      <c r="AT43" s="72">
        <f t="shared" si="247"/>
        <v>-0.25796640628782008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Taper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3.2149999999999999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3.1150000000000002</v>
      </c>
      <c r="II43" s="734" cm="1">
        <f t="array" ref="II43">IFERROR(ROUND(VALUE(IF($IH43&lt;1,$IH43+LARGE((IF($M$9:$M$150="",0,$M$9:$M$150)-MOD(IF($M$9:$M$150="",0,$M$9:$M$150),1)),1),$IH43)),4),"")</f>
        <v>3.1150000000000002</v>
      </c>
      <c r="IJ43" s="533">
        <f t="shared" si="112"/>
        <v>1613</v>
      </c>
      <c r="IK43" s="533">
        <f t="shared" si="382"/>
        <v>1313</v>
      </c>
      <c r="IL43" s="727">
        <f t="shared" si="225"/>
        <v>11.939998276077574</v>
      </c>
      <c r="IM43" s="759">
        <v>1.48880491124125E-2</v>
      </c>
      <c r="IN43" s="5">
        <f t="shared" si="226"/>
        <v>0.44</v>
      </c>
      <c r="IO43" s="771">
        <v>220</v>
      </c>
      <c r="IP43" s="9">
        <f t="shared" si="227"/>
        <v>-3.8645116553671528</v>
      </c>
      <c r="IQ43" s="5">
        <f t="shared" si="228"/>
        <v>-0.39460119011718947</v>
      </c>
      <c r="IR43" s="5">
        <f t="shared" si="383"/>
        <v>0.314</v>
      </c>
      <c r="IS43" s="5">
        <f t="shared" si="229"/>
        <v>0.30192963008173251</v>
      </c>
      <c r="IT43" s="727">
        <f t="shared" si="230"/>
        <v>43.875377108044532</v>
      </c>
      <c r="IU43" s="9">
        <f t="shared" si="231"/>
        <v>-3.8894265247908826</v>
      </c>
      <c r="IV43" s="5">
        <f t="shared" si="232"/>
        <v>-0.35426503959066291</v>
      </c>
      <c r="IW43" s="5">
        <f t="shared" si="384"/>
        <v>0.26600000000000001</v>
      </c>
      <c r="IX43" s="5">
        <f t="shared" si="233"/>
        <v>0.23998807668482719</v>
      </c>
      <c r="IY43" s="762">
        <f t="shared" si="234"/>
        <v>36.361570484636431</v>
      </c>
    </row>
    <row r="44" spans="1:267" ht="15" customHeight="1" x14ac:dyDescent="0.25">
      <c r="A44" s="79"/>
      <c r="B44" s="707">
        <v>2.9518409085186317</v>
      </c>
      <c r="C44" s="708">
        <v>-3.321237910192322</v>
      </c>
      <c r="D44" s="709">
        <v>-0.95102510372333227</v>
      </c>
      <c r="E44" s="710">
        <v>0.91671564131453764</v>
      </c>
      <c r="F44" s="708">
        <v>0.31220188087815681</v>
      </c>
      <c r="G44" s="711">
        <v>0.24932392293042643</v>
      </c>
      <c r="H44" s="710">
        <v>0.26600000000000001</v>
      </c>
      <c r="I44" s="708">
        <v>0.52</v>
      </c>
      <c r="J44" s="570">
        <v>3.218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1313</v>
      </c>
      <c r="L44" s="320"/>
      <c r="M44" s="168">
        <f t="shared" si="239"/>
        <v>3.218</v>
      </c>
      <c r="N44" s="632">
        <f t="shared" si="240"/>
        <v>2.9518409085186317</v>
      </c>
      <c r="O44" s="629">
        <f t="shared" si="241"/>
        <v>-3.321237910192322</v>
      </c>
      <c r="P44" s="633">
        <f t="shared" si="242"/>
        <v>-0.95102510372333227</v>
      </c>
      <c r="Q44" s="585">
        <f t="shared" si="113"/>
        <v>311.62996800059176</v>
      </c>
      <c r="R44" s="629">
        <f t="shared" si="385"/>
        <v>4.4434205298736655</v>
      </c>
      <c r="S44" s="634">
        <f t="shared" si="386"/>
        <v>-0.95102510372333227</v>
      </c>
      <c r="T44" s="635">
        <f t="shared" si="387"/>
        <v>-3.3078087333322075</v>
      </c>
      <c r="U44" s="629">
        <f t="shared" si="388"/>
        <v>-2.9668817618829952</v>
      </c>
      <c r="V44" s="636">
        <f t="shared" si="389"/>
        <v>-0.95102510372333227</v>
      </c>
      <c r="W44" s="585">
        <f t="shared" si="224"/>
        <v>221.88996796305241</v>
      </c>
      <c r="X44" s="629">
        <f t="shared" si="390"/>
        <v>4.4434205298736655</v>
      </c>
      <c r="Y44" s="630">
        <f t="shared" si="223"/>
        <v>-0.95102510372333227</v>
      </c>
      <c r="Z44" s="632">
        <f t="shared" si="243"/>
        <v>-0.91671564131453764</v>
      </c>
      <c r="AA44" s="629">
        <f t="shared" si="244"/>
        <v>-0.31220188087815681</v>
      </c>
      <c r="AB44" s="629">
        <f t="shared" si="245"/>
        <v>-0.24932392293042643</v>
      </c>
      <c r="AC44" s="636">
        <f t="shared" si="391"/>
        <v>1</v>
      </c>
      <c r="AD44" s="637">
        <f t="shared" si="392"/>
        <v>-0.91671564131453764</v>
      </c>
      <c r="AE44" s="629">
        <f t="shared" si="393"/>
        <v>-0.31220188087815681</v>
      </c>
      <c r="AF44" s="633">
        <f t="shared" si="394"/>
        <v>-0.24932392293042643</v>
      </c>
      <c r="AG44" s="602">
        <f t="shared" si="395"/>
        <v>-51.389192122484992</v>
      </c>
      <c r="AH44" s="603">
        <f t="shared" si="396"/>
        <v>156.45055787692843</v>
      </c>
      <c r="AI44" s="585">
        <f t="shared" si="397"/>
        <v>-75.562490954997912</v>
      </c>
      <c r="AJ44" s="586">
        <f t="shared" si="398"/>
        <v>-71.192919464384218</v>
      </c>
      <c r="AK44" s="635">
        <f t="shared" si="399"/>
        <v>0.89260086859379029</v>
      </c>
      <c r="AL44" s="629">
        <f t="shared" si="400"/>
        <v>-0.37563449101512758</v>
      </c>
      <c r="AM44" s="634">
        <f t="shared" si="401"/>
        <v>-0.24932392293042643</v>
      </c>
      <c r="AN44" s="581">
        <f t="shared" si="402"/>
        <v>-56.426149133234283</v>
      </c>
      <c r="AO44" s="582">
        <f t="shared" si="94"/>
        <v>26.798087422828555</v>
      </c>
      <c r="AP44" s="585">
        <f t="shared" si="403"/>
        <v>-22.82288746497597</v>
      </c>
      <c r="AQ44" s="586">
        <f t="shared" si="246"/>
        <v>0.51304297834127044</v>
      </c>
      <c r="AS44" s="52">
        <f t="shared" si="406"/>
        <v>-138.11003203694759</v>
      </c>
      <c r="AT44" s="72">
        <f t="shared" si="247"/>
        <v>-0.8549348037237432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>Taper</v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3.218</v>
      </c>
      <c r="IH44" s="731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3.1179999999999999</v>
      </c>
      <c r="II44" s="734" cm="1">
        <f t="array" ref="II44">IFERROR(ROUND(VALUE(IF($IH44&lt;1,$IH44+LARGE((IF($M$9:$M$150="",0,$M$9:$M$150)-MOD(IF($M$9:$M$150="",0,$M$9:$M$150),1)),1),$IH44)),4),"")</f>
        <v>3.1179999999999999</v>
      </c>
      <c r="IJ44" s="533">
        <f t="shared" si="112"/>
        <v>1613</v>
      </c>
      <c r="IK44" s="533">
        <f t="shared" si="382"/>
        <v>1313</v>
      </c>
      <c r="IL44" s="727">
        <f t="shared" si="225"/>
        <v>10.839998434897893</v>
      </c>
      <c r="IM44" s="759">
        <v>1.0429181522697201E-2</v>
      </c>
      <c r="IN44" s="5">
        <f t="shared" si="226"/>
        <v>0.42</v>
      </c>
      <c r="IO44" s="771">
        <v>210</v>
      </c>
      <c r="IP44" s="9">
        <f t="shared" si="227"/>
        <v>-4.4020132764720419</v>
      </c>
      <c r="IQ44" s="5">
        <f t="shared" si="228"/>
        <v>-0.9830029647369416</v>
      </c>
      <c r="IR44" s="5">
        <f t="shared" si="383"/>
        <v>0.314</v>
      </c>
      <c r="IS44" s="5">
        <f t="shared" si="229"/>
        <v>0.29975635172848458</v>
      </c>
      <c r="IT44" s="727">
        <f t="shared" si="230"/>
        <v>64.536376997321099</v>
      </c>
      <c r="IU44" s="9">
        <f t="shared" si="231"/>
        <v>-4.4434205298736655</v>
      </c>
      <c r="IV44" s="5">
        <f t="shared" si="232"/>
        <v>-0.95102510372333227</v>
      </c>
      <c r="IW44" s="5">
        <f t="shared" si="384"/>
        <v>0.26600000000000001</v>
      </c>
      <c r="IX44" s="5">
        <f t="shared" si="233"/>
        <v>0.23743183104594823</v>
      </c>
      <c r="IY44" s="762">
        <f t="shared" si="234"/>
        <v>56.426149133234283</v>
      </c>
    </row>
    <row r="45" spans="1:267" ht="15" customHeight="1" x14ac:dyDescent="0.25">
      <c r="A45" s="79"/>
      <c r="B45" s="707">
        <v>3.0006344951427235</v>
      </c>
      <c r="C45" s="708">
        <v>-3.5621102909852236</v>
      </c>
      <c r="D45" s="709">
        <v>-1.756105809882897</v>
      </c>
      <c r="E45" s="710">
        <v>0.55275641079464122</v>
      </c>
      <c r="F45" s="708">
        <v>-0.65618729844854928</v>
      </c>
      <c r="G45" s="711">
        <v>0.5136911325691933</v>
      </c>
      <c r="H45" s="710">
        <v>0.26250000000000001</v>
      </c>
      <c r="I45" s="708">
        <v>0.40699999999999997</v>
      </c>
      <c r="J45" s="570">
        <v>3.2210000000000001</v>
      </c>
      <c r="K45" s="865" t="str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Inactive</v>
      </c>
      <c r="L45" s="320"/>
      <c r="M45" s="168">
        <f t="shared" si="239"/>
        <v>3.2210000000000001</v>
      </c>
      <c r="N45" s="632">
        <f t="shared" si="240"/>
        <v>3.0006344951427235</v>
      </c>
      <c r="O45" s="629">
        <f t="shared" si="241"/>
        <v>-3.5621102909852236</v>
      </c>
      <c r="P45" s="633">
        <f t="shared" si="242"/>
        <v>-1.756105809882897</v>
      </c>
      <c r="Q45" s="585">
        <f t="shared" si="113"/>
        <v>310.10996607020286</v>
      </c>
      <c r="R45" s="629">
        <f t="shared" si="385"/>
        <v>4.6575140470623664</v>
      </c>
      <c r="S45" s="634">
        <f t="shared" si="386"/>
        <v>-1.756105809882897</v>
      </c>
      <c r="T45" s="635">
        <f t="shared" si="387"/>
        <v>-3.5484572166108443</v>
      </c>
      <c r="U45" s="629">
        <f t="shared" si="388"/>
        <v>-3.0167678864085117</v>
      </c>
      <c r="V45" s="636">
        <f t="shared" si="389"/>
        <v>-1.756105809882897</v>
      </c>
      <c r="W45" s="585">
        <f t="shared" si="224"/>
        <v>220.36996603266351</v>
      </c>
      <c r="X45" s="629">
        <f t="shared" si="390"/>
        <v>4.6575140470623664</v>
      </c>
      <c r="Y45" s="630">
        <f t="shared" si="223"/>
        <v>-1.756105809882897</v>
      </c>
      <c r="Z45" s="632">
        <f t="shared" si="243"/>
        <v>-0.55275641079464122</v>
      </c>
      <c r="AA45" s="629">
        <f t="shared" si="244"/>
        <v>0.65618729844854928</v>
      </c>
      <c r="AB45" s="629">
        <f t="shared" si="245"/>
        <v>-0.5136911325691933</v>
      </c>
      <c r="AC45" s="636">
        <f t="shared" si="391"/>
        <v>1</v>
      </c>
      <c r="AD45" s="637">
        <f t="shared" si="392"/>
        <v>-0.55275641079464122</v>
      </c>
      <c r="AE45" s="629">
        <f t="shared" si="393"/>
        <v>0.65618729844854928</v>
      </c>
      <c r="AF45" s="633">
        <f t="shared" si="394"/>
        <v>-0.5136911325691933</v>
      </c>
      <c r="AG45" s="602">
        <f t="shared" si="395"/>
        <v>51.944660035875337</v>
      </c>
      <c r="AH45" s="603">
        <f t="shared" si="396"/>
        <v>123.5563205492189</v>
      </c>
      <c r="AI45" s="585">
        <f t="shared" si="397"/>
        <v>-59.08999146846169</v>
      </c>
      <c r="AJ45" s="586">
        <f t="shared" si="398"/>
        <v>-139.89001878438197</v>
      </c>
      <c r="AK45" s="635">
        <f t="shared" si="399"/>
        <v>2.2679489691812549E-7</v>
      </c>
      <c r="AL45" s="629">
        <f t="shared" si="400"/>
        <v>-0.85797518630769742</v>
      </c>
      <c r="AM45" s="634">
        <f t="shared" si="401"/>
        <v>-0.5136911325691933</v>
      </c>
      <c r="AN45" s="581">
        <f t="shared" si="402"/>
        <v>-59.089991468460802</v>
      </c>
      <c r="AO45" s="582">
        <f t="shared" si="94"/>
        <v>0</v>
      </c>
      <c r="AP45" s="585">
        <f t="shared" si="403"/>
        <v>-89.999984854584824</v>
      </c>
      <c r="AQ45" s="586">
        <f t="shared" si="246"/>
        <v>0.48946093391555479</v>
      </c>
      <c r="AS45" s="52">
        <f t="shared" si="406"/>
        <v>-139.63003396733649</v>
      </c>
      <c r="AT45" s="72">
        <f t="shared" si="247"/>
        <v>-1.6589599529872046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>Taper</v>
      </c>
      <c r="IF45" s="533" t="str">
        <f>IFERROR(IF((((($IW45*COS(RADIANS(180-$IY45)))*COS(RADIANS($IY45)))-(($IX45*SIN(RADIANS(180-$IY45)))*SIN(RADIANS($IY45))))+$IU45)&lt;(((Settings!$C$19+$IF$8)/2)*-1),"Gage",""),"")</f>
        <v>Gage</v>
      </c>
      <c r="IG45" s="847">
        <f t="shared" si="210"/>
        <v>3.2210000000000001</v>
      </c>
      <c r="IH45" s="731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3.121</v>
      </c>
      <c r="II45" s="734" cm="1">
        <f t="array" ref="II45">IFERROR(ROUND(VALUE(IF($IH45&lt;1,$IH45+LARGE((IF($M$9:$M$150="",0,$M$9:$M$150)-MOD(IF($M$9:$M$150="",0,$M$9:$M$150),1)),1),$IH45)),4),"")</f>
        <v>3.121</v>
      </c>
      <c r="IJ45" s="533">
        <f t="shared" si="112"/>
        <v>1613</v>
      </c>
      <c r="IK45" s="533" t="str">
        <f t="shared" si="382"/>
        <v>Inactive</v>
      </c>
      <c r="IL45" s="727">
        <f t="shared" si="225"/>
        <v>12.000000417264346</v>
      </c>
      <c r="IM45" s="759">
        <v>1.2902934970326E-2</v>
      </c>
      <c r="IN45" s="5">
        <f t="shared" si="226"/>
        <v>1.34</v>
      </c>
      <c r="IO45" s="771">
        <v>670</v>
      </c>
      <c r="IP45" s="9">
        <f t="shared" si="227"/>
        <v>-4.6352139798053642</v>
      </c>
      <c r="IQ45" s="5">
        <f t="shared" si="228"/>
        <v>-1.7450052629358732</v>
      </c>
      <c r="IR45" s="5">
        <f t="shared" si="383"/>
        <v>0.314</v>
      </c>
      <c r="IS45" s="5">
        <f t="shared" si="229"/>
        <v>0.29786570071738916</v>
      </c>
      <c r="IT45" s="727">
        <f t="shared" si="230"/>
        <v>82.663120219113907</v>
      </c>
      <c r="IU45" s="9">
        <f t="shared" si="231"/>
        <v>-4.6575140470623664</v>
      </c>
      <c r="IV45" s="5">
        <f t="shared" si="232"/>
        <v>-1.756105809882897</v>
      </c>
      <c r="IW45" s="5">
        <f t="shared" si="384"/>
        <v>0.26250000000000001</v>
      </c>
      <c r="IX45" s="5">
        <f t="shared" si="233"/>
        <v>0.26250000000000001</v>
      </c>
      <c r="IY45" s="762">
        <f t="shared" si="234"/>
        <v>59.089991468460802</v>
      </c>
    </row>
    <row r="46" spans="1:267" ht="15" customHeight="1" x14ac:dyDescent="0.25">
      <c r="A46" s="79"/>
      <c r="B46" s="707">
        <v>-0.46183762036831005</v>
      </c>
      <c r="C46" s="708">
        <v>-2.5514460559687797</v>
      </c>
      <c r="D46" s="709">
        <v>-8.4200253947965931E-2</v>
      </c>
      <c r="E46" s="710">
        <v>0.94866424986814424</v>
      </c>
      <c r="F46" s="708">
        <v>-0.17870918335198027</v>
      </c>
      <c r="G46" s="711">
        <v>0.26095817444138392</v>
      </c>
      <c r="H46" s="710">
        <v>0.314</v>
      </c>
      <c r="I46" s="708">
        <v>0.52</v>
      </c>
      <c r="J46" s="570">
        <v>4.1100000000000003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4.1100000000000003</v>
      </c>
      <c r="N46" s="632">
        <f t="shared" si="240"/>
        <v>-0.46183762036831005</v>
      </c>
      <c r="O46" s="629">
        <f t="shared" si="241"/>
        <v>-2.5514460559687797</v>
      </c>
      <c r="P46" s="633">
        <f t="shared" si="242"/>
        <v>-8.4200253947965931E-2</v>
      </c>
      <c r="Q46" s="585">
        <f t="shared" si="113"/>
        <v>259.73997549257973</v>
      </c>
      <c r="R46" s="629">
        <f t="shared" si="385"/>
        <v>2.5929078202099869</v>
      </c>
      <c r="S46" s="634">
        <f t="shared" si="386"/>
        <v>-8.4200253947965931E-2</v>
      </c>
      <c r="T46" s="635">
        <f t="shared" si="387"/>
        <v>-2.5535155313041926</v>
      </c>
      <c r="U46" s="629">
        <f t="shared" si="388"/>
        <v>0.45025481173927595</v>
      </c>
      <c r="V46" s="636">
        <f t="shared" si="389"/>
        <v>-8.4200253947965931E-2</v>
      </c>
      <c r="W46" s="585">
        <f t="shared" si="224"/>
        <v>169.99997545504038</v>
      </c>
      <c r="X46" s="629">
        <f t="shared" si="390"/>
        <v>2.5929078202099869</v>
      </c>
      <c r="Y46" s="630">
        <f t="shared" si="223"/>
        <v>-8.4200253947965931E-2</v>
      </c>
      <c r="Z46" s="632">
        <f t="shared" si="243"/>
        <v>-0.94866424986814424</v>
      </c>
      <c r="AA46" s="629">
        <f t="shared" si="244"/>
        <v>0.17870918335198027</v>
      </c>
      <c r="AB46" s="629">
        <f t="shared" si="245"/>
        <v>-0.26095817444138392</v>
      </c>
      <c r="AC46" s="636">
        <f t="shared" si="391"/>
        <v>1</v>
      </c>
      <c r="AD46" s="637">
        <f t="shared" si="392"/>
        <v>-0.94866424986814424</v>
      </c>
      <c r="AE46" s="629">
        <f t="shared" si="393"/>
        <v>0.17870918335198027</v>
      </c>
      <c r="AF46" s="633">
        <f t="shared" si="394"/>
        <v>-0.26095817444138392</v>
      </c>
      <c r="AG46" s="602">
        <f t="shared" si="395"/>
        <v>34.404094337806718</v>
      </c>
      <c r="AH46" s="603">
        <f t="shared" si="396"/>
        <v>161.56160024081333</v>
      </c>
      <c r="AI46" s="585">
        <f t="shared" si="397"/>
        <v>-74.873075586304211</v>
      </c>
      <c r="AJ46" s="586">
        <f t="shared" si="398"/>
        <v>-100.66834443311275</v>
      </c>
      <c r="AK46" s="635">
        <f t="shared" si="399"/>
        <v>0.96532559438969734</v>
      </c>
      <c r="AL46" s="629">
        <f t="shared" si="400"/>
        <v>-6.8795354783479923E-3</v>
      </c>
      <c r="AM46" s="634">
        <f t="shared" si="401"/>
        <v>-0.26095817444138392</v>
      </c>
      <c r="AN46" s="581">
        <f t="shared" si="402"/>
        <v>-1.5101158372131509</v>
      </c>
      <c r="AO46" s="582">
        <f t="shared" si="94"/>
        <v>15.132305688707062</v>
      </c>
      <c r="AP46" s="585">
        <f t="shared" si="403"/>
        <v>-0.40831992569247311</v>
      </c>
      <c r="AQ46" s="586">
        <f t="shared" si="246"/>
        <v>0.87914722589661065</v>
      </c>
      <c r="AS46" s="52">
        <f t="shared" si="406"/>
        <v>-190.00002454495962</v>
      </c>
      <c r="AT46" s="72">
        <f t="shared" si="247"/>
        <v>4.7924763071075932E-2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4.1100000000000003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-0.65139901018447544</v>
      </c>
      <c r="C47" s="708">
        <v>-3.3232710929331923</v>
      </c>
      <c r="D47" s="709">
        <v>-0.15720047411662993</v>
      </c>
      <c r="E47" s="710">
        <v>0.92120445512857418</v>
      </c>
      <c r="F47" s="708">
        <v>-0.30818724703672989</v>
      </c>
      <c r="G47" s="711">
        <v>0.23749310014227487</v>
      </c>
      <c r="H47" s="710">
        <v>0.314</v>
      </c>
      <c r="I47" s="708">
        <v>0.52</v>
      </c>
      <c r="J47" s="570">
        <v>4.1130000000000004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4.1130000000000004</v>
      </c>
      <c r="N47" s="632">
        <f t="shared" si="240"/>
        <v>-0.65139901018447544</v>
      </c>
      <c r="O47" s="629">
        <f t="shared" si="241"/>
        <v>-3.3232710929331923</v>
      </c>
      <c r="P47" s="633">
        <f t="shared" si="242"/>
        <v>-0.15720047411662993</v>
      </c>
      <c r="Q47" s="585">
        <f t="shared" si="113"/>
        <v>258.90997561241687</v>
      </c>
      <c r="R47" s="629">
        <f t="shared" si="385"/>
        <v>3.386510213714804</v>
      </c>
      <c r="S47" s="634">
        <f t="shared" si="386"/>
        <v>-0.15720047411662993</v>
      </c>
      <c r="T47" s="635">
        <f t="shared" si="387"/>
        <v>-3.3261928207450424</v>
      </c>
      <c r="U47" s="629">
        <f t="shared" si="388"/>
        <v>0.6363118314308065</v>
      </c>
      <c r="V47" s="636">
        <f t="shared" si="389"/>
        <v>-0.15720047411662993</v>
      </c>
      <c r="W47" s="585">
        <f t="shared" si="224"/>
        <v>169.16997557487753</v>
      </c>
      <c r="X47" s="629">
        <f t="shared" si="390"/>
        <v>3.386510213714804</v>
      </c>
      <c r="Y47" s="630">
        <f t="shared" si="223"/>
        <v>-0.15720047411662993</v>
      </c>
      <c r="Z47" s="632">
        <f t="shared" si="243"/>
        <v>-0.92120445512857418</v>
      </c>
      <c r="AA47" s="629">
        <f t="shared" si="244"/>
        <v>0.30818724703672989</v>
      </c>
      <c r="AB47" s="629">
        <f t="shared" si="245"/>
        <v>-0.23749310014227487</v>
      </c>
      <c r="AC47" s="636">
        <f t="shared" si="391"/>
        <v>1</v>
      </c>
      <c r="AD47" s="637">
        <f t="shared" si="392"/>
        <v>-0.92120445512857418</v>
      </c>
      <c r="AE47" s="629">
        <f t="shared" si="393"/>
        <v>0.30818724703672989</v>
      </c>
      <c r="AF47" s="633">
        <f t="shared" si="394"/>
        <v>-0.23749310014227487</v>
      </c>
      <c r="AG47" s="602">
        <f t="shared" si="395"/>
        <v>52.381685963208412</v>
      </c>
      <c r="AH47" s="603">
        <f t="shared" si="396"/>
        <v>157.10280507742206</v>
      </c>
      <c r="AI47" s="585">
        <f t="shared" si="397"/>
        <v>-76.261371802627536</v>
      </c>
      <c r="AJ47" s="586">
        <f t="shared" si="398"/>
        <v>-108.49756950214048</v>
      </c>
      <c r="AK47" s="635">
        <f t="shared" si="399"/>
        <v>0.96328219855060238</v>
      </c>
      <c r="AL47" s="629">
        <f t="shared" si="400"/>
        <v>-0.12523750772164666</v>
      </c>
      <c r="AM47" s="634">
        <f t="shared" si="401"/>
        <v>-0.23749310014227487</v>
      </c>
      <c r="AN47" s="581">
        <f t="shared" si="402"/>
        <v>-27.804077555329215</v>
      </c>
      <c r="AO47" s="582">
        <f t="shared" si="94"/>
        <v>15.574491043248287</v>
      </c>
      <c r="AP47" s="585">
        <f t="shared" si="403"/>
        <v>-7.4075451145573492</v>
      </c>
      <c r="AQ47" s="586">
        <f t="shared" si="246"/>
        <v>0.67314775282187567</v>
      </c>
      <c r="AS47" s="52">
        <f t="shared" si="406"/>
        <v>-190.83002442512247</v>
      </c>
      <c r="AT47" s="72">
        <f t="shared" si="247"/>
        <v>-2.4499068291919418E-2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4.1130000000000004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-0.84872687960915572</v>
      </c>
      <c r="C48" s="708">
        <v>-3.9826826532998854</v>
      </c>
      <c r="D48" s="709">
        <v>-0.56350169952112572</v>
      </c>
      <c r="E48" s="710">
        <v>0.89436718713522123</v>
      </c>
      <c r="F48" s="708">
        <v>-0.41260356919534119</v>
      </c>
      <c r="G48" s="711">
        <v>0.17281675052811718</v>
      </c>
      <c r="H48" s="710">
        <v>0.314</v>
      </c>
      <c r="I48" s="708">
        <v>0.52</v>
      </c>
      <c r="J48" s="570">
        <v>4.1159999999999997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4.1159999999999997</v>
      </c>
      <c r="N48" s="632">
        <f t="shared" si="240"/>
        <v>-0.84872687960915572</v>
      </c>
      <c r="O48" s="629">
        <f t="shared" si="241"/>
        <v>-3.9826826532998854</v>
      </c>
      <c r="P48" s="633">
        <f t="shared" si="242"/>
        <v>-0.56350169952112572</v>
      </c>
      <c r="Q48" s="585">
        <f t="shared" si="113"/>
        <v>257.96997574813605</v>
      </c>
      <c r="R48" s="629">
        <f t="shared" si="79"/>
        <v>4.0721122814906403</v>
      </c>
      <c r="S48" s="634">
        <f t="shared" si="80"/>
        <v>-0.56350169952112572</v>
      </c>
      <c r="T48" s="635">
        <f t="shared" si="81"/>
        <v>-3.9864930340432148</v>
      </c>
      <c r="U48" s="629">
        <f t="shared" si="82"/>
        <v>0.83064536511788978</v>
      </c>
      <c r="V48" s="636">
        <f t="shared" si="114"/>
        <v>-0.56350169952112572</v>
      </c>
      <c r="W48" s="585">
        <f t="shared" si="224"/>
        <v>168.2299757105967</v>
      </c>
      <c r="X48" s="629">
        <f t="shared" si="83"/>
        <v>4.0721122814906403</v>
      </c>
      <c r="Y48" s="630">
        <f t="shared" si="223"/>
        <v>-0.56350169952112572</v>
      </c>
      <c r="Z48" s="632">
        <f t="shared" si="243"/>
        <v>-0.89436718713522123</v>
      </c>
      <c r="AA48" s="629">
        <f t="shared" si="244"/>
        <v>0.41260356919534119</v>
      </c>
      <c r="AB48" s="629">
        <f t="shared" si="245"/>
        <v>-0.17281675052811718</v>
      </c>
      <c r="AC48" s="636">
        <f t="shared" si="84"/>
        <v>1</v>
      </c>
      <c r="AD48" s="637">
        <f t="shared" si="115"/>
        <v>-0.89436718713522123</v>
      </c>
      <c r="AE48" s="629">
        <f t="shared" si="85"/>
        <v>0.41260356919534119</v>
      </c>
      <c r="AF48" s="633">
        <f t="shared" si="86"/>
        <v>-0.17281675052811718</v>
      </c>
      <c r="AG48" s="602">
        <f t="shared" si="87"/>
        <v>67.273893577543433</v>
      </c>
      <c r="AH48" s="603">
        <f t="shared" si="88"/>
        <v>153.42726232347619</v>
      </c>
      <c r="AI48" s="585">
        <f t="shared" si="89"/>
        <v>-80.048368553470382</v>
      </c>
      <c r="AJ48" s="586">
        <f t="shared" si="90"/>
        <v>-114.76556557840237</v>
      </c>
      <c r="AK48" s="635">
        <f t="shared" si="211"/>
        <v>0.96072213908864246</v>
      </c>
      <c r="AL48" s="629">
        <f t="shared" si="91"/>
        <v>-0.2171343874236544</v>
      </c>
      <c r="AM48" s="634">
        <f t="shared" si="92"/>
        <v>-0.17281675052811718</v>
      </c>
      <c r="AN48" s="581">
        <f t="shared" si="93"/>
        <v>-51.483800079316936</v>
      </c>
      <c r="AO48" s="582">
        <f t="shared" si="94"/>
        <v>16.111775649702935</v>
      </c>
      <c r="AP48" s="585">
        <f t="shared" si="95"/>
        <v>-12.73554132653843</v>
      </c>
      <c r="AQ48" s="586">
        <f t="shared" si="246"/>
        <v>0.55982102842616543</v>
      </c>
      <c r="AS48" s="52">
        <f t="shared" si="406"/>
        <v>-191.7700242894033</v>
      </c>
      <c r="AT48" s="72">
        <f t="shared" si="247"/>
        <v>-0.43014751601288687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4.1159999999999997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-0.9938412240863056</v>
      </c>
      <c r="C49" s="708">
        <v>-4.4064265692227371</v>
      </c>
      <c r="D49" s="709">
        <v>-1.2245036931031392</v>
      </c>
      <c r="E49" s="710">
        <v>0.87086067140158741</v>
      </c>
      <c r="F49" s="708">
        <v>-0.47530650149942749</v>
      </c>
      <c r="G49" s="711">
        <v>0.12524144936222661</v>
      </c>
      <c r="H49" s="710">
        <v>0.314</v>
      </c>
      <c r="I49" s="708">
        <v>0.52</v>
      </c>
      <c r="J49" s="570">
        <v>4.1189999999999998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4.1189999999999998</v>
      </c>
      <c r="N49" s="632">
        <f t="shared" si="240"/>
        <v>-0.9938412240863056</v>
      </c>
      <c r="O49" s="629">
        <f t="shared" si="241"/>
        <v>-4.4064265692227371</v>
      </c>
      <c r="P49" s="633">
        <f t="shared" si="242"/>
        <v>-1.2245036931031392</v>
      </c>
      <c r="Q49" s="585">
        <f t="shared" si="113"/>
        <v>257.28997584631588</v>
      </c>
      <c r="R49" s="629">
        <f t="shared" si="79"/>
        <v>4.5171136236146898</v>
      </c>
      <c r="S49" s="634">
        <f t="shared" si="80"/>
        <v>-1.2245036931031392</v>
      </c>
      <c r="T49" s="635">
        <f t="shared" si="81"/>
        <v>-4.4108910927299991</v>
      </c>
      <c r="U49" s="629">
        <f t="shared" si="82"/>
        <v>0.97383533347306273</v>
      </c>
      <c r="V49" s="636">
        <f t="shared" si="114"/>
        <v>-1.2245036931031392</v>
      </c>
      <c r="W49" s="585">
        <f t="shared" si="224"/>
        <v>167.54997580877654</v>
      </c>
      <c r="X49" s="629">
        <f t="shared" si="83"/>
        <v>4.5171136236146898</v>
      </c>
      <c r="Y49" s="630">
        <f t="shared" si="223"/>
        <v>-1.2245036931031392</v>
      </c>
      <c r="Z49" s="632">
        <f t="shared" si="243"/>
        <v>-0.87086067140158741</v>
      </c>
      <c r="AA49" s="629">
        <f t="shared" si="244"/>
        <v>0.47530650149942749</v>
      </c>
      <c r="AB49" s="629">
        <f t="shared" si="245"/>
        <v>-0.12524144936222661</v>
      </c>
      <c r="AC49" s="636">
        <f t="shared" si="84"/>
        <v>1</v>
      </c>
      <c r="AD49" s="637">
        <f t="shared" si="115"/>
        <v>-0.87086067140158741</v>
      </c>
      <c r="AE49" s="629">
        <f t="shared" si="85"/>
        <v>0.47530650149942749</v>
      </c>
      <c r="AF49" s="633">
        <f t="shared" si="86"/>
        <v>-0.12524144936222661</v>
      </c>
      <c r="AG49" s="602">
        <f t="shared" si="87"/>
        <v>75.238311474009592</v>
      </c>
      <c r="AH49" s="603">
        <f t="shared" si="88"/>
        <v>150.55880960817211</v>
      </c>
      <c r="AI49" s="585">
        <f t="shared" si="89"/>
        <v>-82.805300613603777</v>
      </c>
      <c r="AJ49" s="586">
        <f t="shared" si="90"/>
        <v>-118.62524294940729</v>
      </c>
      <c r="AK49" s="635">
        <f t="shared" si="211"/>
        <v>0.95409661012084845</v>
      </c>
      <c r="AL49" s="629">
        <f t="shared" si="91"/>
        <v>-0.27205557872896968</v>
      </c>
      <c r="AM49" s="634">
        <f t="shared" si="92"/>
        <v>-0.12524144936222661</v>
      </c>
      <c r="AN49" s="581">
        <f t="shared" si="93"/>
        <v>-65.28090536421233</v>
      </c>
      <c r="AO49" s="582">
        <f t="shared" si="94"/>
        <v>17.427515153616206</v>
      </c>
      <c r="AP49" s="585">
        <f t="shared" si="95"/>
        <v>-15.91521879572316</v>
      </c>
      <c r="AQ49" s="586">
        <f t="shared" si="246"/>
        <v>0.50467352923515418</v>
      </c>
      <c r="AS49" s="52">
        <f t="shared" si="406"/>
        <v>-192.45002419122346</v>
      </c>
      <c r="AT49" s="72">
        <f t="shared" si="247"/>
        <v>-1.0906772874408586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4.1189999999999998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-1.0359748675122675</v>
      </c>
      <c r="C50" s="708">
        <v>-4.5232950515536245</v>
      </c>
      <c r="D50" s="709">
        <v>-2.0130060712263109</v>
      </c>
      <c r="E50" s="710">
        <v>0.8540186280415456</v>
      </c>
      <c r="F50" s="708">
        <v>-0.5201851479157058</v>
      </c>
      <c r="G50" s="711">
        <v>7.7197698120821667E-3</v>
      </c>
      <c r="H50" s="710">
        <v>0.314</v>
      </c>
      <c r="I50" s="708">
        <v>0.52</v>
      </c>
      <c r="J50" s="570">
        <v>4.1219999999999999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4.1219999999999999</v>
      </c>
      <c r="N50" s="632">
        <f t="shared" si="240"/>
        <v>-1.0359748675122675</v>
      </c>
      <c r="O50" s="629">
        <f t="shared" si="241"/>
        <v>-4.5232950515536245</v>
      </c>
      <c r="P50" s="633">
        <f t="shared" si="242"/>
        <v>-2.0130060712263109</v>
      </c>
      <c r="Q50" s="585">
        <f t="shared" si="113"/>
        <v>257.09997587374852</v>
      </c>
      <c r="R50" s="629">
        <f t="shared" si="79"/>
        <v>4.6404139954886103</v>
      </c>
      <c r="S50" s="634">
        <f t="shared" si="80"/>
        <v>-2.0130060712263109</v>
      </c>
      <c r="T50" s="635">
        <f t="shared" si="81"/>
        <v>-4.5279495675025174</v>
      </c>
      <c r="U50" s="629">
        <f t="shared" si="82"/>
        <v>1.0154382126354764</v>
      </c>
      <c r="V50" s="636">
        <f t="shared" si="114"/>
        <v>-2.0130060712263109</v>
      </c>
      <c r="W50" s="585">
        <f t="shared" si="224"/>
        <v>167.35997583620917</v>
      </c>
      <c r="X50" s="629">
        <f t="shared" si="83"/>
        <v>4.6404139954886103</v>
      </c>
      <c r="Y50" s="630">
        <f t="shared" si="223"/>
        <v>-2.0130060712263109</v>
      </c>
      <c r="Z50" s="632">
        <f t="shared" si="243"/>
        <v>-0.8540186280415456</v>
      </c>
      <c r="AA50" s="629">
        <f t="shared" si="244"/>
        <v>0.5201851479157058</v>
      </c>
      <c r="AB50" s="629">
        <f t="shared" si="245"/>
        <v>-7.7197698120821667E-3</v>
      </c>
      <c r="AC50" s="636">
        <f t="shared" si="84"/>
        <v>1</v>
      </c>
      <c r="AD50" s="637">
        <f t="shared" si="115"/>
        <v>-0.8540186280415456</v>
      </c>
      <c r="AE50" s="629">
        <f t="shared" si="85"/>
        <v>0.5201851479157058</v>
      </c>
      <c r="AF50" s="633">
        <f t="shared" si="86"/>
        <v>-7.7197698120821667E-3</v>
      </c>
      <c r="AG50" s="602">
        <f t="shared" si="87"/>
        <v>89.149768570109032</v>
      </c>
      <c r="AH50" s="603">
        <f t="shared" si="88"/>
        <v>148.65148556758527</v>
      </c>
      <c r="AI50" s="585">
        <f t="shared" si="89"/>
        <v>-89.557685377602382</v>
      </c>
      <c r="AJ50" s="586">
        <f t="shared" si="90"/>
        <v>-121.34571158300366</v>
      </c>
      <c r="AK50" s="635">
        <f t="shared" si="211"/>
        <v>0.9485957455796501</v>
      </c>
      <c r="AL50" s="629">
        <f t="shared" si="91"/>
        <v>-0.31639613875999867</v>
      </c>
      <c r="AM50" s="634">
        <f t="shared" si="92"/>
        <v>-7.7197698120821667E-3</v>
      </c>
      <c r="AN50" s="581">
        <f t="shared" si="93"/>
        <v>-88.602313887563412</v>
      </c>
      <c r="AO50" s="582">
        <f t="shared" si="94"/>
        <v>18.450805449389247</v>
      </c>
      <c r="AP50" s="585">
        <f t="shared" si="95"/>
        <v>-18.445687456752161</v>
      </c>
      <c r="AQ50" s="586">
        <f t="shared" si="246"/>
        <v>0.49126452251069813</v>
      </c>
      <c r="AS50" s="52">
        <f t="shared" si="406"/>
        <v>-192.64002416379083</v>
      </c>
      <c r="AT50" s="72">
        <f t="shared" si="247"/>
        <v>-1.8790477211386363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4.1219999999999999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-1.0691290033712675</v>
      </c>
      <c r="C51" s="708">
        <v>-4.6125296142285057</v>
      </c>
      <c r="D51" s="709">
        <v>-2.7401082641665249</v>
      </c>
      <c r="E51" s="710">
        <v>0.72253789288218973</v>
      </c>
      <c r="F51" s="708">
        <v>-0.68528879228939976</v>
      </c>
      <c r="G51" s="711">
        <v>9.1204520238316392E-2</v>
      </c>
      <c r="H51" s="710">
        <v>0.26600000000000001</v>
      </c>
      <c r="I51" s="708">
        <v>0.52</v>
      </c>
      <c r="J51" s="570">
        <v>4.125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4.125</v>
      </c>
      <c r="N51" s="632">
        <f t="shared" si="240"/>
        <v>-1.0691290033712675</v>
      </c>
      <c r="O51" s="629">
        <f t="shared" si="241"/>
        <v>-4.6125296142285057</v>
      </c>
      <c r="P51" s="633">
        <f t="shared" si="242"/>
        <v>-2.7401082641665249</v>
      </c>
      <c r="Q51" s="585">
        <f t="shared" si="113"/>
        <v>256.94997589540583</v>
      </c>
      <c r="R51" s="629">
        <f t="shared" si="79"/>
        <v>4.7348142801998696</v>
      </c>
      <c r="S51" s="634">
        <f t="shared" si="80"/>
        <v>-2.7401082641665249</v>
      </c>
      <c r="T51" s="635">
        <f t="shared" si="81"/>
        <v>-4.617333659572143</v>
      </c>
      <c r="U51" s="629">
        <f t="shared" si="82"/>
        <v>1.0481870749855355</v>
      </c>
      <c r="V51" s="636">
        <f t="shared" si="114"/>
        <v>-2.7401082641665249</v>
      </c>
      <c r="W51" s="585">
        <f t="shared" si="224"/>
        <v>167.20997585786648</v>
      </c>
      <c r="X51" s="629">
        <f t="shared" si="83"/>
        <v>4.7348142801998696</v>
      </c>
      <c r="Y51" s="630">
        <f t="shared" si="223"/>
        <v>-2.7401082641665249</v>
      </c>
      <c r="Z51" s="632">
        <f t="shared" si="243"/>
        <v>-0.72253789288218973</v>
      </c>
      <c r="AA51" s="629">
        <f t="shared" si="244"/>
        <v>0.68528879228939976</v>
      </c>
      <c r="AB51" s="629">
        <f t="shared" si="245"/>
        <v>-9.1204520238316392E-2</v>
      </c>
      <c r="AC51" s="636">
        <f t="shared" si="84"/>
        <v>1</v>
      </c>
      <c r="AD51" s="637">
        <f t="shared" si="115"/>
        <v>-0.72253789288218973</v>
      </c>
      <c r="AE51" s="629">
        <f t="shared" si="85"/>
        <v>0.68528879228939976</v>
      </c>
      <c r="AF51" s="633">
        <f t="shared" si="86"/>
        <v>-9.1204520238316392E-2</v>
      </c>
      <c r="AG51" s="602">
        <f t="shared" si="87"/>
        <v>82.419101939891064</v>
      </c>
      <c r="AH51" s="603">
        <f t="shared" si="88"/>
        <v>136.26441304918779</v>
      </c>
      <c r="AI51" s="585">
        <f t="shared" si="89"/>
        <v>-84.767093963198377</v>
      </c>
      <c r="AJ51" s="586">
        <f t="shared" si="90"/>
        <v>-133.48438841082077</v>
      </c>
      <c r="AK51" s="635">
        <f t="shared" si="211"/>
        <v>0.85861647601341984</v>
      </c>
      <c r="AL51" s="629">
        <f t="shared" si="91"/>
        <v>-0.50443977103951188</v>
      </c>
      <c r="AM51" s="634">
        <f t="shared" si="92"/>
        <v>-9.1204520238316392E-2</v>
      </c>
      <c r="AN51" s="581">
        <f t="shared" si="93"/>
        <v>-79.751435317291353</v>
      </c>
      <c r="AO51" s="582">
        <f t="shared" si="94"/>
        <v>30.838405991885843</v>
      </c>
      <c r="AP51" s="585">
        <f t="shared" si="95"/>
        <v>-30.434364306226591</v>
      </c>
      <c r="AQ51" s="586">
        <f t="shared" si="246"/>
        <v>0.48147040965083693</v>
      </c>
      <c r="AS51" s="52">
        <f t="shared" si="406"/>
        <v>-192.79002414213352</v>
      </c>
      <c r="AT51" s="72">
        <f t="shared" si="247"/>
        <v>-2.6060457474272232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4.125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1313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-1.3993769576986939</v>
      </c>
      <c r="C52" s="708">
        <v>-3.0978314737996553</v>
      </c>
      <c r="D52" s="709">
        <v>-0.11474552630897998</v>
      </c>
      <c r="E52" s="710">
        <v>0.75835435289915964</v>
      </c>
      <c r="F52" s="708">
        <v>-0.51670840584177335</v>
      </c>
      <c r="G52" s="711">
        <v>0.39738029489564541</v>
      </c>
      <c r="H52" s="710">
        <v>0.26600000000000001</v>
      </c>
      <c r="I52" s="708">
        <v>0.52</v>
      </c>
      <c r="J52" s="570">
        <v>4.2130000000000001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1313</v>
      </c>
      <c r="L52" s="320"/>
      <c r="M52" s="168">
        <f t="shared" si="239"/>
        <v>4.2130000000000001</v>
      </c>
      <c r="N52" s="632">
        <f t="shared" si="240"/>
        <v>-1.3993769576986939</v>
      </c>
      <c r="O52" s="629">
        <f t="shared" si="241"/>
        <v>-3.0978314737996553</v>
      </c>
      <c r="P52" s="633">
        <f t="shared" si="242"/>
        <v>-0.11474552630897998</v>
      </c>
      <c r="Q52" s="585">
        <f t="shared" si="113"/>
        <v>245.68997752114842</v>
      </c>
      <c r="R52" s="629">
        <f t="shared" si="79"/>
        <v>3.3992375188859332</v>
      </c>
      <c r="S52" s="634">
        <f t="shared" si="80"/>
        <v>-0.11474552630897998</v>
      </c>
      <c r="T52" s="635">
        <f t="shared" si="81"/>
        <v>-3.1041497268678748</v>
      </c>
      <c r="U52" s="629">
        <f t="shared" si="82"/>
        <v>1.3853050866101277</v>
      </c>
      <c r="V52" s="636">
        <f t="shared" si="114"/>
        <v>-0.11474552630897998</v>
      </c>
      <c r="W52" s="585">
        <f t="shared" si="224"/>
        <v>155.94997748360908</v>
      </c>
      <c r="X52" s="629">
        <f t="shared" si="83"/>
        <v>3.3992375188859332</v>
      </c>
      <c r="Y52" s="630">
        <f t="shared" si="223"/>
        <v>-0.11474552630897998</v>
      </c>
      <c r="Z52" s="632">
        <f t="shared" si="243"/>
        <v>-0.75835435289915964</v>
      </c>
      <c r="AA52" s="629">
        <f t="shared" si="244"/>
        <v>0.51670840584177335</v>
      </c>
      <c r="AB52" s="629">
        <f t="shared" si="245"/>
        <v>-0.39738029489564541</v>
      </c>
      <c r="AC52" s="636">
        <f t="shared" si="84"/>
        <v>1</v>
      </c>
      <c r="AD52" s="637">
        <f t="shared" si="115"/>
        <v>-0.75835435289915964</v>
      </c>
      <c r="AE52" s="629">
        <f t="shared" si="85"/>
        <v>0.51670840584177335</v>
      </c>
      <c r="AF52" s="633">
        <f t="shared" si="86"/>
        <v>-0.39738029489564541</v>
      </c>
      <c r="AG52" s="602">
        <f t="shared" si="87"/>
        <v>52.437518717811287</v>
      </c>
      <c r="AH52" s="603">
        <f t="shared" si="88"/>
        <v>139.31933527514158</v>
      </c>
      <c r="AI52" s="585">
        <f t="shared" si="89"/>
        <v>-66.585490116061763</v>
      </c>
      <c r="AJ52" s="586">
        <f t="shared" si="90"/>
        <v>-124.26875020201044</v>
      </c>
      <c r="AK52" s="635">
        <f t="shared" si="211"/>
        <v>0.9038273444025513</v>
      </c>
      <c r="AL52" s="629">
        <f t="shared" si="91"/>
        <v>-0.15869792922052212</v>
      </c>
      <c r="AM52" s="634">
        <f t="shared" si="92"/>
        <v>-0.39738029489564541</v>
      </c>
      <c r="AN52" s="581">
        <f t="shared" si="93"/>
        <v>-21.769807791147091</v>
      </c>
      <c r="AO52" s="582">
        <f t="shared" si="94"/>
        <v>25.334193732479825</v>
      </c>
      <c r="AP52" s="585">
        <f t="shared" si="95"/>
        <v>-9.9587277231588605</v>
      </c>
      <c r="AQ52" s="586">
        <f t="shared" si="246"/>
        <v>0.67062760737771265</v>
      </c>
      <c r="AS52" s="52">
        <f t="shared" si="406"/>
        <v>-204.05002251639092</v>
      </c>
      <c r="AT52" s="72">
        <f t="shared" si="247"/>
        <v>2.7136433745778052E-2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Nose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4.2130000000000001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4.1130000000000004</v>
      </c>
      <c r="II52" s="734" cm="1">
        <f t="array" ref="II52">IFERROR(ROUND(VALUE(IF($IH52&lt;1,$IH52+LARGE((IF($M$9:$M$150="",0,$M$9:$M$150)-MOD(IF($M$9:$M$150="",0,$M$9:$M$150),1)),1),$IH52)),4),"")</f>
        <v>4.1130000000000004</v>
      </c>
      <c r="IJ52" s="533">
        <f t="shared" si="112"/>
        <v>1613</v>
      </c>
      <c r="IK52" s="533">
        <f t="shared" si="382"/>
        <v>1313</v>
      </c>
      <c r="IL52" s="727">
        <f t="shared" si="225"/>
        <v>13.219998091268451</v>
      </c>
      <c r="IM52" s="759">
        <v>1.7956697705016601E-2</v>
      </c>
      <c r="IN52" s="5">
        <f t="shared" si="226"/>
        <v>0.46</v>
      </c>
      <c r="IO52" s="771">
        <v>230</v>
      </c>
      <c r="IP52" s="9">
        <f t="shared" si="227"/>
        <v>-3.386510213714804</v>
      </c>
      <c r="IQ52" s="5">
        <f t="shared" si="228"/>
        <v>-0.15720047411662993</v>
      </c>
      <c r="IR52" s="5">
        <f t="shared" si="383"/>
        <v>0.314</v>
      </c>
      <c r="IS52" s="5">
        <f t="shared" si="229"/>
        <v>0.30247061034488915</v>
      </c>
      <c r="IT52" s="727">
        <f t="shared" si="230"/>
        <v>27.804077555329215</v>
      </c>
      <c r="IU52" s="9">
        <f t="shared" si="231"/>
        <v>-3.3992375188859332</v>
      </c>
      <c r="IV52" s="5">
        <f t="shared" si="232"/>
        <v>-0.11474552630897998</v>
      </c>
      <c r="IW52" s="5">
        <f t="shared" si="384"/>
        <v>0.26600000000000001</v>
      </c>
      <c r="IX52" s="5">
        <f t="shared" si="233"/>
        <v>0.24041807361107867</v>
      </c>
      <c r="IY52" s="762">
        <f t="shared" si="234"/>
        <v>21.769807791147091</v>
      </c>
    </row>
    <row r="53" spans="1:259" ht="15" customHeight="1" x14ac:dyDescent="0.25">
      <c r="A53" s="79"/>
      <c r="B53" s="707">
        <v>-1.6366280737203329</v>
      </c>
      <c r="C53" s="708">
        <v>-3.762187039704957</v>
      </c>
      <c r="D53" s="709">
        <v>-0.52539458142014495</v>
      </c>
      <c r="E53" s="710">
        <v>0.70792981238719921</v>
      </c>
      <c r="F53" s="708">
        <v>-0.63237533673618274</v>
      </c>
      <c r="G53" s="711">
        <v>0.31454222963097445</v>
      </c>
      <c r="H53" s="710">
        <v>0.26600000000000001</v>
      </c>
      <c r="I53" s="708">
        <v>0.52</v>
      </c>
      <c r="J53" s="570">
        <v>4.2160000000000002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1313</v>
      </c>
      <c r="L53" s="320"/>
      <c r="M53" s="168">
        <f t="shared" si="239"/>
        <v>4.2160000000000002</v>
      </c>
      <c r="N53" s="632">
        <f t="shared" si="240"/>
        <v>-1.6366280737203329</v>
      </c>
      <c r="O53" s="629">
        <f t="shared" si="241"/>
        <v>-3.762187039704957</v>
      </c>
      <c r="P53" s="633">
        <f t="shared" si="242"/>
        <v>-0.52539458142014495</v>
      </c>
      <c r="Q53" s="585">
        <f t="shared" si="113"/>
        <v>246.48997740564272</v>
      </c>
      <c r="R53" s="629">
        <f t="shared" ref="R53:R58" si="410">IF(M53="","",SQRT(N53^2+O53^2))</f>
        <v>4.1027555098267161</v>
      </c>
      <c r="S53" s="634">
        <f t="shared" ref="S53:S58" si="411">IF(M53="","",P53)</f>
        <v>-0.52539458142014495</v>
      </c>
      <c r="T53" s="635">
        <f t="shared" ref="T53:T58" si="412">IF(M53="","",X53*COS(RADIANS(W53)))</f>
        <v>-3.7695750600993287</v>
      </c>
      <c r="U53" s="629">
        <f t="shared" ref="U53:U58" si="413">IF(M53="","",X53*SIN(RADIANS(W53)))</f>
        <v>1.6195390207372651</v>
      </c>
      <c r="V53" s="636">
        <f t="shared" ref="V53:V58" si="414">IF(M53="","",Y53)</f>
        <v>-0.52539458142014495</v>
      </c>
      <c r="W53" s="585">
        <f t="shared" si="224"/>
        <v>156.74997736810337</v>
      </c>
      <c r="X53" s="629">
        <f t="shared" ref="X53:X58" si="415">IF(M53="","",R53)</f>
        <v>4.1027555098267161</v>
      </c>
      <c r="Y53" s="630">
        <f t="shared" si="223"/>
        <v>-0.52539458142014495</v>
      </c>
      <c r="Z53" s="632">
        <f t="shared" si="243"/>
        <v>-0.70792981238719921</v>
      </c>
      <c r="AA53" s="629">
        <f t="shared" si="244"/>
        <v>0.63237533673618274</v>
      </c>
      <c r="AB53" s="629">
        <f t="shared" si="245"/>
        <v>-0.31454222963097445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-0.70792981238719921</v>
      </c>
      <c r="AE53" s="629">
        <f t="shared" ref="AE53:AE58" si="418">IF(M53="","",AA53*(1/SQRT(Z53^2+AA53^2+AB53^2)))</f>
        <v>0.63237533673618274</v>
      </c>
      <c r="AF53" s="633">
        <f t="shared" ref="AF53:AF58" si="419">IF(M53="","",AB53*(1/SQRT(Z53^2+AA53^2+AB53^2)))</f>
        <v>-0.31454222963097445</v>
      </c>
      <c r="AG53" s="602">
        <f t="shared" ref="AG53:AG58" si="420">IF(M53="","",DEGREES(ATAN2(-AF53,AE53)))</f>
        <v>63.554339669859708</v>
      </c>
      <c r="AH53" s="603">
        <f t="shared" ref="AH53:AH58" si="421">IF(M53="","",DEGREES(ACOS(AD53)))</f>
        <v>135.06672782905147</v>
      </c>
      <c r="AI53" s="585">
        <f t="shared" ref="AI53:AI58" si="422">IF(M53="","",DEGREES(-ACOS(-AF53)))</f>
        <v>-71.666819166037214</v>
      </c>
      <c r="AJ53" s="586">
        <f t="shared" ref="AJ53:AJ58" si="423">IF(M53="","",DEGREES(ATAN2(-AE53,AD53)))</f>
        <v>-131.7735885133855</v>
      </c>
      <c r="AK53" s="635">
        <f t="shared" ref="AK53:AK58" si="424">IF(M53="","",(COS(RADIANS((90-$Q$8)-W53))*AD53)+(-SIN(RADIANS((90-$Q$8)-W53))*AE53))</f>
        <v>0.90142529467247523</v>
      </c>
      <c r="AL53" s="629">
        <f t="shared" ref="AL53:AL58" si="425">IF(M53="","",(SIN(RADIANS((90-$Q$8)-W53))*AD53)+(COS(RADIANS((90-$Q$8)-W53))*AE53))</f>
        <v>-0.29748214047807431</v>
      </c>
      <c r="AM53" s="634">
        <f t="shared" ref="AM53:AM58" si="426">IF(M53="","",AF53)</f>
        <v>-0.31454222963097445</v>
      </c>
      <c r="AN53" s="581">
        <f t="shared" ref="AN53:AN58" si="427">IF(M53="","",DEGREES(ATAN2(-AM53,AL53)))</f>
        <v>-43.403302049990728</v>
      </c>
      <c r="AO53" s="582">
        <f t="shared" si="94"/>
        <v>25.653947067682768</v>
      </c>
      <c r="AP53" s="585">
        <f t="shared" ref="AP53:AP58" si="428">IF(M53="","",DEGREES(ATAN2(AK53,AL53)))</f>
        <v>-18.263565919028231</v>
      </c>
      <c r="AQ53" s="586">
        <f t="shared" si="246"/>
        <v>0.55564002276420144</v>
      </c>
      <c r="AS53" s="52">
        <f t="shared" si="406"/>
        <v>-203.25002263189663</v>
      </c>
      <c r="AT53" s="72">
        <f t="shared" si="247"/>
        <v>-0.38406817684073014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Taper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4.2160000000000002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4.1159999999999997</v>
      </c>
      <c r="II53" s="734" cm="1">
        <f t="array" ref="II53">IFERROR(ROUND(VALUE(IF($IH53&lt;1,$IH53+LARGE((IF($M$9:$M$150="",0,$M$9:$M$150)-MOD(IF($M$9:$M$150="",0,$M$9:$M$150),1)),1),$IH53)),4),"")</f>
        <v>4.1159999999999997</v>
      </c>
      <c r="IJ53" s="533">
        <f t="shared" si="112"/>
        <v>1613</v>
      </c>
      <c r="IK53" s="533">
        <f t="shared" si="382"/>
        <v>1313</v>
      </c>
      <c r="IL53" s="727">
        <f t="shared" si="225"/>
        <v>11.479998342493332</v>
      </c>
      <c r="IM53" s="759">
        <v>1.3394080496196E-2</v>
      </c>
      <c r="IN53" s="5">
        <f t="shared" si="226"/>
        <v>0.44</v>
      </c>
      <c r="IO53" s="771">
        <v>220</v>
      </c>
      <c r="IP53" s="9">
        <f t="shared" si="227"/>
        <v>-4.0721122814906403</v>
      </c>
      <c r="IQ53" s="5">
        <f t="shared" si="228"/>
        <v>-0.56350169952112572</v>
      </c>
      <c r="IR53" s="5">
        <f t="shared" si="383"/>
        <v>0.314</v>
      </c>
      <c r="IS53" s="5">
        <f t="shared" si="229"/>
        <v>0.30166675167383372</v>
      </c>
      <c r="IT53" s="727">
        <f t="shared" si="230"/>
        <v>51.483800079316936</v>
      </c>
      <c r="IU53" s="9">
        <f t="shared" si="231"/>
        <v>-4.1027555098267161</v>
      </c>
      <c r="IV53" s="5">
        <f t="shared" si="232"/>
        <v>-0.52539458142014495</v>
      </c>
      <c r="IW53" s="5">
        <f t="shared" si="384"/>
        <v>0.26600000000000001</v>
      </c>
      <c r="IX53" s="5">
        <f t="shared" si="233"/>
        <v>0.23977912838287843</v>
      </c>
      <c r="IY53" s="762">
        <f t="shared" si="234"/>
        <v>43.403302049990728</v>
      </c>
    </row>
    <row r="54" spans="1:259" ht="15" customHeight="1" x14ac:dyDescent="0.25">
      <c r="A54" s="79"/>
      <c r="B54" s="707">
        <v>-1.8067277286778949</v>
      </c>
      <c r="C54" s="708">
        <v>-4.1851133167071115</v>
      </c>
      <c r="D54" s="709">
        <v>-1.1921830691643689</v>
      </c>
      <c r="E54" s="710">
        <v>0.66897720800928395</v>
      </c>
      <c r="F54" s="708">
        <v>-0.70116845668038907</v>
      </c>
      <c r="G54" s="711">
        <v>0.24664202910401259</v>
      </c>
      <c r="H54" s="710">
        <v>0.26600000000000001</v>
      </c>
      <c r="I54" s="708">
        <v>0.52</v>
      </c>
      <c r="J54" s="570">
        <v>4.2190000000000003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1313</v>
      </c>
      <c r="L54" s="320"/>
      <c r="M54" s="168">
        <f t="shared" si="239"/>
        <v>4.2190000000000003</v>
      </c>
      <c r="N54" s="632">
        <f t="shared" si="240"/>
        <v>-1.8067277286778949</v>
      </c>
      <c r="O54" s="629">
        <f t="shared" si="241"/>
        <v>-4.1851133167071115</v>
      </c>
      <c r="P54" s="633">
        <f t="shared" si="242"/>
        <v>-1.1921830691643689</v>
      </c>
      <c r="Q54" s="585">
        <f t="shared" si="113"/>
        <v>246.64997738254161</v>
      </c>
      <c r="R54" s="629">
        <f t="shared" si="410"/>
        <v>4.5584469459732428</v>
      </c>
      <c r="S54" s="634">
        <f t="shared" si="411"/>
        <v>-1.1921830691643689</v>
      </c>
      <c r="T54" s="635">
        <f t="shared" si="412"/>
        <v>-4.1932688676208274</v>
      </c>
      <c r="U54" s="629">
        <f t="shared" si="413"/>
        <v>1.7877177526373476</v>
      </c>
      <c r="V54" s="636">
        <f t="shared" si="414"/>
        <v>-1.1921830691643689</v>
      </c>
      <c r="W54" s="585">
        <f t="shared" si="224"/>
        <v>156.90997734500226</v>
      </c>
      <c r="X54" s="629">
        <f t="shared" si="415"/>
        <v>4.5584469459732428</v>
      </c>
      <c r="Y54" s="630">
        <f t="shared" si="223"/>
        <v>-1.1921830691643689</v>
      </c>
      <c r="Z54" s="632">
        <f t="shared" si="243"/>
        <v>-0.66897720800928395</v>
      </c>
      <c r="AA54" s="629">
        <f t="shared" si="244"/>
        <v>0.70116845668038907</v>
      </c>
      <c r="AB54" s="629">
        <f t="shared" si="245"/>
        <v>-0.24664202910401259</v>
      </c>
      <c r="AC54" s="636">
        <f t="shared" si="416"/>
        <v>1</v>
      </c>
      <c r="AD54" s="637">
        <f t="shared" si="417"/>
        <v>-0.66897720800928395</v>
      </c>
      <c r="AE54" s="629">
        <f t="shared" si="418"/>
        <v>0.70116845668038907</v>
      </c>
      <c r="AF54" s="633">
        <f t="shared" si="419"/>
        <v>-0.24664202910401259</v>
      </c>
      <c r="AG54" s="602">
        <f t="shared" si="420"/>
        <v>70.620239215637241</v>
      </c>
      <c r="AH54" s="603">
        <f t="shared" si="421"/>
        <v>131.98817422773988</v>
      </c>
      <c r="AI54" s="585">
        <f t="shared" si="422"/>
        <v>-75.72110666964771</v>
      </c>
      <c r="AJ54" s="586">
        <f t="shared" si="423"/>
        <v>-136.3459031910304</v>
      </c>
      <c r="AK54" s="635">
        <f t="shared" si="424"/>
        <v>0.89209460221187609</v>
      </c>
      <c r="AL54" s="629">
        <f t="shared" si="425"/>
        <v>-0.378595998636924</v>
      </c>
      <c r="AM54" s="634">
        <f t="shared" si="426"/>
        <v>-0.24664202910401259</v>
      </c>
      <c r="AN54" s="581">
        <f t="shared" si="427"/>
        <v>-56.91716573218411</v>
      </c>
      <c r="AO54" s="582">
        <f t="shared" si="94"/>
        <v>26.862354707948437</v>
      </c>
      <c r="AP54" s="585">
        <f t="shared" si="428"/>
        <v>-22.995880573571998</v>
      </c>
      <c r="AQ54" s="586">
        <f t="shared" si="246"/>
        <v>0.50009767925210091</v>
      </c>
      <c r="AS54" s="52">
        <f t="shared" si="406"/>
        <v>-203.09002265499774</v>
      </c>
      <c r="AT54" s="72">
        <f t="shared" si="247"/>
        <v>-1.0509677756800229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Taper</v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4.2190000000000003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4.1189999999999998</v>
      </c>
      <c r="II54" s="734" cm="1">
        <f t="array" ref="II54">IFERROR(ROUND(VALUE(IF($IH54&lt;1,$IH54+LARGE((IF($M$9:$M$150="",0,$M$9:$M$150)-MOD(IF($M$9:$M$150="",0,$M$9:$M$150),1)),1),$IH54)),4),"")</f>
        <v>4.1189999999999998</v>
      </c>
      <c r="IJ54" s="533">
        <f t="shared" si="112"/>
        <v>1613</v>
      </c>
      <c r="IK54" s="533">
        <f t="shared" si="382"/>
        <v>1313</v>
      </c>
      <c r="IL54" s="727">
        <f t="shared" si="225"/>
        <v>10.639998463774276</v>
      </c>
      <c r="IM54" s="759">
        <v>1.03302485213193E-2</v>
      </c>
      <c r="IN54" s="5">
        <f t="shared" si="226"/>
        <v>0.42</v>
      </c>
      <c r="IO54" s="771">
        <v>210</v>
      </c>
      <c r="IP54" s="9">
        <f t="shared" si="227"/>
        <v>-4.5171136236146898</v>
      </c>
      <c r="IQ54" s="5">
        <f t="shared" si="228"/>
        <v>-1.2245036931031392</v>
      </c>
      <c r="IR54" s="5">
        <f t="shared" si="383"/>
        <v>0.314</v>
      </c>
      <c r="IS54" s="5">
        <f t="shared" si="229"/>
        <v>0.29958633557794639</v>
      </c>
      <c r="IT54" s="727">
        <f t="shared" si="230"/>
        <v>65.28090536421233</v>
      </c>
      <c r="IU54" s="9">
        <f t="shared" si="231"/>
        <v>-4.5584469459732428</v>
      </c>
      <c r="IV54" s="5">
        <f t="shared" si="232"/>
        <v>-1.1921830691643689</v>
      </c>
      <c r="IW54" s="5">
        <f t="shared" si="384"/>
        <v>0.26600000000000001</v>
      </c>
      <c r="IX54" s="5">
        <f t="shared" si="233"/>
        <v>0.23729716418835906</v>
      </c>
      <c r="IY54" s="762">
        <f t="shared" si="234"/>
        <v>56.91716573218411</v>
      </c>
    </row>
    <row r="55" spans="1:259" ht="15" customHeight="1" x14ac:dyDescent="0.25">
      <c r="A55" s="79"/>
      <c r="B55" s="707">
        <v>-1.9595072524910839</v>
      </c>
      <c r="C55" s="708">
        <v>-4.22525365226966</v>
      </c>
      <c r="D55" s="709">
        <v>-2.0273572630787275</v>
      </c>
      <c r="E55" s="710">
        <v>-0.38130117694394583</v>
      </c>
      <c r="F55" s="708">
        <v>-0.82219407187668736</v>
      </c>
      <c r="G55" s="711">
        <v>0.42261841019055779</v>
      </c>
      <c r="H55" s="710">
        <v>0.26250000000000001</v>
      </c>
      <c r="I55" s="708">
        <v>0.40699999999999997</v>
      </c>
      <c r="J55" s="570">
        <v>4.2220000000000004</v>
      </c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Inactive</v>
      </c>
      <c r="L55" s="320"/>
      <c r="M55" s="168">
        <f t="shared" si="239"/>
        <v>4.2220000000000004</v>
      </c>
      <c r="N55" s="632">
        <f t="shared" si="240"/>
        <v>-1.9595072524910839</v>
      </c>
      <c r="O55" s="629">
        <f t="shared" si="241"/>
        <v>-4.22525365226966</v>
      </c>
      <c r="P55" s="633">
        <f t="shared" si="242"/>
        <v>-2.0273572630787275</v>
      </c>
      <c r="Q55" s="585">
        <f t="shared" si="113"/>
        <v>245.11997545504039</v>
      </c>
      <c r="R55" s="629">
        <f t="shared" si="410"/>
        <v>4.6575140470623664</v>
      </c>
      <c r="S55" s="634">
        <f t="shared" si="411"/>
        <v>-2.0273572630787275</v>
      </c>
      <c r="T55" s="635">
        <f t="shared" si="412"/>
        <v>-4.2341020789043053</v>
      </c>
      <c r="U55" s="629">
        <f t="shared" si="413"/>
        <v>1.9403135530118583</v>
      </c>
      <c r="V55" s="636">
        <f t="shared" si="414"/>
        <v>-2.0273572630787275</v>
      </c>
      <c r="W55" s="585">
        <f t="shared" si="224"/>
        <v>155.37997541750104</v>
      </c>
      <c r="X55" s="629">
        <f t="shared" si="415"/>
        <v>4.6575140470623664</v>
      </c>
      <c r="Y55" s="630">
        <f t="shared" si="223"/>
        <v>-2.0273572630787275</v>
      </c>
      <c r="Z55" s="632">
        <f t="shared" si="243"/>
        <v>0.38130117694394583</v>
      </c>
      <c r="AA55" s="629">
        <f t="shared" si="244"/>
        <v>0.82219407187668736</v>
      </c>
      <c r="AB55" s="629">
        <f t="shared" si="245"/>
        <v>-0.42261841019055779</v>
      </c>
      <c r="AC55" s="636">
        <f t="shared" si="416"/>
        <v>1</v>
      </c>
      <c r="AD55" s="637">
        <f t="shared" si="417"/>
        <v>0.38130117694394583</v>
      </c>
      <c r="AE55" s="629">
        <f t="shared" si="418"/>
        <v>0.82219407187668736</v>
      </c>
      <c r="AF55" s="633">
        <f t="shared" si="419"/>
        <v>-0.42261841019055779</v>
      </c>
      <c r="AG55" s="602">
        <f t="shared" si="420"/>
        <v>62.796248598358694</v>
      </c>
      <c r="AH55" s="603">
        <f t="shared" si="421"/>
        <v>67.585696136292597</v>
      </c>
      <c r="AI55" s="585">
        <f t="shared" si="422"/>
        <v>-64.999990615163199</v>
      </c>
      <c r="AJ55" s="586">
        <f t="shared" si="423"/>
        <v>155.1199897927649</v>
      </c>
      <c r="AK55" s="635">
        <f t="shared" si="424"/>
        <v>2.2679489619648052E-7</v>
      </c>
      <c r="AL55" s="629">
        <f t="shared" si="425"/>
        <v>-0.90630771781330099</v>
      </c>
      <c r="AM55" s="634">
        <f t="shared" si="426"/>
        <v>-0.42261841019055779</v>
      </c>
      <c r="AN55" s="581">
        <f t="shared" si="427"/>
        <v>-64.999990615162503</v>
      </c>
      <c r="AO55" s="582">
        <f>IF(ROUND(IF(M55="",0,DEGREES(ACOS(AK55))),4)=90,0,IF(M55="","",DEGREES(ACOS(AK55))))</f>
        <v>0</v>
      </c>
      <c r="AP55" s="585">
        <f t="shared" si="428"/>
        <v>-89.999985662275506</v>
      </c>
      <c r="AQ55" s="586">
        <f t="shared" si="246"/>
        <v>0.48946093391555479</v>
      </c>
      <c r="AS55" s="52">
        <f t="shared" si="406"/>
        <v>-204.62002458249896</v>
      </c>
      <c r="AT55" s="72">
        <f t="shared" si="247"/>
        <v>-1.8850794682558389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>Taper</v>
      </c>
      <c r="IF55" s="533" t="str">
        <f>IFERROR(IF((((($IW55*COS(RADIANS(180-$IY55)))*COS(RADIANS($IY55)))-(($IX55*SIN(RADIANS(180-$IY55)))*SIN(RADIANS($IY55))))+$IU55)&lt;(((Settings!$C$19+$IF$8)/2)*-1),"Gage",""),"")</f>
        <v>Gage</v>
      </c>
      <c r="IG55" s="847">
        <f t="shared" si="210"/>
        <v>4.2220000000000004</v>
      </c>
      <c r="IH55" s="731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4.1219999999999999</v>
      </c>
      <c r="II55" s="734" cm="1">
        <f t="array" ref="II55">IFERROR(ROUND(VALUE(IF($IH55&lt;1,$IH55+LARGE((IF($M$9:$M$150="",0,$M$9:$M$150)-MOD(IF($M$9:$M$150="",0,$M$9:$M$150),1)),1),$IH55)),4),"")</f>
        <v>4.1219999999999999</v>
      </c>
      <c r="IJ55" s="533">
        <f t="shared" si="112"/>
        <v>1613</v>
      </c>
      <c r="IK55" s="533" t="str">
        <f t="shared" si="382"/>
        <v>Inactive</v>
      </c>
      <c r="IL55" s="727">
        <f t="shared" si="225"/>
        <v>11.98000041870813</v>
      </c>
      <c r="IM55" s="759">
        <v>1.6461075595817401E-2</v>
      </c>
      <c r="IN55" s="5">
        <f t="shared" si="226"/>
        <v>1.7</v>
      </c>
      <c r="IO55" s="771">
        <v>850</v>
      </c>
      <c r="IP55" s="9">
        <f t="shared" si="227"/>
        <v>-4.6404139954886103</v>
      </c>
      <c r="IQ55" s="5">
        <f t="shared" si="228"/>
        <v>-2.0130060712263109</v>
      </c>
      <c r="IR55" s="5">
        <f t="shared" si="383"/>
        <v>0.314</v>
      </c>
      <c r="IS55" s="5">
        <f t="shared" si="229"/>
        <v>0.29785906411201013</v>
      </c>
      <c r="IT55" s="727">
        <f t="shared" si="230"/>
        <v>88.602313887563412</v>
      </c>
      <c r="IU55" s="9">
        <f t="shared" si="231"/>
        <v>-4.6575140470623664</v>
      </c>
      <c r="IV55" s="5">
        <f t="shared" si="232"/>
        <v>-2.0273572630787275</v>
      </c>
      <c r="IW55" s="5">
        <f t="shared" si="384"/>
        <v>0.26250000000000001</v>
      </c>
      <c r="IX55" s="5">
        <f t="shared" si="233"/>
        <v>0.26250000000000001</v>
      </c>
      <c r="IY55" s="762">
        <f t="shared" si="234"/>
        <v>64.999990615162503</v>
      </c>
    </row>
    <row r="56" spans="1:259" ht="15" customHeight="1" x14ac:dyDescent="0.25">
      <c r="A56" s="79"/>
      <c r="B56" s="707">
        <v>-0.49693012552483945</v>
      </c>
      <c r="C56" s="708">
        <v>-0.23172214777975733</v>
      </c>
      <c r="D56" s="709">
        <v>-0.52640158762718836</v>
      </c>
      <c r="E56" s="710">
        <v>0.4620446689076198</v>
      </c>
      <c r="F56" s="708">
        <v>-0.83685529231709932</v>
      </c>
      <c r="G56" s="711">
        <v>0.29357783236291934</v>
      </c>
      <c r="H56" s="710">
        <v>0.314</v>
      </c>
      <c r="I56" s="708">
        <v>0.52</v>
      </c>
      <c r="J56" s="570">
        <v>5.1020000000000003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5.1020000000000003</v>
      </c>
      <c r="N56" s="632">
        <f t="shared" si="240"/>
        <v>-0.49693012552483945</v>
      </c>
      <c r="O56" s="629">
        <f t="shared" si="241"/>
        <v>-0.23172214777975733</v>
      </c>
      <c r="P56" s="633">
        <f t="shared" si="242"/>
        <v>-0.52640158762718836</v>
      </c>
      <c r="Q56" s="585">
        <f t="shared" si="113"/>
        <v>204.99998339605673</v>
      </c>
      <c r="R56" s="629">
        <f t="shared" si="410"/>
        <v>0.54830165367778749</v>
      </c>
      <c r="S56" s="634">
        <f t="shared" si="411"/>
        <v>-0.52640158762718836</v>
      </c>
      <c r="T56" s="635">
        <f t="shared" si="412"/>
        <v>-0.23397475127171119</v>
      </c>
      <c r="U56" s="629">
        <f t="shared" si="413"/>
        <v>0.49587349111758061</v>
      </c>
      <c r="V56" s="636">
        <f t="shared" si="414"/>
        <v>-0.52640158762718836</v>
      </c>
      <c r="W56" s="585">
        <f t="shared" si="224"/>
        <v>115.25998335851739</v>
      </c>
      <c r="X56" s="629">
        <f t="shared" si="415"/>
        <v>0.54830165367778749</v>
      </c>
      <c r="Y56" s="630">
        <f t="shared" si="223"/>
        <v>-0.52640158762718836</v>
      </c>
      <c r="Z56" s="632">
        <f t="shared" si="243"/>
        <v>-0.4620446689076198</v>
      </c>
      <c r="AA56" s="629">
        <f t="shared" si="244"/>
        <v>0.83685529231709932</v>
      </c>
      <c r="AB56" s="629">
        <f t="shared" si="245"/>
        <v>-0.29357783236291934</v>
      </c>
      <c r="AC56" s="636">
        <f t="shared" si="416"/>
        <v>1</v>
      </c>
      <c r="AD56" s="637">
        <f t="shared" si="417"/>
        <v>-0.4620446689076198</v>
      </c>
      <c r="AE56" s="629">
        <f t="shared" si="418"/>
        <v>0.83685529231709932</v>
      </c>
      <c r="AF56" s="633">
        <f t="shared" si="419"/>
        <v>-0.29357783236291934</v>
      </c>
      <c r="AG56" s="602">
        <f t="shared" si="420"/>
        <v>70.668581148822639</v>
      </c>
      <c r="AH56" s="603">
        <f t="shared" si="421"/>
        <v>117.5191251494371</v>
      </c>
      <c r="AI56" s="585">
        <f t="shared" si="422"/>
        <v>-72.927722444134986</v>
      </c>
      <c r="AJ56" s="586">
        <f t="shared" si="423"/>
        <v>-151.09602633970272</v>
      </c>
      <c r="AK56" s="635">
        <f t="shared" si="424"/>
        <v>0.95371696400905348</v>
      </c>
      <c r="AL56" s="629">
        <f t="shared" si="425"/>
        <v>6.5084628803148525E-2</v>
      </c>
      <c r="AM56" s="634">
        <f t="shared" si="426"/>
        <v>-0.29357783236291934</v>
      </c>
      <c r="AN56" s="581">
        <f t="shared" si="427"/>
        <v>12.499998195223517</v>
      </c>
      <c r="AO56" s="582">
        <f t="shared" ref="AO56:AO119" si="461">IF(ROUND(IF(M56="",0,DEGREES(ACOS(AK56))),4)=90,0,IF(M56="","",DEGREES(ACOS(AK56))))</f>
        <v>17.499997473312952</v>
      </c>
      <c r="AP56" s="585">
        <f t="shared" si="428"/>
        <v>3.9039902642405639</v>
      </c>
      <c r="AQ56" s="586">
        <f t="shared" si="246"/>
        <v>4.1505210316348711</v>
      </c>
      <c r="AS56" s="52">
        <f t="shared" si="406"/>
        <v>-244.74001664148261</v>
      </c>
      <c r="AT56" s="72">
        <f t="shared" si="247"/>
        <v>-0.35626268720778331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5.1020000000000003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-1.1734003894163956</v>
      </c>
      <c r="C57" s="708">
        <v>-0.54716517368311479</v>
      </c>
      <c r="D57" s="709">
        <v>-0.36480110024011836</v>
      </c>
      <c r="E57" s="710">
        <v>0.45898781537822431</v>
      </c>
      <c r="F57" s="708">
        <v>-0.85175172347878281</v>
      </c>
      <c r="G57" s="711">
        <v>0.25268396641901952</v>
      </c>
      <c r="H57" s="710">
        <v>0.314</v>
      </c>
      <c r="I57" s="708">
        <v>0.52</v>
      </c>
      <c r="J57" s="570">
        <v>5.1050000000000004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1613</v>
      </c>
      <c r="L57" s="320"/>
      <c r="M57" s="168">
        <f t="shared" si="239"/>
        <v>5.1050000000000004</v>
      </c>
      <c r="N57" s="632">
        <f t="shared" si="240"/>
        <v>-1.1734003894163956</v>
      </c>
      <c r="O57" s="629">
        <f t="shared" si="241"/>
        <v>-0.54716517368311479</v>
      </c>
      <c r="P57" s="633">
        <f t="shared" si="242"/>
        <v>-0.36480110024011836</v>
      </c>
      <c r="Q57" s="585">
        <f t="shared" si="113"/>
        <v>204.99998339605673</v>
      </c>
      <c r="R57" s="629">
        <f t="shared" si="410"/>
        <v>1.2947039048269771</v>
      </c>
      <c r="S57" s="634">
        <f t="shared" si="411"/>
        <v>-0.36480110024011836</v>
      </c>
      <c r="T57" s="635">
        <f t="shared" si="412"/>
        <v>-0.55248424306307586</v>
      </c>
      <c r="U57" s="629">
        <f t="shared" si="413"/>
        <v>1.1709053601129522</v>
      </c>
      <c r="V57" s="636">
        <f t="shared" si="414"/>
        <v>-0.36480110024011836</v>
      </c>
      <c r="W57" s="585">
        <f t="shared" si="224"/>
        <v>115.25998335851739</v>
      </c>
      <c r="X57" s="629">
        <f t="shared" si="415"/>
        <v>1.2947039048269771</v>
      </c>
      <c r="Y57" s="630">
        <f t="shared" si="223"/>
        <v>-0.36480110024011836</v>
      </c>
      <c r="Z57" s="632">
        <f t="shared" si="243"/>
        <v>-0.45898781537822431</v>
      </c>
      <c r="AA57" s="629">
        <f t="shared" si="244"/>
        <v>0.85175172347878281</v>
      </c>
      <c r="AB57" s="629">
        <f t="shared" si="245"/>
        <v>-0.25268396641901952</v>
      </c>
      <c r="AC57" s="636">
        <f t="shared" si="416"/>
        <v>1</v>
      </c>
      <c r="AD57" s="637">
        <f t="shared" si="417"/>
        <v>-0.45898781537822431</v>
      </c>
      <c r="AE57" s="629">
        <f t="shared" si="418"/>
        <v>0.85175172347878281</v>
      </c>
      <c r="AF57" s="633">
        <f t="shared" si="419"/>
        <v>-0.25268396641901952</v>
      </c>
      <c r="AG57" s="602">
        <f t="shared" si="420"/>
        <v>73.476279603302316</v>
      </c>
      <c r="AH57" s="603">
        <f t="shared" si="421"/>
        <v>117.32181234578989</v>
      </c>
      <c r="AI57" s="585">
        <f t="shared" si="422"/>
        <v>-75.363607485266854</v>
      </c>
      <c r="AJ57" s="586">
        <f t="shared" si="423"/>
        <v>-151.68087703548449</v>
      </c>
      <c r="AK57" s="635">
        <f t="shared" si="424"/>
        <v>0.96592583607220739</v>
      </c>
      <c r="AL57" s="629">
        <f t="shared" si="425"/>
        <v>5.6018678339987416E-2</v>
      </c>
      <c r="AM57" s="634">
        <f t="shared" si="426"/>
        <v>-0.25268396641901952</v>
      </c>
      <c r="AN57" s="581">
        <f t="shared" si="427"/>
        <v>12.49999819522351</v>
      </c>
      <c r="AO57" s="582">
        <f t="shared" si="461"/>
        <v>14.999997834268255</v>
      </c>
      <c r="AP57" s="585">
        <f t="shared" si="428"/>
        <v>3.3191395684587777</v>
      </c>
      <c r="AQ57" s="586">
        <f t="shared" si="246"/>
        <v>1.7602552470019661</v>
      </c>
      <c r="AS57" s="52">
        <f t="shared" si="406"/>
        <v>-244.74001664148261</v>
      </c>
      <c r="AT57" s="72">
        <f t="shared" si="247"/>
        <v>-0.19466219982071331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5.1050000000000004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1613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-1.878510069624904</v>
      </c>
      <c r="C58" s="708">
        <v>-0.87596296863597134</v>
      </c>
      <c r="D58" s="709">
        <v>-0.19230057997854921</v>
      </c>
      <c r="E58" s="710">
        <v>0.45481309650718227</v>
      </c>
      <c r="F58" s="708">
        <v>-0.85368659171893269</v>
      </c>
      <c r="G58" s="711">
        <v>0.25370110438242277</v>
      </c>
      <c r="H58" s="710">
        <v>0.314</v>
      </c>
      <c r="I58" s="708">
        <v>0.52</v>
      </c>
      <c r="J58" s="570">
        <v>5.1079999999999997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5.1079999999999997</v>
      </c>
      <c r="N58" s="632">
        <f t="shared" si="240"/>
        <v>-1.878510069624904</v>
      </c>
      <c r="O58" s="629">
        <f t="shared" si="241"/>
        <v>-0.87596296863597134</v>
      </c>
      <c r="P58" s="633">
        <f t="shared" si="242"/>
        <v>-0.19230057997854921</v>
      </c>
      <c r="Q58" s="585">
        <f t="shared" si="113"/>
        <v>204.99998339605673</v>
      </c>
      <c r="R58" s="629">
        <f t="shared" si="410"/>
        <v>2.072706251282054</v>
      </c>
      <c r="S58" s="634">
        <f t="shared" si="411"/>
        <v>-0.19230057997854921</v>
      </c>
      <c r="T58" s="635">
        <f t="shared" si="412"/>
        <v>-0.88447832748655086</v>
      </c>
      <c r="U58" s="629">
        <f t="shared" si="413"/>
        <v>1.8745157487496069</v>
      </c>
      <c r="V58" s="636">
        <f t="shared" si="414"/>
        <v>-0.19230057997854921</v>
      </c>
      <c r="W58" s="585">
        <f t="shared" si="224"/>
        <v>115.25998335851739</v>
      </c>
      <c r="X58" s="629">
        <f t="shared" si="415"/>
        <v>2.072706251282054</v>
      </c>
      <c r="Y58" s="630">
        <f t="shared" si="223"/>
        <v>-0.19230057997854921</v>
      </c>
      <c r="Z58" s="632">
        <f t="shared" si="243"/>
        <v>-0.45481309650718227</v>
      </c>
      <c r="AA58" s="629">
        <f t="shared" si="244"/>
        <v>0.85368659171893269</v>
      </c>
      <c r="AB58" s="629">
        <f t="shared" si="245"/>
        <v>-0.25370110438242277</v>
      </c>
      <c r="AC58" s="636">
        <f t="shared" si="416"/>
        <v>1</v>
      </c>
      <c r="AD58" s="637">
        <f t="shared" si="417"/>
        <v>-0.45481309650718227</v>
      </c>
      <c r="AE58" s="629">
        <f t="shared" si="418"/>
        <v>0.85368659171893269</v>
      </c>
      <c r="AF58" s="633">
        <f t="shared" si="419"/>
        <v>-0.25370110438242277</v>
      </c>
      <c r="AG58" s="602">
        <f t="shared" si="420"/>
        <v>73.448948097182068</v>
      </c>
      <c r="AH58" s="603">
        <f t="shared" si="421"/>
        <v>117.05290917526823</v>
      </c>
      <c r="AI58" s="585">
        <f t="shared" si="422"/>
        <v>-75.303366884291208</v>
      </c>
      <c r="AJ58" s="586">
        <f t="shared" si="423"/>
        <v>-151.952935793807</v>
      </c>
      <c r="AK58" s="635">
        <f t="shared" si="424"/>
        <v>0.96591511112603334</v>
      </c>
      <c r="AL58" s="629">
        <f t="shared" si="425"/>
        <v>5.1417387463015496E-2</v>
      </c>
      <c r="AM58" s="634">
        <f t="shared" si="426"/>
        <v>-0.25370110438242277</v>
      </c>
      <c r="AN58" s="581">
        <f t="shared" si="427"/>
        <v>11.456905839131217</v>
      </c>
      <c r="AO58" s="582">
        <f t="shared" si="461"/>
        <v>15.002371874130132</v>
      </c>
      <c r="AP58" s="585">
        <f t="shared" si="428"/>
        <v>3.047080810136257</v>
      </c>
      <c r="AQ58" s="586">
        <f t="shared" si="246"/>
        <v>1.0997441925650702</v>
      </c>
      <c r="AS58" s="52">
        <f t="shared" si="406"/>
        <v>-244.74001664148261</v>
      </c>
      <c r="AT58" s="72">
        <f t="shared" si="247"/>
        <v>-2.2161679559144165E-2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5.1079999999999997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-2.6024974260463245</v>
      </c>
      <c r="C59" s="708">
        <v>-1.186025500144356</v>
      </c>
      <c r="D59" s="709">
        <v>-6.9200208707829461E-2</v>
      </c>
      <c r="E59" s="710">
        <v>0.35547099964990209</v>
      </c>
      <c r="F59" s="708">
        <v>-0.89822830272603649</v>
      </c>
      <c r="G59" s="711">
        <v>0.25850780373095711</v>
      </c>
      <c r="H59" s="710">
        <v>0.314</v>
      </c>
      <c r="I59" s="708">
        <v>0.52</v>
      </c>
      <c r="J59" s="570">
        <v>5.1109999999999998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5.1109999999999998</v>
      </c>
      <c r="N59" s="632">
        <f t="shared" si="240"/>
        <v>-2.6024974260463245</v>
      </c>
      <c r="O59" s="629">
        <f t="shared" si="241"/>
        <v>-1.186025500144356</v>
      </c>
      <c r="P59" s="633">
        <f t="shared" si="242"/>
        <v>-6.9200208707829461E-2</v>
      </c>
      <c r="Q59" s="585">
        <f t="shared" si="113"/>
        <v>204.49998346824779</v>
      </c>
      <c r="R59" s="629">
        <f t="shared" si="79"/>
        <v>2.8600086257860156</v>
      </c>
      <c r="S59" s="634">
        <f t="shared" si="80"/>
        <v>-6.9200208707829461E-2</v>
      </c>
      <c r="T59" s="635">
        <f t="shared" si="81"/>
        <v>-1.19782300523567</v>
      </c>
      <c r="U59" s="629">
        <f t="shared" si="82"/>
        <v>2.5970886368583188</v>
      </c>
      <c r="V59" s="636">
        <f t="shared" si="114"/>
        <v>-6.9200208707829461E-2</v>
      </c>
      <c r="W59" s="585">
        <f t="shared" si="224"/>
        <v>114.75998343070844</v>
      </c>
      <c r="X59" s="629">
        <f t="shared" si="83"/>
        <v>2.8600086257860156</v>
      </c>
      <c r="Y59" s="630">
        <f t="shared" si="223"/>
        <v>-6.9200208707829461E-2</v>
      </c>
      <c r="Z59" s="632">
        <f t="shared" si="243"/>
        <v>-0.35547099964990209</v>
      </c>
      <c r="AA59" s="629">
        <f t="shared" si="244"/>
        <v>0.89822830272603649</v>
      </c>
      <c r="AB59" s="629">
        <f t="shared" si="245"/>
        <v>-0.25850780373095711</v>
      </c>
      <c r="AC59" s="636">
        <f t="shared" si="84"/>
        <v>1</v>
      </c>
      <c r="AD59" s="637">
        <f t="shared" si="115"/>
        <v>-0.35547099964990209</v>
      </c>
      <c r="AE59" s="629">
        <f t="shared" si="85"/>
        <v>0.89822830272603649</v>
      </c>
      <c r="AF59" s="633">
        <f t="shared" si="86"/>
        <v>-0.25850780373095711</v>
      </c>
      <c r="AG59" s="602">
        <f t="shared" si="87"/>
        <v>73.944317107432255</v>
      </c>
      <c r="AH59" s="603">
        <f t="shared" si="88"/>
        <v>110.82231361581471</v>
      </c>
      <c r="AI59" s="585">
        <f t="shared" si="89"/>
        <v>-75.018461094069693</v>
      </c>
      <c r="AJ59" s="586">
        <f t="shared" si="90"/>
        <v>-158.40897478625234</v>
      </c>
      <c r="AK59" s="635">
        <f t="shared" si="211"/>
        <v>0.96476440354606907</v>
      </c>
      <c r="AL59" s="629">
        <f t="shared" si="91"/>
        <v>-4.9024086535034983E-2</v>
      </c>
      <c r="AM59" s="634">
        <f t="shared" si="92"/>
        <v>-0.25850780373095711</v>
      </c>
      <c r="AN59" s="581">
        <f t="shared" si="93"/>
        <v>-10.738200590193902</v>
      </c>
      <c r="AO59" s="582">
        <f t="shared" si="461"/>
        <v>15.254991900555479</v>
      </c>
      <c r="AP59" s="585">
        <f t="shared" si="95"/>
        <v>-2.9089582545001393</v>
      </c>
      <c r="AQ59" s="586">
        <f t="shared" si="246"/>
        <v>0.79705339021757871</v>
      </c>
      <c r="AS59" s="52">
        <f t="shared" si="406"/>
        <v>-245.24001656929156</v>
      </c>
      <c r="AT59" s="72">
        <f t="shared" si="247"/>
        <v>0.10128591388366513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5.1109999999999998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-3.3306014221237401</v>
      </c>
      <c r="C60" s="708">
        <v>-1.4544106465462439</v>
      </c>
      <c r="D60" s="709">
        <v>-0.25820077873354835</v>
      </c>
      <c r="E60" s="710">
        <v>0.23892419217312447</v>
      </c>
      <c r="F60" s="708">
        <v>-0.94585189852787632</v>
      </c>
      <c r="G60" s="711">
        <v>0.2197257755604291</v>
      </c>
      <c r="H60" s="710">
        <v>0.314</v>
      </c>
      <c r="I60" s="708">
        <v>0.52</v>
      </c>
      <c r="J60" s="570">
        <v>5.1139999999999999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39"/>
        <v>5.1139999999999999</v>
      </c>
      <c r="N60" s="632">
        <f t="shared" si="240"/>
        <v>-3.3306014221237401</v>
      </c>
      <c r="O60" s="629">
        <f t="shared" si="241"/>
        <v>-1.4544106465462439</v>
      </c>
      <c r="P60" s="633">
        <f t="shared" si="242"/>
        <v>-0.25820077873354835</v>
      </c>
      <c r="Q60" s="585">
        <f t="shared" si="113"/>
        <v>203.5899835996355</v>
      </c>
      <c r="R60" s="629">
        <f t="shared" si="79"/>
        <v>3.6343109610818582</v>
      </c>
      <c r="S60" s="634">
        <f t="shared" si="80"/>
        <v>-0.25820077873354835</v>
      </c>
      <c r="T60" s="635">
        <f t="shared" si="81"/>
        <v>-1.4695094076420356</v>
      </c>
      <c r="U60" s="629">
        <f t="shared" si="82"/>
        <v>3.3239672475358861</v>
      </c>
      <c r="V60" s="636">
        <f t="shared" si="114"/>
        <v>-0.25820077873354835</v>
      </c>
      <c r="W60" s="585">
        <f t="shared" si="224"/>
        <v>113.84998356209616</v>
      </c>
      <c r="X60" s="629">
        <f t="shared" si="83"/>
        <v>3.6343109610818582</v>
      </c>
      <c r="Y60" s="630">
        <f t="shared" si="223"/>
        <v>-0.25820077873354835</v>
      </c>
      <c r="Z60" s="632">
        <f t="shared" si="243"/>
        <v>-0.23892419217312447</v>
      </c>
      <c r="AA60" s="629">
        <f t="shared" si="244"/>
        <v>0.94585189852787632</v>
      </c>
      <c r="AB60" s="629">
        <f t="shared" si="245"/>
        <v>-0.2197257755604291</v>
      </c>
      <c r="AC60" s="636">
        <f t="shared" si="84"/>
        <v>1</v>
      </c>
      <c r="AD60" s="637">
        <f t="shared" si="115"/>
        <v>-0.23892419217312447</v>
      </c>
      <c r="AE60" s="629">
        <f t="shared" si="85"/>
        <v>0.94585189852787632</v>
      </c>
      <c r="AF60" s="633">
        <f t="shared" si="86"/>
        <v>-0.2197257755604291</v>
      </c>
      <c r="AG60" s="602">
        <f t="shared" si="87"/>
        <v>76.921887463542021</v>
      </c>
      <c r="AH60" s="603">
        <f t="shared" si="88"/>
        <v>103.82305402104325</v>
      </c>
      <c r="AI60" s="585">
        <f t="shared" si="89"/>
        <v>-77.307073009990773</v>
      </c>
      <c r="AJ60" s="586">
        <f t="shared" si="90"/>
        <v>-165.82352235600214</v>
      </c>
      <c r="AK60" s="635">
        <f t="shared" si="211"/>
        <v>0.96242440578838917</v>
      </c>
      <c r="AL60" s="629">
        <f t="shared" si="91"/>
        <v>-0.1595614198270815</v>
      </c>
      <c r="AM60" s="634">
        <f t="shared" si="92"/>
        <v>-0.2197257755604291</v>
      </c>
      <c r="AN60" s="581">
        <f t="shared" si="93"/>
        <v>-35.986565886325806</v>
      </c>
      <c r="AO60" s="582">
        <f t="shared" si="461"/>
        <v>15.75650644162222</v>
      </c>
      <c r="AP60" s="585">
        <f t="shared" si="95"/>
        <v>-9.4135059556376284</v>
      </c>
      <c r="AQ60" s="586">
        <f t="shared" si="246"/>
        <v>0.6272538535777874</v>
      </c>
      <c r="AS60" s="52">
        <f t="shared" si="406"/>
        <v>-246.15001643790384</v>
      </c>
      <c r="AT60" s="72">
        <f t="shared" si="247"/>
        <v>-8.708271178885077E-2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5.1139999999999999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-3.9231977776555964</v>
      </c>
      <c r="C61" s="708">
        <v>-1.6411078709943727</v>
      </c>
      <c r="D61" s="709">
        <v>-0.76100229518292251</v>
      </c>
      <c r="E61" s="710">
        <v>0.13857814719533729</v>
      </c>
      <c r="F61" s="708">
        <v>-0.97755332569543363</v>
      </c>
      <c r="G61" s="711">
        <v>0.15869969294773417</v>
      </c>
      <c r="H61" s="710">
        <v>0.314</v>
      </c>
      <c r="I61" s="708">
        <v>0.52</v>
      </c>
      <c r="J61" s="570">
        <v>5.117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5.117</v>
      </c>
      <c r="N61" s="632">
        <f t="shared" si="240"/>
        <v>-3.9231977776555964</v>
      </c>
      <c r="O61" s="629">
        <f t="shared" si="241"/>
        <v>-1.6411078709943727</v>
      </c>
      <c r="P61" s="633">
        <f t="shared" si="242"/>
        <v>-0.76100229518292251</v>
      </c>
      <c r="Q61" s="585">
        <f t="shared" si="113"/>
        <v>202.69998372813558</v>
      </c>
      <c r="R61" s="629">
        <f t="shared" si="79"/>
        <v>4.2526128258802842</v>
      </c>
      <c r="S61" s="634">
        <f t="shared" si="80"/>
        <v>-0.76100229518292251</v>
      </c>
      <c r="T61" s="635">
        <f t="shared" si="81"/>
        <v>-1.6588938171894252</v>
      </c>
      <c r="U61" s="629">
        <f t="shared" si="82"/>
        <v>3.9157102995666309</v>
      </c>
      <c r="V61" s="636">
        <f t="shared" si="114"/>
        <v>-0.76100229518292251</v>
      </c>
      <c r="W61" s="585">
        <f t="shared" si="224"/>
        <v>112.95998369059623</v>
      </c>
      <c r="X61" s="629">
        <f t="shared" si="83"/>
        <v>4.2526128258802842</v>
      </c>
      <c r="Y61" s="630">
        <f t="shared" si="223"/>
        <v>-0.76100229518292251</v>
      </c>
      <c r="Z61" s="632">
        <f t="shared" si="243"/>
        <v>-0.13857814719533729</v>
      </c>
      <c r="AA61" s="629">
        <f t="shared" si="244"/>
        <v>0.97755332569543363</v>
      </c>
      <c r="AB61" s="629">
        <f t="shared" si="245"/>
        <v>-0.15869969294773417</v>
      </c>
      <c r="AC61" s="636">
        <f t="shared" si="84"/>
        <v>1</v>
      </c>
      <c r="AD61" s="637">
        <f t="shared" si="115"/>
        <v>-0.13857814719533729</v>
      </c>
      <c r="AE61" s="629">
        <f t="shared" si="85"/>
        <v>0.97755332569543363</v>
      </c>
      <c r="AF61" s="633">
        <f t="shared" si="86"/>
        <v>-0.15869969294773417</v>
      </c>
      <c r="AG61" s="602">
        <f t="shared" si="87"/>
        <v>80.778834963119635</v>
      </c>
      <c r="AH61" s="603">
        <f t="shared" si="88"/>
        <v>97.965578105754346</v>
      </c>
      <c r="AI61" s="585">
        <f t="shared" si="89"/>
        <v>-80.868570187047965</v>
      </c>
      <c r="AJ61" s="586">
        <f t="shared" si="90"/>
        <v>-171.93150072091314</v>
      </c>
      <c r="AK61" s="635">
        <f t="shared" si="211"/>
        <v>0.95530839259445277</v>
      </c>
      <c r="AL61" s="629">
        <f t="shared" si="91"/>
        <v>-0.2493998446208375</v>
      </c>
      <c r="AM61" s="634">
        <f t="shared" si="92"/>
        <v>-0.15869969294773417</v>
      </c>
      <c r="AN61" s="581">
        <f t="shared" si="93"/>
        <v>-57.530328293074319</v>
      </c>
      <c r="AO61" s="582">
        <f t="shared" si="461"/>
        <v>17.194180403119571</v>
      </c>
      <c r="AP61" s="585">
        <f t="shared" si="95"/>
        <v>-14.631484449048727</v>
      </c>
      <c r="AQ61" s="586">
        <f t="shared" si="246"/>
        <v>0.53606105376818103</v>
      </c>
      <c r="AS61" s="52">
        <f t="shared" si="406"/>
        <v>-247.04001630940377</v>
      </c>
      <c r="AT61" s="72">
        <f t="shared" si="247"/>
        <v>-0.58926617277190552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5.117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-4.2556675674481976</v>
      </c>
      <c r="C62" s="708">
        <v>-1.7341055613540997</v>
      </c>
      <c r="D62" s="709">
        <v>-1.4804044648998662</v>
      </c>
      <c r="E62" s="710">
        <v>7.3623411705979219E-2</v>
      </c>
      <c r="F62" s="708">
        <v>-0.99455244049481206</v>
      </c>
      <c r="G62" s="711">
        <v>7.3790489594426967E-2</v>
      </c>
      <c r="H62" s="710">
        <v>0.314</v>
      </c>
      <c r="I62" s="708">
        <v>0.52</v>
      </c>
      <c r="J62" s="570">
        <v>5.12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5.12</v>
      </c>
      <c r="N62" s="632">
        <f t="shared" si="240"/>
        <v>-4.2556675674481976</v>
      </c>
      <c r="O62" s="629">
        <f t="shared" si="241"/>
        <v>-1.7341055613540997</v>
      </c>
      <c r="P62" s="633">
        <f t="shared" si="242"/>
        <v>-1.4804044648998662</v>
      </c>
      <c r="Q62" s="585">
        <f t="shared" si="113"/>
        <v>202.1699838046581</v>
      </c>
      <c r="R62" s="629">
        <f t="shared" si="79"/>
        <v>4.5954138597682013</v>
      </c>
      <c r="S62" s="634">
        <f t="shared" si="80"/>
        <v>-1.4804044648998662</v>
      </c>
      <c r="T62" s="635">
        <f t="shared" si="81"/>
        <v>-1.753399244693516</v>
      </c>
      <c r="U62" s="629">
        <f t="shared" si="82"/>
        <v>4.2477546576112282</v>
      </c>
      <c r="V62" s="636">
        <f t="shared" si="114"/>
        <v>-1.4804044648998662</v>
      </c>
      <c r="W62" s="585">
        <f t="shared" si="224"/>
        <v>112.42998376711876</v>
      </c>
      <c r="X62" s="629">
        <f t="shared" si="83"/>
        <v>4.5954138597682013</v>
      </c>
      <c r="Y62" s="630">
        <f t="shared" si="223"/>
        <v>-1.4804044648998662</v>
      </c>
      <c r="Z62" s="632">
        <f t="shared" si="243"/>
        <v>-7.3623411705979219E-2</v>
      </c>
      <c r="AA62" s="629">
        <f t="shared" si="244"/>
        <v>0.99455244049481206</v>
      </c>
      <c r="AB62" s="629">
        <f t="shared" si="245"/>
        <v>-7.3790489594426967E-2</v>
      </c>
      <c r="AC62" s="636">
        <f t="shared" si="84"/>
        <v>1</v>
      </c>
      <c r="AD62" s="637">
        <f t="shared" si="115"/>
        <v>-7.3623411705979219E-2</v>
      </c>
      <c r="AE62" s="629">
        <f t="shared" si="85"/>
        <v>0.99455244049481206</v>
      </c>
      <c r="AF62" s="633">
        <f t="shared" si="86"/>
        <v>-7.3790489594426967E-2</v>
      </c>
      <c r="AG62" s="602">
        <f t="shared" si="87"/>
        <v>85.756733360639288</v>
      </c>
      <c r="AH62" s="603">
        <f t="shared" si="88"/>
        <v>94.222130916203</v>
      </c>
      <c r="AI62" s="585">
        <f t="shared" si="89"/>
        <v>-85.768270116192028</v>
      </c>
      <c r="AJ62" s="586">
        <f t="shared" si="90"/>
        <v>-175.76630607572508</v>
      </c>
      <c r="AK62" s="635">
        <f t="shared" si="211"/>
        <v>0.94880580201874543</v>
      </c>
      <c r="AL62" s="629">
        <f t="shared" si="91"/>
        <v>-0.30711970581677123</v>
      </c>
      <c r="AM62" s="634">
        <f t="shared" si="92"/>
        <v>-7.3790489594426967E-2</v>
      </c>
      <c r="AN62" s="581">
        <f t="shared" si="93"/>
        <v>-76.489845260231107</v>
      </c>
      <c r="AO62" s="582">
        <f t="shared" si="461"/>
        <v>18.412740008073907</v>
      </c>
      <c r="AP62" s="585">
        <f t="shared" si="95"/>
        <v>-17.936289880383168</v>
      </c>
      <c r="AQ62" s="586">
        <f t="shared" si="246"/>
        <v>0.49607494251332351</v>
      </c>
      <c r="AS62" s="52">
        <f t="shared" si="406"/>
        <v>-247.57001623288124</v>
      </c>
      <c r="AT62" s="72">
        <f t="shared" si="247"/>
        <v>-1.3083002869864344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5.12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-4.3915900212950394</v>
      </c>
      <c r="C63" s="708">
        <v>-1.7698596986333235</v>
      </c>
      <c r="D63" s="709">
        <v>-2.2003066361248145</v>
      </c>
      <c r="E63" s="710">
        <v>-0.1469248688954681</v>
      </c>
      <c r="F63" s="708">
        <v>-0.98493391574671041</v>
      </c>
      <c r="G63" s="711">
        <v>9.1204520238316225E-2</v>
      </c>
      <c r="H63" s="710">
        <v>0.26600000000000001</v>
      </c>
      <c r="I63" s="708">
        <v>0.52</v>
      </c>
      <c r="J63" s="570">
        <v>5.1230000000000002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1313</v>
      </c>
      <c r="L63" s="320"/>
      <c r="M63" s="168">
        <f t="shared" si="239"/>
        <v>5.1230000000000002</v>
      </c>
      <c r="N63" s="632">
        <f t="shared" si="240"/>
        <v>-4.3915900212950394</v>
      </c>
      <c r="O63" s="629">
        <f t="shared" si="241"/>
        <v>-1.7698596986333235</v>
      </c>
      <c r="P63" s="633">
        <f t="shared" si="242"/>
        <v>-2.2003066361248145</v>
      </c>
      <c r="Q63" s="585">
        <f t="shared" si="113"/>
        <v>201.94998383642215</v>
      </c>
      <c r="R63" s="629">
        <f t="shared" si="79"/>
        <v>4.7348142801998687</v>
      </c>
      <c r="S63" s="634">
        <f t="shared" si="80"/>
        <v>-2.2003066361248145</v>
      </c>
      <c r="T63" s="635">
        <f t="shared" si="81"/>
        <v>-1.7897698081707334</v>
      </c>
      <c r="U63" s="629">
        <f t="shared" si="82"/>
        <v>4.3835134654458514</v>
      </c>
      <c r="V63" s="636">
        <f t="shared" si="114"/>
        <v>-2.2003066361248145</v>
      </c>
      <c r="W63" s="585">
        <f t="shared" si="224"/>
        <v>112.2099837988828</v>
      </c>
      <c r="X63" s="629">
        <f t="shared" si="83"/>
        <v>4.7348142801998687</v>
      </c>
      <c r="Y63" s="630">
        <f t="shared" si="223"/>
        <v>-2.2003066361248145</v>
      </c>
      <c r="Z63" s="632">
        <f t="shared" si="243"/>
        <v>0.1469248688954681</v>
      </c>
      <c r="AA63" s="629">
        <f t="shared" si="244"/>
        <v>0.98493391574671041</v>
      </c>
      <c r="AB63" s="629">
        <f t="shared" si="245"/>
        <v>-9.1204520238316225E-2</v>
      </c>
      <c r="AC63" s="636">
        <f t="shared" si="84"/>
        <v>1</v>
      </c>
      <c r="AD63" s="637">
        <f t="shared" si="115"/>
        <v>0.1469248688954681</v>
      </c>
      <c r="AE63" s="629">
        <f t="shared" si="85"/>
        <v>0.98493391574671041</v>
      </c>
      <c r="AF63" s="633">
        <f t="shared" si="86"/>
        <v>-9.1204520238316225E-2</v>
      </c>
      <c r="AG63" s="602">
        <f t="shared" si="87"/>
        <v>84.709518774165232</v>
      </c>
      <c r="AH63" s="603">
        <f t="shared" si="88"/>
        <v>81.551239983930131</v>
      </c>
      <c r="AI63" s="585">
        <f t="shared" si="89"/>
        <v>-84.767093963198377</v>
      </c>
      <c r="AJ63" s="586">
        <f t="shared" si="90"/>
        <v>171.51561953019558</v>
      </c>
      <c r="AK63" s="635">
        <f t="shared" si="211"/>
        <v>0.85861647601342006</v>
      </c>
      <c r="AL63" s="629">
        <f t="shared" si="91"/>
        <v>-0.50443977103951121</v>
      </c>
      <c r="AM63" s="634">
        <f t="shared" si="92"/>
        <v>-9.1204520238316225E-2</v>
      </c>
      <c r="AN63" s="581">
        <f t="shared" si="93"/>
        <v>-79.751435317291353</v>
      </c>
      <c r="AO63" s="582">
        <f t="shared" si="461"/>
        <v>30.838405991885818</v>
      </c>
      <c r="AP63" s="585">
        <f t="shared" si="95"/>
        <v>-30.434364306226552</v>
      </c>
      <c r="AQ63" s="586">
        <f t="shared" si="246"/>
        <v>0.48147040965083693</v>
      </c>
      <c r="AS63" s="52">
        <f t="shared" si="406"/>
        <v>-247.7900162011172</v>
      </c>
      <c r="AT63" s="72">
        <f t="shared" si="247"/>
        <v>-2.0280496804556631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5.1230000000000002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1313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-2.0640252177075071</v>
      </c>
      <c r="C64" s="708">
        <v>3.3505759303037362E-2</v>
      </c>
      <c r="D64" s="709">
        <v>-0.20538363089219974</v>
      </c>
      <c r="E64" s="710">
        <v>0.21641106736524715</v>
      </c>
      <c r="F64" s="708">
        <v>-3.5132735993250465E-3</v>
      </c>
      <c r="G64" s="711">
        <v>0.97629601393760224</v>
      </c>
      <c r="H64" s="710">
        <v>0.26250000000000001</v>
      </c>
      <c r="I64" s="708">
        <v>0.40699999999999997</v>
      </c>
      <c r="J64" s="570">
        <v>5.2080000000000002</v>
      </c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Inactive</v>
      </c>
      <c r="L64" s="320"/>
      <c r="M64" s="168">
        <f t="shared" si="239"/>
        <v>5.2080000000000002</v>
      </c>
      <c r="N64" s="632">
        <f t="shared" si="240"/>
        <v>-2.0640252177075071</v>
      </c>
      <c r="O64" s="629">
        <f t="shared" si="241"/>
        <v>3.3505759303037362E-2</v>
      </c>
      <c r="P64" s="633">
        <f t="shared" si="242"/>
        <v>-0.20538363089219974</v>
      </c>
      <c r="Q64" s="585">
        <f t="shared" si="113"/>
        <v>179.06998713988497</v>
      </c>
      <c r="R64" s="629">
        <f t="shared" si="79"/>
        <v>2.0642971528437943</v>
      </c>
      <c r="S64" s="634">
        <f t="shared" si="80"/>
        <v>-0.20538363089219974</v>
      </c>
      <c r="T64" s="635">
        <f t="shared" si="81"/>
        <v>2.4139198491351415E-2</v>
      </c>
      <c r="U64" s="629">
        <f t="shared" si="82"/>
        <v>2.0641560101734537</v>
      </c>
      <c r="V64" s="636">
        <f t="shared" si="114"/>
        <v>-0.20538363089219974</v>
      </c>
      <c r="W64" s="585">
        <f t="shared" si="224"/>
        <v>89.329987102345626</v>
      </c>
      <c r="X64" s="629">
        <f t="shared" si="83"/>
        <v>2.0642971528437943</v>
      </c>
      <c r="Y64" s="630">
        <f t="shared" si="223"/>
        <v>-0.20538363089219974</v>
      </c>
      <c r="Z64" s="632">
        <f t="shared" si="243"/>
        <v>-0.21641106736524715</v>
      </c>
      <c r="AA64" s="629">
        <f t="shared" si="244"/>
        <v>3.5132735993250465E-3</v>
      </c>
      <c r="AB64" s="629">
        <f t="shared" si="245"/>
        <v>-0.97629601393760224</v>
      </c>
      <c r="AC64" s="636">
        <f t="shared" si="84"/>
        <v>1</v>
      </c>
      <c r="AD64" s="637">
        <f t="shared" si="115"/>
        <v>-0.21641106736524715</v>
      </c>
      <c r="AE64" s="629">
        <f t="shared" si="85"/>
        <v>3.5132735993250465E-3</v>
      </c>
      <c r="AF64" s="633">
        <f t="shared" si="86"/>
        <v>-0.97629601393760224</v>
      </c>
      <c r="AG64" s="602">
        <f t="shared" si="87"/>
        <v>0.20618222110937032</v>
      </c>
      <c r="AH64" s="603">
        <f t="shared" si="88"/>
        <v>102.49832469575688</v>
      </c>
      <c r="AI64" s="585">
        <f t="shared" si="89"/>
        <v>-12.499998195230186</v>
      </c>
      <c r="AJ64" s="586">
        <f t="shared" si="90"/>
        <v>-90.930072897148008</v>
      </c>
      <c r="AK64" s="635">
        <f t="shared" si="211"/>
        <v>2.2679489668523886E-7</v>
      </c>
      <c r="AL64" s="629">
        <f t="shared" si="91"/>
        <v>0.21643958318546497</v>
      </c>
      <c r="AM64" s="634">
        <f t="shared" si="92"/>
        <v>-0.97629601393760224</v>
      </c>
      <c r="AN64" s="581">
        <f t="shared" si="93"/>
        <v>12.499998195223556</v>
      </c>
      <c r="AO64" s="582">
        <f t="shared" si="461"/>
        <v>0</v>
      </c>
      <c r="AP64" s="585">
        <f t="shared" si="95"/>
        <v>89.999939962967005</v>
      </c>
      <c r="AQ64" s="586">
        <f t="shared" si="246"/>
        <v>1.1042229915906139</v>
      </c>
      <c r="AS64" s="52">
        <f t="shared" si="406"/>
        <v>-270.67001289765437</v>
      </c>
      <c r="AT64" s="72">
        <f t="shared" si="247"/>
        <v>-1.7237788628230971E-2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>Nose</v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5.2080000000000002</v>
      </c>
      <c r="IH64" s="731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5.1079999999999997</v>
      </c>
      <c r="II64" s="734" cm="1">
        <f t="array" ref="II64">IFERROR(ROUND(VALUE(IF($IH64&lt;1,$IH64+LARGE((IF($M$9:$M$150="",0,$M$9:$M$150)-MOD(IF($M$9:$M$150="",0,$M$9:$M$150),1)),1),$IH64)),4),"")</f>
        <v>5.1079999999999997</v>
      </c>
      <c r="IJ64" s="533">
        <f t="shared" si="112"/>
        <v>1613</v>
      </c>
      <c r="IK64" s="533" t="str">
        <f t="shared" si="382"/>
        <v>Inactive</v>
      </c>
      <c r="IL64" s="727">
        <f t="shared" si="225"/>
        <v>25.929996256171762</v>
      </c>
      <c r="IM64" s="759">
        <v>4.5189772375055302E-2</v>
      </c>
      <c r="IN64" s="5">
        <f t="shared" si="226"/>
        <v>0.72</v>
      </c>
      <c r="IO64" s="771">
        <v>360</v>
      </c>
      <c r="IP64" s="9">
        <f t="shared" si="227"/>
        <v>-2.072706251282054</v>
      </c>
      <c r="IQ64" s="5">
        <f t="shared" si="228"/>
        <v>-0.19230057997854921</v>
      </c>
      <c r="IR64" s="5">
        <f t="shared" si="383"/>
        <v>0.314</v>
      </c>
      <c r="IS64" s="5">
        <f t="shared" si="229"/>
        <v>0.30329734489357446</v>
      </c>
      <c r="IT64" s="727">
        <f t="shared" si="230"/>
        <v>-11.456905839131217</v>
      </c>
      <c r="IU64" s="9">
        <f t="shared" si="231"/>
        <v>-2.0642971528437943</v>
      </c>
      <c r="IV64" s="5">
        <f t="shared" si="232"/>
        <v>-0.20538363089219974</v>
      </c>
      <c r="IW64" s="5">
        <f t="shared" si="384"/>
        <v>0.26250000000000001</v>
      </c>
      <c r="IX64" s="5">
        <f t="shared" si="233"/>
        <v>0.26250000000000001</v>
      </c>
      <c r="IY64" s="762">
        <f t="shared" si="234"/>
        <v>-12.499998195223556</v>
      </c>
    </row>
    <row r="65" spans="1:259" ht="15" customHeight="1" x14ac:dyDescent="0.25">
      <c r="A65" s="79"/>
      <c r="B65" s="707">
        <v>-2.8414542456996759</v>
      </c>
      <c r="C65" s="708">
        <v>-0.32524930309794264</v>
      </c>
      <c r="D65" s="709">
        <v>-7.0306724663081091E-2</v>
      </c>
      <c r="E65" s="710">
        <v>2.5791839029104345E-8</v>
      </c>
      <c r="F65" s="708">
        <v>-2.2532355893037037E-7</v>
      </c>
      <c r="G65" s="711">
        <v>0.99999999999997435</v>
      </c>
      <c r="H65" s="710">
        <v>0.26250000000000001</v>
      </c>
      <c r="I65" s="708">
        <v>0.40699999999999997</v>
      </c>
      <c r="J65" s="570">
        <v>5.2110000000000003</v>
      </c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Inactive</v>
      </c>
      <c r="L65" s="320"/>
      <c r="M65" s="168">
        <f t="shared" si="239"/>
        <v>5.2110000000000003</v>
      </c>
      <c r="N65" s="632">
        <f t="shared" si="240"/>
        <v>-2.8414542456996759</v>
      </c>
      <c r="O65" s="629">
        <f t="shared" si="241"/>
        <v>-0.32524930309794264</v>
      </c>
      <c r="P65" s="633">
        <f t="shared" si="242"/>
        <v>-7.0306724663081091E-2</v>
      </c>
      <c r="Q65" s="585">
        <f t="shared" si="113"/>
        <v>186.52998606279439</v>
      </c>
      <c r="R65" s="629">
        <f t="shared" si="79"/>
        <v>2.8600086257860156</v>
      </c>
      <c r="S65" s="634">
        <f t="shared" si="80"/>
        <v>-7.0306724663081091E-2</v>
      </c>
      <c r="T65" s="635">
        <f t="shared" si="81"/>
        <v>-0.3381400185553417</v>
      </c>
      <c r="U65" s="629">
        <f t="shared" si="82"/>
        <v>2.8399490607089781</v>
      </c>
      <c r="V65" s="636">
        <f t="shared" si="114"/>
        <v>-7.0306724663081091E-2</v>
      </c>
      <c r="W65" s="585">
        <f t="shared" si="224"/>
        <v>96.789986025255047</v>
      </c>
      <c r="X65" s="629">
        <f t="shared" si="83"/>
        <v>2.8600086257860156</v>
      </c>
      <c r="Y65" s="630">
        <f t="shared" si="223"/>
        <v>-7.0306724663081091E-2</v>
      </c>
      <c r="Z65" s="632">
        <f t="shared" si="243"/>
        <v>-2.5791839029104345E-8</v>
      </c>
      <c r="AA65" s="629">
        <f t="shared" si="244"/>
        <v>2.2532355893037037E-7</v>
      </c>
      <c r="AB65" s="629">
        <f t="shared" si="245"/>
        <v>-0.99999999999997435</v>
      </c>
      <c r="AC65" s="636">
        <f t="shared" si="84"/>
        <v>1</v>
      </c>
      <c r="AD65" s="637">
        <f t="shared" si="115"/>
        <v>-2.5791839029104345E-8</v>
      </c>
      <c r="AE65" s="629">
        <f t="shared" si="85"/>
        <v>2.2532355893037037E-7</v>
      </c>
      <c r="AF65" s="633">
        <f t="shared" si="86"/>
        <v>-0.99999999999997435</v>
      </c>
      <c r="AG65" s="602">
        <f t="shared" si="87"/>
        <v>1.2910088951577625E-5</v>
      </c>
      <c r="AH65" s="603">
        <f t="shared" si="88"/>
        <v>90.000001477763533</v>
      </c>
      <c r="AI65" s="585">
        <f t="shared" si="89"/>
        <v>-1.2976235990044085E-5</v>
      </c>
      <c r="AJ65" s="586">
        <f t="shared" si="90"/>
        <v>-173.47001393720561</v>
      </c>
      <c r="AK65" s="635">
        <f t="shared" si="211"/>
        <v>2.2679489670085463E-7</v>
      </c>
      <c r="AL65" s="629">
        <f t="shared" si="91"/>
        <v>-2.6469779601696886E-23</v>
      </c>
      <c r="AM65" s="634">
        <f t="shared" si="92"/>
        <v>-0.99999999999997435</v>
      </c>
      <c r="AN65" s="581">
        <f t="shared" si="93"/>
        <v>-1.5166066558187479E-21</v>
      </c>
      <c r="AO65" s="582">
        <f t="shared" si="461"/>
        <v>0</v>
      </c>
      <c r="AP65" s="585">
        <f t="shared" si="95"/>
        <v>-6.68712866947413E-15</v>
      </c>
      <c r="AQ65" s="586">
        <f t="shared" si="246"/>
        <v>0.79705339021757871</v>
      </c>
      <c r="AS65" s="52">
        <f t="shared" si="406"/>
        <v>-263.21001397474492</v>
      </c>
      <c r="AT65" s="72">
        <f t="shared" si="247"/>
        <v>0.11265856279331167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>Nose</v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5.2110000000000003</v>
      </c>
      <c r="IH65" s="731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5.1109999999999998</v>
      </c>
      <c r="II65" s="734" cm="1">
        <f t="array" ref="II65">IFERROR(ROUND(VALUE(IF($IH65&lt;1,$IH65+LARGE((IF($M$9:$M$150="",0,$M$9:$M$150)-MOD(IF($M$9:$M$150="",0,$M$9:$M$150),1)),1),$IH65)),4),"")</f>
        <v>5.1109999999999998</v>
      </c>
      <c r="IJ65" s="533">
        <f t="shared" si="112"/>
        <v>1613</v>
      </c>
      <c r="IK65" s="533" t="str">
        <f t="shared" si="382"/>
        <v>Inactive</v>
      </c>
      <c r="IL65" s="727">
        <f t="shared" si="225"/>
        <v>17.969997405453398</v>
      </c>
      <c r="IM65" s="759">
        <v>4.1534863366196703E-2</v>
      </c>
      <c r="IN65" s="5">
        <f t="shared" si="226"/>
        <v>0.82</v>
      </c>
      <c r="IO65" s="771">
        <v>410</v>
      </c>
      <c r="IP65" s="9">
        <f t="shared" si="227"/>
        <v>-2.8600086257860156</v>
      </c>
      <c r="IQ65" s="5">
        <f t="shared" si="228"/>
        <v>-6.9200208707829461E-2</v>
      </c>
      <c r="IR65" s="5">
        <f t="shared" si="383"/>
        <v>0.314</v>
      </c>
      <c r="IS65" s="5">
        <f t="shared" si="229"/>
        <v>0.3029360227134657</v>
      </c>
      <c r="IT65" s="727">
        <f t="shared" si="230"/>
        <v>10.738200590193902</v>
      </c>
      <c r="IU65" s="9">
        <f t="shared" si="231"/>
        <v>-2.8600086257860156</v>
      </c>
      <c r="IV65" s="5">
        <f t="shared" si="232"/>
        <v>-7.0306724663081091E-2</v>
      </c>
      <c r="IW65" s="5">
        <f t="shared" si="384"/>
        <v>0.26250000000000001</v>
      </c>
      <c r="IX65" s="5">
        <f t="shared" si="233"/>
        <v>0.26250000000000001</v>
      </c>
      <c r="IY65" s="762">
        <f t="shared" si="234"/>
        <v>1.5166066558187479E-21</v>
      </c>
    </row>
    <row r="66" spans="1:259" ht="15" customHeight="1" x14ac:dyDescent="0.25">
      <c r="A66" s="79"/>
      <c r="B66" s="707">
        <v>-3.5852583181488997</v>
      </c>
      <c r="C66" s="708">
        <v>-0.70144947444088379</v>
      </c>
      <c r="D66" s="709">
        <v>-0.21640733338709825</v>
      </c>
      <c r="E66" s="710">
        <v>-3.1981551016766696E-2</v>
      </c>
      <c r="F66" s="708">
        <v>-0.9264003830352372</v>
      </c>
      <c r="G66" s="711">
        <v>0.37517930474204975</v>
      </c>
      <c r="H66" s="710">
        <v>0.26600000000000001</v>
      </c>
      <c r="I66" s="708">
        <v>0.52</v>
      </c>
      <c r="J66" s="570">
        <v>5.2140000000000004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1313</v>
      </c>
      <c r="L66" s="320"/>
      <c r="M66" s="168">
        <f t="shared" si="239"/>
        <v>5.2140000000000004</v>
      </c>
      <c r="N66" s="632">
        <f t="shared" si="240"/>
        <v>-3.5852583181488997</v>
      </c>
      <c r="O66" s="629">
        <f t="shared" si="241"/>
        <v>-0.70144947444088379</v>
      </c>
      <c r="P66" s="633">
        <f t="shared" si="242"/>
        <v>-0.21640733338709825</v>
      </c>
      <c r="Q66" s="585">
        <f t="shared" si="113"/>
        <v>191.06998540729958</v>
      </c>
      <c r="R66" s="629">
        <f t="shared" si="79"/>
        <v>3.6532326196191325</v>
      </c>
      <c r="S66" s="634">
        <f t="shared" si="80"/>
        <v>-0.21640733338709825</v>
      </c>
      <c r="T66" s="635">
        <f t="shared" si="81"/>
        <v>-0.71771158026590443</v>
      </c>
      <c r="U66" s="629">
        <f t="shared" si="82"/>
        <v>3.5820383387955923</v>
      </c>
      <c r="V66" s="636">
        <f t="shared" si="114"/>
        <v>-0.21640733338709825</v>
      </c>
      <c r="W66" s="585">
        <f t="shared" si="224"/>
        <v>101.32998536976024</v>
      </c>
      <c r="X66" s="629">
        <f t="shared" si="83"/>
        <v>3.6532326196191325</v>
      </c>
      <c r="Y66" s="630">
        <f t="shared" si="223"/>
        <v>-0.21640733338709825</v>
      </c>
      <c r="Z66" s="632">
        <f t="shared" si="243"/>
        <v>3.1981551016766696E-2</v>
      </c>
      <c r="AA66" s="629">
        <f t="shared" si="244"/>
        <v>0.9264003830352372</v>
      </c>
      <c r="AB66" s="629">
        <f t="shared" si="245"/>
        <v>-0.37517930474204975</v>
      </c>
      <c r="AC66" s="636">
        <f t="shared" si="84"/>
        <v>1</v>
      </c>
      <c r="AD66" s="637">
        <f t="shared" si="115"/>
        <v>3.1981551016766696E-2</v>
      </c>
      <c r="AE66" s="629">
        <f t="shared" si="85"/>
        <v>0.9264003830352372</v>
      </c>
      <c r="AF66" s="633">
        <f t="shared" si="86"/>
        <v>-0.37517930474204975</v>
      </c>
      <c r="AG66" s="602">
        <f t="shared" si="87"/>
        <v>67.952735315052706</v>
      </c>
      <c r="AH66" s="603">
        <f t="shared" si="88"/>
        <v>88.167279590141518</v>
      </c>
      <c r="AI66" s="585">
        <f t="shared" si="89"/>
        <v>-67.964604604166283</v>
      </c>
      <c r="AJ66" s="586">
        <f t="shared" si="90"/>
        <v>178.0227982440351</v>
      </c>
      <c r="AK66" s="635">
        <f t="shared" si="211"/>
        <v>0.90302249556854874</v>
      </c>
      <c r="AL66" s="629">
        <f t="shared" si="91"/>
        <v>-0.20926266219854564</v>
      </c>
      <c r="AM66" s="634">
        <f t="shared" si="92"/>
        <v>-0.37517930474204975</v>
      </c>
      <c r="AN66" s="581">
        <f t="shared" si="93"/>
        <v>-29.151339170501963</v>
      </c>
      <c r="AO66" s="582">
        <f t="shared" si="461"/>
        <v>25.441750428041843</v>
      </c>
      <c r="AP66" s="585">
        <f t="shared" si="95"/>
        <v>-13.047187163264475</v>
      </c>
      <c r="AQ66" s="586">
        <f t="shared" si="246"/>
        <v>0.62400529441639419</v>
      </c>
      <c r="AS66" s="52">
        <f t="shared" si="406"/>
        <v>-258.67001463023973</v>
      </c>
      <c r="AT66" s="72">
        <f t="shared" si="247"/>
        <v>-3.6594823253278536E-2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>Nose</v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5.2140000000000004</v>
      </c>
      <c r="IH66" s="731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5.1139999999999999</v>
      </c>
      <c r="II66" s="734" cm="1">
        <f t="array" ref="II66">IFERROR(ROUND(VALUE(IF($IH66&lt;1,$IH66+LARGE((IF($M$9:$M$150="",0,$M$9:$M$150)-MOD(IF($M$9:$M$150="",0,$M$9:$M$150),1)),1),$IH66)),4),"")</f>
        <v>5.1139999999999999</v>
      </c>
      <c r="IJ66" s="533">
        <f t="shared" si="112"/>
        <v>1613</v>
      </c>
      <c r="IK66" s="533">
        <f t="shared" si="382"/>
        <v>1313</v>
      </c>
      <c r="IL66" s="727">
        <f t="shared" si="225"/>
        <v>12.519998192335919</v>
      </c>
      <c r="IM66" s="759">
        <v>1.6420897336470602E-2</v>
      </c>
      <c r="IN66" s="5">
        <f t="shared" si="226"/>
        <v>0.46</v>
      </c>
      <c r="IO66" s="771">
        <v>230</v>
      </c>
      <c r="IP66" s="9">
        <f t="shared" si="227"/>
        <v>-3.6343109610818582</v>
      </c>
      <c r="IQ66" s="5">
        <f t="shared" si="228"/>
        <v>-0.25820077873354835</v>
      </c>
      <c r="IR66" s="5">
        <f t="shared" si="383"/>
        <v>0.314</v>
      </c>
      <c r="IS66" s="5">
        <f t="shared" si="229"/>
        <v>0.30220126341755421</v>
      </c>
      <c r="IT66" s="727">
        <f t="shared" si="230"/>
        <v>35.986565886325806</v>
      </c>
      <c r="IU66" s="9">
        <f t="shared" si="231"/>
        <v>-3.6532326196191325</v>
      </c>
      <c r="IV66" s="5">
        <f t="shared" si="232"/>
        <v>-0.21640733338709825</v>
      </c>
      <c r="IW66" s="5">
        <f t="shared" si="384"/>
        <v>0.26600000000000001</v>
      </c>
      <c r="IX66" s="5">
        <f t="shared" si="233"/>
        <v>0.24020398382123398</v>
      </c>
      <c r="IY66" s="762">
        <f t="shared" si="234"/>
        <v>29.151339170501963</v>
      </c>
    </row>
    <row r="67" spans="1:259" ht="15" customHeight="1" x14ac:dyDescent="0.25">
      <c r="A67" s="79"/>
      <c r="B67" s="707">
        <v>-4.2016572646215771</v>
      </c>
      <c r="C67" s="708">
        <v>-0.86094690752204128</v>
      </c>
      <c r="D67" s="709">
        <v>-0.72539976840537435</v>
      </c>
      <c r="E67" s="710">
        <v>-0.15691124564666434</v>
      </c>
      <c r="F67" s="708">
        <v>-0.94393879673265391</v>
      </c>
      <c r="G67" s="711">
        <v>0.2904451910645478</v>
      </c>
      <c r="H67" s="710">
        <v>0.26600000000000001</v>
      </c>
      <c r="I67" s="708">
        <v>0.52</v>
      </c>
      <c r="J67" s="570">
        <v>5.2169999999999996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1313</v>
      </c>
      <c r="L67" s="320"/>
      <c r="M67" s="168">
        <f t="shared" si="239"/>
        <v>5.2169999999999996</v>
      </c>
      <c r="N67" s="632">
        <f t="shared" si="240"/>
        <v>-4.2016572646215771</v>
      </c>
      <c r="O67" s="629">
        <f t="shared" si="241"/>
        <v>-0.86094690752204128</v>
      </c>
      <c r="P67" s="633">
        <f t="shared" si="242"/>
        <v>-0.72539976840537435</v>
      </c>
      <c r="Q67" s="585">
        <f t="shared" si="113"/>
        <v>191.57998533366469</v>
      </c>
      <c r="R67" s="629">
        <f>IF(M67="","",SQRT(N67^2+O67^2))</f>
        <v>4.2889571397857358</v>
      </c>
      <c r="S67" s="634">
        <f>IF(M67="","",P67)</f>
        <v>-0.72539976840537435</v>
      </c>
      <c r="T67" s="635">
        <f>IF(M67="","",X67*COS(RADIANS(W67)))</f>
        <v>-0.88000449084181631</v>
      </c>
      <c r="U67" s="629">
        <f>IF(M67="","",X67*SIN(RADIANS(W67)))</f>
        <v>4.1977071649910593</v>
      </c>
      <c r="V67" s="636">
        <f>IF(M67="","",Y67)</f>
        <v>-0.72539976840537435</v>
      </c>
      <c r="W67" s="585">
        <f t="shared" si="224"/>
        <v>101.83998529612535</v>
      </c>
      <c r="X67" s="629">
        <f>IF(M67="","",R67)</f>
        <v>4.2889571397857358</v>
      </c>
      <c r="Y67" s="630">
        <f t="shared" si="223"/>
        <v>-0.72539976840537435</v>
      </c>
      <c r="Z67" s="632">
        <f t="shared" si="243"/>
        <v>0.15691124564666434</v>
      </c>
      <c r="AA67" s="629">
        <f t="shared" si="244"/>
        <v>0.94393879673265391</v>
      </c>
      <c r="AB67" s="629">
        <f t="shared" si="245"/>
        <v>-0.2904451910645478</v>
      </c>
      <c r="AC67" s="636">
        <f>IF(M67="","",SQRT(Z67^2+AA67^2+AB67^2))</f>
        <v>1</v>
      </c>
      <c r="AD67" s="637">
        <f>IF(M67="","",Z67*(1/SQRT(Z67^2+AA67^2+AB67^2)))</f>
        <v>0.15691124564666434</v>
      </c>
      <c r="AE67" s="629">
        <f>IF(M67="","",AA67*(1/SQRT(Z67^2+AA67^2+AB67^2)))</f>
        <v>0.94393879673265391</v>
      </c>
      <c r="AF67" s="633">
        <f>IF(M67="","",AB67*(1/SQRT(Z67^2+AA67^2+AB67^2)))</f>
        <v>-0.2904451910645478</v>
      </c>
      <c r="AG67" s="602">
        <f>IF(M67="","",DEGREES(ATAN2(-AF67,AE67)))</f>
        <v>72.897133274780103</v>
      </c>
      <c r="AH67" s="603">
        <f>IF(M67="","",DEGREES(ACOS(AD67)))</f>
        <v>80.972340908752784</v>
      </c>
      <c r="AI67" s="585">
        <f>IF(M67="","",DEGREES(-ACOS(-AF67)))</f>
        <v>-73.115389162668393</v>
      </c>
      <c r="AJ67" s="586">
        <f>IF(M67="","",DEGREES(ATAN2(-AE67,AD67)))</f>
        <v>170.56200478961068</v>
      </c>
      <c r="AK67" s="635">
        <f>IF(M67="","",(COS(RADIANS((90-$Q$8)-W67))*AD67)+(-SIN(RADIANS((90-$Q$8)-W67))*AE67))</f>
        <v>0.89322763695101082</v>
      </c>
      <c r="AL67" s="629">
        <f>IF(M67="","",(SIN(RADIANS((90-$Q$8)-W67))*AD67)+(COS(RADIANS((90-$Q$8)-W67))*AE67))</f>
        <v>-0.34319962059185272</v>
      </c>
      <c r="AM67" s="634">
        <f>IF(M67="","",AF67)</f>
        <v>-0.2904451910645478</v>
      </c>
      <c r="AN67" s="581">
        <f>IF(M67="","",DEGREES(ATAN2(-AM67,AL67)))</f>
        <v>-49.75921414518217</v>
      </c>
      <c r="AO67" s="582">
        <f t="shared" si="461"/>
        <v>26.718324908132132</v>
      </c>
      <c r="AP67" s="585">
        <f>IF(M67="","",DEGREES(ATAN2(AK67,AL67)))</f>
        <v>-21.01798054405403</v>
      </c>
      <c r="AQ67" s="586">
        <f t="shared" si="246"/>
        <v>0.53151877273069759</v>
      </c>
      <c r="AS67" s="52">
        <f t="shared" si="406"/>
        <v>-258.16001470387465</v>
      </c>
      <c r="AT67" s="72">
        <f t="shared" si="247"/>
        <v>-0.54594142488708597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>Taper</v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5.2169999999999996</v>
      </c>
      <c r="IH67" s="731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5.117</v>
      </c>
      <c r="II67" s="734" cm="1">
        <f t="array" ref="II67">IFERROR(ROUND(VALUE(IF($IH67&lt;1,$IH67+LARGE((IF($M$9:$M$150="",0,$M$9:$M$150)-MOD(IF($M$9:$M$150="",0,$M$9:$M$150),1)),1),$IH67)),4),"")</f>
        <v>5.117</v>
      </c>
      <c r="IJ67" s="533">
        <f t="shared" si="112"/>
        <v>1613</v>
      </c>
      <c r="IK67" s="533">
        <f t="shared" si="382"/>
        <v>1313</v>
      </c>
      <c r="IL67" s="727">
        <f t="shared" si="225"/>
        <v>11.119998394470883</v>
      </c>
      <c r="IM67" s="759">
        <v>1.18922415028055E-2</v>
      </c>
      <c r="IN67" s="5">
        <f t="shared" si="226"/>
        <v>0.44</v>
      </c>
      <c r="IO67" s="771">
        <v>220</v>
      </c>
      <c r="IP67" s="9">
        <f t="shared" si="227"/>
        <v>-4.2526128258802842</v>
      </c>
      <c r="IQ67" s="5">
        <f t="shared" si="228"/>
        <v>-0.76100229518292251</v>
      </c>
      <c r="IR67" s="5">
        <f t="shared" si="383"/>
        <v>0.314</v>
      </c>
      <c r="IS67" s="5">
        <f t="shared" si="229"/>
        <v>0.29996683527465817</v>
      </c>
      <c r="IT67" s="727">
        <f t="shared" si="230"/>
        <v>57.530328293074319</v>
      </c>
      <c r="IU67" s="9">
        <f t="shared" si="231"/>
        <v>-4.2889571397857358</v>
      </c>
      <c r="IV67" s="5">
        <f t="shared" si="232"/>
        <v>-0.72539976840537435</v>
      </c>
      <c r="IW67" s="5">
        <f t="shared" si="384"/>
        <v>0.26600000000000001</v>
      </c>
      <c r="IX67" s="5">
        <f t="shared" si="233"/>
        <v>0.23759855142896888</v>
      </c>
      <c r="IY67" s="762">
        <f t="shared" si="234"/>
        <v>49.75921414518217</v>
      </c>
    </row>
    <row r="68" spans="1:259" ht="15" customHeight="1" x14ac:dyDescent="0.25">
      <c r="A68" s="79"/>
      <c r="B68" s="707">
        <v>-4.5501125508365554</v>
      </c>
      <c r="C68" s="708">
        <v>-0.93896946393549574</v>
      </c>
      <c r="D68" s="709">
        <v>-1.457141238469513</v>
      </c>
      <c r="E68" s="710">
        <v>-0.24783465199957805</v>
      </c>
      <c r="F68" s="708">
        <v>-0.95379007462857568</v>
      </c>
      <c r="G68" s="711">
        <v>0.16988960771119635</v>
      </c>
      <c r="H68" s="710">
        <v>0.26600000000000001</v>
      </c>
      <c r="I68" s="708">
        <v>0.52</v>
      </c>
      <c r="J68" s="570">
        <v>5.22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1313</v>
      </c>
      <c r="L68" s="320"/>
      <c r="M68" s="168">
        <f t="shared" si="239"/>
        <v>5.22</v>
      </c>
      <c r="N68" s="632">
        <f t="shared" si="240"/>
        <v>-4.5501125508365554</v>
      </c>
      <c r="O68" s="629">
        <f t="shared" si="241"/>
        <v>-0.93896946393549574</v>
      </c>
      <c r="P68" s="633">
        <f t="shared" si="242"/>
        <v>-1.457141238469513</v>
      </c>
      <c r="Q68" s="585">
        <f t="shared" si="113"/>
        <v>191.65998532211415</v>
      </c>
      <c r="R68" s="629">
        <f>IF(M68="","",SQRT(N68^2+O68^2))</f>
        <v>4.6459862117190633</v>
      </c>
      <c r="S68" s="634">
        <f>IF(M68="","",P68)</f>
        <v>-1.457141238469513</v>
      </c>
      <c r="T68" s="635">
        <f>IF(M68="","",X68*COS(RADIANS(W68)))</f>
        <v>-0.95960747820664072</v>
      </c>
      <c r="U68" s="629">
        <f>IF(M68="","",X68*SIN(RADIANS(W68)))</f>
        <v>4.5458048096298134</v>
      </c>
      <c r="V68" s="636">
        <f>IF(M68="","",Y68)</f>
        <v>-1.457141238469513</v>
      </c>
      <c r="W68" s="585">
        <f t="shared" si="224"/>
        <v>101.91998528457481</v>
      </c>
      <c r="X68" s="629">
        <f>IF(M68="","",R68)</f>
        <v>4.6459862117190633</v>
      </c>
      <c r="Y68" s="630">
        <f t="shared" si="223"/>
        <v>-1.457141238469513</v>
      </c>
      <c r="Z68" s="632">
        <f t="shared" si="243"/>
        <v>0.24783465199957805</v>
      </c>
      <c r="AA68" s="629">
        <f t="shared" si="244"/>
        <v>0.95379007462857568</v>
      </c>
      <c r="AB68" s="629">
        <f t="shared" si="245"/>
        <v>-0.16988960771119635</v>
      </c>
      <c r="AC68" s="636">
        <f>IF(M68="","",SQRT(Z68^2+AA68^2+AB68^2))</f>
        <v>1</v>
      </c>
      <c r="AD68" s="637">
        <f>IF(M68="","",Z68*(1/SQRT(Z68^2+AA68^2+AB68^2)))</f>
        <v>0.24783465199957805</v>
      </c>
      <c r="AE68" s="629">
        <f>IF(M68="","",AA68*(1/SQRT(Z68^2+AA68^2+AB68^2)))</f>
        <v>0.95379007462857568</v>
      </c>
      <c r="AF68" s="633">
        <f>IF(M68="","",AB68*(1/SQRT(Z68^2+AA68^2+AB68^2)))</f>
        <v>-0.16988960771119635</v>
      </c>
      <c r="AG68" s="602">
        <f>IF(M68="","",DEGREES(ATAN2(-AF68,AE68)))</f>
        <v>79.900365710976018</v>
      </c>
      <c r="AH68" s="603">
        <f>IF(M68="","",DEGREES(ACOS(AD68)))</f>
        <v>75.650585040615653</v>
      </c>
      <c r="AI68" s="585">
        <f>IF(M68="","",DEGREES(-ACOS(-AF68)))</f>
        <v>-80.218599319913736</v>
      </c>
      <c r="AJ68" s="586">
        <f>IF(M68="","",DEGREES(ATAN2(-AE68,AD68)))</f>
        <v>165.43426750466392</v>
      </c>
      <c r="AK68" s="635">
        <f>IF(M68="","",(COS(RADIANS((90-$Q$8)-W68))*AD68)+(-SIN(RADIANS((90-$Q$8)-W68))*AE68))</f>
        <v>0.88401963155599783</v>
      </c>
      <c r="AL68" s="629">
        <f>IF(M68="","",(SIN(RADIANS((90-$Q$8)-W68))*AD68)+(COS(RADIANS((90-$Q$8)-W68))*AE68))</f>
        <v>-0.43548457173054217</v>
      </c>
      <c r="AM68" s="634">
        <f>IF(M68="","",AF68)</f>
        <v>-0.16988960771119635</v>
      </c>
      <c r="AN68" s="581">
        <f>IF(M68="","",DEGREES(ATAN2(-AM68,AL68)))</f>
        <v>-68.688435350285445</v>
      </c>
      <c r="AO68" s="582">
        <f t="shared" si="461"/>
        <v>27.868882768247758</v>
      </c>
      <c r="AP68" s="585">
        <f>IF(M68="","",DEGREES(ATAN2(AK68,AL68)))</f>
        <v>-26.225717817450228</v>
      </c>
      <c r="AQ68" s="586">
        <f t="shared" si="246"/>
        <v>0.49067534766175153</v>
      </c>
      <c r="AS68" s="52">
        <f t="shared" si="406"/>
        <v>-258.08001471542519</v>
      </c>
      <c r="AT68" s="72">
        <f t="shared" si="247"/>
        <v>-1.277738450498759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Taper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5.22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5.12</v>
      </c>
      <c r="II68" s="734" cm="1">
        <f t="array" ref="II68">IFERROR(ROUND(VALUE(IF($IH68&lt;1,$IH68+LARGE((IF($M$9:$M$150="",0,$M$9:$M$150)-MOD(IF($M$9:$M$150="",0,$M$9:$M$150),1)),1),$IH68)),4),"")</f>
        <v>5.12</v>
      </c>
      <c r="IJ68" s="533">
        <f t="shared" si="112"/>
        <v>1613</v>
      </c>
      <c r="IK68" s="533">
        <f t="shared" si="382"/>
        <v>1313</v>
      </c>
      <c r="IL68" s="727">
        <f t="shared" si="225"/>
        <v>10.509998482543949</v>
      </c>
      <c r="IM68" s="759">
        <v>7.4830830804521898E-3</v>
      </c>
      <c r="IN68" s="5">
        <f t="shared" si="226"/>
        <v>0.4</v>
      </c>
      <c r="IO68" s="771">
        <v>200</v>
      </c>
      <c r="IP68" s="9">
        <f t="shared" si="227"/>
        <v>-4.5954138597682013</v>
      </c>
      <c r="IQ68" s="5">
        <f t="shared" si="228"/>
        <v>-1.4804044648998662</v>
      </c>
      <c r="IR68" s="5">
        <f t="shared" si="383"/>
        <v>0.314</v>
      </c>
      <c r="IS68" s="5">
        <f t="shared" si="229"/>
        <v>0.29792502183388608</v>
      </c>
      <c r="IT68" s="727">
        <f t="shared" si="230"/>
        <v>76.489845260231107</v>
      </c>
      <c r="IU68" s="9">
        <f t="shared" si="231"/>
        <v>-4.6459862117190633</v>
      </c>
      <c r="IV68" s="5">
        <f t="shared" si="232"/>
        <v>-1.457141238469513</v>
      </c>
      <c r="IW68" s="5">
        <f t="shared" si="384"/>
        <v>0.26600000000000001</v>
      </c>
      <c r="IX68" s="5">
        <f t="shared" si="233"/>
        <v>0.23514922199389546</v>
      </c>
      <c r="IY68" s="762">
        <f t="shared" si="234"/>
        <v>68.688435350285445</v>
      </c>
    </row>
    <row r="69" spans="1:259" ht="15" customHeight="1" x14ac:dyDescent="0.25">
      <c r="A69" s="79"/>
      <c r="B69" s="707">
        <v>-1.9081647148403409</v>
      </c>
      <c r="C69" s="708">
        <v>1.3405835388195146</v>
      </c>
      <c r="D69" s="709">
        <v>-0.13490040685962709</v>
      </c>
      <c r="E69" s="710">
        <v>-0.52591798656638533</v>
      </c>
      <c r="F69" s="708">
        <v>-0.8107387242274704</v>
      </c>
      <c r="G69" s="711">
        <v>0.25712446877723033</v>
      </c>
      <c r="H69" s="710">
        <v>0.314</v>
      </c>
      <c r="I69" s="708">
        <v>0.52</v>
      </c>
      <c r="J69" s="570">
        <v>6.109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1613</v>
      </c>
      <c r="L69" s="320"/>
      <c r="M69" s="168">
        <f t="shared" si="239"/>
        <v>6.109</v>
      </c>
      <c r="N69" s="632">
        <f t="shared" si="240"/>
        <v>-1.9081647148403409</v>
      </c>
      <c r="O69" s="629">
        <f t="shared" si="241"/>
        <v>1.3405835388195146</v>
      </c>
      <c r="P69" s="633">
        <f t="shared" si="242"/>
        <v>-0.13490040685962709</v>
      </c>
      <c r="Q69" s="585">
        <f t="shared" si="113"/>
        <v>144.90999207197802</v>
      </c>
      <c r="R69" s="629">
        <f t="shared" si="79"/>
        <v>2.332007033333213</v>
      </c>
      <c r="S69" s="634">
        <f t="shared" si="80"/>
        <v>-0.13490040685962709</v>
      </c>
      <c r="T69" s="635">
        <f t="shared" si="81"/>
        <v>1.3319107902692893</v>
      </c>
      <c r="U69" s="629">
        <f t="shared" si="82"/>
        <v>1.9142284216570942</v>
      </c>
      <c r="V69" s="636">
        <f t="shared" si="114"/>
        <v>-0.13490040685962709</v>
      </c>
      <c r="W69" s="585">
        <f t="shared" si="224"/>
        <v>55.169992034438678</v>
      </c>
      <c r="X69" s="629">
        <f t="shared" si="83"/>
        <v>2.332007033333213</v>
      </c>
      <c r="Y69" s="630">
        <f t="shared" si="223"/>
        <v>-0.13490040685962709</v>
      </c>
      <c r="Z69" s="632">
        <f t="shared" si="243"/>
        <v>0.52591798656638533</v>
      </c>
      <c r="AA69" s="629">
        <f t="shared" si="244"/>
        <v>0.8107387242274704</v>
      </c>
      <c r="AB69" s="629">
        <f t="shared" si="245"/>
        <v>-0.25712446877723033</v>
      </c>
      <c r="AC69" s="636">
        <f t="shared" si="84"/>
        <v>1</v>
      </c>
      <c r="AD69" s="637">
        <f t="shared" si="115"/>
        <v>0.52591798656638533</v>
      </c>
      <c r="AE69" s="629">
        <f t="shared" si="85"/>
        <v>0.8107387242274704</v>
      </c>
      <c r="AF69" s="633">
        <f t="shared" si="86"/>
        <v>-0.25712446877723033</v>
      </c>
      <c r="AG69" s="602">
        <f t="shared" si="87"/>
        <v>72.403660268489872</v>
      </c>
      <c r="AH69" s="603">
        <f t="shared" si="88"/>
        <v>58.269937762758204</v>
      </c>
      <c r="AI69" s="585">
        <f t="shared" si="89"/>
        <v>-75.100493546104346</v>
      </c>
      <c r="AJ69" s="586">
        <f t="shared" si="90"/>
        <v>147.02893430393266</v>
      </c>
      <c r="AK69" s="635">
        <f t="shared" si="211"/>
        <v>0.96571750852165716</v>
      </c>
      <c r="AL69" s="629">
        <f t="shared" si="91"/>
        <v>3.5730957036578748E-2</v>
      </c>
      <c r="AM69" s="634">
        <f t="shared" si="92"/>
        <v>-0.25712446877723033</v>
      </c>
      <c r="AN69" s="581">
        <f t="shared" si="93"/>
        <v>7.9113656048236045</v>
      </c>
      <c r="AO69" s="582">
        <f t="shared" si="461"/>
        <v>15.046047064459701</v>
      </c>
      <c r="AP69" s="585">
        <f t="shared" si="95"/>
        <v>2.1189422319546316</v>
      </c>
      <c r="AQ69" s="586">
        <f t="shared" si="246"/>
        <v>0.97748652520069301</v>
      </c>
      <c r="AS69" s="52">
        <f t="shared" si="406"/>
        <v>-304.83000796556132</v>
      </c>
      <c r="AT69" s="72">
        <f t="shared" si="247"/>
        <v>7.6967654201499286E-2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6.109</v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>
        <f t="shared" si="112"/>
        <v>1613</v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>
        <v>-2.5364366718223774</v>
      </c>
      <c r="C70" s="708">
        <v>1.8279907611678305</v>
      </c>
      <c r="D70" s="709">
        <v>-9.3700282600052365E-2</v>
      </c>
      <c r="E70" s="710">
        <v>-0.63521346977920501</v>
      </c>
      <c r="F70" s="708">
        <v>-0.73055913507739756</v>
      </c>
      <c r="G70" s="711">
        <v>0.25057373758242862</v>
      </c>
      <c r="H70" s="710">
        <v>0.314</v>
      </c>
      <c r="I70" s="708">
        <v>0.52</v>
      </c>
      <c r="J70" s="570">
        <v>6.1120000000000001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1613</v>
      </c>
      <c r="L70" s="320"/>
      <c r="M70" s="168">
        <f t="shared" si="239"/>
        <v>6.1120000000000001</v>
      </c>
      <c r="N70" s="632">
        <f t="shared" si="240"/>
        <v>-2.5364366718223774</v>
      </c>
      <c r="O70" s="629">
        <f t="shared" si="241"/>
        <v>1.8279907611678305</v>
      </c>
      <c r="P70" s="633">
        <f t="shared" si="242"/>
        <v>-9.3700282600052365E-2</v>
      </c>
      <c r="Q70" s="585">
        <f t="shared" si="113"/>
        <v>144.21999217160169</v>
      </c>
      <c r="R70" s="629">
        <f t="shared" si="79"/>
        <v>3.1265094295524398</v>
      </c>
      <c r="S70" s="634">
        <f t="shared" si="80"/>
        <v>-9.3700282600052365E-2</v>
      </c>
      <c r="T70" s="635">
        <f t="shared" si="81"/>
        <v>1.8164619967414266</v>
      </c>
      <c r="U70" s="629">
        <f t="shared" si="82"/>
        <v>2.5447056858258623</v>
      </c>
      <c r="V70" s="636">
        <f t="shared" si="114"/>
        <v>-9.3700282600052365E-2</v>
      </c>
      <c r="W70" s="585">
        <f t="shared" si="224"/>
        <v>54.479992134062343</v>
      </c>
      <c r="X70" s="629">
        <f t="shared" si="83"/>
        <v>3.1265094295524398</v>
      </c>
      <c r="Y70" s="630">
        <f t="shared" si="223"/>
        <v>-9.3700282600052365E-2</v>
      </c>
      <c r="Z70" s="632">
        <f t="shared" si="243"/>
        <v>0.63521346977920501</v>
      </c>
      <c r="AA70" s="629">
        <f t="shared" si="244"/>
        <v>0.73055913507739756</v>
      </c>
      <c r="AB70" s="629">
        <f t="shared" si="245"/>
        <v>-0.25057373758242862</v>
      </c>
      <c r="AC70" s="636">
        <f t="shared" si="84"/>
        <v>1</v>
      </c>
      <c r="AD70" s="637">
        <f t="shared" si="115"/>
        <v>0.63521346977920501</v>
      </c>
      <c r="AE70" s="629">
        <f t="shared" si="85"/>
        <v>0.73055913507739756</v>
      </c>
      <c r="AF70" s="633">
        <f t="shared" si="86"/>
        <v>-0.25057373758242862</v>
      </c>
      <c r="AG70" s="602">
        <f t="shared" si="87"/>
        <v>71.068596340501273</v>
      </c>
      <c r="AH70" s="603">
        <f t="shared" si="88"/>
        <v>50.564181080134126</v>
      </c>
      <c r="AI70" s="585">
        <f t="shared" si="89"/>
        <v>-75.488534392532202</v>
      </c>
      <c r="AJ70" s="586">
        <f t="shared" si="90"/>
        <v>138.9933847588598</v>
      </c>
      <c r="AK70" s="635">
        <f t="shared" si="211"/>
        <v>0.96407236350551373</v>
      </c>
      <c r="AL70" s="629">
        <f t="shared" si="91"/>
        <v>-8.8188887955708672E-2</v>
      </c>
      <c r="AM70" s="634">
        <f t="shared" si="92"/>
        <v>-0.25057373758242862</v>
      </c>
      <c r="AN70" s="581">
        <f t="shared" si="93"/>
        <v>-19.389409848181792</v>
      </c>
      <c r="AO70" s="582">
        <f t="shared" si="461"/>
        <v>15.404970432114018</v>
      </c>
      <c r="AP70" s="585">
        <f t="shared" si="95"/>
        <v>-5.2266074127418864</v>
      </c>
      <c r="AQ70" s="586">
        <f t="shared" si="246"/>
        <v>0.72912096458043352</v>
      </c>
      <c r="AS70" s="52">
        <f t="shared" si="406"/>
        <v>-305.52000786593766</v>
      </c>
      <c r="AT70" s="72">
        <f t="shared" si="247"/>
        <v>0.11864694505855758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6.1120000000000001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1613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-3.0972613205122852</v>
      </c>
      <c r="C71" s="708">
        <v>2.3111518009267731</v>
      </c>
      <c r="D71" s="709">
        <v>-0.39460119011718947</v>
      </c>
      <c r="E71" s="710">
        <v>-0.72759103614369425</v>
      </c>
      <c r="F71" s="708">
        <v>-0.65683315024144584</v>
      </c>
      <c r="G71" s="711">
        <v>0.19794316575028265</v>
      </c>
      <c r="H71" s="710">
        <v>0.314</v>
      </c>
      <c r="I71" s="708">
        <v>0.52</v>
      </c>
      <c r="J71" s="570">
        <v>6.1150000000000002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1613</v>
      </c>
      <c r="L71" s="320"/>
      <c r="M71" s="168">
        <f t="shared" si="239"/>
        <v>6.1150000000000002</v>
      </c>
      <c r="N71" s="632">
        <f t="shared" si="240"/>
        <v>-3.0972613205122852</v>
      </c>
      <c r="O71" s="629">
        <f t="shared" si="241"/>
        <v>2.3111518009267731</v>
      </c>
      <c r="P71" s="633">
        <f t="shared" si="242"/>
        <v>-0.39460119011718947</v>
      </c>
      <c r="Q71" s="585">
        <f t="shared" si="113"/>
        <v>143.2699923087647</v>
      </c>
      <c r="R71" s="629">
        <f t="shared" si="79"/>
        <v>3.8645116553671528</v>
      </c>
      <c r="S71" s="634">
        <f t="shared" si="80"/>
        <v>-0.39460119011718947</v>
      </c>
      <c r="T71" s="635">
        <f t="shared" si="81"/>
        <v>2.297073129424815</v>
      </c>
      <c r="U71" s="629">
        <f t="shared" si="82"/>
        <v>3.1077170676467731</v>
      </c>
      <c r="V71" s="636">
        <f t="shared" si="114"/>
        <v>-0.39460119011718947</v>
      </c>
      <c r="W71" s="585">
        <f t="shared" si="224"/>
        <v>53.529992271225353</v>
      </c>
      <c r="X71" s="629">
        <f t="shared" si="83"/>
        <v>3.8645116553671528</v>
      </c>
      <c r="Y71" s="630">
        <f t="shared" si="223"/>
        <v>-0.39460119011718947</v>
      </c>
      <c r="Z71" s="632">
        <f t="shared" si="243"/>
        <v>0.72759103614369425</v>
      </c>
      <c r="AA71" s="629">
        <f t="shared" si="244"/>
        <v>0.65683315024144584</v>
      </c>
      <c r="AB71" s="629">
        <f t="shared" si="245"/>
        <v>-0.19794316575028265</v>
      </c>
      <c r="AC71" s="636">
        <f t="shared" si="84"/>
        <v>1</v>
      </c>
      <c r="AD71" s="637">
        <f t="shared" si="115"/>
        <v>0.72759103614369425</v>
      </c>
      <c r="AE71" s="629">
        <f t="shared" si="85"/>
        <v>0.65683315024144584</v>
      </c>
      <c r="AF71" s="633">
        <f t="shared" si="86"/>
        <v>-0.19794316575028265</v>
      </c>
      <c r="AG71" s="602">
        <f t="shared" si="87"/>
        <v>73.229300030113578</v>
      </c>
      <c r="AH71" s="603">
        <f t="shared" si="88"/>
        <v>43.315179547843861</v>
      </c>
      <c r="AI71" s="585">
        <f t="shared" si="89"/>
        <v>-78.583293327867935</v>
      </c>
      <c r="AJ71" s="586">
        <f t="shared" si="90"/>
        <v>132.07416001011973</v>
      </c>
      <c r="AK71" s="635">
        <f t="shared" si="211"/>
        <v>0.961559331470486</v>
      </c>
      <c r="AL71" s="629">
        <f t="shared" si="91"/>
        <v>-0.19032118955804245</v>
      </c>
      <c r="AM71" s="634">
        <f t="shared" si="92"/>
        <v>-0.19794316575028265</v>
      </c>
      <c r="AN71" s="581">
        <f t="shared" si="93"/>
        <v>-43.875377108044496</v>
      </c>
      <c r="AO71" s="582">
        <f t="shared" si="461"/>
        <v>15.938014592866777</v>
      </c>
      <c r="AP71" s="585">
        <f t="shared" si="95"/>
        <v>-11.195832298644968</v>
      </c>
      <c r="AQ71" s="586">
        <f t="shared" si="246"/>
        <v>0.58989240694870282</v>
      </c>
      <c r="AS71" s="52">
        <f t="shared" si="406"/>
        <v>-306.47000772877465</v>
      </c>
      <c r="AT71" s="72">
        <f t="shared" si="247"/>
        <v>-0.1815942403316094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6.1150000000000002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>
        <f t="shared" si="112"/>
        <v>1613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-3.4909479762936835</v>
      </c>
      <c r="C72" s="708">
        <v>2.6816045780553033</v>
      </c>
      <c r="D72" s="709">
        <v>-0.98300296473694171</v>
      </c>
      <c r="E72" s="710">
        <v>-0.79474510559072553</v>
      </c>
      <c r="F72" s="708">
        <v>-0.59328793420207049</v>
      </c>
      <c r="G72" s="711">
        <v>0.12802204603046391</v>
      </c>
      <c r="H72" s="710">
        <v>0.314</v>
      </c>
      <c r="I72" s="708">
        <v>0.52</v>
      </c>
      <c r="J72" s="570">
        <v>6.1180000000000003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1613</v>
      </c>
      <c r="L72" s="320"/>
      <c r="M72" s="168">
        <f t="shared" si="239"/>
        <v>6.1180000000000003</v>
      </c>
      <c r="N72" s="632">
        <f t="shared" si="240"/>
        <v>-3.4909479762936835</v>
      </c>
      <c r="O72" s="629">
        <f t="shared" si="241"/>
        <v>2.6816045780553033</v>
      </c>
      <c r="P72" s="633">
        <f t="shared" si="242"/>
        <v>-0.98300296473694171</v>
      </c>
      <c r="Q72" s="585">
        <f t="shared" si="113"/>
        <v>142.4699924242704</v>
      </c>
      <c r="R72" s="629">
        <f t="shared" si="79"/>
        <v>4.4020132764720428</v>
      </c>
      <c r="S72" s="634">
        <f t="shared" si="80"/>
        <v>-0.98300296473694171</v>
      </c>
      <c r="T72" s="635">
        <f t="shared" si="81"/>
        <v>2.6657356053681469</v>
      </c>
      <c r="U72" s="629">
        <f t="shared" si="82"/>
        <v>3.5030807253771141</v>
      </c>
      <c r="V72" s="636">
        <f t="shared" si="114"/>
        <v>-0.98300296473694171</v>
      </c>
      <c r="W72" s="585">
        <f t="shared" si="224"/>
        <v>52.729992386731055</v>
      </c>
      <c r="X72" s="629">
        <f t="shared" si="83"/>
        <v>4.4020132764720428</v>
      </c>
      <c r="Y72" s="630">
        <f t="shared" si="223"/>
        <v>-0.98300296473694171</v>
      </c>
      <c r="Z72" s="632">
        <f t="shared" si="243"/>
        <v>0.79474510559072553</v>
      </c>
      <c r="AA72" s="629">
        <f t="shared" si="244"/>
        <v>0.59328793420207049</v>
      </c>
      <c r="AB72" s="629">
        <f t="shared" si="245"/>
        <v>-0.12802204603046391</v>
      </c>
      <c r="AC72" s="636">
        <f t="shared" si="84"/>
        <v>1</v>
      </c>
      <c r="AD72" s="637">
        <f t="shared" si="115"/>
        <v>0.79474510559072553</v>
      </c>
      <c r="AE72" s="629">
        <f t="shared" si="85"/>
        <v>0.59328793420207049</v>
      </c>
      <c r="AF72" s="633">
        <f t="shared" si="86"/>
        <v>-0.12802204603046391</v>
      </c>
      <c r="AG72" s="602">
        <f t="shared" si="87"/>
        <v>77.823191317836304</v>
      </c>
      <c r="AH72" s="603">
        <f t="shared" si="88"/>
        <v>37.368813144483575</v>
      </c>
      <c r="AI72" s="585">
        <f t="shared" si="89"/>
        <v>-82.644691166680161</v>
      </c>
      <c r="AJ72" s="586">
        <f t="shared" si="90"/>
        <v>126.74183528543917</v>
      </c>
      <c r="AK72" s="635">
        <f t="shared" si="211"/>
        <v>0.95463806282956865</v>
      </c>
      <c r="AL72" s="629">
        <f t="shared" si="91"/>
        <v>-0.2688429369114656</v>
      </c>
      <c r="AM72" s="634">
        <f t="shared" si="92"/>
        <v>-0.12802204603046391</v>
      </c>
      <c r="AN72" s="581">
        <f t="shared" si="93"/>
        <v>-64.536376997321099</v>
      </c>
      <c r="AO72" s="582">
        <f t="shared" si="461"/>
        <v>17.323632260057646</v>
      </c>
      <c r="AP72" s="585">
        <f t="shared" si="95"/>
        <v>-15.728157138831232</v>
      </c>
      <c r="AQ72" s="586">
        <f t="shared" si="246"/>
        <v>0.51786862235608211</v>
      </c>
      <c r="AS72" s="52">
        <f t="shared" si="406"/>
        <v>-307.27000761326894</v>
      </c>
      <c r="AT72" s="72">
        <f t="shared" si="247"/>
        <v>-0.76944045947601836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6.1180000000000003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>
        <f t="shared" si="112"/>
        <v>1613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-3.6580701069075978</v>
      </c>
      <c r="C73" s="708">
        <v>2.8467054170623478</v>
      </c>
      <c r="D73" s="709">
        <v>-1.7450052629358732</v>
      </c>
      <c r="E73" s="710">
        <v>-0.83026751253097075</v>
      </c>
      <c r="F73" s="708">
        <v>-0.5558983684180413</v>
      </c>
      <c r="G73" s="711">
        <v>4.0408682554547083E-2</v>
      </c>
      <c r="H73" s="710">
        <v>0.314</v>
      </c>
      <c r="I73" s="708">
        <v>0.52</v>
      </c>
      <c r="J73" s="570">
        <v>6.1210000000000004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1613</v>
      </c>
      <c r="L73" s="320"/>
      <c r="M73" s="168">
        <f t="shared" ref="M73:M104" si="464">IF(J73="","",VALUE(J73))</f>
        <v>6.1210000000000004</v>
      </c>
      <c r="N73" s="632">
        <f t="shared" ref="N73:N104" si="465">IF(M73="","",B73)</f>
        <v>-3.6580701069075978</v>
      </c>
      <c r="O73" s="629">
        <f t="shared" ref="O73:O104" si="466">IF(M73="","",C73)</f>
        <v>2.8467054170623478</v>
      </c>
      <c r="P73" s="633">
        <f t="shared" ref="P73:P104" si="467">IF(M73="","",D73)</f>
        <v>-1.7450052629358732</v>
      </c>
      <c r="Q73" s="585">
        <f t="shared" si="113"/>
        <v>142.10999247624795</v>
      </c>
      <c r="R73" s="629">
        <f>IF(M73="","",SQRT(N73^2+O73^2))</f>
        <v>4.6352139798053642</v>
      </c>
      <c r="S73" s="634">
        <f>IF(M73="","",P73)</f>
        <v>-1.7450052629358732</v>
      </c>
      <c r="T73" s="635">
        <f>IF(M73="","",X73*COS(RADIANS(W73)))</f>
        <v>2.8300763710288988</v>
      </c>
      <c r="U73" s="629">
        <f>IF(M73="","",X73*SIN(RADIANS(W73)))</f>
        <v>3.6709503364560767</v>
      </c>
      <c r="V73" s="636">
        <f>IF(M73="","",Y73)</f>
        <v>-1.7450052629358732</v>
      </c>
      <c r="W73" s="585">
        <f t="shared" si="224"/>
        <v>52.369992438708607</v>
      </c>
      <c r="X73" s="629">
        <f>IF(M73="","",R73)</f>
        <v>4.6352139798053642</v>
      </c>
      <c r="Y73" s="630">
        <f t="shared" si="223"/>
        <v>-1.7450052629358732</v>
      </c>
      <c r="Z73" s="632">
        <f t="shared" ref="Z73:Z104" si="468">IF(M73="","",-E73)</f>
        <v>0.83026751253097075</v>
      </c>
      <c r="AA73" s="629">
        <f t="shared" ref="AA73:AA104" si="469">IF(M73="","",-F73)</f>
        <v>0.5558983684180413</v>
      </c>
      <c r="AB73" s="629">
        <f t="shared" ref="AB73:AB104" si="470">IF(M73="","",-G73)</f>
        <v>-4.0408682554547083E-2</v>
      </c>
      <c r="AC73" s="636">
        <f>IF(M73="","",SQRT(Z73^2+AA73^2+AB73^2))</f>
        <v>1</v>
      </c>
      <c r="AD73" s="637">
        <f>IF(M73="","",Z73*(1/SQRT(Z73^2+AA73^2+AB73^2)))</f>
        <v>0.83026751253097075</v>
      </c>
      <c r="AE73" s="629">
        <f>IF(M73="","",AA73*(1/SQRT(Z73^2+AA73^2+AB73^2)))</f>
        <v>0.5558983684180413</v>
      </c>
      <c r="AF73" s="633">
        <f>IF(M73="","",AB73*(1/SQRT(Z73^2+AA73^2+AB73^2)))</f>
        <v>-4.0408682554547083E-2</v>
      </c>
      <c r="AG73" s="602">
        <f>IF(M73="","",DEGREES(ATAN2(-AF73,AE73)))</f>
        <v>85.842437943382421</v>
      </c>
      <c r="AH73" s="603">
        <f>IF(M73="","",DEGREES(ACOS(AD73)))</f>
        <v>33.873772180600007</v>
      </c>
      <c r="AI73" s="585">
        <f>IF(M73="","",DEGREES(-ACOS(-AF73)))</f>
        <v>-87.684122490861071</v>
      </c>
      <c r="AJ73" s="586">
        <f>IF(M73="","",DEGREES(ATAN2(-AE73,AD73)))</f>
        <v>123.80394137221619</v>
      </c>
      <c r="AK73" s="635">
        <f>IF(M73="","",(COS(RADIANS((90-$Q$8)-W73))*AD73)+(-SIN(RADIANS((90-$Q$8)-W73))*AE73))</f>
        <v>0.94861688126557087</v>
      </c>
      <c r="AL73" s="629">
        <f>IF(M73="","",(SIN(RADIANS((90-$Q$8)-W73))*AD73)+(COS(RADIANS((90-$Q$8)-W73))*AE73))</f>
        <v>-0.31383618489936427</v>
      </c>
      <c r="AM73" s="634">
        <f>IF(M73="","",AF73)</f>
        <v>-4.0408682554547083E-2</v>
      </c>
      <c r="AN73" s="581">
        <f>IF(M73="","",DEGREES(ATAN2(-AM73,AL73)))</f>
        <v>-82.663120219113949</v>
      </c>
      <c r="AO73" s="582">
        <f t="shared" si="461"/>
        <v>18.446978770303343</v>
      </c>
      <c r="AP73" s="585">
        <f>IF(M73="","",DEGREES(ATAN2(AK73,AL73)))</f>
        <v>-18.30605110403177</v>
      </c>
      <c r="AQ73" s="586">
        <f t="shared" ref="AQ73:AQ104" si="471">IF(M73="","",DEGREES(ATAN(($AS$5*SIN(RADIANS(90)))/(($X73*2*PI())-($AS$5*COS(RADIANS(90)))))))</f>
        <v>0.49181562065223206</v>
      </c>
      <c r="AS73" s="52">
        <f t="shared" si="406"/>
        <v>-307.63000756129139</v>
      </c>
      <c r="AT73" s="72">
        <f t="shared" ref="AT73:AT104" si="472">IF(M73="","",Y73+(((AS73-$AS$9)*$AS$6)*-1))</f>
        <v>-1.5311927577110453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6.1210000000000004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>
        <f t="shared" si="112"/>
        <v>1613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-3.7285389120350372</v>
      </c>
      <c r="C74" s="708">
        <v>2.9182981083887212</v>
      </c>
      <c r="D74" s="709">
        <v>-2.4715074540664816</v>
      </c>
      <c r="E74" s="710">
        <v>-0.9264401713122844</v>
      </c>
      <c r="F74" s="708">
        <v>-0.36522642903678798</v>
      </c>
      <c r="G74" s="711">
        <v>9.1204520238316308E-2</v>
      </c>
      <c r="H74" s="710">
        <v>0.26600000000000001</v>
      </c>
      <c r="I74" s="708">
        <v>0.52</v>
      </c>
      <c r="J74" s="570">
        <v>6.1239999999999997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1313</v>
      </c>
      <c r="L74" s="320"/>
      <c r="M74" s="168">
        <f t="shared" si="464"/>
        <v>6.1239999999999997</v>
      </c>
      <c r="N74" s="632">
        <f t="shared" si="465"/>
        <v>-3.7285389120350372</v>
      </c>
      <c r="O74" s="629">
        <f t="shared" si="466"/>
        <v>2.9182981083887212</v>
      </c>
      <c r="P74" s="633">
        <f t="shared" si="467"/>
        <v>-2.4715074540664816</v>
      </c>
      <c r="Q74" s="585">
        <f t="shared" ref="Q74:Q129" si="520">IF(M74="","",IF(DEGREES(ATAN2(N74,O74))&lt;0,DEGREES(ATAN2(N74,O74))+360,IF(DEGREES(ATAN2(N74,O74))&gt;360,DEGREES(ATAN2(N74,O74))-360,DEGREES(ATAN2(N74,O74)))))</f>
        <v>141.94999249934912</v>
      </c>
      <c r="R74" s="629">
        <f>IF(M74="","",SQRT(N74^2+O74^2))</f>
        <v>4.7348142801998696</v>
      </c>
      <c r="S74" s="634">
        <f>IF(M74="","",P74)</f>
        <v>-2.4715074540664816</v>
      </c>
      <c r="T74" s="635">
        <f>IF(M74="","",X74*COS(RADIANS(W74)))</f>
        <v>2.9013485490830764</v>
      </c>
      <c r="U74" s="629">
        <f>IF(M74="","",X74*SIN(RADIANS(W74)))</f>
        <v>3.7417432921992573</v>
      </c>
      <c r="V74" s="636">
        <f>IF(M74="","",Y74)</f>
        <v>-2.4715074540664816</v>
      </c>
      <c r="W74" s="585">
        <f t="shared" si="224"/>
        <v>52.209992461809776</v>
      </c>
      <c r="X74" s="629">
        <f>IF(M74="","",R74)</f>
        <v>4.7348142801998696</v>
      </c>
      <c r="Y74" s="630">
        <f t="shared" si="223"/>
        <v>-2.4715074540664816</v>
      </c>
      <c r="Z74" s="632">
        <f t="shared" si="468"/>
        <v>0.9264401713122844</v>
      </c>
      <c r="AA74" s="629">
        <f t="shared" si="469"/>
        <v>0.36522642903678798</v>
      </c>
      <c r="AB74" s="629">
        <f t="shared" si="470"/>
        <v>-9.1204520238316308E-2</v>
      </c>
      <c r="AC74" s="636">
        <f>IF(M74="","",SQRT(Z74^2+AA74^2+AB74^2))</f>
        <v>1</v>
      </c>
      <c r="AD74" s="637">
        <f>IF(M74="","",Z74*(1/SQRT(Z74^2+AA74^2+AB74^2)))</f>
        <v>0.9264401713122844</v>
      </c>
      <c r="AE74" s="629">
        <f>IF(M74="","",AA74*(1/SQRT(Z74^2+AA74^2+AB74^2)))</f>
        <v>0.36522642903678798</v>
      </c>
      <c r="AF74" s="633">
        <f>IF(M74="","",AB74*(1/SQRT(Z74^2+AA74^2+AB74^2)))</f>
        <v>-9.1204520238316308E-2</v>
      </c>
      <c r="AG74" s="602">
        <f>IF(M74="","",DEGREES(ATAN2(-AF74,AE74)))</f>
        <v>75.978830603920883</v>
      </c>
      <c r="AH74" s="603">
        <f>IF(M74="","",DEGREES(ACOS(AD74)))</f>
        <v>22.113467746277379</v>
      </c>
      <c r="AI74" s="585">
        <f>IF(M74="","",DEGREES(-ACOS(-AF74)))</f>
        <v>-84.767093963198377</v>
      </c>
      <c r="AJ74" s="586">
        <f>IF(M74="","",DEGREES(ATAN2(-AE74,AD74)))</f>
        <v>111.51562819312252</v>
      </c>
      <c r="AK74" s="635">
        <f>IF(M74="","",(COS(RADIANS((90-$Q$8)-W74))*AD74)+(-SIN(RADIANS((90-$Q$8)-W74))*AE74))</f>
        <v>0.85861647601341984</v>
      </c>
      <c r="AL74" s="629">
        <f>IF(M74="","",(SIN(RADIANS((90-$Q$8)-W74))*AD74)+(COS(RADIANS((90-$Q$8)-W74))*AE74))</f>
        <v>-0.50443977103951176</v>
      </c>
      <c r="AM74" s="634">
        <f>IF(M74="","",AF74)</f>
        <v>-9.1204520238316308E-2</v>
      </c>
      <c r="AN74" s="581">
        <f>IF(M74="","",DEGREES(ATAN2(-AM74,AL74)))</f>
        <v>-79.751435317291353</v>
      </c>
      <c r="AO74" s="582">
        <f t="shared" si="461"/>
        <v>30.838405991885843</v>
      </c>
      <c r="AP74" s="585">
        <f>IF(M74="","",DEGREES(ATAN2(AK74,AL74)))</f>
        <v>-30.434364306226584</v>
      </c>
      <c r="AQ74" s="586">
        <f t="shared" si="471"/>
        <v>0.48147040965083693</v>
      </c>
      <c r="AS74" s="52">
        <f t="shared" si="406"/>
        <v>-307.79000753819025</v>
      </c>
      <c r="AT74" s="72">
        <f t="shared" si="472"/>
        <v>-2.2575838377465853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6.1239999999999997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>
        <f t="shared" ref="IJ74:IJ137" si="542">IF(ISNUMBER($II74),INDEX($K$9:$K$150,MATCH($II74,$M$9:$M$150,0)),$K74)</f>
        <v>1313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-2.019233731995818</v>
      </c>
      <c r="C75" s="708">
        <v>2.3953709417680042</v>
      </c>
      <c r="D75" s="709">
        <v>-5.1466436321615731E-2</v>
      </c>
      <c r="E75" s="710">
        <v>-0.75930826115174588</v>
      </c>
      <c r="F75" s="708">
        <v>-0.50271786448384459</v>
      </c>
      <c r="G75" s="711">
        <v>0.41318968195674383</v>
      </c>
      <c r="H75" s="710">
        <v>0.26600000000000001</v>
      </c>
      <c r="I75" s="708">
        <v>0.52</v>
      </c>
      <c r="J75" s="570">
        <v>6.2119999999999997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1313</v>
      </c>
      <c r="L75" s="320"/>
      <c r="M75" s="168">
        <f t="shared" si="464"/>
        <v>6.2119999999999997</v>
      </c>
      <c r="N75" s="632">
        <f t="shared" si="465"/>
        <v>-2.019233731995818</v>
      </c>
      <c r="O75" s="629">
        <f t="shared" si="466"/>
        <v>2.3953709417680042</v>
      </c>
      <c r="P75" s="633">
        <f t="shared" si="467"/>
        <v>-5.1466436321615731E-2</v>
      </c>
      <c r="Q75" s="585">
        <f t="shared" si="520"/>
        <v>130.12999420594571</v>
      </c>
      <c r="R75" s="629">
        <f>IF(M75="","",SQRT(N75^2+O75^2))</f>
        <v>3.1329070865725166</v>
      </c>
      <c r="S75" s="634">
        <f>IF(M75="","",P75)</f>
        <v>-5.1466436321615731E-2</v>
      </c>
      <c r="T75" s="635">
        <f>IF(M75="","",X75*COS(RADIANS(W75)))</f>
        <v>2.3861833196664097</v>
      </c>
      <c r="U75" s="629">
        <f>IF(M75="","",X75*SIN(RADIANS(W75)))</f>
        <v>2.0300827515256827</v>
      </c>
      <c r="V75" s="636">
        <f>IF(M75="","",Y75)</f>
        <v>-5.1466436321615731E-2</v>
      </c>
      <c r="W75" s="585">
        <f t="shared" si="224"/>
        <v>40.389994168406361</v>
      </c>
      <c r="X75" s="629">
        <f>IF(M75="","",R75)</f>
        <v>3.1329070865725166</v>
      </c>
      <c r="Y75" s="630">
        <f t="shared" si="223"/>
        <v>-5.1466436321615731E-2</v>
      </c>
      <c r="Z75" s="632">
        <f t="shared" si="468"/>
        <v>0.75930826115174588</v>
      </c>
      <c r="AA75" s="629">
        <f t="shared" si="469"/>
        <v>0.50271786448384459</v>
      </c>
      <c r="AB75" s="629">
        <f t="shared" si="470"/>
        <v>-0.41318968195674383</v>
      </c>
      <c r="AC75" s="636">
        <f>IF(M75="","",SQRT(Z75^2+AA75^2+AB75^2))</f>
        <v>1</v>
      </c>
      <c r="AD75" s="637">
        <f>IF(M75="","",Z75*(1/SQRT(Z75^2+AA75^2+AB75^2)))</f>
        <v>0.75930826115174588</v>
      </c>
      <c r="AE75" s="629">
        <f>IF(M75="","",AA75*(1/SQRT(Z75^2+AA75^2+AB75^2)))</f>
        <v>0.50271786448384459</v>
      </c>
      <c r="AF75" s="633">
        <f>IF(M75="","",AB75*(1/SQRT(Z75^2+AA75^2+AB75^2)))</f>
        <v>-0.41318968195674383</v>
      </c>
      <c r="AG75" s="602">
        <f>IF(M75="","",DEGREES(ATAN2(-AF75,AE75)))</f>
        <v>50.582815490369235</v>
      </c>
      <c r="AH75" s="603">
        <f>IF(M75="","",DEGREES(ACOS(AD75)))</f>
        <v>40.59674638633502</v>
      </c>
      <c r="AI75" s="585">
        <f>IF(M75="","",DEGREES(-ACOS(-AF75)))</f>
        <v>-65.594636237254306</v>
      </c>
      <c r="AJ75" s="586">
        <f>IF(M75="","",DEGREES(ATAN2(-AE75,AD75)))</f>
        <v>123.50748640730251</v>
      </c>
      <c r="AK75" s="635">
        <f>IF(M75="","",(COS(RADIANS((90-$Q$8)-W75))*AD75)+(-SIN(RADIANS((90-$Q$8)-W75))*AE75))</f>
        <v>0.90456873949312011</v>
      </c>
      <c r="AL75" s="629">
        <f>IF(M75="","",(SIN(RADIANS((90-$Q$8)-W75))*AD75)+(COS(RADIANS((90-$Q$8)-W75))*AE75))</f>
        <v>-0.10502229409183989</v>
      </c>
      <c r="AM75" s="634">
        <f>IF(M75="","",AF75)</f>
        <v>-0.41318968195674383</v>
      </c>
      <c r="AN75" s="581">
        <f>IF(M75="","",DEGREES(ATAN2(-AM75,AL75)))</f>
        <v>-14.26113489379966</v>
      </c>
      <c r="AO75" s="582">
        <f t="shared" si="461"/>
        <v>25.234737987239516</v>
      </c>
      <c r="AP75" s="585">
        <f>IF(M75="","",DEGREES(ATAN2(AK75,AL75)))</f>
        <v>-6.6225077986431851</v>
      </c>
      <c r="AQ75" s="586">
        <f t="shared" si="471"/>
        <v>0.72763219913378052</v>
      </c>
      <c r="AS75" s="52">
        <f t="shared" ref="AS75:AS106" si="543">IF(G75="","",IF(AND(W75&lt;(AS74+180),W75&gt;(AS74-180)),W75,IF(W75&gt;(AS74+180),W75-360,IF(W75&lt;(AS74-180),W75+360,"Error"))))</f>
        <v>-319.61000583159364</v>
      </c>
      <c r="AT75" s="72">
        <f t="shared" si="472"/>
        <v>0.17066551214647752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>Nose</v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6.2119999999999997</v>
      </c>
      <c r="IH75" s="731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0.112</v>
      </c>
      <c r="II75" s="734" cm="1">
        <f t="array" ref="II75">IFERROR(ROUND(VALUE(IF($IH75&lt;1,$IH75+LARGE((IF($M$9:$M$150="",0,$M$9:$M$150)-MOD(IF($M$9:$M$150="",0,$M$9:$M$150),1)),1),$IH75)),4),"")</f>
        <v>6.1120000000000001</v>
      </c>
      <c r="IJ75" s="533">
        <f t="shared" si="542"/>
        <v>1613</v>
      </c>
      <c r="IK75" s="533">
        <f t="shared" si="517"/>
        <v>1313</v>
      </c>
      <c r="IL75" s="727">
        <f t="shared" si="225"/>
        <v>14.089997965655982</v>
      </c>
      <c r="IM75" s="759">
        <v>1.9489456693104399E-2</v>
      </c>
      <c r="IN75" s="5">
        <f t="shared" si="226"/>
        <v>0.46</v>
      </c>
      <c r="IO75" s="771">
        <v>230</v>
      </c>
      <c r="IP75" s="9">
        <f t="shared" si="227"/>
        <v>-3.1265094295524398</v>
      </c>
      <c r="IQ75" s="5">
        <f t="shared" si="228"/>
        <v>-9.3700282600052365E-2</v>
      </c>
      <c r="IR75" s="5">
        <f t="shared" si="518"/>
        <v>0.314</v>
      </c>
      <c r="IS75" s="5">
        <f t="shared" si="229"/>
        <v>0.30271872214073131</v>
      </c>
      <c r="IT75" s="727">
        <f t="shared" si="230"/>
        <v>19.389409848181792</v>
      </c>
      <c r="IU75" s="9">
        <f t="shared" si="231"/>
        <v>-3.1329070865725166</v>
      </c>
      <c r="IV75" s="5">
        <f t="shared" si="232"/>
        <v>-5.1466436321615731E-2</v>
      </c>
      <c r="IW75" s="5">
        <f t="shared" si="519"/>
        <v>0.26600000000000001</v>
      </c>
      <c r="IX75" s="5">
        <f t="shared" si="233"/>
        <v>0.24061528470516999</v>
      </c>
      <c r="IY75" s="762">
        <f t="shared" si="234"/>
        <v>14.26113489379966</v>
      </c>
    </row>
    <row r="76" spans="1:259" ht="15" customHeight="1" x14ac:dyDescent="0.25">
      <c r="A76" s="79"/>
      <c r="B76" s="707">
        <v>-2.9518424149979436</v>
      </c>
      <c r="C76" s="708">
        <v>3.3212365712670739</v>
      </c>
      <c r="D76" s="709">
        <v>-0.95102510372333227</v>
      </c>
      <c r="E76" s="710">
        <v>-0.91671549970285682</v>
      </c>
      <c r="F76" s="708">
        <v>-0.31220229669098265</v>
      </c>
      <c r="G76" s="711">
        <v>0.24932392293042654</v>
      </c>
      <c r="H76" s="710">
        <v>0.26600000000000001</v>
      </c>
      <c r="I76" s="708">
        <v>0.52</v>
      </c>
      <c r="J76" s="570">
        <v>6.218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1313</v>
      </c>
      <c r="L76" s="320"/>
      <c r="M76" s="168">
        <f t="shared" si="464"/>
        <v>6.218</v>
      </c>
      <c r="N76" s="632">
        <f t="shared" si="465"/>
        <v>-2.9518424149979436</v>
      </c>
      <c r="O76" s="629">
        <f t="shared" si="466"/>
        <v>3.3212365712670739</v>
      </c>
      <c r="P76" s="633">
        <f t="shared" si="467"/>
        <v>-0.95102510372333227</v>
      </c>
      <c r="Q76" s="585">
        <f t="shared" si="520"/>
        <v>131.62999398937254</v>
      </c>
      <c r="R76" s="629">
        <f t="shared" si="79"/>
        <v>4.4434205298736646</v>
      </c>
      <c r="S76" s="634">
        <f t="shared" si="80"/>
        <v>-0.95102510372333227</v>
      </c>
      <c r="T76" s="635">
        <f t="shared" si="81"/>
        <v>3.3078073875845821</v>
      </c>
      <c r="U76" s="629">
        <f t="shared" si="82"/>
        <v>2.9668832622709682</v>
      </c>
      <c r="V76" s="636">
        <f t="shared" si="114"/>
        <v>-0.95102510372333227</v>
      </c>
      <c r="W76" s="585">
        <f t="shared" si="224"/>
        <v>41.889993951833191</v>
      </c>
      <c r="X76" s="629">
        <f t="shared" si="83"/>
        <v>4.4434205298736646</v>
      </c>
      <c r="Y76" s="630">
        <f t="shared" ref="Y76:Y129" si="644">IF(M76="","",S76)</f>
        <v>-0.95102510372333227</v>
      </c>
      <c r="Z76" s="632">
        <f t="shared" si="468"/>
        <v>0.91671549970285682</v>
      </c>
      <c r="AA76" s="629">
        <f t="shared" si="469"/>
        <v>0.31220229669098265</v>
      </c>
      <c r="AB76" s="629">
        <f t="shared" si="470"/>
        <v>-0.24932392293042654</v>
      </c>
      <c r="AC76" s="636">
        <f t="shared" si="84"/>
        <v>1</v>
      </c>
      <c r="AD76" s="637">
        <f t="shared" si="115"/>
        <v>0.91671549970285682</v>
      </c>
      <c r="AE76" s="629">
        <f t="shared" si="85"/>
        <v>0.31220229669098265</v>
      </c>
      <c r="AF76" s="633">
        <f t="shared" si="86"/>
        <v>-0.24932392293042654</v>
      </c>
      <c r="AG76" s="602">
        <f t="shared" si="87"/>
        <v>51.389229332768508</v>
      </c>
      <c r="AH76" s="603">
        <f t="shared" si="88"/>
        <v>23.549462430782249</v>
      </c>
      <c r="AI76" s="585">
        <f t="shared" si="89"/>
        <v>-75.562490954997912</v>
      </c>
      <c r="AJ76" s="586">
        <f t="shared" si="90"/>
        <v>108.80710652439656</v>
      </c>
      <c r="AK76" s="635">
        <f t="shared" si="211"/>
        <v>0.89260086859379018</v>
      </c>
      <c r="AL76" s="629">
        <f t="shared" si="91"/>
        <v>-0.37563449101512769</v>
      </c>
      <c r="AM76" s="634">
        <f t="shared" si="92"/>
        <v>-0.24932392293042654</v>
      </c>
      <c r="AN76" s="581">
        <f t="shared" si="93"/>
        <v>-56.426149133234283</v>
      </c>
      <c r="AO76" s="582">
        <f t="shared" si="461"/>
        <v>26.798087422828569</v>
      </c>
      <c r="AP76" s="585">
        <f t="shared" si="95"/>
        <v>-22.822887464975981</v>
      </c>
      <c r="AQ76" s="586">
        <f t="shared" si="471"/>
        <v>0.51304297834127055</v>
      </c>
      <c r="AS76" s="52">
        <f t="shared" si="543"/>
        <v>-318.11000604816684</v>
      </c>
      <c r="AT76" s="72">
        <f t="shared" si="472"/>
        <v>-0.72993482177150759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>Taper</v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6.218</v>
      </c>
      <c r="IH76" s="731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0.11799999999999999</v>
      </c>
      <c r="II76" s="734" cm="1">
        <f t="array" ref="II76">IFERROR(ROUND(VALUE(IF($IH76&lt;1,$IH76+LARGE((IF($M$9:$M$150="",0,$M$9:$M$150)-MOD(IF($M$9:$M$150="",0,$M$9:$M$150),1)),1),$IH76)),4),"")</f>
        <v>6.1180000000000003</v>
      </c>
      <c r="IJ76" s="533">
        <f t="shared" si="542"/>
        <v>1613</v>
      </c>
      <c r="IK76" s="533">
        <f t="shared" si="517"/>
        <v>1313</v>
      </c>
      <c r="IL76" s="727">
        <f t="shared" si="225"/>
        <v>10.839998434897865</v>
      </c>
      <c r="IM76" s="759">
        <v>1.0429181522705401E-2</v>
      </c>
      <c r="IN76" s="5">
        <f t="shared" si="226"/>
        <v>0.42</v>
      </c>
      <c r="IO76" s="771">
        <v>210</v>
      </c>
      <c r="IP76" s="9">
        <f t="shared" si="227"/>
        <v>-4.4020132764720428</v>
      </c>
      <c r="IQ76" s="5">
        <f t="shared" si="228"/>
        <v>-0.98300296473694171</v>
      </c>
      <c r="IR76" s="5">
        <f t="shared" si="518"/>
        <v>0.314</v>
      </c>
      <c r="IS76" s="5">
        <f t="shared" si="229"/>
        <v>0.29975635172848458</v>
      </c>
      <c r="IT76" s="727">
        <f t="shared" si="230"/>
        <v>64.536376997321099</v>
      </c>
      <c r="IU76" s="9">
        <f t="shared" si="231"/>
        <v>-4.4434205298736646</v>
      </c>
      <c r="IV76" s="5">
        <f t="shared" si="232"/>
        <v>-0.95102510372333227</v>
      </c>
      <c r="IW76" s="5">
        <f t="shared" si="519"/>
        <v>0.26600000000000001</v>
      </c>
      <c r="IX76" s="5">
        <f t="shared" si="233"/>
        <v>0.2374318310459482</v>
      </c>
      <c r="IY76" s="762">
        <f t="shared" si="234"/>
        <v>56.426149133234283</v>
      </c>
    </row>
    <row r="77" spans="1:259" ht="15" customHeight="1" x14ac:dyDescent="0.25">
      <c r="A77" s="79"/>
      <c r="B77" s="707">
        <v>-3.0006361108792836</v>
      </c>
      <c r="C77" s="708">
        <v>3.5621089299276774</v>
      </c>
      <c r="D77" s="709">
        <v>-1.756105809882897</v>
      </c>
      <c r="E77" s="710">
        <v>-0.55275670843444513</v>
      </c>
      <c r="F77" s="708">
        <v>0.65618704772381564</v>
      </c>
      <c r="G77" s="711">
        <v>0.51369113256919352</v>
      </c>
      <c r="H77" s="710">
        <v>0.26250000000000001</v>
      </c>
      <c r="I77" s="708">
        <v>0.40699999999999997</v>
      </c>
      <c r="J77" s="570">
        <v>6.2210000000000001</v>
      </c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Inactive</v>
      </c>
      <c r="L77" s="320"/>
      <c r="M77" s="168">
        <f t="shared" si="464"/>
        <v>6.2210000000000001</v>
      </c>
      <c r="N77" s="632">
        <f t="shared" si="465"/>
        <v>-3.0006361108792836</v>
      </c>
      <c r="O77" s="629">
        <f t="shared" si="466"/>
        <v>3.5621089299276774</v>
      </c>
      <c r="P77" s="633">
        <f t="shared" si="467"/>
        <v>-1.756105809882897</v>
      </c>
      <c r="Q77" s="585">
        <f t="shared" si="520"/>
        <v>130.10999205898364</v>
      </c>
      <c r="R77" s="629">
        <f t="shared" si="79"/>
        <v>4.6575140470623655</v>
      </c>
      <c r="S77" s="634">
        <f t="shared" si="80"/>
        <v>-1.756105809882897</v>
      </c>
      <c r="T77" s="635">
        <f t="shared" si="81"/>
        <v>3.5484558482353568</v>
      </c>
      <c r="U77" s="629">
        <f t="shared" si="82"/>
        <v>3.0167694959521767</v>
      </c>
      <c r="V77" s="636">
        <f t="shared" si="114"/>
        <v>-1.756105809882897</v>
      </c>
      <c r="W77" s="585">
        <f t="shared" si="224"/>
        <v>40.36999202144429</v>
      </c>
      <c r="X77" s="629">
        <f t="shared" si="83"/>
        <v>4.6575140470623655</v>
      </c>
      <c r="Y77" s="630">
        <f t="shared" si="644"/>
        <v>-1.756105809882897</v>
      </c>
      <c r="Z77" s="632">
        <f t="shared" si="468"/>
        <v>0.55275670843444513</v>
      </c>
      <c r="AA77" s="629">
        <f t="shared" si="469"/>
        <v>-0.65618704772381564</v>
      </c>
      <c r="AB77" s="629">
        <f t="shared" si="470"/>
        <v>-0.51369113256919352</v>
      </c>
      <c r="AC77" s="636">
        <f t="shared" si="84"/>
        <v>1</v>
      </c>
      <c r="AD77" s="637">
        <f t="shared" si="115"/>
        <v>0.55275670843444513</v>
      </c>
      <c r="AE77" s="629">
        <f t="shared" si="85"/>
        <v>-0.65618704772381564</v>
      </c>
      <c r="AF77" s="633">
        <f t="shared" si="86"/>
        <v>-0.51369113256919352</v>
      </c>
      <c r="AG77" s="602">
        <f t="shared" si="87"/>
        <v>-51.94464940975994</v>
      </c>
      <c r="AH77" s="603">
        <f t="shared" si="88"/>
        <v>56.443658986807527</v>
      </c>
      <c r="AI77" s="585">
        <f t="shared" si="89"/>
        <v>-59.089991468461662</v>
      </c>
      <c r="AJ77" s="586">
        <f t="shared" si="90"/>
        <v>40.110007204398819</v>
      </c>
      <c r="AK77" s="635">
        <f t="shared" si="211"/>
        <v>2.2679489702914779E-7</v>
      </c>
      <c r="AL77" s="629">
        <f t="shared" si="91"/>
        <v>-0.85797518630769731</v>
      </c>
      <c r="AM77" s="634">
        <f t="shared" si="92"/>
        <v>-0.51369113256919352</v>
      </c>
      <c r="AN77" s="581">
        <f t="shared" si="93"/>
        <v>-59.089991468460788</v>
      </c>
      <c r="AO77" s="582">
        <f t="shared" si="461"/>
        <v>0</v>
      </c>
      <c r="AP77" s="585">
        <f t="shared" si="95"/>
        <v>-89.99998485458481</v>
      </c>
      <c r="AQ77" s="586">
        <f t="shared" si="471"/>
        <v>0.4894609339155549</v>
      </c>
      <c r="AS77" s="52">
        <f t="shared" si="543"/>
        <v>-319.63000797855568</v>
      </c>
      <c r="AT77" s="72">
        <f t="shared" si="472"/>
        <v>-1.5339599710349689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>Taper</v>
      </c>
      <c r="IF77" s="533" t="str">
        <f>IFERROR(IF((((($IW77*COS(RADIANS(180-$IY77)))*COS(RADIANS($IY77)))-(($IX77*SIN(RADIANS(180-$IY77)))*SIN(RADIANS($IY77))))+$IU77)&lt;(((Settings!$C$19+$IF$8)/2)*-1),"Gage",""),"")</f>
        <v>Gage</v>
      </c>
      <c r="IG77" s="847">
        <f t="shared" si="643"/>
        <v>6.2210000000000001</v>
      </c>
      <c r="IH77" s="731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0.121</v>
      </c>
      <c r="II77" s="734" cm="1">
        <f t="array" ref="II77">IFERROR(ROUND(VALUE(IF($IH77&lt;1,$IH77+LARGE((IF($M$9:$M$150="",0,$M$9:$M$150)-MOD(IF($M$9:$M$150="",0,$M$9:$M$150),1)),1),$IH77)),4),"")</f>
        <v>6.1210000000000004</v>
      </c>
      <c r="IJ77" s="533">
        <f t="shared" si="542"/>
        <v>1613</v>
      </c>
      <c r="IK77" s="533" t="str">
        <f t="shared" si="517"/>
        <v>Inactive</v>
      </c>
      <c r="IL77" s="727">
        <f t="shared" si="225"/>
        <v>12.000000417264317</v>
      </c>
      <c r="IM77" s="759">
        <v>1.2902934970326E-2</v>
      </c>
      <c r="IN77" s="5">
        <f t="shared" si="226"/>
        <v>1.34</v>
      </c>
      <c r="IO77" s="771">
        <v>670</v>
      </c>
      <c r="IP77" s="9">
        <f t="shared" si="227"/>
        <v>-4.6352139798053642</v>
      </c>
      <c r="IQ77" s="5">
        <f t="shared" si="228"/>
        <v>-1.7450052629358732</v>
      </c>
      <c r="IR77" s="5">
        <f t="shared" si="518"/>
        <v>0.314</v>
      </c>
      <c r="IS77" s="5">
        <f t="shared" si="229"/>
        <v>0.29786570071738927</v>
      </c>
      <c r="IT77" s="727">
        <f t="shared" si="230"/>
        <v>82.663120219113949</v>
      </c>
      <c r="IU77" s="9">
        <f t="shared" si="231"/>
        <v>-4.6575140470623655</v>
      </c>
      <c r="IV77" s="5">
        <f t="shared" si="232"/>
        <v>-1.756105809882897</v>
      </c>
      <c r="IW77" s="5">
        <f t="shared" si="519"/>
        <v>0.26250000000000001</v>
      </c>
      <c r="IX77" s="5">
        <f t="shared" si="233"/>
        <v>0.26250000000000001</v>
      </c>
      <c r="IY77" s="762">
        <f t="shared" si="234"/>
        <v>59.089991468460788</v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7.4026687011984574E-2</v>
      </c>
      <c r="G154" s="170">
        <f t="shared" si="929"/>
        <v>-0.33391285637839119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5.6018678339987658E-2</v>
      </c>
      <c r="G155" s="170">
        <f t="shared" si="929"/>
        <v>-0.25268396641901958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5.6018678339987645E-2</v>
      </c>
      <c r="G156" s="170">
        <f t="shared" si="929"/>
        <v>-0.25268396641901958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0.96528443712082146</v>
      </c>
      <c r="F157" s="170">
        <f t="shared" si="929"/>
        <v>-1.1259957573594779E-2</v>
      </c>
      <c r="G157" s="170">
        <f t="shared" si="929"/>
        <v>-0.26095817444138408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0.96072550483906505</v>
      </c>
      <c r="F158" s="170">
        <f t="shared" si="929"/>
        <v>-0.14353930380399371</v>
      </c>
      <c r="G158" s="170">
        <f t="shared" si="929"/>
        <v>-0.2374931001422749</v>
      </c>
      <c r="H158" s="139"/>
      <c r="I158" s="86"/>
      <c r="J158" s="79">
        <f t="shared" si="930"/>
        <v>1.113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0.95242770535885679</v>
      </c>
      <c r="F159" s="170">
        <f t="shared" si="929"/>
        <v>-0.25102955364212637</v>
      </c>
      <c r="G159" s="170">
        <f t="shared" si="929"/>
        <v>-0.17281675052811715</v>
      </c>
      <c r="H159" s="139"/>
      <c r="I159" s="86"/>
      <c r="J159" s="79">
        <f t="shared" si="930"/>
        <v>1.1160000000000001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0.9401665845489281</v>
      </c>
      <c r="F160" s="170">
        <f t="shared" si="929"/>
        <v>-0.31686175638478692</v>
      </c>
      <c r="G160" s="170">
        <f t="shared" si="929"/>
        <v>-0.12524144936222659</v>
      </c>
      <c r="H160" s="139"/>
      <c r="I160" s="86"/>
      <c r="J160" s="79">
        <f t="shared" si="930"/>
        <v>1.119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0.9313735250241032</v>
      </c>
      <c r="F161" s="170">
        <f t="shared" si="929"/>
        <v>-0.3639831892247562</v>
      </c>
      <c r="G161" s="170">
        <f t="shared" si="929"/>
        <v>-7.7197698120821953E-3</v>
      </c>
      <c r="H161" s="139"/>
      <c r="I161" s="86"/>
      <c r="J161" s="79">
        <f t="shared" si="930"/>
        <v>1.1220000000000001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0.8305603040741224</v>
      </c>
      <c r="F162" s="170">
        <f t="shared" si="929"/>
        <v>-0.54940997150070003</v>
      </c>
      <c r="G162" s="170">
        <f t="shared" si="929"/>
        <v>-9.1204520238316267E-2</v>
      </c>
      <c r="H162" s="139"/>
      <c r="I162" s="86"/>
      <c r="J162" s="79">
        <f t="shared" si="930"/>
        <v>1.125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0.10815453762387729</v>
      </c>
      <c r="F163" s="170">
        <f t="shared" si="929"/>
        <v>0.18747983667828005</v>
      </c>
      <c r="G163" s="170">
        <f t="shared" si="929"/>
        <v>-0.97629601393760224</v>
      </c>
      <c r="H163" s="139"/>
      <c r="I163" s="86"/>
      <c r="J163" s="79">
        <f t="shared" si="930"/>
        <v>1.2070000000000001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3.8054985332373489E-2</v>
      </c>
      <c r="F164" s="170">
        <f t="shared" si="929"/>
        <v>0.10199907412614098</v>
      </c>
      <c r="G164" s="170">
        <f t="shared" si="929"/>
        <v>-0.99405633993690867</v>
      </c>
      <c r="H164" s="139"/>
      <c r="I164" s="86"/>
      <c r="J164" s="79">
        <f t="shared" si="930"/>
        <v>1.21</v>
      </c>
    </row>
    <row r="165" spans="5:16" x14ac:dyDescent="0.25">
      <c r="E165" s="170">
        <f t="shared" si="929"/>
        <v>0.83655888090185493</v>
      </c>
      <c r="F165" s="170">
        <f t="shared" si="929"/>
        <v>-0.37717123433910771</v>
      </c>
      <c r="G165" s="170">
        <f t="shared" si="929"/>
        <v>-0.39738029489564552</v>
      </c>
      <c r="H165" s="139"/>
      <c r="I165" s="86"/>
      <c r="J165" s="79">
        <f t="shared" si="930"/>
        <v>1.2130000000000001</v>
      </c>
    </row>
    <row r="166" spans="5:16" x14ac:dyDescent="0.25">
      <c r="E166" s="170">
        <f t="shared" si="929"/>
        <v>0.80698580677859633</v>
      </c>
      <c r="F166" s="170">
        <f t="shared" si="929"/>
        <v>-0.49983706688947477</v>
      </c>
      <c r="G166" s="170">
        <f t="shared" si="929"/>
        <v>-0.31454222963097445</v>
      </c>
      <c r="H166" s="139"/>
      <c r="I166" s="86"/>
      <c r="J166" s="79">
        <f t="shared" si="930"/>
        <v>1.216</v>
      </c>
    </row>
    <row r="167" spans="5:16" x14ac:dyDescent="0.25">
      <c r="E167" s="170">
        <f t="shared" si="929"/>
        <v>0.78057081182178722</v>
      </c>
      <c r="F167" s="170">
        <f t="shared" si="929"/>
        <v>-0.57434912484596989</v>
      </c>
      <c r="G167" s="170">
        <f t="shared" si="929"/>
        <v>-0.24664202910401259</v>
      </c>
      <c r="H167" s="139"/>
      <c r="I167" s="86"/>
      <c r="J167" s="79">
        <f t="shared" si="930"/>
        <v>1.2190000000000001</v>
      </c>
    </row>
    <row r="168" spans="5:16" x14ac:dyDescent="0.25">
      <c r="E168" s="170">
        <f t="shared" si="929"/>
        <v>-0.23273547778342346</v>
      </c>
      <c r="F168" s="170">
        <f t="shared" si="929"/>
        <v>-0.87591545068512577</v>
      </c>
      <c r="G168" s="170">
        <f t="shared" si="929"/>
        <v>-0.4226184101905579</v>
      </c>
      <c r="H168" s="139"/>
      <c r="I168" s="86"/>
      <c r="J168" s="79">
        <f t="shared" si="930"/>
        <v>1.222</v>
      </c>
    </row>
    <row r="169" spans="5:16" x14ac:dyDescent="0.25">
      <c r="E169" s="170">
        <f t="shared" si="929"/>
        <v>0.3554705922226758</v>
      </c>
      <c r="F169" s="170">
        <f t="shared" si="929"/>
        <v>-0.89822846396396128</v>
      </c>
      <c r="G169" s="170">
        <f t="shared" si="929"/>
        <v>-0.25850780373095716</v>
      </c>
      <c r="H169" s="139"/>
      <c r="I169" s="86"/>
      <c r="J169" s="79">
        <f t="shared" si="930"/>
        <v>2.1110000000000002</v>
      </c>
    </row>
    <row r="170" spans="5:16" x14ac:dyDescent="0.25">
      <c r="E170" s="170">
        <f t="shared" si="929"/>
        <v>0.238923763144333</v>
      </c>
      <c r="F170" s="170">
        <f t="shared" si="929"/>
        <v>-0.94585200690135385</v>
      </c>
      <c r="G170" s="170">
        <f t="shared" si="929"/>
        <v>-0.21972577556042908</v>
      </c>
      <c r="H170" s="139"/>
      <c r="I170" s="86"/>
      <c r="J170" s="79">
        <f t="shared" si="930"/>
        <v>2.1139999999999999</v>
      </c>
    </row>
    <row r="171" spans="5:16" x14ac:dyDescent="0.25">
      <c r="E171" s="170">
        <f t="shared" si="929"/>
        <v>0.13857770378711223</v>
      </c>
      <c r="F171" s="170">
        <f t="shared" si="929"/>
        <v>-0.97755338855296614</v>
      </c>
      <c r="G171" s="170">
        <f t="shared" si="929"/>
        <v>-0.15869969294773417</v>
      </c>
      <c r="H171" s="139"/>
      <c r="I171" s="86"/>
      <c r="J171" s="79">
        <f t="shared" si="930"/>
        <v>2.117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7.3622960587136049E-2</v>
      </c>
      <c r="F172" s="170">
        <f t="shared" si="929"/>
        <v>-0.99455247388953782</v>
      </c>
      <c r="G172" s="170">
        <f t="shared" si="929"/>
        <v>-7.3790489594427022E-2</v>
      </c>
      <c r="H172" s="139"/>
      <c r="I172" s="86"/>
      <c r="J172" s="79">
        <f t="shared" si="930"/>
        <v>2.12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-0.14692531565142397</v>
      </c>
      <c r="F173" s="170">
        <f t="shared" si="929"/>
        <v>-0.9849338491029882</v>
      </c>
      <c r="G173" s="170">
        <f t="shared" si="929"/>
        <v>-9.1204520238316322E-2</v>
      </c>
      <c r="H173" s="139"/>
      <c r="I173" s="86"/>
      <c r="J173" s="79">
        <f t="shared" si="930"/>
        <v>2.1230000000000002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-3.198197122252134E-2</v>
      </c>
      <c r="F174" s="170">
        <f t="shared" si="933"/>
        <v>-0.92640036852863672</v>
      </c>
      <c r="G174" s="170">
        <f t="shared" si="933"/>
        <v>-0.37517930474204986</v>
      </c>
      <c r="H174" s="139"/>
      <c r="I174" s="86"/>
      <c r="J174" s="79">
        <f t="shared" si="930"/>
        <v>2.214</v>
      </c>
    </row>
    <row r="175" spans="5:16" x14ac:dyDescent="0.25">
      <c r="E175" s="170">
        <f t="shared" si="933"/>
        <v>-0.15691167380765172</v>
      </c>
      <c r="F175" s="170">
        <f t="shared" si="933"/>
        <v>-0.94393872555921732</v>
      </c>
      <c r="G175" s="170">
        <f t="shared" si="933"/>
        <v>-0.2904451910645478</v>
      </c>
      <c r="H175" s="139"/>
      <c r="I175" s="86"/>
      <c r="J175" s="79">
        <f t="shared" si="930"/>
        <v>2.2170000000000001</v>
      </c>
    </row>
    <row r="176" spans="5:16" x14ac:dyDescent="0.25">
      <c r="E176" s="170">
        <f t="shared" si="933"/>
        <v>-0.24783508462899492</v>
      </c>
      <c r="F176" s="170">
        <f t="shared" si="933"/>
        <v>-0.95378996221320911</v>
      </c>
      <c r="G176" s="170">
        <f t="shared" si="933"/>
        <v>-0.16988960771119649</v>
      </c>
      <c r="H176" s="139"/>
      <c r="I176" s="86"/>
      <c r="J176" s="79">
        <f t="shared" si="930"/>
        <v>2.2200000000000002</v>
      </c>
    </row>
    <row r="177" spans="5:10" x14ac:dyDescent="0.25">
      <c r="E177" s="170">
        <f t="shared" si="933"/>
        <v>-0.50814497154244775</v>
      </c>
      <c r="F177" s="170">
        <f t="shared" si="933"/>
        <v>-0.82337081622491148</v>
      </c>
      <c r="G177" s="170">
        <f t="shared" si="933"/>
        <v>-0.25268396641901963</v>
      </c>
      <c r="H177" s="139"/>
      <c r="I177" s="86"/>
      <c r="J177" s="79">
        <f t="shared" si="930"/>
        <v>3.1030000000000002</v>
      </c>
    </row>
    <row r="178" spans="5:10" x14ac:dyDescent="0.25">
      <c r="E178" s="170">
        <f t="shared" si="933"/>
        <v>-0.50814497154244753</v>
      </c>
      <c r="F178" s="170">
        <f t="shared" si="933"/>
        <v>-0.82337081622491159</v>
      </c>
      <c r="G178" s="170">
        <f t="shared" si="933"/>
        <v>-0.25268396641901958</v>
      </c>
      <c r="H178" s="139"/>
      <c r="I178" s="86"/>
      <c r="J178" s="79">
        <f t="shared" si="930"/>
        <v>3.1059999999999999</v>
      </c>
    </row>
    <row r="179" spans="5:10" x14ac:dyDescent="0.25">
      <c r="E179" s="170">
        <f t="shared" si="933"/>
        <v>-0.52591835430914147</v>
      </c>
      <c r="F179" s="170">
        <f t="shared" si="933"/>
        <v>-0.81073848567635631</v>
      </c>
      <c r="G179" s="170">
        <f t="shared" si="933"/>
        <v>-0.25712446877723033</v>
      </c>
      <c r="H179" s="139"/>
      <c r="I179" s="86"/>
      <c r="J179" s="79">
        <f t="shared" si="930"/>
        <v>3.109</v>
      </c>
    </row>
    <row r="180" spans="5:10" x14ac:dyDescent="0.25">
      <c r="E180" s="170">
        <f t="shared" si="933"/>
        <v>-0.6352138011533065</v>
      </c>
      <c r="F180" s="170">
        <f t="shared" si="933"/>
        <v>-0.73055884695097617</v>
      </c>
      <c r="G180" s="170">
        <f t="shared" si="933"/>
        <v>-0.25057373758242885</v>
      </c>
      <c r="H180" s="139"/>
      <c r="I180" s="86"/>
      <c r="J180" s="79">
        <f t="shared" si="930"/>
        <v>3.1120000000000001</v>
      </c>
    </row>
    <row r="181" spans="5:10" x14ac:dyDescent="0.25">
      <c r="E181" s="170">
        <f t="shared" si="933"/>
        <v>-0.72759133407643184</v>
      </c>
      <c r="F181" s="170">
        <f t="shared" si="933"/>
        <v>-0.65683282021351075</v>
      </c>
      <c r="G181" s="170">
        <f t="shared" si="933"/>
        <v>-0.19794316575028265</v>
      </c>
      <c r="H181" s="139"/>
      <c r="I181" s="86"/>
      <c r="J181" s="79">
        <f t="shared" si="930"/>
        <v>3.1150000000000002</v>
      </c>
    </row>
    <row r="182" spans="5:10" x14ac:dyDescent="0.25">
      <c r="E182" s="170">
        <f t="shared" si="933"/>
        <v>-0.79474537469999507</v>
      </c>
      <c r="F182" s="170">
        <f t="shared" si="933"/>
        <v>-0.59328757371374163</v>
      </c>
      <c r="G182" s="170">
        <f t="shared" si="933"/>
        <v>-0.12802204603046397</v>
      </c>
      <c r="H182" s="139"/>
      <c r="I182" s="86"/>
      <c r="J182" s="79">
        <f t="shared" si="930"/>
        <v>3.1179999999999999</v>
      </c>
    </row>
    <row r="183" spans="5:10" x14ac:dyDescent="0.25">
      <c r="E183" s="170">
        <f t="shared" si="933"/>
        <v>-0.83026776468071106</v>
      </c>
      <c r="F183" s="170">
        <f t="shared" si="933"/>
        <v>-0.55589799181711519</v>
      </c>
      <c r="G183" s="170">
        <f t="shared" si="933"/>
        <v>-4.0408682554547382E-2</v>
      </c>
      <c r="H183" s="139"/>
      <c r="I183" s="86"/>
      <c r="J183" s="79">
        <f t="shared" si="930"/>
        <v>3.121</v>
      </c>
    </row>
    <row r="184" spans="5:10" x14ac:dyDescent="0.25">
      <c r="E184" s="170">
        <f t="shared" si="933"/>
        <v>-0.92644033697516937</v>
      </c>
      <c r="F184" s="170">
        <f t="shared" si="933"/>
        <v>-0.36522600881294504</v>
      </c>
      <c r="G184" s="170">
        <f t="shared" si="933"/>
        <v>-9.1204520238316517E-2</v>
      </c>
      <c r="H184" s="139"/>
      <c r="I184" s="86"/>
      <c r="J184" s="79">
        <f t="shared" si="930"/>
        <v>3.1240000000000001</v>
      </c>
    </row>
    <row r="185" spans="5:10" x14ac:dyDescent="0.25">
      <c r="E185" s="170">
        <f t="shared" si="933"/>
        <v>7.1643029588733448E-2</v>
      </c>
      <c r="F185" s="170">
        <f t="shared" si="933"/>
        <v>-0.20423851125803158</v>
      </c>
      <c r="G185" s="170">
        <f t="shared" si="933"/>
        <v>-0.97629601393760235</v>
      </c>
      <c r="H185" s="139"/>
      <c r="I185" s="86"/>
      <c r="J185" s="79">
        <f t="shared" si="930"/>
        <v>3.206</v>
      </c>
    </row>
    <row r="186" spans="5:10" x14ac:dyDescent="0.25">
      <c r="E186" s="170">
        <f t="shared" si="933"/>
        <v>0.11511138345711124</v>
      </c>
      <c r="F186" s="170">
        <f t="shared" si="933"/>
        <v>-0.18329065052025742</v>
      </c>
      <c r="G186" s="170">
        <f t="shared" si="933"/>
        <v>-0.97629601393760224</v>
      </c>
      <c r="H186" s="139"/>
      <c r="I186" s="86"/>
      <c r="J186" s="79">
        <f t="shared" si="930"/>
        <v>3.2090000000000001</v>
      </c>
    </row>
    <row r="187" spans="5:10" x14ac:dyDescent="0.25">
      <c r="E187" s="170">
        <f t="shared" si="933"/>
        <v>-0.75930848917935978</v>
      </c>
      <c r="F187" s="170">
        <f t="shared" si="933"/>
        <v>-0.5027175200693158</v>
      </c>
      <c r="G187" s="170">
        <f t="shared" si="933"/>
        <v>-0.41318968195674388</v>
      </c>
      <c r="H187" s="139"/>
      <c r="I187" s="86"/>
      <c r="J187" s="79">
        <f t="shared" si="930"/>
        <v>3.2120000000000002</v>
      </c>
    </row>
    <row r="188" spans="5:10" x14ac:dyDescent="0.25">
      <c r="E188" s="170">
        <f t="shared" si="933"/>
        <v>-0.84635384940908942</v>
      </c>
      <c r="F188" s="170">
        <f t="shared" si="933"/>
        <v>-0.40380071367207954</v>
      </c>
      <c r="G188" s="170">
        <f t="shared" si="933"/>
        <v>-0.34731850689005289</v>
      </c>
      <c r="H188" s="139"/>
      <c r="I188" s="86"/>
      <c r="J188" s="79">
        <f t="shared" si="930"/>
        <v>3.2149999999999999</v>
      </c>
    </row>
    <row r="189" spans="5:10" x14ac:dyDescent="0.25">
      <c r="E189" s="170">
        <f t="shared" si="933"/>
        <v>-0.91671564131453764</v>
      </c>
      <c r="F189" s="170">
        <f t="shared" si="933"/>
        <v>-0.31220188087815681</v>
      </c>
      <c r="G189" s="170">
        <f t="shared" si="933"/>
        <v>-0.24932392293042643</v>
      </c>
      <c r="H189" s="139"/>
      <c r="I189" s="86"/>
      <c r="J189" s="79">
        <f t="shared" si="930"/>
        <v>3.218</v>
      </c>
    </row>
    <row r="190" spans="5:10" x14ac:dyDescent="0.25">
      <c r="E190" s="170">
        <f t="shared" si="933"/>
        <v>-0.55275641079464122</v>
      </c>
      <c r="F190" s="170">
        <f t="shared" si="933"/>
        <v>0.65618729844854928</v>
      </c>
      <c r="G190" s="170">
        <f t="shared" si="933"/>
        <v>-0.5136911325691933</v>
      </c>
      <c r="H190" s="139"/>
      <c r="I190" s="86"/>
      <c r="J190" s="79">
        <f t="shared" si="930"/>
        <v>3.2210000000000001</v>
      </c>
    </row>
    <row r="191" spans="5:10" x14ac:dyDescent="0.25">
      <c r="E191" s="170">
        <f t="shared" si="933"/>
        <v>-0.94866424986814424</v>
      </c>
      <c r="F191" s="170">
        <f t="shared" si="933"/>
        <v>0.17870918335198027</v>
      </c>
      <c r="G191" s="170">
        <f t="shared" si="933"/>
        <v>-0.26095817444138392</v>
      </c>
      <c r="H191" s="139"/>
      <c r="I191" s="86"/>
      <c r="J191" s="79">
        <f t="shared" si="930"/>
        <v>4.1100000000000003</v>
      </c>
    </row>
    <row r="192" spans="5:10" x14ac:dyDescent="0.25">
      <c r="E192" s="170">
        <f t="shared" si="933"/>
        <v>-0.92120445512857418</v>
      </c>
      <c r="F192" s="170">
        <f t="shared" si="933"/>
        <v>0.30818724703672989</v>
      </c>
      <c r="G192" s="170">
        <f t="shared" si="933"/>
        <v>-0.23749310014227487</v>
      </c>
      <c r="H192" s="139"/>
      <c r="I192" s="86"/>
      <c r="J192" s="79">
        <f t="shared" si="930"/>
        <v>4.1130000000000004</v>
      </c>
    </row>
    <row r="193" spans="5:10" x14ac:dyDescent="0.25">
      <c r="E193" s="170">
        <f t="shared" si="933"/>
        <v>-0.89436718713522123</v>
      </c>
      <c r="F193" s="170">
        <f t="shared" si="933"/>
        <v>0.41260356919534119</v>
      </c>
      <c r="G193" s="170">
        <f t="shared" si="933"/>
        <v>-0.17281675052811718</v>
      </c>
      <c r="H193" s="139"/>
      <c r="I193" s="86"/>
      <c r="J193" s="79">
        <f t="shared" si="930"/>
        <v>4.1159999999999997</v>
      </c>
    </row>
    <row r="194" spans="5:10" x14ac:dyDescent="0.25">
      <c r="E194" s="170">
        <f t="shared" ref="E194:G213" si="934">E49*-1</f>
        <v>-0.87086067140158741</v>
      </c>
      <c r="F194" s="170">
        <f t="shared" si="934"/>
        <v>0.47530650149942749</v>
      </c>
      <c r="G194" s="170">
        <f t="shared" si="934"/>
        <v>-0.12524144936222661</v>
      </c>
      <c r="H194" s="139"/>
      <c r="I194" s="86"/>
      <c r="J194" s="79">
        <f t="shared" si="930"/>
        <v>4.1189999999999998</v>
      </c>
    </row>
    <row r="195" spans="5:10" x14ac:dyDescent="0.25">
      <c r="E195" s="170">
        <f t="shared" si="934"/>
        <v>-0.8540186280415456</v>
      </c>
      <c r="F195" s="170">
        <f t="shared" si="934"/>
        <v>0.5201851479157058</v>
      </c>
      <c r="G195" s="170">
        <f t="shared" si="934"/>
        <v>-7.7197698120821667E-3</v>
      </c>
      <c r="H195" s="139"/>
      <c r="I195" s="86"/>
      <c r="J195" s="79">
        <f t="shared" si="930"/>
        <v>4.1219999999999999</v>
      </c>
    </row>
    <row r="196" spans="5:10" x14ac:dyDescent="0.25">
      <c r="E196" s="170">
        <f t="shared" si="934"/>
        <v>-0.72253789288218973</v>
      </c>
      <c r="F196" s="170">
        <f t="shared" si="934"/>
        <v>0.68528879228939976</v>
      </c>
      <c r="G196" s="170">
        <f t="shared" si="934"/>
        <v>-9.1204520238316392E-2</v>
      </c>
      <c r="H196" s="139"/>
      <c r="I196" s="86"/>
      <c r="J196" s="79">
        <f t="shared" si="930"/>
        <v>4.125</v>
      </c>
    </row>
    <row r="197" spans="5:10" x14ac:dyDescent="0.25">
      <c r="E197" s="170">
        <f t="shared" si="934"/>
        <v>-0.75835435289915964</v>
      </c>
      <c r="F197" s="170">
        <f t="shared" si="934"/>
        <v>0.51670840584177335</v>
      </c>
      <c r="G197" s="170">
        <f t="shared" si="934"/>
        <v>-0.39738029489564541</v>
      </c>
      <c r="H197" s="139"/>
      <c r="I197" s="86"/>
      <c r="J197" s="79">
        <f t="shared" si="930"/>
        <v>4.2130000000000001</v>
      </c>
    </row>
    <row r="198" spans="5:10" x14ac:dyDescent="0.25">
      <c r="E198" s="170">
        <f t="shared" si="934"/>
        <v>-0.70792981238719921</v>
      </c>
      <c r="F198" s="170">
        <f t="shared" si="934"/>
        <v>0.63237533673618274</v>
      </c>
      <c r="G198" s="170">
        <f t="shared" si="934"/>
        <v>-0.31454222963097445</v>
      </c>
      <c r="H198" s="139"/>
      <c r="I198" s="86"/>
      <c r="J198" s="79">
        <f t="shared" si="930"/>
        <v>4.2160000000000002</v>
      </c>
    </row>
    <row r="199" spans="5:10" x14ac:dyDescent="0.25">
      <c r="E199" s="170">
        <f t="shared" si="934"/>
        <v>-0.66897720800928395</v>
      </c>
      <c r="F199" s="170">
        <f t="shared" si="934"/>
        <v>0.70116845668038907</v>
      </c>
      <c r="G199" s="170">
        <f t="shared" si="934"/>
        <v>-0.24664202910401259</v>
      </c>
      <c r="H199" s="139"/>
      <c r="I199" s="86"/>
      <c r="J199" s="79">
        <f t="shared" si="930"/>
        <v>4.2190000000000003</v>
      </c>
    </row>
    <row r="200" spans="5:10" x14ac:dyDescent="0.25">
      <c r="E200" s="170">
        <f t="shared" si="934"/>
        <v>0.38130117694394583</v>
      </c>
      <c r="F200" s="170">
        <f t="shared" si="934"/>
        <v>0.82219407187668736</v>
      </c>
      <c r="G200" s="170">
        <f t="shared" si="934"/>
        <v>-0.42261841019055779</v>
      </c>
      <c r="H200" s="139"/>
      <c r="I200" s="86"/>
      <c r="J200" s="79">
        <f t="shared" si="930"/>
        <v>4.2220000000000004</v>
      </c>
    </row>
    <row r="201" spans="5:10" x14ac:dyDescent="0.25">
      <c r="E201" s="170">
        <f t="shared" si="934"/>
        <v>-0.4620446689076198</v>
      </c>
      <c r="F201" s="170">
        <f t="shared" si="934"/>
        <v>0.83685529231709932</v>
      </c>
      <c r="G201" s="170">
        <f t="shared" si="934"/>
        <v>-0.29357783236291934</v>
      </c>
      <c r="H201" s="139"/>
      <c r="I201" s="86"/>
      <c r="J201" s="79">
        <f t="shared" si="930"/>
        <v>5.1020000000000003</v>
      </c>
    </row>
    <row r="202" spans="5:10" x14ac:dyDescent="0.25">
      <c r="E202" s="170">
        <f t="shared" si="934"/>
        <v>-0.45898781537822431</v>
      </c>
      <c r="F202" s="170">
        <f t="shared" si="934"/>
        <v>0.85175172347878281</v>
      </c>
      <c r="G202" s="170">
        <f t="shared" si="934"/>
        <v>-0.25268396641901952</v>
      </c>
      <c r="H202" s="139"/>
      <c r="I202" s="86"/>
      <c r="J202" s="79">
        <f t="shared" si="930"/>
        <v>5.1050000000000004</v>
      </c>
    </row>
    <row r="203" spans="5:10" x14ac:dyDescent="0.25">
      <c r="E203" s="170">
        <f t="shared" si="934"/>
        <v>-0.45481309650718227</v>
      </c>
      <c r="F203" s="170">
        <f t="shared" si="934"/>
        <v>0.85368659171893269</v>
      </c>
      <c r="G203" s="170">
        <f t="shared" si="934"/>
        <v>-0.25370110438242277</v>
      </c>
      <c r="H203" s="139"/>
      <c r="I203" s="86"/>
      <c r="J203" s="79">
        <f t="shared" si="930"/>
        <v>5.1079999999999997</v>
      </c>
    </row>
    <row r="204" spans="5:10" x14ac:dyDescent="0.25">
      <c r="E204" s="170">
        <f t="shared" si="934"/>
        <v>-0.35547099964990209</v>
      </c>
      <c r="F204" s="170">
        <f t="shared" si="934"/>
        <v>0.89822830272603649</v>
      </c>
      <c r="G204" s="170">
        <f t="shared" si="934"/>
        <v>-0.25850780373095711</v>
      </c>
      <c r="H204" s="139"/>
      <c r="I204" s="86"/>
      <c r="J204" s="79">
        <f t="shared" si="930"/>
        <v>5.1109999999999998</v>
      </c>
    </row>
    <row r="205" spans="5:10" x14ac:dyDescent="0.25">
      <c r="E205" s="170">
        <f t="shared" si="934"/>
        <v>-0.23892419217312447</v>
      </c>
      <c r="F205" s="170">
        <f t="shared" si="934"/>
        <v>0.94585189852787632</v>
      </c>
      <c r="G205" s="170">
        <f t="shared" si="934"/>
        <v>-0.2197257755604291</v>
      </c>
      <c r="H205" s="139"/>
      <c r="I205" s="86"/>
      <c r="J205" s="79">
        <f t="shared" si="930"/>
        <v>5.1139999999999999</v>
      </c>
    </row>
    <row r="206" spans="5:10" x14ac:dyDescent="0.25">
      <c r="E206" s="170">
        <f t="shared" si="934"/>
        <v>-0.13857814719533729</v>
      </c>
      <c r="F206" s="170">
        <f t="shared" si="934"/>
        <v>0.97755332569543363</v>
      </c>
      <c r="G206" s="170">
        <f t="shared" si="934"/>
        <v>-0.15869969294773417</v>
      </c>
      <c r="H206" s="139"/>
      <c r="I206" s="86"/>
      <c r="J206" s="79">
        <f t="shared" si="930"/>
        <v>5.117</v>
      </c>
    </row>
    <row r="207" spans="5:10" x14ac:dyDescent="0.25">
      <c r="E207" s="170">
        <f t="shared" si="934"/>
        <v>-7.3623411705979219E-2</v>
      </c>
      <c r="F207" s="170">
        <f t="shared" si="934"/>
        <v>0.99455244049481206</v>
      </c>
      <c r="G207" s="170">
        <f t="shared" si="934"/>
        <v>-7.3790489594426967E-2</v>
      </c>
      <c r="H207" s="139"/>
      <c r="I207" s="86"/>
      <c r="J207" s="79">
        <f t="shared" si="930"/>
        <v>5.12</v>
      </c>
    </row>
    <row r="208" spans="5:10" x14ac:dyDescent="0.25">
      <c r="E208" s="170">
        <f t="shared" si="934"/>
        <v>0.1469248688954681</v>
      </c>
      <c r="F208" s="170">
        <f t="shared" si="934"/>
        <v>0.98493391574671041</v>
      </c>
      <c r="G208" s="170">
        <f t="shared" si="934"/>
        <v>-9.1204520238316225E-2</v>
      </c>
      <c r="H208" s="139"/>
      <c r="I208" s="86"/>
      <c r="J208" s="79">
        <f t="shared" si="930"/>
        <v>5.1230000000000002</v>
      </c>
    </row>
    <row r="209" spans="5:10" x14ac:dyDescent="0.25">
      <c r="E209" s="170">
        <f t="shared" si="934"/>
        <v>-0.21641106736524715</v>
      </c>
      <c r="F209" s="170">
        <f t="shared" si="934"/>
        <v>3.5132735993250465E-3</v>
      </c>
      <c r="G209" s="170">
        <f t="shared" si="934"/>
        <v>-0.97629601393760224</v>
      </c>
      <c r="H209" s="139"/>
      <c r="I209" s="86"/>
      <c r="J209" s="79">
        <f t="shared" si="930"/>
        <v>5.2080000000000002</v>
      </c>
    </row>
    <row r="210" spans="5:10" x14ac:dyDescent="0.25">
      <c r="E210" s="170">
        <f t="shared" si="934"/>
        <v>-2.5791839029104345E-8</v>
      </c>
      <c r="F210" s="170">
        <f t="shared" si="934"/>
        <v>2.2532355893037037E-7</v>
      </c>
      <c r="G210" s="170">
        <f t="shared" si="934"/>
        <v>-0.99999999999997435</v>
      </c>
      <c r="H210" s="139"/>
      <c r="I210" s="86"/>
      <c r="J210" s="79">
        <f t="shared" si="930"/>
        <v>5.2110000000000003</v>
      </c>
    </row>
    <row r="211" spans="5:10" x14ac:dyDescent="0.25">
      <c r="E211" s="170">
        <f t="shared" si="934"/>
        <v>3.1981551016766696E-2</v>
      </c>
      <c r="F211" s="170">
        <f t="shared" si="934"/>
        <v>0.9264003830352372</v>
      </c>
      <c r="G211" s="170">
        <f t="shared" si="934"/>
        <v>-0.37517930474204975</v>
      </c>
      <c r="H211" s="139"/>
      <c r="I211" s="86"/>
      <c r="J211" s="79">
        <f t="shared" si="930"/>
        <v>5.2140000000000004</v>
      </c>
    </row>
    <row r="212" spans="5:10" x14ac:dyDescent="0.25">
      <c r="E212" s="170">
        <f t="shared" si="934"/>
        <v>0.15691124564666434</v>
      </c>
      <c r="F212" s="170">
        <f t="shared" si="934"/>
        <v>0.94393879673265391</v>
      </c>
      <c r="G212" s="170">
        <f t="shared" si="934"/>
        <v>-0.2904451910645478</v>
      </c>
      <c r="H212" s="139"/>
      <c r="I212" s="86"/>
      <c r="J212" s="79">
        <f t="shared" si="930"/>
        <v>5.2169999999999996</v>
      </c>
    </row>
    <row r="213" spans="5:10" x14ac:dyDescent="0.25">
      <c r="E213" s="170">
        <f t="shared" si="934"/>
        <v>0.24783465199957805</v>
      </c>
      <c r="F213" s="170">
        <f t="shared" si="934"/>
        <v>0.95379007462857568</v>
      </c>
      <c r="G213" s="170">
        <f t="shared" si="934"/>
        <v>-0.16988960771119635</v>
      </c>
      <c r="H213" s="139"/>
      <c r="I213" s="86"/>
      <c r="J213" s="79">
        <f t="shared" si="930"/>
        <v>5.22</v>
      </c>
    </row>
    <row r="214" spans="5:10" x14ac:dyDescent="0.25">
      <c r="E214" s="170">
        <f t="shared" ref="E214:G233" si="935">E69*-1</f>
        <v>0.52591798656638533</v>
      </c>
      <c r="F214" s="170">
        <f t="shared" si="935"/>
        <v>0.8107387242274704</v>
      </c>
      <c r="G214" s="170">
        <f t="shared" si="935"/>
        <v>-0.25712446877723033</v>
      </c>
      <c r="H214" s="139"/>
      <c r="I214" s="86"/>
      <c r="J214" s="79">
        <f t="shared" si="930"/>
        <v>6.109</v>
      </c>
    </row>
    <row r="215" spans="5:10" x14ac:dyDescent="0.25">
      <c r="E215" s="170">
        <f t="shared" si="935"/>
        <v>0.63521346977920501</v>
      </c>
      <c r="F215" s="170">
        <f t="shared" si="935"/>
        <v>0.73055913507739756</v>
      </c>
      <c r="G215" s="170">
        <f t="shared" si="935"/>
        <v>-0.25057373758242862</v>
      </c>
      <c r="H215" s="139"/>
      <c r="I215" s="86"/>
      <c r="J215" s="79">
        <f t="shared" si="930"/>
        <v>6.1120000000000001</v>
      </c>
    </row>
    <row r="216" spans="5:10" x14ac:dyDescent="0.25">
      <c r="E216" s="170">
        <f t="shared" si="935"/>
        <v>0.72759103614369425</v>
      </c>
      <c r="F216" s="170">
        <f t="shared" si="935"/>
        <v>0.65683315024144584</v>
      </c>
      <c r="G216" s="170">
        <f t="shared" si="935"/>
        <v>-0.19794316575028265</v>
      </c>
      <c r="H216" s="139"/>
      <c r="I216" s="86"/>
      <c r="J216" s="79">
        <f t="shared" si="930"/>
        <v>6.1150000000000002</v>
      </c>
    </row>
    <row r="217" spans="5:10" x14ac:dyDescent="0.25">
      <c r="E217" s="170">
        <f t="shared" si="935"/>
        <v>0.79474510559072553</v>
      </c>
      <c r="F217" s="170">
        <f t="shared" si="935"/>
        <v>0.59328793420207049</v>
      </c>
      <c r="G217" s="170">
        <f t="shared" si="935"/>
        <v>-0.12802204603046391</v>
      </c>
      <c r="H217" s="139"/>
      <c r="I217" s="86"/>
      <c r="J217" s="79">
        <f t="shared" si="930"/>
        <v>6.1180000000000003</v>
      </c>
    </row>
    <row r="218" spans="5:10" x14ac:dyDescent="0.25">
      <c r="E218" s="170">
        <f t="shared" si="935"/>
        <v>0.83026751253097075</v>
      </c>
      <c r="F218" s="170">
        <f t="shared" si="935"/>
        <v>0.5558983684180413</v>
      </c>
      <c r="G218" s="170">
        <f t="shared" si="935"/>
        <v>-4.0408682554547083E-2</v>
      </c>
      <c r="H218" s="139"/>
      <c r="I218" s="86"/>
      <c r="J218" s="79">
        <f t="shared" si="930"/>
        <v>6.1210000000000004</v>
      </c>
    </row>
    <row r="219" spans="5:10" x14ac:dyDescent="0.25">
      <c r="E219" s="170">
        <f t="shared" si="935"/>
        <v>0.9264401713122844</v>
      </c>
      <c r="F219" s="170">
        <f t="shared" si="935"/>
        <v>0.36522642903678798</v>
      </c>
      <c r="G219" s="170">
        <f t="shared" si="935"/>
        <v>-9.1204520238316308E-2</v>
      </c>
      <c r="H219" s="139"/>
      <c r="I219" s="86"/>
      <c r="J219" s="79">
        <f t="shared" ref="J219:J282" si="936">J74</f>
        <v>6.1239999999999997</v>
      </c>
    </row>
    <row r="220" spans="5:10" x14ac:dyDescent="0.25">
      <c r="E220" s="170">
        <f t="shared" si="935"/>
        <v>0.75930826115174588</v>
      </c>
      <c r="F220" s="170">
        <f t="shared" si="935"/>
        <v>0.50271786448384459</v>
      </c>
      <c r="G220" s="170">
        <f t="shared" si="935"/>
        <v>-0.41318968195674383</v>
      </c>
      <c r="H220" s="139"/>
      <c r="I220" s="86"/>
      <c r="J220" s="79">
        <f t="shared" si="936"/>
        <v>6.2119999999999997</v>
      </c>
    </row>
    <row r="221" spans="5:10" x14ac:dyDescent="0.25">
      <c r="E221" s="170">
        <f t="shared" si="935"/>
        <v>0.91671549970285682</v>
      </c>
      <c r="F221" s="170">
        <f t="shared" si="935"/>
        <v>0.31220229669098265</v>
      </c>
      <c r="G221" s="170">
        <f t="shared" si="935"/>
        <v>-0.24932392293042654</v>
      </c>
      <c r="H221" s="139"/>
      <c r="I221" s="86"/>
      <c r="J221" s="79">
        <f t="shared" si="936"/>
        <v>6.218</v>
      </c>
    </row>
    <row r="222" spans="5:10" x14ac:dyDescent="0.25">
      <c r="E222" s="170">
        <f t="shared" si="935"/>
        <v>0.55275670843444513</v>
      </c>
      <c r="F222" s="170">
        <f t="shared" si="935"/>
        <v>-0.65618704772381564</v>
      </c>
      <c r="G222" s="170">
        <f t="shared" si="935"/>
        <v>-0.51369113256919352</v>
      </c>
      <c r="H222" s="139"/>
      <c r="I222" s="86"/>
      <c r="J222" s="79">
        <f t="shared" si="936"/>
        <v>6.2210000000000001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39" priority="136" stopIfTrue="1" operator="between">
      <formula>9</formula>
      <formula>9.99</formula>
    </cfRule>
    <cfRule type="cellIs" dxfId="38" priority="137" stopIfTrue="1" operator="between">
      <formula>8</formula>
      <formula>8.99</formula>
    </cfRule>
    <cfRule type="cellIs" dxfId="37" priority="138" stopIfTrue="1" operator="between">
      <formula>7</formula>
      <formula>7.99</formula>
    </cfRule>
    <cfRule type="cellIs" dxfId="36" priority="139" stopIfTrue="1" operator="between">
      <formula>6</formula>
      <formula>6.99</formula>
    </cfRule>
    <cfRule type="cellIs" dxfId="35" priority="140" stopIfTrue="1" operator="between">
      <formula>5</formula>
      <formula>5.99</formula>
    </cfRule>
    <cfRule type="cellIs" dxfId="34" priority="141" stopIfTrue="1" operator="between">
      <formula>4</formula>
      <formula>4.99</formula>
    </cfRule>
    <cfRule type="cellIs" dxfId="33" priority="142" stopIfTrue="1" operator="between">
      <formula>3</formula>
      <formula>3.99</formula>
    </cfRule>
    <cfRule type="cellIs" dxfId="32" priority="143" stopIfTrue="1" operator="between">
      <formula>2</formula>
      <formula>2.99</formula>
    </cfRule>
    <cfRule type="cellIs" dxfId="31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2" stopIfTrue="1" operator="between">
      <formula>9</formula>
      <formula>9.99</formula>
    </cfRule>
    <cfRule type="cellIs" dxfId="29" priority="23" stopIfTrue="1" operator="between">
      <formula>8</formula>
      <formula>8.99</formula>
    </cfRule>
    <cfRule type="cellIs" dxfId="28" priority="24" stopIfTrue="1" operator="between">
      <formula>7</formula>
      <formula>7.99</formula>
    </cfRule>
    <cfRule type="cellIs" dxfId="27" priority="25" stopIfTrue="1" operator="between">
      <formula>6</formula>
      <formula>6.99</formula>
    </cfRule>
    <cfRule type="cellIs" dxfId="26" priority="26" stopIfTrue="1" operator="between">
      <formula>5</formula>
      <formula>5.99</formula>
    </cfRule>
    <cfRule type="cellIs" dxfId="25" priority="27" stopIfTrue="1" operator="between">
      <formula>4</formula>
      <formula>4.99</formula>
    </cfRule>
    <cfRule type="cellIs" dxfId="24" priority="28" stopIfTrue="1" operator="between">
      <formula>3</formula>
      <formula>3.99</formula>
    </cfRule>
    <cfRule type="cellIs" dxfId="23" priority="29" stopIfTrue="1" operator="between">
      <formula>2</formula>
      <formula>2.99</formula>
    </cfRule>
    <cfRule type="cellIs" dxfId="22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625F97D5-6F99-4AD8-BCF7-35184BB79D19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D3DCB8F2-8159-4736-977D-1E6A45F0D7A0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9" t="str">
        <f>CONCATENATE(Settings!$C$19," ",Settings!$B$28)</f>
        <v>9.875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M1" s="107" t="s">
        <v>319</v>
      </c>
      <c r="N1" s="1261" t="s">
        <v>321</v>
      </c>
      <c r="O1" s="1261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0" t="str">
        <f>Settings!B28</f>
        <v xml:space="preserve"> Job# --- Assy# --- Post Braze --- yy.mm.dd</v>
      </c>
      <c r="C2" s="1271"/>
      <c r="D2" s="1271"/>
      <c r="E2" s="1271"/>
      <c r="F2" s="1271"/>
      <c r="G2" s="1271"/>
      <c r="H2" s="1271"/>
      <c r="I2" s="1271"/>
      <c r="J2" s="1271"/>
      <c r="K2" s="1272"/>
      <c r="L2" s="984" t="str" cm="1">
        <f t="array" ref="L2">IF(OR($K$9:$K$150="Undefined"),"Undefined Element","")</f>
        <v/>
      </c>
      <c r="M2" s="1267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83" t="str">
        <f>M2</f>
        <v>CS-Name</v>
      </c>
      <c r="AW2" s="1297"/>
      <c r="AX2" s="1297"/>
      <c r="AY2" s="1297"/>
      <c r="AZ2" s="1297"/>
      <c r="BA2" s="1297"/>
      <c r="BB2" s="1297"/>
      <c r="BC2" s="1298"/>
      <c r="BF2" s="1290" t="s">
        <v>322</v>
      </c>
      <c r="BG2" s="1291"/>
      <c r="BH2" s="1291"/>
      <c r="BI2" s="1291"/>
      <c r="BJ2" s="1291"/>
      <c r="BK2" s="1292"/>
      <c r="BM2" s="1307" t="s">
        <v>279</v>
      </c>
      <c r="BN2" s="1223"/>
      <c r="BO2" s="1223"/>
      <c r="BP2" s="1224"/>
      <c r="BR2" s="1307" t="s">
        <v>279</v>
      </c>
      <c r="BS2" s="1223"/>
      <c r="BT2" s="1223"/>
      <c r="BU2" s="122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4"/>
      <c r="C3" s="1235"/>
      <c r="D3" s="1235"/>
      <c r="E3" s="1235"/>
      <c r="F3" s="1235"/>
      <c r="G3" s="1235"/>
      <c r="H3" s="1235"/>
      <c r="I3" s="1235"/>
      <c r="J3" s="1235"/>
      <c r="K3" s="1236"/>
      <c r="L3" s="984"/>
      <c r="M3" s="1268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048"/>
      <c r="AA3" s="1049"/>
      <c r="AB3" s="1049"/>
      <c r="AC3" s="1049"/>
      <c r="AD3" s="1049"/>
      <c r="AE3" s="1049"/>
      <c r="AF3" s="1049"/>
      <c r="AG3" s="1049"/>
      <c r="AH3" s="1049"/>
      <c r="AI3" s="1049"/>
      <c r="AJ3" s="1049"/>
      <c r="AK3" s="1049"/>
      <c r="AL3" s="1049"/>
      <c r="AM3" s="1049"/>
      <c r="AN3" s="1049"/>
      <c r="AO3" s="1049"/>
      <c r="AP3" s="1049"/>
      <c r="AQ3" s="1163"/>
      <c r="AS3" s="466">
        <v>100</v>
      </c>
      <c r="AT3" s="463" t="s">
        <v>45</v>
      </c>
      <c r="AV3" s="1284"/>
      <c r="AW3" s="1299"/>
      <c r="AX3" s="1299"/>
      <c r="AY3" s="1299"/>
      <c r="AZ3" s="1299"/>
      <c r="BA3" s="1299"/>
      <c r="BB3" s="1299"/>
      <c r="BC3" s="1300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8" t="s">
        <v>316</v>
      </c>
      <c r="C4" s="913"/>
      <c r="D4" s="913"/>
      <c r="E4" s="913"/>
      <c r="F4" s="913"/>
      <c r="G4" s="913"/>
      <c r="H4" s="913"/>
      <c r="I4" s="913"/>
      <c r="J4" s="913"/>
      <c r="K4" s="1273"/>
      <c r="L4" s="984"/>
      <c r="M4" s="1268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Q4</f>
        <v>Polar XY; Cartesian Z</v>
      </c>
      <c r="X4" s="1167"/>
      <c r="Y4" s="1233"/>
      <c r="Z4" s="1263" t="s">
        <v>3</v>
      </c>
      <c r="AA4" s="1264"/>
      <c r="AB4" s="1264"/>
      <c r="AC4" s="1264"/>
      <c r="AD4" s="1264"/>
      <c r="AE4" s="1264"/>
      <c r="AF4" s="1264"/>
      <c r="AG4" s="1303" t="s">
        <v>31</v>
      </c>
      <c r="AH4" s="1264"/>
      <c r="AI4" s="1264"/>
      <c r="AJ4" s="1304"/>
      <c r="AK4" s="1310" t="s">
        <v>32</v>
      </c>
      <c r="AL4" s="1311"/>
      <c r="AM4" s="1311"/>
      <c r="AN4" s="1311"/>
      <c r="AO4" s="1311"/>
      <c r="AP4" s="1311"/>
      <c r="AQ4" s="1312"/>
      <c r="AS4" s="467">
        <v>125</v>
      </c>
      <c r="AT4" s="464" t="s">
        <v>46</v>
      </c>
      <c r="AV4" s="1284"/>
      <c r="AW4" s="1301"/>
      <c r="AX4" s="1301"/>
      <c r="AY4" s="1301"/>
      <c r="AZ4" s="1302"/>
      <c r="BA4" s="1301" t="str">
        <f>Z2</f>
        <v>PDC Orientation</v>
      </c>
      <c r="BB4" s="1301"/>
      <c r="BC4" s="1302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0" t="s">
        <v>381</v>
      </c>
      <c r="IF4" s="900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4" t="str">
        <f>CONCATENATE(B7," ; ",E7," ; ",H8)</f>
        <v>Absolute-Point ; Incremental-Vector Point ; Radius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68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&amp; Z; Z Axis")</f>
        <v>Relative to 's θ &amp; Z; Z Axis</v>
      </c>
      <c r="U5" s="1137"/>
      <c r="V5" s="1138"/>
      <c r="W5" s="1137" t="str">
        <f>CONCATENATE("Relative to ",M8,"'s θ &amp; Z; Z Axis")</f>
        <v>Relative to 's θ &amp; Z;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84"/>
      <c r="AW5" s="1258" t="str">
        <f>W4</f>
        <v>Polar XY; Cartesian Z</v>
      </c>
      <c r="AX5" s="1167"/>
      <c r="AY5" s="1167"/>
      <c r="AZ5" s="985" t="s">
        <v>104</v>
      </c>
      <c r="BA5" s="1167" t="str">
        <f>AK4</f>
        <v>Polar Z Projection → XZ Plane</v>
      </c>
      <c r="BB5" s="1167"/>
      <c r="BC5" s="1168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/>
      </c>
      <c r="M6" s="1268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Q6</f>
        <v>Projected XY</v>
      </c>
      <c r="X6" s="1170"/>
      <c r="Y6" s="1211" t="str">
        <f>S6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258" t="str">
        <f>AD6</f>
        <v>Unit Vector</v>
      </c>
      <c r="AL6" s="1167"/>
      <c r="AM6" s="1168"/>
      <c r="AN6" s="34" t="s">
        <v>15</v>
      </c>
      <c r="AO6" s="35" t="s">
        <v>16</v>
      </c>
      <c r="AP6" s="737" t="s">
        <v>17</v>
      </c>
      <c r="AQ6" s="1265" t="s">
        <v>108</v>
      </c>
      <c r="AS6" s="172">
        <f>(AS5/360)</f>
        <v>6.9444444444444447E-4</v>
      </c>
      <c r="AT6" s="465" t="s">
        <v>48</v>
      </c>
      <c r="AV6" s="1284"/>
      <c r="AW6" s="1136" t="str">
        <f>W5</f>
        <v>Relative to 's θ &amp; Z; Z Axis</v>
      </c>
      <c r="AX6" s="1137"/>
      <c r="AY6" s="1137"/>
      <c r="AZ6" s="1280"/>
      <c r="BA6" s="1137" t="str">
        <f>AK5</f>
        <v>Vector Along X Axis</v>
      </c>
      <c r="BB6" s="1137"/>
      <c r="BC6" s="1174"/>
      <c r="BD6" s="468"/>
      <c r="BF6" s="461">
        <f>SUM(AZ9:AZ150)</f>
        <v>0</v>
      </c>
      <c r="BG6" s="1262" t="s">
        <v>318</v>
      </c>
      <c r="BH6" s="1262"/>
      <c r="BI6" s="1262"/>
      <c r="BJ6" s="1262"/>
      <c r="BK6" s="1262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1" t="s">
        <v>40</v>
      </c>
      <c r="C7" s="1252"/>
      <c r="D7" s="1253"/>
      <c r="E7" s="1254" t="s">
        <v>41</v>
      </c>
      <c r="F7" s="1252"/>
      <c r="G7" s="1255"/>
      <c r="H7" s="880" t="s">
        <v>314</v>
      </c>
      <c r="I7" s="878"/>
      <c r="J7" s="879"/>
      <c r="K7" s="539"/>
      <c r="L7" s="984"/>
      <c r="M7" s="126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Q7</f>
        <v>&lt; θ°</v>
      </c>
      <c r="X7" s="27" t="str">
        <f>R7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6"/>
      <c r="AS7" s="1305" t="s">
        <v>54</v>
      </c>
      <c r="AT7" s="1308" t="s">
        <v>53</v>
      </c>
      <c r="AV7" s="1284"/>
      <c r="AW7" s="1279" t="str">
        <f>$W$6</f>
        <v>Projected XY</v>
      </c>
      <c r="AX7" s="1170"/>
      <c r="AY7" s="1281" t="str">
        <f>$Y$6</f>
        <v>Z</v>
      </c>
      <c r="AZ7" s="1280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2"/>
      <c r="BH7" s="1262"/>
      <c r="BI7" s="1262"/>
      <c r="BJ7" s="1262"/>
      <c r="BK7" s="1262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313" t="s">
        <v>364</v>
      </c>
      <c r="JC7" s="1220"/>
      <c r="JD7" s="1220"/>
      <c r="JE7" s="122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4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6"/>
      <c r="AT8" s="1309"/>
      <c r="AV8" s="1285"/>
      <c r="AW8" s="46" t="str">
        <f>$W$7</f>
        <v>&lt; θ°</v>
      </c>
      <c r="AX8" s="27" t="str">
        <f>$X$7</f>
        <v>r</v>
      </c>
      <c r="AY8" s="1282"/>
      <c r="AZ8" s="986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7" t="str">
        <f>$W$6</f>
        <v>Projected XY</v>
      </c>
      <c r="AX152" s="1278"/>
      <c r="AY152" s="1295" t="str">
        <f>$Y$6</f>
        <v>Z</v>
      </c>
      <c r="AZ152" s="1293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6"/>
      <c r="AZ153" s="1294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0" t="s">
        <v>42</v>
      </c>
      <c r="C157" s="1241"/>
      <c r="D157" s="1241"/>
      <c r="E157" s="1241"/>
      <c r="F157" s="1241"/>
      <c r="G157" s="1241"/>
      <c r="H157" s="1241"/>
      <c r="I157" s="1241"/>
      <c r="J157" s="1241"/>
      <c r="K157" s="1242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3"/>
      <c r="C158" s="1198"/>
      <c r="D158" s="1198"/>
      <c r="E158" s="1198"/>
      <c r="F158" s="1198"/>
      <c r="G158" s="1198"/>
      <c r="H158" s="1198"/>
      <c r="I158" s="1198"/>
      <c r="J158" s="1198"/>
      <c r="K158" s="1244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5"/>
      <c r="C159" s="1246"/>
      <c r="D159" s="1246"/>
      <c r="E159" s="1246"/>
      <c r="F159" s="1246"/>
      <c r="G159" s="1246"/>
      <c r="H159" s="1246"/>
      <c r="I159" s="1246"/>
      <c r="J159" s="1246"/>
      <c r="K159" s="1247"/>
      <c r="AQ159" s="166"/>
      <c r="BD159" s="468"/>
    </row>
    <row r="160" spans="1:259" ht="15" customHeight="1" x14ac:dyDescent="0.25">
      <c r="B160" s="1234" t="str">
        <f>CONCATENATE(B162," ; ",E162," ; ",H163)</f>
        <v>Absolute-Point ; Incremental-Vector Point ; Radius</v>
      </c>
      <c r="C160" s="1235"/>
      <c r="D160" s="1235"/>
      <c r="E160" s="1235"/>
      <c r="F160" s="1235"/>
      <c r="G160" s="1235"/>
      <c r="H160" s="1235"/>
      <c r="I160" s="1235"/>
      <c r="J160" s="1235"/>
      <c r="K160" s="1236"/>
      <c r="AQ160" s="166"/>
      <c r="BD160" s="468"/>
    </row>
    <row r="161" spans="2:56" ht="15" customHeight="1" x14ac:dyDescent="0.25">
      <c r="B161" s="1237"/>
      <c r="C161" s="1238"/>
      <c r="D161" s="1238"/>
      <c r="E161" s="1238"/>
      <c r="F161" s="1238"/>
      <c r="G161" s="1238"/>
      <c r="H161" s="1238"/>
      <c r="I161" s="1238"/>
      <c r="J161" s="1238"/>
      <c r="K161" s="1239"/>
      <c r="AQ161" s="166"/>
      <c r="BD161" s="468"/>
    </row>
    <row r="162" spans="2:56" ht="15" customHeight="1" x14ac:dyDescent="0.25">
      <c r="B162" s="1251" t="s">
        <v>40</v>
      </c>
      <c r="C162" s="1252"/>
      <c r="D162" s="1253"/>
      <c r="E162" s="1254" t="s">
        <v>41</v>
      </c>
      <c r="F162" s="1252"/>
      <c r="G162" s="1255"/>
      <c r="H162" s="880" t="s">
        <v>314</v>
      </c>
      <c r="I162" s="878"/>
      <c r="J162" s="879"/>
      <c r="K162" s="539"/>
      <c r="M162" s="1026" t="s">
        <v>313</v>
      </c>
      <c r="N162" s="1274"/>
      <c r="O162" s="1286" t="s">
        <v>292</v>
      </c>
      <c r="P162" s="1287"/>
      <c r="Q162" s="1288"/>
      <c r="R162" s="1289" t="s">
        <v>41</v>
      </c>
      <c r="S162" s="1287"/>
      <c r="T162" s="1288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5"/>
      <c r="N163" s="1276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1.113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1.1160000000000001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1.119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1.1220000000000001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1.125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1.2070000000000001</v>
      </c>
      <c r="N173" s="869" t="str">
        <f>Assy.Model!K18</f>
        <v>Inactive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1.21</v>
      </c>
      <c r="N174" s="869" t="str">
        <f>Assy.Model!K19</f>
        <v>Inactive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1.2130000000000001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1.216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1.2190000000000001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1.222</v>
      </c>
      <c r="N178" s="869" t="str">
        <f>Assy.Model!K23</f>
        <v>Inactive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2.1110000000000002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2.1139999999999999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2.117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2.12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2.1230000000000002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2.214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2.2170000000000001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2.2200000000000002</v>
      </c>
      <c r="N186" s="869">
        <f>Assy.Model!K31</f>
        <v>1313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3.1030000000000002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3.1059999999999999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3.109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3.1120000000000001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3.1150000000000002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3.1179999999999999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3.121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3.1240000000000001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3.206</v>
      </c>
      <c r="N195" s="869" t="str">
        <f>Assy.Model!K40</f>
        <v>Inactive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3.2090000000000001</v>
      </c>
      <c r="N196" s="869" t="str">
        <f>Assy.Model!K41</f>
        <v>Inactive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3.2120000000000002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3.2149999999999999</v>
      </c>
      <c r="N198" s="869">
        <f>Assy.Model!K43</f>
        <v>1313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3.218</v>
      </c>
      <c r="N199" s="869">
        <f>Assy.Model!K44</f>
        <v>1313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3.2210000000000001</v>
      </c>
      <c r="N200" s="869" t="str">
        <f>Assy.Model!K45</f>
        <v>Inactive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4.1100000000000003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4.1130000000000004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4.1159999999999997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4.1189999999999998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4.1219999999999999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4.125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4.2130000000000001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4.2160000000000002</v>
      </c>
      <c r="N208" s="869">
        <f>Assy.Model!K53</f>
        <v>1313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4.2190000000000003</v>
      </c>
      <c r="N209" s="869">
        <f>Assy.Model!K54</f>
        <v>1313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4.2220000000000004</v>
      </c>
      <c r="N210" s="869" t="str">
        <f>Assy.Model!K55</f>
        <v>Inactive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5.1020000000000003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5.1050000000000004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5.1079999999999997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5.1109999999999998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5.1139999999999999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5.117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5.12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5.1230000000000002</v>
      </c>
      <c r="N218" s="869">
        <f>Assy.Model!K63</f>
        <v>1313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5.2080000000000002</v>
      </c>
      <c r="N219" s="869" t="str">
        <f>Assy.Model!K64</f>
        <v>Inactive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5.2110000000000003</v>
      </c>
      <c r="N220" s="869" t="str">
        <f>Assy.Model!K65</f>
        <v>Inactive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5.2140000000000004</v>
      </c>
      <c r="N221" s="869">
        <f>Assy.Model!K66</f>
        <v>1313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5.2169999999999996</v>
      </c>
      <c r="N222" s="869">
        <f>Assy.Model!K67</f>
        <v>1313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5.22</v>
      </c>
      <c r="N223" s="869">
        <f>Assy.Model!K68</f>
        <v>1313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6.109</v>
      </c>
      <c r="N224" s="869">
        <f>Assy.Model!K69</f>
        <v>1613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6.1120000000000001</v>
      </c>
      <c r="N225" s="869">
        <f>Assy.Model!K70</f>
        <v>1613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6.1150000000000002</v>
      </c>
      <c r="N226" s="869">
        <f>Assy.Model!K71</f>
        <v>1613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6.1180000000000003</v>
      </c>
      <c r="N227" s="869">
        <f>Assy.Model!K72</f>
        <v>1613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6.1210000000000004</v>
      </c>
      <c r="N228" s="869">
        <f>Assy.Model!K73</f>
        <v>1613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6.1239999999999997</v>
      </c>
      <c r="N229" s="869">
        <f>Assy.Model!K74</f>
        <v>1313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6.2119999999999997</v>
      </c>
      <c r="N230" s="869">
        <f>Assy.Model!K75</f>
        <v>1313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6.218</v>
      </c>
      <c r="N231" s="869">
        <f>Assy.Model!K76</f>
        <v>1313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6.2210000000000001</v>
      </c>
      <c r="N232" s="869" t="str">
        <f>Assy.Model!K77</f>
        <v>Inactive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2023-03-29T16:16:38Z</dcterms:modified>
</cp:coreProperties>
</file>