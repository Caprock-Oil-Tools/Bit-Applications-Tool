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6\"/>
    </mc:Choice>
  </mc:AlternateContent>
  <xr:revisionPtr revIDLastSave="0" documentId="13_ncr:1_{E432284D-1827-4676-9928-BFDFF579C5D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JA9" i="1" a="1"/>
  <c r="JA9" i="1" s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W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129" i="1"/>
  <c r="IF73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103" i="1"/>
  <c r="IF13" i="1"/>
  <c r="IF108" i="1"/>
  <c r="IF92" i="1"/>
  <c r="IF131" i="1"/>
  <c r="IF123" i="1"/>
  <c r="IF141" i="1"/>
  <c r="IF124" i="1"/>
  <c r="IF107" i="1"/>
  <c r="IF146" i="1"/>
  <c r="IF11" i="1"/>
  <c r="IF134" i="1"/>
  <c r="IF12" i="1"/>
  <c r="IF50" i="1"/>
  <c r="IF71" i="1"/>
  <c r="IF133" i="1"/>
  <c r="IF149" i="1"/>
  <c r="IF104" i="1"/>
  <c r="IF130" i="1"/>
  <c r="IF90" i="1"/>
  <c r="IF132" i="1"/>
  <c r="IF119" i="1"/>
  <c r="IF32" i="1"/>
  <c r="IF110" i="1"/>
  <c r="IF125" i="1"/>
  <c r="IF72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62" i="1" l="1"/>
  <c r="IQ68" i="1"/>
  <c r="IV81" i="1"/>
  <c r="IQ89" i="1"/>
  <c r="IQ75" i="1"/>
  <c r="IV69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AD102" i="1" s="1"/>
  <c r="AH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5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AE102" i="1" s="1"/>
  <c r="P78" i="1"/>
  <c r="S78" i="1" s="1"/>
  <c r="Y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7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20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IQ99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7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8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8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Q82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93" i="1" l="1"/>
  <c r="IV84" i="1"/>
  <c r="IQ76" i="1"/>
  <c r="IV70" i="1"/>
  <c r="IQ96" i="1"/>
  <c r="IV87" i="1"/>
  <c r="Q98" i="1"/>
  <c r="IQ64" i="1"/>
  <c r="IV55" i="1"/>
  <c r="IV78" i="1"/>
  <c r="IQ86" i="1"/>
  <c r="IV64" i="1"/>
  <c r="IQ70" i="1"/>
  <c r="AE69" i="1"/>
  <c r="IQ54" i="1"/>
  <c r="IV77" i="1"/>
  <c r="IQ85" i="1"/>
  <c r="AD86" i="1"/>
  <c r="AH86" i="1" s="1"/>
  <c r="IQ95" i="1"/>
  <c r="IV86" i="1"/>
  <c r="IQ59" i="1"/>
  <c r="IV56" i="1"/>
  <c r="IQ98" i="1"/>
  <c r="IV89" i="1"/>
  <c r="IQ97" i="1"/>
  <c r="IV88" i="1"/>
  <c r="IQ94" i="1"/>
  <c r="IV85" i="1"/>
  <c r="IV63" i="1"/>
  <c r="IQ69" i="1"/>
  <c r="IV74" i="1"/>
  <c r="IQ83" i="1"/>
  <c r="IV76" i="1"/>
  <c r="IQ84" i="1"/>
  <c r="IQ52" i="1"/>
  <c r="IQ56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8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8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7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7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IP70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IP99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4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P83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69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5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AQ73" i="1"/>
  <c r="IP82" i="1"/>
  <c r="IP54" i="1"/>
  <c r="AQ11" i="1"/>
  <c r="IP20" i="1"/>
  <c r="AG97" i="1"/>
  <c r="IP102" i="1"/>
  <c r="IP89" i="1"/>
  <c r="IP52" i="1"/>
  <c r="IP56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IL89" i="1" s="1"/>
  <c r="W82" i="1"/>
  <c r="W79" i="1"/>
  <c r="IL87" i="1" s="1"/>
  <c r="W80" i="1"/>
  <c r="IL88" i="1" s="1"/>
  <c r="W77" i="1"/>
  <c r="IL85" i="1" s="1"/>
  <c r="W78" i="1"/>
  <c r="IL86" i="1" s="1"/>
  <c r="W75" i="1"/>
  <c r="W76" i="1"/>
  <c r="IL84" i="1" s="1"/>
  <c r="W73" i="1"/>
  <c r="W74" i="1"/>
  <c r="IL83" i="1" s="1"/>
  <c r="W71" i="1"/>
  <c r="W72" i="1"/>
  <c r="W69" i="1"/>
  <c r="W70" i="1"/>
  <c r="W67" i="1"/>
  <c r="W68" i="1"/>
  <c r="W65" i="1"/>
  <c r="W66" i="1"/>
  <c r="W63" i="1"/>
  <c r="IL69" i="1" s="1"/>
  <c r="W64" i="1"/>
  <c r="IL70" i="1" s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W47" i="1"/>
  <c r="IL55" i="1" s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IL37" i="1" s="1"/>
  <c r="W32" i="1"/>
  <c r="IL38" i="1" s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23" i="1" l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T38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3" i="1" l="1"/>
  <c r="IY84" i="1"/>
  <c r="IT96" i="1"/>
  <c r="IY87" i="1"/>
  <c r="IT98" i="1"/>
  <c r="IY89" i="1"/>
  <c r="IF89" i="1" s="1"/>
  <c r="IY74" i="1"/>
  <c r="IT83" i="1"/>
  <c r="IY76" i="1"/>
  <c r="IT84" i="1"/>
  <c r="IT94" i="1"/>
  <c r="IY85" i="1"/>
  <c r="IS94" i="1"/>
  <c r="IX85" i="1"/>
  <c r="IY64" i="1"/>
  <c r="IT70" i="1"/>
  <c r="IY63" i="1"/>
  <c r="IT69" i="1"/>
  <c r="IX89" i="1"/>
  <c r="IY77" i="1"/>
  <c r="IT85" i="1"/>
  <c r="IY81" i="1"/>
  <c r="IT89" i="1"/>
  <c r="IT97" i="1"/>
  <c r="IY88" i="1"/>
  <c r="IT95" i="1"/>
  <c r="IY86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S98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X83" i="1" s="1"/>
  <c r="IF83" i="1" s="1"/>
  <c r="AO81" i="1"/>
  <c r="AP81" i="1"/>
  <c r="AO82" i="1"/>
  <c r="IX82" i="1" s="1"/>
  <c r="IF82" i="1" s="1"/>
  <c r="AP82" i="1"/>
  <c r="AO79" i="1"/>
  <c r="IS87" i="1" s="1"/>
  <c r="AP79" i="1"/>
  <c r="AP80" i="1"/>
  <c r="AO80" i="1"/>
  <c r="IS88" i="1" s="1"/>
  <c r="AO77" i="1"/>
  <c r="AP77" i="1"/>
  <c r="AP78" i="1"/>
  <c r="AO78" i="1"/>
  <c r="IS86" i="1" s="1"/>
  <c r="AO75" i="1"/>
  <c r="IX75" i="1" s="1"/>
  <c r="IF75" i="1" s="1"/>
  <c r="AP75" i="1"/>
  <c r="AO76" i="1"/>
  <c r="AP76" i="1"/>
  <c r="AP73" i="1"/>
  <c r="AO73" i="1"/>
  <c r="AP74" i="1"/>
  <c r="AO74" i="1"/>
  <c r="AP71" i="1"/>
  <c r="AO72" i="1"/>
  <c r="IS78" i="1" s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AP65" i="1"/>
  <c r="AP66" i="1"/>
  <c r="AO66" i="1"/>
  <c r="AO63" i="1"/>
  <c r="AP63" i="1"/>
  <c r="AO64" i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7" i="1" s="1"/>
  <c r="AP31" i="1"/>
  <c r="AO32" i="1"/>
  <c r="IS38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4" i="1" l="1"/>
  <c r="IX77" i="1"/>
  <c r="IF77" i="1" s="1"/>
  <c r="IS85" i="1"/>
  <c r="IX81" i="1"/>
  <c r="IF81" i="1" s="1"/>
  <c r="IS89" i="1"/>
  <c r="IT60" i="1"/>
  <c r="IY57" i="1"/>
  <c r="IF57" i="1" s="1"/>
  <c r="IS75" i="1"/>
  <c r="IX69" i="1"/>
  <c r="IF69" i="1" s="1"/>
  <c r="IS97" i="1"/>
  <c r="IX88" i="1"/>
  <c r="IF88" i="1"/>
  <c r="IX76" i="1"/>
  <c r="IF76" i="1" s="1"/>
  <c r="IS84" i="1"/>
  <c r="IF85" i="1"/>
  <c r="IX64" i="1"/>
  <c r="IF64" i="1" s="1"/>
  <c r="IS70" i="1"/>
  <c r="IS93" i="1"/>
  <c r="IX84" i="1"/>
  <c r="IS96" i="1"/>
  <c r="IX87" i="1"/>
  <c r="IF87" i="1" s="1"/>
  <c r="IS58" i="1"/>
  <c r="IS51" i="1"/>
  <c r="IS52" i="1"/>
  <c r="IS56" i="1"/>
  <c r="IX63" i="1"/>
  <c r="IF63" i="1" s="1"/>
  <c r="IS69" i="1"/>
  <c r="IX74" i="1"/>
  <c r="IF74" i="1" s="1"/>
  <c r="IS83" i="1"/>
  <c r="IF84" i="1"/>
  <c r="IS95" i="1"/>
  <c r="IX86" i="1"/>
  <c r="IT29" i="1"/>
  <c r="IT55" i="1"/>
  <c r="IF8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<sst xmlns="http://schemas.openxmlformats.org/spreadsheetml/2006/main" count="734" uniqueCount="391">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</sst>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55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-0.18390055464407282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0.34260103328471642</v>
      </c>
      <c r="D9" s="704">
        <v>-0.77540233861345331</v>
      </c>
      <c r="E9" s="705">
        <v>-0.96592583607220739</v>
      </c>
      <c r="F9" s="703">
        <v>-6.6987279208207198E-2</v>
      </c>
      <c r="G9" s="706">
        <v>0.24999996726497564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0.34260103328471642</v>
      </c>
      <c r="P9" s="625">
        <f t="shared" ref="P9:P40" si="4">IF(M9="","",D9)</f>
        <v>-0.77540233861345331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-0.77540233861345331</v>
      </c>
      <c r="T9" s="627">
        <f>IF(M9="","",X9*COS(RADIANS(W9)))</f>
        <v>0.34260103328471642</v>
      </c>
      <c r="U9" s="624">
        <f>IF(M9="","",X9*SIN(RADIANS(W9)))</f>
        <v>0</v>
      </c>
      <c r="V9" s="628">
        <f>IF(M9="","",Y9)</f>
        <v>-0.77540233861345331</v>
      </c>
      <c r="W9" s="583">
        <f t="shared" ref="W9:W14" si="5">IF(M9="","",IF(Q9-$Q$8&lt;0,360+Q9-$Q$8,Q9-$Q$8))</f>
        <v>0</v>
      </c>
      <c r="X9" s="629">
        <f>IF(M9="","",R9)</f>
        <v>0.34260103328471642</v>
      </c>
      <c r="Y9" s="630">
        <f>IF(M9="","",S9)</f>
        <v>-0.77540233861345331</v>
      </c>
      <c r="Z9" s="623">
        <f t="shared" ref="Z9:Z40" si="6">IF(M9="","",-E9)</f>
        <v>0.96592583607220739</v>
      </c>
      <c r="AA9" s="624">
        <f t="shared" ref="AA9:AA40" si="7">IF(M9="","",-F9)</f>
        <v>6.6987279208207198E-2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6.6987279208207198E-2</v>
      </c>
      <c r="AF9" s="625">
        <f>IF(M9="","",AB9*(1/SQRT(Z9^2+AA9^2+AB9^2)))</f>
        <v>-0.24999996726497564</v>
      </c>
      <c r="AG9" s="599">
        <f>IF(M9="","",DEGREES(ATAN2(-AF9,AE9)))</f>
        <v>14.999997834268267</v>
      </c>
      <c r="AH9" s="600">
        <f>IF(M9="","",DEGREES(ACOS(AD9)))</f>
        <v>14.999997834268255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6.6987279208207198E-2</v>
      </c>
      <c r="AM9" s="626">
        <f>IF(M9="","",AF9)</f>
        <v>-0.24999996726497564</v>
      </c>
      <c r="AN9" s="581">
        <f>IF(M9="","",DEGREES(ATAN2(-AM9,AL9)))</f>
        <v>14.999997834268267</v>
      </c>
      <c r="AO9" s="582">
        <f>IF(ROUND(IF(M9="",0,DEGREES(ACOS(AK9))),4)=90,0,IF(M9="","",DEGREES(ACOS(AK9))))</f>
        <v>14.999997834268255</v>
      </c>
      <c r="AP9" s="781">
        <f>IF(M9="","",DEGREES(ATAN2(AK9,AL9)))</f>
        <v>3.9671296450865712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0</v>
      </c>
      <c r="AT9" s="71">
        <f t="shared" ref="AT9:AT40" si="10">IF(M9="","",Y9+(((AS9-$AS$9)*$AS$6)*-1))</f>
        <v>-0.77540233861345331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55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1.1303034089950816</v>
      </c>
      <c r="D10" s="709">
        <v>-0.56440170223553399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1.1303034089950816</v>
      </c>
      <c r="P10" s="633">
        <f t="shared" si="4"/>
        <v>-0.56440170223553399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1.1303034089950816</v>
      </c>
      <c r="S10" s="634">
        <f t="shared" ref="S10:S105" si="80">IF(M10="","",P10)</f>
        <v>-0.56440170223553399</v>
      </c>
      <c r="T10" s="635">
        <f t="shared" ref="T10:T105" si="81">IF(M10="","",X10*COS(RADIANS(W10)))</f>
        <v>1.1303034089950816</v>
      </c>
      <c r="U10" s="629">
        <f t="shared" ref="U10:U105" si="82">IF(M10="","",X10*SIN(RADIANS(W10)))</f>
        <v>0</v>
      </c>
      <c r="V10" s="636">
        <f>IF(M10="","",Y10)</f>
        <v>-0.56440170223553399</v>
      </c>
      <c r="W10" s="585">
        <f t="shared" si="5"/>
        <v>0</v>
      </c>
      <c r="X10" s="629">
        <f t="shared" ref="X10:X105" si="83">IF(M10="","",R10)</f>
        <v>1.1303034089950816</v>
      </c>
      <c r="Y10" s="630">
        <f>IF(M10="","",S10)</f>
        <v>-0.56440170223553399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2.0160831671579897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-0.56440170223553399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1.8727056480802349</v>
      </c>
      <c r="D11" s="709">
        <v>-0.36540110204972376</v>
      </c>
      <c r="E11" s="710">
        <v>-0.96592583607220739</v>
      </c>
      <c r="F11" s="708">
        <v>-6.6987279208207198E-2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1.8727056480802349</v>
      </c>
      <c r="P11" s="633">
        <f t="shared" si="4"/>
        <v>-0.36540110204972376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1.8727056480802349</v>
      </c>
      <c r="S11" s="634">
        <f t="shared" si="80"/>
        <v>-0.36540110204972376</v>
      </c>
      <c r="T11" s="635">
        <f t="shared" si="81"/>
        <v>1.8727056480802349</v>
      </c>
      <c r="U11" s="629">
        <f t="shared" si="82"/>
        <v>0</v>
      </c>
      <c r="V11" s="636">
        <f t="shared" ref="V11:V105" si="114">IF(M11="","",Y11)</f>
        <v>-0.36540110204972376</v>
      </c>
      <c r="W11" s="585">
        <f t="shared" si="5"/>
        <v>0</v>
      </c>
      <c r="X11" s="629">
        <f>IF(M11="","",R11)</f>
        <v>1.8727056480802349</v>
      </c>
      <c r="Y11" s="630">
        <f>IF(M11="","",S11)</f>
        <v>-0.36540110204972376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1.2171606833974671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-0.36540110204972376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2.5714077553657906</v>
      </c>
      <c r="D12" s="709">
        <v>-0.18390055464407282</v>
      </c>
      <c r="E12" s="710">
        <v>-0.96592583607220739</v>
      </c>
      <c r="F12" s="708">
        <v>-5.3811490036520221E-2</v>
      </c>
      <c r="G12" s="711">
        <v>0.2531631939051503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0</v>
      </c>
      <c r="O12" s="629">
        <f t="shared" si="3"/>
        <v>2.5714077553657906</v>
      </c>
      <c r="P12" s="633">
        <f t="shared" si="4"/>
        <v>-0.18390055464407282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2.5714077553657906</v>
      </c>
      <c r="S12" s="634">
        <f t="shared" si="80"/>
        <v>-0.18390055464407282</v>
      </c>
      <c r="T12" s="635">
        <f>IF(M12="","",X12*COS(RADIANS(W12)))</f>
        <v>2.5714077553657906</v>
      </c>
      <c r="U12" s="629">
        <f t="shared" si="82"/>
        <v>0</v>
      </c>
      <c r="V12" s="636">
        <f t="shared" si="114"/>
        <v>-0.18390055464407282</v>
      </c>
      <c r="W12" s="585">
        <f>IF(M12="","",IF(Q12-$Q$8&lt;0,360+Q12-$Q$8,Q12-$Q$8))</f>
        <v>0</v>
      </c>
      <c r="X12" s="629">
        <f t="shared" si="83"/>
        <v>2.5714077553657906</v>
      </c>
      <c r="Y12" s="630">
        <f>IF(M12="","",S12)</f>
        <v>-0.18390055464407282</v>
      </c>
      <c r="Z12" s="632">
        <f t="shared" si="6"/>
        <v>0.96592583607220739</v>
      </c>
      <c r="AA12" s="629">
        <f t="shared" si="7"/>
        <v>5.3811490036520221E-2</v>
      </c>
      <c r="AB12" s="629">
        <f t="shared" si="8"/>
        <v>-0.2531631939051503</v>
      </c>
      <c r="AC12" s="636">
        <f t="shared" si="84"/>
        <v>1</v>
      </c>
      <c r="AD12" s="637">
        <f t="shared" si="115"/>
        <v>0.96592583607220739</v>
      </c>
      <c r="AE12" s="629">
        <f t="shared" si="85"/>
        <v>5.3811490036520221E-2</v>
      </c>
      <c r="AF12" s="633">
        <f t="shared" si="86"/>
        <v>-0.2531631939051503</v>
      </c>
      <c r="AG12" s="602">
        <f t="shared" si="87"/>
        <v>11.999998267414613</v>
      </c>
      <c r="AH12" s="603">
        <f t="shared" si="88"/>
        <v>14.999997834268255</v>
      </c>
      <c r="AI12" s="585">
        <f t="shared" si="89"/>
        <v>-75.33522701738265</v>
      </c>
      <c r="AJ12" s="586">
        <f t="shared" si="90"/>
        <v>93.188637740465239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5.3811490036520221E-2</v>
      </c>
      <c r="AM12" s="634">
        <f t="shared" si="92"/>
        <v>-0.2531631939051503</v>
      </c>
      <c r="AN12" s="581">
        <f>IF(M12="","",DEGREES(ATAN2(-AM12,AL12)))</f>
        <v>11.999998267414613</v>
      </c>
      <c r="AO12" s="582">
        <f t="shared" si="94"/>
        <v>14.999997834268255</v>
      </c>
      <c r="AP12" s="585">
        <f t="shared" si="95"/>
        <v>3.1886377404652366</v>
      </c>
      <c r="AQ12" s="586">
        <f t="shared" si="9"/>
        <v>0.8864967869929109</v>
      </c>
      <c r="AS12" s="52">
        <f t="shared" si="116"/>
        <v>0</v>
      </c>
      <c r="AT12" s="72">
        <f>IF(M12="","",Y12+(((AS12-$AS$9)*$AS$6)*-1))</f>
        <v>-0.18390055464407282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1.3348337072161673E-2</v>
      </c>
      <c r="C13" s="708">
        <v>3.354383558012501</v>
      </c>
      <c r="D13" s="709">
        <v>-0.14060042405087894</v>
      </c>
      <c r="E13" s="710">
        <v>-0.9651969343125284</v>
      </c>
      <c r="F13" s="708">
        <v>5.5544048930848217E-2</v>
      </c>
      <c r="G13" s="711">
        <v>0.25555769724675548</v>
      </c>
      <c r="H13" s="710">
        <v>0.314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0</v>
      </c>
      <c r="M13" s="168">
        <f t="shared" si="1"/>
        <v>1.117</v>
      </c>
      <c r="N13" s="632">
        <f t="shared" si="2"/>
        <v>1.3348337072161673E-2</v>
      </c>
      <c r="O13" s="629">
        <f t="shared" si="3"/>
        <v>3.354383558012501</v>
      </c>
      <c r="P13" s="633">
        <f t="shared" si="4"/>
        <v>-0.14060042405087894</v>
      </c>
      <c r="Q13" s="585">
        <f t="shared" si="113"/>
        <v>89.772000032919138</v>
      </c>
      <c r="R13" s="629">
        <f t="shared" si="79"/>
        <v>3.3544101169009131</v>
      </c>
      <c r="S13" s="634">
        <f t="shared" si="80"/>
        <v>-0.14060042405087894</v>
      </c>
      <c r="T13" s="635">
        <f>IF(M13="","",X13*COS(RADIANS(W13)))</f>
        <v>3.354383558012501</v>
      </c>
      <c r="U13" s="629">
        <f t="shared" si="82"/>
        <v>-1.3348337072158963E-2</v>
      </c>
      <c r="V13" s="636">
        <f t="shared" si="114"/>
        <v>-0.14060042405087894</v>
      </c>
      <c r="W13" s="585">
        <f t="shared" si="5"/>
        <v>359.77200003291915</v>
      </c>
      <c r="X13" s="629">
        <f t="shared" si="83"/>
        <v>3.3544101169009131</v>
      </c>
      <c r="Y13" s="630">
        <f>IF(M13="","",S13)</f>
        <v>-0.14060042405087894</v>
      </c>
      <c r="Z13" s="632">
        <f t="shared" si="6"/>
        <v>0.9651969343125284</v>
      </c>
      <c r="AA13" s="629">
        <f t="shared" si="7"/>
        <v>-5.5544048930848217E-2</v>
      </c>
      <c r="AB13" s="629">
        <f t="shared" si="8"/>
        <v>-0.25555769724675548</v>
      </c>
      <c r="AC13" s="636">
        <f t="shared" si="84"/>
        <v>1</v>
      </c>
      <c r="AD13" s="637">
        <f>IF(M13="","",Z13*(1/SQRT(Z13^2+AA13^2+AB13^2)))</f>
        <v>0.9651969343125284</v>
      </c>
      <c r="AE13" s="629">
        <f t="shared" si="85"/>
        <v>-5.5544048930848217E-2</v>
      </c>
      <c r="AF13" s="633">
        <f t="shared" si="86"/>
        <v>-0.25555769724675548</v>
      </c>
      <c r="AG13" s="602">
        <f>IF(M13="","",DEGREES(ATAN2(-AF13,AE13)))</f>
        <v>-12.262210671783459</v>
      </c>
      <c r="AH13" s="603">
        <f t="shared" si="88"/>
        <v>15.160518701966545</v>
      </c>
      <c r="AI13" s="585">
        <f t="shared" si="89"/>
        <v>-75.193366163591705</v>
      </c>
      <c r="AJ13" s="586">
        <f t="shared" si="90"/>
        <v>86.70644052048354</v>
      </c>
      <c r="AK13" s="635">
        <f t="shared" si="211"/>
        <v>0.96541032090059076</v>
      </c>
      <c r="AL13" s="629">
        <f t="shared" si="91"/>
        <v>-5.1702762755525059E-2</v>
      </c>
      <c r="AM13" s="634">
        <f t="shared" si="92"/>
        <v>-0.25555769724675548</v>
      </c>
      <c r="AN13" s="581">
        <f t="shared" si="93"/>
        <v>-11.437329116889916</v>
      </c>
      <c r="AO13" s="582">
        <f t="shared" si="94"/>
        <v>15.113698487781512</v>
      </c>
      <c r="AP13" s="585">
        <f t="shared" si="95"/>
        <v>-3.0655595124356259</v>
      </c>
      <c r="AQ13" s="586">
        <f t="shared" si="9"/>
        <v>0.6795888528427928</v>
      </c>
      <c r="AS13" s="52">
        <f t="shared" si="116"/>
        <v>-0.22799996708084791</v>
      </c>
      <c r="AT13" s="72">
        <f t="shared" si="10"/>
        <v>-0.14044209074040612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5.6057741770316076E-2</v>
      </c>
      <c r="C14" s="708">
        <v>4.1175308408413924</v>
      </c>
      <c r="D14" s="709">
        <v>-0.32010096542451172</v>
      </c>
      <c r="E14" s="710">
        <v>-0.96218837749578034</v>
      </c>
      <c r="F14" s="708">
        <v>0.14723485593526292</v>
      </c>
      <c r="G14" s="711">
        <v>0.22916243891563048</v>
      </c>
      <c r="H14" s="710">
        <v>0.314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1.123</v>
      </c>
      <c r="N14" s="632">
        <f t="shared" si="2"/>
        <v>5.6057741770316076E-2</v>
      </c>
      <c r="O14" s="629">
        <f t="shared" si="3"/>
        <v>4.1175308408413924</v>
      </c>
      <c r="P14" s="633">
        <f t="shared" si="4"/>
        <v>-0.32010096542451172</v>
      </c>
      <c r="Q14" s="585">
        <f t="shared" si="113"/>
        <v>89.220000112618052</v>
      </c>
      <c r="R14" s="629">
        <f t="shared" si="79"/>
        <v>4.1179124196238579</v>
      </c>
      <c r="S14" s="634">
        <f t="shared" si="80"/>
        <v>-0.32010096542451172</v>
      </c>
      <c r="T14" s="635">
        <f t="shared" si="81"/>
        <v>4.1175308408413933</v>
      </c>
      <c r="U14" s="629">
        <f t="shared" si="82"/>
        <v>-5.6057741770317464E-2</v>
      </c>
      <c r="V14" s="636">
        <f t="shared" si="114"/>
        <v>-0.32010096542451172</v>
      </c>
      <c r="W14" s="585">
        <f t="shared" si="5"/>
        <v>359.22000011261804</v>
      </c>
      <c r="X14" s="629">
        <f t="shared" si="83"/>
        <v>4.1179124196238579</v>
      </c>
      <c r="Y14" s="630">
        <f t="shared" ref="Y14:Y75" si="223">IF(M14="","",S14)</f>
        <v>-0.32010096542451172</v>
      </c>
      <c r="Z14" s="632">
        <f t="shared" si="6"/>
        <v>0.96218837749578034</v>
      </c>
      <c r="AA14" s="629">
        <f t="shared" si="7"/>
        <v>-0.14723485593526292</v>
      </c>
      <c r="AB14" s="629">
        <f t="shared" si="8"/>
        <v>-0.22916243891563048</v>
      </c>
      <c r="AC14" s="636">
        <f t="shared" si="84"/>
        <v>1</v>
      </c>
      <c r="AD14" s="637">
        <f>IF(M14="","",Z14*(1/SQRT(Z14^2+AA14^2+AB14^2)))</f>
        <v>0.96218837749578034</v>
      </c>
      <c r="AE14" s="629">
        <f t="shared" si="85"/>
        <v>-0.14723485593526292</v>
      </c>
      <c r="AF14" s="633">
        <f t="shared" si="86"/>
        <v>-0.22916243891563048</v>
      </c>
      <c r="AG14" s="602">
        <f t="shared" si="87"/>
        <v>-32.720388944361126</v>
      </c>
      <c r="AH14" s="603">
        <f t="shared" si="88"/>
        <v>15.806230888010358</v>
      </c>
      <c r="AI14" s="585">
        <f t="shared" si="89"/>
        <v>-76.752233949216205</v>
      </c>
      <c r="AJ14" s="586">
        <f t="shared" si="90"/>
        <v>81.300038154200763</v>
      </c>
      <c r="AK14" s="635">
        <f>IF(M14="","",(COS(RADIANS((90-$Q$8)-W14))*AD14)+(-SIN(RADIANS((90-$Q$8)-W14))*AE14))</f>
        <v>0.96410354762578099</v>
      </c>
      <c r="AL14" s="629">
        <f t="shared" si="91"/>
        <v>-0.13412280210919944</v>
      </c>
      <c r="AM14" s="634">
        <f t="shared" si="92"/>
        <v>-0.22916243891563048</v>
      </c>
      <c r="AN14" s="581">
        <f t="shared" si="93"/>
        <v>-30.33932618133041</v>
      </c>
      <c r="AO14" s="582">
        <f t="shared" si="94"/>
        <v>15.39824290265515</v>
      </c>
      <c r="AP14" s="585">
        <f>IF(M14="","",DEGREES(ATAN2(AK14,AL14)))</f>
        <v>-7.9199619584172698</v>
      </c>
      <c r="AQ14" s="586">
        <f t="shared" si="9"/>
        <v>0.55359499126700895</v>
      </c>
      <c r="AS14" s="52">
        <f t="shared" si="116"/>
        <v>-0.7799998873819618</v>
      </c>
      <c r="AT14" s="72">
        <f t="shared" si="10"/>
        <v>-0.319559298836052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0.1189423710963065</v>
      </c>
      <c r="C15" s="708">
        <v>4.7982404861464607</v>
      </c>
      <c r="D15" s="709">
        <v>-0.70770213442963747</v>
      </c>
      <c r="E15" s="710">
        <v>-0.95233897950637159</v>
      </c>
      <c r="F15" s="708">
        <v>0.23314536386698037</v>
      </c>
      <c r="G15" s="711">
        <v>0.19670716158822515</v>
      </c>
      <c r="H15" s="710">
        <v>0.314</v>
      </c>
      <c r="I15" s="708">
        <v>0.52</v>
      </c>
      <c r="J15" s="570">
        <v>1.129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1.129</v>
      </c>
      <c r="N15" s="632">
        <f t="shared" si="2"/>
        <v>0.1189423710963065</v>
      </c>
      <c r="O15" s="629">
        <f t="shared" si="3"/>
        <v>4.7982404861464607</v>
      </c>
      <c r="P15" s="633">
        <f t="shared" si="4"/>
        <v>-0.70770213442963747</v>
      </c>
      <c r="Q15" s="585">
        <f t="shared" si="113"/>
        <v>88.580000205022614</v>
      </c>
      <c r="R15" s="629">
        <f t="shared" si="79"/>
        <v>4.7997144759388588</v>
      </c>
      <c r="S15" s="634">
        <f t="shared" si="80"/>
        <v>-0.70770213442963747</v>
      </c>
      <c r="T15" s="635">
        <f t="shared" si="81"/>
        <v>4.7982404861464607</v>
      </c>
      <c r="U15" s="629">
        <f t="shared" si="82"/>
        <v>-0.11894237109630693</v>
      </c>
      <c r="V15" s="636">
        <f t="shared" si="114"/>
        <v>-0.70770213442963747</v>
      </c>
      <c r="W15" s="585">
        <f t="shared" ref="W15:W78" si="224">IF(M15="","",IF(Q15-$Q$8&lt;0,360+Q15-$Q$8,Q15-$Q$8))</f>
        <v>358.5800002050226</v>
      </c>
      <c r="X15" s="629">
        <f>IF(M15="","",R15)</f>
        <v>4.7997144759388588</v>
      </c>
      <c r="Y15" s="630">
        <f>IF(M15="","",S15)</f>
        <v>-0.70770213442963747</v>
      </c>
      <c r="Z15" s="632">
        <f t="shared" si="6"/>
        <v>0.95233897950637159</v>
      </c>
      <c r="AA15" s="629">
        <f t="shared" si="7"/>
        <v>-0.23314536386698037</v>
      </c>
      <c r="AB15" s="629">
        <f t="shared" si="8"/>
        <v>-0.19670716158822515</v>
      </c>
      <c r="AC15" s="636">
        <f t="shared" si="84"/>
        <v>1</v>
      </c>
      <c r="AD15" s="637">
        <f t="shared" si="115"/>
        <v>0.95233897950637159</v>
      </c>
      <c r="AE15" s="629">
        <f t="shared" si="85"/>
        <v>-0.23314536386698037</v>
      </c>
      <c r="AF15" s="633">
        <f t="shared" si="86"/>
        <v>-0.19670716158822515</v>
      </c>
      <c r="AG15" s="602">
        <f t="shared" si="87"/>
        <v>-49.845326717144495</v>
      </c>
      <c r="AH15" s="603">
        <f t="shared" si="88"/>
        <v>17.760675591894103</v>
      </c>
      <c r="AI15" s="585">
        <f t="shared" si="89"/>
        <v>-78.655531495082911</v>
      </c>
      <c r="AJ15" s="586">
        <f t="shared" si="90"/>
        <v>76.243784576251173</v>
      </c>
      <c r="AK15" s="635">
        <f t="shared" si="211"/>
        <v>0.95782412338018608</v>
      </c>
      <c r="AL15" s="629">
        <f t="shared" si="91"/>
        <v>-0.20947372448801801</v>
      </c>
      <c r="AM15" s="634">
        <f t="shared" si="92"/>
        <v>-0.19670716158822515</v>
      </c>
      <c r="AN15" s="581">
        <f>IF(M15="","",DEGREES(ATAN2(-AM15,AL15)))</f>
        <v>-46.800255673912019</v>
      </c>
      <c r="AO15" s="582">
        <f t="shared" si="94"/>
        <v>16.699675289228097</v>
      </c>
      <c r="AP15" s="585">
        <f t="shared" si="95"/>
        <v>-12.336215628771429</v>
      </c>
      <c r="AQ15" s="586">
        <f t="shared" si="9"/>
        <v>0.47496042188246002</v>
      </c>
      <c r="AS15" s="52">
        <f t="shared" si="116"/>
        <v>-1.4199997949774001</v>
      </c>
      <c r="AT15" s="72">
        <f t="shared" si="10"/>
        <v>-0.70671602346090312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0.18614103906896387</v>
      </c>
      <c r="C16" s="708">
        <v>5.3410735145266477</v>
      </c>
      <c r="D16" s="709">
        <v>-1.2721038366651714</v>
      </c>
      <c r="E16" s="710">
        <v>-0.93569487879839564</v>
      </c>
      <c r="F16" s="708">
        <v>0.3153390994196229</v>
      </c>
      <c r="G16" s="711">
        <v>0.15822877793775986</v>
      </c>
      <c r="H16" s="710">
        <v>0.314</v>
      </c>
      <c r="I16" s="708">
        <v>0.52</v>
      </c>
      <c r="J16" s="570">
        <v>1.135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1.135</v>
      </c>
      <c r="N16" s="632">
        <f t="shared" si="2"/>
        <v>0.18614103906896387</v>
      </c>
      <c r="O16" s="629">
        <f t="shared" si="3"/>
        <v>5.3410735145266477</v>
      </c>
      <c r="P16" s="633">
        <f t="shared" si="4"/>
        <v>-1.2721038366651714</v>
      </c>
      <c r="Q16" s="585">
        <f>IF(M16="","",IF(DEGREES(ATAN2(N16,O16))&lt;0,DEGREES(ATAN2(N16,O16))+360,IF(DEGREES(ATAN2(N16,O16))&gt;360,DEGREES(ATAN2(N16,O16))-360,DEGREES(ATAN2(N16,O16)))))</f>
        <v>88.004000288186703</v>
      </c>
      <c r="R16" s="629">
        <f t="shared" si="79"/>
        <v>5.3443161184574128</v>
      </c>
      <c r="S16" s="634">
        <f t="shared" si="80"/>
        <v>-1.2721038366651714</v>
      </c>
      <c r="T16" s="635">
        <f t="shared" si="81"/>
        <v>5.3410735145266477</v>
      </c>
      <c r="U16" s="629">
        <f t="shared" si="82"/>
        <v>-0.18614103906896412</v>
      </c>
      <c r="V16" s="636">
        <f t="shared" si="114"/>
        <v>-1.2721038366651714</v>
      </c>
      <c r="W16" s="585">
        <f>IF(M16="","",IF(Q16-$Q$8&lt;0,360+Q16-$Q$8,Q16-$Q$8))</f>
        <v>358.00400028818672</v>
      </c>
      <c r="X16" s="629">
        <f t="shared" si="83"/>
        <v>5.3443161184574128</v>
      </c>
      <c r="Y16" s="630">
        <f t="shared" si="223"/>
        <v>-1.2721038366651714</v>
      </c>
      <c r="Z16" s="632">
        <f t="shared" si="6"/>
        <v>0.93569487879839564</v>
      </c>
      <c r="AA16" s="629">
        <f t="shared" si="7"/>
        <v>-0.3153390994196229</v>
      </c>
      <c r="AB16" s="629">
        <f t="shared" si="8"/>
        <v>-0.15822877793775986</v>
      </c>
      <c r="AC16" s="636">
        <f t="shared" si="84"/>
        <v>1</v>
      </c>
      <c r="AD16" s="637">
        <f t="shared" si="115"/>
        <v>0.93569487879839564</v>
      </c>
      <c r="AE16" s="629">
        <f t="shared" si="85"/>
        <v>-0.3153390994196229</v>
      </c>
      <c r="AF16" s="633">
        <f t="shared" si="86"/>
        <v>-0.15822877793775986</v>
      </c>
      <c r="AG16" s="602">
        <f t="shared" si="87"/>
        <v>-63.353718977776843</v>
      </c>
      <c r="AH16" s="603">
        <f t="shared" si="88"/>
        <v>20.659301056175437</v>
      </c>
      <c r="AI16" s="585">
        <f t="shared" si="89"/>
        <v>-80.895896910768371</v>
      </c>
      <c r="AJ16" s="586">
        <f t="shared" si="90"/>
        <v>71.37563777104306</v>
      </c>
      <c r="AK16" s="635">
        <f t="shared" si="211"/>
        <v>0.94611032925066385</v>
      </c>
      <c r="AL16" s="629">
        <f t="shared" si="91"/>
        <v>-0.28255777943196625</v>
      </c>
      <c r="AM16" s="634">
        <f t="shared" si="92"/>
        <v>-0.15822877793775986</v>
      </c>
      <c r="AN16" s="581">
        <f t="shared" si="93"/>
        <v>-60.751726072709396</v>
      </c>
      <c r="AO16" s="582">
        <f t="shared" si="94"/>
        <v>18.895582636556412</v>
      </c>
      <c r="AP16" s="585">
        <f t="shared" si="95"/>
        <v>-16.628362517143646</v>
      </c>
      <c r="AQ16" s="586">
        <f t="shared" si="9"/>
        <v>0.42656243791266568</v>
      </c>
      <c r="AS16" s="52">
        <f t="shared" si="116"/>
        <v>-1.9959997118132833</v>
      </c>
      <c r="AT16" s="72">
        <f t="shared" si="10"/>
        <v>-1.27071772575419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1.135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0.23930036959867548</v>
      </c>
      <c r="C17" s="708">
        <v>5.7023983185032492</v>
      </c>
      <c r="D17" s="709">
        <v>-1.9672059330930944</v>
      </c>
      <c r="E17" s="710">
        <v>-0.89773537086064614</v>
      </c>
      <c r="F17" s="708">
        <v>0.42119809856166973</v>
      </c>
      <c r="G17" s="711">
        <v>0.12908665954982448</v>
      </c>
      <c r="H17" s="710">
        <v>0.314</v>
      </c>
      <c r="I17" s="708">
        <v>0.52</v>
      </c>
      <c r="J17" s="570">
        <v>1.141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1.141</v>
      </c>
      <c r="N17" s="632">
        <f t="shared" si="2"/>
        <v>0.23930036959867548</v>
      </c>
      <c r="O17" s="629">
        <f t="shared" si="3"/>
        <v>5.7023983185032492</v>
      </c>
      <c r="P17" s="633">
        <f t="shared" si="4"/>
        <v>-1.9672059330930944</v>
      </c>
      <c r="Q17" s="585">
        <f>IF(M17="","",IF(DEGREES(ATAN2(N17,O17))&lt;0,DEGREES(ATAN2(N17,O17))+360,IF(DEGREES(ATAN2(N17,O17))&gt;360,DEGREES(ATAN2(N17,O17))-360,DEGREES(ATAN2(N17,O17)))))</f>
        <v>87.597000346950225</v>
      </c>
      <c r="R17" s="629">
        <f>IF(M17="","",SQRT(N17^2+O17^2))</f>
        <v>5.7074172135703156</v>
      </c>
      <c r="S17" s="634">
        <f>IF(M17="","",P17)</f>
        <v>-1.9672059330930944</v>
      </c>
      <c r="T17" s="635">
        <f>IF(M17="","",X17*COS(RADIANS(W17)))</f>
        <v>5.7023983185032483</v>
      </c>
      <c r="U17" s="629">
        <f>IF(M17="","",X17*SIN(RADIANS(W17)))</f>
        <v>-0.23930036959867784</v>
      </c>
      <c r="V17" s="636">
        <f>IF(M17="","",Y17)</f>
        <v>-1.9672059330930944</v>
      </c>
      <c r="W17" s="585">
        <f t="shared" si="224"/>
        <v>357.59700034695021</v>
      </c>
      <c r="X17" s="629">
        <f>IF(M17="","",R17)</f>
        <v>5.7074172135703156</v>
      </c>
      <c r="Y17" s="630">
        <f t="shared" si="223"/>
        <v>-1.9672059330930944</v>
      </c>
      <c r="Z17" s="632">
        <f t="shared" si="6"/>
        <v>0.89773537086064614</v>
      </c>
      <c r="AA17" s="629">
        <f t="shared" si="7"/>
        <v>-0.42119809856166973</v>
      </c>
      <c r="AB17" s="629">
        <f t="shared" si="8"/>
        <v>-0.12908665954982448</v>
      </c>
      <c r="AC17" s="636">
        <f>IF(M17="","",SQRT(Z17^2+AA17^2+AB17^2))</f>
        <v>1</v>
      </c>
      <c r="AD17" s="637">
        <f>IF(M17="","",Z17*(1/SQRT(Z17^2+AA17^2+AB17^2)))</f>
        <v>0.89773537086064614</v>
      </c>
      <c r="AE17" s="629">
        <f>IF(M17="","",AA17*(1/SQRT(Z17^2+AA17^2+AB17^2)))</f>
        <v>-0.42119809856166973</v>
      </c>
      <c r="AF17" s="633">
        <f>IF(M17="","",AB17*(1/SQRT(Z17^2+AA17^2+AB17^2)))</f>
        <v>-0.12908665954982448</v>
      </c>
      <c r="AG17" s="602">
        <f>IF(M17="","",DEGREES(ATAN2(-AF17,AE17)))</f>
        <v>-72.96101071351373</v>
      </c>
      <c r="AH17" s="603">
        <f>IF(M17="","",DEGREES(ACOS(AD17)))</f>
        <v>26.138029745653178</v>
      </c>
      <c r="AI17" s="585">
        <f>IF(M17="","",DEGREES(-ACOS(-AF17)))</f>
        <v>-82.583182935407805</v>
      </c>
      <c r="AJ17" s="586">
        <f>IF(M17="","",DEGREES(ATAN2(-AE17,AD17)))</f>
        <v>64.865041839158962</v>
      </c>
      <c r="AK17" s="635">
        <f>IF(M17="","",(COS(RADIANS((90-$Q$8)-W17))*AD17)+(-SIN(RADIANS((90-$Q$8)-W17))*AE17))</f>
        <v>0.91460591272444847</v>
      </c>
      <c r="AL17" s="629">
        <f>IF(M17="","",(SIN(RADIANS((90-$Q$8)-W17))*AD17)+(COS(RADIANS((90-$Q$8)-W17))*AE17))</f>
        <v>-0.38318749814646408</v>
      </c>
      <c r="AM17" s="634">
        <f>IF(M17="","",AF17)</f>
        <v>-0.12908665954982448</v>
      </c>
      <c r="AN17" s="581">
        <f>IF(M17="","",DEGREES(ATAN2(-AM17,AL17)))</f>
        <v>-71.382565500494167</v>
      </c>
      <c r="AO17" s="582">
        <f t="shared" si="94"/>
        <v>23.850176710693468</v>
      </c>
      <c r="AP17" s="585">
        <f>IF(M17="","",DEGREES(ATAN2(AK17,AL17)))</f>
        <v>-22.731958507791241</v>
      </c>
      <c r="AQ17" s="586">
        <f t="shared" si="9"/>
        <v>0.39942580255603444</v>
      </c>
      <c r="AS17" s="52">
        <f t="shared" si="116"/>
        <v>-2.4029996530497897</v>
      </c>
      <c r="AT17" s="72">
        <f t="shared" si="10"/>
        <v>-1.965537183334032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0.26356209383601681</v>
      </c>
      <c r="C18" s="708">
        <v>5.853687238981931</v>
      </c>
      <c r="D18" s="709">
        <v>-2.7366082536104934</v>
      </c>
      <c r="E18" s="710">
        <v>-0.84561383496386533</v>
      </c>
      <c r="F18" s="708">
        <v>0.52887561383754378</v>
      </c>
      <c r="G18" s="711">
        <v>7.2303715019811962E-2</v>
      </c>
      <c r="H18" s="710">
        <v>0.314</v>
      </c>
      <c r="I18" s="708">
        <v>0.52</v>
      </c>
      <c r="J18" s="570">
        <v>1.147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1.147</v>
      </c>
      <c r="N18" s="632">
        <f t="shared" si="2"/>
        <v>0.26356209383601681</v>
      </c>
      <c r="O18" s="629">
        <f t="shared" si="3"/>
        <v>5.853687238981931</v>
      </c>
      <c r="P18" s="633">
        <f t="shared" si="4"/>
        <v>-2.7366082536104934</v>
      </c>
      <c r="Q18" s="585">
        <f t="shared" si="113"/>
        <v>87.422000372217084</v>
      </c>
      <c r="R18" s="629">
        <f>IF(M18="","",SQRT(N18^2+O18^2))</f>
        <v>5.8596176726069018</v>
      </c>
      <c r="S18" s="634">
        <f>IF(M18="","",P18)</f>
        <v>-2.7366082536104934</v>
      </c>
      <c r="T18" s="635">
        <f>IF(M18="","",X18*COS(RADIANS(W18)))</f>
        <v>5.853687238981931</v>
      </c>
      <c r="U18" s="629">
        <f>IF(M18="","",X18*SIN(RADIANS(W18)))</f>
        <v>-0.26356209383601836</v>
      </c>
      <c r="V18" s="636">
        <f>IF(M18="","",Y18)</f>
        <v>-2.7366082536104934</v>
      </c>
      <c r="W18" s="585">
        <f t="shared" si="224"/>
        <v>357.4220003722171</v>
      </c>
      <c r="X18" s="629">
        <f>IF(M18="","",R18)</f>
        <v>5.8596176726069018</v>
      </c>
      <c r="Y18" s="630">
        <f t="shared" si="223"/>
        <v>-2.7366082536104934</v>
      </c>
      <c r="Z18" s="632">
        <f t="shared" si="6"/>
        <v>0.84561383496386533</v>
      </c>
      <c r="AA18" s="629">
        <f t="shared" si="7"/>
        <v>-0.52887561383754378</v>
      </c>
      <c r="AB18" s="629">
        <f t="shared" si="8"/>
        <v>-7.2303715019811962E-2</v>
      </c>
      <c r="AC18" s="636">
        <f>IF(M18="","",SQRT(Z18^2+AA18^2+AB18^2))</f>
        <v>1</v>
      </c>
      <c r="AD18" s="637">
        <f>IF(M18="","",Z18*(1/SQRT(Z18^2+AA18^2+AB18^2)))</f>
        <v>0.84561383496386533</v>
      </c>
      <c r="AE18" s="629">
        <f>IF(M18="","",AA18*(1/SQRT(Z18^2+AA18^2+AB18^2)))</f>
        <v>-0.52887561383754378</v>
      </c>
      <c r="AF18" s="633">
        <f>IF(M18="","",AB18*(1/SQRT(Z18^2+AA18^2+AB18^2)))</f>
        <v>-7.2303715019811962E-2</v>
      </c>
      <c r="AG18" s="602">
        <f>IF(M18="","",DEGREES(ATAN2(-AF18,AE18)))</f>
        <v>-82.215231839393866</v>
      </c>
      <c r="AH18" s="603">
        <f>IF(M18="","",DEGREES(ACOS(AD18)))</f>
        <v>32.26223702469116</v>
      </c>
      <c r="AI18" s="585">
        <f>IF(M18="","",DEGREES(-ACOS(-AF18)))</f>
        <v>-85.853684216877866</v>
      </c>
      <c r="AJ18" s="586">
        <f>IF(M18="","",DEGREES(ATAN2(-AE18,AD18)))</f>
        <v>57.976740279166336</v>
      </c>
      <c r="AK18" s="635">
        <f>IF(M18="","",(COS(RADIANS((90-$Q$8)-W18))*AD18)+(-SIN(RADIANS((90-$Q$8)-W18))*AE18))</f>
        <v>0.86854650991797011</v>
      </c>
      <c r="AL18" s="629">
        <f>IF(M18="","",(SIN(RADIANS((90-$Q$8)-W18))*AD18)+(COS(RADIANS((90-$Q$8)-W18))*AE18))</f>
        <v>-0.49030514264450409</v>
      </c>
      <c r="AM18" s="634">
        <f>IF(M18="","",AF18)</f>
        <v>-7.2303715019811962E-2</v>
      </c>
      <c r="AN18" s="581">
        <f>IF(M18="","",DEGREES(ATAN2(-AM18,AL18)))</f>
        <v>-81.611236471695051</v>
      </c>
      <c r="AO18" s="582">
        <f t="shared" si="94"/>
        <v>29.709828605935961</v>
      </c>
      <c r="AP18" s="585">
        <f>IF(M18="","",DEGREES(ATAN2(AK18,AL18)))</f>
        <v>-29.445260093050738</v>
      </c>
      <c r="AQ18" s="586">
        <f t="shared" si="9"/>
        <v>0.38905125248395656</v>
      </c>
      <c r="AS18" s="52">
        <f t="shared" si="116"/>
        <v>-2.5779996277829014</v>
      </c>
      <c r="AT18" s="72">
        <f t="shared" si="10"/>
        <v>-2.7348179760911999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1.147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0.26977282511871548</v>
      </c>
      <c r="C19" s="708">
        <v>5.8909439652174722</v>
      </c>
      <c r="D19" s="709">
        <v>-3.5105105876999327</v>
      </c>
      <c r="E19" s="710">
        <v>-0.79205536390468279</v>
      </c>
      <c r="F19" s="708">
        <v>0.61044926120833654</v>
      </c>
      <c r="G19" s="711">
        <v>1.3008419224040881E-7</v>
      </c>
      <c r="H19" s="710">
        <v>0.314</v>
      </c>
      <c r="I19" s="708">
        <v>0.52</v>
      </c>
      <c r="J19" s="570">
        <v>1.153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1.153</v>
      </c>
      <c r="N19" s="632">
        <f t="shared" si="2"/>
        <v>0.26977282511871548</v>
      </c>
      <c r="O19" s="629">
        <f t="shared" si="3"/>
        <v>5.8909439652174722</v>
      </c>
      <c r="P19" s="633">
        <f t="shared" si="4"/>
        <v>-3.5105105876999327</v>
      </c>
      <c r="Q19" s="585">
        <f t="shared" si="113"/>
        <v>87.378000378569908</v>
      </c>
      <c r="R19" s="629">
        <f>IF(M19="","",SQRT(N19^2+O19^2))</f>
        <v>5.897117785707243</v>
      </c>
      <c r="S19" s="634">
        <f>IF(M19="","",P19)</f>
        <v>-3.5105105876999327</v>
      </c>
      <c r="T19" s="635">
        <f>IF(M19="","",X19*COS(RADIANS(W19)))</f>
        <v>5.8909439652174731</v>
      </c>
      <c r="U19" s="629">
        <f>IF(M19="","",X19*SIN(RADIANS(W19)))</f>
        <v>-0.26977282511871115</v>
      </c>
      <c r="V19" s="636">
        <f>IF(M19="","",Y19)</f>
        <v>-3.5105105876999327</v>
      </c>
      <c r="W19" s="585">
        <f t="shared" si="224"/>
        <v>357.37800037856994</v>
      </c>
      <c r="X19" s="629">
        <f>IF(M19="","",R19)</f>
        <v>5.897117785707243</v>
      </c>
      <c r="Y19" s="630">
        <f t="shared" si="223"/>
        <v>-3.5105105876999327</v>
      </c>
      <c r="Z19" s="632">
        <f t="shared" si="6"/>
        <v>0.79205536390468279</v>
      </c>
      <c r="AA19" s="629">
        <f t="shared" si="7"/>
        <v>-0.61044926120833654</v>
      </c>
      <c r="AB19" s="629">
        <f t="shared" si="8"/>
        <v>-1.3008419224040881E-7</v>
      </c>
      <c r="AC19" s="636">
        <f>IF(M19="","",SQRT(Z19^2+AA19^2+AB19^2))</f>
        <v>1</v>
      </c>
      <c r="AD19" s="637">
        <f>IF(M19="","",Z19*(1/SQRT(Z19^2+AA19^2+AB19^2)))</f>
        <v>0.79205536390468279</v>
      </c>
      <c r="AE19" s="629">
        <f>IF(M19="","",AA19*(1/SQRT(Z19^2+AA19^2+AB19^2)))</f>
        <v>-0.61044926120833654</v>
      </c>
      <c r="AF19" s="633">
        <f>IF(M19="","",AB19*(1/SQRT(Z19^2+AA19^2+AB19^2)))</f>
        <v>-1.3008419224040881E-7</v>
      </c>
      <c r="AG19" s="602">
        <f>IF(M19="","",DEGREES(ATAN2(-AF19,AE19)))</f>
        <v>-89.999987790508285</v>
      </c>
      <c r="AH19" s="603">
        <f>IF(M19="","",DEGREES(ACOS(AD19)))</f>
        <v>37.621994568055975</v>
      </c>
      <c r="AI19" s="585">
        <f>IF(M19="","",DEGREES(-ACOS(-AF19)))</f>
        <v>-89.999992546724798</v>
      </c>
      <c r="AJ19" s="586">
        <f>IF(M19="","",DEGREES(ATAN2(-AE19,AD19)))</f>
        <v>52.378005431944651</v>
      </c>
      <c r="AK19" s="635">
        <f>IF(M19="","",(COS(RADIANS((90-$Q$8)-W19))*AD19)+(-SIN(RADIANS((90-$Q$8)-W19))*AE19))</f>
        <v>0.81915209487729168</v>
      </c>
      <c r="AL19" s="629">
        <f>IF(M19="","",(SIN(RADIANS((90-$Q$8)-W19))*AD19)+(COS(RADIANS((90-$Q$8)-W19))*AE19))</f>
        <v>-0.57357636410344515</v>
      </c>
      <c r="AM19" s="634">
        <f>IF(M19="","",AF19)</f>
        <v>-1.3008419224040881E-7</v>
      </c>
      <c r="AN19" s="581">
        <f>IF(M19="","",DEGREES(ATAN2(-AM19,AL19)))</f>
        <v>-89.999987005609611</v>
      </c>
      <c r="AO19" s="582">
        <f t="shared" si="94"/>
        <v>34.999994946625982</v>
      </c>
      <c r="AP19" s="585">
        <f>IF(M19="","",DEGREES(ATAN2(AK19,AL19)))</f>
        <v>-34.9999949466253</v>
      </c>
      <c r="AQ19" s="586">
        <f t="shared" si="9"/>
        <v>0.38657732838746756</v>
      </c>
      <c r="AS19" s="52">
        <f t="shared" si="116"/>
        <v>-2.6219996214300636</v>
      </c>
      <c r="AT19" s="72">
        <f t="shared" si="10"/>
        <v>-3.5086897546294953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1.153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1.0748229083580014</v>
      </c>
      <c r="C20" s="708">
        <v>1.5125907648138979</v>
      </c>
      <c r="D20" s="709">
        <v>-0.37788798107254484</v>
      </c>
      <c r="E20" s="710">
        <v>-1.8487371460528875E-7</v>
      </c>
      <c r="F20" s="708">
        <v>1.3136831734884448E-7</v>
      </c>
      <c r="G20" s="711">
        <v>0.99999999999997435</v>
      </c>
      <c r="H20" s="710">
        <v>0.25700000000000001</v>
      </c>
      <c r="I20" s="708">
        <v>0.41499999999999992</v>
      </c>
      <c r="J20" s="570">
        <v>1.2070000000000001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280</v>
      </c>
      <c r="M20" s="168">
        <f t="shared" si="1"/>
        <v>1.2070000000000001</v>
      </c>
      <c r="N20" s="632">
        <f t="shared" si="2"/>
        <v>1.0748229083580014</v>
      </c>
      <c r="O20" s="629">
        <f t="shared" si="3"/>
        <v>1.5125907648138979</v>
      </c>
      <c r="P20" s="633">
        <f t="shared" si="4"/>
        <v>-0.37788798107254484</v>
      </c>
      <c r="Q20" s="585">
        <f t="shared" si="113"/>
        <v>54.603005110693744</v>
      </c>
      <c r="R20" s="629">
        <f>IF(M20="","",SQRT(N20^2+O20^2))</f>
        <v>1.8555794529287732</v>
      </c>
      <c r="S20" s="634">
        <f>IF(M20="","",P20)</f>
        <v>-0.37788798107254484</v>
      </c>
      <c r="T20" s="635">
        <f>IF(M20="","",X20*COS(RADIANS(W20)))</f>
        <v>1.5125907648138979</v>
      </c>
      <c r="U20" s="629">
        <f>IF(M20="","",X20*SIN(RADIANS(W20)))</f>
        <v>-1.0748229083580016</v>
      </c>
      <c r="V20" s="636">
        <f>IF(M20="","",Y20)</f>
        <v>-0.37788798107254484</v>
      </c>
      <c r="W20" s="585">
        <f t="shared" si="224"/>
        <v>324.60300511069374</v>
      </c>
      <c r="X20" s="629">
        <f>IF(M20="","",R20)</f>
        <v>1.8555794529287732</v>
      </c>
      <c r="Y20" s="630">
        <f t="shared" si="223"/>
        <v>-0.37788798107254484</v>
      </c>
      <c r="Z20" s="632">
        <f t="shared" si="6"/>
        <v>1.8487371460528875E-7</v>
      </c>
      <c r="AA20" s="629">
        <f t="shared" si="7"/>
        <v>-1.3136831734884448E-7</v>
      </c>
      <c r="AB20" s="629">
        <f t="shared" si="8"/>
        <v>-0.99999999999997435</v>
      </c>
      <c r="AC20" s="636">
        <f>IF(M20="","",SQRT(Z20^2+AA20^2+AB20^2))</f>
        <v>1</v>
      </c>
      <c r="AD20" s="637">
        <f>IF(M20="","",Z20*(1/SQRT(Z20^2+AA20^2+AB20^2)))</f>
        <v>1.8487371460528875E-7</v>
      </c>
      <c r="AE20" s="629">
        <f>IF(M20="","",AA20*(1/SQRT(Z20^2+AA20^2+AB20^2)))</f>
        <v>-1.3136831734884448E-7</v>
      </c>
      <c r="AF20" s="633">
        <f>IF(M20="","",AB20*(1/SQRT(Z20^2+AA20^2+AB20^2)))</f>
        <v>-0.99999999999997435</v>
      </c>
      <c r="AG20" s="602">
        <f>IF(M20="","",DEGREES(ATAN2(-AF20,AE20)))</f>
        <v>-7.5268501458241696E-6</v>
      </c>
      <c r="AH20" s="603">
        <f>IF(M20="","",DEGREES(ACOS(AD20)))</f>
        <v>89.999989407516409</v>
      </c>
      <c r="AI20" s="585">
        <f>IF(M20="","",DEGREES(-ACOS(-AF20)))</f>
        <v>-1.2976235990044085E-5</v>
      </c>
      <c r="AJ20" s="586">
        <f>IF(M20="","",DEGREES(ATAN2(-AE20,AD20)))</f>
        <v>54.603005110693751</v>
      </c>
      <c r="AK20" s="635">
        <f>IF(M20="","",(COS(RADIANS((90-$Q$8)-W20))*AD20)+(-SIN(RADIANS((90-$Q$8)-W20))*AE20))</f>
        <v>2.2679489666882823E-7</v>
      </c>
      <c r="AL20" s="629">
        <f>IF(M20="","",(SIN(RADIANS((90-$Q$8)-W20))*AD20)+(COS(RADIANS((90-$Q$8)-W20))*AE20))</f>
        <v>5.2939559203393771E-23</v>
      </c>
      <c r="AM20" s="634">
        <f>IF(M20="","",AF20)</f>
        <v>-0.99999999999997435</v>
      </c>
      <c r="AN20" s="581">
        <f>IF(M20="","",DEGREES(ATAN2(-AM20,AL20)))</f>
        <v>3.0332133116374958E-21</v>
      </c>
      <c r="AO20" s="582">
        <f t="shared" si="94"/>
        <v>0</v>
      </c>
      <c r="AP20" s="585">
        <f>IF(M20="","",DEGREES(ATAN2(AK20,AL20)))</f>
        <v>1.3374257340836881E-14</v>
      </c>
      <c r="AQ20" s="586">
        <f t="shared" si="9"/>
        <v>1.228391123260359</v>
      </c>
      <c r="AS20" s="52">
        <f t="shared" si="116"/>
        <v>-35.396994889306256</v>
      </c>
      <c r="AT20" s="72">
        <f t="shared" si="10"/>
        <v>-0.3533067346216377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1.2070000000000001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1.107</v>
      </c>
      <c r="II20" s="734" cm="1">
        <f t="array" ref="II20">IFERROR(ROUND(VALUE(IF($IH20&lt;1,$IH20+LARGE((IF($M$9:$M$150="",0,$M$9:$M$150)-MOD(IF($M$9:$M$150="",0,$M$9:$M$150),1)),1),$IH20)),4),"")</f>
        <v>1.107</v>
      </c>
      <c r="IJ20" s="533">
        <f t="shared" si="112"/>
        <v>1613</v>
      </c>
      <c r="IK20" s="533" t="str">
        <f t="shared" si="66"/>
        <v>CPS-32193r1</v>
      </c>
      <c r="IL20" s="727">
        <f t="shared" si="225"/>
        <v>35.396994889306256</v>
      </c>
      <c r="IM20" s="759">
        <v>4.29713266192535E-2</v>
      </c>
      <c r="IN20" s="5">
        <f t="shared" si="226"/>
        <v>0.56000000000000005</v>
      </c>
      <c r="IO20" s="771">
        <v>280</v>
      </c>
      <c r="IP20" s="9">
        <f t="shared" si="227"/>
        <v>-1.8727056480802349</v>
      </c>
      <c r="IQ20" s="5">
        <f t="shared" si="228"/>
        <v>-0.36540110204972376</v>
      </c>
      <c r="IR20" s="5">
        <f t="shared" si="71"/>
        <v>0.314</v>
      </c>
      <c r="IS20" s="5">
        <f t="shared" si="229"/>
        <v>0.30330071252667312</v>
      </c>
      <c r="IT20" s="727">
        <f t="shared" si="230"/>
        <v>-14.999997834268267</v>
      </c>
      <c r="IU20" s="9">
        <f t="shared" si="231"/>
        <v>-1.8555794529287732</v>
      </c>
      <c r="IV20" s="5">
        <f t="shared" si="232"/>
        <v>-0.37788798107254484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-3.0332133116374958E-21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1.1470043890819455</v>
      </c>
      <c r="C21" s="708">
        <v>2.2849344391239286</v>
      </c>
      <c r="D21" s="709">
        <v>-0.18772937016906624</v>
      </c>
      <c r="E21" s="710">
        <v>-2.0269027489888525E-7</v>
      </c>
      <c r="F21" s="708">
        <v>1.0174761732874304E-7</v>
      </c>
      <c r="G21" s="711">
        <v>0.99999999999997435</v>
      </c>
      <c r="H21" s="710">
        <v>0.25700000000000001</v>
      </c>
      <c r="I21" s="708">
        <v>0.41499999999999992</v>
      </c>
      <c r="J21" s="570">
        <v>1.2110000000000001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1.2110000000000001</v>
      </c>
      <c r="N21" s="632">
        <f t="shared" si="2"/>
        <v>1.1470043890819455</v>
      </c>
      <c r="O21" s="629">
        <f t="shared" si="3"/>
        <v>2.2849344391239286</v>
      </c>
      <c r="P21" s="633">
        <f t="shared" si="4"/>
        <v>-0.18772937016906624</v>
      </c>
      <c r="Q21" s="585">
        <f t="shared" si="113"/>
        <v>63.344003848649677</v>
      </c>
      <c r="R21" s="629">
        <f>IF(M21="","",SQRT(N21^2+O21^2))</f>
        <v>2.5566666696438602</v>
      </c>
      <c r="S21" s="634">
        <f>IF(M21="","",P21)</f>
        <v>-0.18772937016906624</v>
      </c>
      <c r="T21" s="635">
        <f>IF(M21="","",X21*COS(RADIANS(W21)))</f>
        <v>2.2849344391239277</v>
      </c>
      <c r="U21" s="629">
        <f>IF(M21="","",X21*SIN(RADIANS(W21)))</f>
        <v>-1.1470043890819468</v>
      </c>
      <c r="V21" s="636">
        <f>IF(M21="","",Y21)</f>
        <v>-0.18772937016906624</v>
      </c>
      <c r="W21" s="585">
        <f t="shared" si="224"/>
        <v>333.34400384864966</v>
      </c>
      <c r="X21" s="629">
        <f>IF(M21="","",R21)</f>
        <v>2.5566666696438602</v>
      </c>
      <c r="Y21" s="630">
        <f t="shared" si="223"/>
        <v>-0.18772937016906624</v>
      </c>
      <c r="Z21" s="632">
        <f t="shared" si="6"/>
        <v>2.0269027489888525E-7</v>
      </c>
      <c r="AA21" s="629">
        <f t="shared" si="7"/>
        <v>-1.0174761732874304E-7</v>
      </c>
      <c r="AB21" s="629">
        <f t="shared" si="8"/>
        <v>-0.99999999999997435</v>
      </c>
      <c r="AC21" s="636">
        <f>IF(M21="","",SQRT(Z21^2+AA21^2+AB21^2))</f>
        <v>1</v>
      </c>
      <c r="AD21" s="637">
        <f>IF(M21="","",Z21*(1/SQRT(Z21^2+AA21^2+AB21^2)))</f>
        <v>2.0269027489888525E-7</v>
      </c>
      <c r="AE21" s="629">
        <f>IF(M21="","",AA21*(1/SQRT(Z21^2+AA21^2+AB21^2)))</f>
        <v>-1.0174761732874304E-7</v>
      </c>
      <c r="AF21" s="633">
        <f>IF(M21="","",AB21*(1/SQRT(Z21^2+AA21^2+AB21^2)))</f>
        <v>-0.99999999999997435</v>
      </c>
      <c r="AG21" s="602">
        <f>IF(M21="","",DEGREES(ATAN2(-AF21,AE21)))</f>
        <v>-5.8297090484492638E-6</v>
      </c>
      <c r="AH21" s="603">
        <f>IF(M21="","",DEGREES(ACOS(AD21)))</f>
        <v>89.999988386702697</v>
      </c>
      <c r="AI21" s="585">
        <f>IF(M21="","",DEGREES(-ACOS(-AF21)))</f>
        <v>-1.2976235990044085E-5</v>
      </c>
      <c r="AJ21" s="586">
        <f>IF(M21="","",DEGREES(ATAN2(-AE21,AD21)))</f>
        <v>63.344003848649663</v>
      </c>
      <c r="AK21" s="635">
        <f>IF(M21="","",(COS(RADIANS((90-$Q$8)-W21))*AD21)+(-SIN(RADIANS((90-$Q$8)-W21))*AE21))</f>
        <v>2.2679489670330327E-7</v>
      </c>
      <c r="AL21" s="629">
        <f>IF(M21="","",(SIN(RADIANS((90-$Q$8)-W21))*AD21)+(COS(RADIANS((90-$Q$8)-W21))*AE21))</f>
        <v>7.9409338805090657E-23</v>
      </c>
      <c r="AM21" s="634">
        <f>IF(M21="","",AF21)</f>
        <v>-0.99999999999997435</v>
      </c>
      <c r="AN21" s="581">
        <f>IF(M21="","",DEGREES(ATAN2(-AM21,AL21)))</f>
        <v>4.549819967456243E-21</v>
      </c>
      <c r="AO21" s="582">
        <f>IF(ROUND(IF(M21="",0,DEGREES(ACOS(AK21))),4)=90,0,IF(M21="","",DEGREES(ACOS(AK21))))</f>
        <v>0</v>
      </c>
      <c r="AP21" s="585">
        <f>IF(M21="","",DEGREES(ATAN2(AK21,AL21)))</f>
        <v>2.0061386008205793E-14</v>
      </c>
      <c r="AQ21" s="586">
        <f t="shared" si="9"/>
        <v>0.89160727783172089</v>
      </c>
      <c r="AS21" s="52">
        <f t="shared" si="116"/>
        <v>-26.655996151350337</v>
      </c>
      <c r="AT21" s="72">
        <f t="shared" si="10"/>
        <v>-0.16921826173062851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1.2110000000000001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1.111</v>
      </c>
      <c r="II21" s="734" cm="1">
        <f t="array" ref="II21">IFERROR(ROUND(VALUE(IF($IH21&lt;1,$IH21+LARGE((IF($M$9:$M$150="",0,$M$9:$M$150)-MOD(IF($M$9:$M$150="",0,$M$9:$M$150),1)),1),$IH21)),4),"")</f>
        <v>1.111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26.655996151350337</v>
      </c>
      <c r="IM21" s="759">
        <v>4.1403559481328803E-2</v>
      </c>
      <c r="IN21" s="5">
        <f t="shared" si="226"/>
        <v>0.64</v>
      </c>
      <c r="IO21" s="771">
        <v>320</v>
      </c>
      <c r="IP21" s="9">
        <f t="shared" si="227"/>
        <v>-2.5714077553657906</v>
      </c>
      <c r="IQ21" s="5">
        <f t="shared" si="228"/>
        <v>-0.18390055464407282</v>
      </c>
      <c r="IR21" s="5">
        <f t="shared" si="71"/>
        <v>0.314</v>
      </c>
      <c r="IS21" s="5">
        <f t="shared" si="229"/>
        <v>0.30330071252667312</v>
      </c>
      <c r="IT21" s="727">
        <f t="shared" si="230"/>
        <v>-11.999998267414613</v>
      </c>
      <c r="IU21" s="9">
        <f t="shared" si="231"/>
        <v>-2.5566666696438602</v>
      </c>
      <c r="IV21" s="5">
        <f t="shared" si="232"/>
        <v>-0.18772937016906624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-4.549819967456243E-21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2.1047538590320802</v>
      </c>
      <c r="C22" s="708">
        <v>3.5335618913979596</v>
      </c>
      <c r="D22" s="709">
        <v>-0.34785104911876419</v>
      </c>
      <c r="E22" s="710">
        <v>-0.7596621961792186</v>
      </c>
      <c r="F22" s="708">
        <v>0.6086032568812022</v>
      </c>
      <c r="G22" s="711">
        <v>0.22916243891563048</v>
      </c>
      <c r="H22" s="710">
        <v>0.314</v>
      </c>
      <c r="I22" s="708">
        <v>0.52</v>
      </c>
      <c r="J22" s="570">
        <v>2.2229999999999999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2.2229999999999999</v>
      </c>
      <c r="N22" s="632">
        <f t="shared" si="2"/>
        <v>2.1047538590320802</v>
      </c>
      <c r="O22" s="629">
        <f t="shared" si="3"/>
        <v>3.5335618913979596</v>
      </c>
      <c r="P22" s="633">
        <f t="shared" si="4"/>
        <v>-0.34785104911876419</v>
      </c>
      <c r="Q22" s="585">
        <f t="shared" si="113"/>
        <v>59.220004444081511</v>
      </c>
      <c r="R22" s="629">
        <f t="shared" si="79"/>
        <v>4.1129124045438124</v>
      </c>
      <c r="S22" s="634">
        <f t="shared" si="80"/>
        <v>-0.34785104911876419</v>
      </c>
      <c r="T22" s="635">
        <f t="shared" si="81"/>
        <v>3.5335618913979596</v>
      </c>
      <c r="U22" s="629">
        <f t="shared" si="82"/>
        <v>-2.1047538590320816</v>
      </c>
      <c r="V22" s="636">
        <f t="shared" si="114"/>
        <v>-0.34785104911876419</v>
      </c>
      <c r="W22" s="585">
        <f t="shared" si="224"/>
        <v>329.2200044440815</v>
      </c>
      <c r="X22" s="629">
        <f t="shared" si="83"/>
        <v>4.1129124045438124</v>
      </c>
      <c r="Y22" s="630">
        <f t="shared" si="223"/>
        <v>-0.34785104911876419</v>
      </c>
      <c r="Z22" s="632">
        <f t="shared" si="6"/>
        <v>0.7596621961792186</v>
      </c>
      <c r="AA22" s="629">
        <f t="shared" si="7"/>
        <v>-0.6086032568812022</v>
      </c>
      <c r="AB22" s="629">
        <f t="shared" si="8"/>
        <v>-0.22916243891563048</v>
      </c>
      <c r="AC22" s="636">
        <f t="shared" si="84"/>
        <v>1</v>
      </c>
      <c r="AD22" s="637">
        <f t="shared" si="115"/>
        <v>0.7596621961792186</v>
      </c>
      <c r="AE22" s="629">
        <f t="shared" si="85"/>
        <v>-0.6086032568812022</v>
      </c>
      <c r="AF22" s="633">
        <f t="shared" si="86"/>
        <v>-0.22916243891563048</v>
      </c>
      <c r="AG22" s="602">
        <f t="shared" si="87"/>
        <v>-69.366721866780097</v>
      </c>
      <c r="AH22" s="603">
        <f t="shared" si="88"/>
        <v>40.565573105274417</v>
      </c>
      <c r="AI22" s="585">
        <f t="shared" si="89"/>
        <v>-76.752233949216205</v>
      </c>
      <c r="AJ22" s="586">
        <f t="shared" si="90"/>
        <v>51.300042485664207</v>
      </c>
      <c r="AK22" s="635">
        <f t="shared" si="211"/>
        <v>0.96410354762578099</v>
      </c>
      <c r="AL22" s="629">
        <f t="shared" si="91"/>
        <v>-0.13412280210919969</v>
      </c>
      <c r="AM22" s="634">
        <f t="shared" si="92"/>
        <v>-0.22916243891563048</v>
      </c>
      <c r="AN22" s="581">
        <f t="shared" si="93"/>
        <v>-30.33932618133046</v>
      </c>
      <c r="AO22" s="582">
        <f t="shared" si="94"/>
        <v>15.39824290265515</v>
      </c>
      <c r="AP22" s="585">
        <f t="shared" si="95"/>
        <v>-7.9199619584172849</v>
      </c>
      <c r="AQ22" s="586">
        <f t="shared" si="9"/>
        <v>0.5542679476664355</v>
      </c>
      <c r="AS22" s="52">
        <f t="shared" si="116"/>
        <v>-30.779995555918504</v>
      </c>
      <c r="AT22" s="72">
        <f t="shared" si="10"/>
        <v>-0.32647605220493192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2.2229999999999999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1.123</v>
      </c>
      <c r="II22" s="734" cm="1">
        <f t="array" ref="II22">IFERROR(ROUND(VALUE(IF($IH22&lt;1,$IH22+LARGE((IF($M$9:$M$150="",0,$M$9:$M$150)-MOD(IF($M$9:$M$150="",0,$M$9:$M$150),1)),1),$IH22)),4),"")</f>
        <v>1.123</v>
      </c>
      <c r="IJ22" s="533">
        <f t="shared" si="112"/>
        <v>1613</v>
      </c>
      <c r="IK22" s="533">
        <f t="shared" si="66"/>
        <v>1613</v>
      </c>
      <c r="IL22" s="727">
        <f t="shared" si="225"/>
        <v>29.999995668536542</v>
      </c>
      <c r="IM22" s="759">
        <v>6.7777696095348604E-3</v>
      </c>
      <c r="IN22" s="5">
        <f t="shared" si="226"/>
        <v>0.3</v>
      </c>
      <c r="IO22" s="771">
        <v>150</v>
      </c>
      <c r="IP22" s="9">
        <f t="shared" si="227"/>
        <v>-4.1179124196238579</v>
      </c>
      <c r="IQ22" s="5">
        <f t="shared" si="228"/>
        <v>-0.32010096542451172</v>
      </c>
      <c r="IR22" s="5">
        <f t="shared" si="71"/>
        <v>0.314</v>
      </c>
      <c r="IS22" s="5">
        <f t="shared" si="229"/>
        <v>0.30272851395449524</v>
      </c>
      <c r="IT22" s="727">
        <f t="shared" si="230"/>
        <v>30.33932618133041</v>
      </c>
      <c r="IU22" s="9">
        <f t="shared" si="231"/>
        <v>-4.1129124045438124</v>
      </c>
      <c r="IV22" s="5">
        <f t="shared" si="232"/>
        <v>-0.34785104911876419</v>
      </c>
      <c r="IW22" s="5">
        <f t="shared" si="76"/>
        <v>0.314</v>
      </c>
      <c r="IX22" s="5">
        <f t="shared" si="233"/>
        <v>0.30272851395449524</v>
      </c>
      <c r="IY22" s="762">
        <f t="shared" si="234"/>
        <v>30.33932618133046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2.4995205031327257</v>
      </c>
      <c r="C23" s="708">
        <v>4.0916603006099805</v>
      </c>
      <c r="D23" s="709">
        <v>-0.73545221812389006</v>
      </c>
      <c r="E23" s="710">
        <v>-0.70817711859481502</v>
      </c>
      <c r="F23" s="708">
        <v>0.67807924409957354</v>
      </c>
      <c r="G23" s="711">
        <v>0.1967071615882254</v>
      </c>
      <c r="H23" s="710">
        <v>0.314</v>
      </c>
      <c r="I23" s="708">
        <v>0.52</v>
      </c>
      <c r="J23" s="570">
        <v>2.2290000000000001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2.2290000000000001</v>
      </c>
      <c r="N23" s="632">
        <f t="shared" si="2"/>
        <v>2.4995205031327257</v>
      </c>
      <c r="O23" s="629">
        <f t="shared" si="3"/>
        <v>4.0916603006099805</v>
      </c>
      <c r="P23" s="633">
        <f t="shared" si="4"/>
        <v>-0.73545221812389006</v>
      </c>
      <c r="Q23" s="585">
        <f t="shared" si="113"/>
        <v>58.580004536486065</v>
      </c>
      <c r="R23" s="629">
        <f t="shared" si="79"/>
        <v>4.7947144608588141</v>
      </c>
      <c r="S23" s="634">
        <f t="shared" si="80"/>
        <v>-0.73545221812389006</v>
      </c>
      <c r="T23" s="635">
        <f t="shared" si="81"/>
        <v>4.0916603006099805</v>
      </c>
      <c r="U23" s="629">
        <f t="shared" si="82"/>
        <v>-2.4995205031327257</v>
      </c>
      <c r="V23" s="636">
        <f t="shared" si="114"/>
        <v>-0.73545221812389006</v>
      </c>
      <c r="W23" s="585">
        <f t="shared" si="224"/>
        <v>328.58000453648606</v>
      </c>
      <c r="X23" s="629">
        <f t="shared" si="83"/>
        <v>4.7947144608588141</v>
      </c>
      <c r="Y23" s="630">
        <f t="shared" si="223"/>
        <v>-0.73545221812389006</v>
      </c>
      <c r="Z23" s="632">
        <f t="shared" si="6"/>
        <v>0.70817711859481502</v>
      </c>
      <c r="AA23" s="629">
        <f t="shared" si="7"/>
        <v>-0.67807924409957354</v>
      </c>
      <c r="AB23" s="629">
        <f t="shared" si="8"/>
        <v>-0.1967071615882254</v>
      </c>
      <c r="AC23" s="636">
        <f t="shared" si="84"/>
        <v>1</v>
      </c>
      <c r="AD23" s="637">
        <f t="shared" si="115"/>
        <v>0.70817711859481502</v>
      </c>
      <c r="AE23" s="629">
        <f t="shared" si="85"/>
        <v>-0.67807924409957354</v>
      </c>
      <c r="AF23" s="633">
        <f t="shared" si="86"/>
        <v>-0.1967071615882254</v>
      </c>
      <c r="AG23" s="602">
        <f t="shared" si="87"/>
        <v>-73.822838716146208</v>
      </c>
      <c r="AH23" s="603">
        <f t="shared" si="88"/>
        <v>44.913206426985838</v>
      </c>
      <c r="AI23" s="585">
        <f t="shared" si="89"/>
        <v>-78.655531495082897</v>
      </c>
      <c r="AJ23" s="586">
        <f t="shared" si="90"/>
        <v>46.243788907714652</v>
      </c>
      <c r="AK23" s="635">
        <f t="shared" si="211"/>
        <v>0.95782412338018608</v>
      </c>
      <c r="AL23" s="629">
        <f t="shared" si="91"/>
        <v>-0.20947372448801777</v>
      </c>
      <c r="AM23" s="634">
        <f t="shared" si="92"/>
        <v>-0.1967071615882254</v>
      </c>
      <c r="AN23" s="581">
        <f t="shared" si="93"/>
        <v>-46.800255673911941</v>
      </c>
      <c r="AO23" s="582">
        <f t="shared" si="94"/>
        <v>16.699675289228097</v>
      </c>
      <c r="AP23" s="585">
        <f t="shared" si="95"/>
        <v>-12.336215628771415</v>
      </c>
      <c r="AQ23" s="586">
        <f t="shared" si="9"/>
        <v>0.4754556964870193</v>
      </c>
      <c r="AS23" s="52">
        <f t="shared" si="116"/>
        <v>-31.419995463513942</v>
      </c>
      <c r="AT23" s="72">
        <f t="shared" si="10"/>
        <v>-0.7136327768297831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2.2290000000000001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1.129</v>
      </c>
      <c r="II23" s="734" cm="1">
        <f t="array" ref="II23">IFERROR(ROUND(VALUE(IF($IH23&lt;1,$IH23+LARGE((IF($M$9:$M$150="",0,$M$9:$M$150)-MOD(IF($M$9:$M$150="",0,$M$9:$M$150),1)),1),$IH23)),4),"")</f>
        <v>1.129</v>
      </c>
      <c r="IJ23" s="533">
        <f t="shared" si="112"/>
        <v>1613</v>
      </c>
      <c r="IK23" s="533">
        <f t="shared" si="66"/>
        <v>1613</v>
      </c>
      <c r="IL23" s="727">
        <f t="shared" si="225"/>
        <v>29.999995668536542</v>
      </c>
      <c r="IM23" s="759">
        <v>1.0950846056037599E-3</v>
      </c>
      <c r="IN23" s="5">
        <f t="shared" si="226"/>
        <v>0</v>
      </c>
      <c r="IO23" s="771">
        <v>0</v>
      </c>
      <c r="IP23" s="9">
        <f t="shared" si="227"/>
        <v>-4.7997144759388588</v>
      </c>
      <c r="IQ23" s="5">
        <f t="shared" si="228"/>
        <v>-0.70770213442963747</v>
      </c>
      <c r="IR23" s="5">
        <f t="shared" si="71"/>
        <v>0.314</v>
      </c>
      <c r="IS23" s="5">
        <f t="shared" si="229"/>
        <v>0.30075677474137841</v>
      </c>
      <c r="IT23" s="727">
        <f t="shared" si="230"/>
        <v>46.800255673912019</v>
      </c>
      <c r="IU23" s="9">
        <f t="shared" si="231"/>
        <v>-4.7947144608588141</v>
      </c>
      <c r="IV23" s="5">
        <f t="shared" si="232"/>
        <v>-0.73545221812389006</v>
      </c>
      <c r="IW23" s="5">
        <f t="shared" si="76"/>
        <v>0.314</v>
      </c>
      <c r="IX23" s="5">
        <f t="shared" si="233"/>
        <v>0.30075677474137841</v>
      </c>
      <c r="IY23" s="762">
        <f t="shared" si="234"/>
        <v>46.800255673911941</v>
      </c>
      <c r="JA23" s="855" cm="1">
        <f t="array" ref="JA23:JA25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5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</v>
      </c>
      <c r="JG23" s="801">
        <v>9</v>
      </c>
      <c r="JH23" s="800" cm="1">
        <f t="array" ref="JH23:JI25">IF(_xlfn.ANCHORARRAY($JF$23)="","",_xlfn.MINIFS($IO$9:$IO$150,$IK$9:$IK$150,_xlfn.ANCHORARRAY($JA$23),$IE$9:$IE$150,_xlfn.ANCHORARRAY($JH$22),$II$9:$II$150,"&lt;&gt;"&amp;"",$IF$9:$IF$150,"&lt;&gt;"&amp;"Gage"))</f>
        <v>140</v>
      </c>
      <c r="JI23" s="801">
        <v>110</v>
      </c>
    </row>
    <row r="24" spans="1:269" ht="15" customHeight="1" x14ac:dyDescent="0.25">
      <c r="A24" s="79"/>
      <c r="B24" s="707">
        <v>2.8290899752010135</v>
      </c>
      <c r="C24" s="708">
        <v>4.5281946031505766</v>
      </c>
      <c r="D24" s="709">
        <v>-1.2998539203594237</v>
      </c>
      <c r="E24" s="710">
        <v>-0.65266604153433494</v>
      </c>
      <c r="F24" s="708">
        <v>0.74093906096265771</v>
      </c>
      <c r="G24" s="711">
        <v>0.15822877793775988</v>
      </c>
      <c r="H24" s="710">
        <v>0.314</v>
      </c>
      <c r="I24" s="708">
        <v>0.52</v>
      </c>
      <c r="J24" s="570">
        <v>2.2349999999999999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2.2349999999999999</v>
      </c>
      <c r="N24" s="632">
        <f t="shared" si="2"/>
        <v>2.8290899752010135</v>
      </c>
      <c r="O24" s="629">
        <f t="shared" si="3"/>
        <v>4.5281946031505766</v>
      </c>
      <c r="P24" s="633">
        <f t="shared" si="4"/>
        <v>-1.2998539203594237</v>
      </c>
      <c r="Q24" s="585">
        <f t="shared" si="113"/>
        <v>58.004004619650168</v>
      </c>
      <c r="R24" s="629">
        <f t="shared" si="79"/>
        <v>5.3393161033773682</v>
      </c>
      <c r="S24" s="634">
        <f t="shared" si="80"/>
        <v>-1.2998539203594237</v>
      </c>
      <c r="T24" s="635">
        <f t="shared" si="81"/>
        <v>4.5281946031505775</v>
      </c>
      <c r="U24" s="629">
        <f t="shared" si="82"/>
        <v>-2.829089975201013</v>
      </c>
      <c r="V24" s="636">
        <f t="shared" si="114"/>
        <v>-1.2998539203594237</v>
      </c>
      <c r="W24" s="585">
        <f t="shared" si="224"/>
        <v>328.00400461965017</v>
      </c>
      <c r="X24" s="629">
        <f t="shared" si="83"/>
        <v>5.3393161033773682</v>
      </c>
      <c r="Y24" s="630">
        <f t="shared" si="223"/>
        <v>-1.2998539203594237</v>
      </c>
      <c r="Z24" s="632">
        <f t="shared" si="6"/>
        <v>0.65266604153433494</v>
      </c>
      <c r="AA24" s="629">
        <f t="shared" si="7"/>
        <v>-0.74093906096265771</v>
      </c>
      <c r="AB24" s="629">
        <f t="shared" si="8"/>
        <v>-0.15822877793775988</v>
      </c>
      <c r="AC24" s="636">
        <f t="shared" si="84"/>
        <v>1</v>
      </c>
      <c r="AD24" s="637">
        <f t="shared" si="115"/>
        <v>0.65266604153433494</v>
      </c>
      <c r="AE24" s="629">
        <f t="shared" si="85"/>
        <v>-0.74093906096265771</v>
      </c>
      <c r="AF24" s="633">
        <f t="shared" si="86"/>
        <v>-0.15822877793775988</v>
      </c>
      <c r="AG24" s="602">
        <f t="shared" si="87"/>
        <v>-77.945459867940031</v>
      </c>
      <c r="AH24" s="603">
        <f t="shared" si="88"/>
        <v>49.257087120841589</v>
      </c>
      <c r="AI24" s="585">
        <f t="shared" si="89"/>
        <v>-80.895896910768357</v>
      </c>
      <c r="AJ24" s="586">
        <f t="shared" si="90"/>
        <v>41.375642102506511</v>
      </c>
      <c r="AK24" s="635">
        <f>IF(M24="","",(COS(RADIANS((90-$Q$8)-W24))*AD24)+(-SIN(RADIANS((90-$Q$8)-W24))*AE24))</f>
        <v>0.94611032925066385</v>
      </c>
      <c r="AL24" s="629">
        <f t="shared" si="91"/>
        <v>-0.28255777943196636</v>
      </c>
      <c r="AM24" s="634">
        <f t="shared" si="92"/>
        <v>-0.15822877793775988</v>
      </c>
      <c r="AN24" s="581">
        <f t="shared" si="93"/>
        <v>-60.751726072709396</v>
      </c>
      <c r="AO24" s="582">
        <f t="shared" si="94"/>
        <v>18.895582636556412</v>
      </c>
      <c r="AP24" s="585">
        <f t="shared" si="95"/>
        <v>-16.628362517143653</v>
      </c>
      <c r="AQ24" s="586">
        <f t="shared" si="9"/>
        <v>0.42696187852654932</v>
      </c>
      <c r="AS24" s="52">
        <f t="shared" si="116"/>
        <v>-31.995995380349825</v>
      </c>
      <c r="AT24" s="72">
        <f t="shared" si="10"/>
        <v>-1.2776344791230696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2.2349999999999999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1.135</v>
      </c>
      <c r="II24" s="734" cm="1">
        <f t="array" ref="II24">IFERROR(ROUND(VALUE(IF($IH24&lt;1,$IH24+LARGE((IF($M$9:$M$150="",0,$M$9:$M$150)-MOD(IF($M$9:$M$150="",0,$M$9:$M$150),1)),1),$IH24)),4),"")</f>
        <v>1.135</v>
      </c>
      <c r="IJ24" s="533">
        <f t="shared" si="112"/>
        <v>1613</v>
      </c>
      <c r="IK24" s="533">
        <f t="shared" si="66"/>
        <v>1613</v>
      </c>
      <c r="IL24" s="727">
        <f t="shared" si="225"/>
        <v>29.999995668536542</v>
      </c>
      <c r="IM24" s="759">
        <v>1.24341426045892E-3</v>
      </c>
      <c r="IN24" s="5">
        <f t="shared" si="226"/>
        <v>0</v>
      </c>
      <c r="IO24" s="771">
        <v>0</v>
      </c>
      <c r="IP24" s="9">
        <f t="shared" si="227"/>
        <v>-5.3443161184574128</v>
      </c>
      <c r="IQ24" s="5">
        <f t="shared" si="228"/>
        <v>-1.2721038366651714</v>
      </c>
      <c r="IR24" s="5">
        <f t="shared" si="71"/>
        <v>0.314</v>
      </c>
      <c r="IS24" s="5">
        <f t="shared" si="229"/>
        <v>0.29707864338470846</v>
      </c>
      <c r="IT24" s="727">
        <f t="shared" si="230"/>
        <v>60.751726072709396</v>
      </c>
      <c r="IU24" s="9">
        <f t="shared" si="231"/>
        <v>-5.3393161033773682</v>
      </c>
      <c r="IV24" s="5">
        <f t="shared" si="232"/>
        <v>-1.2998539203594237</v>
      </c>
      <c r="IW24" s="5">
        <f t="shared" si="76"/>
        <v>0.314</v>
      </c>
      <c r="IX24" s="5">
        <f t="shared" si="233"/>
        <v>0.29707864338470846</v>
      </c>
      <c r="IY24" s="762">
        <f t="shared" si="234"/>
        <v>60.751726072709396</v>
      </c>
      <c r="JA24" s="798">
        <v>1613</v>
      </c>
      <c r="JB24" s="856" cm="1">
        <f t="array" ref="JB24">IF($JA24="","",COUNT(IF(IF($II$9:$II$150&lt;&gt;"",$IK$9:$IK$150,"")=$JA24,$IG$9:$IG$150,"")))</f>
        <v>18</v>
      </c>
      <c r="JC24" s="5"/>
      <c r="JD24" s="5"/>
      <c r="JE24" s="10"/>
      <c r="JF24" s="247">
        <v>4</v>
      </c>
      <c r="JG24" s="803">
        <v>8</v>
      </c>
      <c r="JH24" s="787">
        <v>0</v>
      </c>
      <c r="JI24" s="803">
        <v>0</v>
      </c>
    </row>
    <row r="25" spans="1:269" ht="15" customHeight="1" x14ac:dyDescent="0.25">
      <c r="A25" s="79"/>
      <c r="B25" s="707">
        <v>3.0557596314161244</v>
      </c>
      <c r="C25" s="708">
        <v>4.8145503404414862</v>
      </c>
      <c r="D25" s="709">
        <v>-1.9949560167873472</v>
      </c>
      <c r="E25" s="710">
        <v>-0.56686264926982033</v>
      </c>
      <c r="F25" s="708">
        <v>0.81363589595658115</v>
      </c>
      <c r="G25" s="711">
        <v>0.1290866595498249</v>
      </c>
      <c r="H25" s="710">
        <v>0.314</v>
      </c>
      <c r="I25" s="708">
        <v>0.52</v>
      </c>
      <c r="J25" s="570">
        <v>2.2410000000000001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2.2410000000000001</v>
      </c>
      <c r="N25" s="632">
        <f t="shared" si="2"/>
        <v>3.0557596314161244</v>
      </c>
      <c r="O25" s="629">
        <f t="shared" si="3"/>
        <v>4.8145503404414862</v>
      </c>
      <c r="P25" s="633">
        <f t="shared" si="4"/>
        <v>-1.9949560167873472</v>
      </c>
      <c r="Q25" s="585">
        <f t="shared" si="113"/>
        <v>57.59700467841369</v>
      </c>
      <c r="R25" s="629">
        <f>IF(M25="","",SQRT(N25^2+O25^2))</f>
        <v>5.702417198490271</v>
      </c>
      <c r="S25" s="634">
        <f>IF(M25="","",P25)</f>
        <v>-1.9949560167873472</v>
      </c>
      <c r="T25" s="635">
        <f>IF(M25="","",X25*COS(RADIANS(W25)))</f>
        <v>4.8145503404414844</v>
      </c>
      <c r="U25" s="629">
        <f>IF(M25="","",X25*SIN(RADIANS(W25)))</f>
        <v>-3.0557596314161257</v>
      </c>
      <c r="V25" s="636">
        <f>IF(M25="","",Y25)</f>
        <v>-1.9949560167873472</v>
      </c>
      <c r="W25" s="585">
        <f t="shared" si="224"/>
        <v>327.59700467841367</v>
      </c>
      <c r="X25" s="629">
        <f>IF(M25="","",R25)</f>
        <v>5.702417198490271</v>
      </c>
      <c r="Y25" s="630">
        <f t="shared" si="223"/>
        <v>-1.9949560167873472</v>
      </c>
      <c r="Z25" s="632">
        <f t="shared" si="6"/>
        <v>0.56686264926982033</v>
      </c>
      <c r="AA25" s="629">
        <f t="shared" si="7"/>
        <v>-0.81363589595658115</v>
      </c>
      <c r="AB25" s="629">
        <f t="shared" si="8"/>
        <v>-0.1290866595498249</v>
      </c>
      <c r="AC25" s="636">
        <f>IF(M25="","",SQRT(Z25^2+AA25^2+AB25^2))</f>
        <v>1</v>
      </c>
      <c r="AD25" s="637">
        <f>IF(M25="","",Z25*(1/SQRT(Z25^2+AA25^2+AB25^2)))</f>
        <v>0.56686264926982033</v>
      </c>
      <c r="AE25" s="629">
        <f>IF(M25="","",AA25*(1/SQRT(Z25^2+AA25^2+AB25^2)))</f>
        <v>-0.81363589595658115</v>
      </c>
      <c r="AF25" s="633">
        <f>IF(M25="","",AB25*(1/SQRT(Z25^2+AA25^2+AB25^2)))</f>
        <v>-0.1290866595498249</v>
      </c>
      <c r="AG25" s="602">
        <f>IF(M25="","",DEGREES(ATAN2(-AF25,AE25)))</f>
        <v>-80.984929137073834</v>
      </c>
      <c r="AH25" s="603">
        <f>IF(M25="","",DEGREES(ACOS(AD25)))</f>
        <v>55.468262771582104</v>
      </c>
      <c r="AI25" s="585">
        <f>IF(M25="","",DEGREES(-ACOS(-AF25)))</f>
        <v>-82.583182935407777</v>
      </c>
      <c r="AJ25" s="586">
        <f>IF(M25="","",DEGREES(ATAN2(-AE25,AD25)))</f>
        <v>34.865046170622435</v>
      </c>
      <c r="AK25" s="635">
        <f>IF(M25="","",(COS(RADIANS((90-$Q$8)-W25))*AD25)+(-SIN(RADIANS((90-$Q$8)-W25))*AE25))</f>
        <v>0.91460591272444847</v>
      </c>
      <c r="AL25" s="629">
        <f>IF(M25="","",(SIN(RADIANS((90-$Q$8)-W25))*AD25)+(COS(RADIANS((90-$Q$8)-W25))*AE25))</f>
        <v>-0.38318749814646391</v>
      </c>
      <c r="AM25" s="634">
        <f>IF(M25="","",AF25)</f>
        <v>-0.1290866595498249</v>
      </c>
      <c r="AN25" s="581">
        <f>IF(M25="","",DEGREES(ATAN2(-AM25,AL25)))</f>
        <v>-71.38256550049411</v>
      </c>
      <c r="AO25" s="582">
        <f>IF(ROUND(IF(M25="",0,DEGREES(ACOS(AK25))),4)=90,0,IF(M25="","",DEGREES(ACOS(AK25))))</f>
        <v>23.850176710693468</v>
      </c>
      <c r="AP25" s="585">
        <f>IF(M25="","",DEGREES(ATAN2(AK25,AL25)))</f>
        <v>-22.73195850779123</v>
      </c>
      <c r="AQ25" s="586">
        <f t="shared" si="9"/>
        <v>0.39977601724155121</v>
      </c>
      <c r="AS25" s="52">
        <f t="shared" si="116"/>
        <v>-32.402995321586332</v>
      </c>
      <c r="AT25" s="72">
        <f t="shared" si="10"/>
        <v>-1.9724539367029124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2.2410000000000001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1.141</v>
      </c>
      <c r="II25" s="734" cm="1">
        <f t="array" ref="II25">IFERROR(ROUND(VALUE(IF($IH25&lt;1,$IH25+LARGE((IF($M$9:$M$150="",0,$M$9:$M$150)-MOD(IF($M$9:$M$150="",0,$M$9:$M$150),1)),1),$IH25)),4),"")</f>
        <v>1.141</v>
      </c>
      <c r="IJ25" s="533">
        <f t="shared" si="112"/>
        <v>1613</v>
      </c>
      <c r="IK25" s="533">
        <f t="shared" si="66"/>
        <v>1613</v>
      </c>
      <c r="IL25" s="727">
        <f t="shared" si="225"/>
        <v>29.999995668536542</v>
      </c>
      <c r="IM25" s="759">
        <v>1.2669390122766399E-3</v>
      </c>
      <c r="IN25" s="5">
        <f t="shared" si="226"/>
        <v>0</v>
      </c>
      <c r="IO25" s="771">
        <v>0</v>
      </c>
      <c r="IP25" s="9">
        <f t="shared" si="227"/>
        <v>-5.7074172135703156</v>
      </c>
      <c r="IQ25" s="5">
        <f t="shared" si="228"/>
        <v>-1.9672059330930944</v>
      </c>
      <c r="IR25" s="5">
        <f t="shared" si="71"/>
        <v>0.314</v>
      </c>
      <c r="IS25" s="5">
        <f t="shared" si="229"/>
        <v>0.28718625659547681</v>
      </c>
      <c r="IT25" s="727">
        <f t="shared" si="230"/>
        <v>71.382565500494167</v>
      </c>
      <c r="IU25" s="9">
        <f t="shared" si="231"/>
        <v>-5.702417198490271</v>
      </c>
      <c r="IV25" s="5">
        <f t="shared" si="232"/>
        <v>-1.9949560167873472</v>
      </c>
      <c r="IW25" s="5">
        <f t="shared" si="76"/>
        <v>0.314</v>
      </c>
      <c r="IX25" s="5">
        <f t="shared" si="233"/>
        <v>0.28718625659547681</v>
      </c>
      <c r="IY25" s="762">
        <f t="shared" si="234"/>
        <v>71.38256550049411</v>
      </c>
      <c r="JA25" s="798" t="str">
        <v>CPS-32193r1</v>
      </c>
      <c r="JB25" s="856" cm="1">
        <f t="array" ref="JB25">IF($JA25="","",COUNT(IF(IF($II$9:$II$150&lt;&gt;"",$IK$9:$IK$150,"")=$JA25,$IG$9:$IG$150,"")))</f>
        <v>9</v>
      </c>
      <c r="JC25" s="5"/>
      <c r="JD25" s="5"/>
      <c r="JE25" s="10"/>
      <c r="JF25" s="247">
        <v>9</v>
      </c>
      <c r="JG25" s="803" t="str">
        <v/>
      </c>
      <c r="JH25" s="787">
        <v>280</v>
      </c>
      <c r="JI25" s="803" t="str">
        <v/>
      </c>
    </row>
    <row r="26" spans="1:269" ht="15" customHeight="1" x14ac:dyDescent="0.25">
      <c r="A26" s="79"/>
      <c r="B26" s="707">
        <v>3.1524024708408915</v>
      </c>
      <c r="C26" s="708">
        <v>4.9334477374004368</v>
      </c>
      <c r="D26" s="709">
        <v>-2.7643583373047451</v>
      </c>
      <c r="E26" s="710">
        <v>-0.46788532254051179</v>
      </c>
      <c r="F26" s="708">
        <v>0.88082659913600181</v>
      </c>
      <c r="G26" s="711">
        <v>7.2303715019814016E-2</v>
      </c>
      <c r="H26" s="710">
        <v>0.314</v>
      </c>
      <c r="I26" s="708">
        <v>0.52</v>
      </c>
      <c r="J26" s="570">
        <v>2.2469999999999999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843"/>
      <c r="M26" s="168">
        <f t="shared" si="1"/>
        <v>2.2469999999999999</v>
      </c>
      <c r="N26" s="632">
        <f t="shared" si="2"/>
        <v>3.1524024708408915</v>
      </c>
      <c r="O26" s="629">
        <f t="shared" si="3"/>
        <v>4.9334477374004368</v>
      </c>
      <c r="P26" s="633">
        <f t="shared" si="4"/>
        <v>-2.7643583373047451</v>
      </c>
      <c r="Q26" s="585">
        <f t="shared" si="113"/>
        <v>57.42200470368055</v>
      </c>
      <c r="R26" s="629">
        <f>IF(M26="","",SQRT(N26^2+O26^2))</f>
        <v>5.8546176575268554</v>
      </c>
      <c r="S26" s="634">
        <f>IF(M26="","",P26)</f>
        <v>-2.7643583373047451</v>
      </c>
      <c r="T26" s="635">
        <f>IF(M26="","",X26*COS(RADIANS(W26)))</f>
        <v>4.933447737400436</v>
      </c>
      <c r="U26" s="629">
        <f>IF(M26="","",X26*SIN(RADIANS(W26)))</f>
        <v>-3.152402470840892</v>
      </c>
      <c r="V26" s="636">
        <f>IF(M26="","",Y26)</f>
        <v>-2.7643583373047451</v>
      </c>
      <c r="W26" s="585">
        <f t="shared" si="224"/>
        <v>327.42200470368056</v>
      </c>
      <c r="X26" s="629">
        <f>IF(M26="","",R26)</f>
        <v>5.8546176575268554</v>
      </c>
      <c r="Y26" s="630">
        <f t="shared" si="223"/>
        <v>-2.7643583373047451</v>
      </c>
      <c r="Z26" s="632">
        <f t="shared" si="6"/>
        <v>0.46788532254051179</v>
      </c>
      <c r="AA26" s="629">
        <f t="shared" si="7"/>
        <v>-0.88082659913600181</v>
      </c>
      <c r="AB26" s="629">
        <f t="shared" si="8"/>
        <v>-7.2303715019814016E-2</v>
      </c>
      <c r="AC26" s="636">
        <f>IF(M26="","",SQRT(Z26^2+AA26^2+AB26^2))</f>
        <v>1</v>
      </c>
      <c r="AD26" s="637">
        <f>IF(M26="","",Z26*(1/SQRT(Z26^2+AA26^2+AB26^2)))</f>
        <v>0.46788532254051179</v>
      </c>
      <c r="AE26" s="629">
        <f>IF(M26="","",AA26*(1/SQRT(Z26^2+AA26^2+AB26^2)))</f>
        <v>-0.88082659913600181</v>
      </c>
      <c r="AF26" s="633">
        <f>IF(M26="","",AB26*(1/SQRT(Z26^2+AA26^2+AB26^2)))</f>
        <v>-7.2303715019814016E-2</v>
      </c>
      <c r="AG26" s="602">
        <f>IF(M26="","",DEGREES(ATAN2(-AF26,AE26)))</f>
        <v>-85.307327849080991</v>
      </c>
      <c r="AH26" s="603">
        <f>IF(M26="","",DEGREES(ACOS(AD26)))</f>
        <v>62.102884422886738</v>
      </c>
      <c r="AI26" s="585">
        <f>IF(M26="","",DEGREES(-ACOS(-AF26)))</f>
        <v>-85.853684216877738</v>
      </c>
      <c r="AJ26" s="586">
        <f>IF(M26="","",DEGREES(ATAN2(-AE26,AD26)))</f>
        <v>27.976744610629851</v>
      </c>
      <c r="AK26" s="635">
        <f>IF(M26="","",(COS(RADIANS((90-$Q$8)-W26))*AD26)+(-SIN(RADIANS((90-$Q$8)-W26))*AE26))</f>
        <v>0.86854650991797033</v>
      </c>
      <c r="AL26" s="629">
        <f>IF(M26="","",(SIN(RADIANS((90-$Q$8)-W26))*AD26)+(COS(RADIANS((90-$Q$8)-W26))*AE26))</f>
        <v>-0.4903051426445032</v>
      </c>
      <c r="AM26" s="634">
        <f>IF(M26="","",AF26)</f>
        <v>-7.2303715019814016E-2</v>
      </c>
      <c r="AN26" s="581">
        <f>IF(M26="","",DEGREES(ATAN2(-AM26,AL26)))</f>
        <v>-81.611236471694809</v>
      </c>
      <c r="AO26" s="582">
        <f t="shared" si="94"/>
        <v>29.709828605935936</v>
      </c>
      <c r="AP26" s="585">
        <f>IF(M26="","",DEGREES(ATAN2(AK26,AL26)))</f>
        <v>-29.445260093050688</v>
      </c>
      <c r="AQ26" s="586">
        <f t="shared" si="9"/>
        <v>0.38938350343070965</v>
      </c>
      <c r="AS26" s="52">
        <f t="shared" si="116"/>
        <v>-32.577995296319443</v>
      </c>
      <c r="AT26" s="72">
        <f t="shared" si="10"/>
        <v>-2.7417347294600787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2.2469999999999999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1.147</v>
      </c>
      <c r="II26" s="734" cm="1">
        <f t="array" ref="II26">IFERROR(ROUND(VALUE(IF($IH26&lt;1,$IH26+LARGE((IF($M$9:$M$150="",0,$M$9:$M$150)-MOD(IF($M$9:$M$150="",0,$M$9:$M$150),1)),1),$IH26)),4),"")</f>
        <v>1.147</v>
      </c>
      <c r="IJ26" s="533">
        <f t="shared" si="112"/>
        <v>1613</v>
      </c>
      <c r="IK26" s="533">
        <f t="shared" si="66"/>
        <v>1613</v>
      </c>
      <c r="IL26" s="727">
        <f t="shared" si="225"/>
        <v>29.999995668536542</v>
      </c>
      <c r="IM26" s="759">
        <v>1.24199854147743E-3</v>
      </c>
      <c r="IN26" s="5">
        <f t="shared" si="226"/>
        <v>0</v>
      </c>
      <c r="IO26" s="771">
        <v>0</v>
      </c>
      <c r="IP26" s="9">
        <f t="shared" si="227"/>
        <v>-5.8596176726069018</v>
      </c>
      <c r="IQ26" s="5">
        <f t="shared" si="228"/>
        <v>-2.7366082536104934</v>
      </c>
      <c r="IR26" s="5">
        <f t="shared" si="71"/>
        <v>0.314</v>
      </c>
      <c r="IS26" s="5">
        <f t="shared" si="229"/>
        <v>0.27272360411424262</v>
      </c>
      <c r="IT26" s="727">
        <f t="shared" si="230"/>
        <v>81.611236471695051</v>
      </c>
      <c r="IU26" s="9">
        <f t="shared" si="231"/>
        <v>-5.8546176575268554</v>
      </c>
      <c r="IV26" s="5">
        <f t="shared" si="232"/>
        <v>-2.7643583373047451</v>
      </c>
      <c r="IW26" s="5">
        <f t="shared" si="76"/>
        <v>0.314</v>
      </c>
      <c r="IX26" s="5">
        <f t="shared" si="233"/>
        <v>0.27272360411424268</v>
      </c>
      <c r="IY26" s="762">
        <f t="shared" si="234"/>
        <v>81.611236471694809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3.176406248026753</v>
      </c>
      <c r="C27" s="708">
        <v>4.9626097136927276</v>
      </c>
      <c r="D27" s="709">
        <v>-3.5382606713941853</v>
      </c>
      <c r="E27" s="710">
        <v>-0.38071550564617512</v>
      </c>
      <c r="F27" s="708">
        <v>0.92469222109876126</v>
      </c>
      <c r="G27" s="711">
        <v>1.3008419012681284E-7</v>
      </c>
      <c r="H27" s="710">
        <v>0.314</v>
      </c>
      <c r="I27" s="708">
        <v>0.52</v>
      </c>
      <c r="J27" s="570">
        <v>2.2530000000000001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843"/>
      <c r="M27" s="168">
        <f t="shared" si="1"/>
        <v>2.2530000000000001</v>
      </c>
      <c r="N27" s="632">
        <f t="shared" si="2"/>
        <v>3.176406248026753</v>
      </c>
      <c r="O27" s="629">
        <f t="shared" si="3"/>
        <v>4.9626097136927276</v>
      </c>
      <c r="P27" s="633">
        <f t="shared" si="4"/>
        <v>-3.5382606713941853</v>
      </c>
      <c r="Q27" s="585">
        <f t="shared" si="113"/>
        <v>57.37800471003338</v>
      </c>
      <c r="R27" s="629">
        <f t="shared" si="79"/>
        <v>5.8921177706271974</v>
      </c>
      <c r="S27" s="634">
        <f t="shared" si="80"/>
        <v>-3.5382606713941853</v>
      </c>
      <c r="T27" s="635">
        <f t="shared" si="81"/>
        <v>4.9626097136927276</v>
      </c>
      <c r="U27" s="629">
        <f t="shared" si="82"/>
        <v>-3.1764062480267543</v>
      </c>
      <c r="V27" s="636">
        <f t="shared" si="114"/>
        <v>-3.5382606713941853</v>
      </c>
      <c r="W27" s="585">
        <f t="shared" si="224"/>
        <v>327.37800471003339</v>
      </c>
      <c r="X27" s="629">
        <f t="shared" si="83"/>
        <v>5.8921177706271974</v>
      </c>
      <c r="Y27" s="630">
        <f t="shared" si="223"/>
        <v>-3.5382606713941853</v>
      </c>
      <c r="Z27" s="632">
        <f t="shared" si="6"/>
        <v>0.38071550564617512</v>
      </c>
      <c r="AA27" s="629">
        <f t="shared" si="7"/>
        <v>-0.92469222109876126</v>
      </c>
      <c r="AB27" s="629">
        <f t="shared" si="8"/>
        <v>-1.3008419012681284E-7</v>
      </c>
      <c r="AC27" s="636">
        <f t="shared" si="84"/>
        <v>1</v>
      </c>
      <c r="AD27" s="637">
        <f t="shared" si="115"/>
        <v>0.38071550564617512</v>
      </c>
      <c r="AE27" s="629">
        <f t="shared" si="85"/>
        <v>-0.92469222109876126</v>
      </c>
      <c r="AF27" s="633">
        <f t="shared" si="86"/>
        <v>-1.3008419012681284E-7</v>
      </c>
      <c r="AG27" s="602">
        <f t="shared" si="87"/>
        <v>-89.999991939723387</v>
      </c>
      <c r="AH27" s="603">
        <f t="shared" si="88"/>
        <v>67.621990236592083</v>
      </c>
      <c r="AI27" s="585">
        <f t="shared" si="89"/>
        <v>-89.999992546724926</v>
      </c>
      <c r="AJ27" s="586">
        <f t="shared" si="90"/>
        <v>22.378009763408112</v>
      </c>
      <c r="AK27" s="635">
        <f t="shared" si="211"/>
        <v>0.81915209487729213</v>
      </c>
      <c r="AL27" s="629">
        <f t="shared" si="91"/>
        <v>-0.57357636410344437</v>
      </c>
      <c r="AM27" s="634">
        <f t="shared" si="92"/>
        <v>-1.3008419012681284E-7</v>
      </c>
      <c r="AN27" s="581">
        <f t="shared" si="93"/>
        <v>-89.999987005609825</v>
      </c>
      <c r="AO27" s="582">
        <f t="shared" si="94"/>
        <v>34.999994946625939</v>
      </c>
      <c r="AP27" s="585">
        <f t="shared" si="95"/>
        <v>-34.99999494662525</v>
      </c>
      <c r="AQ27" s="586">
        <f t="shared" si="9"/>
        <v>0.38690536557415989</v>
      </c>
      <c r="AS27" s="52">
        <f t="shared" si="116"/>
        <v>-32.621995289966605</v>
      </c>
      <c r="AT27" s="72">
        <f t="shared" si="10"/>
        <v>-3.5156065079983754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2.2530000000000001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1.153</v>
      </c>
      <c r="II27" s="734" cm="1">
        <f t="array" ref="II27">IFERROR(ROUND(VALUE(IF($IH27&lt;1,$IH27+LARGE((IF($M$9:$M$150="",0,$M$9:$M$150)-MOD(IF($M$9:$M$150="",0,$M$9:$M$150),1)),1),$IH27)),4),"")</f>
        <v>1.153</v>
      </c>
      <c r="IJ27" s="533">
        <f t="shared" si="112"/>
        <v>1613</v>
      </c>
      <c r="IK27" s="533">
        <f t="shared" si="66"/>
        <v>1613</v>
      </c>
      <c r="IL27" s="727">
        <f t="shared" si="225"/>
        <v>29.999995668536542</v>
      </c>
      <c r="IM27" s="759">
        <v>1.0126188369423601E-3</v>
      </c>
      <c r="IN27" s="5">
        <f t="shared" si="226"/>
        <v>0</v>
      </c>
      <c r="IO27" s="771">
        <v>0</v>
      </c>
      <c r="IP27" s="9">
        <f t="shared" si="227"/>
        <v>-5.897117785707243</v>
      </c>
      <c r="IQ27" s="5">
        <f t="shared" si="228"/>
        <v>-3.5105105876999327</v>
      </c>
      <c r="IR27" s="5">
        <f t="shared" si="71"/>
        <v>0.314</v>
      </c>
      <c r="IS27" s="5">
        <f t="shared" si="229"/>
        <v>0.2572137577914696</v>
      </c>
      <c r="IT27" s="727">
        <f t="shared" si="230"/>
        <v>89.999987005609611</v>
      </c>
      <c r="IU27" s="9">
        <f t="shared" si="231"/>
        <v>-5.8921177706271974</v>
      </c>
      <c r="IV27" s="5">
        <f t="shared" si="232"/>
        <v>-3.5382606713941853</v>
      </c>
      <c r="IW27" s="5">
        <f t="shared" si="76"/>
        <v>0.314</v>
      </c>
      <c r="IX27" s="5">
        <f t="shared" si="233"/>
        <v>0.25721375779146971</v>
      </c>
      <c r="IY27" s="762">
        <f t="shared" si="234"/>
        <v>89.999987005609825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2.2144798933525909</v>
      </c>
      <c r="C28" s="708">
        <v>1.0326269289379839</v>
      </c>
      <c r="D28" s="709">
        <v>-0.21290064210833662</v>
      </c>
      <c r="E28" s="710">
        <v>-0.46892836085802692</v>
      </c>
      <c r="F28" s="708">
        <v>0.84711640802815003</v>
      </c>
      <c r="G28" s="711">
        <v>0.24999996726497559</v>
      </c>
      <c r="H28" s="710">
        <v>0.314</v>
      </c>
      <c r="I28" s="708">
        <v>0.52</v>
      </c>
      <c r="J28" s="570">
        <v>3.11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3.11</v>
      </c>
      <c r="N28" s="632">
        <f t="shared" si="2"/>
        <v>2.2144798933525909</v>
      </c>
      <c r="O28" s="629">
        <f t="shared" si="3"/>
        <v>1.0326269289379839</v>
      </c>
      <c r="P28" s="633">
        <f t="shared" si="4"/>
        <v>-0.21290064210833662</v>
      </c>
      <c r="Q28" s="585">
        <f t="shared" si="113"/>
        <v>24.99995740727595</v>
      </c>
      <c r="R28" s="629">
        <f t="shared" si="79"/>
        <v>2.4434073693166258</v>
      </c>
      <c r="S28" s="634">
        <f t="shared" si="80"/>
        <v>-0.21290064210833662</v>
      </c>
      <c r="T28" s="635">
        <f t="shared" si="81"/>
        <v>1.0326269289379819</v>
      </c>
      <c r="U28" s="629">
        <f t="shared" si="82"/>
        <v>-2.2144798933525918</v>
      </c>
      <c r="V28" s="636">
        <f t="shared" si="114"/>
        <v>-0.21290064210833662</v>
      </c>
      <c r="W28" s="585">
        <f t="shared" si="224"/>
        <v>294.99995740727593</v>
      </c>
      <c r="X28" s="629">
        <f t="shared" si="83"/>
        <v>2.4434073693166258</v>
      </c>
      <c r="Y28" s="630">
        <f t="shared" si="223"/>
        <v>-0.21290064210833662</v>
      </c>
      <c r="Z28" s="632">
        <f t="shared" si="6"/>
        <v>0.46892836085802692</v>
      </c>
      <c r="AA28" s="629">
        <f t="shared" si="7"/>
        <v>-0.84711640802815003</v>
      </c>
      <c r="AB28" s="629">
        <f t="shared" si="8"/>
        <v>-0.24999996726497559</v>
      </c>
      <c r="AC28" s="636">
        <f t="shared" si="84"/>
        <v>1</v>
      </c>
      <c r="AD28" s="637">
        <f t="shared" si="115"/>
        <v>0.46892836085802692</v>
      </c>
      <c r="AE28" s="629">
        <f t="shared" si="85"/>
        <v>-0.84711640802815003</v>
      </c>
      <c r="AF28" s="633">
        <f t="shared" si="86"/>
        <v>-0.24999996726497559</v>
      </c>
      <c r="AG28" s="602">
        <f t="shared" si="87"/>
        <v>-73.557679827552576</v>
      </c>
      <c r="AH28" s="603">
        <f t="shared" si="88"/>
        <v>62.03524341799617</v>
      </c>
      <c r="AI28" s="585">
        <f t="shared" si="89"/>
        <v>-75.522489751159469</v>
      </c>
      <c r="AJ28" s="586">
        <f t="shared" si="90"/>
        <v>28.967087052362523</v>
      </c>
      <c r="AK28" s="635">
        <f t="shared" si="211"/>
        <v>0.96592583607220728</v>
      </c>
      <c r="AL28" s="629">
        <f t="shared" si="91"/>
        <v>6.6987279208208128E-2</v>
      </c>
      <c r="AM28" s="634">
        <f t="shared" si="92"/>
        <v>-0.24999996726497559</v>
      </c>
      <c r="AN28" s="581">
        <f t="shared" si="93"/>
        <v>14.999997834268472</v>
      </c>
      <c r="AO28" s="582">
        <f t="shared" si="94"/>
        <v>14.99999783426828</v>
      </c>
      <c r="AP28" s="585">
        <f t="shared" si="95"/>
        <v>3.9671296450866258</v>
      </c>
      <c r="AQ28" s="586">
        <f t="shared" si="9"/>
        <v>0.9329288213163428</v>
      </c>
      <c r="AS28" s="52">
        <f t="shared" si="116"/>
        <v>-65.000042592724071</v>
      </c>
      <c r="AT28" s="72">
        <f t="shared" si="10"/>
        <v>-0.16776172364116712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2.925376620020796</v>
      </c>
      <c r="C29" s="708">
        <v>1.3541902648565081</v>
      </c>
      <c r="D29" s="709">
        <v>-0.13220039871640255</v>
      </c>
      <c r="E29" s="710">
        <v>-0.37219896219408322</v>
      </c>
      <c r="F29" s="708">
        <v>0.8917078135051979</v>
      </c>
      <c r="G29" s="711">
        <v>0.25753661463067118</v>
      </c>
      <c r="H29" s="710">
        <v>0.314</v>
      </c>
      <c r="I29" s="708">
        <v>0.52</v>
      </c>
      <c r="J29" s="570">
        <v>3.1160000000000001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843"/>
      <c r="M29" s="168">
        <f t="shared" si="1"/>
        <v>3.1160000000000001</v>
      </c>
      <c r="N29" s="632">
        <f t="shared" si="2"/>
        <v>2.925376620020796</v>
      </c>
      <c r="O29" s="629">
        <f t="shared" si="3"/>
        <v>1.3541902648565081</v>
      </c>
      <c r="P29" s="633">
        <f t="shared" si="4"/>
        <v>-0.13220039871640255</v>
      </c>
      <c r="Q29" s="585">
        <f t="shared" si="113"/>
        <v>24.839957430377094</v>
      </c>
      <c r="R29" s="629">
        <f>IF(M29="","",SQRT(N29^2+O29^2))</f>
        <v>3.2236097224069225</v>
      </c>
      <c r="S29" s="634">
        <f>IF(M29="","",P29)</f>
        <v>-0.13220039871640255</v>
      </c>
      <c r="T29" s="635">
        <f>IF(M29="","",X29*COS(RADIANS(W29)))</f>
        <v>1.3541902648565067</v>
      </c>
      <c r="U29" s="629">
        <f>IF(M29="","",X29*SIN(RADIANS(W29)))</f>
        <v>-2.9253766200207965</v>
      </c>
      <c r="V29" s="636">
        <f>IF(M29="","",Y29)</f>
        <v>-0.13220039871640255</v>
      </c>
      <c r="W29" s="585">
        <f t="shared" si="224"/>
        <v>294.83995743037707</v>
      </c>
      <c r="X29" s="629">
        <f>IF(M29="","",R29)</f>
        <v>3.2236097224069225</v>
      </c>
      <c r="Y29" s="630">
        <f t="shared" si="223"/>
        <v>-0.13220039871640255</v>
      </c>
      <c r="Z29" s="632">
        <f t="shared" si="6"/>
        <v>0.37219896219408322</v>
      </c>
      <c r="AA29" s="629">
        <f t="shared" si="7"/>
        <v>-0.8917078135051979</v>
      </c>
      <c r="AB29" s="629">
        <f t="shared" si="8"/>
        <v>-0.25753661463067118</v>
      </c>
      <c r="AC29" s="636">
        <f>IF(M29="","",SQRT(Z29^2+AA29^2+AB29^2))</f>
        <v>1</v>
      </c>
      <c r="AD29" s="637">
        <f>IF(M29="","",Z29*(1/SQRT(Z29^2+AA29^2+AB29^2)))</f>
        <v>0.37219896219408322</v>
      </c>
      <c r="AE29" s="629">
        <f>IF(M29="","",AA29*(1/SQRT(Z29^2+AA29^2+AB29^2)))</f>
        <v>-0.8917078135051979</v>
      </c>
      <c r="AF29" s="633">
        <f>IF(M29="","",AB29*(1/SQRT(Z29^2+AA29^2+AB29^2)))</f>
        <v>-0.25753661463067118</v>
      </c>
      <c r="AG29" s="602">
        <f>IF(M29="","",DEGREES(ATAN2(-AF29,AE29)))</f>
        <v>-73.890606545735579</v>
      </c>
      <c r="AH29" s="603">
        <f>IF(M29="","",DEGREES(ACOS(AD29)))</f>
        <v>68.148702950863225</v>
      </c>
      <c r="AI29" s="585">
        <f>IF(M29="","",DEGREES(-ACOS(-AF29)))</f>
        <v>-75.076056367862407</v>
      </c>
      <c r="AJ29" s="586">
        <f>IF(M29="","",DEGREES(ATAN2(-AE29,AD29)))</f>
        <v>22.655663623482411</v>
      </c>
      <c r="AK29" s="635">
        <f>IF(M29="","",(COS(RADIANS((90-$Q$8)-W29))*AD29)+(-SIN(RADIANS((90-$Q$8)-W29))*AE29))</f>
        <v>0.9655664515079232</v>
      </c>
      <c r="AL29" s="629">
        <f>IF(M29="","",(SIN(RADIANS((90-$Q$8)-W29))*AD29)+(COS(RADIANS((90-$Q$8)-W29))*AE29))</f>
        <v>-3.6828247948700876E-2</v>
      </c>
      <c r="AM29" s="634">
        <f>IF(M29="","",AF29)</f>
        <v>-0.25753661463067118</v>
      </c>
      <c r="AN29" s="581">
        <f>IF(M29="","",DEGREES(ATAN2(-AM29,AL29)))</f>
        <v>-8.1382352403150939</v>
      </c>
      <c r="AO29" s="582">
        <f t="shared" si="94"/>
        <v>15.079351149990844</v>
      </c>
      <c r="AP29" s="585">
        <f>IF(M29="","",DEGREES(ATAN2(AK29,AL29)))</f>
        <v>-2.1842938068946545</v>
      </c>
      <c r="AQ29" s="586">
        <f t="shared" si="9"/>
        <v>0.70716093715115524</v>
      </c>
      <c r="AS29" s="52">
        <f t="shared" si="116"/>
        <v>-65.160042569622931</v>
      </c>
      <c r="AT29" s="72">
        <f t="shared" si="10"/>
        <v>-8.6950369154164403E-2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3.1160000000000001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3.6401059633703365</v>
      </c>
      <c r="C30" s="708">
        <v>1.6454035742892434</v>
      </c>
      <c r="D30" s="709">
        <v>-0.27510082970410238</v>
      </c>
      <c r="E30" s="710">
        <v>-0.28665639167824242</v>
      </c>
      <c r="F30" s="708">
        <v>0.92872442519794607</v>
      </c>
      <c r="G30" s="711">
        <v>0.23515751136367061</v>
      </c>
      <c r="H30" s="710">
        <v>0.314</v>
      </c>
      <c r="I30" s="708">
        <v>0.52</v>
      </c>
      <c r="J30" s="570">
        <v>3.1219999999999999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843"/>
      <c r="M30" s="168">
        <f t="shared" si="1"/>
        <v>3.1219999999999999</v>
      </c>
      <c r="N30" s="632">
        <f t="shared" si="2"/>
        <v>3.6401059633703365</v>
      </c>
      <c r="O30" s="629">
        <f t="shared" si="3"/>
        <v>1.6454035742892434</v>
      </c>
      <c r="P30" s="633">
        <f t="shared" si="4"/>
        <v>-0.27510082970410238</v>
      </c>
      <c r="Q30" s="585">
        <f t="shared" si="113"/>
        <v>24.323957504878258</v>
      </c>
      <c r="R30" s="629">
        <f>IF(M30="","",SQRT(N30^2+O30^2))</f>
        <v>3.9947120480515368</v>
      </c>
      <c r="S30" s="634">
        <f>IF(M30="","",P30)</f>
        <v>-0.27510082970410238</v>
      </c>
      <c r="T30" s="635">
        <f>IF(M30="","",X30*COS(RADIANS(W30)))</f>
        <v>1.6454035742892428</v>
      </c>
      <c r="U30" s="629">
        <f>IF(M30="","",X30*SIN(RADIANS(W30)))</f>
        <v>-3.640105963370337</v>
      </c>
      <c r="V30" s="636">
        <f>IF(M30="","",Y30)</f>
        <v>-0.27510082970410238</v>
      </c>
      <c r="W30" s="585">
        <f t="shared" si="224"/>
        <v>294.32395750487825</v>
      </c>
      <c r="X30" s="629">
        <f>IF(M30="","",R30)</f>
        <v>3.9947120480515368</v>
      </c>
      <c r="Y30" s="630">
        <f t="shared" si="223"/>
        <v>-0.27510082970410238</v>
      </c>
      <c r="Z30" s="632">
        <f t="shared" si="6"/>
        <v>0.28665639167824242</v>
      </c>
      <c r="AA30" s="629">
        <f t="shared" si="7"/>
        <v>-0.92872442519794607</v>
      </c>
      <c r="AB30" s="629">
        <f t="shared" si="8"/>
        <v>-0.23515751136367061</v>
      </c>
      <c r="AC30" s="636">
        <f>IF(M30="","",SQRT(Z30^2+AA30^2+AB30^2))</f>
        <v>1</v>
      </c>
      <c r="AD30" s="637">
        <f>IF(M30="","",Z30*(1/SQRT(Z30^2+AA30^2+AB30^2)))</f>
        <v>0.28665639167824242</v>
      </c>
      <c r="AE30" s="629">
        <f>IF(M30="","",AA30*(1/SQRT(Z30^2+AA30^2+AB30^2)))</f>
        <v>-0.92872442519794607</v>
      </c>
      <c r="AF30" s="633">
        <f>IF(M30="","",AB30*(1/SQRT(Z30^2+AA30^2+AB30^2)))</f>
        <v>-0.23515751136367061</v>
      </c>
      <c r="AG30" s="602">
        <f>IF(M30="","",DEGREES(ATAN2(-AF30,AE30)))</f>
        <v>-75.791065343989558</v>
      </c>
      <c r="AH30" s="603">
        <f>IF(M30="","",DEGREES(ACOS(AD30)))</f>
        <v>73.34211545290141</v>
      </c>
      <c r="AI30" s="585">
        <f>IF(M30="","",DEGREES(-ACOS(-AF30)))</f>
        <v>-76.399092291705131</v>
      </c>
      <c r="AJ30" s="586">
        <f>IF(M30="","",DEGREES(ATAN2(-AE30,AD30)))</f>
        <v>17.153156839963582</v>
      </c>
      <c r="AK30" s="635">
        <f>IF(M30="","",(COS(RADIANS((90-$Q$8)-W30))*AD30)+(-SIN(RADIANS((90-$Q$8)-W30))*AE30))</f>
        <v>0.96435505829011614</v>
      </c>
      <c r="AL30" s="629">
        <f>IF(M30="","",(SIN(RADIANS((90-$Q$8)-W30))*AD30)+(COS(RADIANS((90-$Q$8)-W30))*AE30))</f>
        <v>-0.12132710496633448</v>
      </c>
      <c r="AM30" s="634">
        <f>IF(M30="","",AF30)</f>
        <v>-0.23515751136367061</v>
      </c>
      <c r="AN30" s="581">
        <f>IF(M30="","",DEGREES(ATAN2(-AM30,AL30)))</f>
        <v>-27.29100726237078</v>
      </c>
      <c r="AO30" s="582">
        <f>IF(ROUND(IF(M30="",0,DEGREES(ACOS(AK30))),4)=90,0,IF(M30="","",DEGREES(ACOS(AK30))))</f>
        <v>15.343877838431069</v>
      </c>
      <c r="AP30" s="585">
        <f>IF(M30="","",DEGREES(ATAN2(AK30,AL30)))</f>
        <v>-7.1708006649146689</v>
      </c>
      <c r="AQ30" s="586">
        <f t="shared" si="9"/>
        <v>0.57066722695464356</v>
      </c>
      <c r="AS30" s="52">
        <f t="shared" si="116"/>
        <v>-65.676042495121749</v>
      </c>
      <c r="AT30" s="72">
        <f t="shared" si="10"/>
        <v>-0.22949246686026784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3.1219999999999999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9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280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4.2988115282829389</v>
      </c>
      <c r="C31" s="708">
        <v>1.885700401209405</v>
      </c>
      <c r="D31" s="709">
        <v>-0.62980189948252885</v>
      </c>
      <c r="E31" s="710">
        <v>-0.20261766828689071</v>
      </c>
      <c r="F31" s="708">
        <v>0.95734656763228654</v>
      </c>
      <c r="G31" s="711">
        <v>0.20599424734847196</v>
      </c>
      <c r="H31" s="710">
        <v>0.314</v>
      </c>
      <c r="I31" s="708">
        <v>0.52</v>
      </c>
      <c r="J31" s="570">
        <v>3.1280000000000001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3.1280000000000001</v>
      </c>
      <c r="N31" s="632">
        <f t="shared" si="2"/>
        <v>4.2988115282829389</v>
      </c>
      <c r="O31" s="629">
        <f t="shared" si="3"/>
        <v>1.885700401209405</v>
      </c>
      <c r="P31" s="633">
        <f t="shared" si="4"/>
        <v>-0.62980189948252885</v>
      </c>
      <c r="Q31" s="585">
        <f t="shared" si="113"/>
        <v>23.684957597138432</v>
      </c>
      <c r="R31" s="629">
        <f>IF(M31="","",SQRT(N31^2+O31^2))</f>
        <v>4.6942141577499008</v>
      </c>
      <c r="S31" s="634">
        <f>IF(M31="","",P31)</f>
        <v>-0.62980189948252885</v>
      </c>
      <c r="T31" s="635">
        <f>IF(M31="","",X31*COS(RADIANS(W31)))</f>
        <v>1.8857004012094014</v>
      </c>
      <c r="U31" s="629">
        <f>IF(M31="","",X31*SIN(RADIANS(W31)))</f>
        <v>-4.2988115282829407</v>
      </c>
      <c r="V31" s="636">
        <f>IF(M31="","",Y31)</f>
        <v>-0.62980189948252885</v>
      </c>
      <c r="W31" s="585">
        <f t="shared" si="224"/>
        <v>293.68495759713841</v>
      </c>
      <c r="X31" s="629">
        <f>IF(M31="","",R31)</f>
        <v>4.6942141577499008</v>
      </c>
      <c r="Y31" s="630">
        <f t="shared" si="223"/>
        <v>-0.62980189948252885</v>
      </c>
      <c r="Z31" s="632">
        <f t="shared" si="6"/>
        <v>0.20261766828689071</v>
      </c>
      <c r="AA31" s="629">
        <f t="shared" si="7"/>
        <v>-0.95734656763228654</v>
      </c>
      <c r="AB31" s="629">
        <f t="shared" si="8"/>
        <v>-0.20599424734847196</v>
      </c>
      <c r="AC31" s="636">
        <f>IF(M31="","",SQRT(Z31^2+AA31^2+AB31^2))</f>
        <v>1</v>
      </c>
      <c r="AD31" s="637">
        <f>IF(M31="","",Z31*(1/SQRT(Z31^2+AA31^2+AB31^2)))</f>
        <v>0.20261766828689071</v>
      </c>
      <c r="AE31" s="629">
        <f>IF(M31="","",AA31*(1/SQRT(Z31^2+AA31^2+AB31^2)))</f>
        <v>-0.95734656763228654</v>
      </c>
      <c r="AF31" s="633">
        <f>IF(M31="","",AB31*(1/SQRT(Z31^2+AA31^2+AB31^2)))</f>
        <v>-0.20599424734847196</v>
      </c>
      <c r="AG31" s="602">
        <f>IF(M31="","",DEGREES(ATAN2(-AF31,AE31)))</f>
        <v>-77.856696601688057</v>
      </c>
      <c r="AH31" s="603">
        <f>IF(M31="","",DEGREES(ACOS(AD31)))</f>
        <v>78.309924953549427</v>
      </c>
      <c r="AI31" s="585">
        <f>IF(M31="","",DEGREES(-ACOS(-AF31)))</f>
        <v>-78.112292469957168</v>
      </c>
      <c r="AJ31" s="586">
        <f>IF(M31="","",DEGREES(ATAN2(-AE31,AD31)))</f>
        <v>11.950022904319406</v>
      </c>
      <c r="AK31" s="635">
        <f>IF(M31="","",(COS(RADIANS((90-$Q$8)-W31))*AD31)+(-SIN(RADIANS((90-$Q$8)-W31))*AE31))</f>
        <v>0.9581004463665761</v>
      </c>
      <c r="AL31" s="629">
        <f>IF(M31="","",(SIN(RADIANS((90-$Q$8)-W31))*AD31)+(COS(RADIANS((90-$Q$8)-W31))*AE31))</f>
        <v>-0.19902237243964421</v>
      </c>
      <c r="AM31" s="634">
        <f>IF(M31="","",AF31)</f>
        <v>-0.20599424734847196</v>
      </c>
      <c r="AN31" s="581">
        <f>IF(M31="","",DEGREES(ATAN2(-AM31,AL31)))</f>
        <v>-44.013819335183854</v>
      </c>
      <c r="AO31" s="582">
        <f t="shared" si="94"/>
        <v>16.6444906113027</v>
      </c>
      <c r="AP31" s="585">
        <f>IF(M31="","",DEGREES(ATAN2(AK31,AL31)))</f>
        <v>-11.734934692818976</v>
      </c>
      <c r="AQ31" s="586">
        <f t="shared" si="9"/>
        <v>0.48563443471124279</v>
      </c>
      <c r="AS31" s="52">
        <f t="shared" si="116"/>
        <v>-66.315042402861593</v>
      </c>
      <c r="AT31" s="72">
        <f t="shared" si="10"/>
        <v>-0.5837497867027639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3.1280000000000001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4.8433287559415037</v>
      </c>
      <c r="C32" s="708">
        <v>2.0648515170286621</v>
      </c>
      <c r="D32" s="709">
        <v>-1.1676035214922209</v>
      </c>
      <c r="E32" s="710">
        <v>-0.13037396696667233</v>
      </c>
      <c r="F32" s="708">
        <v>0.97885795381947693</v>
      </c>
      <c r="G32" s="711">
        <v>0.15760626568039679</v>
      </c>
      <c r="H32" s="710">
        <v>0.314</v>
      </c>
      <c r="I32" s="708">
        <v>0.52</v>
      </c>
      <c r="J32" s="570">
        <v>3.1339999999999999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3.1339999999999999</v>
      </c>
      <c r="N32" s="632">
        <f t="shared" si="2"/>
        <v>4.8433287559415037</v>
      </c>
      <c r="O32" s="629">
        <f t="shared" si="3"/>
        <v>2.0648515170286621</v>
      </c>
      <c r="P32" s="633">
        <f t="shared" si="4"/>
        <v>-1.1676035214922209</v>
      </c>
      <c r="Q32" s="585">
        <f t="shared" si="113"/>
        <v>23.089957683045789</v>
      </c>
      <c r="R32" s="629">
        <f t="shared" si="79"/>
        <v>5.2651158795894935</v>
      </c>
      <c r="S32" s="634">
        <f t="shared" si="80"/>
        <v>-1.1676035214922209</v>
      </c>
      <c r="T32" s="635">
        <f t="shared" si="81"/>
        <v>2.0648515170286617</v>
      </c>
      <c r="U32" s="629">
        <f t="shared" si="82"/>
        <v>-4.8433287559415046</v>
      </c>
      <c r="V32" s="636">
        <f t="shared" si="114"/>
        <v>-1.1676035214922209</v>
      </c>
      <c r="W32" s="585">
        <f t="shared" si="224"/>
        <v>293.08995768304578</v>
      </c>
      <c r="X32" s="629">
        <f t="shared" si="83"/>
        <v>5.2651158795894935</v>
      </c>
      <c r="Y32" s="630">
        <f t="shared" si="223"/>
        <v>-1.1676035214922209</v>
      </c>
      <c r="Z32" s="632">
        <f t="shared" si="6"/>
        <v>0.13037396696667233</v>
      </c>
      <c r="AA32" s="629">
        <f t="shared" si="7"/>
        <v>-0.97885795381947693</v>
      </c>
      <c r="AB32" s="629">
        <f t="shared" si="8"/>
        <v>-0.15760626568039679</v>
      </c>
      <c r="AC32" s="636">
        <f t="shared" si="84"/>
        <v>1</v>
      </c>
      <c r="AD32" s="637">
        <f t="shared" si="115"/>
        <v>0.13037396696667233</v>
      </c>
      <c r="AE32" s="629">
        <f t="shared" si="85"/>
        <v>-0.97885795381947693</v>
      </c>
      <c r="AF32" s="633">
        <f t="shared" si="86"/>
        <v>-0.15760626568039679</v>
      </c>
      <c r="AG32" s="602">
        <f t="shared" si="87"/>
        <v>-80.853287939395415</v>
      </c>
      <c r="AH32" s="603">
        <f t="shared" si="88"/>
        <v>82.508797036304202</v>
      </c>
      <c r="AI32" s="585">
        <f t="shared" si="89"/>
        <v>-80.932017466127988</v>
      </c>
      <c r="AJ32" s="586">
        <f t="shared" si="90"/>
        <v>7.586567144002526</v>
      </c>
      <c r="AK32" s="635">
        <f t="shared" si="211"/>
        <v>0.9515714133871519</v>
      </c>
      <c r="AL32" s="629">
        <f t="shared" si="91"/>
        <v>-0.26395475036956295</v>
      </c>
      <c r="AM32" s="634">
        <f t="shared" si="92"/>
        <v>-0.15760626568039679</v>
      </c>
      <c r="AN32" s="581">
        <f t="shared" si="93"/>
        <v>-59.158753159128828</v>
      </c>
      <c r="AO32" s="582">
        <f t="shared" si="94"/>
        <v>17.904285268665021</v>
      </c>
      <c r="AP32" s="585">
        <f t="shared" si="95"/>
        <v>-15.503390539043258</v>
      </c>
      <c r="AQ32" s="586">
        <f t="shared" si="9"/>
        <v>0.43297873930089503</v>
      </c>
      <c r="AS32" s="52">
        <f t="shared" si="116"/>
        <v>-66.910042316954218</v>
      </c>
      <c r="AT32" s="72">
        <f t="shared" si="10"/>
        <v>-1.1211382143276694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3.1339999999999999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5.2244099355712565</v>
      </c>
      <c r="C33" s="708">
        <v>2.1800585159592227</v>
      </c>
      <c r="D33" s="709">
        <v>-1.8446055633303791</v>
      </c>
      <c r="E33" s="710">
        <v>-1.8390827426468401E-2</v>
      </c>
      <c r="F33" s="708">
        <v>0.99071623484014049</v>
      </c>
      <c r="G33" s="711">
        <v>0.13469639746758424</v>
      </c>
      <c r="H33" s="710">
        <v>0.314</v>
      </c>
      <c r="I33" s="708">
        <v>0.52</v>
      </c>
      <c r="J33" s="570">
        <v>3.14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3.14</v>
      </c>
      <c r="N33" s="632">
        <f t="shared" si="2"/>
        <v>5.2244099355712565</v>
      </c>
      <c r="O33" s="629">
        <f t="shared" si="3"/>
        <v>2.1800585159592227</v>
      </c>
      <c r="P33" s="633">
        <f t="shared" si="4"/>
        <v>-1.8446055633303791</v>
      </c>
      <c r="Q33" s="585">
        <f t="shared" si="113"/>
        <v>22.649957746573921</v>
      </c>
      <c r="R33" s="629">
        <f t="shared" si="79"/>
        <v>5.6610170736274936</v>
      </c>
      <c r="S33" s="634">
        <f t="shared" si="80"/>
        <v>-1.8446055633303791</v>
      </c>
      <c r="T33" s="635">
        <f t="shared" si="81"/>
        <v>2.1800585159592214</v>
      </c>
      <c r="U33" s="629">
        <f t="shared" si="82"/>
        <v>-5.2244099355712574</v>
      </c>
      <c r="V33" s="636">
        <f t="shared" si="114"/>
        <v>-1.8446055633303791</v>
      </c>
      <c r="W33" s="585">
        <f t="shared" si="224"/>
        <v>292.64995774657393</v>
      </c>
      <c r="X33" s="629">
        <f t="shared" si="83"/>
        <v>5.6610170736274936</v>
      </c>
      <c r="Y33" s="630">
        <f t="shared" si="223"/>
        <v>-1.8446055633303791</v>
      </c>
      <c r="Z33" s="632">
        <f t="shared" si="6"/>
        <v>1.8390827426468401E-2</v>
      </c>
      <c r="AA33" s="629">
        <f t="shared" si="7"/>
        <v>-0.99071623484014049</v>
      </c>
      <c r="AB33" s="629">
        <f t="shared" si="8"/>
        <v>-0.13469639746758424</v>
      </c>
      <c r="AC33" s="636">
        <f t="shared" si="84"/>
        <v>1</v>
      </c>
      <c r="AD33" s="637">
        <f t="shared" si="115"/>
        <v>1.8390827426468401E-2</v>
      </c>
      <c r="AE33" s="629">
        <f t="shared" si="85"/>
        <v>-0.99071623484014049</v>
      </c>
      <c r="AF33" s="633">
        <f t="shared" si="86"/>
        <v>-0.13469639746758424</v>
      </c>
      <c r="AG33" s="602">
        <f t="shared" si="87"/>
        <v>-82.257618140899666</v>
      </c>
      <c r="AH33" s="603">
        <f t="shared" si="88"/>
        <v>88.94622379920709</v>
      </c>
      <c r="AI33" s="585">
        <f t="shared" si="89"/>
        <v>-82.258935602371636</v>
      </c>
      <c r="AJ33" s="586">
        <f t="shared" si="90"/>
        <v>1.0634687789185946</v>
      </c>
      <c r="AK33" s="635">
        <f t="shared" si="211"/>
        <v>0.92138934624955149</v>
      </c>
      <c r="AL33" s="629">
        <f t="shared" si="91"/>
        <v>-0.36455253822608136</v>
      </c>
      <c r="AM33" s="634">
        <f t="shared" si="92"/>
        <v>-0.13469639746758424</v>
      </c>
      <c r="AN33" s="581">
        <f t="shared" si="93"/>
        <v>-69.721525924041813</v>
      </c>
      <c r="AO33" s="582">
        <f t="shared" si="94"/>
        <v>22.869952507717748</v>
      </c>
      <c r="AP33" s="585">
        <f t="shared" si="95"/>
        <v>-21.58648896765531</v>
      </c>
      <c r="AQ33" s="586">
        <f t="shared" si="9"/>
        <v>0.40269956149865488</v>
      </c>
      <c r="AS33" s="52">
        <f t="shared" si="116"/>
        <v>-67.350042253426068</v>
      </c>
      <c r="AT33" s="72">
        <f t="shared" si="10"/>
        <v>-1.7978347006543887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3.14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5.4069576588250445</v>
      </c>
      <c r="C34" s="708">
        <v>2.2322265652254396</v>
      </c>
      <c r="D34" s="709">
        <v>-2.6058078591165033</v>
      </c>
      <c r="E34" s="710">
        <v>0.10287715171886837</v>
      </c>
      <c r="F34" s="708">
        <v>0.99110574853826527</v>
      </c>
      <c r="G34" s="711">
        <v>8.441378364116818E-2</v>
      </c>
      <c r="H34" s="710">
        <v>0.314</v>
      </c>
      <c r="I34" s="708">
        <v>0.52</v>
      </c>
      <c r="J34" s="570">
        <v>3.1459999999999999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3.1459999999999999</v>
      </c>
      <c r="N34" s="632">
        <f t="shared" si="2"/>
        <v>5.4069576588250445</v>
      </c>
      <c r="O34" s="629">
        <f t="shared" si="3"/>
        <v>2.2322265652254396</v>
      </c>
      <c r="P34" s="633">
        <f t="shared" si="4"/>
        <v>-2.6058078591165033</v>
      </c>
      <c r="Q34" s="585">
        <f t="shared" si="113"/>
        <v>22.432957777904846</v>
      </c>
      <c r="R34" s="629">
        <f>IF(M34="","",SQRT(N34^2+O34^2))</f>
        <v>5.8496176424468098</v>
      </c>
      <c r="S34" s="634">
        <f>IF(M34="","",P34)</f>
        <v>-2.6058078591165033</v>
      </c>
      <c r="T34" s="635">
        <f>IF(M34="","",X34*COS(RADIANS(W34)))</f>
        <v>2.2322265652254383</v>
      </c>
      <c r="U34" s="629">
        <f>IF(M34="","",X34*SIN(RADIANS(W34)))</f>
        <v>-5.4069576588250454</v>
      </c>
      <c r="V34" s="636">
        <f>IF(M34="","",Y34)</f>
        <v>-2.6058078591165033</v>
      </c>
      <c r="W34" s="585">
        <f t="shared" si="224"/>
        <v>292.43295777790485</v>
      </c>
      <c r="X34" s="629">
        <f>IF(M34="","",R34)</f>
        <v>5.8496176424468098</v>
      </c>
      <c r="Y34" s="630">
        <f t="shared" si="223"/>
        <v>-2.6058078591165033</v>
      </c>
      <c r="Z34" s="632">
        <f t="shared" si="6"/>
        <v>-0.10287715171886837</v>
      </c>
      <c r="AA34" s="629">
        <f t="shared" si="7"/>
        <v>-0.99110574853826527</v>
      </c>
      <c r="AB34" s="629">
        <f t="shared" si="8"/>
        <v>-8.441378364116818E-2</v>
      </c>
      <c r="AC34" s="636">
        <f>IF(M34="","",SQRT(Z34^2+AA34^2+AB34^2))</f>
        <v>1</v>
      </c>
      <c r="AD34" s="637">
        <f>IF(M34="","",Z34*(1/SQRT(Z34^2+AA34^2+AB34^2)))</f>
        <v>-0.10287715171886837</v>
      </c>
      <c r="AE34" s="629">
        <f>IF(M34="","",AA34*(1/SQRT(Z34^2+AA34^2+AB34^2)))</f>
        <v>-0.99110574853826527</v>
      </c>
      <c r="AF34" s="633">
        <f>IF(M34="","",AB34*(1/SQRT(Z34^2+AA34^2+AB34^2)))</f>
        <v>-8.441378364116818E-2</v>
      </c>
      <c r="AG34" s="602">
        <f>IF(M34="","",DEGREES(ATAN2(-AF34,AE34)))</f>
        <v>-85.13179179036112</v>
      </c>
      <c r="AH34" s="603">
        <f>IF(M34="","",DEGREES(ACOS(AD34)))</f>
        <v>95.904873917814683</v>
      </c>
      <c r="AI34" s="585">
        <f>IF(M34="","",DEGREES(-ACOS(-AF34)))</f>
        <v>-85.157684006775582</v>
      </c>
      <c r="AJ34" s="586">
        <f>IF(M34="","",DEGREES(ATAN2(-AE34,AD34)))</f>
        <v>-5.9261007752847501</v>
      </c>
      <c r="AK34" s="635">
        <f>IF(M34="","",(COS(RADIANS((90-$Q$8)-W34))*AD34)+(-SIN(RADIANS((90-$Q$8)-W34))*AE34))</f>
        <v>0.87684734631603012</v>
      </c>
      <c r="AL34" s="629">
        <f>IF(M34="","",(SIN(RADIANS((90-$Q$8)-W34))*AD34)+(COS(RADIANS((90-$Q$8)-W34))*AE34))</f>
        <v>-0.4733001630993996</v>
      </c>
      <c r="AM34" s="634">
        <f>IF(M34="","",AF34)</f>
        <v>-8.441378364116818E-2</v>
      </c>
      <c r="AN34" s="581">
        <f>IF(M34="","",DEGREES(ATAN2(-AM34,AL34)))</f>
        <v>-79.887541608210171</v>
      </c>
      <c r="AO34" s="582">
        <f t="shared" si="94"/>
        <v>28.735631863131786</v>
      </c>
      <c r="AP34" s="585">
        <f>IF(M34="","",DEGREES(ATAN2(AK34,AL34)))</f>
        <v>-28.359058553189584</v>
      </c>
      <c r="AQ34" s="586">
        <f t="shared" si="9"/>
        <v>0.38971632234038084</v>
      </c>
      <c r="AS34" s="52">
        <f t="shared" si="116"/>
        <v>-67.567042222095154</v>
      </c>
      <c r="AT34" s="72">
        <f t="shared" si="10"/>
        <v>-2.5588863020178261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3.1459999999999999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5.4530209800752916</v>
      </c>
      <c r="C35" s="708">
        <v>2.2451192327721445</v>
      </c>
      <c r="D35" s="709">
        <v>-3.3823102010475665</v>
      </c>
      <c r="E35" s="710">
        <v>0.21851858334592211</v>
      </c>
      <c r="F35" s="708">
        <v>0.97583278728093292</v>
      </c>
      <c r="G35" s="711">
        <v>1.3008419231038119E-7</v>
      </c>
      <c r="H35" s="710">
        <v>0.314</v>
      </c>
      <c r="I35" s="708">
        <v>0.52</v>
      </c>
      <c r="J35" s="570">
        <v>3.1520000000000001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3.1520000000000001</v>
      </c>
      <c r="N35" s="632">
        <f t="shared" si="2"/>
        <v>5.4530209800752916</v>
      </c>
      <c r="O35" s="629">
        <f t="shared" si="3"/>
        <v>2.2451192327721445</v>
      </c>
      <c r="P35" s="633">
        <f t="shared" si="4"/>
        <v>-3.3823102010475665</v>
      </c>
      <c r="Q35" s="585">
        <f t="shared" si="113"/>
        <v>22.377957785845858</v>
      </c>
      <c r="R35" s="629">
        <f>IF(M35="","",SQRT(N35^2+O35^2))</f>
        <v>5.8971177857072412</v>
      </c>
      <c r="S35" s="634">
        <f>IF(M35="","",P35)</f>
        <v>-3.3823102010475665</v>
      </c>
      <c r="T35" s="635">
        <f>IF(M35="","",X35*COS(RADIANS(W35)))</f>
        <v>2.245119232772145</v>
      </c>
      <c r="U35" s="629">
        <f>IF(M35="","",X35*SIN(RADIANS(W35)))</f>
        <v>-5.4530209800752916</v>
      </c>
      <c r="V35" s="636">
        <f>IF(M35="","",Y35)</f>
        <v>-3.3823102010475665</v>
      </c>
      <c r="W35" s="585">
        <f t="shared" si="224"/>
        <v>292.37795778584587</v>
      </c>
      <c r="X35" s="629">
        <f>IF(M35="","",R35)</f>
        <v>5.8971177857072412</v>
      </c>
      <c r="Y35" s="630">
        <f t="shared" si="223"/>
        <v>-3.3823102010475665</v>
      </c>
      <c r="Z35" s="632">
        <f t="shared" si="6"/>
        <v>-0.21851858334592211</v>
      </c>
      <c r="AA35" s="629">
        <f t="shared" si="7"/>
        <v>-0.97583278728093292</v>
      </c>
      <c r="AB35" s="629">
        <f t="shared" si="8"/>
        <v>-1.3008419231038119E-7</v>
      </c>
      <c r="AC35" s="636">
        <f>IF(M35="","",SQRT(Z35^2+AA35^2+AB35^2))</f>
        <v>1</v>
      </c>
      <c r="AD35" s="637">
        <f>IF(M35="","",Z35*(1/SQRT(Z35^2+AA35^2+AB35^2)))</f>
        <v>-0.21851858334592211</v>
      </c>
      <c r="AE35" s="629">
        <f>IF(M35="","",AA35*(1/SQRT(Z35^2+AA35^2+AB35^2)))</f>
        <v>-0.97583278728093292</v>
      </c>
      <c r="AF35" s="633">
        <f>IF(M35="","",AB35*(1/SQRT(Z35^2+AA35^2+AB35^2)))</f>
        <v>-1.3008419231038119E-7</v>
      </c>
      <c r="AG35" s="602">
        <f>IF(M35="","",DEGREES(ATAN2(-AF35,AE35)))</f>
        <v>-89.999992362138997</v>
      </c>
      <c r="AH35" s="603">
        <f>IF(M35="","",DEGREES(ACOS(AD35)))</f>
        <v>102.62203716077931</v>
      </c>
      <c r="AI35" s="585">
        <f>IF(M35="","",DEGREES(-ACOS(-AF35)))</f>
        <v>-89.999992546724798</v>
      </c>
      <c r="AJ35" s="586">
        <f>IF(M35="","",DEGREES(ATAN2(-AE35,AD35)))</f>
        <v>-12.622037160779415</v>
      </c>
      <c r="AK35" s="635">
        <f>IF(M35="","",(COS(RADIANS((90-$Q$8)-W35))*AD35)+(-SIN(RADIANS((90-$Q$8)-W35))*AE35))</f>
        <v>0.8191520948772919</v>
      </c>
      <c r="AL35" s="629">
        <f>IF(M35="","",(SIN(RADIANS((90-$Q$8)-W35))*AD35)+(COS(RADIANS((90-$Q$8)-W35))*AE35))</f>
        <v>-0.5735763641034447</v>
      </c>
      <c r="AM35" s="634">
        <f>IF(M35="","",AF35)</f>
        <v>-1.3008419231038119E-7</v>
      </c>
      <c r="AN35" s="581">
        <f>IF(M35="","",DEGREES(ATAN2(-AM35,AL35)))</f>
        <v>-89.999987005609611</v>
      </c>
      <c r="AO35" s="582">
        <f t="shared" si="94"/>
        <v>34.999994946625968</v>
      </c>
      <c r="AP35" s="585">
        <f>IF(M35="","",DEGREES(ATAN2(AK35,AL35)))</f>
        <v>-34.999994946625279</v>
      </c>
      <c r="AQ35" s="586">
        <f t="shared" si="9"/>
        <v>0.38657732838746767</v>
      </c>
      <c r="AS35" s="52">
        <f t="shared" si="116"/>
        <v>-67.622042214154135</v>
      </c>
      <c r="AT35" s="72">
        <f t="shared" si="10"/>
        <v>-3.3353504495099595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3.1520000000000001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3.9754406166386098</v>
      </c>
      <c r="C36" s="708">
        <v>0.49967461640481475</v>
      </c>
      <c r="D36" s="709">
        <v>-0.2706868417083948</v>
      </c>
      <c r="E36" s="710">
        <v>0.2542885454163018</v>
      </c>
      <c r="F36" s="708">
        <v>3.1961850859703586E-2</v>
      </c>
      <c r="G36" s="711">
        <v>0.9666001116075269</v>
      </c>
      <c r="H36" s="710">
        <v>0.25700000000000001</v>
      </c>
      <c r="I36" s="708">
        <v>0.41499999999999992</v>
      </c>
      <c r="J36" s="570">
        <v>3.222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3.222</v>
      </c>
      <c r="N36" s="632">
        <f t="shared" si="2"/>
        <v>3.9754406166386098</v>
      </c>
      <c r="O36" s="629">
        <f t="shared" si="3"/>
        <v>0.49967461640481475</v>
      </c>
      <c r="P36" s="633">
        <f t="shared" si="4"/>
        <v>-0.2706868417083948</v>
      </c>
      <c r="Q36" s="585">
        <f t="shared" si="113"/>
        <v>7.1639599824753617</v>
      </c>
      <c r="R36" s="629">
        <f>IF(M36="","",SQRT(N36^2+O36^2))</f>
        <v>4.0067197080279113</v>
      </c>
      <c r="S36" s="634">
        <f>IF(M36="","",P36)</f>
        <v>-0.2706868417083948</v>
      </c>
      <c r="T36" s="635">
        <f>IF(M36="","",X36*COS(RADIANS(W36)))</f>
        <v>0.49967461640481642</v>
      </c>
      <c r="U36" s="629">
        <f>IF(M36="","",X36*SIN(RADIANS(W36)))</f>
        <v>-3.9754406166386098</v>
      </c>
      <c r="V36" s="636">
        <f>IF(M36="","",Y36)</f>
        <v>-0.2706868417083948</v>
      </c>
      <c r="W36" s="585">
        <f t="shared" si="224"/>
        <v>277.16395998247538</v>
      </c>
      <c r="X36" s="629">
        <f>IF(M36="","",R36)</f>
        <v>4.0067197080279113</v>
      </c>
      <c r="Y36" s="630">
        <f t="shared" si="223"/>
        <v>-0.2706868417083948</v>
      </c>
      <c r="Z36" s="632">
        <f t="shared" si="6"/>
        <v>-0.2542885454163018</v>
      </c>
      <c r="AA36" s="629">
        <f t="shared" si="7"/>
        <v>-3.1961850859703586E-2</v>
      </c>
      <c r="AB36" s="629">
        <f t="shared" si="8"/>
        <v>-0.9666001116075269</v>
      </c>
      <c r="AC36" s="636">
        <f>IF(M36="","",SQRT(Z36^2+AA36^2+AB36^2))</f>
        <v>1</v>
      </c>
      <c r="AD36" s="637">
        <f>IF(M36="","",Z36*(1/SQRT(Z36^2+AA36^2+AB36^2)))</f>
        <v>-0.2542885454163018</v>
      </c>
      <c r="AE36" s="629">
        <f>IF(M36="","",AA36*(1/SQRT(Z36^2+AA36^2+AB36^2)))</f>
        <v>-3.1961850859703586E-2</v>
      </c>
      <c r="AF36" s="633">
        <f>IF(M36="","",AB36*(1/SQRT(Z36^2+AA36^2+AB36^2)))</f>
        <v>-0.9666001116075269</v>
      </c>
      <c r="AG36" s="602">
        <f>IF(M36="","",DEGREES(ATAN2(-AF36,AE36)))</f>
        <v>-1.8938671211543654</v>
      </c>
      <c r="AH36" s="603">
        <f>IF(M36="","",DEGREES(ACOS(AD36)))</f>
        <v>104.73143222498341</v>
      </c>
      <c r="AI36" s="585">
        <f>IF(M36="","",DEGREES(-ACOS(-AF36)))</f>
        <v>-14.849997855931138</v>
      </c>
      <c r="AJ36" s="586">
        <f>IF(M36="","",DEGREES(ATAN2(-AE36,AD36)))</f>
        <v>-82.83598931549173</v>
      </c>
      <c r="AK36" s="635">
        <f>IF(M36="","",(COS(RADIANS((90-$Q$8)-W36))*AD36)+(-SIN(RADIANS((90-$Q$8)-W36))*AE36))</f>
        <v>2.2679489661975305E-7</v>
      </c>
      <c r="AL36" s="629">
        <f>IF(M36="","",(SIN(RADIANS((90-$Q$8)-W36))*AD36)+(COS(RADIANS((90-$Q$8)-W36))*AE36))</f>
        <v>-0.2562893369616947</v>
      </c>
      <c r="AM36" s="634">
        <f>IF(M36="","",AF36)</f>
        <v>-0.9666001116075269</v>
      </c>
      <c r="AN36" s="581">
        <f>IF(M36="","",DEGREES(ATAN2(-AM36,AL36)))</f>
        <v>-14.849997855925581</v>
      </c>
      <c r="AO36" s="582">
        <f t="shared" si="94"/>
        <v>0</v>
      </c>
      <c r="AP36" s="585">
        <f>IF(M36="","",DEGREES(ATAN2(AK36,AL36)))</f>
        <v>-89.999949297967106</v>
      </c>
      <c r="AQ36" s="586">
        <f t="shared" si="9"/>
        <v>0.56895711809146732</v>
      </c>
      <c r="AS36" s="52">
        <f t="shared" si="116"/>
        <v>-82.836040017524624</v>
      </c>
      <c r="AT36" s="72">
        <f t="shared" si="10"/>
        <v>-0.21316181391844713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3.222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3.1219999999999999</v>
      </c>
      <c r="II36" s="734" cm="1">
        <f t="array" ref="II36">IFERROR(ROUND(VALUE(IF($IH36&lt;1,$IH36+LARGE((IF($M$9:$M$150="",0,$M$9:$M$150)-MOD(IF($M$9:$M$150="",0,$M$9:$M$150),1)),1),$IH36)),4),"")</f>
        <v>3.1219999999999999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17.159997522402875</v>
      </c>
      <c r="IM36" s="759">
        <v>3.5226857715828501E-2</v>
      </c>
      <c r="IN36" s="5">
        <f t="shared" si="226"/>
        <v>0.82</v>
      </c>
      <c r="IO36" s="771">
        <v>410</v>
      </c>
      <c r="IP36" s="9">
        <f t="shared" si="227"/>
        <v>-3.9947120480515368</v>
      </c>
      <c r="IQ36" s="5">
        <f t="shared" si="228"/>
        <v>-0.27510082970410238</v>
      </c>
      <c r="IR36" s="5">
        <f t="shared" si="71"/>
        <v>0.314</v>
      </c>
      <c r="IS36" s="5">
        <f t="shared" si="229"/>
        <v>0.30280748830309645</v>
      </c>
      <c r="IT36" s="727">
        <f t="shared" si="230"/>
        <v>27.29100726237078</v>
      </c>
      <c r="IU36" s="9">
        <f t="shared" si="231"/>
        <v>-4.0067197080279113</v>
      </c>
      <c r="IV36" s="5">
        <f t="shared" si="232"/>
        <v>-0.2706868417083948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14.849997855925581</v>
      </c>
    </row>
    <row r="37" spans="1:267" ht="15" customHeight="1" x14ac:dyDescent="0.25">
      <c r="A37" s="79"/>
      <c r="B37" s="707">
        <v>4.6499136483223911</v>
      </c>
      <c r="C37" s="708">
        <v>0.85752671424277038</v>
      </c>
      <c r="D37" s="709">
        <v>-0.57674338384645496</v>
      </c>
      <c r="E37" s="710">
        <v>0.1494204968711477</v>
      </c>
      <c r="F37" s="708">
        <v>0.89631089589532764</v>
      </c>
      <c r="G37" s="711">
        <v>0.41749286582418915</v>
      </c>
      <c r="H37" s="710">
        <v>0.26600000000000001</v>
      </c>
      <c r="I37" s="708">
        <v>0.52</v>
      </c>
      <c r="J37" s="570">
        <v>3.2280000000000002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3.2280000000000002</v>
      </c>
      <c r="N37" s="632">
        <f t="shared" si="2"/>
        <v>4.6499136483223911</v>
      </c>
      <c r="O37" s="629">
        <f t="shared" si="3"/>
        <v>0.85752671424277038</v>
      </c>
      <c r="P37" s="633">
        <f t="shared" si="4"/>
        <v>-0.57674338384645496</v>
      </c>
      <c r="Q37" s="585">
        <f t="shared" si="113"/>
        <v>10.44895950818011</v>
      </c>
      <c r="R37" s="629">
        <f t="shared" si="79"/>
        <v>4.7283241219796732</v>
      </c>
      <c r="S37" s="634">
        <f t="shared" si="80"/>
        <v>-0.57674338384645496</v>
      </c>
      <c r="T37" s="635">
        <f t="shared" si="81"/>
        <v>0.85752671424276983</v>
      </c>
      <c r="U37" s="629">
        <f t="shared" si="82"/>
        <v>-4.6499136483223902</v>
      </c>
      <c r="V37" s="636">
        <f t="shared" si="114"/>
        <v>-0.57674338384645496</v>
      </c>
      <c r="W37" s="585">
        <f t="shared" si="224"/>
        <v>280.44895950818011</v>
      </c>
      <c r="X37" s="629">
        <f t="shared" si="83"/>
        <v>4.7283241219796732</v>
      </c>
      <c r="Y37" s="630">
        <f t="shared" si="223"/>
        <v>-0.57674338384645496</v>
      </c>
      <c r="Z37" s="632">
        <f t="shared" si="6"/>
        <v>-0.1494204968711477</v>
      </c>
      <c r="AA37" s="629">
        <f t="shared" si="7"/>
        <v>-0.89631089589532764</v>
      </c>
      <c r="AB37" s="629">
        <f t="shared" si="8"/>
        <v>-0.41749286582418915</v>
      </c>
      <c r="AC37" s="636">
        <f t="shared" si="84"/>
        <v>1</v>
      </c>
      <c r="AD37" s="637">
        <f t="shared" si="115"/>
        <v>-0.1494204968711477</v>
      </c>
      <c r="AE37" s="629">
        <f t="shared" si="85"/>
        <v>-0.89631089589532764</v>
      </c>
      <c r="AF37" s="633">
        <f t="shared" si="86"/>
        <v>-0.41749286582418915</v>
      </c>
      <c r="AG37" s="602">
        <f t="shared" si="87"/>
        <v>-65.02435584298037</v>
      </c>
      <c r="AH37" s="603">
        <f t="shared" si="88"/>
        <v>98.593345007682586</v>
      </c>
      <c r="AI37" s="585">
        <f t="shared" si="89"/>
        <v>-65.323597484653376</v>
      </c>
      <c r="AJ37" s="586">
        <f t="shared" si="90"/>
        <v>-9.4645206820452081</v>
      </c>
      <c r="AK37" s="635">
        <f t="shared" si="211"/>
        <v>0.85434841098625569</v>
      </c>
      <c r="AL37" s="629">
        <f t="shared" si="91"/>
        <v>-0.30949717225067752</v>
      </c>
      <c r="AM37" s="634">
        <f t="shared" si="92"/>
        <v>-0.41749286582418915</v>
      </c>
      <c r="AN37" s="581">
        <f t="shared" si="93"/>
        <v>-36.55040031141823</v>
      </c>
      <c r="AO37" s="582">
        <f t="shared" si="94"/>
        <v>31.312175578496028</v>
      </c>
      <c r="AP37" s="585">
        <f t="shared" si="95"/>
        <v>-19.913480190225311</v>
      </c>
      <c r="AQ37" s="586">
        <f t="shared" si="9"/>
        <v>0.48213125092364434</v>
      </c>
      <c r="AS37" s="52">
        <f t="shared" si="116"/>
        <v>-79.55104049181989</v>
      </c>
      <c r="AT37" s="72">
        <f t="shared" si="10"/>
        <v>-0.52149960572713561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3.2280000000000002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3.1280000000000001</v>
      </c>
      <c r="II37" s="734" cm="1">
        <f t="array" ref="II37">IFERROR(ROUND(VALUE(IF($IH37&lt;1,$IH37+LARGE((IF($M$9:$M$150="",0,$M$9:$M$150)-MOD(IF($M$9:$M$150="",0,$M$9:$M$150),1)),1),$IH37)),4),"")</f>
        <v>3.1280000000000001</v>
      </c>
      <c r="IJ37" s="533">
        <f t="shared" si="112"/>
        <v>1613</v>
      </c>
      <c r="IK37" s="533">
        <f t="shared" si="66"/>
        <v>1313</v>
      </c>
      <c r="IL37" s="727">
        <f t="shared" si="225"/>
        <v>13.235998088958297</v>
      </c>
      <c r="IM37" s="759">
        <v>1.0820825384950101E-2</v>
      </c>
      <c r="IN37" s="5">
        <f t="shared" si="226"/>
        <v>0.28000000000000003</v>
      </c>
      <c r="IO37" s="771">
        <v>140</v>
      </c>
      <c r="IP37" s="9">
        <f t="shared" si="227"/>
        <v>-4.6942141577499008</v>
      </c>
      <c r="IQ37" s="5">
        <f t="shared" si="228"/>
        <v>-0.62980189948252885</v>
      </c>
      <c r="IR37" s="5">
        <f t="shared" si="71"/>
        <v>0.314</v>
      </c>
      <c r="IS37" s="5">
        <f t="shared" si="229"/>
        <v>0.30084354015910492</v>
      </c>
      <c r="IT37" s="727">
        <f t="shared" si="230"/>
        <v>44.013819335183854</v>
      </c>
      <c r="IU37" s="9">
        <f t="shared" si="231"/>
        <v>-4.7283241219796732</v>
      </c>
      <c r="IV37" s="5">
        <f t="shared" si="232"/>
        <v>-0.57674338384645496</v>
      </c>
      <c r="IW37" s="5">
        <f t="shared" si="76"/>
        <v>0.26600000000000001</v>
      </c>
      <c r="IX37" s="5">
        <f t="shared" si="233"/>
        <v>0.22725667732234406</v>
      </c>
      <c r="IY37" s="762">
        <f t="shared" si="234"/>
        <v>36.55040031141823</v>
      </c>
    </row>
    <row r="38" spans="1:267" ht="15" customHeight="1" x14ac:dyDescent="0.25">
      <c r="A38" s="79"/>
      <c r="B38" s="707">
        <v>5.213320104786896</v>
      </c>
      <c r="C38" s="708">
        <v>1.0260220035195682</v>
      </c>
      <c r="D38" s="709">
        <v>-1.1218160441494656</v>
      </c>
      <c r="E38" s="710">
        <v>0.24604146553372058</v>
      </c>
      <c r="F38" s="708">
        <v>0.9084607950737813</v>
      </c>
      <c r="G38" s="711">
        <v>0.33787953630241091</v>
      </c>
      <c r="H38" s="710">
        <v>0.26600000000000001</v>
      </c>
      <c r="I38" s="708">
        <v>0.52</v>
      </c>
      <c r="J38" s="570">
        <v>3.234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3.234</v>
      </c>
      <c r="N38" s="632">
        <f t="shared" si="2"/>
        <v>5.213320104786896</v>
      </c>
      <c r="O38" s="629">
        <f t="shared" si="3"/>
        <v>1.0260220035195682</v>
      </c>
      <c r="P38" s="633">
        <f t="shared" si="4"/>
        <v>-1.1218160441494656</v>
      </c>
      <c r="Q38" s="585">
        <f t="shared" si="113"/>
        <v>11.133959409278361</v>
      </c>
      <c r="R38" s="629">
        <f t="shared" si="79"/>
        <v>5.3133254809659043</v>
      </c>
      <c r="S38" s="634">
        <f t="shared" si="80"/>
        <v>-1.1218160441494656</v>
      </c>
      <c r="T38" s="635">
        <f t="shared" si="81"/>
        <v>1.0260220035195691</v>
      </c>
      <c r="U38" s="629">
        <f t="shared" si="82"/>
        <v>-5.213320104786896</v>
      </c>
      <c r="V38" s="636">
        <f t="shared" si="114"/>
        <v>-1.1218160441494656</v>
      </c>
      <c r="W38" s="585">
        <f t="shared" si="224"/>
        <v>281.13395940927836</v>
      </c>
      <c r="X38" s="629">
        <f t="shared" si="83"/>
        <v>5.3133254809659043</v>
      </c>
      <c r="Y38" s="630">
        <f t="shared" si="223"/>
        <v>-1.1218160441494656</v>
      </c>
      <c r="Z38" s="632">
        <f t="shared" si="6"/>
        <v>-0.24604146553372058</v>
      </c>
      <c r="AA38" s="629">
        <f t="shared" si="7"/>
        <v>-0.9084607950737813</v>
      </c>
      <c r="AB38" s="629">
        <f t="shared" si="8"/>
        <v>-0.33787953630241091</v>
      </c>
      <c r="AC38" s="636">
        <f t="shared" si="84"/>
        <v>1</v>
      </c>
      <c r="AD38" s="637">
        <f t="shared" si="115"/>
        <v>-0.24604146553372058</v>
      </c>
      <c r="AE38" s="629">
        <f t="shared" si="85"/>
        <v>-0.9084607950737813</v>
      </c>
      <c r="AF38" s="633">
        <f t="shared" si="86"/>
        <v>-0.33787953630241091</v>
      </c>
      <c r="AG38" s="602">
        <f t="shared" si="87"/>
        <v>-69.598559728056998</v>
      </c>
      <c r="AH38" s="603">
        <f t="shared" si="88"/>
        <v>104.24338944972517</v>
      </c>
      <c r="AI38" s="585">
        <f t="shared" si="89"/>
        <v>-70.25226348673938</v>
      </c>
      <c r="AJ38" s="586">
        <f t="shared" si="90"/>
        <v>-15.154068062137162</v>
      </c>
      <c r="AK38" s="635">
        <f t="shared" si="211"/>
        <v>0.84385061408621898</v>
      </c>
      <c r="AL38" s="629">
        <f t="shared" si="91"/>
        <v>-0.41683757034890589</v>
      </c>
      <c r="AM38" s="634">
        <f t="shared" si="92"/>
        <v>-0.33787953630241091</v>
      </c>
      <c r="AN38" s="581">
        <f t="shared" si="93"/>
        <v>-50.972521858626934</v>
      </c>
      <c r="AO38" s="582">
        <f t="shared" si="94"/>
        <v>32.451002985852753</v>
      </c>
      <c r="AP38" s="585">
        <f t="shared" si="95"/>
        <v>-26.288027471415532</v>
      </c>
      <c r="AQ38" s="586">
        <f t="shared" si="9"/>
        <v>0.42905032411077354</v>
      </c>
      <c r="AS38" s="52">
        <f t="shared" si="116"/>
        <v>-78.866040590721639</v>
      </c>
      <c r="AT38" s="72">
        <f t="shared" si="10"/>
        <v>-1.0670479604059089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3.234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3.1339999999999999</v>
      </c>
      <c r="II38" s="734" cm="1">
        <f t="array" ref="II38">IFERROR(ROUND(VALUE(IF($IH38&lt;1,$IH38+LARGE((IF($M$9:$M$150="",0,$M$9:$M$150)-MOD(IF($M$9:$M$150="",0,$M$9:$M$150),1)),1),$IH38)),4),"")</f>
        <v>3.1339999999999999</v>
      </c>
      <c r="IJ38" s="533">
        <f t="shared" si="112"/>
        <v>1613</v>
      </c>
      <c r="IK38" s="533">
        <f t="shared" si="66"/>
        <v>1313</v>
      </c>
      <c r="IL38" s="727">
        <f t="shared" si="225"/>
        <v>11.95599827376742</v>
      </c>
      <c r="IM38" s="759">
        <v>8.2979169846878996E-3</v>
      </c>
      <c r="IN38" s="5">
        <f t="shared" si="226"/>
        <v>0.24</v>
      </c>
      <c r="IO38" s="771">
        <v>120</v>
      </c>
      <c r="IP38" s="9">
        <f t="shared" si="227"/>
        <v>-5.2651158795894935</v>
      </c>
      <c r="IQ38" s="5">
        <f t="shared" si="228"/>
        <v>-1.1676035214922209</v>
      </c>
      <c r="IR38" s="5">
        <f t="shared" si="71"/>
        <v>0.314</v>
      </c>
      <c r="IS38" s="5">
        <f t="shared" si="229"/>
        <v>0.29879342380356572</v>
      </c>
      <c r="IT38" s="727">
        <f t="shared" si="230"/>
        <v>59.158753159128828</v>
      </c>
      <c r="IU38" s="9">
        <f t="shared" si="231"/>
        <v>-5.3133254809659043</v>
      </c>
      <c r="IV38" s="5">
        <f t="shared" si="232"/>
        <v>-1.1218160441494656</v>
      </c>
      <c r="IW38" s="5">
        <f t="shared" si="76"/>
        <v>0.26600000000000001</v>
      </c>
      <c r="IX38" s="5">
        <f t="shared" si="233"/>
        <v>0.22446426334693426</v>
      </c>
      <c r="IY38" s="762">
        <f t="shared" si="234"/>
        <v>50.972521858626934</v>
      </c>
    </row>
    <row r="39" spans="1:267" ht="15" customHeight="1" x14ac:dyDescent="0.25">
      <c r="A39" s="79"/>
      <c r="B39" s="707">
        <v>5.6061133701314727</v>
      </c>
      <c r="C39" s="708">
        <v>1.1327287256340595</v>
      </c>
      <c r="D39" s="709">
        <v>-1.811040818462252</v>
      </c>
      <c r="E39" s="710">
        <v>0.35095653857564618</v>
      </c>
      <c r="F39" s="708">
        <v>0.9013946341220016</v>
      </c>
      <c r="G39" s="711">
        <v>0.25360840208294333</v>
      </c>
      <c r="H39" s="710">
        <v>0.26600000000000001</v>
      </c>
      <c r="I39" s="708">
        <v>0.52</v>
      </c>
      <c r="J39" s="570">
        <v>3.24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3.24</v>
      </c>
      <c r="N39" s="632">
        <f t="shared" si="2"/>
        <v>5.6061133701314727</v>
      </c>
      <c r="O39" s="629">
        <f t="shared" si="3"/>
        <v>1.1327287256340595</v>
      </c>
      <c r="P39" s="633">
        <f t="shared" si="4"/>
        <v>-1.811040818462252</v>
      </c>
      <c r="Q39" s="585">
        <f t="shared" si="113"/>
        <v>11.422959367551933</v>
      </c>
      <c r="R39" s="629">
        <f t="shared" si="79"/>
        <v>5.7194039448742746</v>
      </c>
      <c r="S39" s="634">
        <f t="shared" si="80"/>
        <v>-1.811040818462252</v>
      </c>
      <c r="T39" s="635">
        <f t="shared" si="81"/>
        <v>1.1327287256340595</v>
      </c>
      <c r="U39" s="629">
        <f t="shared" si="82"/>
        <v>-5.6061133701314727</v>
      </c>
      <c r="V39" s="636">
        <f t="shared" si="114"/>
        <v>-1.811040818462252</v>
      </c>
      <c r="W39" s="585">
        <f t="shared" si="224"/>
        <v>281.42295936755193</v>
      </c>
      <c r="X39" s="629">
        <f t="shared" si="83"/>
        <v>5.7194039448742746</v>
      </c>
      <c r="Y39" s="630">
        <f t="shared" si="223"/>
        <v>-1.811040818462252</v>
      </c>
      <c r="Z39" s="632">
        <f t="shared" si="6"/>
        <v>-0.35095653857564618</v>
      </c>
      <c r="AA39" s="629">
        <f t="shared" si="7"/>
        <v>-0.9013946341220016</v>
      </c>
      <c r="AB39" s="629">
        <f t="shared" si="8"/>
        <v>-0.25360840208294333</v>
      </c>
      <c r="AC39" s="636">
        <f t="shared" si="84"/>
        <v>1</v>
      </c>
      <c r="AD39" s="637">
        <f t="shared" si="115"/>
        <v>-0.35095653857564618</v>
      </c>
      <c r="AE39" s="629">
        <f t="shared" si="85"/>
        <v>-0.9013946341220016</v>
      </c>
      <c r="AF39" s="633">
        <f t="shared" si="86"/>
        <v>-0.25360840208294333</v>
      </c>
      <c r="AG39" s="602">
        <f t="shared" si="87"/>
        <v>-74.285992544220221</v>
      </c>
      <c r="AH39" s="603">
        <f t="shared" si="88"/>
        <v>110.54583244515867</v>
      </c>
      <c r="AI39" s="585">
        <f t="shared" si="89"/>
        <v>-75.308857920127892</v>
      </c>
      <c r="AJ39" s="586">
        <f t="shared" si="90"/>
        <v>-21.27337025634132</v>
      </c>
      <c r="AK39" s="635">
        <f t="shared" si="211"/>
        <v>0.81403272129343052</v>
      </c>
      <c r="AL39" s="629">
        <f t="shared" si="91"/>
        <v>-0.5225260826566922</v>
      </c>
      <c r="AM39" s="634">
        <f t="shared" si="92"/>
        <v>-0.25360840208294333</v>
      </c>
      <c r="AN39" s="581">
        <f t="shared" si="93"/>
        <v>-64.110349645705611</v>
      </c>
      <c r="AO39" s="582">
        <f t="shared" si="94"/>
        <v>35.508168458917716</v>
      </c>
      <c r="AP39" s="585">
        <f t="shared" si="95"/>
        <v>-32.696329623893263</v>
      </c>
      <c r="AQ39" s="586">
        <f t="shared" si="9"/>
        <v>0.39858871268017709</v>
      </c>
      <c r="AS39" s="52">
        <f t="shared" si="116"/>
        <v>-78.577040632448075</v>
      </c>
      <c r="AT39" s="72">
        <f t="shared" si="10"/>
        <v>-1.756473429134163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3.24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3.14</v>
      </c>
      <c r="II39" s="734" cm="1">
        <f t="array" ref="II39">IFERROR(ROUND(VALUE(IF($IH39&lt;1,$IH39+LARGE((IF($M$9:$M$150="",0,$M$9:$M$150)-MOD(IF($M$9:$M$150="",0,$M$9:$M$150),1)),1),$IH39)),4),"")</f>
        <v>3.14</v>
      </c>
      <c r="IJ39" s="533">
        <f t="shared" si="112"/>
        <v>1613</v>
      </c>
      <c r="IK39" s="533">
        <f t="shared" si="66"/>
        <v>1313</v>
      </c>
      <c r="IL39" s="727">
        <f t="shared" si="225"/>
        <v>11.226998379022007</v>
      </c>
      <c r="IM39" s="759">
        <v>5.8416761613194496E-3</v>
      </c>
      <c r="IN39" s="5">
        <f t="shared" si="226"/>
        <v>0.22</v>
      </c>
      <c r="IO39" s="771">
        <v>110</v>
      </c>
      <c r="IP39" s="9">
        <f t="shared" si="227"/>
        <v>-5.6610170736274936</v>
      </c>
      <c r="IQ39" s="5">
        <f t="shared" si="228"/>
        <v>-1.8446055633303791</v>
      </c>
      <c r="IR39" s="5">
        <f t="shared" si="71"/>
        <v>0.314</v>
      </c>
      <c r="IS39" s="5">
        <f t="shared" si="229"/>
        <v>0.28931625472235917</v>
      </c>
      <c r="IT39" s="727">
        <f t="shared" si="230"/>
        <v>69.721525924041813</v>
      </c>
      <c r="IU39" s="9">
        <f t="shared" si="231"/>
        <v>-5.7194039448742746</v>
      </c>
      <c r="IV39" s="5">
        <f t="shared" si="232"/>
        <v>-1.811040818462252</v>
      </c>
      <c r="IW39" s="5">
        <f t="shared" si="76"/>
        <v>0.26600000000000001</v>
      </c>
      <c r="IX39" s="5">
        <f t="shared" si="233"/>
        <v>0.21653270386405249</v>
      </c>
      <c r="IY39" s="762">
        <f t="shared" si="234"/>
        <v>64.110349645705611</v>
      </c>
    </row>
    <row r="40" spans="1:267" ht="15" customHeight="1" x14ac:dyDescent="0.25">
      <c r="A40" s="79"/>
      <c r="B40" s="707">
        <v>5.7847415989718316</v>
      </c>
      <c r="C40" s="708">
        <v>1.1789125370849169</v>
      </c>
      <c r="D40" s="709">
        <v>-2.5915753832264916</v>
      </c>
      <c r="E40" s="710">
        <v>0.39369090368819781</v>
      </c>
      <c r="F40" s="708">
        <v>0.91044718289646842</v>
      </c>
      <c r="G40" s="711">
        <v>0.12685976316017175</v>
      </c>
      <c r="H40" s="710">
        <v>0.26600000000000001</v>
      </c>
      <c r="I40" s="708">
        <v>0.52</v>
      </c>
      <c r="J40" s="570">
        <v>3.246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3.246</v>
      </c>
      <c r="N40" s="632">
        <f t="shared" si="2"/>
        <v>5.7847415989718316</v>
      </c>
      <c r="O40" s="629">
        <f t="shared" si="3"/>
        <v>1.1789125370849169</v>
      </c>
      <c r="P40" s="633">
        <f t="shared" si="4"/>
        <v>-2.5915753832264916</v>
      </c>
      <c r="Q40" s="585">
        <f t="shared" si="113"/>
        <v>11.518959353691249</v>
      </c>
      <c r="R40" s="629">
        <f t="shared" si="79"/>
        <v>5.9036488832730543</v>
      </c>
      <c r="S40" s="634">
        <f t="shared" si="80"/>
        <v>-2.5915753832264916</v>
      </c>
      <c r="T40" s="635">
        <f t="shared" si="81"/>
        <v>1.1789125370849154</v>
      </c>
      <c r="U40" s="629">
        <f t="shared" si="82"/>
        <v>-5.7847415989718316</v>
      </c>
      <c r="V40" s="636">
        <f t="shared" si="114"/>
        <v>-2.5915753832264916</v>
      </c>
      <c r="W40" s="585">
        <f t="shared" si="224"/>
        <v>281.51895935369123</v>
      </c>
      <c r="X40" s="629">
        <f t="shared" si="83"/>
        <v>5.9036488832730543</v>
      </c>
      <c r="Y40" s="630">
        <f t="shared" si="223"/>
        <v>-2.5915753832264916</v>
      </c>
      <c r="Z40" s="632">
        <f t="shared" si="6"/>
        <v>-0.39369090368819781</v>
      </c>
      <c r="AA40" s="629">
        <f t="shared" si="7"/>
        <v>-0.91044718289646842</v>
      </c>
      <c r="AB40" s="629">
        <f t="shared" si="8"/>
        <v>-0.12685976316017175</v>
      </c>
      <c r="AC40" s="636">
        <f t="shared" si="84"/>
        <v>1</v>
      </c>
      <c r="AD40" s="637">
        <f t="shared" si="115"/>
        <v>-0.39369090368819781</v>
      </c>
      <c r="AE40" s="629">
        <f t="shared" si="85"/>
        <v>-0.91044718289646842</v>
      </c>
      <c r="AF40" s="633">
        <f t="shared" si="86"/>
        <v>-0.12685976316017175</v>
      </c>
      <c r="AG40" s="602">
        <f t="shared" si="87"/>
        <v>-82.067601458762795</v>
      </c>
      <c r="AH40" s="603">
        <f t="shared" si="88"/>
        <v>113.18435405878837</v>
      </c>
      <c r="AI40" s="585">
        <f t="shared" si="89"/>
        <v>-82.711832533345287</v>
      </c>
      <c r="AJ40" s="586">
        <f t="shared" si="90"/>
        <v>-23.384373505255937</v>
      </c>
      <c r="AK40" s="635">
        <f t="shared" si="211"/>
        <v>0.81349257813771014</v>
      </c>
      <c r="AL40" s="629">
        <f t="shared" si="91"/>
        <v>-0.56757063508060979</v>
      </c>
      <c r="AM40" s="634">
        <f t="shared" si="92"/>
        <v>-0.12685976316017175</v>
      </c>
      <c r="AN40" s="581">
        <f t="shared" si="93"/>
        <v>-77.400702314365944</v>
      </c>
      <c r="AO40" s="582">
        <f t="shared" si="94"/>
        <v>35.561417034921945</v>
      </c>
      <c r="AP40" s="585">
        <f t="shared" si="95"/>
        <v>-34.903332858947167</v>
      </c>
      <c r="AQ40" s="586">
        <f t="shared" si="9"/>
        <v>0.38614967799646255</v>
      </c>
      <c r="AS40" s="52">
        <f t="shared" si="116"/>
        <v>-78.48104064630877</v>
      </c>
      <c r="AT40" s="72">
        <f t="shared" si="10"/>
        <v>-2.5370746605554437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>Gage</v>
      </c>
      <c r="IG40" s="847">
        <f t="shared" si="210"/>
        <v>3.246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3.1459999999999999</v>
      </c>
      <c r="II40" s="734" cm="1">
        <f t="array" ref="II40">IFERROR(ROUND(VALUE(IF($IH40&lt;1,$IH40+LARGE((IF($M$9:$M$150="",0,$M$9:$M$150)-MOD(IF($M$9:$M$150="",0,$M$9:$M$150),1)),1),$IH40)),4),"")</f>
        <v>3.1459999999999999</v>
      </c>
      <c r="IJ40" s="533">
        <f t="shared" si="112"/>
        <v>1613</v>
      </c>
      <c r="IK40" s="533">
        <f t="shared" si="66"/>
        <v>1313</v>
      </c>
      <c r="IL40" s="727">
        <f t="shared" si="225"/>
        <v>10.913998424213617</v>
      </c>
      <c r="IM40" s="759">
        <v>3.1462533321340298E-3</v>
      </c>
      <c r="IN40" s="5">
        <f t="shared" si="226"/>
        <v>0.2</v>
      </c>
      <c r="IO40" s="771">
        <v>100</v>
      </c>
      <c r="IP40" s="9">
        <f t="shared" si="227"/>
        <v>-5.8496176424468098</v>
      </c>
      <c r="IQ40" s="5">
        <f t="shared" si="228"/>
        <v>-2.6058078591165033</v>
      </c>
      <c r="IR40" s="5">
        <f t="shared" si="71"/>
        <v>0.314</v>
      </c>
      <c r="IS40" s="5">
        <f t="shared" si="229"/>
        <v>0.27533006674323346</v>
      </c>
      <c r="IT40" s="727">
        <f t="shared" si="230"/>
        <v>79.887541608210171</v>
      </c>
      <c r="IU40" s="9">
        <f t="shared" si="231"/>
        <v>-5.9036488832730543</v>
      </c>
      <c r="IV40" s="5">
        <f t="shared" si="232"/>
        <v>-2.5915753832264916</v>
      </c>
      <c r="IW40" s="5">
        <f t="shared" si="76"/>
        <v>0.26600000000000001</v>
      </c>
      <c r="IX40" s="5">
        <f t="shared" si="233"/>
        <v>0.2163890257846309</v>
      </c>
      <c r="IY40" s="762">
        <f t="shared" si="234"/>
        <v>77.400702314365944</v>
      </c>
    </row>
    <row r="41" spans="1:267" ht="15" customHeight="1" x14ac:dyDescent="0.25">
      <c r="A41" s="79"/>
      <c r="B41" s="707">
        <v>0.75578238542367415</v>
      </c>
      <c r="C41" s="708">
        <v>-0.43635177312255047</v>
      </c>
      <c r="D41" s="709">
        <v>-0.63340191034016158</v>
      </c>
      <c r="E41" s="710">
        <v>0.42495075868149657</v>
      </c>
      <c r="F41" s="708">
        <v>0.87000969481008184</v>
      </c>
      <c r="G41" s="711">
        <v>0.24999996726497567</v>
      </c>
      <c r="H41" s="710">
        <v>0.314</v>
      </c>
      <c r="I41" s="708">
        <v>0.52</v>
      </c>
      <c r="J41" s="570">
        <v>4.1029999999999998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4.1029999999999998</v>
      </c>
      <c r="N41" s="632">
        <f t="shared" ref="N41:N72" si="240">IF(M41="","",B41)</f>
        <v>0.75578238542367415</v>
      </c>
      <c r="O41" s="629">
        <f t="shared" ref="O41:O72" si="241">IF(M41="","",C41)</f>
        <v>-0.43635177312255047</v>
      </c>
      <c r="P41" s="633">
        <f t="shared" ref="P41:P72" si="242">IF(M41="","",D41)</f>
        <v>-0.63340191034016158</v>
      </c>
      <c r="Q41" s="585">
        <f t="shared" si="113"/>
        <v>329.99996534829228</v>
      </c>
      <c r="R41" s="629">
        <f t="shared" si="79"/>
        <v>0.87270263207113852</v>
      </c>
      <c r="S41" s="634">
        <f t="shared" si="80"/>
        <v>-0.63340191034016158</v>
      </c>
      <c r="T41" s="635">
        <f t="shared" si="81"/>
        <v>-0.43635177312255052</v>
      </c>
      <c r="U41" s="629">
        <f t="shared" si="82"/>
        <v>-0.75578238542367415</v>
      </c>
      <c r="V41" s="636">
        <f t="shared" si="114"/>
        <v>-0.63340191034016158</v>
      </c>
      <c r="W41" s="585">
        <f t="shared" si="224"/>
        <v>239.99996534829228</v>
      </c>
      <c r="X41" s="629">
        <f t="shared" si="83"/>
        <v>0.87270263207113852</v>
      </c>
      <c r="Y41" s="630">
        <f t="shared" si="223"/>
        <v>-0.63340191034016158</v>
      </c>
      <c r="Z41" s="632">
        <f t="shared" ref="Z41:Z72" si="243">IF(M41="","",-E41)</f>
        <v>-0.42495075868149657</v>
      </c>
      <c r="AA41" s="629">
        <f t="shared" ref="AA41:AA72" si="244">IF(M41="","",-F41)</f>
        <v>-0.87000969481008184</v>
      </c>
      <c r="AB41" s="629">
        <f t="shared" ref="AB41:AB72" si="245">IF(M41="","",-G41)</f>
        <v>-0.24999996726497567</v>
      </c>
      <c r="AC41" s="636">
        <f t="shared" si="84"/>
        <v>1</v>
      </c>
      <c r="AD41" s="637">
        <f t="shared" si="115"/>
        <v>-0.42495075868149657</v>
      </c>
      <c r="AE41" s="629">
        <f t="shared" si="85"/>
        <v>-0.87000969481008184</v>
      </c>
      <c r="AF41" s="633">
        <f t="shared" si="86"/>
        <v>-0.24999996726497567</v>
      </c>
      <c r="AG41" s="602">
        <f t="shared" si="87"/>
        <v>-73.967832110835701</v>
      </c>
      <c r="AH41" s="603">
        <f t="shared" si="88"/>
        <v>115.14754663787646</v>
      </c>
      <c r="AI41" s="585">
        <f t="shared" si="89"/>
        <v>-75.522489751159455</v>
      </c>
      <c r="AJ41" s="586">
        <f t="shared" si="90"/>
        <v>-26.032905006621156</v>
      </c>
      <c r="AK41" s="635">
        <f t="shared" si="211"/>
        <v>0.9659258360722075</v>
      </c>
      <c r="AL41" s="629">
        <f t="shared" si="91"/>
        <v>6.6987279208207184E-2</v>
      </c>
      <c r="AM41" s="634">
        <f t="shared" si="92"/>
        <v>-0.24999996726497567</v>
      </c>
      <c r="AN41" s="581">
        <f t="shared" si="93"/>
        <v>14.999997834268262</v>
      </c>
      <c r="AO41" s="582">
        <f t="shared" si="94"/>
        <v>14.99999783426823</v>
      </c>
      <c r="AP41" s="585">
        <f t="shared" si="95"/>
        <v>3.9671296450865703</v>
      </c>
      <c r="AQ41" s="586">
        <f t="shared" ref="AQ41:AQ72" si="246">IF(M41="","",DEGREES(ATAN(($AS$5*SIN(RADIANS(90)))/(($X41*2*PI())-($AS$5*COS(RADIANS(90)))))))</f>
        <v>2.6104527564904569</v>
      </c>
      <c r="AS41" s="52">
        <f t="shared" si="116"/>
        <v>-120.00003465170772</v>
      </c>
      <c r="AT41" s="72">
        <f t="shared" ref="AT41:AT72" si="247">IF(M41="","",Y41+(((AS41-$AS$9)*$AS$6)*-1))</f>
        <v>-0.55006855294314239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4.1029999999999998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1.4117983782716552</v>
      </c>
      <c r="C42" s="708">
        <v>-0.81510331218560983</v>
      </c>
      <c r="D42" s="709">
        <v>-0.43040129809031502</v>
      </c>
      <c r="E42" s="710">
        <v>0.42495075868149657</v>
      </c>
      <c r="F42" s="708">
        <v>0.87000969481008184</v>
      </c>
      <c r="G42" s="711">
        <v>0.24999996726497564</v>
      </c>
      <c r="H42" s="710">
        <v>0.314</v>
      </c>
      <c r="I42" s="708">
        <v>0.52</v>
      </c>
      <c r="J42" s="570">
        <v>4.1059999999999999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4.1059999999999999</v>
      </c>
      <c r="N42" s="632">
        <f t="shared" si="240"/>
        <v>1.4117983782716552</v>
      </c>
      <c r="O42" s="629">
        <f t="shared" si="241"/>
        <v>-0.81510331218560983</v>
      </c>
      <c r="P42" s="633">
        <f t="shared" si="242"/>
        <v>-0.43040129809031502</v>
      </c>
      <c r="Q42" s="585">
        <f t="shared" si="113"/>
        <v>329.99996534829228</v>
      </c>
      <c r="R42" s="629">
        <f t="shared" ref="R42:R47" si="385">IF(M42="","",SQRT(N42^2+O42^2))</f>
        <v>1.6302049166980288</v>
      </c>
      <c r="S42" s="634">
        <f t="shared" ref="S42:S47" si="386">IF(M42="","",P42)</f>
        <v>-0.43040129809031502</v>
      </c>
      <c r="T42" s="635">
        <f t="shared" ref="T42:T47" si="387">IF(M42="","",X42*COS(RADIANS(W42)))</f>
        <v>-0.81510331218560983</v>
      </c>
      <c r="U42" s="629">
        <f t="shared" ref="U42:U47" si="388">IF(M42="","",X42*SIN(RADIANS(W42)))</f>
        <v>-1.4117983782716552</v>
      </c>
      <c r="V42" s="636">
        <f t="shared" ref="V42:V47" si="389">IF(M42="","",Y42)</f>
        <v>-0.43040129809031502</v>
      </c>
      <c r="W42" s="585">
        <f t="shared" si="224"/>
        <v>239.99996534829228</v>
      </c>
      <c r="X42" s="629">
        <f t="shared" ref="X42:X47" si="390">IF(M42="","",R42)</f>
        <v>1.6302049166980288</v>
      </c>
      <c r="Y42" s="630">
        <f t="shared" si="223"/>
        <v>-0.43040129809031502</v>
      </c>
      <c r="Z42" s="632">
        <f t="shared" si="243"/>
        <v>-0.42495075868149657</v>
      </c>
      <c r="AA42" s="629">
        <f t="shared" si="244"/>
        <v>-0.87000969481008184</v>
      </c>
      <c r="AB42" s="629">
        <f t="shared" si="245"/>
        <v>-0.24999996726497564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-0.42495075868149657</v>
      </c>
      <c r="AE42" s="629">
        <f t="shared" ref="AE42:AE47" si="393">IF(M42="","",AA42*(1/SQRT(Z42^2+AA42^2+AB42^2)))</f>
        <v>-0.87000969481008184</v>
      </c>
      <c r="AF42" s="633">
        <f t="shared" ref="AF42:AF47" si="394">IF(M42="","",AB42*(1/SQRT(Z42^2+AA42^2+AB42^2)))</f>
        <v>-0.24999996726497564</v>
      </c>
      <c r="AG42" s="602">
        <f t="shared" ref="AG42:AG47" si="395">IF(M42="","",DEGREES(ATAN2(-AF42,AE42)))</f>
        <v>-73.967832110835701</v>
      </c>
      <c r="AH42" s="603">
        <f t="shared" ref="AH42:AH47" si="396">IF(M42="","",DEGREES(ACOS(AD42)))</f>
        <v>115.14754663787646</v>
      </c>
      <c r="AI42" s="585">
        <f t="shared" ref="AI42:AI47" si="397">IF(M42="","",DEGREES(-ACOS(-AF42)))</f>
        <v>-75.522489751159469</v>
      </c>
      <c r="AJ42" s="586">
        <f t="shared" ref="AJ42:AJ47" si="398">IF(M42="","",DEGREES(ATAN2(-AE42,AD42)))</f>
        <v>-26.032905006621156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6.6987279208207184E-2</v>
      </c>
      <c r="AM42" s="634">
        <f t="shared" ref="AM42:AM47" si="401">IF(M42="","",AF42)</f>
        <v>-0.24999996726497564</v>
      </c>
      <c r="AN42" s="581">
        <f t="shared" ref="AN42:AN47" si="402">IF(M42="","",DEGREES(ATAN2(-AM42,AL42)))</f>
        <v>14.999997834268264</v>
      </c>
      <c r="AO42" s="582">
        <f t="shared" si="94"/>
        <v>14.99999783426823</v>
      </c>
      <c r="AP42" s="585">
        <f t="shared" ref="AP42:AP47" si="403">IF(M42="","",DEGREES(ATAN2(AK42,AL42)))</f>
        <v>3.9671296450865703</v>
      </c>
      <c r="AQ42" s="586">
        <f t="shared" si="246"/>
        <v>1.3981519034738918</v>
      </c>
      <c r="AS42" s="52">
        <f t="shared" si="116"/>
        <v>-120.00003465170772</v>
      </c>
      <c r="AT42" s="72">
        <f t="shared" si="247"/>
        <v>-0.34706794069329577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4.1059999999999999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2.0244263826817699</v>
      </c>
      <c r="C43" s="708">
        <v>-1.1688047494571721</v>
      </c>
      <c r="D43" s="709">
        <v>-0.24090072655659131</v>
      </c>
      <c r="E43" s="710">
        <v>0.42495075868149651</v>
      </c>
      <c r="F43" s="708">
        <v>0.87000969481008184</v>
      </c>
      <c r="G43" s="711">
        <v>0.24999996726497564</v>
      </c>
      <c r="H43" s="710">
        <v>0.314</v>
      </c>
      <c r="I43" s="708">
        <v>0.52</v>
      </c>
      <c r="J43" s="570">
        <v>4.109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4.109</v>
      </c>
      <c r="N43" s="632">
        <f t="shared" si="240"/>
        <v>2.0244263826817699</v>
      </c>
      <c r="O43" s="629">
        <f t="shared" si="241"/>
        <v>-1.1688047494571721</v>
      </c>
      <c r="P43" s="633">
        <f t="shared" si="242"/>
        <v>-0.24090072655659131</v>
      </c>
      <c r="Q43" s="585">
        <f t="shared" si="113"/>
        <v>329.99996534829228</v>
      </c>
      <c r="R43" s="629">
        <f t="shared" si="385"/>
        <v>2.3376070502228639</v>
      </c>
      <c r="S43" s="634">
        <f t="shared" si="386"/>
        <v>-0.24090072655659131</v>
      </c>
      <c r="T43" s="635">
        <f t="shared" si="387"/>
        <v>-1.1688047494571721</v>
      </c>
      <c r="U43" s="629">
        <f t="shared" si="388"/>
        <v>-2.0244263826817699</v>
      </c>
      <c r="V43" s="636">
        <f t="shared" si="389"/>
        <v>-0.24090072655659131</v>
      </c>
      <c r="W43" s="585">
        <f t="shared" si="224"/>
        <v>239.99996534829228</v>
      </c>
      <c r="X43" s="629">
        <f t="shared" si="390"/>
        <v>2.3376070502228639</v>
      </c>
      <c r="Y43" s="630">
        <f t="shared" si="223"/>
        <v>-0.24090072655659131</v>
      </c>
      <c r="Z43" s="632">
        <f t="shared" si="243"/>
        <v>-0.42495075868149651</v>
      </c>
      <c r="AA43" s="629">
        <f t="shared" si="244"/>
        <v>-0.87000969481008184</v>
      </c>
      <c r="AB43" s="629">
        <f t="shared" si="245"/>
        <v>-0.24999996726497564</v>
      </c>
      <c r="AC43" s="636">
        <f t="shared" si="391"/>
        <v>1</v>
      </c>
      <c r="AD43" s="637">
        <f t="shared" si="392"/>
        <v>-0.42495075868149651</v>
      </c>
      <c r="AE43" s="629">
        <f t="shared" si="393"/>
        <v>-0.87000969481008184</v>
      </c>
      <c r="AF43" s="633">
        <f t="shared" si="394"/>
        <v>-0.24999996726497564</v>
      </c>
      <c r="AG43" s="602">
        <f t="shared" si="395"/>
        <v>-73.967832110835701</v>
      </c>
      <c r="AH43" s="603">
        <f t="shared" si="396"/>
        <v>115.14754663787646</v>
      </c>
      <c r="AI43" s="585">
        <f t="shared" si="397"/>
        <v>-75.522489751159469</v>
      </c>
      <c r="AJ43" s="586">
        <f t="shared" si="398"/>
        <v>-26.032905006621153</v>
      </c>
      <c r="AK43" s="635">
        <f t="shared" si="399"/>
        <v>0.9659258360722075</v>
      </c>
      <c r="AL43" s="629">
        <f t="shared" si="400"/>
        <v>6.698727920820724E-2</v>
      </c>
      <c r="AM43" s="634">
        <f t="shared" si="401"/>
        <v>-0.24999996726497564</v>
      </c>
      <c r="AN43" s="581">
        <f t="shared" si="402"/>
        <v>14.999997834268278</v>
      </c>
      <c r="AO43" s="582">
        <f t="shared" si="94"/>
        <v>14.99999783426823</v>
      </c>
      <c r="AP43" s="585">
        <f t="shared" si="403"/>
        <v>3.9671296450865734</v>
      </c>
      <c r="AQ43" s="586">
        <f t="shared" si="246"/>
        <v>0.97514529219655988</v>
      </c>
      <c r="AS43" s="52">
        <f t="shared" ref="AS43:AS74" si="406">IF(G43="","",IF(AND(W43&lt;(AS42+180),W43&gt;(AS42-180)),W43,IF(W43&gt;(AS42+180),W43-360,IF(W43&lt;(AS42-180),W43+360,"Error"))))</f>
        <v>-120.00003465170772</v>
      </c>
      <c r="AT43" s="72">
        <f t="shared" si="247"/>
        <v>-0.15756736915957206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4.109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2.6753472469441406</v>
      </c>
      <c r="C44" s="708">
        <v>-1.5509714865754081</v>
      </c>
      <c r="D44" s="709">
        <v>-0.13010039238278337</v>
      </c>
      <c r="E44" s="710">
        <v>0.50311988351771852</v>
      </c>
      <c r="F44" s="708">
        <v>0.82456938875012031</v>
      </c>
      <c r="G44" s="711">
        <v>0.25875800653384734</v>
      </c>
      <c r="H44" s="710">
        <v>0.314</v>
      </c>
      <c r="I44" s="708">
        <v>0.52</v>
      </c>
      <c r="J44" s="570">
        <v>4.1150000000000002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4.1150000000000002</v>
      </c>
      <c r="N44" s="632">
        <f t="shared" si="240"/>
        <v>2.6753472469441406</v>
      </c>
      <c r="O44" s="629">
        <f t="shared" si="241"/>
        <v>-1.5509714865754081</v>
      </c>
      <c r="P44" s="633">
        <f t="shared" si="242"/>
        <v>-0.13010039238278337</v>
      </c>
      <c r="Q44" s="585">
        <f t="shared" si="113"/>
        <v>329.89796536301924</v>
      </c>
      <c r="R44" s="629">
        <f t="shared" si="385"/>
        <v>3.0924093267065285</v>
      </c>
      <c r="S44" s="634">
        <f t="shared" si="386"/>
        <v>-0.13010039238278337</v>
      </c>
      <c r="T44" s="635">
        <f t="shared" si="387"/>
        <v>-1.5509714865754081</v>
      </c>
      <c r="U44" s="629">
        <f t="shared" si="388"/>
        <v>-2.6753472469441406</v>
      </c>
      <c r="V44" s="636">
        <f t="shared" si="389"/>
        <v>-0.13010039238278337</v>
      </c>
      <c r="W44" s="585">
        <f t="shared" si="224"/>
        <v>239.89796536301924</v>
      </c>
      <c r="X44" s="629">
        <f t="shared" si="390"/>
        <v>3.0924093267065285</v>
      </c>
      <c r="Y44" s="630">
        <f t="shared" si="223"/>
        <v>-0.13010039238278337</v>
      </c>
      <c r="Z44" s="632">
        <f t="shared" si="243"/>
        <v>-0.50311988351771852</v>
      </c>
      <c r="AA44" s="629">
        <f t="shared" si="244"/>
        <v>-0.82456938875012031</v>
      </c>
      <c r="AB44" s="629">
        <f t="shared" si="245"/>
        <v>-0.25875800653384734</v>
      </c>
      <c r="AC44" s="636">
        <f t="shared" si="391"/>
        <v>1</v>
      </c>
      <c r="AD44" s="637">
        <f t="shared" si="392"/>
        <v>-0.50311988351771852</v>
      </c>
      <c r="AE44" s="629">
        <f t="shared" si="393"/>
        <v>-0.82456938875012031</v>
      </c>
      <c r="AF44" s="633">
        <f t="shared" si="394"/>
        <v>-0.25875800653384734</v>
      </c>
      <c r="AG44" s="602">
        <f t="shared" si="395"/>
        <v>-72.577628299046069</v>
      </c>
      <c r="AH44" s="603">
        <f t="shared" si="396"/>
        <v>120.20662538646093</v>
      </c>
      <c r="AI44" s="585">
        <f t="shared" si="397"/>
        <v>-75.003620591428543</v>
      </c>
      <c r="AJ44" s="586">
        <f t="shared" si="398"/>
        <v>-31.389903478425254</v>
      </c>
      <c r="AK44" s="635">
        <f t="shared" si="399"/>
        <v>0.96569817325983454</v>
      </c>
      <c r="AL44" s="629">
        <f t="shared" si="400"/>
        <v>-2.17101869464148E-2</v>
      </c>
      <c r="AM44" s="634">
        <f t="shared" si="401"/>
        <v>-0.25875800653384734</v>
      </c>
      <c r="AN44" s="581">
        <f t="shared" si="402"/>
        <v>-4.7959696652541224</v>
      </c>
      <c r="AO44" s="582">
        <f t="shared" si="94"/>
        <v>15.050313997168708</v>
      </c>
      <c r="AP44" s="585">
        <f t="shared" si="403"/>
        <v>-1.2878688414445016</v>
      </c>
      <c r="AQ44" s="586">
        <f t="shared" si="246"/>
        <v>0.73716012387876972</v>
      </c>
      <c r="AS44" s="52">
        <f t="shared" si="406"/>
        <v>-120.10203463698076</v>
      </c>
      <c r="AT44" s="72">
        <f t="shared" si="247"/>
        <v>-4.6696201662657838E-2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4.1150000000000002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3.3314749224153664</v>
      </c>
      <c r="C45" s="708">
        <v>-1.9683483962562607</v>
      </c>
      <c r="D45" s="709">
        <v>-0.23600071177814674</v>
      </c>
      <c r="E45" s="710">
        <v>0.58376055635955437</v>
      </c>
      <c r="F45" s="708">
        <v>0.77547360874129223</v>
      </c>
      <c r="G45" s="711">
        <v>0.24054998437859232</v>
      </c>
      <c r="H45" s="710">
        <v>0.314</v>
      </c>
      <c r="I45" s="708">
        <v>0.52</v>
      </c>
      <c r="J45" s="570">
        <v>4.1210000000000004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4.1210000000000004</v>
      </c>
      <c r="N45" s="632">
        <f t="shared" si="240"/>
        <v>3.3314749224153664</v>
      </c>
      <c r="O45" s="629">
        <f t="shared" si="241"/>
        <v>-1.9683483962562607</v>
      </c>
      <c r="P45" s="633">
        <f t="shared" si="242"/>
        <v>-0.23600071177814674</v>
      </c>
      <c r="Q45" s="585">
        <f t="shared" si="113"/>
        <v>329.42396543145639</v>
      </c>
      <c r="R45" s="629">
        <f t="shared" si="385"/>
        <v>3.8695116704471979</v>
      </c>
      <c r="S45" s="634">
        <f t="shared" si="386"/>
        <v>-0.23600071177814674</v>
      </c>
      <c r="T45" s="635">
        <f t="shared" si="387"/>
        <v>-1.9683483962562602</v>
      </c>
      <c r="U45" s="629">
        <f t="shared" si="388"/>
        <v>-3.3314749224153664</v>
      </c>
      <c r="V45" s="636">
        <f t="shared" si="389"/>
        <v>-0.23600071177814674</v>
      </c>
      <c r="W45" s="585">
        <f t="shared" si="224"/>
        <v>239.42396543145639</v>
      </c>
      <c r="X45" s="629">
        <f t="shared" si="390"/>
        <v>3.8695116704471979</v>
      </c>
      <c r="Y45" s="630">
        <f t="shared" si="223"/>
        <v>-0.23600071177814674</v>
      </c>
      <c r="Z45" s="632">
        <f t="shared" si="243"/>
        <v>-0.58376055635955437</v>
      </c>
      <c r="AA45" s="629">
        <f t="shared" si="244"/>
        <v>-0.77547360874129223</v>
      </c>
      <c r="AB45" s="629">
        <f t="shared" si="245"/>
        <v>-0.24054998437859232</v>
      </c>
      <c r="AC45" s="636">
        <f t="shared" si="391"/>
        <v>1</v>
      </c>
      <c r="AD45" s="637">
        <f t="shared" si="392"/>
        <v>-0.58376055635955437</v>
      </c>
      <c r="AE45" s="629">
        <f t="shared" si="393"/>
        <v>-0.77547360874129223</v>
      </c>
      <c r="AF45" s="633">
        <f t="shared" si="394"/>
        <v>-0.24054998437859232</v>
      </c>
      <c r="AG45" s="602">
        <f t="shared" si="395"/>
        <v>-72.766239937139019</v>
      </c>
      <c r="AH45" s="603">
        <f t="shared" si="396"/>
        <v>125.71547718003137</v>
      </c>
      <c r="AI45" s="585">
        <f t="shared" si="397"/>
        <v>-76.080996851368354</v>
      </c>
      <c r="AJ45" s="586">
        <f t="shared" si="398"/>
        <v>-36.971680325531345</v>
      </c>
      <c r="AK45" s="635">
        <f t="shared" si="399"/>
        <v>0.96459588529763662</v>
      </c>
      <c r="AL45" s="629">
        <f t="shared" si="400"/>
        <v>-0.10812253734688132</v>
      </c>
      <c r="AM45" s="634">
        <f t="shared" si="401"/>
        <v>-0.24054998437859232</v>
      </c>
      <c r="AN45" s="581">
        <f t="shared" si="402"/>
        <v>-24.202989776788389</v>
      </c>
      <c r="AO45" s="582">
        <f t="shared" si="94"/>
        <v>15.291645319144916</v>
      </c>
      <c r="AP45" s="585">
        <f t="shared" si="403"/>
        <v>-6.3956457569877259</v>
      </c>
      <c r="AQ45" s="586">
        <f t="shared" si="246"/>
        <v>0.589130227334561</v>
      </c>
      <c r="AS45" s="52">
        <f t="shared" si="406"/>
        <v>-120.57603456854361</v>
      </c>
      <c r="AT45" s="72">
        <f t="shared" si="247"/>
        <v>-0.15226735443888034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4.1210000000000004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3.9216093877442511</v>
      </c>
      <c r="C46" s="708">
        <v>-2.3757627474397527</v>
      </c>
      <c r="D46" s="709">
        <v>-0.55700167991706695</v>
      </c>
      <c r="E46" s="710">
        <v>0.65361728960208887</v>
      </c>
      <c r="F46" s="708">
        <v>0.72999341042418697</v>
      </c>
      <c r="G46" s="711">
        <v>0.19973497307803606</v>
      </c>
      <c r="H46" s="710">
        <v>0.314</v>
      </c>
      <c r="I46" s="708">
        <v>0.52</v>
      </c>
      <c r="J46" s="570">
        <v>4.1269999999999998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4.1269999999999998</v>
      </c>
      <c r="N46" s="632">
        <f t="shared" si="240"/>
        <v>3.9216093877442511</v>
      </c>
      <c r="O46" s="629">
        <f t="shared" si="241"/>
        <v>-2.3757627474397527</v>
      </c>
      <c r="P46" s="633">
        <f t="shared" si="242"/>
        <v>-0.55700167991706695</v>
      </c>
      <c r="Q46" s="585">
        <f t="shared" si="113"/>
        <v>328.79196552270588</v>
      </c>
      <c r="R46" s="629">
        <f t="shared" si="385"/>
        <v>4.5851138287033093</v>
      </c>
      <c r="S46" s="634">
        <f t="shared" si="386"/>
        <v>-0.55700167991706695</v>
      </c>
      <c r="T46" s="635">
        <f t="shared" si="387"/>
        <v>-2.37576274743975</v>
      </c>
      <c r="U46" s="629">
        <f t="shared" si="388"/>
        <v>-3.9216093877442528</v>
      </c>
      <c r="V46" s="636">
        <f t="shared" si="389"/>
        <v>-0.55700167991706695</v>
      </c>
      <c r="W46" s="585">
        <f t="shared" si="224"/>
        <v>238.79196552270588</v>
      </c>
      <c r="X46" s="629">
        <f t="shared" si="390"/>
        <v>4.5851138287033093</v>
      </c>
      <c r="Y46" s="630">
        <f t="shared" si="223"/>
        <v>-0.55700167991706695</v>
      </c>
      <c r="Z46" s="632">
        <f t="shared" si="243"/>
        <v>-0.65361728960208887</v>
      </c>
      <c r="AA46" s="629">
        <f t="shared" si="244"/>
        <v>-0.72999341042418697</v>
      </c>
      <c r="AB46" s="629">
        <f t="shared" si="245"/>
        <v>-0.19973497307803606</v>
      </c>
      <c r="AC46" s="636">
        <f t="shared" si="391"/>
        <v>1</v>
      </c>
      <c r="AD46" s="637">
        <f t="shared" si="392"/>
        <v>-0.65361728960208887</v>
      </c>
      <c r="AE46" s="629">
        <f t="shared" si="393"/>
        <v>-0.72999341042418697</v>
      </c>
      <c r="AF46" s="633">
        <f t="shared" si="394"/>
        <v>-0.19973497307803606</v>
      </c>
      <c r="AG46" s="602">
        <f t="shared" si="395"/>
        <v>-74.697708976204368</v>
      </c>
      <c r="AH46" s="603">
        <f t="shared" si="396"/>
        <v>130.81488849826096</v>
      </c>
      <c r="AI46" s="585">
        <f t="shared" si="397"/>
        <v>-78.47853858779014</v>
      </c>
      <c r="AJ46" s="586">
        <f t="shared" si="398"/>
        <v>-41.840445981448667</v>
      </c>
      <c r="AK46" s="635">
        <f t="shared" si="399"/>
        <v>0.96302704447336795</v>
      </c>
      <c r="AL46" s="629">
        <f t="shared" si="400"/>
        <v>-0.18078952442662782</v>
      </c>
      <c r="AM46" s="634">
        <f t="shared" si="401"/>
        <v>-0.19973497307803606</v>
      </c>
      <c r="AN46" s="581">
        <f t="shared" si="402"/>
        <v>-42.149727091416658</v>
      </c>
      <c r="AO46" s="582">
        <f t="shared" si="94"/>
        <v>15.628848236464885</v>
      </c>
      <c r="AP46" s="585">
        <f t="shared" si="403"/>
        <v>-10.632411504154561</v>
      </c>
      <c r="AQ46" s="586">
        <f t="shared" si="246"/>
        <v>0.49718927277803887</v>
      </c>
      <c r="AS46" s="52">
        <f t="shared" si="406"/>
        <v>-121.20803447729412</v>
      </c>
      <c r="AT46" s="72">
        <f t="shared" si="247"/>
        <v>-0.47282943375227937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4.1269999999999998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4.402400083716862</v>
      </c>
      <c r="C47" s="708">
        <v>-2.7316288948458278</v>
      </c>
      <c r="D47" s="709">
        <v>-1.066903217780105</v>
      </c>
      <c r="E47" s="710">
        <v>0.71929178336612143</v>
      </c>
      <c r="F47" s="708">
        <v>0.67384992121560905</v>
      </c>
      <c r="G47" s="711">
        <v>0.16895447333439365</v>
      </c>
      <c r="H47" s="710">
        <v>0.314</v>
      </c>
      <c r="I47" s="708">
        <v>0.52</v>
      </c>
      <c r="J47" s="570">
        <v>4.133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4.133</v>
      </c>
      <c r="N47" s="632">
        <f t="shared" si="240"/>
        <v>4.402400083716862</v>
      </c>
      <c r="O47" s="629">
        <f t="shared" si="241"/>
        <v>-2.7316288948458278</v>
      </c>
      <c r="P47" s="633">
        <f t="shared" si="242"/>
        <v>-1.066903217780105</v>
      </c>
      <c r="Q47" s="585">
        <f t="shared" si="113"/>
        <v>328.18096561092335</v>
      </c>
      <c r="R47" s="629">
        <f t="shared" si="385"/>
        <v>5.1810156259431288</v>
      </c>
      <c r="S47" s="634">
        <f t="shared" si="386"/>
        <v>-1.066903217780105</v>
      </c>
      <c r="T47" s="635">
        <f t="shared" si="387"/>
        <v>-2.7316288948458283</v>
      </c>
      <c r="U47" s="629">
        <f t="shared" si="388"/>
        <v>-4.4024000837168611</v>
      </c>
      <c r="V47" s="636">
        <f t="shared" si="389"/>
        <v>-1.066903217780105</v>
      </c>
      <c r="W47" s="585">
        <f t="shared" si="224"/>
        <v>238.18096561092335</v>
      </c>
      <c r="X47" s="629">
        <f t="shared" si="390"/>
        <v>5.1810156259431288</v>
      </c>
      <c r="Y47" s="630">
        <f t="shared" si="223"/>
        <v>-1.066903217780105</v>
      </c>
      <c r="Z47" s="632">
        <f t="shared" si="243"/>
        <v>-0.71929178336612143</v>
      </c>
      <c r="AA47" s="629">
        <f t="shared" si="244"/>
        <v>-0.67384992121560905</v>
      </c>
      <c r="AB47" s="629">
        <f t="shared" si="245"/>
        <v>-0.16895447333439365</v>
      </c>
      <c r="AC47" s="636">
        <f t="shared" si="391"/>
        <v>1</v>
      </c>
      <c r="AD47" s="637">
        <f t="shared" si="392"/>
        <v>-0.71929178336612143</v>
      </c>
      <c r="AE47" s="629">
        <f t="shared" si="393"/>
        <v>-0.67384992121560905</v>
      </c>
      <c r="AF47" s="633">
        <f t="shared" si="394"/>
        <v>-0.16895447333439365</v>
      </c>
      <c r="AG47" s="602">
        <f t="shared" si="395"/>
        <v>-75.924391120948201</v>
      </c>
      <c r="AH47" s="603">
        <f t="shared" si="396"/>
        <v>135.99603967715063</v>
      </c>
      <c r="AI47" s="585">
        <f t="shared" si="397"/>
        <v>-80.272964500387687</v>
      </c>
      <c r="AJ47" s="586">
        <f t="shared" si="398"/>
        <v>-46.868226410623272</v>
      </c>
      <c r="AK47" s="635">
        <f t="shared" si="399"/>
        <v>0.95182016903154809</v>
      </c>
      <c r="AL47" s="629">
        <f t="shared" si="400"/>
        <v>-0.25591551685087988</v>
      </c>
      <c r="AM47" s="634">
        <f t="shared" si="401"/>
        <v>-0.16895447333439365</v>
      </c>
      <c r="AN47" s="581">
        <f t="shared" si="402"/>
        <v>-56.567355681120389</v>
      </c>
      <c r="AO47" s="582">
        <f t="shared" si="94"/>
        <v>17.857866097540899</v>
      </c>
      <c r="AP47" s="585">
        <f t="shared" si="403"/>
        <v>-15.049192021546611</v>
      </c>
      <c r="AQ47" s="586">
        <f t="shared" si="246"/>
        <v>0.44000674388485977</v>
      </c>
      <c r="AS47" s="52">
        <f t="shared" si="406"/>
        <v>-121.81903438907665</v>
      </c>
      <c r="AT47" s="72">
        <f t="shared" si="247"/>
        <v>-0.98230666612102402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4.133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4.7413032615804473</v>
      </c>
      <c r="C48" s="708">
        <v>-2.9962891756837644</v>
      </c>
      <c r="D48" s="709">
        <v>-1.7243052005044848</v>
      </c>
      <c r="E48" s="710">
        <v>0.78805448324782901</v>
      </c>
      <c r="F48" s="708">
        <v>0.59965940529397821</v>
      </c>
      <c r="G48" s="711">
        <v>0.13920750366079324</v>
      </c>
      <c r="H48" s="710">
        <v>0.314</v>
      </c>
      <c r="I48" s="708">
        <v>0.52</v>
      </c>
      <c r="J48" s="570">
        <v>4.1390000000000002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4.1390000000000002</v>
      </c>
      <c r="N48" s="632">
        <f t="shared" si="240"/>
        <v>4.7413032615804473</v>
      </c>
      <c r="O48" s="629">
        <f t="shared" si="241"/>
        <v>-2.9962891756837644</v>
      </c>
      <c r="P48" s="633">
        <f t="shared" si="242"/>
        <v>-1.7243052005044848</v>
      </c>
      <c r="Q48" s="585">
        <f t="shared" si="113"/>
        <v>327.7089656790717</v>
      </c>
      <c r="R48" s="629">
        <f t="shared" si="79"/>
        <v>5.6087169158902181</v>
      </c>
      <c r="S48" s="634">
        <f t="shared" si="80"/>
        <v>-1.7243052005044848</v>
      </c>
      <c r="T48" s="635">
        <f t="shared" si="81"/>
        <v>-2.9962891756837644</v>
      </c>
      <c r="U48" s="629">
        <f t="shared" si="82"/>
        <v>-4.7413032615804473</v>
      </c>
      <c r="V48" s="636">
        <f t="shared" si="114"/>
        <v>-1.7243052005044848</v>
      </c>
      <c r="W48" s="585">
        <f t="shared" si="224"/>
        <v>237.7089656790717</v>
      </c>
      <c r="X48" s="629">
        <f t="shared" si="83"/>
        <v>5.6087169158902181</v>
      </c>
      <c r="Y48" s="630">
        <f t="shared" si="223"/>
        <v>-1.7243052005044848</v>
      </c>
      <c r="Z48" s="632">
        <f t="shared" si="243"/>
        <v>-0.78805448324782901</v>
      </c>
      <c r="AA48" s="629">
        <f t="shared" si="244"/>
        <v>-0.59965940529397821</v>
      </c>
      <c r="AB48" s="629">
        <f t="shared" si="245"/>
        <v>-0.13920750366079324</v>
      </c>
      <c r="AC48" s="636">
        <f t="shared" si="84"/>
        <v>1</v>
      </c>
      <c r="AD48" s="637">
        <f t="shared" si="115"/>
        <v>-0.78805448324782901</v>
      </c>
      <c r="AE48" s="629">
        <f t="shared" si="85"/>
        <v>-0.59965940529397821</v>
      </c>
      <c r="AF48" s="633">
        <f t="shared" si="86"/>
        <v>-0.13920750366079324</v>
      </c>
      <c r="AG48" s="602">
        <f t="shared" si="87"/>
        <v>-76.93060449726093</v>
      </c>
      <c r="AH48" s="603">
        <f t="shared" si="88"/>
        <v>142.00406983038536</v>
      </c>
      <c r="AI48" s="585">
        <f t="shared" si="89"/>
        <v>-81.99800949416607</v>
      </c>
      <c r="AJ48" s="586">
        <f t="shared" si="90"/>
        <v>-52.731169945330819</v>
      </c>
      <c r="AK48" s="635">
        <f t="shared" si="211"/>
        <v>0.9279138687526749</v>
      </c>
      <c r="AL48" s="629">
        <f t="shared" si="91"/>
        <v>-0.34582816990663762</v>
      </c>
      <c r="AM48" s="634">
        <f t="shared" si="92"/>
        <v>-0.13920750366079324</v>
      </c>
      <c r="AN48" s="581">
        <f t="shared" si="93"/>
        <v>-68.073551582629477</v>
      </c>
      <c r="AO48" s="582">
        <f t="shared" si="94"/>
        <v>21.888074260458492</v>
      </c>
      <c r="AP48" s="585">
        <f t="shared" si="95"/>
        <v>-20.440135624402512</v>
      </c>
      <c r="AQ48" s="586">
        <f t="shared" si="246"/>
        <v>0.406454528557469</v>
      </c>
      <c r="AS48" s="52">
        <f t="shared" si="406"/>
        <v>-122.2910343209283</v>
      </c>
      <c r="AT48" s="72">
        <f t="shared" si="247"/>
        <v>-1.6393808711149511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4.1390000000000002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4.9172251150483488</v>
      </c>
      <c r="C49" s="708">
        <v>-3.1384164779572359</v>
      </c>
      <c r="D49" s="709">
        <v>-2.4757074667337196</v>
      </c>
      <c r="E49" s="710">
        <v>0.86036747281962067</v>
      </c>
      <c r="F49" s="708">
        <v>0.50065005628229797</v>
      </c>
      <c r="G49" s="711">
        <v>9.5484725786437782E-2</v>
      </c>
      <c r="H49" s="710">
        <v>0.314</v>
      </c>
      <c r="I49" s="708">
        <v>0.52</v>
      </c>
      <c r="J49" s="570">
        <v>4.1449999999999996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4.1449999999999996</v>
      </c>
      <c r="N49" s="632">
        <f t="shared" si="240"/>
        <v>4.9172251150483488</v>
      </c>
      <c r="O49" s="629">
        <f t="shared" si="241"/>
        <v>-3.1384164779572359</v>
      </c>
      <c r="P49" s="633">
        <f t="shared" si="242"/>
        <v>-2.4757074667337196</v>
      </c>
      <c r="Q49" s="585">
        <f t="shared" si="113"/>
        <v>327.45196571617788</v>
      </c>
      <c r="R49" s="629">
        <f t="shared" si="79"/>
        <v>5.8334175935874635</v>
      </c>
      <c r="S49" s="634">
        <f t="shared" si="80"/>
        <v>-2.4757074667337196</v>
      </c>
      <c r="T49" s="635">
        <f t="shared" si="81"/>
        <v>-3.1384164779572408</v>
      </c>
      <c r="U49" s="629">
        <f t="shared" si="82"/>
        <v>-4.9172251150483461</v>
      </c>
      <c r="V49" s="636">
        <f t="shared" si="114"/>
        <v>-2.4757074667337196</v>
      </c>
      <c r="W49" s="585">
        <f t="shared" si="224"/>
        <v>237.45196571617788</v>
      </c>
      <c r="X49" s="629">
        <f t="shared" si="83"/>
        <v>5.8334175935874635</v>
      </c>
      <c r="Y49" s="630">
        <f t="shared" si="223"/>
        <v>-2.4757074667337196</v>
      </c>
      <c r="Z49" s="632">
        <f t="shared" si="243"/>
        <v>-0.86036747281962067</v>
      </c>
      <c r="AA49" s="629">
        <f t="shared" si="244"/>
        <v>-0.50065005628229797</v>
      </c>
      <c r="AB49" s="629">
        <f t="shared" si="245"/>
        <v>-9.5484725786437782E-2</v>
      </c>
      <c r="AC49" s="636">
        <f t="shared" si="84"/>
        <v>1</v>
      </c>
      <c r="AD49" s="637">
        <f t="shared" si="115"/>
        <v>-0.86036747281962067</v>
      </c>
      <c r="AE49" s="629">
        <f t="shared" si="85"/>
        <v>-0.50065005628229797</v>
      </c>
      <c r="AF49" s="633">
        <f t="shared" si="86"/>
        <v>-9.5484725786437782E-2</v>
      </c>
      <c r="AG49" s="602">
        <f t="shared" si="87"/>
        <v>-79.202140062801931</v>
      </c>
      <c r="AH49" s="603">
        <f t="shared" si="88"/>
        <v>149.35786778524624</v>
      </c>
      <c r="AI49" s="585">
        <f t="shared" si="89"/>
        <v>-84.52078061723924</v>
      </c>
      <c r="AJ49" s="586">
        <f t="shared" si="90"/>
        <v>-59.80476425571787</v>
      </c>
      <c r="AK49" s="635">
        <f t="shared" si="211"/>
        <v>0.88490158669108032</v>
      </c>
      <c r="AL49" s="629">
        <f t="shared" si="91"/>
        <v>-0.45588578505267907</v>
      </c>
      <c r="AM49" s="634">
        <f t="shared" si="92"/>
        <v>-9.5484725786437782E-2</v>
      </c>
      <c r="AN49" s="581">
        <f t="shared" si="93"/>
        <v>-78.17047232957303</v>
      </c>
      <c r="AO49" s="582">
        <f t="shared" si="94"/>
        <v>27.760587041934972</v>
      </c>
      <c r="AP49" s="585">
        <f t="shared" si="95"/>
        <v>-27.25672997189573</v>
      </c>
      <c r="AQ49" s="586">
        <f t="shared" si="246"/>
        <v>0.39079857435219012</v>
      </c>
      <c r="AS49" s="52">
        <f t="shared" si="406"/>
        <v>-122.54803428382212</v>
      </c>
      <c r="AT49" s="72">
        <f t="shared" si="247"/>
        <v>-2.3906046651477322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4.1449999999999996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4.9668187909110095</v>
      </c>
      <c r="C50" s="708">
        <v>-3.1791051062772344</v>
      </c>
      <c r="D50" s="709">
        <v>-3.2542098146968015</v>
      </c>
      <c r="E50" s="710">
        <v>0.92469248013154881</v>
      </c>
      <c r="F50" s="708">
        <v>0.38071487649965635</v>
      </c>
      <c r="G50" s="711">
        <v>1.300841922800112E-7</v>
      </c>
      <c r="H50" s="710">
        <v>0.314</v>
      </c>
      <c r="I50" s="708">
        <v>0.52</v>
      </c>
      <c r="J50" s="570">
        <v>4.1509999999999998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4.1509999999999998</v>
      </c>
      <c r="N50" s="632">
        <f t="shared" si="240"/>
        <v>4.9668187909110095</v>
      </c>
      <c r="O50" s="629">
        <f t="shared" si="241"/>
        <v>-3.1791051062772344</v>
      </c>
      <c r="P50" s="633">
        <f t="shared" si="242"/>
        <v>-3.2542098146968015</v>
      </c>
      <c r="Q50" s="585">
        <f t="shared" si="113"/>
        <v>327.37796572686216</v>
      </c>
      <c r="R50" s="629">
        <f t="shared" si="79"/>
        <v>5.897117785707243</v>
      </c>
      <c r="S50" s="634">
        <f t="shared" si="80"/>
        <v>-3.2542098146968015</v>
      </c>
      <c r="T50" s="635">
        <f t="shared" si="81"/>
        <v>-3.1791051062772384</v>
      </c>
      <c r="U50" s="629">
        <f t="shared" si="82"/>
        <v>-4.9668187909110078</v>
      </c>
      <c r="V50" s="636">
        <f t="shared" si="114"/>
        <v>-3.2542098146968015</v>
      </c>
      <c r="W50" s="585">
        <f t="shared" si="224"/>
        <v>237.37796572686216</v>
      </c>
      <c r="X50" s="629">
        <f t="shared" si="83"/>
        <v>5.897117785707243</v>
      </c>
      <c r="Y50" s="630">
        <f t="shared" si="223"/>
        <v>-3.2542098146968015</v>
      </c>
      <c r="Z50" s="632">
        <f t="shared" si="243"/>
        <v>-0.92469248013154881</v>
      </c>
      <c r="AA50" s="629">
        <f t="shared" si="244"/>
        <v>-0.38071487649965635</v>
      </c>
      <c r="AB50" s="629">
        <f t="shared" si="245"/>
        <v>-1.300841922800112E-7</v>
      </c>
      <c r="AC50" s="636">
        <f t="shared" si="84"/>
        <v>1</v>
      </c>
      <c r="AD50" s="637">
        <f t="shared" si="115"/>
        <v>-0.92469248013154881</v>
      </c>
      <c r="AE50" s="629">
        <f t="shared" si="85"/>
        <v>-0.38071487649965635</v>
      </c>
      <c r="AF50" s="633">
        <f t="shared" si="86"/>
        <v>-1.300841922800112E-7</v>
      </c>
      <c r="AG50" s="602">
        <f t="shared" si="87"/>
        <v>-89.999980422947303</v>
      </c>
      <c r="AH50" s="603">
        <f t="shared" si="88"/>
        <v>157.62202921976194</v>
      </c>
      <c r="AI50" s="585">
        <f t="shared" si="89"/>
        <v>-89.999992546724798</v>
      </c>
      <c r="AJ50" s="586">
        <f t="shared" si="90"/>
        <v>-67.622029219763107</v>
      </c>
      <c r="AK50" s="635">
        <f t="shared" si="211"/>
        <v>0.81915209487729235</v>
      </c>
      <c r="AL50" s="629">
        <f t="shared" si="91"/>
        <v>-0.57357636410344426</v>
      </c>
      <c r="AM50" s="634">
        <f t="shared" si="92"/>
        <v>-1.300841922800112E-7</v>
      </c>
      <c r="AN50" s="581">
        <f t="shared" si="93"/>
        <v>-89.999987005609611</v>
      </c>
      <c r="AO50" s="582">
        <f t="shared" si="94"/>
        <v>34.999994946625911</v>
      </c>
      <c r="AP50" s="585">
        <f t="shared" si="95"/>
        <v>-34.999994946625236</v>
      </c>
      <c r="AQ50" s="586">
        <f t="shared" si="246"/>
        <v>0.38657732838746756</v>
      </c>
      <c r="AS50" s="52">
        <f t="shared" si="406"/>
        <v>-122.62203427313784</v>
      </c>
      <c r="AT50" s="72">
        <f t="shared" si="247"/>
        <v>-3.1690556242293448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4.1509999999999998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0.66893195796865368</v>
      </c>
      <c r="C51" s="708">
        <v>-1.4678395680436371</v>
      </c>
      <c r="D51" s="709">
        <v>-0.44772039168709532</v>
      </c>
      <c r="E51" s="710">
        <v>2.0637462931998181E-7</v>
      </c>
      <c r="F51" s="708">
        <v>9.405018632251944E-8</v>
      </c>
      <c r="G51" s="711">
        <v>0.99999999999997435</v>
      </c>
      <c r="H51" s="710">
        <v>0.25700000000000001</v>
      </c>
      <c r="I51" s="708">
        <v>0.41499999999999992</v>
      </c>
      <c r="J51" s="570">
        <v>4.2060000000000004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CPS-32193r1</v>
      </c>
      <c r="L51" s="320"/>
      <c r="M51" s="168">
        <f t="shared" si="239"/>
        <v>4.2060000000000004</v>
      </c>
      <c r="N51" s="632">
        <f t="shared" si="240"/>
        <v>0.66893195796865368</v>
      </c>
      <c r="O51" s="629">
        <f t="shared" si="241"/>
        <v>-1.4678395680436371</v>
      </c>
      <c r="P51" s="633">
        <f t="shared" si="242"/>
        <v>-0.44772039168709532</v>
      </c>
      <c r="Q51" s="585">
        <f t="shared" si="113"/>
        <v>294.49996534829228</v>
      </c>
      <c r="R51" s="629">
        <f t="shared" si="79"/>
        <v>1.6130787215465672</v>
      </c>
      <c r="S51" s="634">
        <f t="shared" si="80"/>
        <v>-0.44772039168709532</v>
      </c>
      <c r="T51" s="635">
        <f t="shared" si="81"/>
        <v>-1.4678395680436371</v>
      </c>
      <c r="U51" s="629">
        <f t="shared" si="82"/>
        <v>-0.66893195796865346</v>
      </c>
      <c r="V51" s="636">
        <f t="shared" si="114"/>
        <v>-0.44772039168709532</v>
      </c>
      <c r="W51" s="585">
        <f t="shared" si="224"/>
        <v>204.49996534829228</v>
      </c>
      <c r="X51" s="629">
        <f t="shared" si="83"/>
        <v>1.6130787215465672</v>
      </c>
      <c r="Y51" s="630">
        <f t="shared" si="223"/>
        <v>-0.44772039168709532</v>
      </c>
      <c r="Z51" s="632">
        <f t="shared" si="243"/>
        <v>-2.0637462931998181E-7</v>
      </c>
      <c r="AA51" s="629">
        <f t="shared" si="244"/>
        <v>-9.405018632251944E-8</v>
      </c>
      <c r="AB51" s="629">
        <f t="shared" si="245"/>
        <v>-0.99999999999997435</v>
      </c>
      <c r="AC51" s="636">
        <f t="shared" si="84"/>
        <v>1</v>
      </c>
      <c r="AD51" s="637">
        <f t="shared" si="115"/>
        <v>-2.0637462931998181E-7</v>
      </c>
      <c r="AE51" s="629">
        <f t="shared" si="85"/>
        <v>-9.405018632251944E-8</v>
      </c>
      <c r="AF51" s="633">
        <f t="shared" si="86"/>
        <v>-0.99999999999997435</v>
      </c>
      <c r="AG51" s="602">
        <f t="shared" si="87"/>
        <v>-5.3886787386995064E-6</v>
      </c>
      <c r="AH51" s="603">
        <f t="shared" si="88"/>
        <v>90.000011824395258</v>
      </c>
      <c r="AI51" s="585">
        <f t="shared" si="89"/>
        <v>-1.2976235990044085E-5</v>
      </c>
      <c r="AJ51" s="586">
        <f t="shared" si="90"/>
        <v>-65.500034651707722</v>
      </c>
      <c r="AK51" s="635">
        <f t="shared" si="211"/>
        <v>2.2679489671123668E-7</v>
      </c>
      <c r="AL51" s="629">
        <f t="shared" si="91"/>
        <v>0</v>
      </c>
      <c r="AM51" s="634">
        <f t="shared" si="92"/>
        <v>-0.99999999999997435</v>
      </c>
      <c r="AN51" s="581">
        <f t="shared" si="93"/>
        <v>0</v>
      </c>
      <c r="AO51" s="582">
        <f t="shared" si="94"/>
        <v>0</v>
      </c>
      <c r="AP51" s="585">
        <f t="shared" si="95"/>
        <v>0</v>
      </c>
      <c r="AQ51" s="586">
        <f t="shared" si="246"/>
        <v>1.4129902158018293</v>
      </c>
      <c r="AS51" s="52">
        <f t="shared" si="406"/>
        <v>-155.50003465170772</v>
      </c>
      <c r="AT51" s="72">
        <f t="shared" si="247"/>
        <v>-0.33973425651229827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4.2060000000000004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4.1059999999999999</v>
      </c>
      <c r="II51" s="734" cm="1">
        <f t="array" ref="II51">IFERROR(ROUND(VALUE(IF($IH51&lt;1,$IH51+LARGE((IF($M$9:$M$150="",0,$M$9:$M$150)-MOD(IF($M$9:$M$150="",0,$M$9:$M$150),1)),1),$IH51)),4),"")</f>
        <v>4.1059999999999999</v>
      </c>
      <c r="IJ51" s="533">
        <f t="shared" si="112"/>
        <v>1613</v>
      </c>
      <c r="IK51" s="533" t="str">
        <f t="shared" si="382"/>
        <v>CPS-32193r1</v>
      </c>
      <c r="IL51" s="727">
        <f t="shared" si="225"/>
        <v>35.5</v>
      </c>
      <c r="IM51" s="759">
        <v>4.5220443033330497E-2</v>
      </c>
      <c r="IN51" s="5">
        <f t="shared" si="226"/>
        <v>0.6</v>
      </c>
      <c r="IO51" s="771">
        <v>300</v>
      </c>
      <c r="IP51" s="9">
        <f t="shared" si="227"/>
        <v>-1.6302049166980288</v>
      </c>
      <c r="IQ51" s="5">
        <f t="shared" si="228"/>
        <v>-0.43040129809031502</v>
      </c>
      <c r="IR51" s="5">
        <f t="shared" si="383"/>
        <v>0.314</v>
      </c>
      <c r="IS51" s="5">
        <f t="shared" si="229"/>
        <v>0.30330071252667318</v>
      </c>
      <c r="IT51" s="727">
        <f t="shared" si="230"/>
        <v>-14.999997834268264</v>
      </c>
      <c r="IU51" s="9">
        <f t="shared" si="231"/>
        <v>-1.6130787215465672</v>
      </c>
      <c r="IV51" s="5">
        <f t="shared" si="232"/>
        <v>-0.44772039168709532</v>
      </c>
      <c r="IW51" s="5">
        <f t="shared" si="384"/>
        <v>0.25700000000000001</v>
      </c>
      <c r="IX51" s="5">
        <f t="shared" si="233"/>
        <v>0.25700000000000001</v>
      </c>
      <c r="IY51" s="762">
        <f t="shared" si="234"/>
        <v>0</v>
      </c>
    </row>
    <row r="52" spans="1:259" ht="15" customHeight="1" x14ac:dyDescent="0.25">
      <c r="A52" s="79"/>
      <c r="B52" s="707">
        <v>1.198049735339322</v>
      </c>
      <c r="C52" s="708">
        <v>-1.987286650286336</v>
      </c>
      <c r="D52" s="709">
        <v>-0.24739266249866401</v>
      </c>
      <c r="E52" s="710">
        <v>1.942297733409115E-7</v>
      </c>
      <c r="F52" s="708">
        <v>1.1709278503559986E-7</v>
      </c>
      <c r="G52" s="711">
        <v>0.99999999999997435</v>
      </c>
      <c r="H52" s="710">
        <v>0.25700000000000001</v>
      </c>
      <c r="I52" s="708">
        <v>0.41499999999999992</v>
      </c>
      <c r="J52" s="570">
        <v>4.2089999999999996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CPS-32193r1</v>
      </c>
      <c r="L52" s="320"/>
      <c r="M52" s="168">
        <f t="shared" si="239"/>
        <v>4.2089999999999996</v>
      </c>
      <c r="N52" s="632">
        <f t="shared" si="240"/>
        <v>1.198049735339322</v>
      </c>
      <c r="O52" s="629">
        <f t="shared" si="241"/>
        <v>-1.987286650286336</v>
      </c>
      <c r="P52" s="633">
        <f t="shared" si="242"/>
        <v>-0.24739266249866401</v>
      </c>
      <c r="Q52" s="585">
        <f t="shared" si="113"/>
        <v>301.08396952324551</v>
      </c>
      <c r="R52" s="629">
        <f t="shared" si="79"/>
        <v>2.320480855071402</v>
      </c>
      <c r="S52" s="634">
        <f t="shared" si="80"/>
        <v>-0.24739266249866401</v>
      </c>
      <c r="T52" s="635">
        <f t="shared" si="81"/>
        <v>-1.9872866502863364</v>
      </c>
      <c r="U52" s="629">
        <f t="shared" si="82"/>
        <v>-1.1980497353393211</v>
      </c>
      <c r="V52" s="636">
        <f t="shared" si="114"/>
        <v>-0.24739266249866401</v>
      </c>
      <c r="W52" s="585">
        <f t="shared" si="224"/>
        <v>211.08396952324551</v>
      </c>
      <c r="X52" s="629">
        <f t="shared" si="83"/>
        <v>2.320480855071402</v>
      </c>
      <c r="Y52" s="630">
        <f t="shared" si="223"/>
        <v>-0.24739266249866401</v>
      </c>
      <c r="Z52" s="632">
        <f t="shared" si="243"/>
        <v>-1.942297733409115E-7</v>
      </c>
      <c r="AA52" s="629">
        <f t="shared" si="244"/>
        <v>-1.1709278503559986E-7</v>
      </c>
      <c r="AB52" s="629">
        <f t="shared" si="245"/>
        <v>-0.99999999999997435</v>
      </c>
      <c r="AC52" s="636">
        <f t="shared" si="84"/>
        <v>1</v>
      </c>
      <c r="AD52" s="637">
        <f t="shared" si="115"/>
        <v>-1.942297733409115E-7</v>
      </c>
      <c r="AE52" s="629">
        <f t="shared" si="85"/>
        <v>-1.1709278503559986E-7</v>
      </c>
      <c r="AF52" s="633">
        <f t="shared" si="86"/>
        <v>-0.99999999999997435</v>
      </c>
      <c r="AG52" s="602">
        <f t="shared" si="87"/>
        <v>-6.7089223939726162E-6</v>
      </c>
      <c r="AH52" s="603">
        <f t="shared" si="88"/>
        <v>90.000011128546276</v>
      </c>
      <c r="AI52" s="585">
        <f t="shared" si="89"/>
        <v>-1.2976235990044085E-5</v>
      </c>
      <c r="AJ52" s="586">
        <f t="shared" si="90"/>
        <v>-58.916030476754514</v>
      </c>
      <c r="AK52" s="635">
        <f t="shared" si="211"/>
        <v>2.2679489667859606E-7</v>
      </c>
      <c r="AL52" s="629">
        <f t="shared" si="91"/>
        <v>-1.3234889800848443E-23</v>
      </c>
      <c r="AM52" s="634">
        <f t="shared" si="92"/>
        <v>-0.99999999999997435</v>
      </c>
      <c r="AN52" s="581">
        <f t="shared" si="93"/>
        <v>-7.5830332790937395E-22</v>
      </c>
      <c r="AO52" s="582">
        <f t="shared" si="94"/>
        <v>0</v>
      </c>
      <c r="AP52" s="585">
        <f t="shared" si="95"/>
        <v>-3.3435643350652162E-15</v>
      </c>
      <c r="AQ52" s="586">
        <f t="shared" si="246"/>
        <v>0.98234089905773003</v>
      </c>
      <c r="AS52" s="52">
        <f t="shared" si="406"/>
        <v>-148.91603047675449</v>
      </c>
      <c r="AT52" s="72">
        <f t="shared" si="247"/>
        <v>-0.14397875244536229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4.2089999999999996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4.109</v>
      </c>
      <c r="II52" s="734" cm="1">
        <f t="array" ref="II52">IFERROR(ROUND(VALUE(IF($IH52&lt;1,$IH52+LARGE((IF($M$9:$M$150="",0,$M$9:$M$150)-MOD(IF($M$9:$M$150="",0,$M$9:$M$150),1)),1),$IH52)),4),"")</f>
        <v>4.109</v>
      </c>
      <c r="IJ52" s="533">
        <f t="shared" si="112"/>
        <v>1613</v>
      </c>
      <c r="IK52" s="533" t="str">
        <f t="shared" si="382"/>
        <v>CPS-32193r1</v>
      </c>
      <c r="IL52" s="727">
        <f t="shared" si="225"/>
        <v>28.915995825046764</v>
      </c>
      <c r="IM52" s="759">
        <v>4.01060381136168E-2</v>
      </c>
      <c r="IN52" s="5">
        <f t="shared" si="226"/>
        <v>0.6</v>
      </c>
      <c r="IO52" s="771">
        <v>300</v>
      </c>
      <c r="IP52" s="9">
        <f t="shared" si="227"/>
        <v>-2.3376070502228639</v>
      </c>
      <c r="IQ52" s="5">
        <f t="shared" si="228"/>
        <v>-0.24090072655659131</v>
      </c>
      <c r="IR52" s="5">
        <f t="shared" si="383"/>
        <v>0.314</v>
      </c>
      <c r="IS52" s="5">
        <f t="shared" si="229"/>
        <v>0.30330071252667318</v>
      </c>
      <c r="IT52" s="727">
        <f t="shared" si="230"/>
        <v>-14.999997834268278</v>
      </c>
      <c r="IU52" s="9">
        <f t="shared" si="231"/>
        <v>-2.320480855071402</v>
      </c>
      <c r="IV52" s="5">
        <f t="shared" si="232"/>
        <v>-0.24739266249866401</v>
      </c>
      <c r="IW52" s="5">
        <f t="shared" si="384"/>
        <v>0.25700000000000001</v>
      </c>
      <c r="IX52" s="5">
        <f t="shared" si="233"/>
        <v>0.25700000000000001</v>
      </c>
      <c r="IY52" s="762">
        <f t="shared" si="234"/>
        <v>7.5830332790937395E-22</v>
      </c>
    </row>
    <row r="53" spans="1:259" ht="15" customHeight="1" x14ac:dyDescent="0.25">
      <c r="A53" s="79"/>
      <c r="B53" s="707">
        <v>1.8985116232204857</v>
      </c>
      <c r="C53" s="708">
        <v>-3.3660219771958246</v>
      </c>
      <c r="D53" s="709">
        <v>-0.26375079547239916</v>
      </c>
      <c r="E53" s="710">
        <v>0.89328824720071365</v>
      </c>
      <c r="F53" s="708">
        <v>0.37969963448564964</v>
      </c>
      <c r="G53" s="711">
        <v>0.24054998437859237</v>
      </c>
      <c r="H53" s="710">
        <v>0.314</v>
      </c>
      <c r="I53" s="708">
        <v>0.52</v>
      </c>
      <c r="J53" s="570">
        <v>5.2210000000000001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5.2210000000000001</v>
      </c>
      <c r="N53" s="632">
        <f t="shared" si="240"/>
        <v>1.8985116232204857</v>
      </c>
      <c r="O53" s="629">
        <f t="shared" si="241"/>
        <v>-3.3660219771958246</v>
      </c>
      <c r="P53" s="633">
        <f t="shared" si="242"/>
        <v>-0.26375079547239916</v>
      </c>
      <c r="Q53" s="585">
        <f t="shared" si="113"/>
        <v>299.42396976291985</v>
      </c>
      <c r="R53" s="629">
        <f t="shared" ref="R53:R58" si="410">IF(M53="","",SQRT(N53^2+O53^2))</f>
        <v>3.8645116553671528</v>
      </c>
      <c r="S53" s="634">
        <f t="shared" ref="S53:S58" si="411">IF(M53="","",P53)</f>
        <v>-0.26375079547239916</v>
      </c>
      <c r="T53" s="635">
        <f t="shared" ref="T53:T58" si="412">IF(M53="","",X53*COS(RADIANS(W53)))</f>
        <v>-3.3660219771958246</v>
      </c>
      <c r="U53" s="629">
        <f t="shared" ref="U53:U58" si="413">IF(M53="","",X53*SIN(RADIANS(W53)))</f>
        <v>-1.8985116232204859</v>
      </c>
      <c r="V53" s="636">
        <f t="shared" ref="V53:V58" si="414">IF(M53="","",Y53)</f>
        <v>-0.26375079547239916</v>
      </c>
      <c r="W53" s="585">
        <f t="shared" si="224"/>
        <v>209.42396976291985</v>
      </c>
      <c r="X53" s="629">
        <f t="shared" ref="X53:X58" si="415">IF(M53="","",R53)</f>
        <v>3.8645116553671528</v>
      </c>
      <c r="Y53" s="630">
        <f t="shared" si="223"/>
        <v>-0.26375079547239916</v>
      </c>
      <c r="Z53" s="632">
        <f t="shared" si="243"/>
        <v>-0.89328824720071365</v>
      </c>
      <c r="AA53" s="629">
        <f t="shared" si="244"/>
        <v>-0.37969963448564964</v>
      </c>
      <c r="AB53" s="629">
        <f t="shared" si="245"/>
        <v>-0.24054998437859237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-0.89328824720071365</v>
      </c>
      <c r="AE53" s="629">
        <f t="shared" ref="AE53:AE58" si="418">IF(M53="","",AA53*(1/SQRT(Z53^2+AA53^2+AB53^2)))</f>
        <v>-0.37969963448564964</v>
      </c>
      <c r="AF53" s="633">
        <f t="shared" ref="AF53:AF58" si="419">IF(M53="","",AB53*(1/SQRT(Z53^2+AA53^2+AB53^2)))</f>
        <v>-0.24054998437859237</v>
      </c>
      <c r="AG53" s="602">
        <f t="shared" ref="AG53:AG58" si="420">IF(M53="","",DEGREES(ATAN2(-AF53,AE53)))</f>
        <v>-57.64463605108336</v>
      </c>
      <c r="AH53" s="603">
        <f t="shared" ref="AH53:AH58" si="421">IF(M53="","",DEGREES(ACOS(AD53)))</f>
        <v>153.28940004815263</v>
      </c>
      <c r="AI53" s="585">
        <f t="shared" ref="AI53:AI58" si="422">IF(M53="","",DEGREES(-ACOS(-AF53)))</f>
        <v>-76.08099685136834</v>
      </c>
      <c r="AJ53" s="586">
        <f t="shared" ref="AJ53:AJ58" si="423">IF(M53="","",DEGREES(ATAN2(-AE53,AD53)))</f>
        <v>-66.971675994067851</v>
      </c>
      <c r="AK53" s="635">
        <f t="shared" ref="AK53:AK58" si="424">IF(M53="","",(COS(RADIANS((90-$Q$8)-W53))*AD53)+(-SIN(RADIANS((90-$Q$8)-W53))*AE53))</f>
        <v>0.96459588529763673</v>
      </c>
      <c r="AL53" s="629">
        <f t="shared" ref="AL53:AL58" si="425">IF(M53="","",(SIN(RADIANS((90-$Q$8)-W53))*AD53)+(COS(RADIANS((90-$Q$8)-W53))*AE53))</f>
        <v>-0.10812253734688082</v>
      </c>
      <c r="AM53" s="634">
        <f t="shared" ref="AM53:AM58" si="426">IF(M53="","",AF53)</f>
        <v>-0.24054998437859237</v>
      </c>
      <c r="AN53" s="581">
        <f t="shared" ref="AN53:AN58" si="427">IF(M53="","",DEGREES(ATAN2(-AM53,AL53)))</f>
        <v>-24.202989776788286</v>
      </c>
      <c r="AO53" s="582">
        <f t="shared" si="94"/>
        <v>15.291645319144891</v>
      </c>
      <c r="AP53" s="585">
        <f t="shared" ref="AP53:AP58" si="428">IF(M53="","",DEGREES(ATAN2(AK53,AL53)))</f>
        <v>-6.3956457569876957</v>
      </c>
      <c r="AQ53" s="586">
        <f t="shared" si="246"/>
        <v>0.58989240694870282</v>
      </c>
      <c r="AS53" s="52">
        <f t="shared" si="406"/>
        <v>-150.57603023708015</v>
      </c>
      <c r="AT53" s="72">
        <f t="shared" si="247"/>
        <v>-0.15918410780776016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5.2210000000000001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4.1210000000000004</v>
      </c>
      <c r="II53" s="734" cm="1">
        <f t="array" ref="II53">IFERROR(ROUND(VALUE(IF($IH53&lt;1,$IH53+LARGE((IF($M$9:$M$150="",0,$M$9:$M$150)-MOD(IF($M$9:$M$150="",0,$M$9:$M$150),1)),1),$IH53)),4),"")</f>
        <v>4.1210000000000004</v>
      </c>
      <c r="IJ53" s="533">
        <f t="shared" si="112"/>
        <v>1613</v>
      </c>
      <c r="IK53" s="533">
        <f t="shared" si="382"/>
        <v>1613</v>
      </c>
      <c r="IL53" s="727">
        <f t="shared" si="225"/>
        <v>29.999995668536542</v>
      </c>
      <c r="IM53" s="759">
        <v>9.6282643374256197E-3</v>
      </c>
      <c r="IN53" s="5">
        <f t="shared" si="226"/>
        <v>0.28000000000000003</v>
      </c>
      <c r="IO53" s="771">
        <v>140</v>
      </c>
      <c r="IP53" s="9">
        <f t="shared" si="227"/>
        <v>-3.8695116704471979</v>
      </c>
      <c r="IQ53" s="5">
        <f t="shared" si="228"/>
        <v>-0.23600071177814674</v>
      </c>
      <c r="IR53" s="5">
        <f t="shared" si="383"/>
        <v>0.314</v>
      </c>
      <c r="IS53" s="5">
        <f t="shared" si="229"/>
        <v>0.30288310798345791</v>
      </c>
      <c r="IT53" s="727">
        <f t="shared" si="230"/>
        <v>24.202989776788389</v>
      </c>
      <c r="IU53" s="9">
        <f t="shared" si="231"/>
        <v>-3.8645116553671528</v>
      </c>
      <c r="IV53" s="5">
        <f t="shared" si="232"/>
        <v>-0.26375079547239916</v>
      </c>
      <c r="IW53" s="5">
        <f t="shared" si="384"/>
        <v>0.314</v>
      </c>
      <c r="IX53" s="5">
        <f t="shared" si="233"/>
        <v>0.30288310798345791</v>
      </c>
      <c r="IY53" s="762">
        <f t="shared" si="234"/>
        <v>24.202989776788286</v>
      </c>
    </row>
    <row r="54" spans="1:259" ht="15" customHeight="1" x14ac:dyDescent="0.25">
      <c r="A54" s="79"/>
      <c r="B54" s="707">
        <v>2.2059241220338981</v>
      </c>
      <c r="C54" s="708">
        <v>-4.0138935354056908</v>
      </c>
      <c r="D54" s="709">
        <v>-0.5847517636113192</v>
      </c>
      <c r="E54" s="710">
        <v>0.93104585927370487</v>
      </c>
      <c r="F54" s="708">
        <v>0.3053842636070252</v>
      </c>
      <c r="G54" s="711">
        <v>0.19973497307803578</v>
      </c>
      <c r="H54" s="710">
        <v>0.314</v>
      </c>
      <c r="I54" s="708">
        <v>0.52</v>
      </c>
      <c r="J54" s="570">
        <v>5.2270000000000003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5.2270000000000003</v>
      </c>
      <c r="N54" s="632">
        <f t="shared" si="240"/>
        <v>2.2059241220338981</v>
      </c>
      <c r="O54" s="629">
        <f t="shared" si="241"/>
        <v>-4.0138935354056908</v>
      </c>
      <c r="P54" s="633">
        <f t="shared" si="242"/>
        <v>-0.5847517636113192</v>
      </c>
      <c r="Q54" s="585">
        <f t="shared" si="113"/>
        <v>298.79196985416934</v>
      </c>
      <c r="R54" s="629">
        <f t="shared" si="410"/>
        <v>4.580113813623262</v>
      </c>
      <c r="S54" s="634">
        <f t="shared" si="411"/>
        <v>-0.5847517636113192</v>
      </c>
      <c r="T54" s="635">
        <f t="shared" si="412"/>
        <v>-4.0138935354056908</v>
      </c>
      <c r="U54" s="629">
        <f t="shared" si="413"/>
        <v>-2.2059241220338985</v>
      </c>
      <c r="V54" s="636">
        <f t="shared" si="414"/>
        <v>-0.5847517636113192</v>
      </c>
      <c r="W54" s="585">
        <f t="shared" si="224"/>
        <v>208.79196985416934</v>
      </c>
      <c r="X54" s="629">
        <f t="shared" si="415"/>
        <v>4.580113813623262</v>
      </c>
      <c r="Y54" s="630">
        <f t="shared" si="223"/>
        <v>-0.5847517636113192</v>
      </c>
      <c r="Z54" s="632">
        <f t="shared" si="243"/>
        <v>-0.93104585927370487</v>
      </c>
      <c r="AA54" s="629">
        <f t="shared" si="244"/>
        <v>-0.3053842636070252</v>
      </c>
      <c r="AB54" s="629">
        <f t="shared" si="245"/>
        <v>-0.19973497307803578</v>
      </c>
      <c r="AC54" s="636">
        <f t="shared" si="416"/>
        <v>1</v>
      </c>
      <c r="AD54" s="637">
        <f t="shared" si="417"/>
        <v>-0.93104585927370487</v>
      </c>
      <c r="AE54" s="629">
        <f t="shared" si="418"/>
        <v>-0.3053842636070252</v>
      </c>
      <c r="AF54" s="633">
        <f t="shared" si="419"/>
        <v>-0.19973497307803578</v>
      </c>
      <c r="AG54" s="602">
        <f t="shared" si="420"/>
        <v>-56.813518231399577</v>
      </c>
      <c r="AH54" s="603">
        <f t="shared" si="421"/>
        <v>158.5984365937131</v>
      </c>
      <c r="AI54" s="585">
        <f t="shared" si="422"/>
        <v>-78.478538587790155</v>
      </c>
      <c r="AJ54" s="586">
        <f t="shared" si="423"/>
        <v>-71.840441649985223</v>
      </c>
      <c r="AK54" s="635">
        <f t="shared" si="424"/>
        <v>0.96302704447336795</v>
      </c>
      <c r="AL54" s="629">
        <f t="shared" si="425"/>
        <v>-0.18078952442662788</v>
      </c>
      <c r="AM54" s="634">
        <f t="shared" si="426"/>
        <v>-0.19973497307803578</v>
      </c>
      <c r="AN54" s="581">
        <f t="shared" si="427"/>
        <v>-42.149727091416715</v>
      </c>
      <c r="AO54" s="582">
        <f t="shared" si="94"/>
        <v>15.628848236464885</v>
      </c>
      <c r="AP54" s="585">
        <f t="shared" si="428"/>
        <v>-10.632411504154563</v>
      </c>
      <c r="AQ54" s="586">
        <f t="shared" si="246"/>
        <v>0.49773201668448469</v>
      </c>
      <c r="AS54" s="52">
        <f t="shared" si="406"/>
        <v>-151.20803014583066</v>
      </c>
      <c r="AT54" s="72">
        <f t="shared" si="247"/>
        <v>-0.47974618712115902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5.2270000000000003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4.1269999999999998</v>
      </c>
      <c r="II54" s="734" cm="1">
        <f t="array" ref="II54">IFERROR(ROUND(VALUE(IF($IH54&lt;1,$IH54+LARGE((IF($M$9:$M$150="",0,$M$9:$M$150)-MOD(IF($M$9:$M$150="",0,$M$9:$M$150),1)),1),$IH54)),4),"")</f>
        <v>4.1269999999999998</v>
      </c>
      <c r="IJ54" s="533">
        <f t="shared" si="112"/>
        <v>1613</v>
      </c>
      <c r="IK54" s="533">
        <f t="shared" si="382"/>
        <v>1613</v>
      </c>
      <c r="IL54" s="727">
        <f t="shared" si="225"/>
        <v>29.999995668536542</v>
      </c>
      <c r="IM54" s="759">
        <v>1.63989982945256E-3</v>
      </c>
      <c r="IN54" s="5">
        <f t="shared" si="226"/>
        <v>0</v>
      </c>
      <c r="IO54" s="771">
        <v>0</v>
      </c>
      <c r="IP54" s="9">
        <f t="shared" si="227"/>
        <v>-4.5851138287033093</v>
      </c>
      <c r="IQ54" s="5">
        <f t="shared" si="228"/>
        <v>-0.55700167991706695</v>
      </c>
      <c r="IR54" s="5">
        <f t="shared" si="383"/>
        <v>0.314</v>
      </c>
      <c r="IS54" s="5">
        <f t="shared" si="229"/>
        <v>0.30239049196463752</v>
      </c>
      <c r="IT54" s="727">
        <f t="shared" si="230"/>
        <v>42.149727091416658</v>
      </c>
      <c r="IU54" s="9">
        <f t="shared" si="231"/>
        <v>-4.580113813623262</v>
      </c>
      <c r="IV54" s="5">
        <f t="shared" si="232"/>
        <v>-0.5847517636113192</v>
      </c>
      <c r="IW54" s="5">
        <f t="shared" si="384"/>
        <v>0.314</v>
      </c>
      <c r="IX54" s="5">
        <f t="shared" si="233"/>
        <v>0.30239049196463752</v>
      </c>
      <c r="IY54" s="762">
        <f t="shared" si="234"/>
        <v>42.149727091416715</v>
      </c>
    </row>
    <row r="55" spans="1:259" ht="15" customHeight="1" x14ac:dyDescent="0.25">
      <c r="A55" s="79"/>
      <c r="B55" s="707">
        <v>2.4444149106978887</v>
      </c>
      <c r="C55" s="708">
        <v>-4.5624525584663527</v>
      </c>
      <c r="D55" s="709">
        <v>-1.0946533014743571</v>
      </c>
      <c r="E55" s="710">
        <v>0.95984990080790733</v>
      </c>
      <c r="F55" s="708">
        <v>0.22392533099081988</v>
      </c>
      <c r="G55" s="711">
        <v>0.16895447333439395</v>
      </c>
      <c r="H55" s="710">
        <v>0.314</v>
      </c>
      <c r="I55" s="708">
        <v>0.52</v>
      </c>
      <c r="J55" s="570">
        <v>5.2329999999999997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5.2329999999999997</v>
      </c>
      <c r="N55" s="632">
        <f t="shared" si="240"/>
        <v>2.4444149106978887</v>
      </c>
      <c r="O55" s="629">
        <f t="shared" si="241"/>
        <v>-4.5624525584663527</v>
      </c>
      <c r="P55" s="633">
        <f t="shared" si="242"/>
        <v>-1.0946533014743571</v>
      </c>
      <c r="Q55" s="585">
        <f t="shared" si="113"/>
        <v>298.18096994238681</v>
      </c>
      <c r="R55" s="629">
        <f t="shared" si="410"/>
        <v>5.1760156108630833</v>
      </c>
      <c r="S55" s="634">
        <f t="shared" si="411"/>
        <v>-1.0946533014743571</v>
      </c>
      <c r="T55" s="635">
        <f t="shared" si="412"/>
        <v>-4.5624525584663527</v>
      </c>
      <c r="U55" s="629">
        <f t="shared" si="413"/>
        <v>-2.4444149106978892</v>
      </c>
      <c r="V55" s="636">
        <f t="shared" si="414"/>
        <v>-1.0946533014743571</v>
      </c>
      <c r="W55" s="585">
        <f t="shared" si="224"/>
        <v>208.18096994238681</v>
      </c>
      <c r="X55" s="629">
        <f t="shared" si="415"/>
        <v>5.1760156108630833</v>
      </c>
      <c r="Y55" s="630">
        <f t="shared" si="223"/>
        <v>-1.0946533014743571</v>
      </c>
      <c r="Z55" s="632">
        <f t="shared" si="243"/>
        <v>-0.95984990080790733</v>
      </c>
      <c r="AA55" s="629">
        <f t="shared" si="244"/>
        <v>-0.22392533099081988</v>
      </c>
      <c r="AB55" s="629">
        <f t="shared" si="245"/>
        <v>-0.16895447333439395</v>
      </c>
      <c r="AC55" s="636">
        <f t="shared" si="416"/>
        <v>1</v>
      </c>
      <c r="AD55" s="637">
        <f t="shared" si="417"/>
        <v>-0.95984990080790733</v>
      </c>
      <c r="AE55" s="629">
        <f t="shared" si="418"/>
        <v>-0.22392533099081988</v>
      </c>
      <c r="AF55" s="633">
        <f t="shared" si="419"/>
        <v>-0.16895447333439395</v>
      </c>
      <c r="AG55" s="602">
        <f t="shared" si="420"/>
        <v>-52.964988271506478</v>
      </c>
      <c r="AH55" s="603">
        <f t="shared" si="421"/>
        <v>163.70910899922453</v>
      </c>
      <c r="AI55" s="585">
        <f t="shared" si="422"/>
        <v>-80.272964500387658</v>
      </c>
      <c r="AJ55" s="586">
        <f t="shared" si="423"/>
        <v>-76.868222079159793</v>
      </c>
      <c r="AK55" s="635">
        <f t="shared" si="424"/>
        <v>0.9518201690315482</v>
      </c>
      <c r="AL55" s="629">
        <f t="shared" si="425"/>
        <v>-0.25591551685087965</v>
      </c>
      <c r="AM55" s="634">
        <f t="shared" si="426"/>
        <v>-0.16895447333439395</v>
      </c>
      <c r="AN55" s="581">
        <f t="shared" si="427"/>
        <v>-56.567355681120318</v>
      </c>
      <c r="AO55" s="582">
        <f>IF(ROUND(IF(M55="",0,DEGREES(ACOS(AK55))),4)=90,0,IF(M55="","",DEGREES(ACOS(AK55))))</f>
        <v>17.857866097540875</v>
      </c>
      <c r="AP55" s="585">
        <f t="shared" si="428"/>
        <v>-15.049192021546595</v>
      </c>
      <c r="AQ55" s="586">
        <f t="shared" si="246"/>
        <v>0.4404317723037155</v>
      </c>
      <c r="AS55" s="52">
        <f t="shared" si="406"/>
        <v>-151.81903005761319</v>
      </c>
      <c r="AT55" s="72">
        <f t="shared" si="247"/>
        <v>-0.98922341948990355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5.2329999999999997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4.133</v>
      </c>
      <c r="II55" s="734" cm="1">
        <f t="array" ref="II55">IFERROR(ROUND(VALUE(IF($IH55&lt;1,$IH55+LARGE((IF($M$9:$M$150="",0,$M$9:$M$150)-MOD(IF($M$9:$M$150="",0,$M$9:$M$150),1)),1),$IH55)),4),"")</f>
        <v>4.133</v>
      </c>
      <c r="IJ55" s="533">
        <f t="shared" si="112"/>
        <v>1613</v>
      </c>
      <c r="IK55" s="533">
        <f t="shared" si="382"/>
        <v>1613</v>
      </c>
      <c r="IL55" s="727">
        <f t="shared" si="225"/>
        <v>29.999995668536542</v>
      </c>
      <c r="IM55" s="759">
        <v>1.21384190756627E-3</v>
      </c>
      <c r="IN55" s="5">
        <f t="shared" si="226"/>
        <v>0</v>
      </c>
      <c r="IO55" s="771">
        <v>0</v>
      </c>
      <c r="IP55" s="9">
        <f t="shared" si="227"/>
        <v>-5.1810156259431288</v>
      </c>
      <c r="IQ55" s="5">
        <f t="shared" si="228"/>
        <v>-1.066903217780105</v>
      </c>
      <c r="IR55" s="5">
        <f t="shared" si="383"/>
        <v>0.314</v>
      </c>
      <c r="IS55" s="5">
        <f t="shared" si="229"/>
        <v>0.29887153307590608</v>
      </c>
      <c r="IT55" s="727">
        <f t="shared" si="230"/>
        <v>56.567355681120389</v>
      </c>
      <c r="IU55" s="9">
        <f t="shared" si="231"/>
        <v>-5.1760156108630833</v>
      </c>
      <c r="IV55" s="5">
        <f t="shared" si="232"/>
        <v>-1.0946533014743571</v>
      </c>
      <c r="IW55" s="5">
        <f t="shared" si="384"/>
        <v>0.314</v>
      </c>
      <c r="IX55" s="5">
        <f t="shared" si="233"/>
        <v>0.29887153307590614</v>
      </c>
      <c r="IY55" s="762">
        <f t="shared" si="234"/>
        <v>56.567355681120318</v>
      </c>
    </row>
    <row r="56" spans="1:259" ht="15" customHeight="1" x14ac:dyDescent="0.25">
      <c r="A56" s="79"/>
      <c r="B56" s="707">
        <v>2.605619948835765</v>
      </c>
      <c r="C56" s="708">
        <v>-4.9610873593048792</v>
      </c>
      <c r="D56" s="709">
        <v>-1.7520552841987378</v>
      </c>
      <c r="E56" s="710">
        <v>0.98230489523388442</v>
      </c>
      <c r="F56" s="708">
        <v>0.12529311123951795</v>
      </c>
      <c r="G56" s="711">
        <v>0.1392075036607921</v>
      </c>
      <c r="H56" s="710">
        <v>0.314</v>
      </c>
      <c r="I56" s="708">
        <v>0.52</v>
      </c>
      <c r="J56" s="570">
        <v>5.2389999999999999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5.2389999999999999</v>
      </c>
      <c r="N56" s="632">
        <f t="shared" si="240"/>
        <v>2.605619948835765</v>
      </c>
      <c r="O56" s="629">
        <f t="shared" si="241"/>
        <v>-4.9610873593048792</v>
      </c>
      <c r="P56" s="633">
        <f t="shared" si="242"/>
        <v>-1.7520552841987378</v>
      </c>
      <c r="Q56" s="585">
        <f t="shared" si="113"/>
        <v>297.70897001053515</v>
      </c>
      <c r="R56" s="629">
        <f t="shared" si="410"/>
        <v>5.6037169008101717</v>
      </c>
      <c r="S56" s="634">
        <f t="shared" si="411"/>
        <v>-1.7520552841987378</v>
      </c>
      <c r="T56" s="635">
        <f t="shared" si="412"/>
        <v>-4.961087359304881</v>
      </c>
      <c r="U56" s="629">
        <f t="shared" si="413"/>
        <v>-2.6056199488357619</v>
      </c>
      <c r="V56" s="636">
        <f t="shared" si="414"/>
        <v>-1.7520552841987378</v>
      </c>
      <c r="W56" s="585">
        <f t="shared" si="224"/>
        <v>207.70897001053515</v>
      </c>
      <c r="X56" s="629">
        <f t="shared" si="415"/>
        <v>5.6037169008101717</v>
      </c>
      <c r="Y56" s="630">
        <f t="shared" si="223"/>
        <v>-1.7520552841987378</v>
      </c>
      <c r="Z56" s="632">
        <f t="shared" si="243"/>
        <v>-0.98230489523388442</v>
      </c>
      <c r="AA56" s="629">
        <f t="shared" si="244"/>
        <v>-0.12529311123951795</v>
      </c>
      <c r="AB56" s="629">
        <f t="shared" si="245"/>
        <v>-0.1392075036607921</v>
      </c>
      <c r="AC56" s="636">
        <f t="shared" si="416"/>
        <v>1</v>
      </c>
      <c r="AD56" s="637">
        <f t="shared" si="417"/>
        <v>-0.98230489523388442</v>
      </c>
      <c r="AE56" s="629">
        <f t="shared" si="418"/>
        <v>-0.12529311123951795</v>
      </c>
      <c r="AF56" s="633">
        <f t="shared" si="419"/>
        <v>-0.1392075036607921</v>
      </c>
      <c r="AG56" s="602">
        <f t="shared" si="420"/>
        <v>-41.988658229510023</v>
      </c>
      <c r="AH56" s="603">
        <f t="shared" si="421"/>
        <v>169.20539651096908</v>
      </c>
      <c r="AI56" s="585">
        <f t="shared" si="422"/>
        <v>-81.998009494166126</v>
      </c>
      <c r="AJ56" s="586">
        <f t="shared" si="423"/>
        <v>-82.731165613867404</v>
      </c>
      <c r="AK56" s="635">
        <f t="shared" si="424"/>
        <v>0.92791386875267479</v>
      </c>
      <c r="AL56" s="629">
        <f t="shared" si="425"/>
        <v>-0.34582816990663812</v>
      </c>
      <c r="AM56" s="634">
        <f t="shared" si="426"/>
        <v>-0.1392075036607921</v>
      </c>
      <c r="AN56" s="581">
        <f t="shared" si="427"/>
        <v>-68.073551582629662</v>
      </c>
      <c r="AO56" s="582">
        <f t="shared" ref="AO56:AO119" si="461">IF(ROUND(IF(M56="",0,DEGREES(ACOS(AK56))),4)=90,0,IF(M56="","",DEGREES(ACOS(AK56))))</f>
        <v>21.888074260458502</v>
      </c>
      <c r="AP56" s="585">
        <f t="shared" si="428"/>
        <v>-20.44013562440254</v>
      </c>
      <c r="AQ56" s="586">
        <f t="shared" si="246"/>
        <v>0.40681718258431776</v>
      </c>
      <c r="AS56" s="52">
        <f t="shared" si="406"/>
        <v>-152.29102998946485</v>
      </c>
      <c r="AT56" s="72">
        <f t="shared" si="247"/>
        <v>-1.6462976244838317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5.2389999999999999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4.1390000000000002</v>
      </c>
      <c r="II56" s="734" cm="1">
        <f t="array" ref="II56">IFERROR(ROUND(VALUE(IF($IH56&lt;1,$IH56+LARGE((IF($M$9:$M$150="",0,$M$9:$M$150)-MOD(IF($M$9:$M$150="",0,$M$9:$M$150),1)),1),$IH56)),4),"")</f>
        <v>4.1390000000000002</v>
      </c>
      <c r="IJ56" s="533">
        <f t="shared" si="112"/>
        <v>1613</v>
      </c>
      <c r="IK56" s="533">
        <f t="shared" si="382"/>
        <v>1613</v>
      </c>
      <c r="IL56" s="727">
        <f t="shared" si="225"/>
        <v>29.999995668536542</v>
      </c>
      <c r="IM56" s="759">
        <v>1.2647655232522299E-3</v>
      </c>
      <c r="IN56" s="5">
        <f t="shared" si="226"/>
        <v>0</v>
      </c>
      <c r="IO56" s="771">
        <v>0</v>
      </c>
      <c r="IP56" s="9">
        <f t="shared" si="227"/>
        <v>-5.6087169158902181</v>
      </c>
      <c r="IQ56" s="5">
        <f t="shared" si="228"/>
        <v>-1.7243052005044848</v>
      </c>
      <c r="IR56" s="5">
        <f t="shared" si="383"/>
        <v>0.314</v>
      </c>
      <c r="IS56" s="5">
        <f t="shared" si="229"/>
        <v>0.2913649547883399</v>
      </c>
      <c r="IT56" s="727">
        <f t="shared" si="230"/>
        <v>68.073551582629477</v>
      </c>
      <c r="IU56" s="9">
        <f t="shared" si="231"/>
        <v>-5.6037169008101717</v>
      </c>
      <c r="IV56" s="5">
        <f t="shared" si="232"/>
        <v>-1.7520552841987378</v>
      </c>
      <c r="IW56" s="5">
        <f t="shared" si="384"/>
        <v>0.314</v>
      </c>
      <c r="IX56" s="5">
        <f t="shared" si="233"/>
        <v>0.2913649547883399</v>
      </c>
      <c r="IY56" s="762">
        <f t="shared" si="234"/>
        <v>68.073551582629662</v>
      </c>
    </row>
    <row r="57" spans="1:259" ht="15" customHeight="1" x14ac:dyDescent="0.25">
      <c r="A57" s="79"/>
      <c r="B57" s="707">
        <v>2.6869289867327053</v>
      </c>
      <c r="C57" s="708">
        <v>-5.172123750424948</v>
      </c>
      <c r="D57" s="709">
        <v>-2.5034575504279721</v>
      </c>
      <c r="E57" s="710">
        <v>0.99542511593633098</v>
      </c>
      <c r="F57" s="708">
        <v>3.3920059892140757E-3</v>
      </c>
      <c r="G57" s="711">
        <v>9.5484725786438254E-2</v>
      </c>
      <c r="H57" s="710">
        <v>0.314</v>
      </c>
      <c r="I57" s="708">
        <v>0.52</v>
      </c>
      <c r="J57" s="570">
        <v>5.2450000000000001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5.2450000000000001</v>
      </c>
      <c r="N57" s="632">
        <f t="shared" si="240"/>
        <v>2.6869289867327053</v>
      </c>
      <c r="O57" s="629">
        <f t="shared" si="241"/>
        <v>-5.172123750424948</v>
      </c>
      <c r="P57" s="633">
        <f t="shared" si="242"/>
        <v>-2.5034575504279721</v>
      </c>
      <c r="Q57" s="585">
        <f t="shared" si="113"/>
        <v>297.45197004764134</v>
      </c>
      <c r="R57" s="629">
        <f t="shared" si="410"/>
        <v>5.8284175785074179</v>
      </c>
      <c r="S57" s="634">
        <f t="shared" si="411"/>
        <v>-2.5034575504279721</v>
      </c>
      <c r="T57" s="635">
        <f t="shared" si="412"/>
        <v>-5.1721237504249489</v>
      </c>
      <c r="U57" s="629">
        <f t="shared" si="413"/>
        <v>-2.6869289867327026</v>
      </c>
      <c r="V57" s="636">
        <f t="shared" si="414"/>
        <v>-2.5034575504279721</v>
      </c>
      <c r="W57" s="585">
        <f t="shared" si="224"/>
        <v>207.45197004764134</v>
      </c>
      <c r="X57" s="629">
        <f t="shared" si="415"/>
        <v>5.8284175785074179</v>
      </c>
      <c r="Y57" s="630">
        <f t="shared" si="223"/>
        <v>-2.5034575504279721</v>
      </c>
      <c r="Z57" s="632">
        <f t="shared" si="243"/>
        <v>-0.99542511593633098</v>
      </c>
      <c r="AA57" s="629">
        <f t="shared" si="244"/>
        <v>-3.3920059892140757E-3</v>
      </c>
      <c r="AB57" s="629">
        <f t="shared" si="245"/>
        <v>-9.5484725786438254E-2</v>
      </c>
      <c r="AC57" s="636">
        <f t="shared" si="416"/>
        <v>1</v>
      </c>
      <c r="AD57" s="637">
        <f t="shared" si="417"/>
        <v>-0.99542511593633098</v>
      </c>
      <c r="AE57" s="629">
        <f t="shared" si="418"/>
        <v>-3.3920059892140757E-3</v>
      </c>
      <c r="AF57" s="633">
        <f t="shared" si="419"/>
        <v>-9.5484725786438254E-2</v>
      </c>
      <c r="AG57" s="602">
        <f t="shared" si="420"/>
        <v>-2.0345236849883963</v>
      </c>
      <c r="AH57" s="603">
        <f t="shared" si="421"/>
        <v>174.51731384630781</v>
      </c>
      <c r="AI57" s="585">
        <f t="shared" si="422"/>
        <v>-84.520780617239225</v>
      </c>
      <c r="AJ57" s="586">
        <f t="shared" si="423"/>
        <v>-89.804759924254427</v>
      </c>
      <c r="AK57" s="635">
        <f t="shared" si="424"/>
        <v>0.88490158669107999</v>
      </c>
      <c r="AL57" s="629">
        <f t="shared" si="425"/>
        <v>-0.45588578505267946</v>
      </c>
      <c r="AM57" s="634">
        <f t="shared" si="426"/>
        <v>-9.5484725786438254E-2</v>
      </c>
      <c r="AN57" s="581">
        <f t="shared" si="427"/>
        <v>-78.170472329572974</v>
      </c>
      <c r="AO57" s="582">
        <f t="shared" si="461"/>
        <v>27.760587041935011</v>
      </c>
      <c r="AP57" s="585">
        <f t="shared" si="428"/>
        <v>-27.256729971895755</v>
      </c>
      <c r="AQ57" s="586">
        <f t="shared" si="246"/>
        <v>0.39113381767652672</v>
      </c>
      <c r="AS57" s="52">
        <f t="shared" si="406"/>
        <v>-152.54802995235866</v>
      </c>
      <c r="AT57" s="72">
        <f t="shared" si="247"/>
        <v>-2.3975214185166118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5.2450000000000001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4.1449999999999996</v>
      </c>
      <c r="II57" s="734" cm="1">
        <f t="array" ref="II57">IFERROR(ROUND(VALUE(IF($IH57&lt;1,$IH57+LARGE((IF($M$9:$M$150="",0,$M$9:$M$150)-MOD(IF($M$9:$M$150="",0,$M$9:$M$150),1)),1),$IH57)),4),"")</f>
        <v>4.1449999999999996</v>
      </c>
      <c r="IJ57" s="533">
        <f t="shared" si="112"/>
        <v>1613</v>
      </c>
      <c r="IK57" s="533">
        <f t="shared" si="382"/>
        <v>1613</v>
      </c>
      <c r="IL57" s="727">
        <f t="shared" si="225"/>
        <v>29.999995668536542</v>
      </c>
      <c r="IM57" s="759">
        <v>1.3203882348311799E-3</v>
      </c>
      <c r="IN57" s="5">
        <f t="shared" si="226"/>
        <v>0</v>
      </c>
      <c r="IO57" s="771">
        <v>0</v>
      </c>
      <c r="IP57" s="9">
        <f t="shared" si="227"/>
        <v>-5.8334175935874635</v>
      </c>
      <c r="IQ57" s="5">
        <f t="shared" si="228"/>
        <v>-2.4757074667337196</v>
      </c>
      <c r="IR57" s="5">
        <f t="shared" si="383"/>
        <v>0.314</v>
      </c>
      <c r="IS57" s="5">
        <f t="shared" si="229"/>
        <v>0.27785909822099925</v>
      </c>
      <c r="IT57" s="727">
        <f t="shared" si="230"/>
        <v>78.17047232957303</v>
      </c>
      <c r="IU57" s="9">
        <f t="shared" si="231"/>
        <v>-5.8284175785074179</v>
      </c>
      <c r="IV57" s="5">
        <f t="shared" si="232"/>
        <v>-2.5034575504279721</v>
      </c>
      <c r="IW57" s="5">
        <f t="shared" si="384"/>
        <v>0.314</v>
      </c>
      <c r="IX57" s="5">
        <f t="shared" si="233"/>
        <v>0.27785909822099913</v>
      </c>
      <c r="IY57" s="762">
        <f t="shared" si="234"/>
        <v>78.170472329572974</v>
      </c>
    </row>
    <row r="58" spans="1:259" ht="15" customHeight="1" x14ac:dyDescent="0.25">
      <c r="A58" s="79"/>
      <c r="B58" s="707">
        <v>2.709539792776301</v>
      </c>
      <c r="C58" s="708">
        <v>-5.2321549990708958</v>
      </c>
      <c r="D58" s="709">
        <v>-3.2819598983910541</v>
      </c>
      <c r="E58" s="710">
        <v>0.99116462675935213</v>
      </c>
      <c r="F58" s="708">
        <v>-0.13263741048805724</v>
      </c>
      <c r="G58" s="711">
        <v>1.3008419236355591E-7</v>
      </c>
      <c r="H58" s="710">
        <v>0.314</v>
      </c>
      <c r="I58" s="708">
        <v>0.52</v>
      </c>
      <c r="J58" s="570">
        <v>5.2510000000000003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5.2510000000000003</v>
      </c>
      <c r="N58" s="632">
        <f t="shared" si="240"/>
        <v>2.709539792776301</v>
      </c>
      <c r="O58" s="629">
        <f t="shared" si="241"/>
        <v>-5.2321549990708958</v>
      </c>
      <c r="P58" s="633">
        <f t="shared" si="242"/>
        <v>-3.2819598983910541</v>
      </c>
      <c r="Q58" s="585">
        <f t="shared" si="113"/>
        <v>297.37797005832567</v>
      </c>
      <c r="R58" s="629">
        <f t="shared" si="410"/>
        <v>5.8921177706271965</v>
      </c>
      <c r="S58" s="634">
        <f t="shared" si="411"/>
        <v>-3.2819598983910541</v>
      </c>
      <c r="T58" s="635">
        <f t="shared" si="412"/>
        <v>-5.232154999070894</v>
      </c>
      <c r="U58" s="629">
        <f t="shared" si="413"/>
        <v>-2.7095397927763036</v>
      </c>
      <c r="V58" s="636">
        <f t="shared" si="414"/>
        <v>-3.2819598983910541</v>
      </c>
      <c r="W58" s="585">
        <f t="shared" si="224"/>
        <v>207.37797005832567</v>
      </c>
      <c r="X58" s="629">
        <f t="shared" si="415"/>
        <v>5.8921177706271965</v>
      </c>
      <c r="Y58" s="630">
        <f t="shared" si="223"/>
        <v>-3.2819598983910541</v>
      </c>
      <c r="Z58" s="632">
        <f t="shared" si="243"/>
        <v>-0.99116462675935213</v>
      </c>
      <c r="AA58" s="629">
        <f t="shared" si="244"/>
        <v>0.13263741048805724</v>
      </c>
      <c r="AB58" s="629">
        <f t="shared" si="245"/>
        <v>-1.3008419236355591E-7</v>
      </c>
      <c r="AC58" s="636">
        <f t="shared" si="416"/>
        <v>1</v>
      </c>
      <c r="AD58" s="637">
        <f t="shared" si="417"/>
        <v>-0.99116462675935213</v>
      </c>
      <c r="AE58" s="629">
        <f t="shared" si="418"/>
        <v>0.13263741048805724</v>
      </c>
      <c r="AF58" s="633">
        <f t="shared" si="419"/>
        <v>-1.3008419236355591E-7</v>
      </c>
      <c r="AG58" s="602">
        <f t="shared" si="420"/>
        <v>89.999943807141776</v>
      </c>
      <c r="AH58" s="603">
        <f t="shared" si="421"/>
        <v>172.37797511169677</v>
      </c>
      <c r="AI58" s="585">
        <f t="shared" si="422"/>
        <v>-89.999992546724798</v>
      </c>
      <c r="AJ58" s="586">
        <f t="shared" si="423"/>
        <v>-97.62202488829962</v>
      </c>
      <c r="AK58" s="635">
        <f t="shared" si="424"/>
        <v>0.81915209487729157</v>
      </c>
      <c r="AL58" s="629">
        <f t="shared" si="425"/>
        <v>-0.57357636410344515</v>
      </c>
      <c r="AM58" s="634">
        <f t="shared" si="426"/>
        <v>-1.3008419236355591E-7</v>
      </c>
      <c r="AN58" s="581">
        <f t="shared" si="427"/>
        <v>-89.999987005609597</v>
      </c>
      <c r="AO58" s="582">
        <f t="shared" si="461"/>
        <v>34.999994946625989</v>
      </c>
      <c r="AP58" s="585">
        <f t="shared" si="428"/>
        <v>-34.999994946625307</v>
      </c>
      <c r="AQ58" s="586">
        <f t="shared" si="246"/>
        <v>0.38690536557416</v>
      </c>
      <c r="AS58" s="52">
        <f t="shared" si="406"/>
        <v>-152.62202994167433</v>
      </c>
      <c r="AT58" s="72">
        <f t="shared" si="247"/>
        <v>-3.1759723775982245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>Gage</v>
      </c>
      <c r="IG58" s="847">
        <f t="shared" si="210"/>
        <v>5.2510000000000003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4.1509999999999998</v>
      </c>
      <c r="II58" s="734" cm="1">
        <f t="array" ref="II58">IFERROR(ROUND(VALUE(IF($IH58&lt;1,$IH58+LARGE((IF($M$9:$M$150="",0,$M$9:$M$150)-MOD(IF($M$9:$M$150="",0,$M$9:$M$150),1)),1),$IH58)),4),"")</f>
        <v>4.1509999999999998</v>
      </c>
      <c r="IJ58" s="533">
        <f t="shared" si="112"/>
        <v>1613</v>
      </c>
      <c r="IK58" s="533">
        <f t="shared" si="382"/>
        <v>1613</v>
      </c>
      <c r="IL58" s="727">
        <f t="shared" si="225"/>
        <v>29.999995668536485</v>
      </c>
      <c r="IM58" s="759">
        <v>1.01261883693188E-3</v>
      </c>
      <c r="IN58" s="5">
        <f t="shared" si="226"/>
        <v>0</v>
      </c>
      <c r="IO58" s="771">
        <v>0</v>
      </c>
      <c r="IP58" s="9">
        <f t="shared" si="227"/>
        <v>-5.897117785707243</v>
      </c>
      <c r="IQ58" s="5">
        <f t="shared" si="228"/>
        <v>-3.2542098146968015</v>
      </c>
      <c r="IR58" s="5">
        <f t="shared" si="383"/>
        <v>0.314</v>
      </c>
      <c r="IS58" s="5">
        <f t="shared" si="229"/>
        <v>0.25721375779146982</v>
      </c>
      <c r="IT58" s="727">
        <f t="shared" si="230"/>
        <v>89.999987005609611</v>
      </c>
      <c r="IU58" s="9">
        <f t="shared" si="231"/>
        <v>-5.8921177706271965</v>
      </c>
      <c r="IV58" s="5">
        <f t="shared" si="232"/>
        <v>-3.2819598983910541</v>
      </c>
      <c r="IW58" s="5">
        <f t="shared" si="384"/>
        <v>0.314</v>
      </c>
      <c r="IX58" s="5">
        <f t="shared" si="233"/>
        <v>0.2572137577914696</v>
      </c>
      <c r="IY58" s="762">
        <f t="shared" si="234"/>
        <v>89.999987005609597</v>
      </c>
    </row>
    <row r="59" spans="1:259" ht="15" customHeight="1" x14ac:dyDescent="0.25">
      <c r="A59" s="79"/>
      <c r="B59" s="707">
        <v>-0.51702637701349097</v>
      </c>
      <c r="C59" s="708">
        <v>-2.9158248082001217</v>
      </c>
      <c r="D59" s="709">
        <v>-0.13420040474842074</v>
      </c>
      <c r="E59" s="710">
        <v>0.95055545400322639</v>
      </c>
      <c r="F59" s="708">
        <v>-0.17095546036234463</v>
      </c>
      <c r="G59" s="711">
        <v>0.25926542275633102</v>
      </c>
      <c r="H59" s="710">
        <v>0.314</v>
      </c>
      <c r="I59" s="708">
        <v>0.52</v>
      </c>
      <c r="J59" s="570">
        <v>6.1139999999999999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6.1139999999999999</v>
      </c>
      <c r="N59" s="632">
        <f t="shared" si="240"/>
        <v>-0.51702637701349097</v>
      </c>
      <c r="O59" s="629">
        <f t="shared" si="241"/>
        <v>-2.9158248082001217</v>
      </c>
      <c r="P59" s="633">
        <f t="shared" si="242"/>
        <v>-0.13420040474842074</v>
      </c>
      <c r="Q59" s="585">
        <f t="shared" si="113"/>
        <v>259.94497546298135</v>
      </c>
      <c r="R59" s="629">
        <f t="shared" si="79"/>
        <v>2.961308931307737</v>
      </c>
      <c r="S59" s="634">
        <f t="shared" si="80"/>
        <v>-0.13420040474842074</v>
      </c>
      <c r="T59" s="635">
        <f t="shared" si="81"/>
        <v>-2.9158248082001212</v>
      </c>
      <c r="U59" s="629">
        <f t="shared" si="82"/>
        <v>0.51702637701349252</v>
      </c>
      <c r="V59" s="636">
        <f t="shared" si="114"/>
        <v>-0.13420040474842074</v>
      </c>
      <c r="W59" s="585">
        <f t="shared" si="224"/>
        <v>169.94497546298135</v>
      </c>
      <c r="X59" s="629">
        <f t="shared" si="83"/>
        <v>2.961308931307737</v>
      </c>
      <c r="Y59" s="630">
        <f t="shared" si="223"/>
        <v>-0.13420040474842074</v>
      </c>
      <c r="Z59" s="632">
        <f t="shared" si="243"/>
        <v>-0.95055545400322639</v>
      </c>
      <c r="AA59" s="629">
        <f t="shared" si="244"/>
        <v>0.17095546036234463</v>
      </c>
      <c r="AB59" s="629">
        <f t="shared" si="245"/>
        <v>-0.25926542275633102</v>
      </c>
      <c r="AC59" s="636">
        <f t="shared" si="84"/>
        <v>1</v>
      </c>
      <c r="AD59" s="637">
        <f t="shared" si="115"/>
        <v>-0.95055545400322639</v>
      </c>
      <c r="AE59" s="629">
        <f t="shared" si="85"/>
        <v>0.17095546036234463</v>
      </c>
      <c r="AF59" s="633">
        <f t="shared" si="86"/>
        <v>-0.25926542275633102</v>
      </c>
      <c r="AG59" s="602">
        <f t="shared" si="87"/>
        <v>33.400217519328812</v>
      </c>
      <c r="AH59" s="603">
        <f t="shared" si="88"/>
        <v>161.90732714032282</v>
      </c>
      <c r="AI59" s="585">
        <f t="shared" si="89"/>
        <v>-74.973520595992397</v>
      </c>
      <c r="AJ59" s="586">
        <f t="shared" si="90"/>
        <v>-100.19553569839159</v>
      </c>
      <c r="AK59" s="635">
        <f t="shared" si="211"/>
        <v>0.9658032049332107</v>
      </c>
      <c r="AL59" s="629">
        <f t="shared" si="91"/>
        <v>-2.3685235315843434E-3</v>
      </c>
      <c r="AM59" s="634">
        <f t="shared" si="92"/>
        <v>-0.25926542275633102</v>
      </c>
      <c r="AN59" s="581">
        <f t="shared" si="93"/>
        <v>-0.52341197502257986</v>
      </c>
      <c r="AO59" s="582">
        <f t="shared" si="461"/>
        <v>15.027121211950851</v>
      </c>
      <c r="AP59" s="585">
        <f t="shared" si="95"/>
        <v>-0.14051116137294378</v>
      </c>
      <c r="AQ59" s="586">
        <f t="shared" si="246"/>
        <v>0.76979116743475029</v>
      </c>
      <c r="AS59" s="52">
        <f t="shared" si="406"/>
        <v>-190.05502453701865</v>
      </c>
      <c r="AT59" s="72">
        <f t="shared" si="247"/>
        <v>-2.2177488199355555E-3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6.1139999999999999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-0.68081795471867779</v>
      </c>
      <c r="C60" s="708">
        <v>-3.6801665945265616</v>
      </c>
      <c r="D60" s="709">
        <v>-0.20300061224984658</v>
      </c>
      <c r="E60" s="710">
        <v>0.93152527195693491</v>
      </c>
      <c r="F60" s="708">
        <v>-0.26848559980088943</v>
      </c>
      <c r="G60" s="711">
        <v>0.24530827626705823</v>
      </c>
      <c r="H60" s="710">
        <v>0.314</v>
      </c>
      <c r="I60" s="708">
        <v>0.52</v>
      </c>
      <c r="J60" s="570">
        <v>6.12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6.12</v>
      </c>
      <c r="N60" s="632">
        <f t="shared" si="240"/>
        <v>-0.68081795471867779</v>
      </c>
      <c r="O60" s="629">
        <f t="shared" si="241"/>
        <v>-3.6801665945265616</v>
      </c>
      <c r="P60" s="633">
        <f t="shared" si="242"/>
        <v>-0.20300061224984658</v>
      </c>
      <c r="Q60" s="585">
        <f t="shared" si="113"/>
        <v>259.51897552448816</v>
      </c>
      <c r="R60" s="629">
        <f t="shared" si="79"/>
        <v>3.7426112877156443</v>
      </c>
      <c r="S60" s="634">
        <f t="shared" si="80"/>
        <v>-0.20300061224984658</v>
      </c>
      <c r="T60" s="635">
        <f t="shared" si="81"/>
        <v>-3.6801665945265616</v>
      </c>
      <c r="U60" s="629">
        <f t="shared" si="82"/>
        <v>0.68081795471867845</v>
      </c>
      <c r="V60" s="636">
        <f t="shared" si="114"/>
        <v>-0.20300061224984658</v>
      </c>
      <c r="W60" s="585">
        <f t="shared" si="224"/>
        <v>169.51897552448816</v>
      </c>
      <c r="X60" s="629">
        <f t="shared" si="83"/>
        <v>3.7426112877156443</v>
      </c>
      <c r="Y60" s="630">
        <f t="shared" si="223"/>
        <v>-0.20300061224984658</v>
      </c>
      <c r="Z60" s="632">
        <f t="shared" si="243"/>
        <v>-0.93152527195693491</v>
      </c>
      <c r="AA60" s="629">
        <f t="shared" si="244"/>
        <v>0.26848559980088943</v>
      </c>
      <c r="AB60" s="629">
        <f t="shared" si="245"/>
        <v>-0.24530827626705823</v>
      </c>
      <c r="AC60" s="636">
        <f t="shared" si="84"/>
        <v>1</v>
      </c>
      <c r="AD60" s="637">
        <f t="shared" si="115"/>
        <v>-0.93152527195693491</v>
      </c>
      <c r="AE60" s="629">
        <f t="shared" si="85"/>
        <v>0.26848559980088943</v>
      </c>
      <c r="AF60" s="633">
        <f t="shared" si="86"/>
        <v>-0.24530827626705823</v>
      </c>
      <c r="AG60" s="602">
        <f t="shared" si="87"/>
        <v>47.582870699751489</v>
      </c>
      <c r="AH60" s="603">
        <f t="shared" si="88"/>
        <v>158.67383906194678</v>
      </c>
      <c r="AI60" s="585">
        <f t="shared" si="89"/>
        <v>-75.799947376615805</v>
      </c>
      <c r="AJ60" s="586">
        <f t="shared" si="90"/>
        <v>-106.07811819388071</v>
      </c>
      <c r="AK60" s="635">
        <f t="shared" si="211"/>
        <v>0.96482314810337688</v>
      </c>
      <c r="AL60" s="629">
        <f t="shared" si="91"/>
        <v>-9.455232667033675E-2</v>
      </c>
      <c r="AM60" s="634">
        <f t="shared" si="92"/>
        <v>-0.24530827626705823</v>
      </c>
      <c r="AN60" s="581">
        <f t="shared" si="93"/>
        <v>-21.078801399956024</v>
      </c>
      <c r="AO60" s="582">
        <f t="shared" si="461"/>
        <v>15.242194490281911</v>
      </c>
      <c r="AP60" s="585">
        <f t="shared" si="95"/>
        <v>-5.597093718368864</v>
      </c>
      <c r="AQ60" s="586">
        <f t="shared" si="246"/>
        <v>0.60910433239118189</v>
      </c>
      <c r="AS60" s="52">
        <f t="shared" si="406"/>
        <v>-190.48102447551184</v>
      </c>
      <c r="AT60" s="72">
        <f t="shared" si="247"/>
        <v>-7.072212303074113E-2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6.12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-0.86109746480134863</v>
      </c>
      <c r="C61" s="708">
        <v>-4.3890405690870287</v>
      </c>
      <c r="D61" s="709">
        <v>-0.48950147633645269</v>
      </c>
      <c r="E61" s="710">
        <v>0.91258468955757044</v>
      </c>
      <c r="F61" s="708">
        <v>-0.35211884262615356</v>
      </c>
      <c r="G61" s="711">
        <v>0.20784971747089526</v>
      </c>
      <c r="H61" s="710">
        <v>0.314</v>
      </c>
      <c r="I61" s="708">
        <v>0.52</v>
      </c>
      <c r="J61" s="570">
        <v>6.1260000000000003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6.1260000000000003</v>
      </c>
      <c r="N61" s="632">
        <f t="shared" si="240"/>
        <v>-0.86109746480134863</v>
      </c>
      <c r="O61" s="629">
        <f t="shared" si="241"/>
        <v>-4.3890405690870287</v>
      </c>
      <c r="P61" s="633">
        <f t="shared" si="242"/>
        <v>-0.48950147633645269</v>
      </c>
      <c r="Q61" s="585">
        <f t="shared" si="113"/>
        <v>258.8999756138607</v>
      </c>
      <c r="R61" s="629">
        <f t="shared" si="79"/>
        <v>4.4727134897038843</v>
      </c>
      <c r="S61" s="634">
        <f t="shared" si="80"/>
        <v>-0.48950147633645269</v>
      </c>
      <c r="T61" s="635">
        <f t="shared" si="81"/>
        <v>-4.3890405690870287</v>
      </c>
      <c r="U61" s="629">
        <f t="shared" si="82"/>
        <v>0.86109746480134841</v>
      </c>
      <c r="V61" s="636">
        <f t="shared" si="114"/>
        <v>-0.48950147633645269</v>
      </c>
      <c r="W61" s="585">
        <f t="shared" si="224"/>
        <v>168.8999756138607</v>
      </c>
      <c r="X61" s="629">
        <f t="shared" si="83"/>
        <v>4.4727134897038843</v>
      </c>
      <c r="Y61" s="630">
        <f t="shared" si="223"/>
        <v>-0.48950147633645269</v>
      </c>
      <c r="Z61" s="632">
        <f t="shared" si="243"/>
        <v>-0.91258468955757044</v>
      </c>
      <c r="AA61" s="629">
        <f t="shared" si="244"/>
        <v>0.35211884262615356</v>
      </c>
      <c r="AB61" s="629">
        <f t="shared" si="245"/>
        <v>-0.20784971747089526</v>
      </c>
      <c r="AC61" s="636">
        <f t="shared" si="84"/>
        <v>1</v>
      </c>
      <c r="AD61" s="637">
        <f t="shared" si="115"/>
        <v>-0.91258468955757044</v>
      </c>
      <c r="AE61" s="629">
        <f t="shared" si="85"/>
        <v>0.35211884262615356</v>
      </c>
      <c r="AF61" s="633">
        <f t="shared" si="86"/>
        <v>-0.20784971747089526</v>
      </c>
      <c r="AG61" s="602">
        <f t="shared" si="87"/>
        <v>59.447374769361055</v>
      </c>
      <c r="AH61" s="603">
        <f t="shared" si="88"/>
        <v>155.86501646589753</v>
      </c>
      <c r="AI61" s="585">
        <f t="shared" si="89"/>
        <v>-78.003630114011443</v>
      </c>
      <c r="AJ61" s="586">
        <f t="shared" si="90"/>
        <v>-111.09900091686606</v>
      </c>
      <c r="AK61" s="635">
        <f t="shared" si="211"/>
        <v>0.96330334545423413</v>
      </c>
      <c r="AL61" s="629">
        <f t="shared" si="91"/>
        <v>-0.16983862806779101</v>
      </c>
      <c r="AM61" s="634">
        <f t="shared" si="92"/>
        <v>-0.20784971747089526</v>
      </c>
      <c r="AN61" s="581">
        <f t="shared" si="93"/>
        <v>-39.253022688838243</v>
      </c>
      <c r="AO61" s="582">
        <f t="shared" si="461"/>
        <v>15.569977671620197</v>
      </c>
      <c r="AP61" s="585">
        <f t="shared" si="95"/>
        <v>-9.9989765307267522</v>
      </c>
      <c r="AQ61" s="586">
        <f t="shared" si="246"/>
        <v>0.50968310475263601</v>
      </c>
      <c r="AS61" s="52">
        <f t="shared" si="406"/>
        <v>-191.1000243861393</v>
      </c>
      <c r="AT61" s="72">
        <f t="shared" si="247"/>
        <v>-0.35679312606830038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6.1260000000000003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-1.0347273074525918</v>
      </c>
      <c r="C62" s="708">
        <v>-4.9859800092560143</v>
      </c>
      <c r="D62" s="709">
        <v>-0.97040292673522721</v>
      </c>
      <c r="E62" s="710">
        <v>0.88879718863987989</v>
      </c>
      <c r="F62" s="708">
        <v>-0.42696370065381767</v>
      </c>
      <c r="G62" s="711">
        <v>0.1665579652548714</v>
      </c>
      <c r="H62" s="710">
        <v>0.314</v>
      </c>
      <c r="I62" s="708">
        <v>0.52</v>
      </c>
      <c r="J62" s="570">
        <v>6.1319999999999997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6.1319999999999997</v>
      </c>
      <c r="N62" s="632">
        <f t="shared" si="240"/>
        <v>-1.0347273074525918</v>
      </c>
      <c r="O62" s="629">
        <f t="shared" si="241"/>
        <v>-4.9859800092560143</v>
      </c>
      <c r="P62" s="633">
        <f t="shared" si="242"/>
        <v>-0.97040292673522721</v>
      </c>
      <c r="Q62" s="585">
        <f t="shared" si="113"/>
        <v>258.27597570395517</v>
      </c>
      <c r="R62" s="629">
        <f t="shared" si="79"/>
        <v>5.0922153581215213</v>
      </c>
      <c r="S62" s="634">
        <f t="shared" si="80"/>
        <v>-0.97040292673522721</v>
      </c>
      <c r="T62" s="635">
        <f t="shared" si="81"/>
        <v>-4.9859800092560143</v>
      </c>
      <c r="U62" s="629">
        <f t="shared" si="82"/>
        <v>1.0347273074525885</v>
      </c>
      <c r="V62" s="636">
        <f t="shared" si="114"/>
        <v>-0.97040292673522721</v>
      </c>
      <c r="W62" s="585">
        <f t="shared" si="224"/>
        <v>168.27597570395517</v>
      </c>
      <c r="X62" s="629">
        <f t="shared" si="83"/>
        <v>5.0922153581215213</v>
      </c>
      <c r="Y62" s="630">
        <f t="shared" si="223"/>
        <v>-0.97040292673522721</v>
      </c>
      <c r="Z62" s="632">
        <f t="shared" si="243"/>
        <v>-0.88879718863987989</v>
      </c>
      <c r="AA62" s="629">
        <f t="shared" si="244"/>
        <v>0.42696370065381767</v>
      </c>
      <c r="AB62" s="629">
        <f t="shared" si="245"/>
        <v>-0.1665579652548714</v>
      </c>
      <c r="AC62" s="636">
        <f t="shared" si="84"/>
        <v>1</v>
      </c>
      <c r="AD62" s="637">
        <f t="shared" si="115"/>
        <v>-0.88879718863987989</v>
      </c>
      <c r="AE62" s="629">
        <f t="shared" si="85"/>
        <v>0.42696370065381767</v>
      </c>
      <c r="AF62" s="633">
        <f t="shared" si="86"/>
        <v>-0.1665579652548714</v>
      </c>
      <c r="AG62" s="602">
        <f t="shared" si="87"/>
        <v>68.689310286872725</v>
      </c>
      <c r="AH62" s="603">
        <f t="shared" si="88"/>
        <v>152.72248915453116</v>
      </c>
      <c r="AI62" s="585">
        <f t="shared" si="89"/>
        <v>-80.412248193136435</v>
      </c>
      <c r="AJ62" s="586">
        <f t="shared" si="90"/>
        <v>-115.6588718027654</v>
      </c>
      <c r="AK62" s="635">
        <f t="shared" si="211"/>
        <v>0.95701294475429144</v>
      </c>
      <c r="AL62" s="629">
        <f t="shared" si="91"/>
        <v>-0.23745455940637672</v>
      </c>
      <c r="AM62" s="634">
        <f t="shared" si="92"/>
        <v>-0.1665579652548714</v>
      </c>
      <c r="AN62" s="581">
        <f t="shared" si="93"/>
        <v>-54.95299361635287</v>
      </c>
      <c r="AO62" s="582">
        <f t="shared" si="461"/>
        <v>16.86066267017117</v>
      </c>
      <c r="AP62" s="585">
        <f t="shared" si="95"/>
        <v>-13.934847506720585</v>
      </c>
      <c r="AQ62" s="586">
        <f t="shared" si="246"/>
        <v>0.4476794633845495</v>
      </c>
      <c r="AS62" s="52">
        <f t="shared" si="406"/>
        <v>-191.72402429604483</v>
      </c>
      <c r="AT62" s="72">
        <f t="shared" si="247"/>
        <v>-0.83726124319630713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6.1319999999999997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-1.1754893847702432</v>
      </c>
      <c r="C63" s="708">
        <v>-5.4249231516567402</v>
      </c>
      <c r="D63" s="709">
        <v>-1.6066048455202142</v>
      </c>
      <c r="E63" s="710">
        <v>0.84371432119781076</v>
      </c>
      <c r="F63" s="708">
        <v>-0.51751173092133751</v>
      </c>
      <c r="G63" s="711">
        <v>0.1425754276322487</v>
      </c>
      <c r="H63" s="710">
        <v>0.314</v>
      </c>
      <c r="I63" s="708">
        <v>0.52</v>
      </c>
      <c r="J63" s="570">
        <v>6.1379999999999999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6.1379999999999999</v>
      </c>
      <c r="N63" s="632">
        <f t="shared" si="240"/>
        <v>-1.1754893847702432</v>
      </c>
      <c r="O63" s="629">
        <f t="shared" si="241"/>
        <v>-5.4249231516567402</v>
      </c>
      <c r="P63" s="633">
        <f t="shared" si="242"/>
        <v>-1.6066048455202142</v>
      </c>
      <c r="Q63" s="585">
        <f t="shared" si="113"/>
        <v>257.77397577643495</v>
      </c>
      <c r="R63" s="629">
        <f t="shared" si="79"/>
        <v>5.5508167412632909</v>
      </c>
      <c r="S63" s="634">
        <f t="shared" si="80"/>
        <v>-1.6066048455202142</v>
      </c>
      <c r="T63" s="635">
        <f t="shared" si="81"/>
        <v>-5.4249231516567402</v>
      </c>
      <c r="U63" s="629">
        <f t="shared" si="82"/>
        <v>1.1754893847702426</v>
      </c>
      <c r="V63" s="636">
        <f t="shared" si="114"/>
        <v>-1.6066048455202142</v>
      </c>
      <c r="W63" s="585">
        <f t="shared" si="224"/>
        <v>167.77397577643495</v>
      </c>
      <c r="X63" s="629">
        <f t="shared" si="83"/>
        <v>5.5508167412632909</v>
      </c>
      <c r="Y63" s="630">
        <f t="shared" si="223"/>
        <v>-1.6066048455202142</v>
      </c>
      <c r="Z63" s="632">
        <f t="shared" si="243"/>
        <v>-0.84371432119781076</v>
      </c>
      <c r="AA63" s="629">
        <f t="shared" si="244"/>
        <v>0.51751173092133751</v>
      </c>
      <c r="AB63" s="629">
        <f t="shared" si="245"/>
        <v>-0.1425754276322487</v>
      </c>
      <c r="AC63" s="636">
        <f t="shared" si="84"/>
        <v>1</v>
      </c>
      <c r="AD63" s="637">
        <f t="shared" si="115"/>
        <v>-0.84371432119781076</v>
      </c>
      <c r="AE63" s="629">
        <f t="shared" si="85"/>
        <v>0.51751173092133751</v>
      </c>
      <c r="AF63" s="633">
        <f t="shared" si="86"/>
        <v>-0.1425754276322487</v>
      </c>
      <c r="AG63" s="602">
        <f t="shared" si="87"/>
        <v>74.597021119876288</v>
      </c>
      <c r="AH63" s="603">
        <f t="shared" si="88"/>
        <v>147.53444657467898</v>
      </c>
      <c r="AI63" s="585">
        <f t="shared" si="89"/>
        <v>-81.80309732658894</v>
      </c>
      <c r="AJ63" s="586">
        <f t="shared" si="90"/>
        <v>-121.5238359325399</v>
      </c>
      <c r="AK63" s="635">
        <f t="shared" si="211"/>
        <v>0.93417151787690444</v>
      </c>
      <c r="AL63" s="629">
        <f t="shared" si="91"/>
        <v>-0.32710215930660214</v>
      </c>
      <c r="AM63" s="634">
        <f t="shared" si="92"/>
        <v>-0.1425754276322487</v>
      </c>
      <c r="AN63" s="581">
        <f t="shared" si="93"/>
        <v>-66.448849841737143</v>
      </c>
      <c r="AO63" s="582">
        <f t="shared" si="461"/>
        <v>20.905292502640329</v>
      </c>
      <c r="AP63" s="585">
        <f t="shared" si="95"/>
        <v>-19.297811708974855</v>
      </c>
      <c r="AQ63" s="586">
        <f t="shared" si="246"/>
        <v>0.41069408236388055</v>
      </c>
      <c r="AS63" s="52">
        <f t="shared" si="406"/>
        <v>-192.22602422356505</v>
      </c>
      <c r="AT63" s="72">
        <f t="shared" si="247"/>
        <v>-1.4731145509205161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6.1379999999999999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-1.2599367533509305</v>
      </c>
      <c r="C64" s="708">
        <v>-5.6728869442622036</v>
      </c>
      <c r="D64" s="709">
        <v>-2.3465070770653447</v>
      </c>
      <c r="E64" s="710">
        <v>0.776482206668346</v>
      </c>
      <c r="F64" s="708">
        <v>-0.6212452561532309</v>
      </c>
      <c r="G64" s="711">
        <v>0.10549746174464458</v>
      </c>
      <c r="H64" s="710">
        <v>0.314</v>
      </c>
      <c r="I64" s="708">
        <v>0.52</v>
      </c>
      <c r="J64" s="570">
        <v>6.1440000000000001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6.1440000000000001</v>
      </c>
      <c r="N64" s="632">
        <f t="shared" si="240"/>
        <v>-1.2599367533509305</v>
      </c>
      <c r="O64" s="629">
        <f t="shared" si="241"/>
        <v>-5.6728869442622036</v>
      </c>
      <c r="P64" s="633">
        <f t="shared" si="242"/>
        <v>-2.3465070770653447</v>
      </c>
      <c r="Q64" s="585">
        <f t="shared" si="113"/>
        <v>257.47797581917206</v>
      </c>
      <c r="R64" s="629">
        <f t="shared" si="79"/>
        <v>5.8111175263304604</v>
      </c>
      <c r="S64" s="634">
        <f t="shared" si="80"/>
        <v>-2.3465070770653447</v>
      </c>
      <c r="T64" s="635">
        <f t="shared" si="81"/>
        <v>-5.6728869442622045</v>
      </c>
      <c r="U64" s="629">
        <f t="shared" si="82"/>
        <v>1.2599367533509309</v>
      </c>
      <c r="V64" s="636">
        <f t="shared" si="114"/>
        <v>-2.3465070770653447</v>
      </c>
      <c r="W64" s="585">
        <f t="shared" si="224"/>
        <v>167.47797581917206</v>
      </c>
      <c r="X64" s="629">
        <f t="shared" si="83"/>
        <v>5.8111175263304604</v>
      </c>
      <c r="Y64" s="630">
        <f t="shared" si="223"/>
        <v>-2.3465070770653447</v>
      </c>
      <c r="Z64" s="632">
        <f t="shared" si="243"/>
        <v>-0.776482206668346</v>
      </c>
      <c r="AA64" s="629">
        <f t="shared" si="244"/>
        <v>0.6212452561532309</v>
      </c>
      <c r="AB64" s="629">
        <f t="shared" si="245"/>
        <v>-0.10549746174464458</v>
      </c>
      <c r="AC64" s="636">
        <f t="shared" si="84"/>
        <v>1</v>
      </c>
      <c r="AD64" s="637">
        <f t="shared" si="115"/>
        <v>-0.776482206668346</v>
      </c>
      <c r="AE64" s="629">
        <f t="shared" si="85"/>
        <v>0.6212452561532309</v>
      </c>
      <c r="AF64" s="633">
        <f t="shared" si="86"/>
        <v>-0.10549746174464458</v>
      </c>
      <c r="AG64" s="602">
        <f t="shared" si="87"/>
        <v>80.362194368861509</v>
      </c>
      <c r="AH64" s="603">
        <f t="shared" si="88"/>
        <v>140.93960847103702</v>
      </c>
      <c r="AI64" s="585">
        <f t="shared" si="89"/>
        <v>-83.944171792283512</v>
      </c>
      <c r="AJ64" s="586">
        <f t="shared" si="90"/>
        <v>-128.66248483878084</v>
      </c>
      <c r="AK64" s="635">
        <f t="shared" si="211"/>
        <v>0.89270703616434344</v>
      </c>
      <c r="AL64" s="629">
        <f t="shared" si="91"/>
        <v>-0.43811463471118067</v>
      </c>
      <c r="AM64" s="634">
        <f t="shared" si="92"/>
        <v>-0.10549746174464458</v>
      </c>
      <c r="AN64" s="581">
        <f t="shared" si="93"/>
        <v>-76.461001400847152</v>
      </c>
      <c r="AO64" s="582">
        <f t="shared" si="461"/>
        <v>26.784592018918335</v>
      </c>
      <c r="AP64" s="585">
        <f t="shared" si="95"/>
        <v>-26.140460657952875</v>
      </c>
      <c r="AQ64" s="586">
        <f t="shared" si="246"/>
        <v>0.39229821062836989</v>
      </c>
      <c r="AS64" s="52">
        <f t="shared" si="406"/>
        <v>-192.52202418082794</v>
      </c>
      <c r="AT64" s="72">
        <f t="shared" si="247"/>
        <v>-2.2128112269397695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6.1440000000000001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-1.2886285192427234</v>
      </c>
      <c r="C65" s="708">
        <v>-5.7546011780052133</v>
      </c>
      <c r="D65" s="709">
        <v>-3.1260094280444348</v>
      </c>
      <c r="E65" s="710">
        <v>0.67401854496320879</v>
      </c>
      <c r="F65" s="708">
        <v>-0.73871442455502512</v>
      </c>
      <c r="G65" s="711">
        <v>1.3008419236317149E-7</v>
      </c>
      <c r="H65" s="710">
        <v>0.314</v>
      </c>
      <c r="I65" s="708">
        <v>0.52</v>
      </c>
      <c r="J65" s="570">
        <v>6.15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6.15</v>
      </c>
      <c r="N65" s="632">
        <f t="shared" si="240"/>
        <v>-1.2886285192427234</v>
      </c>
      <c r="O65" s="629">
        <f t="shared" si="241"/>
        <v>-5.7546011780052133</v>
      </c>
      <c r="P65" s="633">
        <f t="shared" si="242"/>
        <v>-3.1260094280444348</v>
      </c>
      <c r="Q65" s="585">
        <f t="shared" si="113"/>
        <v>257.37797583361026</v>
      </c>
      <c r="R65" s="629">
        <f t="shared" si="79"/>
        <v>5.8971177857072421</v>
      </c>
      <c r="S65" s="634">
        <f t="shared" si="80"/>
        <v>-3.1260094280444348</v>
      </c>
      <c r="T65" s="635">
        <f t="shared" si="81"/>
        <v>-5.7546011780052133</v>
      </c>
      <c r="U65" s="629">
        <f t="shared" si="82"/>
        <v>1.2886285192427254</v>
      </c>
      <c r="V65" s="636">
        <f t="shared" si="114"/>
        <v>-3.1260094280444348</v>
      </c>
      <c r="W65" s="585">
        <f t="shared" si="224"/>
        <v>167.37797583361026</v>
      </c>
      <c r="X65" s="629">
        <f t="shared" si="83"/>
        <v>5.8971177857072421</v>
      </c>
      <c r="Y65" s="630">
        <f t="shared" si="223"/>
        <v>-3.1260094280444348</v>
      </c>
      <c r="Z65" s="632">
        <f t="shared" si="243"/>
        <v>-0.67401854496320879</v>
      </c>
      <c r="AA65" s="629">
        <f t="shared" si="244"/>
        <v>0.73871442455502512</v>
      </c>
      <c r="AB65" s="629">
        <f t="shared" si="245"/>
        <v>-1.3008419236317149E-7</v>
      </c>
      <c r="AC65" s="636">
        <f t="shared" si="84"/>
        <v>1</v>
      </c>
      <c r="AD65" s="637">
        <f t="shared" si="115"/>
        <v>-0.67401854496320879</v>
      </c>
      <c r="AE65" s="629">
        <f t="shared" si="85"/>
        <v>0.73871442455502512</v>
      </c>
      <c r="AF65" s="633">
        <f t="shared" si="86"/>
        <v>-1.3008419236317149E-7</v>
      </c>
      <c r="AG65" s="602">
        <f t="shared" si="87"/>
        <v>89.99998991047832</v>
      </c>
      <c r="AH65" s="603">
        <f t="shared" si="88"/>
        <v>132.37798088698455</v>
      </c>
      <c r="AI65" s="585">
        <f t="shared" si="89"/>
        <v>-89.999992546724798</v>
      </c>
      <c r="AJ65" s="586">
        <f t="shared" si="90"/>
        <v>-137.622019113015</v>
      </c>
      <c r="AK65" s="635">
        <f t="shared" si="211"/>
        <v>0.81915209487729201</v>
      </c>
      <c r="AL65" s="629">
        <f t="shared" si="91"/>
        <v>-0.57357636410344437</v>
      </c>
      <c r="AM65" s="634">
        <f t="shared" si="92"/>
        <v>-1.3008419236317149E-7</v>
      </c>
      <c r="AN65" s="581">
        <f t="shared" si="93"/>
        <v>-89.999987005609597</v>
      </c>
      <c r="AO65" s="582">
        <f t="shared" si="461"/>
        <v>34.999994946625954</v>
      </c>
      <c r="AP65" s="585">
        <f t="shared" si="95"/>
        <v>-34.999994946625257</v>
      </c>
      <c r="AQ65" s="586">
        <f t="shared" si="246"/>
        <v>0.38657732838746756</v>
      </c>
      <c r="AS65" s="52">
        <f t="shared" si="406"/>
        <v>-192.62202416638974</v>
      </c>
      <c r="AT65" s="72">
        <f t="shared" si="247"/>
        <v>-2.9922441334844421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6.15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-1.8033286193928559</v>
      </c>
      <c r="C66" s="708">
        <v>-3.2893450677509151</v>
      </c>
      <c r="D66" s="709">
        <v>-0.19883289383258188</v>
      </c>
      <c r="E66" s="710">
        <v>-8.8512998391339415E-2</v>
      </c>
      <c r="F66" s="708">
        <v>-0.16145179659490591</v>
      </c>
      <c r="G66" s="711">
        <v>0.98290323353423348</v>
      </c>
      <c r="H66" s="710">
        <v>0.25700000000000001</v>
      </c>
      <c r="I66" s="708">
        <v>0.41499999999999992</v>
      </c>
      <c r="J66" s="570">
        <v>6.22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CPS-32193r1</v>
      </c>
      <c r="L66" s="320"/>
      <c r="M66" s="168">
        <f t="shared" si="239"/>
        <v>6.22</v>
      </c>
      <c r="N66" s="632">
        <f t="shared" si="240"/>
        <v>-1.8033286193928559</v>
      </c>
      <c r="O66" s="629">
        <f t="shared" si="241"/>
        <v>-3.2893450677509151</v>
      </c>
      <c r="P66" s="633">
        <f t="shared" si="242"/>
        <v>-0.19883289383258188</v>
      </c>
      <c r="Q66" s="585">
        <f t="shared" si="113"/>
        <v>241.26697815975052</v>
      </c>
      <c r="R66" s="629">
        <f t="shared" si="79"/>
        <v>3.7512378069456771</v>
      </c>
      <c r="S66" s="634">
        <f t="shared" si="80"/>
        <v>-0.19883289383258188</v>
      </c>
      <c r="T66" s="635">
        <f t="shared" si="81"/>
        <v>-3.2893450677509142</v>
      </c>
      <c r="U66" s="629">
        <f t="shared" si="82"/>
        <v>1.8033286193928562</v>
      </c>
      <c r="V66" s="636">
        <f t="shared" si="114"/>
        <v>-0.19883289383258188</v>
      </c>
      <c r="W66" s="585">
        <f t="shared" si="224"/>
        <v>151.26697815975052</v>
      </c>
      <c r="X66" s="629">
        <f t="shared" si="83"/>
        <v>3.7512378069456771</v>
      </c>
      <c r="Y66" s="630">
        <f t="shared" si="223"/>
        <v>-0.19883289383258188</v>
      </c>
      <c r="Z66" s="632">
        <f t="shared" si="243"/>
        <v>8.8512998391339415E-2</v>
      </c>
      <c r="AA66" s="629">
        <f t="shared" si="244"/>
        <v>0.16145179659490591</v>
      </c>
      <c r="AB66" s="629">
        <f t="shared" si="245"/>
        <v>-0.98290323353423348</v>
      </c>
      <c r="AC66" s="636">
        <f t="shared" si="84"/>
        <v>1</v>
      </c>
      <c r="AD66" s="637">
        <f t="shared" si="115"/>
        <v>8.8512998391339415E-2</v>
      </c>
      <c r="AE66" s="629">
        <f t="shared" si="85"/>
        <v>0.16145179659490591</v>
      </c>
      <c r="AF66" s="633">
        <f t="shared" si="86"/>
        <v>-0.98290323353423348</v>
      </c>
      <c r="AG66" s="602">
        <f t="shared" si="87"/>
        <v>9.3281113625888139</v>
      </c>
      <c r="AH66" s="603">
        <f t="shared" si="88"/>
        <v>84.921933253017983</v>
      </c>
      <c r="AI66" s="585">
        <f t="shared" si="89"/>
        <v>-10.609998468113599</v>
      </c>
      <c r="AJ66" s="586">
        <f t="shared" si="90"/>
        <v>151.26704873430742</v>
      </c>
      <c r="AK66" s="635">
        <f t="shared" si="211"/>
        <v>2.2679489672383646E-7</v>
      </c>
      <c r="AL66" s="629">
        <f t="shared" si="91"/>
        <v>-0.18412287611238504</v>
      </c>
      <c r="AM66" s="634">
        <f t="shared" si="92"/>
        <v>-0.98290323353423348</v>
      </c>
      <c r="AN66" s="581">
        <f t="shared" si="93"/>
        <v>-10.609998468105744</v>
      </c>
      <c r="AO66" s="582">
        <f t="shared" si="461"/>
        <v>0</v>
      </c>
      <c r="AP66" s="585">
        <f t="shared" si="95"/>
        <v>-89.999929425443099</v>
      </c>
      <c r="AQ66" s="586">
        <f t="shared" si="246"/>
        <v>0.60770371318478078</v>
      </c>
      <c r="AS66" s="52">
        <f t="shared" si="406"/>
        <v>-208.73302184024948</v>
      </c>
      <c r="AT66" s="72">
        <f t="shared" si="247"/>
        <v>-5.387940644351974E-2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6.22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6.12</v>
      </c>
      <c r="II66" s="734" cm="1">
        <f t="array" ref="II66">IFERROR(ROUND(VALUE(IF($IH66&lt;1,$IH66+LARGE((IF($M$9:$M$150="",0,$M$9:$M$150)-MOD(IF($M$9:$M$150="",0,$M$9:$M$150),1)),1),$IH66)),4),"")</f>
        <v>6.12</v>
      </c>
      <c r="IJ66" s="533">
        <f t="shared" si="112"/>
        <v>1613</v>
      </c>
      <c r="IK66" s="533" t="str">
        <f t="shared" si="382"/>
        <v>CPS-32193r1</v>
      </c>
      <c r="IL66" s="727">
        <f t="shared" si="225"/>
        <v>18.251997364737633</v>
      </c>
      <c r="IM66" s="759">
        <v>3.8237370806614601E-2</v>
      </c>
      <c r="IN66" s="5">
        <f t="shared" si="226"/>
        <v>0.78</v>
      </c>
      <c r="IO66" s="771">
        <v>390</v>
      </c>
      <c r="IP66" s="9">
        <f t="shared" si="227"/>
        <v>-3.7426112877156443</v>
      </c>
      <c r="IQ66" s="5">
        <f t="shared" si="228"/>
        <v>-0.20300061224984658</v>
      </c>
      <c r="IR66" s="5">
        <f t="shared" si="383"/>
        <v>0.314</v>
      </c>
      <c r="IS66" s="5">
        <f t="shared" si="229"/>
        <v>0.30295446850446034</v>
      </c>
      <c r="IT66" s="727">
        <f t="shared" si="230"/>
        <v>21.078801399956024</v>
      </c>
      <c r="IU66" s="9">
        <f t="shared" si="231"/>
        <v>-3.7512378069456771</v>
      </c>
      <c r="IV66" s="5">
        <f t="shared" si="232"/>
        <v>-0.19883289383258188</v>
      </c>
      <c r="IW66" s="5">
        <f t="shared" si="384"/>
        <v>0.25700000000000001</v>
      </c>
      <c r="IX66" s="5">
        <f t="shared" si="233"/>
        <v>0.25700000000000001</v>
      </c>
      <c r="IY66" s="762">
        <f t="shared" si="234"/>
        <v>10.609998468105744</v>
      </c>
    </row>
    <row r="67" spans="1:259" ht="15" customHeight="1" x14ac:dyDescent="0.25">
      <c r="A67" s="79"/>
      <c r="B67" s="707">
        <v>-1.8970211311121521</v>
      </c>
      <c r="C67" s="708">
        <v>-4.0822995285199886</v>
      </c>
      <c r="D67" s="709">
        <v>-0.43545162907207519</v>
      </c>
      <c r="E67" s="710">
        <v>0.67152338947061418</v>
      </c>
      <c r="F67" s="708">
        <v>-0.60437065034353454</v>
      </c>
      <c r="G67" s="711">
        <v>0.42871022194161773</v>
      </c>
      <c r="H67" s="710">
        <v>0.26600000000000001</v>
      </c>
      <c r="I67" s="708">
        <v>0.52</v>
      </c>
      <c r="J67" s="570">
        <v>6.226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6.226</v>
      </c>
      <c r="N67" s="632">
        <f t="shared" si="240"/>
        <v>-1.8970211311121521</v>
      </c>
      <c r="O67" s="629">
        <f t="shared" si="241"/>
        <v>-4.0822995285199886</v>
      </c>
      <c r="P67" s="633">
        <f t="shared" si="242"/>
        <v>-0.43545162907207519</v>
      </c>
      <c r="Q67" s="585">
        <f t="shared" si="113"/>
        <v>245.07597760979905</v>
      </c>
      <c r="R67" s="629">
        <f>IF(M67="","",SQRT(N67^2+O67^2))</f>
        <v>4.5015395824584896</v>
      </c>
      <c r="S67" s="634">
        <f>IF(M67="","",P67)</f>
        <v>-0.43545162907207519</v>
      </c>
      <c r="T67" s="635">
        <f>IF(M67="","",X67*COS(RADIANS(W67)))</f>
        <v>-4.0822995285199895</v>
      </c>
      <c r="U67" s="629">
        <f>IF(M67="","",X67*SIN(RADIANS(W67)))</f>
        <v>1.8970211311121512</v>
      </c>
      <c r="V67" s="636">
        <f>IF(M67="","",Y67)</f>
        <v>-0.43545162907207519</v>
      </c>
      <c r="W67" s="585">
        <f t="shared" si="224"/>
        <v>155.07597760979905</v>
      </c>
      <c r="X67" s="629">
        <f>IF(M67="","",R67)</f>
        <v>4.5015395824584896</v>
      </c>
      <c r="Y67" s="630">
        <f t="shared" si="223"/>
        <v>-0.43545162907207519</v>
      </c>
      <c r="Z67" s="632">
        <f t="shared" si="243"/>
        <v>-0.67152338947061418</v>
      </c>
      <c r="AA67" s="629">
        <f t="shared" si="244"/>
        <v>0.60437065034353454</v>
      </c>
      <c r="AB67" s="629">
        <f t="shared" si="245"/>
        <v>-0.42871022194161773</v>
      </c>
      <c r="AC67" s="636">
        <f>IF(M67="","",SQRT(Z67^2+AA67^2+AB67^2))</f>
        <v>1</v>
      </c>
      <c r="AD67" s="637">
        <f>IF(M67="","",Z67*(1/SQRT(Z67^2+AA67^2+AB67^2)))</f>
        <v>-0.67152338947061418</v>
      </c>
      <c r="AE67" s="629">
        <f>IF(M67="","",AA67*(1/SQRT(Z67^2+AA67^2+AB67^2)))</f>
        <v>0.60437065034353454</v>
      </c>
      <c r="AF67" s="633">
        <f>IF(M67="","",AB67*(1/SQRT(Z67^2+AA67^2+AB67^2)))</f>
        <v>-0.42871022194161773</v>
      </c>
      <c r="AG67" s="602">
        <f>IF(M67="","",DEGREES(ATAN2(-AF67,AE67)))</f>
        <v>54.650022482704912</v>
      </c>
      <c r="AH67" s="603">
        <f>IF(M67="","",DEGREES(ACOS(AD67)))</f>
        <v>132.18474988386905</v>
      </c>
      <c r="AI67" s="585">
        <f>IF(M67="","",DEGREES(-ACOS(-AF67)))</f>
        <v>-64.614264599302018</v>
      </c>
      <c r="AJ67" s="586">
        <f>IF(M67="","",DEGREES(ATAN2(-AE67,AD67)))</f>
        <v>-131.9871936316145</v>
      </c>
      <c r="AK67" s="635">
        <f>IF(M67="","",(COS(RADIANS((90-$Q$8)-W67))*AD67)+(-SIN(RADIANS((90-$Q$8)-W67))*AE67))</f>
        <v>0.86367418074070956</v>
      </c>
      <c r="AL67" s="629">
        <f>IF(M67="","",(SIN(RADIANS((90-$Q$8)-W67))*AD67)+(COS(RADIANS((90-$Q$8)-W67))*AE67))</f>
        <v>-0.26509329513330437</v>
      </c>
      <c r="AM67" s="634">
        <f>IF(M67="","",AF67)</f>
        <v>-0.42871022194161773</v>
      </c>
      <c r="AN67" s="581">
        <f>IF(M67="","",DEGREES(ATAN2(-AM67,AL67)))</f>
        <v>-31.730606110951349</v>
      </c>
      <c r="AO67" s="582">
        <f t="shared" si="461"/>
        <v>30.268342898006495</v>
      </c>
      <c r="AP67" s="585">
        <f>IF(M67="","",DEGREES(ATAN2(AK67,AL67)))</f>
        <v>-17.06317124141356</v>
      </c>
      <c r="AQ67" s="586">
        <f t="shared" si="246"/>
        <v>0.50641946471601795</v>
      </c>
      <c r="AS67" s="52">
        <f t="shared" si="406"/>
        <v>-204.92402239020095</v>
      </c>
      <c r="AT67" s="72">
        <f t="shared" si="247"/>
        <v>-0.2931432801899912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Nose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6.226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6.1260000000000003</v>
      </c>
      <c r="II67" s="734" cm="1">
        <f t="array" ref="II67">IFERROR(ROUND(VALUE(IF($IH67&lt;1,$IH67+LARGE((IF($M$9:$M$150="",0,$M$9:$M$150)-MOD(IF($M$9:$M$150="",0,$M$9:$M$150),1)),1),$IH67)),4),"")</f>
        <v>6.1260000000000003</v>
      </c>
      <c r="IJ67" s="533">
        <f t="shared" si="112"/>
        <v>1613</v>
      </c>
      <c r="IK67" s="533">
        <f t="shared" si="382"/>
        <v>1313</v>
      </c>
      <c r="IL67" s="727">
        <f t="shared" si="225"/>
        <v>13.82399800406165</v>
      </c>
      <c r="IM67" s="759">
        <v>1.17451402907257E-2</v>
      </c>
      <c r="IN67" s="5">
        <f t="shared" si="226"/>
        <v>0.28000000000000003</v>
      </c>
      <c r="IO67" s="771">
        <v>140</v>
      </c>
      <c r="IP67" s="9">
        <f t="shared" si="227"/>
        <v>-4.4727134897038843</v>
      </c>
      <c r="IQ67" s="5">
        <f t="shared" si="228"/>
        <v>-0.48950147633645269</v>
      </c>
      <c r="IR67" s="5">
        <f t="shared" si="383"/>
        <v>0.314</v>
      </c>
      <c r="IS67" s="5">
        <f t="shared" si="229"/>
        <v>0.30247725047262952</v>
      </c>
      <c r="IT67" s="727">
        <f t="shared" si="230"/>
        <v>39.253022688838243</v>
      </c>
      <c r="IU67" s="9">
        <f t="shared" si="231"/>
        <v>-4.5015395824584896</v>
      </c>
      <c r="IV67" s="5">
        <f t="shared" si="232"/>
        <v>-0.43545162907207519</v>
      </c>
      <c r="IW67" s="5">
        <f t="shared" si="384"/>
        <v>0.26600000000000001</v>
      </c>
      <c r="IX67" s="5">
        <f t="shared" si="233"/>
        <v>0.22973733207702876</v>
      </c>
      <c r="IY67" s="762">
        <f t="shared" si="234"/>
        <v>31.730606110951349</v>
      </c>
    </row>
    <row r="68" spans="1:259" ht="15" customHeight="1" x14ac:dyDescent="0.25">
      <c r="A68" s="79"/>
      <c r="B68" s="707">
        <v>-2.0917786639975464</v>
      </c>
      <c r="C68" s="708">
        <v>-4.6902734970959843</v>
      </c>
      <c r="D68" s="709">
        <v>-0.92223362524395291</v>
      </c>
      <c r="E68" s="710">
        <v>0.6255198786691043</v>
      </c>
      <c r="F68" s="708">
        <v>-0.69258614958907794</v>
      </c>
      <c r="G68" s="711">
        <v>0.35923433408732602</v>
      </c>
      <c r="H68" s="710">
        <v>0.26600000000000001</v>
      </c>
      <c r="I68" s="708">
        <v>0.52</v>
      </c>
      <c r="J68" s="570">
        <v>6.2320000000000002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6.2320000000000002</v>
      </c>
      <c r="N68" s="632">
        <f t="shared" si="240"/>
        <v>-2.0917786639975464</v>
      </c>
      <c r="O68" s="629">
        <f t="shared" si="241"/>
        <v>-4.6902734970959843</v>
      </c>
      <c r="P68" s="633">
        <f t="shared" si="242"/>
        <v>-0.92223362524395291</v>
      </c>
      <c r="Q68" s="585">
        <f t="shared" si="113"/>
        <v>245.96397748158773</v>
      </c>
      <c r="R68" s="629">
        <f>IF(M68="","",SQRT(N68^2+O68^2))</f>
        <v>5.135582095217285</v>
      </c>
      <c r="S68" s="634">
        <f>IF(M68="","",P68)</f>
        <v>-0.92223362524395291</v>
      </c>
      <c r="T68" s="635">
        <f>IF(M68="","",X68*COS(RADIANS(W68)))</f>
        <v>-4.6902734970959843</v>
      </c>
      <c r="U68" s="629">
        <f>IF(M68="","",X68*SIN(RADIANS(W68)))</f>
        <v>2.0917786639975473</v>
      </c>
      <c r="V68" s="636">
        <f>IF(M68="","",Y68)</f>
        <v>-0.92223362524395291</v>
      </c>
      <c r="W68" s="585">
        <f t="shared" si="224"/>
        <v>155.96397748158773</v>
      </c>
      <c r="X68" s="629">
        <f>IF(M68="","",R68)</f>
        <v>5.135582095217285</v>
      </c>
      <c r="Y68" s="630">
        <f t="shared" si="223"/>
        <v>-0.92223362524395291</v>
      </c>
      <c r="Z68" s="632">
        <f t="shared" si="243"/>
        <v>-0.6255198786691043</v>
      </c>
      <c r="AA68" s="629">
        <f t="shared" si="244"/>
        <v>0.69258614958907794</v>
      </c>
      <c r="AB68" s="629">
        <f t="shared" si="245"/>
        <v>-0.35923433408732602</v>
      </c>
      <c r="AC68" s="636">
        <f>IF(M68="","",SQRT(Z68^2+AA68^2+AB68^2))</f>
        <v>1</v>
      </c>
      <c r="AD68" s="637">
        <f>IF(M68="","",Z68*(1/SQRT(Z68^2+AA68^2+AB68^2)))</f>
        <v>-0.6255198786691043</v>
      </c>
      <c r="AE68" s="629">
        <f>IF(M68="","",AA68*(1/SQRT(Z68^2+AA68^2+AB68^2)))</f>
        <v>0.69258614958907794</v>
      </c>
      <c r="AF68" s="633">
        <f>IF(M68="","",AB68*(1/SQRT(Z68^2+AA68^2+AB68^2)))</f>
        <v>-0.35923433408732602</v>
      </c>
      <c r="AG68" s="602">
        <f>IF(M68="","",DEGREES(ATAN2(-AF68,AE68)))</f>
        <v>62.584888842635806</v>
      </c>
      <c r="AH68" s="603">
        <f>IF(M68="","",DEGREES(ACOS(AD68)))</f>
        <v>128.72035534575204</v>
      </c>
      <c r="AI68" s="585">
        <f>IF(M68="","",DEGREES(-ACOS(-AF68)))</f>
        <v>-68.946818690338191</v>
      </c>
      <c r="AJ68" s="586">
        <f>IF(M68="","",DEGREES(ATAN2(-AE68,AD68)))</f>
        <v>-137.91274248105384</v>
      </c>
      <c r="AK68" s="635">
        <f>IF(M68="","",(COS(RADIANS((90-$Q$8)-W68))*AD68)+(-SIN(RADIANS((90-$Q$8)-W68))*AE68))</f>
        <v>0.85337867417220525</v>
      </c>
      <c r="AL68" s="629">
        <f>IF(M68="","",(SIN(RADIANS((90-$Q$8)-W68))*AD68)+(COS(RADIANS((90-$Q$8)-W68))*AE68))</f>
        <v>-0.37775062101990609</v>
      </c>
      <c r="AM68" s="634">
        <f>IF(M68="","",AF68)</f>
        <v>-0.35923433408732602</v>
      </c>
      <c r="AN68" s="581">
        <f>IF(M68="","",DEGREES(ATAN2(-AM68,AL68)))</f>
        <v>-46.439217916323067</v>
      </c>
      <c r="AO68" s="582">
        <f t="shared" si="461"/>
        <v>31.418923374213907</v>
      </c>
      <c r="AP68" s="585">
        <f>IF(M68="","",DEGREES(ATAN2(AK68,AL68)))</f>
        <v>-23.876719962641555</v>
      </c>
      <c r="AQ68" s="586">
        <f t="shared" si="246"/>
        <v>0.44389924586504198</v>
      </c>
      <c r="AS68" s="52">
        <f t="shared" si="406"/>
        <v>-204.03602251841227</v>
      </c>
      <c r="AT68" s="72">
        <f t="shared" si="247"/>
        <v>-0.78054194293949997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6.2320000000000002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6.1319999999999997</v>
      </c>
      <c r="II68" s="734" cm="1">
        <f t="array" ref="II68">IFERROR(ROUND(VALUE(IF($IH68&lt;1,$IH68+LARGE((IF($M$9:$M$150="",0,$M$9:$M$150)-MOD(IF($M$9:$M$150="",0,$M$9:$M$150),1)),1),$IH68)),4),"")</f>
        <v>6.1319999999999997</v>
      </c>
      <c r="IJ68" s="533">
        <f t="shared" si="112"/>
        <v>1613</v>
      </c>
      <c r="IK68" s="533">
        <f t="shared" si="382"/>
        <v>1313</v>
      </c>
      <c r="IL68" s="727">
        <f t="shared" si="225"/>
        <v>12.311998222367436</v>
      </c>
      <c r="IM68" s="759">
        <v>9.1097064924855007E-3</v>
      </c>
      <c r="IN68" s="5">
        <f t="shared" si="226"/>
        <v>0.26</v>
      </c>
      <c r="IO68" s="771">
        <v>130</v>
      </c>
      <c r="IP68" s="9">
        <f t="shared" si="227"/>
        <v>-5.0922153581215213</v>
      </c>
      <c r="IQ68" s="5">
        <f t="shared" si="228"/>
        <v>-0.97040292673522721</v>
      </c>
      <c r="IR68" s="5">
        <f t="shared" si="383"/>
        <v>0.314</v>
      </c>
      <c r="IS68" s="5">
        <f t="shared" si="229"/>
        <v>0.30050206465284751</v>
      </c>
      <c r="IT68" s="727">
        <f t="shared" si="230"/>
        <v>54.95299361635287</v>
      </c>
      <c r="IU68" s="9">
        <f t="shared" si="231"/>
        <v>-5.135582095217285</v>
      </c>
      <c r="IV68" s="5">
        <f t="shared" si="232"/>
        <v>-0.92223362524395291</v>
      </c>
      <c r="IW68" s="5">
        <f t="shared" si="384"/>
        <v>0.26600000000000001</v>
      </c>
      <c r="IX68" s="5">
        <f t="shared" si="233"/>
        <v>0.22699872732980661</v>
      </c>
      <c r="IY68" s="762">
        <f t="shared" si="234"/>
        <v>46.439217916323067</v>
      </c>
    </row>
    <row r="69" spans="1:259" ht="15" customHeight="1" x14ac:dyDescent="0.25">
      <c r="A69" s="79"/>
      <c r="B69" s="707">
        <v>-2.2494000120546667</v>
      </c>
      <c r="C69" s="708">
        <v>-5.1379090713128424</v>
      </c>
      <c r="D69" s="709">
        <v>-1.5664449304637298</v>
      </c>
      <c r="E69" s="710">
        <v>0.54534123247664956</v>
      </c>
      <c r="F69" s="708">
        <v>-0.78487563472378241</v>
      </c>
      <c r="G69" s="711">
        <v>0.29423320373096717</v>
      </c>
      <c r="H69" s="710">
        <v>0.26600000000000001</v>
      </c>
      <c r="I69" s="708">
        <v>0.52</v>
      </c>
      <c r="J69" s="570">
        <v>6.2380000000000004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6.2380000000000004</v>
      </c>
      <c r="N69" s="632">
        <f t="shared" si="240"/>
        <v>-2.2494000120546667</v>
      </c>
      <c r="O69" s="629">
        <f t="shared" si="241"/>
        <v>-5.1379090713128424</v>
      </c>
      <c r="P69" s="633">
        <f t="shared" si="242"/>
        <v>-1.5664449304637298</v>
      </c>
      <c r="Q69" s="585">
        <f t="shared" si="113"/>
        <v>246.35597742498996</v>
      </c>
      <c r="R69" s="629">
        <f t="shared" si="79"/>
        <v>5.6087351550336493</v>
      </c>
      <c r="S69" s="634">
        <f t="shared" si="80"/>
        <v>-1.5664449304637298</v>
      </c>
      <c r="T69" s="635">
        <f t="shared" si="81"/>
        <v>-5.1379090713128424</v>
      </c>
      <c r="U69" s="629">
        <f t="shared" si="82"/>
        <v>2.2494000120546671</v>
      </c>
      <c r="V69" s="636">
        <f t="shared" si="114"/>
        <v>-1.5664449304637298</v>
      </c>
      <c r="W69" s="585">
        <f t="shared" si="224"/>
        <v>156.35597742498996</v>
      </c>
      <c r="X69" s="629">
        <f t="shared" si="83"/>
        <v>5.6087351550336493</v>
      </c>
      <c r="Y69" s="630">
        <f t="shared" si="223"/>
        <v>-1.5664449304637298</v>
      </c>
      <c r="Z69" s="632">
        <f t="shared" si="243"/>
        <v>-0.54534123247664956</v>
      </c>
      <c r="AA69" s="629">
        <f t="shared" si="244"/>
        <v>0.78487563472378241</v>
      </c>
      <c r="AB69" s="629">
        <f t="shared" si="245"/>
        <v>-0.29423320373096717</v>
      </c>
      <c r="AC69" s="636">
        <f t="shared" si="84"/>
        <v>1</v>
      </c>
      <c r="AD69" s="637">
        <f t="shared" si="115"/>
        <v>-0.54534123247664956</v>
      </c>
      <c r="AE69" s="629">
        <f t="shared" si="85"/>
        <v>0.78487563472378241</v>
      </c>
      <c r="AF69" s="633">
        <f t="shared" si="86"/>
        <v>-0.29423320373096717</v>
      </c>
      <c r="AG69" s="602">
        <f t="shared" si="87"/>
        <v>69.450045202672754</v>
      </c>
      <c r="AH69" s="603">
        <f t="shared" si="88"/>
        <v>123.04798534861168</v>
      </c>
      <c r="AI69" s="585">
        <f t="shared" si="89"/>
        <v>-72.888437384566288</v>
      </c>
      <c r="AJ69" s="586">
        <f t="shared" si="90"/>
        <v>-145.2079524200648</v>
      </c>
      <c r="AK69" s="635">
        <f t="shared" si="211"/>
        <v>0.81433920505458279</v>
      </c>
      <c r="AL69" s="629">
        <f t="shared" si="91"/>
        <v>-0.50027840342481456</v>
      </c>
      <c r="AM69" s="634">
        <f t="shared" si="92"/>
        <v>-0.29423320373096717</v>
      </c>
      <c r="AN69" s="581">
        <f t="shared" si="93"/>
        <v>-59.538557263016067</v>
      </c>
      <c r="AO69" s="582">
        <f t="shared" si="461"/>
        <v>35.477923710562905</v>
      </c>
      <c r="AP69" s="585">
        <f t="shared" si="95"/>
        <v>-31.563929845054759</v>
      </c>
      <c r="AQ69" s="586">
        <f t="shared" si="246"/>
        <v>0.40645320684525982</v>
      </c>
      <c r="AS69" s="52">
        <f t="shared" si="406"/>
        <v>-203.64402257501004</v>
      </c>
      <c r="AT69" s="72">
        <f t="shared" si="247"/>
        <v>-1.425025470342195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6.2380000000000004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6.1379999999999999</v>
      </c>
      <c r="II69" s="734" cm="1">
        <f t="array" ref="II69">IFERROR(ROUND(VALUE(IF($IH69&lt;1,$IH69+LARGE((IF($M$9:$M$150="",0,$M$9:$M$150)-MOD(IF($M$9:$M$150="",0,$M$9:$M$150),1)),1),$IH69)),4),"")</f>
        <v>6.1379999999999999</v>
      </c>
      <c r="IJ69" s="533">
        <f t="shared" si="112"/>
        <v>1613</v>
      </c>
      <c r="IK69" s="533">
        <f t="shared" si="382"/>
        <v>1313</v>
      </c>
      <c r="IL69" s="727">
        <f t="shared" si="225"/>
        <v>11.417998351444993</v>
      </c>
      <c r="IM69" s="759">
        <v>6.7349244347848303E-3</v>
      </c>
      <c r="IN69" s="5">
        <f t="shared" si="226"/>
        <v>0.22</v>
      </c>
      <c r="IO69" s="771">
        <v>110</v>
      </c>
      <c r="IP69" s="9">
        <f t="shared" si="227"/>
        <v>-5.5508167412632909</v>
      </c>
      <c r="IQ69" s="5">
        <f t="shared" si="228"/>
        <v>-1.6066048455202142</v>
      </c>
      <c r="IR69" s="5">
        <f t="shared" si="383"/>
        <v>0.314</v>
      </c>
      <c r="IS69" s="5">
        <f t="shared" si="229"/>
        <v>0.29332985661334798</v>
      </c>
      <c r="IT69" s="727">
        <f t="shared" si="230"/>
        <v>66.448849841737143</v>
      </c>
      <c r="IU69" s="9">
        <f t="shared" si="231"/>
        <v>-5.6087351550336493</v>
      </c>
      <c r="IV69" s="5">
        <f t="shared" si="232"/>
        <v>-1.5664449304637298</v>
      </c>
      <c r="IW69" s="5">
        <f t="shared" si="384"/>
        <v>0.26600000000000001</v>
      </c>
      <c r="IX69" s="5">
        <f t="shared" si="233"/>
        <v>0.21661422854451906</v>
      </c>
      <c r="IY69" s="762">
        <f t="shared" si="234"/>
        <v>59.538557263016067</v>
      </c>
    </row>
    <row r="70" spans="1:259" ht="15" customHeight="1" x14ac:dyDescent="0.25">
      <c r="A70" s="79"/>
      <c r="B70" s="707">
        <v>-2.3395902885672641</v>
      </c>
      <c r="C70" s="708">
        <v>-5.3809403091312955</v>
      </c>
      <c r="D70" s="709">
        <v>-2.3260433040878739</v>
      </c>
      <c r="E70" s="710">
        <v>0.52437288538732907</v>
      </c>
      <c r="F70" s="708">
        <v>-0.83444076320862048</v>
      </c>
      <c r="G70" s="711">
        <v>0.16953374226501966</v>
      </c>
      <c r="H70" s="710">
        <v>0.26600000000000001</v>
      </c>
      <c r="I70" s="708">
        <v>0.52</v>
      </c>
      <c r="J70" s="570">
        <v>6.2439999999999998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6.2439999999999998</v>
      </c>
      <c r="N70" s="632">
        <f t="shared" si="240"/>
        <v>-2.3395902885672641</v>
      </c>
      <c r="O70" s="629">
        <f t="shared" si="241"/>
        <v>-5.3809403091312955</v>
      </c>
      <c r="P70" s="633">
        <f t="shared" si="242"/>
        <v>-2.3260433040878739</v>
      </c>
      <c r="Q70" s="585">
        <f t="shared" si="113"/>
        <v>246.50097740405454</v>
      </c>
      <c r="R70" s="629">
        <f t="shared" si="79"/>
        <v>5.8675549702403513</v>
      </c>
      <c r="S70" s="634">
        <f t="shared" si="80"/>
        <v>-2.3260433040878739</v>
      </c>
      <c r="T70" s="635">
        <f t="shared" si="81"/>
        <v>-5.3809403091312955</v>
      </c>
      <c r="U70" s="629">
        <f t="shared" si="82"/>
        <v>2.3395902885672641</v>
      </c>
      <c r="V70" s="636">
        <f t="shared" si="114"/>
        <v>-2.3260433040878739</v>
      </c>
      <c r="W70" s="585">
        <f t="shared" si="224"/>
        <v>156.50097740405454</v>
      </c>
      <c r="X70" s="629">
        <f t="shared" si="83"/>
        <v>5.8675549702403513</v>
      </c>
      <c r="Y70" s="630">
        <f t="shared" si="223"/>
        <v>-2.3260433040878739</v>
      </c>
      <c r="Z70" s="632">
        <f t="shared" si="243"/>
        <v>-0.52437288538732907</v>
      </c>
      <c r="AA70" s="629">
        <f t="shared" si="244"/>
        <v>0.83444076320862048</v>
      </c>
      <c r="AB70" s="629">
        <f t="shared" si="245"/>
        <v>-0.16953374226501966</v>
      </c>
      <c r="AC70" s="636">
        <f t="shared" si="84"/>
        <v>1</v>
      </c>
      <c r="AD70" s="637">
        <f t="shared" si="115"/>
        <v>-0.52437288538732907</v>
      </c>
      <c r="AE70" s="629">
        <f t="shared" si="85"/>
        <v>0.83444076320862048</v>
      </c>
      <c r="AF70" s="633">
        <f t="shared" si="86"/>
        <v>-0.16953374226501966</v>
      </c>
      <c r="AG70" s="602">
        <f t="shared" si="87"/>
        <v>78.51550532744082</v>
      </c>
      <c r="AH70" s="603">
        <f t="shared" si="88"/>
        <v>121.62603579488037</v>
      </c>
      <c r="AI70" s="585">
        <f t="shared" si="89"/>
        <v>-80.239289038232357</v>
      </c>
      <c r="AJ70" s="586">
        <f t="shared" si="90"/>
        <v>-147.85423834416122</v>
      </c>
      <c r="AK70" s="635">
        <f t="shared" si="211"/>
        <v>0.81360442743123662</v>
      </c>
      <c r="AL70" s="629">
        <f t="shared" si="91"/>
        <v>-0.55615298785307943</v>
      </c>
      <c r="AM70" s="634">
        <f t="shared" si="92"/>
        <v>-0.16953374226501966</v>
      </c>
      <c r="AN70" s="581">
        <f t="shared" si="93"/>
        <v>-73.047052481181353</v>
      </c>
      <c r="AO70" s="582">
        <f t="shared" si="461"/>
        <v>35.550396355811941</v>
      </c>
      <c r="AP70" s="585">
        <f t="shared" si="95"/>
        <v>-34.355215748215755</v>
      </c>
      <c r="AQ70" s="586">
        <f t="shared" si="246"/>
        <v>0.38852498202293428</v>
      </c>
      <c r="AS70" s="52">
        <f t="shared" si="406"/>
        <v>-203.49902259594546</v>
      </c>
      <c r="AT70" s="72">
        <f t="shared" si="247"/>
        <v>-2.184724538396245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6.2439999999999998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6.1440000000000001</v>
      </c>
      <c r="II70" s="734" cm="1">
        <f t="array" ref="II70">IFERROR(ROUND(VALUE(IF($IH70&lt;1,$IH70+LARGE((IF($M$9:$M$150="",0,$M$9:$M$150)-MOD(IF($M$9:$M$150="",0,$M$9:$M$150),1)),1),$IH70)),4),"")</f>
        <v>6.1440000000000001</v>
      </c>
      <c r="IJ70" s="533">
        <f t="shared" si="112"/>
        <v>1613</v>
      </c>
      <c r="IK70" s="533">
        <f t="shared" si="382"/>
        <v>1313</v>
      </c>
      <c r="IL70" s="727">
        <f t="shared" si="225"/>
        <v>10.976998415117521</v>
      </c>
      <c r="IM70" s="759">
        <v>4.0414675615768302E-3</v>
      </c>
      <c r="IN70" s="5">
        <f t="shared" si="226"/>
        <v>0.22</v>
      </c>
      <c r="IO70" s="771">
        <v>110</v>
      </c>
      <c r="IP70" s="9">
        <f t="shared" si="227"/>
        <v>-5.8111175263304604</v>
      </c>
      <c r="IQ70" s="5">
        <f t="shared" si="228"/>
        <v>-2.3465070770653447</v>
      </c>
      <c r="IR70" s="5">
        <f t="shared" si="383"/>
        <v>0.314</v>
      </c>
      <c r="IS70" s="5">
        <f t="shared" si="229"/>
        <v>0.28031000935560385</v>
      </c>
      <c r="IT70" s="727">
        <f t="shared" si="230"/>
        <v>76.461001400847152</v>
      </c>
      <c r="IU70" s="9">
        <f t="shared" si="231"/>
        <v>-5.8675549702403513</v>
      </c>
      <c r="IV70" s="5">
        <f t="shared" si="232"/>
        <v>-2.3260433040878739</v>
      </c>
      <c r="IW70" s="5">
        <f t="shared" si="384"/>
        <v>0.26600000000000001</v>
      </c>
      <c r="IX70" s="5">
        <f t="shared" si="233"/>
        <v>0.21641877769670892</v>
      </c>
      <c r="IY70" s="762">
        <f t="shared" si="234"/>
        <v>73.047052481181353</v>
      </c>
    </row>
    <row r="71" spans="1:259" ht="15" customHeight="1" x14ac:dyDescent="0.25">
      <c r="A71" s="79"/>
      <c r="B71" s="707">
        <v>-0.52845038745577289</v>
      </c>
      <c r="C71" s="708">
        <v>-0.30510076038458783</v>
      </c>
      <c r="D71" s="709">
        <v>-0.70370212236560103</v>
      </c>
      <c r="E71" s="710">
        <v>0.54097536073219565</v>
      </c>
      <c r="F71" s="708">
        <v>-0.80302283619345605</v>
      </c>
      <c r="G71" s="711">
        <v>0.24999996726497567</v>
      </c>
      <c r="H71" s="710">
        <v>0.314</v>
      </c>
      <c r="I71" s="708">
        <v>0.52</v>
      </c>
      <c r="J71" s="570">
        <v>7.1020000000000003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7.1020000000000003</v>
      </c>
      <c r="N71" s="632">
        <f t="shared" si="240"/>
        <v>-0.52845038745577289</v>
      </c>
      <c r="O71" s="629">
        <f t="shared" si="241"/>
        <v>-0.30510076038458783</v>
      </c>
      <c r="P71" s="633">
        <f t="shared" si="242"/>
        <v>-0.70370212236560103</v>
      </c>
      <c r="Q71" s="585">
        <f t="shared" si="113"/>
        <v>209.99998267414614</v>
      </c>
      <c r="R71" s="629">
        <f t="shared" si="79"/>
        <v>0.61020184036875058</v>
      </c>
      <c r="S71" s="634">
        <f t="shared" si="80"/>
        <v>-0.70370212236560103</v>
      </c>
      <c r="T71" s="635">
        <f t="shared" si="81"/>
        <v>-0.30510076038458789</v>
      </c>
      <c r="U71" s="629">
        <f t="shared" si="82"/>
        <v>0.52845038745577289</v>
      </c>
      <c r="V71" s="636">
        <f t="shared" si="114"/>
        <v>-0.70370212236560103</v>
      </c>
      <c r="W71" s="585">
        <f t="shared" si="224"/>
        <v>119.99998267414614</v>
      </c>
      <c r="X71" s="629">
        <f t="shared" si="83"/>
        <v>0.61020184036875058</v>
      </c>
      <c r="Y71" s="630">
        <f t="shared" si="223"/>
        <v>-0.70370212236560103</v>
      </c>
      <c r="Z71" s="632">
        <f t="shared" si="243"/>
        <v>-0.54097536073219565</v>
      </c>
      <c r="AA71" s="629">
        <f t="shared" si="244"/>
        <v>0.80302283619345605</v>
      </c>
      <c r="AB71" s="629">
        <f t="shared" si="245"/>
        <v>-0.24999996726497567</v>
      </c>
      <c r="AC71" s="636">
        <f t="shared" si="84"/>
        <v>1</v>
      </c>
      <c r="AD71" s="637">
        <f t="shared" si="115"/>
        <v>-0.54097536073219565</v>
      </c>
      <c r="AE71" s="629">
        <f t="shared" si="85"/>
        <v>0.80302283619345605</v>
      </c>
      <c r="AF71" s="633">
        <f t="shared" si="86"/>
        <v>-0.24999996726497567</v>
      </c>
      <c r="AG71" s="602">
        <f t="shared" si="87"/>
        <v>72.707401525173708</v>
      </c>
      <c r="AH71" s="603">
        <f t="shared" si="88"/>
        <v>122.7500605879534</v>
      </c>
      <c r="AI71" s="585">
        <f t="shared" si="89"/>
        <v>-75.522489751159455</v>
      </c>
      <c r="AJ71" s="586">
        <f t="shared" si="90"/>
        <v>-146.03288768076726</v>
      </c>
      <c r="AK71" s="635">
        <f t="shared" si="211"/>
        <v>0.9659258360722075</v>
      </c>
      <c r="AL71" s="629">
        <f t="shared" si="91"/>
        <v>6.6987279208207406E-2</v>
      </c>
      <c r="AM71" s="634">
        <f t="shared" si="92"/>
        <v>-0.24999996726497567</v>
      </c>
      <c r="AN71" s="581">
        <f t="shared" si="93"/>
        <v>14.99999783426831</v>
      </c>
      <c r="AO71" s="582">
        <f t="shared" si="461"/>
        <v>14.99999783426823</v>
      </c>
      <c r="AP71" s="585">
        <f t="shared" si="95"/>
        <v>3.9671296450865832</v>
      </c>
      <c r="AQ71" s="586">
        <f t="shared" si="246"/>
        <v>3.7307391016610647</v>
      </c>
      <c r="AS71" s="52">
        <f t="shared" si="406"/>
        <v>-240.00001732585386</v>
      </c>
      <c r="AT71" s="72">
        <f t="shared" si="247"/>
        <v>-0.53703544366709144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7.1020000000000003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-1.197457146402978</v>
      </c>
      <c r="C72" s="708">
        <v>-0.69135172301502723</v>
      </c>
      <c r="D72" s="709">
        <v>-0.49670149805171815</v>
      </c>
      <c r="E72" s="710">
        <v>0.54097536073219554</v>
      </c>
      <c r="F72" s="708">
        <v>-0.80302283619345605</v>
      </c>
      <c r="G72" s="711">
        <v>0.24999996726497567</v>
      </c>
      <c r="H72" s="710">
        <v>0.314</v>
      </c>
      <c r="I72" s="708">
        <v>0.52</v>
      </c>
      <c r="J72" s="570">
        <v>7.1050000000000004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7.1050000000000004</v>
      </c>
      <c r="N72" s="632">
        <f t="shared" si="240"/>
        <v>-1.197457146402978</v>
      </c>
      <c r="O72" s="629">
        <f t="shared" si="241"/>
        <v>-0.69135172301502723</v>
      </c>
      <c r="P72" s="633">
        <f t="shared" si="242"/>
        <v>-0.49670149805171815</v>
      </c>
      <c r="Q72" s="585">
        <f t="shared" si="113"/>
        <v>209.99998267414614</v>
      </c>
      <c r="R72" s="629">
        <f t="shared" si="79"/>
        <v>1.3827041702357774</v>
      </c>
      <c r="S72" s="634">
        <f t="shared" si="80"/>
        <v>-0.49670149805171815</v>
      </c>
      <c r="T72" s="635">
        <f t="shared" si="81"/>
        <v>-0.69135172301502723</v>
      </c>
      <c r="U72" s="629">
        <f t="shared" si="82"/>
        <v>1.197457146402978</v>
      </c>
      <c r="V72" s="636">
        <f t="shared" si="114"/>
        <v>-0.49670149805171815</v>
      </c>
      <c r="W72" s="585">
        <f t="shared" si="224"/>
        <v>119.99998267414614</v>
      </c>
      <c r="X72" s="629">
        <f t="shared" si="83"/>
        <v>1.3827041702357774</v>
      </c>
      <c r="Y72" s="630">
        <f t="shared" si="223"/>
        <v>-0.49670149805171815</v>
      </c>
      <c r="Z72" s="632">
        <f t="shared" si="243"/>
        <v>-0.54097536073219554</v>
      </c>
      <c r="AA72" s="629">
        <f t="shared" si="244"/>
        <v>0.80302283619345605</v>
      </c>
      <c r="AB72" s="629">
        <f t="shared" si="245"/>
        <v>-0.24999996726497567</v>
      </c>
      <c r="AC72" s="636">
        <f t="shared" si="84"/>
        <v>1</v>
      </c>
      <c r="AD72" s="637">
        <f t="shared" si="115"/>
        <v>-0.54097536073219554</v>
      </c>
      <c r="AE72" s="629">
        <f t="shared" si="85"/>
        <v>0.80302283619345605</v>
      </c>
      <c r="AF72" s="633">
        <f t="shared" si="86"/>
        <v>-0.24999996726497567</v>
      </c>
      <c r="AG72" s="602">
        <f t="shared" si="87"/>
        <v>72.707401525173708</v>
      </c>
      <c r="AH72" s="603">
        <f t="shared" si="88"/>
        <v>122.7500605879534</v>
      </c>
      <c r="AI72" s="585">
        <f t="shared" si="89"/>
        <v>-75.522489751159455</v>
      </c>
      <c r="AJ72" s="586">
        <f t="shared" si="90"/>
        <v>-146.03288768076729</v>
      </c>
      <c r="AK72" s="635">
        <f t="shared" si="211"/>
        <v>0.96592583607220739</v>
      </c>
      <c r="AL72" s="629">
        <f t="shared" si="91"/>
        <v>6.6987279208207351E-2</v>
      </c>
      <c r="AM72" s="634">
        <f t="shared" si="92"/>
        <v>-0.24999996726497567</v>
      </c>
      <c r="AN72" s="581">
        <f t="shared" si="93"/>
        <v>14.999997834268299</v>
      </c>
      <c r="AO72" s="582">
        <f t="shared" si="461"/>
        <v>14.999997834268255</v>
      </c>
      <c r="AP72" s="585">
        <f t="shared" si="95"/>
        <v>3.9671296450865805</v>
      </c>
      <c r="AQ72" s="586">
        <f t="shared" si="246"/>
        <v>1.6482901718384932</v>
      </c>
      <c r="AS72" s="52">
        <f t="shared" si="406"/>
        <v>-240.00001732585386</v>
      </c>
      <c r="AT72" s="72">
        <f t="shared" si="247"/>
        <v>-0.33003481935320855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7.1050000000000004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-1.8231624970040854</v>
      </c>
      <c r="C73" s="708">
        <v>-1.0526026233392893</v>
      </c>
      <c r="D73" s="709">
        <v>-0.30310091415235707</v>
      </c>
      <c r="E73" s="710">
        <v>0.54097536073219543</v>
      </c>
      <c r="F73" s="708">
        <v>-0.80302283619345616</v>
      </c>
      <c r="G73" s="711">
        <v>0.24999996726497573</v>
      </c>
      <c r="H73" s="710">
        <v>0.314</v>
      </c>
      <c r="I73" s="708">
        <v>0.52</v>
      </c>
      <c r="J73" s="570">
        <v>7.1079999999999997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7.1079999999999997</v>
      </c>
      <c r="N73" s="632">
        <f t="shared" ref="N73:N104" si="465">IF(M73="","",B73)</f>
        <v>-1.8231624970040854</v>
      </c>
      <c r="O73" s="629">
        <f t="shared" ref="O73:O104" si="466">IF(M73="","",C73)</f>
        <v>-1.0526026233392893</v>
      </c>
      <c r="P73" s="633">
        <f t="shared" ref="P73:P104" si="467">IF(M73="","",D73)</f>
        <v>-0.30310091415235707</v>
      </c>
      <c r="Q73" s="585">
        <f t="shared" si="113"/>
        <v>209.99998267414614</v>
      </c>
      <c r="R73" s="629">
        <f>IF(M73="","",SQRT(N73^2+O73^2))</f>
        <v>2.1052063493023492</v>
      </c>
      <c r="S73" s="634">
        <f>IF(M73="","",P73)</f>
        <v>-0.30310091415235707</v>
      </c>
      <c r="T73" s="635">
        <f>IF(M73="","",X73*COS(RADIANS(W73)))</f>
        <v>-1.0526026233392891</v>
      </c>
      <c r="U73" s="629">
        <f>IF(M73="","",X73*SIN(RADIANS(W73)))</f>
        <v>1.8231624970040854</v>
      </c>
      <c r="V73" s="636">
        <f>IF(M73="","",Y73)</f>
        <v>-0.30310091415235707</v>
      </c>
      <c r="W73" s="585">
        <f t="shared" si="224"/>
        <v>119.99998267414614</v>
      </c>
      <c r="X73" s="629">
        <f>IF(M73="","",R73)</f>
        <v>2.1052063493023492</v>
      </c>
      <c r="Y73" s="630">
        <f t="shared" si="223"/>
        <v>-0.30310091415235707</v>
      </c>
      <c r="Z73" s="632">
        <f t="shared" ref="Z73:Z104" si="468">IF(M73="","",-E73)</f>
        <v>-0.54097536073219543</v>
      </c>
      <c r="AA73" s="629">
        <f t="shared" ref="AA73:AA104" si="469">IF(M73="","",-F73)</f>
        <v>0.80302283619345616</v>
      </c>
      <c r="AB73" s="629">
        <f t="shared" ref="AB73:AB104" si="470">IF(M73="","",-G73)</f>
        <v>-0.24999996726497573</v>
      </c>
      <c r="AC73" s="636">
        <f>IF(M73="","",SQRT(Z73^2+AA73^2+AB73^2))</f>
        <v>1</v>
      </c>
      <c r="AD73" s="637">
        <f>IF(M73="","",Z73*(1/SQRT(Z73^2+AA73^2+AB73^2)))</f>
        <v>-0.54097536073219543</v>
      </c>
      <c r="AE73" s="629">
        <f>IF(M73="","",AA73*(1/SQRT(Z73^2+AA73^2+AB73^2)))</f>
        <v>0.80302283619345616</v>
      </c>
      <c r="AF73" s="633">
        <f>IF(M73="","",AB73*(1/SQRT(Z73^2+AA73^2+AB73^2)))</f>
        <v>-0.24999996726497573</v>
      </c>
      <c r="AG73" s="602">
        <f>IF(M73="","",DEGREES(ATAN2(-AF73,AE73)))</f>
        <v>72.707401525173708</v>
      </c>
      <c r="AH73" s="603">
        <f>IF(M73="","",DEGREES(ACOS(AD73)))</f>
        <v>122.7500605879534</v>
      </c>
      <c r="AI73" s="585">
        <f>IF(M73="","",DEGREES(-ACOS(-AF73)))</f>
        <v>-75.522489751159455</v>
      </c>
      <c r="AJ73" s="586">
        <f>IF(M73="","",DEGREES(ATAN2(-AE73,AD73)))</f>
        <v>-146.03288768076729</v>
      </c>
      <c r="AK73" s="635">
        <f>IF(M73="","",(COS(RADIANS((90-$Q$8)-W73))*AD73)+(-SIN(RADIANS((90-$Q$8)-W73))*AE73))</f>
        <v>0.9659258360722075</v>
      </c>
      <c r="AL73" s="629">
        <f>IF(M73="","",(SIN(RADIANS((90-$Q$8)-W73))*AD73)+(COS(RADIANS((90-$Q$8)-W73))*AE73))</f>
        <v>6.6987279208207184E-2</v>
      </c>
      <c r="AM73" s="634">
        <f>IF(M73="","",AF73)</f>
        <v>-0.24999996726497573</v>
      </c>
      <c r="AN73" s="581">
        <f>IF(M73="","",DEGREES(ATAN2(-AM73,AL73)))</f>
        <v>14.999997834268262</v>
      </c>
      <c r="AO73" s="582">
        <f t="shared" si="461"/>
        <v>14.99999783426823</v>
      </c>
      <c r="AP73" s="585">
        <f>IF(M73="","",DEGREES(ATAN2(AK73,AL73)))</f>
        <v>3.9671296450865703</v>
      </c>
      <c r="AQ73" s="586">
        <f t="shared" ref="AQ73:AQ104" si="471">IF(M73="","",DEGREES(ATAN(($AS$5*SIN(RADIANS(90)))/(($X73*2*PI())-($AS$5*COS(RADIANS(90)))))))</f>
        <v>1.0827704558471207</v>
      </c>
      <c r="AS73" s="52">
        <f t="shared" si="406"/>
        <v>-240.00001732585386</v>
      </c>
      <c r="AT73" s="72">
        <f t="shared" ref="AT73:AT104" si="472">IF(M73="","",Y73+(((AS73-$AS$9)*$AS$6)*-1))</f>
        <v>-0.13643423545384745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7.1079999999999997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-2.4518979003840009</v>
      </c>
      <c r="C74" s="708">
        <v>-1.4144049549131317</v>
      </c>
      <c r="D74" s="709">
        <v>-0.14460043611491535</v>
      </c>
      <c r="E74" s="710">
        <v>0.49749533589410516</v>
      </c>
      <c r="F74" s="708">
        <v>-0.82807801680114612</v>
      </c>
      <c r="G74" s="711">
        <v>0.25842830505633929</v>
      </c>
      <c r="H74" s="710">
        <v>0.314</v>
      </c>
      <c r="I74" s="708">
        <v>0.52</v>
      </c>
      <c r="J74" s="570">
        <v>7.1130000000000004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7.1130000000000004</v>
      </c>
      <c r="N74" s="632">
        <f t="shared" si="465"/>
        <v>-2.4518979003840009</v>
      </c>
      <c r="O74" s="629">
        <f t="shared" si="466"/>
        <v>-1.4144049549131317</v>
      </c>
      <c r="P74" s="633">
        <f t="shared" si="467"/>
        <v>-0.14460043611491535</v>
      </c>
      <c r="Q74" s="585">
        <f t="shared" ref="Q74:Q129" si="520">IF(M74="","",IF(DEGREES(ATAN2(N74,O74))&lt;0,DEGREES(ATAN2(N74,O74))+360,IF(DEGREES(ATAN2(N74,O74))&gt;360,DEGREES(ATAN2(N74,O74))-360,DEGREES(ATAN2(N74,O74)))))</f>
        <v>209.97898267717818</v>
      </c>
      <c r="R74" s="629">
        <f>IF(M74="","",SQRT(N74^2+O74^2))</f>
        <v>2.830608537115348</v>
      </c>
      <c r="S74" s="634">
        <f>IF(M74="","",P74)</f>
        <v>-0.14460043611491535</v>
      </c>
      <c r="T74" s="635">
        <f>IF(M74="","",X74*COS(RADIANS(W74)))</f>
        <v>-1.4144049549131328</v>
      </c>
      <c r="U74" s="629">
        <f>IF(M74="","",X74*SIN(RADIANS(W74)))</f>
        <v>2.451897900384</v>
      </c>
      <c r="V74" s="636">
        <f>IF(M74="","",Y74)</f>
        <v>-0.14460043611491535</v>
      </c>
      <c r="W74" s="585">
        <f t="shared" si="224"/>
        <v>119.97898267717818</v>
      </c>
      <c r="X74" s="629">
        <f>IF(M74="","",R74)</f>
        <v>2.830608537115348</v>
      </c>
      <c r="Y74" s="630">
        <f t="shared" si="223"/>
        <v>-0.14460043611491535</v>
      </c>
      <c r="Z74" s="632">
        <f t="shared" si="468"/>
        <v>-0.49749533589410516</v>
      </c>
      <c r="AA74" s="629">
        <f t="shared" si="469"/>
        <v>0.82807801680114612</v>
      </c>
      <c r="AB74" s="629">
        <f t="shared" si="470"/>
        <v>-0.25842830505633929</v>
      </c>
      <c r="AC74" s="636">
        <f>IF(M74="","",SQRT(Z74^2+AA74^2+AB74^2))</f>
        <v>1</v>
      </c>
      <c r="AD74" s="637">
        <f>IF(M74="","",Z74*(1/SQRT(Z74^2+AA74^2+AB74^2)))</f>
        <v>-0.49749533589410516</v>
      </c>
      <c r="AE74" s="629">
        <f>IF(M74="","",AA74*(1/SQRT(Z74^2+AA74^2+AB74^2)))</f>
        <v>0.82807801680114612</v>
      </c>
      <c r="AF74" s="633">
        <f>IF(M74="","",AB74*(1/SQRT(Z74^2+AA74^2+AB74^2)))</f>
        <v>-0.25842830505633929</v>
      </c>
      <c r="AG74" s="602">
        <f>IF(M74="","",DEGREES(ATAN2(-AF74,AE74)))</f>
        <v>72.667792972463943</v>
      </c>
      <c r="AH74" s="603">
        <f>IF(M74="","",DEGREES(ACOS(AD74)))</f>
        <v>119.83443064293438</v>
      </c>
      <c r="AI74" s="585">
        <f>IF(M74="","",DEGREES(-ACOS(-AF74)))</f>
        <v>-75.023176254677708</v>
      </c>
      <c r="AJ74" s="586">
        <f>IF(M74="","",DEGREES(ATAN2(-AE74,AD74)))</f>
        <v>-149.00326050566636</v>
      </c>
      <c r="AK74" s="635">
        <f>IF(M74="","",(COS(RADIANS((90-$Q$8)-W74))*AD74)+(-SIN(RADIANS((90-$Q$8)-W74))*AE74))</f>
        <v>0.96587803754379076</v>
      </c>
      <c r="AL74" s="629">
        <f>IF(M74="","",(SIN(RADIANS((90-$Q$8)-W74))*AD74)+(COS(RADIANS((90-$Q$8)-W74))*AE74))</f>
        <v>1.7158896708799332E-2</v>
      </c>
      <c r="AM74" s="634">
        <f>IF(M74="","",AF74)</f>
        <v>-0.25842830505633929</v>
      </c>
      <c r="AN74" s="581">
        <f>IF(M74="","",DEGREES(ATAN2(-AM74,AL74)))</f>
        <v>3.7986993459501814</v>
      </c>
      <c r="AO74" s="582">
        <f t="shared" si="461"/>
        <v>15.010575538125659</v>
      </c>
      <c r="AP74" s="585">
        <f>IF(M74="","",DEGREES(ATAN2(AK74,AL74)))</f>
        <v>1.0177568171554252</v>
      </c>
      <c r="AQ74" s="586">
        <f t="shared" si="471"/>
        <v>0.80533089297012128</v>
      </c>
      <c r="AS74" s="52">
        <f t="shared" si="406"/>
        <v>-240.02101732282182</v>
      </c>
      <c r="AT74" s="72">
        <f t="shared" si="472"/>
        <v>2.2080825914822022E-2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7.1130000000000004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-3.1423139057073413</v>
      </c>
      <c r="C75" s="708">
        <v>-1.7858069899524298</v>
      </c>
      <c r="D75" s="709">
        <v>-0.17600053081760095</v>
      </c>
      <c r="E75" s="710">
        <v>0.40678791278101406</v>
      </c>
      <c r="F75" s="708">
        <v>-0.87881082179440806</v>
      </c>
      <c r="G75" s="711">
        <v>0.2494296163495891</v>
      </c>
      <c r="H75" s="710">
        <v>0.314</v>
      </c>
      <c r="I75" s="708">
        <v>0.52</v>
      </c>
      <c r="J75" s="570">
        <v>7.1189999999999998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7.1189999999999998</v>
      </c>
      <c r="N75" s="632">
        <f t="shared" si="465"/>
        <v>-3.1423139057073413</v>
      </c>
      <c r="O75" s="629">
        <f t="shared" si="466"/>
        <v>-1.7858069899524298</v>
      </c>
      <c r="P75" s="633">
        <f t="shared" si="467"/>
        <v>-0.17600053081760095</v>
      </c>
      <c r="Q75" s="585">
        <f t="shared" si="520"/>
        <v>209.60998273045516</v>
      </c>
      <c r="R75" s="629">
        <f>IF(M75="","",SQRT(N75^2+O75^2))</f>
        <v>3.6143109007616769</v>
      </c>
      <c r="S75" s="634">
        <f>IF(M75="","",P75)</f>
        <v>-0.17600053081760095</v>
      </c>
      <c r="T75" s="635">
        <f>IF(M75="","",X75*COS(RADIANS(W75)))</f>
        <v>-1.7858069899524296</v>
      </c>
      <c r="U75" s="629">
        <f>IF(M75="","",X75*SIN(RADIANS(W75)))</f>
        <v>3.1423139057073413</v>
      </c>
      <c r="V75" s="636">
        <f>IF(M75="","",Y75)</f>
        <v>-0.17600053081760095</v>
      </c>
      <c r="W75" s="585">
        <f t="shared" si="224"/>
        <v>119.60998273045516</v>
      </c>
      <c r="X75" s="629">
        <f>IF(M75="","",R75)</f>
        <v>3.6143109007616769</v>
      </c>
      <c r="Y75" s="630">
        <f t="shared" si="223"/>
        <v>-0.17600053081760095</v>
      </c>
      <c r="Z75" s="632">
        <f t="shared" si="468"/>
        <v>-0.40678791278101406</v>
      </c>
      <c r="AA75" s="629">
        <f t="shared" si="469"/>
        <v>0.87881082179440806</v>
      </c>
      <c r="AB75" s="629">
        <f t="shared" si="470"/>
        <v>-0.2494296163495891</v>
      </c>
      <c r="AC75" s="636">
        <f>IF(M75="","",SQRT(Z75^2+AA75^2+AB75^2))</f>
        <v>1</v>
      </c>
      <c r="AD75" s="637">
        <f>IF(M75="","",Z75*(1/SQRT(Z75^2+AA75^2+AB75^2)))</f>
        <v>-0.40678791278101406</v>
      </c>
      <c r="AE75" s="629">
        <f>IF(M75="","",AA75*(1/SQRT(Z75^2+AA75^2+AB75^2)))</f>
        <v>0.87881082179440806</v>
      </c>
      <c r="AF75" s="633">
        <f>IF(M75="","",AB75*(1/SQRT(Z75^2+AA75^2+AB75^2)))</f>
        <v>-0.2494296163495891</v>
      </c>
      <c r="AG75" s="602">
        <f>IF(M75="","",DEGREES(ATAN2(-AF75,AE75)))</f>
        <v>74.1546639238381</v>
      </c>
      <c r="AH75" s="603">
        <f>IF(M75="","",DEGREES(ACOS(AD75)))</f>
        <v>114.00321557553991</v>
      </c>
      <c r="AI75" s="585">
        <f>IF(M75="","",DEGREES(-ACOS(-AF75)))</f>
        <v>-75.556237603132089</v>
      </c>
      <c r="AJ75" s="586">
        <f>IF(M75="","",DEGREES(ATAN2(-AE75,AD75)))</f>
        <v>-155.16131284672119</v>
      </c>
      <c r="AK75" s="635">
        <f>IF(M75="","",(COS(RADIANS((90-$Q$8)-W75))*AD75)+(-SIN(RADIANS((90-$Q$8)-W75))*AE75))</f>
        <v>0.96503711486140076</v>
      </c>
      <c r="AL75" s="629">
        <f>IF(M75="","",(SIN(RADIANS((90-$Q$8)-W75))*AD75)+(COS(RADIANS((90-$Q$8)-W75))*AE75))</f>
        <v>-8.054957124454748E-2</v>
      </c>
      <c r="AM75" s="634">
        <f>IF(M75="","",AF75)</f>
        <v>-0.2494296163495891</v>
      </c>
      <c r="AN75" s="581">
        <f>IF(M75="","",DEGREES(ATAN2(-AM75,AL75)))</f>
        <v>-17.897087915313893</v>
      </c>
      <c r="AO75" s="582">
        <f t="shared" si="461"/>
        <v>15.195493207149882</v>
      </c>
      <c r="AP75" s="585">
        <f>IF(M75="","",DEGREES(ATAN2(AK75,AL75)))</f>
        <v>-4.7712955771763461</v>
      </c>
      <c r="AQ75" s="586">
        <f t="shared" si="471"/>
        <v>0.63072453016851093</v>
      </c>
      <c r="AS75" s="52">
        <f t="shared" ref="AS75:AS106" si="543">IF(G75="","",IF(AND(W75&lt;(AS74+180),W75&gt;(AS74-180)),W75,IF(W75&gt;(AS74+180),W75-360,IF(W75&lt;(AS74-180),W75+360,"Error"))))</f>
        <v>-240.39001726954484</v>
      </c>
      <c r="AT75" s="72">
        <f t="shared" si="472"/>
        <v>-9.0630188248614629E-3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7.1189999999999998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-3.8106101288360859</v>
      </c>
      <c r="C76" s="708">
        <v>-2.1129497876682013</v>
      </c>
      <c r="D76" s="709">
        <v>-0.4274012890422878</v>
      </c>
      <c r="E76" s="710">
        <v>0.32873164874112853</v>
      </c>
      <c r="F76" s="708">
        <v>-0.91951396718295875</v>
      </c>
      <c r="G76" s="711">
        <v>0.21547521266121522</v>
      </c>
      <c r="H76" s="710">
        <v>0.314</v>
      </c>
      <c r="I76" s="708">
        <v>0.52</v>
      </c>
      <c r="J76" s="570">
        <v>7.125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7.125</v>
      </c>
      <c r="N76" s="632">
        <f t="shared" si="465"/>
        <v>-3.8106101288360859</v>
      </c>
      <c r="O76" s="629">
        <f t="shared" si="466"/>
        <v>-2.1129497876682013</v>
      </c>
      <c r="P76" s="633">
        <f t="shared" si="467"/>
        <v>-0.4274012890422878</v>
      </c>
      <c r="Q76" s="585">
        <f t="shared" si="520"/>
        <v>209.00798281737318</v>
      </c>
      <c r="R76" s="629">
        <f t="shared" si="79"/>
        <v>4.3572131413548343</v>
      </c>
      <c r="S76" s="634">
        <f t="shared" si="80"/>
        <v>-0.4274012890422878</v>
      </c>
      <c r="T76" s="635">
        <f t="shared" si="81"/>
        <v>-2.1129497876682</v>
      </c>
      <c r="U76" s="629">
        <f t="shared" si="82"/>
        <v>3.8106101288360863</v>
      </c>
      <c r="V76" s="636">
        <f t="shared" si="114"/>
        <v>-0.4274012890422878</v>
      </c>
      <c r="W76" s="585">
        <f t="shared" si="224"/>
        <v>119.00798281737318</v>
      </c>
      <c r="X76" s="629">
        <f t="shared" si="83"/>
        <v>4.3572131413548343</v>
      </c>
      <c r="Y76" s="630">
        <f t="shared" ref="Y76:Y129" si="644">IF(M76="","",S76)</f>
        <v>-0.4274012890422878</v>
      </c>
      <c r="Z76" s="632">
        <f t="shared" si="468"/>
        <v>-0.32873164874112853</v>
      </c>
      <c r="AA76" s="629">
        <f t="shared" si="469"/>
        <v>0.91951396718295875</v>
      </c>
      <c r="AB76" s="629">
        <f t="shared" si="470"/>
        <v>-0.21547521266121522</v>
      </c>
      <c r="AC76" s="636">
        <f t="shared" si="84"/>
        <v>1</v>
      </c>
      <c r="AD76" s="637">
        <f t="shared" si="115"/>
        <v>-0.32873164874112853</v>
      </c>
      <c r="AE76" s="629">
        <f t="shared" si="85"/>
        <v>0.91951396718295875</v>
      </c>
      <c r="AF76" s="633">
        <f t="shared" si="86"/>
        <v>-0.21547521266121522</v>
      </c>
      <c r="AG76" s="602">
        <f t="shared" si="87"/>
        <v>76.811508216062251</v>
      </c>
      <c r="AH76" s="603">
        <f t="shared" si="88"/>
        <v>109.19180980882612</v>
      </c>
      <c r="AI76" s="585">
        <f t="shared" si="89"/>
        <v>-77.55659152803716</v>
      </c>
      <c r="AJ76" s="586">
        <f t="shared" si="90"/>
        <v>-160.32773136066416</v>
      </c>
      <c r="AK76" s="635">
        <f t="shared" si="211"/>
        <v>0.96357524136529504</v>
      </c>
      <c r="AL76" s="629">
        <f t="shared" si="91"/>
        <v>-0.15840829194337486</v>
      </c>
      <c r="AM76" s="634">
        <f t="shared" si="92"/>
        <v>-0.21547521266121522</v>
      </c>
      <c r="AN76" s="581">
        <f t="shared" si="93"/>
        <v>-36.321757574334143</v>
      </c>
      <c r="AO76" s="582">
        <f t="shared" si="461"/>
        <v>15.511832986749171</v>
      </c>
      <c r="AP76" s="585">
        <f t="shared" si="95"/>
        <v>-9.3357141780373194</v>
      </c>
      <c r="AQ76" s="586">
        <f t="shared" si="471"/>
        <v>0.52319296624124167</v>
      </c>
      <c r="AS76" s="52">
        <f t="shared" si="543"/>
        <v>-240.99201718262682</v>
      </c>
      <c r="AT76" s="72">
        <f t="shared" si="472"/>
        <v>-0.26004572155435246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7.125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-4.3983676919122665</v>
      </c>
      <c r="C77" s="708">
        <v>-2.3756080466018763</v>
      </c>
      <c r="D77" s="709">
        <v>-0.8782026486591884</v>
      </c>
      <c r="E77" s="710">
        <v>0.25369048672526484</v>
      </c>
      <c r="F77" s="708">
        <v>-0.95096253029909383</v>
      </c>
      <c r="G77" s="711">
        <v>0.17695028373032737</v>
      </c>
      <c r="H77" s="710">
        <v>0.314</v>
      </c>
      <c r="I77" s="708">
        <v>0.52</v>
      </c>
      <c r="J77" s="570">
        <v>7.1310000000000002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7.1310000000000002</v>
      </c>
      <c r="N77" s="632">
        <f t="shared" si="465"/>
        <v>-4.3983676919122665</v>
      </c>
      <c r="O77" s="629">
        <f t="shared" si="466"/>
        <v>-2.3756080466018763</v>
      </c>
      <c r="P77" s="633">
        <f t="shared" si="467"/>
        <v>-0.8782026486591884</v>
      </c>
      <c r="Q77" s="585">
        <f t="shared" si="520"/>
        <v>208.37398290891147</v>
      </c>
      <c r="R77" s="629">
        <f t="shared" si="79"/>
        <v>4.9989150767278714</v>
      </c>
      <c r="S77" s="634">
        <f t="shared" si="80"/>
        <v>-0.8782026486591884</v>
      </c>
      <c r="T77" s="635">
        <f t="shared" si="81"/>
        <v>-2.3756080466018772</v>
      </c>
      <c r="U77" s="629">
        <f t="shared" si="82"/>
        <v>4.3983676919122656</v>
      </c>
      <c r="V77" s="636">
        <f t="shared" si="114"/>
        <v>-0.8782026486591884</v>
      </c>
      <c r="W77" s="585">
        <f t="shared" si="224"/>
        <v>118.37398290891147</v>
      </c>
      <c r="X77" s="629">
        <f t="shared" si="83"/>
        <v>4.9989150767278714</v>
      </c>
      <c r="Y77" s="630">
        <f t="shared" si="644"/>
        <v>-0.8782026486591884</v>
      </c>
      <c r="Z77" s="632">
        <f t="shared" si="468"/>
        <v>-0.25369048672526484</v>
      </c>
      <c r="AA77" s="629">
        <f t="shared" si="469"/>
        <v>0.95096253029909383</v>
      </c>
      <c r="AB77" s="629">
        <f t="shared" si="470"/>
        <v>-0.17695028373032737</v>
      </c>
      <c r="AC77" s="636">
        <f t="shared" si="84"/>
        <v>1</v>
      </c>
      <c r="AD77" s="637">
        <f t="shared" si="115"/>
        <v>-0.25369048672526484</v>
      </c>
      <c r="AE77" s="629">
        <f t="shared" si="85"/>
        <v>0.95096253029909383</v>
      </c>
      <c r="AF77" s="633">
        <f t="shared" si="86"/>
        <v>-0.17695028373032737</v>
      </c>
      <c r="AG77" s="602">
        <f t="shared" si="87"/>
        <v>79.459242647525798</v>
      </c>
      <c r="AH77" s="603">
        <f t="shared" si="88"/>
        <v>104.69600419296347</v>
      </c>
      <c r="AI77" s="585">
        <f t="shared" si="89"/>
        <v>-79.807827407857062</v>
      </c>
      <c r="AJ77" s="586">
        <f t="shared" si="90"/>
        <v>-165.06293101842653</v>
      </c>
      <c r="AK77" s="635">
        <f t="shared" si="211"/>
        <v>0.95727812088176079</v>
      </c>
      <c r="AL77" s="629">
        <f t="shared" si="91"/>
        <v>-0.22870766574131665</v>
      </c>
      <c r="AM77" s="634">
        <f t="shared" si="92"/>
        <v>-0.17695028373032737</v>
      </c>
      <c r="AN77" s="581">
        <f t="shared" si="93"/>
        <v>-52.271010843277097</v>
      </c>
      <c r="AO77" s="582">
        <f t="shared" si="461"/>
        <v>16.808200293843779</v>
      </c>
      <c r="AP77" s="585">
        <f t="shared" si="95"/>
        <v>-13.43691392733801</v>
      </c>
      <c r="AQ77" s="586">
        <f t="shared" si="471"/>
        <v>0.45603465074120025</v>
      </c>
      <c r="AS77" s="52">
        <f t="shared" si="543"/>
        <v>-241.62601709108853</v>
      </c>
      <c r="AT77" s="72">
        <f t="shared" si="472"/>
        <v>-0.71040680345704355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7.1310000000000002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-4.8519650894079946</v>
      </c>
      <c r="C78" s="708">
        <v>-2.5630212032463295</v>
      </c>
      <c r="D78" s="709">
        <v>-1.491904499583971</v>
      </c>
      <c r="E78" s="710">
        <v>0.16643041792554761</v>
      </c>
      <c r="F78" s="708">
        <v>-0.97535918710037972</v>
      </c>
      <c r="G78" s="711">
        <v>0.14482876830248195</v>
      </c>
      <c r="H78" s="710">
        <v>0.314</v>
      </c>
      <c r="I78" s="708">
        <v>0.52</v>
      </c>
      <c r="J78" s="570">
        <v>7.1369999999999996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7.1369999999999996</v>
      </c>
      <c r="N78" s="632">
        <f t="shared" si="465"/>
        <v>-4.8519650894079946</v>
      </c>
      <c r="O78" s="629">
        <f t="shared" si="466"/>
        <v>-2.5630212032463295</v>
      </c>
      <c r="P78" s="633">
        <f t="shared" si="467"/>
        <v>-1.491904499583971</v>
      </c>
      <c r="Q78" s="585">
        <f t="shared" si="520"/>
        <v>207.84498298528959</v>
      </c>
      <c r="R78" s="629">
        <f>IF(M78="","",SQRT(N78^2+O78^2))</f>
        <v>5.4873165497467147</v>
      </c>
      <c r="S78" s="634">
        <f>IF(M78="","",P78)</f>
        <v>-1.491904499583971</v>
      </c>
      <c r="T78" s="635">
        <f>IF(M78="","",X78*COS(RADIANS(W78)))</f>
        <v>-2.5630212032463282</v>
      </c>
      <c r="U78" s="629">
        <f>IF(M78="","",X78*SIN(RADIANS(W78)))</f>
        <v>4.8519650894079955</v>
      </c>
      <c r="V78" s="636">
        <f>IF(M78="","",Y78)</f>
        <v>-1.491904499583971</v>
      </c>
      <c r="W78" s="585">
        <f t="shared" si="224"/>
        <v>117.84498298528959</v>
      </c>
      <c r="X78" s="629">
        <f>IF(M78="","",R78)</f>
        <v>5.4873165497467147</v>
      </c>
      <c r="Y78" s="630">
        <f t="shared" si="644"/>
        <v>-1.491904499583971</v>
      </c>
      <c r="Z78" s="632">
        <f t="shared" si="468"/>
        <v>-0.16643041792554761</v>
      </c>
      <c r="AA78" s="629">
        <f t="shared" si="469"/>
        <v>0.97535918710037972</v>
      </c>
      <c r="AB78" s="629">
        <f t="shared" si="470"/>
        <v>-0.14482876830248195</v>
      </c>
      <c r="AC78" s="636">
        <f>IF(M78="","",SQRT(Z78^2+AA78^2+AB78^2))</f>
        <v>1</v>
      </c>
      <c r="AD78" s="637">
        <f>IF(M78="","",Z78*(1/SQRT(Z78^2+AA78^2+AB78^2)))</f>
        <v>-0.16643041792554761</v>
      </c>
      <c r="AE78" s="629">
        <f>IF(M78="","",AA78*(1/SQRT(Z78^2+AA78^2+AB78^2)))</f>
        <v>0.97535918710037972</v>
      </c>
      <c r="AF78" s="633">
        <f>IF(M78="","",AB78*(1/SQRT(Z78^2+AA78^2+AB78^2)))</f>
        <v>-0.14482876830248195</v>
      </c>
      <c r="AG78" s="602">
        <f>IF(M78="","",DEGREES(ATAN2(-AF78,AE78)))</f>
        <v>81.553999108206597</v>
      </c>
      <c r="AH78" s="603">
        <f>IF(M78="","",DEGREES(ACOS(AD78)))</f>
        <v>99.580340438546642</v>
      </c>
      <c r="AI78" s="585">
        <f>IF(M78="","",DEGREES(-ACOS(-AF78)))</f>
        <v>-81.672636330956834</v>
      </c>
      <c r="AJ78" s="586">
        <f>IF(M78="","",DEGREES(ATAN2(-AE78,AD78)))</f>
        <v>-170.31659733450491</v>
      </c>
      <c r="AK78" s="635">
        <f>IF(M78="","",(COS(RADIANS((90-$Q$8)-W78))*AD78)+(-SIN(RADIANS((90-$Q$8)-W78))*AE78))</f>
        <v>0.94016325988899974</v>
      </c>
      <c r="AL78" s="629">
        <f>IF(M78="","",(SIN(RADIANS((90-$Q$8)-W78))*AD78)+(COS(RADIANS((90-$Q$8)-W78))*AE78))</f>
        <v>-0.30841153128064974</v>
      </c>
      <c r="AM78" s="634">
        <f>IF(M78="","",AF78)</f>
        <v>-0.14482876830248195</v>
      </c>
      <c r="AN78" s="581">
        <f>IF(M78="","",DEGREES(ATAN2(-AM78,AL78)))</f>
        <v>-64.845445882589075</v>
      </c>
      <c r="AO78" s="582">
        <f t="shared" si="461"/>
        <v>19.921008129771426</v>
      </c>
      <c r="AP78" s="585">
        <f>IF(M78="","",DEGREES(ATAN2(AK78,AL78)))</f>
        <v>-18.161580319794489</v>
      </c>
      <c r="AQ78" s="586">
        <f t="shared" si="471"/>
        <v>0.4154465408378451</v>
      </c>
      <c r="AS78" s="52">
        <f t="shared" si="543"/>
        <v>-242.15501701471041</v>
      </c>
      <c r="AT78" s="72">
        <f t="shared" si="472"/>
        <v>-1.3237412933237553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7.1369999999999996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-5.1287323847887016</v>
      </c>
      <c r="C79" s="708">
        <v>-2.6710987602369713</v>
      </c>
      <c r="D79" s="709">
        <v>-2.2185066910161804</v>
      </c>
      <c r="E79" s="710">
        <v>4.3322130735025763E-2</v>
      </c>
      <c r="F79" s="708">
        <v>-0.9924771687001126</v>
      </c>
      <c r="G79" s="711">
        <v>0.11450878829847778</v>
      </c>
      <c r="H79" s="710">
        <v>0.314</v>
      </c>
      <c r="I79" s="708">
        <v>0.52</v>
      </c>
      <c r="J79" s="570">
        <v>7.1429999999999998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7.1429999999999998</v>
      </c>
      <c r="N79" s="632">
        <f t="shared" si="465"/>
        <v>-5.1287323847887016</v>
      </c>
      <c r="O79" s="629">
        <f t="shared" si="466"/>
        <v>-2.6710987602369713</v>
      </c>
      <c r="P79" s="633">
        <f t="shared" si="467"/>
        <v>-2.2185066910161804</v>
      </c>
      <c r="Q79" s="585">
        <f t="shared" si="520"/>
        <v>207.51098303351321</v>
      </c>
      <c r="R79" s="629">
        <f>IF(M79="","",SQRT(N79^2+O79^2))</f>
        <v>5.7826174403742021</v>
      </c>
      <c r="S79" s="634">
        <f>IF(M79="","",P79)</f>
        <v>-2.2185066910161804</v>
      </c>
      <c r="T79" s="635">
        <f>IF(M79="","",X79*COS(RADIANS(W79)))</f>
        <v>-2.6710987602369705</v>
      </c>
      <c r="U79" s="629">
        <f>IF(M79="","",X79*SIN(RADIANS(W79)))</f>
        <v>5.1287323847887025</v>
      </c>
      <c r="V79" s="636">
        <f>IF(M79="","",Y79)</f>
        <v>-2.2185066910161804</v>
      </c>
      <c r="W79" s="585">
        <f t="shared" ref="W79:W129" si="645">IF(M79="","",IF(Q79-$Q$8&lt;0,360+Q79-$Q$8,Q79-$Q$8))</f>
        <v>117.51098303351321</v>
      </c>
      <c r="X79" s="629">
        <f>IF(M79="","",R79)</f>
        <v>5.7826174403742021</v>
      </c>
      <c r="Y79" s="630">
        <f t="shared" si="644"/>
        <v>-2.2185066910161804</v>
      </c>
      <c r="Z79" s="632">
        <f t="shared" si="468"/>
        <v>-4.3322130735025763E-2</v>
      </c>
      <c r="AA79" s="629">
        <f t="shared" si="469"/>
        <v>0.9924771687001126</v>
      </c>
      <c r="AB79" s="629">
        <f t="shared" si="470"/>
        <v>-0.11450878829847778</v>
      </c>
      <c r="AC79" s="636">
        <f>IF(M79="","",SQRT(Z79^2+AA79^2+AB79^2))</f>
        <v>1</v>
      </c>
      <c r="AD79" s="637">
        <f>IF(M79="","",Z79*(1/SQRT(Z79^2+AA79^2+AB79^2)))</f>
        <v>-4.3322130735025763E-2</v>
      </c>
      <c r="AE79" s="629">
        <f>IF(M79="","",AA79*(1/SQRT(Z79^2+AA79^2+AB79^2)))</f>
        <v>0.9924771687001126</v>
      </c>
      <c r="AF79" s="633">
        <f>IF(M79="","",AB79*(1/SQRT(Z79^2+AA79^2+AB79^2)))</f>
        <v>-0.11450878829847778</v>
      </c>
      <c r="AG79" s="602">
        <f>IF(M79="","",DEGREES(ATAN2(-AF79,AE79)))</f>
        <v>83.418500184411613</v>
      </c>
      <c r="AH79" s="603">
        <f>IF(M79="","",DEGREES(ACOS(AD79)))</f>
        <v>92.482952334425349</v>
      </c>
      <c r="AI79" s="585">
        <f>IF(M79="","",DEGREES(-ACOS(-AF79)))</f>
        <v>-83.424706469918803</v>
      </c>
      <c r="AJ79" s="586">
        <f>IF(M79="","",DEGREES(ATAN2(-AE79,AD79)))</f>
        <v>-177.50059684594763</v>
      </c>
      <c r="AK79" s="635">
        <f>IF(M79="","",(COS(RADIANS((90-$Q$8)-W79))*AD79)+(-SIN(RADIANS((90-$Q$8)-W79))*AE79))</f>
        <v>0.90026143691012339</v>
      </c>
      <c r="AL79" s="629">
        <f>IF(M79="","",(SIN(RADIANS((90-$Q$8)-W79))*AD79)+(COS(RADIANS((90-$Q$8)-W79))*AE79))</f>
        <v>-0.42002033595402777</v>
      </c>
      <c r="AM79" s="634">
        <f>IF(M79="","",AF79)</f>
        <v>-0.11450878829847778</v>
      </c>
      <c r="AN79" s="581">
        <f>IF(M79="","",DEGREES(ATAN2(-AM79,AL79)))</f>
        <v>-74.750241060395069</v>
      </c>
      <c r="AO79" s="582">
        <f t="shared" si="461"/>
        <v>25.807546742320614</v>
      </c>
      <c r="AP79" s="585">
        <f>IF(M79="","",DEGREES(ATAN2(AK79,AL79)))</f>
        <v>-25.011579879460832</v>
      </c>
      <c r="AQ79" s="586">
        <f t="shared" si="471"/>
        <v>0.39423162241391602</v>
      </c>
      <c r="AS79" s="52">
        <f t="shared" si="543"/>
        <v>-242.48901696648679</v>
      </c>
      <c r="AT79" s="72">
        <f t="shared" si="472"/>
        <v>-2.050111540345009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7.1429999999999998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-5.2047436163129177</v>
      </c>
      <c r="C80" s="708">
        <v>-2.6998403932852417</v>
      </c>
      <c r="D80" s="709">
        <v>-2.9989090447096789</v>
      </c>
      <c r="E80" s="710">
        <v>-5.5788331653199387E-2</v>
      </c>
      <c r="F80" s="708">
        <v>-0.99775701897244595</v>
      </c>
      <c r="G80" s="711">
        <v>3.6994501518075568E-2</v>
      </c>
      <c r="H80" s="710">
        <v>0.314</v>
      </c>
      <c r="I80" s="708">
        <v>0.52</v>
      </c>
      <c r="J80" s="570">
        <v>7.149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7.149</v>
      </c>
      <c r="N80" s="632">
        <f t="shared" si="465"/>
        <v>-5.2047436163129177</v>
      </c>
      <c r="O80" s="629">
        <f t="shared" si="466"/>
        <v>-2.6998403932852417</v>
      </c>
      <c r="P80" s="633">
        <f t="shared" si="467"/>
        <v>-2.9989090447096789</v>
      </c>
      <c r="Q80" s="585">
        <f t="shared" si="520"/>
        <v>207.41698304708513</v>
      </c>
      <c r="R80" s="629">
        <f t="shared" si="79"/>
        <v>5.8633176837661347</v>
      </c>
      <c r="S80" s="634">
        <f t="shared" si="80"/>
        <v>-2.9989090447096789</v>
      </c>
      <c r="T80" s="635">
        <f t="shared" si="81"/>
        <v>-2.6998403932852413</v>
      </c>
      <c r="U80" s="629">
        <f t="shared" si="82"/>
        <v>5.2047436163129177</v>
      </c>
      <c r="V80" s="636">
        <f t="shared" si="114"/>
        <v>-2.9989090447096789</v>
      </c>
      <c r="W80" s="585">
        <f t="shared" si="645"/>
        <v>117.41698304708513</v>
      </c>
      <c r="X80" s="629">
        <f t="shared" si="83"/>
        <v>5.8633176837661347</v>
      </c>
      <c r="Y80" s="630">
        <f t="shared" si="644"/>
        <v>-2.9989090447096789</v>
      </c>
      <c r="Z80" s="632">
        <f t="shared" si="468"/>
        <v>5.5788331653199387E-2</v>
      </c>
      <c r="AA80" s="629">
        <f t="shared" si="469"/>
        <v>0.99775701897244595</v>
      </c>
      <c r="AB80" s="629">
        <f t="shared" si="470"/>
        <v>-3.6994501518075568E-2</v>
      </c>
      <c r="AC80" s="636">
        <f t="shared" si="84"/>
        <v>1</v>
      </c>
      <c r="AD80" s="637">
        <f t="shared" si="115"/>
        <v>5.5788331653199387E-2</v>
      </c>
      <c r="AE80" s="629">
        <f t="shared" si="85"/>
        <v>0.99775701897244595</v>
      </c>
      <c r="AF80" s="633">
        <f t="shared" si="86"/>
        <v>-3.6994501518075568E-2</v>
      </c>
      <c r="AG80" s="602">
        <f t="shared" si="87"/>
        <v>87.876578926473869</v>
      </c>
      <c r="AH80" s="603">
        <f t="shared" si="88"/>
        <v>86.801903658860411</v>
      </c>
      <c r="AI80" s="585">
        <f t="shared" si="89"/>
        <v>-87.879887414911551</v>
      </c>
      <c r="AJ80" s="586">
        <f t="shared" si="90"/>
        <v>176.79971068334095</v>
      </c>
      <c r="AK80" s="635">
        <f t="shared" si="211"/>
        <v>0.85999943305443916</v>
      </c>
      <c r="AL80" s="629">
        <f t="shared" si="91"/>
        <v>-0.50895223941296541</v>
      </c>
      <c r="AM80" s="634">
        <f t="shared" si="92"/>
        <v>-3.6994501518075568E-2</v>
      </c>
      <c r="AN80" s="581">
        <f t="shared" si="93"/>
        <v>-85.842620544027724</v>
      </c>
      <c r="AO80" s="582">
        <f t="shared" si="461"/>
        <v>30.683480765525463</v>
      </c>
      <c r="AP80" s="585">
        <f t="shared" si="95"/>
        <v>-30.617272363744199</v>
      </c>
      <c r="AQ80" s="586">
        <f t="shared" si="471"/>
        <v>0.38880575158356173</v>
      </c>
      <c r="AS80" s="52">
        <f t="shared" si="543"/>
        <v>-242.58301695291487</v>
      </c>
      <c r="AT80" s="72">
        <f t="shared" si="472"/>
        <v>-2.8304486162701545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7.149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-5.2365943587506081</v>
      </c>
      <c r="C81" s="708">
        <v>-2.7118402792948535</v>
      </c>
      <c r="D81" s="709">
        <v>-3.766811360703064</v>
      </c>
      <c r="E81" s="710">
        <v>-0.13263718569697472</v>
      </c>
      <c r="F81" s="708">
        <v>-0.99116465684081445</v>
      </c>
      <c r="G81" s="711">
        <v>1.3008419238679272E-7</v>
      </c>
      <c r="H81" s="710">
        <v>0.314</v>
      </c>
      <c r="I81" s="708">
        <v>0.52</v>
      </c>
      <c r="J81" s="570">
        <v>7.1550000000000002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7.1550000000000002</v>
      </c>
      <c r="N81" s="632">
        <f t="shared" si="465"/>
        <v>-5.2365943587506081</v>
      </c>
      <c r="O81" s="629">
        <f t="shared" si="466"/>
        <v>-2.7118402792948535</v>
      </c>
      <c r="P81" s="633">
        <f t="shared" si="467"/>
        <v>-3.766811360703064</v>
      </c>
      <c r="Q81" s="585">
        <f t="shared" si="520"/>
        <v>207.37798305271605</v>
      </c>
      <c r="R81" s="629">
        <f t="shared" si="79"/>
        <v>5.8971177857072412</v>
      </c>
      <c r="S81" s="634">
        <f t="shared" si="80"/>
        <v>-3.766811360703064</v>
      </c>
      <c r="T81" s="635">
        <f t="shared" si="81"/>
        <v>-2.7118402792948535</v>
      </c>
      <c r="U81" s="629">
        <f t="shared" si="82"/>
        <v>5.2365943587506072</v>
      </c>
      <c r="V81" s="636">
        <f t="shared" si="114"/>
        <v>-3.766811360703064</v>
      </c>
      <c r="W81" s="585">
        <f t="shared" si="645"/>
        <v>117.37798305271605</v>
      </c>
      <c r="X81" s="629">
        <f t="shared" si="83"/>
        <v>5.8971177857072412</v>
      </c>
      <c r="Y81" s="630">
        <f t="shared" si="644"/>
        <v>-3.766811360703064</v>
      </c>
      <c r="Z81" s="632">
        <f t="shared" si="468"/>
        <v>0.13263718569697472</v>
      </c>
      <c r="AA81" s="629">
        <f t="shared" si="469"/>
        <v>0.99116465684081445</v>
      </c>
      <c r="AB81" s="629">
        <f t="shared" si="470"/>
        <v>-1.3008419238679272E-7</v>
      </c>
      <c r="AC81" s="636">
        <f t="shared" si="84"/>
        <v>1</v>
      </c>
      <c r="AD81" s="637">
        <f t="shared" si="115"/>
        <v>0.13263718569697472</v>
      </c>
      <c r="AE81" s="629">
        <f t="shared" si="85"/>
        <v>0.99116465684081445</v>
      </c>
      <c r="AF81" s="633">
        <f t="shared" si="86"/>
        <v>-1.3008419238679272E-7</v>
      </c>
      <c r="AG81" s="602">
        <f t="shared" si="87"/>
        <v>89.999992480285542</v>
      </c>
      <c r="AH81" s="603">
        <f t="shared" si="88"/>
        <v>82.377988106090839</v>
      </c>
      <c r="AI81" s="585">
        <f t="shared" si="89"/>
        <v>-89.999992546724798</v>
      </c>
      <c r="AJ81" s="586">
        <f t="shared" si="90"/>
        <v>172.37798810609075</v>
      </c>
      <c r="AK81" s="635">
        <f t="shared" si="211"/>
        <v>0.81915209487729179</v>
      </c>
      <c r="AL81" s="629">
        <f t="shared" si="91"/>
        <v>-0.57357636410344481</v>
      </c>
      <c r="AM81" s="634">
        <f t="shared" si="92"/>
        <v>-1.3008419238679272E-7</v>
      </c>
      <c r="AN81" s="581">
        <f t="shared" si="93"/>
        <v>-89.999987005609597</v>
      </c>
      <c r="AO81" s="582">
        <f t="shared" si="461"/>
        <v>34.999994946625968</v>
      </c>
      <c r="AP81" s="585">
        <f t="shared" si="95"/>
        <v>-34.999994946625293</v>
      </c>
      <c r="AQ81" s="586">
        <f t="shared" si="471"/>
        <v>0.38657732838746767</v>
      </c>
      <c r="AS81" s="52">
        <f t="shared" si="543"/>
        <v>-242.62201694728395</v>
      </c>
      <c r="AT81" s="72">
        <f t="shared" si="472"/>
        <v>-3.5983238489341169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7.1550000000000002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-2.0871206548754615</v>
      </c>
      <c r="C82" s="708">
        <v>6.329377655836621E-2</v>
      </c>
      <c r="D82" s="709">
        <v>-0.31220228296447933</v>
      </c>
      <c r="E82" s="710">
        <v>-6.8745950618305268E-9</v>
      </c>
      <c r="F82" s="708">
        <v>-2.2669068157467687E-7</v>
      </c>
      <c r="G82" s="711">
        <v>0.99999999999997435</v>
      </c>
      <c r="H82" s="710">
        <v>0.25700000000000001</v>
      </c>
      <c r="I82" s="708">
        <v>0.41499999999999992</v>
      </c>
      <c r="J82" s="570">
        <v>7.2080000000000002</v>
      </c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CPS-32193r1</v>
      </c>
      <c r="L82" s="320"/>
      <c r="M82" s="168">
        <f t="shared" si="464"/>
        <v>7.2080000000000002</v>
      </c>
      <c r="N82" s="632">
        <f t="shared" si="465"/>
        <v>-2.0871206548754615</v>
      </c>
      <c r="O82" s="629">
        <f t="shared" si="466"/>
        <v>6.329377655836621E-2</v>
      </c>
      <c r="P82" s="633">
        <f t="shared" si="467"/>
        <v>-0.31220228296447933</v>
      </c>
      <c r="Q82" s="585">
        <f t="shared" si="520"/>
        <v>178.26298725640135</v>
      </c>
      <c r="R82" s="629">
        <f t="shared" si="79"/>
        <v>2.0880801541508878</v>
      </c>
      <c r="S82" s="634">
        <f t="shared" si="80"/>
        <v>-0.31220228296447933</v>
      </c>
      <c r="T82" s="635">
        <f t="shared" si="81"/>
        <v>6.3293776558366155E-2</v>
      </c>
      <c r="U82" s="629">
        <f t="shared" si="82"/>
        <v>2.0871206548754615</v>
      </c>
      <c r="V82" s="636">
        <f t="shared" si="114"/>
        <v>-0.31220228296447933</v>
      </c>
      <c r="W82" s="585">
        <f t="shared" si="645"/>
        <v>88.262987256401345</v>
      </c>
      <c r="X82" s="629">
        <f t="shared" si="83"/>
        <v>2.0880801541508878</v>
      </c>
      <c r="Y82" s="630">
        <f t="shared" si="644"/>
        <v>-0.31220228296447933</v>
      </c>
      <c r="Z82" s="632">
        <f t="shared" si="468"/>
        <v>6.8745950618305268E-9</v>
      </c>
      <c r="AA82" s="629">
        <f t="shared" si="469"/>
        <v>2.2669068157467687E-7</v>
      </c>
      <c r="AB82" s="629">
        <f t="shared" si="470"/>
        <v>-0.99999999999997435</v>
      </c>
      <c r="AC82" s="636">
        <f t="shared" si="84"/>
        <v>1</v>
      </c>
      <c r="AD82" s="637">
        <f t="shared" si="115"/>
        <v>6.8745950618305268E-9</v>
      </c>
      <c r="AE82" s="629">
        <f t="shared" si="85"/>
        <v>2.2669068157467687E-7</v>
      </c>
      <c r="AF82" s="633">
        <f t="shared" si="86"/>
        <v>-0.99999999999997435</v>
      </c>
      <c r="AG82" s="602">
        <f t="shared" si="87"/>
        <v>1.2988419309173151E-5</v>
      </c>
      <c r="AH82" s="603">
        <f t="shared" si="88"/>
        <v>89.999999606114713</v>
      </c>
      <c r="AI82" s="585">
        <f t="shared" si="89"/>
        <v>-1.2976235990044085E-5</v>
      </c>
      <c r="AJ82" s="586">
        <f t="shared" si="90"/>
        <v>178.26298725640135</v>
      </c>
      <c r="AK82" s="635">
        <f t="shared" si="211"/>
        <v>2.2679489670196657E-7</v>
      </c>
      <c r="AL82" s="629">
        <f t="shared" si="91"/>
        <v>-7.4446255129772491E-24</v>
      </c>
      <c r="AM82" s="634">
        <f t="shared" si="92"/>
        <v>-0.99999999999997435</v>
      </c>
      <c r="AN82" s="581">
        <f t="shared" si="93"/>
        <v>-4.265456219490228E-22</v>
      </c>
      <c r="AO82" s="582">
        <f t="shared" si="461"/>
        <v>0</v>
      </c>
      <c r="AP82" s="585">
        <f t="shared" si="95"/>
        <v>-1.8807549382803778E-15</v>
      </c>
      <c r="AQ82" s="586">
        <f t="shared" si="471"/>
        <v>1.091649075249933</v>
      </c>
      <c r="AS82" s="52">
        <f t="shared" si="543"/>
        <v>-271.73701274359865</v>
      </c>
      <c r="AT82" s="72">
        <f t="shared" si="472"/>
        <v>-0.12349602411475802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Nose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7.2080000000000002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7.1079999999999997</v>
      </c>
      <c r="II82" s="734" cm="1">
        <f t="array" ref="II82">IFERROR(ROUND(VALUE(IF($IH82&lt;1,$IH82+LARGE((IF($M$9:$M$150="",0,$M$9:$M$150)-MOD(IF($M$9:$M$150="",0,$M$9:$M$150),1)),1),$IH82)),4),"")</f>
        <v>7.1079999999999997</v>
      </c>
      <c r="IJ82" s="533">
        <f t="shared" si="542"/>
        <v>1613</v>
      </c>
      <c r="IK82" s="533" t="str">
        <f t="shared" si="517"/>
        <v>CPS-32193r1</v>
      </c>
      <c r="IL82" s="727">
        <f t="shared" si="647"/>
        <v>31.736995417744794</v>
      </c>
      <c r="IM82" s="759">
        <v>4.1369292006612497E-2</v>
      </c>
      <c r="IN82" s="5">
        <f t="shared" si="648"/>
        <v>0.57999999999999996</v>
      </c>
      <c r="IO82" s="771">
        <v>290</v>
      </c>
      <c r="IP82" s="9">
        <f t="shared" si="649"/>
        <v>-2.1052063493023492</v>
      </c>
      <c r="IQ82" s="5">
        <f t="shared" si="650"/>
        <v>-0.30310091415235707</v>
      </c>
      <c r="IR82" s="5">
        <f t="shared" si="518"/>
        <v>0.314</v>
      </c>
      <c r="IS82" s="5">
        <f t="shared" si="651"/>
        <v>0.30330071252667318</v>
      </c>
      <c r="IT82" s="727">
        <f t="shared" si="652"/>
        <v>-14.999997834268262</v>
      </c>
      <c r="IU82" s="9">
        <f t="shared" si="653"/>
        <v>-2.0880801541508878</v>
      </c>
      <c r="IV82" s="5">
        <f t="shared" si="654"/>
        <v>-0.31220228296447933</v>
      </c>
      <c r="IW82" s="5">
        <f t="shared" si="519"/>
        <v>0.25700000000000001</v>
      </c>
      <c r="IX82" s="5">
        <f t="shared" si="655"/>
        <v>0.25700000000000001</v>
      </c>
      <c r="IY82" s="762">
        <f t="shared" si="656"/>
        <v>4.265456219490228E-22</v>
      </c>
    </row>
    <row r="83" spans="1:259" ht="15" customHeight="1" x14ac:dyDescent="0.25">
      <c r="A83" s="79"/>
      <c r="B83" s="707">
        <v>-2.8083314115087421</v>
      </c>
      <c r="C83" s="708">
        <v>-0.26398129196000431</v>
      </c>
      <c r="D83" s="709">
        <v>-0.14576860309883863</v>
      </c>
      <c r="E83" s="710">
        <v>2.1225005469160927E-8</v>
      </c>
      <c r="F83" s="708">
        <v>-2.2579952239242442E-7</v>
      </c>
      <c r="G83" s="711">
        <v>0.99999999999997435</v>
      </c>
      <c r="H83" s="710">
        <v>0.25700000000000001</v>
      </c>
      <c r="I83" s="708">
        <v>0.41499999999999992</v>
      </c>
      <c r="J83" s="570">
        <v>7.2130000000000001</v>
      </c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CPS-32193r1</v>
      </c>
      <c r="L83" s="320"/>
      <c r="M83" s="168">
        <f t="shared" si="464"/>
        <v>7.2130000000000001</v>
      </c>
      <c r="N83" s="632">
        <f t="shared" si="465"/>
        <v>-2.8083314115087421</v>
      </c>
      <c r="O83" s="629">
        <f t="shared" si="466"/>
        <v>-0.26398129196000431</v>
      </c>
      <c r="P83" s="633">
        <f t="shared" si="467"/>
        <v>-0.14576860309883863</v>
      </c>
      <c r="Q83" s="585">
        <f t="shared" si="520"/>
        <v>185.36998623027765</v>
      </c>
      <c r="R83" s="629">
        <f t="shared" si="79"/>
        <v>2.8207111584441886</v>
      </c>
      <c r="S83" s="634">
        <f t="shared" si="80"/>
        <v>-0.14576860309883863</v>
      </c>
      <c r="T83" s="635">
        <f t="shared" si="81"/>
        <v>-0.26398129196000436</v>
      </c>
      <c r="U83" s="629">
        <f t="shared" si="82"/>
        <v>2.8083314115087421</v>
      </c>
      <c r="V83" s="636">
        <f t="shared" si="114"/>
        <v>-0.14576860309883863</v>
      </c>
      <c r="W83" s="585">
        <f t="shared" si="645"/>
        <v>95.369986230277647</v>
      </c>
      <c r="X83" s="629">
        <f t="shared" si="83"/>
        <v>2.8207111584441886</v>
      </c>
      <c r="Y83" s="630">
        <f t="shared" si="644"/>
        <v>-0.14576860309883863</v>
      </c>
      <c r="Z83" s="632">
        <f t="shared" si="468"/>
        <v>-2.1225005469160927E-8</v>
      </c>
      <c r="AA83" s="629">
        <f t="shared" si="469"/>
        <v>2.2579952239242442E-7</v>
      </c>
      <c r="AB83" s="629">
        <f t="shared" si="470"/>
        <v>-0.99999999999997435</v>
      </c>
      <c r="AC83" s="636">
        <f t="shared" si="84"/>
        <v>1</v>
      </c>
      <c r="AD83" s="637">
        <f t="shared" si="115"/>
        <v>-2.1225005469160927E-8</v>
      </c>
      <c r="AE83" s="629">
        <f t="shared" si="85"/>
        <v>2.2579952239242442E-7</v>
      </c>
      <c r="AF83" s="633">
        <f t="shared" si="86"/>
        <v>-0.99999999999997435</v>
      </c>
      <c r="AG83" s="602">
        <f t="shared" si="87"/>
        <v>1.2937359649155756E-5</v>
      </c>
      <c r="AH83" s="603">
        <f t="shared" si="88"/>
        <v>90.000001216103243</v>
      </c>
      <c r="AI83" s="585">
        <f t="shared" si="89"/>
        <v>-1.2976235990044085E-5</v>
      </c>
      <c r="AJ83" s="586">
        <f t="shared" si="90"/>
        <v>-174.63001377658424</v>
      </c>
      <c r="AK83" s="635">
        <f t="shared" si="211"/>
        <v>2.2679489670143127E-7</v>
      </c>
      <c r="AL83" s="629">
        <f t="shared" si="91"/>
        <v>-2.7161468029913727E-17</v>
      </c>
      <c r="AM83" s="634">
        <f t="shared" si="92"/>
        <v>-0.99999999999997435</v>
      </c>
      <c r="AN83" s="581">
        <f t="shared" si="93"/>
        <v>-1.5562374834936114E-15</v>
      </c>
      <c r="AO83" s="582">
        <f t="shared" si="461"/>
        <v>0</v>
      </c>
      <c r="AP83" s="585">
        <f t="shared" si="95"/>
        <v>-6.8618717005008787E-9</v>
      </c>
      <c r="AQ83" s="586">
        <f t="shared" si="471"/>
        <v>0.80815628311678789</v>
      </c>
      <c r="AS83" s="52">
        <f t="shared" si="543"/>
        <v>-264.63001376972238</v>
      </c>
      <c r="AT83" s="72">
        <f t="shared" si="472"/>
        <v>3.8002239796801923E-2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Nose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7.2130000000000001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7.1130000000000004</v>
      </c>
      <c r="II83" s="734" cm="1">
        <f t="array" ref="II83">IFERROR(ROUND(VALUE(IF($IH83&lt;1,$IH83+LARGE((IF($M$9:$M$150="",0,$M$9:$M$150)-MOD(IF($M$9:$M$150="",0,$M$9:$M$150),1)),1),$IH83)),4),"")</f>
        <v>7.1130000000000004</v>
      </c>
      <c r="IJ83" s="533">
        <f t="shared" si="542"/>
        <v>1613</v>
      </c>
      <c r="IK83" s="533" t="str">
        <f>IF(ISNUMBER($II83),INDEX($K$9:$K$150,MATCH($IG83,$M$9:$M$150,0)),"")</f>
        <v>CPS-32193r1</v>
      </c>
      <c r="IL83" s="727">
        <f>IF(ISNUMBER($II83),IFERROR(IF(INDEX($W$9:$W$150,MATCH($II83,$M$9:$M$150,0))&lt;$W83,((INDEX($W$9:$W$150,MATCH($II83,$M$9:$M$150,0))+360)-$W83),INDEX($W$9:$W$150,MATCH($II83,$M$9:$M$150,0))-$W83),""),"")</f>
        <v>24.608996446900534</v>
      </c>
      <c r="IM83" s="759">
        <v>4.4457287840725897E-2</v>
      </c>
      <c r="IN83" s="5">
        <f t="shared" si="648"/>
        <v>0.66</v>
      </c>
      <c r="IO83" s="771">
        <v>330</v>
      </c>
      <c r="IP83" s="9">
        <f t="shared" si="649"/>
        <v>-2.830608537115348</v>
      </c>
      <c r="IQ83" s="5">
        <f t="shared" si="650"/>
        <v>-0.14460043611491535</v>
      </c>
      <c r="IR83" s="5">
        <f t="shared" si="518"/>
        <v>0.314</v>
      </c>
      <c r="IS83" s="5">
        <f t="shared" si="651"/>
        <v>0.3032857037887503</v>
      </c>
      <c r="IT83" s="727">
        <f t="shared" si="652"/>
        <v>-3.7986993459501814</v>
      </c>
      <c r="IU83" s="9">
        <f t="shared" si="653"/>
        <v>-2.8207111584441886</v>
      </c>
      <c r="IV83" s="5">
        <f t="shared" si="654"/>
        <v>-0.14576860309883863</v>
      </c>
      <c r="IW83" s="5">
        <f t="shared" si="519"/>
        <v>0.25700000000000001</v>
      </c>
      <c r="IX83" s="5">
        <f t="shared" si="655"/>
        <v>0.25700000000000001</v>
      </c>
      <c r="IY83" s="762">
        <f t="shared" si="656"/>
        <v>1.5562374834936114E-15</v>
      </c>
    </row>
    <row r="84" spans="1:259" ht="15" customHeight="1" x14ac:dyDescent="0.25">
      <c r="A84" s="79"/>
      <c r="B84" s="707">
        <v>-4.3515608093578315</v>
      </c>
      <c r="C84" s="708">
        <v>7.5349976639559613E-2</v>
      </c>
      <c r="D84" s="709">
        <v>-0.45515137273654016</v>
      </c>
      <c r="E84" s="710">
        <v>-0.17506695212731949</v>
      </c>
      <c r="F84" s="708">
        <v>-0.96068829232038366</v>
      </c>
      <c r="G84" s="711">
        <v>0.21547521266121511</v>
      </c>
      <c r="H84" s="710">
        <v>0.314</v>
      </c>
      <c r="I84" s="708">
        <v>0.52</v>
      </c>
      <c r="J84" s="570">
        <v>8.2249999999999996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8.2249999999999996</v>
      </c>
      <c r="N84" s="632">
        <f t="shared" si="465"/>
        <v>-4.3515608093578315</v>
      </c>
      <c r="O84" s="629">
        <f t="shared" si="466"/>
        <v>7.5349976639559613E-2</v>
      </c>
      <c r="P84" s="633">
        <f t="shared" si="467"/>
        <v>-0.45515137273654016</v>
      </c>
      <c r="Q84" s="585">
        <f t="shared" si="520"/>
        <v>179.00798714883663</v>
      </c>
      <c r="R84" s="629">
        <f t="shared" si="79"/>
        <v>4.3522131262747887</v>
      </c>
      <c r="S84" s="634">
        <f t="shared" si="80"/>
        <v>-0.45515137273654016</v>
      </c>
      <c r="T84" s="635">
        <f t="shared" si="81"/>
        <v>7.5349976639560806E-2</v>
      </c>
      <c r="U84" s="629">
        <f t="shared" si="82"/>
        <v>4.3515608093578315</v>
      </c>
      <c r="V84" s="636">
        <f t="shared" si="114"/>
        <v>-0.45515137273654016</v>
      </c>
      <c r="W84" s="585">
        <f t="shared" si="645"/>
        <v>89.007987148836634</v>
      </c>
      <c r="X84" s="629">
        <f t="shared" si="83"/>
        <v>4.3522131262747887</v>
      </c>
      <c r="Y84" s="630">
        <f t="shared" si="644"/>
        <v>-0.45515137273654016</v>
      </c>
      <c r="Z84" s="632">
        <f t="shared" si="468"/>
        <v>0.17506695212731949</v>
      </c>
      <c r="AA84" s="629">
        <f t="shared" si="469"/>
        <v>0.96068829232038366</v>
      </c>
      <c r="AB84" s="629">
        <f t="shared" si="470"/>
        <v>-0.21547521266121511</v>
      </c>
      <c r="AC84" s="636">
        <f t="shared" si="84"/>
        <v>1</v>
      </c>
      <c r="AD84" s="637">
        <f t="shared" si="115"/>
        <v>0.17506695212731949</v>
      </c>
      <c r="AE84" s="629">
        <f t="shared" si="85"/>
        <v>0.96068829232038366</v>
      </c>
      <c r="AF84" s="633">
        <f t="shared" si="86"/>
        <v>-0.21547521266121511</v>
      </c>
      <c r="AG84" s="602">
        <f t="shared" si="87"/>
        <v>77.358203902370946</v>
      </c>
      <c r="AH84" s="603">
        <f t="shared" si="88"/>
        <v>79.917445669886973</v>
      </c>
      <c r="AI84" s="585">
        <f t="shared" si="89"/>
        <v>-77.55659152803716</v>
      </c>
      <c r="AJ84" s="586">
        <f t="shared" si="90"/>
        <v>169.6722729707993</v>
      </c>
      <c r="AK84" s="635">
        <f t="shared" si="211"/>
        <v>0.96357524136529493</v>
      </c>
      <c r="AL84" s="629">
        <f t="shared" si="91"/>
        <v>-0.15840829194337525</v>
      </c>
      <c r="AM84" s="634">
        <f t="shared" si="92"/>
        <v>-0.21547521266121511</v>
      </c>
      <c r="AN84" s="581">
        <f t="shared" si="93"/>
        <v>-36.321757574334228</v>
      </c>
      <c r="AO84" s="582">
        <f t="shared" si="461"/>
        <v>15.511832986749196</v>
      </c>
      <c r="AP84" s="585">
        <f t="shared" si="95"/>
        <v>-9.3357141780373443</v>
      </c>
      <c r="AQ84" s="586">
        <f t="shared" si="471"/>
        <v>0.52379400000913512</v>
      </c>
      <c r="AS84" s="52">
        <f t="shared" si="543"/>
        <v>-270.99201285116339</v>
      </c>
      <c r="AT84" s="72">
        <f t="shared" si="472"/>
        <v>-0.26696247492323222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8.2249999999999996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7.125</v>
      </c>
      <c r="II84" s="734" cm="1">
        <f t="array" ref="II84">IFERROR(ROUND(VALUE(IF($IH84&lt;1,$IH84+LARGE((IF($M$9:$M$150="",0,$M$9:$M$150)-MOD(IF($M$9:$M$150="",0,$M$9:$M$150),1)),1),$IH84)),4),"")</f>
        <v>7.125</v>
      </c>
      <c r="IJ84" s="533">
        <f t="shared" si="542"/>
        <v>1613</v>
      </c>
      <c r="IK84" s="533">
        <f t="shared" si="517"/>
        <v>1613</v>
      </c>
      <c r="IL84" s="727">
        <f t="shared" si="647"/>
        <v>29.999995668536542</v>
      </c>
      <c r="IM84" s="759">
        <v>4.0542061808166996E-3</v>
      </c>
      <c r="IN84" s="5">
        <f t="shared" si="648"/>
        <v>0.3</v>
      </c>
      <c r="IO84" s="771">
        <v>150</v>
      </c>
      <c r="IP84" s="9">
        <f t="shared" si="649"/>
        <v>-4.3572131413548343</v>
      </c>
      <c r="IQ84" s="5">
        <f t="shared" si="650"/>
        <v>-0.4274012890422878</v>
      </c>
      <c r="IR84" s="5">
        <f t="shared" si="518"/>
        <v>0.314</v>
      </c>
      <c r="IS84" s="5">
        <f t="shared" si="651"/>
        <v>0.30256262578870263</v>
      </c>
      <c r="IT84" s="727">
        <f t="shared" si="652"/>
        <v>36.321757574334143</v>
      </c>
      <c r="IU84" s="9">
        <f t="shared" si="653"/>
        <v>-4.3522131262747887</v>
      </c>
      <c r="IV84" s="5">
        <f t="shared" si="654"/>
        <v>-0.45515137273654016</v>
      </c>
      <c r="IW84" s="5">
        <f t="shared" si="519"/>
        <v>0.314</v>
      </c>
      <c r="IX84" s="5">
        <f t="shared" si="655"/>
        <v>0.30256262578870263</v>
      </c>
      <c r="IY84" s="762">
        <f t="shared" si="656"/>
        <v>36.321757574334228</v>
      </c>
    </row>
    <row r="85" spans="1:259" ht="15" customHeight="1" x14ac:dyDescent="0.25">
      <c r="A85" s="79"/>
      <c r="B85" s="707">
        <v>-4.9919041886542699</v>
      </c>
      <c r="C85" s="708">
        <v>0.14170467264336215</v>
      </c>
      <c r="D85" s="709">
        <v>-0.90595273235344076</v>
      </c>
      <c r="E85" s="710">
        <v>-0.25577878709818141</v>
      </c>
      <c r="F85" s="708">
        <v>-0.9504029719852205</v>
      </c>
      <c r="G85" s="711">
        <v>0.17695028373032734</v>
      </c>
      <c r="H85" s="710">
        <v>0.314</v>
      </c>
      <c r="I85" s="708">
        <v>0.52</v>
      </c>
      <c r="J85" s="570">
        <v>8.2309999999999999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8.2309999999999999</v>
      </c>
      <c r="N85" s="632">
        <f t="shared" si="465"/>
        <v>-4.9919041886542699</v>
      </c>
      <c r="O85" s="629">
        <f t="shared" si="466"/>
        <v>0.14170467264336215</v>
      </c>
      <c r="P85" s="633">
        <f t="shared" si="467"/>
        <v>-0.90595273235344076</v>
      </c>
      <c r="Q85" s="585">
        <f t="shared" si="520"/>
        <v>178.3739872403749</v>
      </c>
      <c r="R85" s="629">
        <f t="shared" si="79"/>
        <v>4.9939150616478258</v>
      </c>
      <c r="S85" s="634">
        <f t="shared" si="80"/>
        <v>-0.90595273235344076</v>
      </c>
      <c r="T85" s="635">
        <f t="shared" si="81"/>
        <v>0.14170467264336445</v>
      </c>
      <c r="U85" s="629">
        <f t="shared" si="82"/>
        <v>4.9919041886542699</v>
      </c>
      <c r="V85" s="636">
        <f t="shared" si="114"/>
        <v>-0.90595273235344076</v>
      </c>
      <c r="W85" s="585">
        <f t="shared" si="645"/>
        <v>88.373987240374902</v>
      </c>
      <c r="X85" s="629">
        <f t="shared" si="83"/>
        <v>4.9939150616478258</v>
      </c>
      <c r="Y85" s="630">
        <f t="shared" si="644"/>
        <v>-0.90595273235344076</v>
      </c>
      <c r="Z85" s="632">
        <f t="shared" si="468"/>
        <v>0.25577878709818141</v>
      </c>
      <c r="AA85" s="629">
        <f t="shared" si="469"/>
        <v>0.9504029719852205</v>
      </c>
      <c r="AB85" s="629">
        <f t="shared" si="470"/>
        <v>-0.17695028373032734</v>
      </c>
      <c r="AC85" s="636">
        <f t="shared" si="84"/>
        <v>1</v>
      </c>
      <c r="AD85" s="637">
        <f t="shared" si="115"/>
        <v>0.25577878709818141</v>
      </c>
      <c r="AE85" s="629">
        <f t="shared" si="85"/>
        <v>0.9504029719852205</v>
      </c>
      <c r="AF85" s="633">
        <f t="shared" si="86"/>
        <v>-0.17695028373032734</v>
      </c>
      <c r="AG85" s="602">
        <f t="shared" si="87"/>
        <v>79.453175884912781</v>
      </c>
      <c r="AH85" s="603">
        <f t="shared" si="88"/>
        <v>75.180263164477964</v>
      </c>
      <c r="AI85" s="585">
        <f t="shared" si="89"/>
        <v>-79.807827407857062</v>
      </c>
      <c r="AJ85" s="586">
        <f t="shared" si="90"/>
        <v>164.93707331303693</v>
      </c>
      <c r="AK85" s="635">
        <f t="shared" si="211"/>
        <v>0.9572781208817609</v>
      </c>
      <c r="AL85" s="629">
        <f t="shared" si="91"/>
        <v>-0.22870766574131596</v>
      </c>
      <c r="AM85" s="634">
        <f t="shared" si="92"/>
        <v>-0.17695028373032734</v>
      </c>
      <c r="AN85" s="581">
        <f t="shared" si="93"/>
        <v>-52.271010843277011</v>
      </c>
      <c r="AO85" s="582">
        <f t="shared" si="461"/>
        <v>16.808200293843754</v>
      </c>
      <c r="AP85" s="585">
        <f t="shared" si="95"/>
        <v>-13.436913927337967</v>
      </c>
      <c r="AQ85" s="586">
        <f t="shared" si="471"/>
        <v>0.45649122312152435</v>
      </c>
      <c r="AS85" s="52">
        <f t="shared" si="543"/>
        <v>-271.6260127596251</v>
      </c>
      <c r="AT85" s="72">
        <f t="shared" si="472"/>
        <v>-0.7173235568259233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8.2309999999999999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7.1310000000000002</v>
      </c>
      <c r="II85" s="734" cm="1">
        <f t="array" ref="II85">IFERROR(ROUND(VALUE(IF($IH85&lt;1,$IH85+LARGE((IF($M$9:$M$150="",0,$M$9:$M$150)-MOD(IF($M$9:$M$150="",0,$M$9:$M$150),1)),1),$IH85)),4),"")</f>
        <v>7.1310000000000002</v>
      </c>
      <c r="IJ85" s="533">
        <f t="shared" si="542"/>
        <v>1613</v>
      </c>
      <c r="IK85" s="533">
        <f t="shared" si="517"/>
        <v>1613</v>
      </c>
      <c r="IL85" s="727">
        <f t="shared" si="647"/>
        <v>29.99999566853657</v>
      </c>
      <c r="IM85" s="759">
        <v>1.20193924882972E-3</v>
      </c>
      <c r="IN85" s="5">
        <f t="shared" si="648"/>
        <v>0</v>
      </c>
      <c r="IO85" s="771">
        <v>0</v>
      </c>
      <c r="IP85" s="9">
        <f t="shared" si="649"/>
        <v>-4.9989150767278714</v>
      </c>
      <c r="IQ85" s="5">
        <f t="shared" si="650"/>
        <v>-0.8782026486591884</v>
      </c>
      <c r="IR85" s="5">
        <f t="shared" si="518"/>
        <v>0.314</v>
      </c>
      <c r="IS85" s="5">
        <f t="shared" si="651"/>
        <v>0.30058532995687287</v>
      </c>
      <c r="IT85" s="727">
        <f t="shared" si="652"/>
        <v>52.271010843277097</v>
      </c>
      <c r="IU85" s="9">
        <f t="shared" si="653"/>
        <v>-4.9939150616478258</v>
      </c>
      <c r="IV85" s="5">
        <f t="shared" si="654"/>
        <v>-0.90595273235344076</v>
      </c>
      <c r="IW85" s="5">
        <f t="shared" si="519"/>
        <v>0.314</v>
      </c>
      <c r="IX85" s="5">
        <f t="shared" si="655"/>
        <v>0.30058532995687293</v>
      </c>
      <c r="IY85" s="762">
        <f t="shared" si="656"/>
        <v>52.271010843277011</v>
      </c>
    </row>
    <row r="86" spans="1:259" ht="15" customHeight="1" x14ac:dyDescent="0.25">
      <c r="A86" s="79"/>
      <c r="B86" s="707">
        <v>-5.4784391641073595</v>
      </c>
      <c r="C86" s="708">
        <v>0.2061526411526684</v>
      </c>
      <c r="D86" s="709">
        <v>-1.5196545832782238</v>
      </c>
      <c r="E86" s="710">
        <v>-0.34354655351646352</v>
      </c>
      <c r="F86" s="708">
        <v>-0.92790106877777967</v>
      </c>
      <c r="G86" s="711">
        <v>0.14482876830248179</v>
      </c>
      <c r="H86" s="710">
        <v>0.314</v>
      </c>
      <c r="I86" s="708">
        <v>0.52</v>
      </c>
      <c r="J86" s="570">
        <v>8.2370000000000001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8.2370000000000001</v>
      </c>
      <c r="N86" s="632">
        <f t="shared" si="465"/>
        <v>-5.4784391641073595</v>
      </c>
      <c r="O86" s="629">
        <f t="shared" si="466"/>
        <v>0.2061526411526684</v>
      </c>
      <c r="P86" s="633">
        <f t="shared" si="467"/>
        <v>-1.5196545832782238</v>
      </c>
      <c r="Q86" s="585">
        <f t="shared" si="520"/>
        <v>177.84498731675305</v>
      </c>
      <c r="R86" s="629">
        <f t="shared" si="79"/>
        <v>5.48231653466667</v>
      </c>
      <c r="S86" s="634">
        <f t="shared" si="80"/>
        <v>-1.5196545832782238</v>
      </c>
      <c r="T86" s="635">
        <f t="shared" si="81"/>
        <v>0.2061526411526694</v>
      </c>
      <c r="U86" s="629">
        <f t="shared" si="82"/>
        <v>5.4784391641073595</v>
      </c>
      <c r="V86" s="636">
        <f t="shared" si="114"/>
        <v>-1.5196545832782238</v>
      </c>
      <c r="W86" s="585">
        <f t="shared" si="645"/>
        <v>87.844987316753048</v>
      </c>
      <c r="X86" s="629">
        <f t="shared" si="83"/>
        <v>5.48231653466667</v>
      </c>
      <c r="Y86" s="630">
        <f t="shared" si="644"/>
        <v>-1.5196545832782238</v>
      </c>
      <c r="Z86" s="632">
        <f t="shared" si="468"/>
        <v>0.34354655351646352</v>
      </c>
      <c r="AA86" s="629">
        <f t="shared" si="469"/>
        <v>0.92790106877777967</v>
      </c>
      <c r="AB86" s="629">
        <f t="shared" si="470"/>
        <v>-0.14482876830248179</v>
      </c>
      <c r="AC86" s="636">
        <f t="shared" si="84"/>
        <v>1</v>
      </c>
      <c r="AD86" s="637">
        <f t="shared" si="115"/>
        <v>0.34354655351646352</v>
      </c>
      <c r="AE86" s="629">
        <f t="shared" si="85"/>
        <v>0.92790106877777967</v>
      </c>
      <c r="AF86" s="633">
        <f t="shared" si="86"/>
        <v>-0.14482876830248179</v>
      </c>
      <c r="AG86" s="602">
        <f t="shared" si="87"/>
        <v>81.128730526664043</v>
      </c>
      <c r="AH86" s="603">
        <f t="shared" si="88"/>
        <v>69.906902781968768</v>
      </c>
      <c r="AI86" s="585">
        <f t="shared" si="89"/>
        <v>-81.672636330956834</v>
      </c>
      <c r="AJ86" s="586">
        <f t="shared" si="90"/>
        <v>159.68340699695852</v>
      </c>
      <c r="AK86" s="635">
        <f t="shared" si="211"/>
        <v>0.94016325988899974</v>
      </c>
      <c r="AL86" s="629">
        <f t="shared" si="91"/>
        <v>-0.30841153128065002</v>
      </c>
      <c r="AM86" s="634">
        <f t="shared" si="92"/>
        <v>-0.14482876830248179</v>
      </c>
      <c r="AN86" s="581">
        <f t="shared" si="93"/>
        <v>-64.845445882589118</v>
      </c>
      <c r="AO86" s="582">
        <f t="shared" si="461"/>
        <v>19.921008129771426</v>
      </c>
      <c r="AP86" s="585">
        <f t="shared" si="95"/>
        <v>-18.161580319794503</v>
      </c>
      <c r="AQ86" s="586">
        <f t="shared" si="471"/>
        <v>0.41582542557552016</v>
      </c>
      <c r="AS86" s="52">
        <f t="shared" si="543"/>
        <v>-272.15501268324692</v>
      </c>
      <c r="AT86" s="72">
        <f t="shared" si="472"/>
        <v>-1.3306580466926357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8.2370000000000001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7.1369999999999996</v>
      </c>
      <c r="II86" s="734" cm="1">
        <f t="array" ref="II86">IFERROR(ROUND(VALUE(IF($IH86&lt;1,$IH86+LARGE((IF($M$9:$M$150="",0,$M$9:$M$150)-MOD(IF($M$9:$M$150="",0,$M$9:$M$150),1)),1),$IH86)),4),"")</f>
        <v>7.1369999999999996</v>
      </c>
      <c r="IJ86" s="533">
        <f t="shared" si="542"/>
        <v>1613</v>
      </c>
      <c r="IK86" s="533">
        <f t="shared" si="517"/>
        <v>1613</v>
      </c>
      <c r="IL86" s="727">
        <f t="shared" si="647"/>
        <v>29.999995668536542</v>
      </c>
      <c r="IM86" s="759">
        <v>1.2892466294719899E-3</v>
      </c>
      <c r="IN86" s="5">
        <f t="shared" si="648"/>
        <v>0</v>
      </c>
      <c r="IO86" s="771">
        <v>0</v>
      </c>
      <c r="IP86" s="9">
        <f t="shared" si="649"/>
        <v>-5.4873165497467147</v>
      </c>
      <c r="IQ86" s="5">
        <f t="shared" si="650"/>
        <v>-1.491904499583971</v>
      </c>
      <c r="IR86" s="5">
        <f t="shared" si="518"/>
        <v>0.314</v>
      </c>
      <c r="IS86" s="5">
        <f t="shared" si="651"/>
        <v>0.29521126360514593</v>
      </c>
      <c r="IT86" s="727">
        <f t="shared" si="652"/>
        <v>64.845445882589075</v>
      </c>
      <c r="IU86" s="9">
        <f t="shared" si="653"/>
        <v>-5.48231653466667</v>
      </c>
      <c r="IV86" s="5">
        <f t="shared" si="654"/>
        <v>-1.5196545832782238</v>
      </c>
      <c r="IW86" s="5">
        <f t="shared" si="519"/>
        <v>0.314</v>
      </c>
      <c r="IX86" s="5">
        <f t="shared" si="655"/>
        <v>0.29521126360514593</v>
      </c>
      <c r="IY86" s="762">
        <f t="shared" si="656"/>
        <v>64.845445882589118</v>
      </c>
    </row>
    <row r="87" spans="1:259" ht="15" customHeight="1" x14ac:dyDescent="0.25">
      <c r="A87" s="79"/>
      <c r="B87" s="707">
        <v>-5.7721666356367987</v>
      </c>
      <c r="C87" s="708">
        <v>0.25090923359656664</v>
      </c>
      <c r="D87" s="709">
        <v>-2.2462567747104329</v>
      </c>
      <c r="E87" s="710">
        <v>-0.45872045197238509</v>
      </c>
      <c r="F87" s="708">
        <v>-0.88117154081635285</v>
      </c>
      <c r="G87" s="711">
        <v>0.11450878829847784</v>
      </c>
      <c r="H87" s="710">
        <v>0.314</v>
      </c>
      <c r="I87" s="708">
        <v>0.52</v>
      </c>
      <c r="J87" s="570">
        <v>8.2430000000000003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8.2430000000000003</v>
      </c>
      <c r="N87" s="632">
        <f t="shared" si="465"/>
        <v>-5.7721666356367987</v>
      </c>
      <c r="O87" s="629">
        <f t="shared" si="466"/>
        <v>0.25090923359656664</v>
      </c>
      <c r="P87" s="633">
        <f t="shared" si="467"/>
        <v>-2.2462567747104329</v>
      </c>
      <c r="Q87" s="585">
        <f t="shared" si="520"/>
        <v>177.5109873649767</v>
      </c>
      <c r="R87" s="629">
        <f t="shared" si="79"/>
        <v>5.7776174252941539</v>
      </c>
      <c r="S87" s="634">
        <f t="shared" si="80"/>
        <v>-2.2462567747104329</v>
      </c>
      <c r="T87" s="635">
        <f t="shared" si="81"/>
        <v>0.25090923359656586</v>
      </c>
      <c r="U87" s="629">
        <f t="shared" si="82"/>
        <v>5.7721666356367987</v>
      </c>
      <c r="V87" s="636">
        <f t="shared" si="114"/>
        <v>-2.2462567747104329</v>
      </c>
      <c r="W87" s="585">
        <f t="shared" si="645"/>
        <v>87.5109873649767</v>
      </c>
      <c r="X87" s="629">
        <f t="shared" si="83"/>
        <v>5.7776174252941539</v>
      </c>
      <c r="Y87" s="630">
        <f t="shared" si="644"/>
        <v>-2.2462567747104329</v>
      </c>
      <c r="Z87" s="632">
        <f t="shared" si="468"/>
        <v>0.45872045197238509</v>
      </c>
      <c r="AA87" s="629">
        <f t="shared" si="469"/>
        <v>0.88117154081635285</v>
      </c>
      <c r="AB87" s="629">
        <f t="shared" si="470"/>
        <v>-0.11450878829847784</v>
      </c>
      <c r="AC87" s="636">
        <f t="shared" si="84"/>
        <v>1</v>
      </c>
      <c r="AD87" s="637">
        <f t="shared" si="115"/>
        <v>0.45872045197238509</v>
      </c>
      <c r="AE87" s="629">
        <f t="shared" si="85"/>
        <v>0.88117154081635285</v>
      </c>
      <c r="AF87" s="633">
        <f t="shared" si="86"/>
        <v>-0.11450878829847784</v>
      </c>
      <c r="AG87" s="602">
        <f t="shared" si="87"/>
        <v>82.595870119166833</v>
      </c>
      <c r="AH87" s="603">
        <f t="shared" si="88"/>
        <v>62.695428616122442</v>
      </c>
      <c r="AI87" s="585">
        <f t="shared" si="89"/>
        <v>-83.424706469918803</v>
      </c>
      <c r="AJ87" s="586">
        <f t="shared" si="90"/>
        <v>152.49940748551586</v>
      </c>
      <c r="AK87" s="635">
        <f t="shared" si="211"/>
        <v>0.90026143691012339</v>
      </c>
      <c r="AL87" s="629">
        <f t="shared" si="91"/>
        <v>-0.4200203359540281</v>
      </c>
      <c r="AM87" s="634">
        <f t="shared" si="92"/>
        <v>-0.11450878829847784</v>
      </c>
      <c r="AN87" s="581">
        <f t="shared" si="93"/>
        <v>-74.750241060395084</v>
      </c>
      <c r="AO87" s="582">
        <f t="shared" si="461"/>
        <v>25.807546742320614</v>
      </c>
      <c r="AP87" s="585">
        <f t="shared" si="95"/>
        <v>-25.01157987946085</v>
      </c>
      <c r="AQ87" s="586">
        <f t="shared" si="471"/>
        <v>0.3945727841104541</v>
      </c>
      <c r="AS87" s="52">
        <f t="shared" si="543"/>
        <v>-272.4890126350233</v>
      </c>
      <c r="AT87" s="72">
        <f t="shared" si="472"/>
        <v>-2.0570282937138891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8.2430000000000003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7.1429999999999998</v>
      </c>
      <c r="II87" s="734" cm="1">
        <f t="array" ref="II87">IFERROR(ROUND(VALUE(IF($IH87&lt;1,$IH87+LARGE((IF($M$9:$M$150="",0,$M$9:$M$150)-MOD(IF($M$9:$M$150="",0,$M$9:$M$150),1)),1),$IH87)),4),"")</f>
        <v>7.1429999999999998</v>
      </c>
      <c r="IJ87" s="533">
        <f t="shared" si="542"/>
        <v>1613</v>
      </c>
      <c r="IK87" s="533">
        <f t="shared" si="517"/>
        <v>1613</v>
      </c>
      <c r="IL87" s="727">
        <f t="shared" si="647"/>
        <v>29.999995668536513</v>
      </c>
      <c r="IM87" s="759">
        <v>1.2987560659872899E-3</v>
      </c>
      <c r="IN87" s="5">
        <f t="shared" si="648"/>
        <v>0</v>
      </c>
      <c r="IO87" s="771">
        <v>0</v>
      </c>
      <c r="IP87" s="9">
        <f t="shared" si="649"/>
        <v>-5.7826174403742021</v>
      </c>
      <c r="IQ87" s="5">
        <f t="shared" si="650"/>
        <v>-2.2185066910161804</v>
      </c>
      <c r="IR87" s="5">
        <f t="shared" si="518"/>
        <v>0.314</v>
      </c>
      <c r="IS87" s="5">
        <f t="shared" si="651"/>
        <v>0.28268209118977877</v>
      </c>
      <c r="IT87" s="727">
        <f t="shared" si="652"/>
        <v>74.750241060395069</v>
      </c>
      <c r="IU87" s="9">
        <f t="shared" si="653"/>
        <v>-5.7776174252941539</v>
      </c>
      <c r="IV87" s="5">
        <f t="shared" si="654"/>
        <v>-2.2462567747104329</v>
      </c>
      <c r="IW87" s="5">
        <f t="shared" si="519"/>
        <v>0.314</v>
      </c>
      <c r="IX87" s="5">
        <f t="shared" si="655"/>
        <v>0.28268209118977877</v>
      </c>
      <c r="IY87" s="762">
        <f t="shared" si="656"/>
        <v>74.750241060395084</v>
      </c>
    </row>
    <row r="88" spans="1:259" ht="15" customHeight="1" x14ac:dyDescent="0.25">
      <c r="A88" s="79"/>
      <c r="B88" s="707">
        <v>-5.8523654735891535</v>
      </c>
      <c r="C88" s="708">
        <v>0.26401566389365672</v>
      </c>
      <c r="D88" s="709">
        <v>-3.0266591284039306</v>
      </c>
      <c r="E88" s="710">
        <v>-0.54719255871819572</v>
      </c>
      <c r="F88" s="708">
        <v>-0.83618880077459967</v>
      </c>
      <c r="G88" s="711">
        <v>3.6994501518075748E-2</v>
      </c>
      <c r="H88" s="710">
        <v>0.314</v>
      </c>
      <c r="I88" s="708">
        <v>0.52</v>
      </c>
      <c r="J88" s="570">
        <v>8.2490000000000006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8.2490000000000006</v>
      </c>
      <c r="N88" s="632">
        <f t="shared" si="465"/>
        <v>-5.8523654735891535</v>
      </c>
      <c r="O88" s="629">
        <f t="shared" si="466"/>
        <v>0.26401566389365672</v>
      </c>
      <c r="P88" s="633">
        <f t="shared" si="467"/>
        <v>-3.0266591284039306</v>
      </c>
      <c r="Q88" s="585">
        <f t="shared" si="520"/>
        <v>177.41698737854861</v>
      </c>
      <c r="R88" s="629">
        <f t="shared" si="79"/>
        <v>5.8583176686860883</v>
      </c>
      <c r="S88" s="634">
        <f t="shared" si="80"/>
        <v>-3.0266591284039306</v>
      </c>
      <c r="T88" s="635">
        <f t="shared" si="81"/>
        <v>0.26401566389365638</v>
      </c>
      <c r="U88" s="629">
        <f t="shared" si="82"/>
        <v>5.8523654735891535</v>
      </c>
      <c r="V88" s="636">
        <f t="shared" si="114"/>
        <v>-3.0266591284039306</v>
      </c>
      <c r="W88" s="585">
        <f t="shared" si="645"/>
        <v>87.416987378548612</v>
      </c>
      <c r="X88" s="629">
        <f t="shared" si="83"/>
        <v>5.8583176686860883</v>
      </c>
      <c r="Y88" s="630">
        <f t="shared" si="644"/>
        <v>-3.0266591284039306</v>
      </c>
      <c r="Z88" s="632">
        <f t="shared" si="468"/>
        <v>0.54719255871819572</v>
      </c>
      <c r="AA88" s="629">
        <f t="shared" si="469"/>
        <v>0.83618880077459967</v>
      </c>
      <c r="AB88" s="629">
        <f t="shared" si="470"/>
        <v>-3.6994501518075748E-2</v>
      </c>
      <c r="AC88" s="636">
        <f t="shared" si="84"/>
        <v>1</v>
      </c>
      <c r="AD88" s="637">
        <f t="shared" si="115"/>
        <v>0.54719255871819572</v>
      </c>
      <c r="AE88" s="629">
        <f t="shared" si="85"/>
        <v>0.83618880077459967</v>
      </c>
      <c r="AF88" s="633">
        <f t="shared" si="86"/>
        <v>-3.6994501518075748E-2</v>
      </c>
      <c r="AG88" s="602">
        <f t="shared" si="87"/>
        <v>87.466783244097172</v>
      </c>
      <c r="AH88" s="603">
        <f t="shared" si="88"/>
        <v>56.825376859798553</v>
      </c>
      <c r="AI88" s="585">
        <f t="shared" si="89"/>
        <v>-87.879887414911536</v>
      </c>
      <c r="AJ88" s="586">
        <f t="shared" si="90"/>
        <v>146.79971501480441</v>
      </c>
      <c r="AK88" s="635">
        <f t="shared" si="211"/>
        <v>0.85999943305443904</v>
      </c>
      <c r="AL88" s="629">
        <f t="shared" si="91"/>
        <v>-0.50895223941296541</v>
      </c>
      <c r="AM88" s="634">
        <f t="shared" si="92"/>
        <v>-3.6994501518075748E-2</v>
      </c>
      <c r="AN88" s="581">
        <f t="shared" si="93"/>
        <v>-85.84262054402771</v>
      </c>
      <c r="AO88" s="582">
        <f t="shared" si="461"/>
        <v>30.683480765525474</v>
      </c>
      <c r="AP88" s="585">
        <f t="shared" si="95"/>
        <v>-30.617272363744206</v>
      </c>
      <c r="AQ88" s="586">
        <f t="shared" si="471"/>
        <v>0.38913758317321617</v>
      </c>
      <c r="AS88" s="52">
        <f t="shared" si="543"/>
        <v>-272.58301262145142</v>
      </c>
      <c r="AT88" s="72">
        <f t="shared" si="472"/>
        <v>-2.8373653696390337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>Gage</v>
      </c>
      <c r="IG88" s="847">
        <f t="shared" si="643"/>
        <v>8.2490000000000006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7.149</v>
      </c>
      <c r="II88" s="734" cm="1">
        <f t="array" ref="II88">IFERROR(ROUND(VALUE(IF($IH88&lt;1,$IH88+LARGE((IF($M$9:$M$150="",0,$M$9:$M$150)-MOD(IF($M$9:$M$150="",0,$M$9:$M$150),1)),1),$IH88)),4),"")</f>
        <v>7.149</v>
      </c>
      <c r="IJ88" s="533">
        <f t="shared" si="542"/>
        <v>1613</v>
      </c>
      <c r="IK88" s="533">
        <f t="shared" si="517"/>
        <v>1613</v>
      </c>
      <c r="IL88" s="727">
        <f t="shared" si="647"/>
        <v>29.999995668536513</v>
      </c>
      <c r="IM88" s="759">
        <v>1.09386088089307E-3</v>
      </c>
      <c r="IN88" s="5">
        <f t="shared" si="648"/>
        <v>0</v>
      </c>
      <c r="IO88" s="771">
        <v>0</v>
      </c>
      <c r="IP88" s="9">
        <f t="shared" si="649"/>
        <v>-5.8633176837661347</v>
      </c>
      <c r="IQ88" s="5">
        <f t="shared" si="650"/>
        <v>-2.9989090447096789</v>
      </c>
      <c r="IR88" s="5">
        <f t="shared" si="518"/>
        <v>0.314</v>
      </c>
      <c r="IS88" s="5">
        <f t="shared" si="651"/>
        <v>0.27003982197909387</v>
      </c>
      <c r="IT88" s="727">
        <f t="shared" si="652"/>
        <v>85.842620544027724</v>
      </c>
      <c r="IU88" s="9">
        <f t="shared" si="653"/>
        <v>-5.8583176686860883</v>
      </c>
      <c r="IV88" s="5">
        <f t="shared" si="654"/>
        <v>-3.0266591284039306</v>
      </c>
      <c r="IW88" s="5">
        <f t="shared" si="519"/>
        <v>0.314</v>
      </c>
      <c r="IX88" s="5">
        <f t="shared" si="655"/>
        <v>0.27003982197909387</v>
      </c>
      <c r="IY88" s="762">
        <f t="shared" si="656"/>
        <v>85.84262054402771</v>
      </c>
    </row>
    <row r="89" spans="1:259" ht="15" customHeight="1" x14ac:dyDescent="0.25">
      <c r="A89" s="79"/>
      <c r="B89" s="707">
        <v>-5.8859491236302635</v>
      </c>
      <c r="C89" s="708">
        <v>0.26954542655539521</v>
      </c>
      <c r="D89" s="709">
        <v>-3.7945614443973166</v>
      </c>
      <c r="E89" s="710">
        <v>-0.61044944084243535</v>
      </c>
      <c r="F89" s="708">
        <v>-0.7920552254578852</v>
      </c>
      <c r="G89" s="711">
        <v>1.3008419231172993E-7</v>
      </c>
      <c r="H89" s="710">
        <v>0.314</v>
      </c>
      <c r="I89" s="708">
        <v>0.52</v>
      </c>
      <c r="J89" s="570">
        <v>8.2550000000000008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8.2550000000000008</v>
      </c>
      <c r="N89" s="632">
        <f t="shared" si="465"/>
        <v>-5.8859491236302635</v>
      </c>
      <c r="O89" s="629">
        <f t="shared" si="466"/>
        <v>0.26954542655539521</v>
      </c>
      <c r="P89" s="633">
        <f t="shared" si="467"/>
        <v>-3.7945614443973166</v>
      </c>
      <c r="Q89" s="585">
        <f t="shared" si="520"/>
        <v>177.37798738417953</v>
      </c>
      <c r="R89" s="629">
        <f t="shared" si="79"/>
        <v>5.8921177706271957</v>
      </c>
      <c r="S89" s="634">
        <f t="shared" si="80"/>
        <v>-3.7945614443973166</v>
      </c>
      <c r="T89" s="635">
        <f t="shared" si="81"/>
        <v>0.26954542655539365</v>
      </c>
      <c r="U89" s="629">
        <f t="shared" si="82"/>
        <v>5.8859491236302635</v>
      </c>
      <c r="V89" s="636">
        <f t="shared" si="114"/>
        <v>-3.7945614443973166</v>
      </c>
      <c r="W89" s="585">
        <f t="shared" si="645"/>
        <v>87.377987384179534</v>
      </c>
      <c r="X89" s="629">
        <f t="shared" si="83"/>
        <v>5.8921177706271957</v>
      </c>
      <c r="Y89" s="630">
        <f t="shared" si="644"/>
        <v>-3.7945614443973166</v>
      </c>
      <c r="Z89" s="632">
        <f t="shared" si="468"/>
        <v>0.61044944084243535</v>
      </c>
      <c r="AA89" s="629">
        <f t="shared" si="469"/>
        <v>0.7920552254578852</v>
      </c>
      <c r="AB89" s="629">
        <f t="shared" si="470"/>
        <v>-1.3008419231172993E-7</v>
      </c>
      <c r="AC89" s="636">
        <f t="shared" si="84"/>
        <v>1</v>
      </c>
      <c r="AD89" s="637">
        <f t="shared" si="115"/>
        <v>0.61044944084243535</v>
      </c>
      <c r="AE89" s="629">
        <f t="shared" si="85"/>
        <v>0.7920552254578852</v>
      </c>
      <c r="AF89" s="633">
        <f t="shared" si="86"/>
        <v>-1.3008419231172993E-7</v>
      </c>
      <c r="AG89" s="602">
        <f t="shared" si="87"/>
        <v>89.999990589955146</v>
      </c>
      <c r="AH89" s="603">
        <f t="shared" si="88"/>
        <v>52.37799243755461</v>
      </c>
      <c r="AI89" s="585">
        <f t="shared" si="89"/>
        <v>-89.999992546724798</v>
      </c>
      <c r="AJ89" s="586">
        <f t="shared" si="90"/>
        <v>142.37799243755424</v>
      </c>
      <c r="AK89" s="635">
        <f t="shared" si="211"/>
        <v>0.81915209487729179</v>
      </c>
      <c r="AL89" s="629">
        <f t="shared" si="91"/>
        <v>-0.57357636410344481</v>
      </c>
      <c r="AM89" s="634">
        <f t="shared" si="92"/>
        <v>-1.3008419231172993E-7</v>
      </c>
      <c r="AN89" s="581">
        <f t="shared" si="93"/>
        <v>-89.999987005609597</v>
      </c>
      <c r="AO89" s="582">
        <f t="shared" si="461"/>
        <v>34.999994946625968</v>
      </c>
      <c r="AP89" s="585">
        <f t="shared" si="95"/>
        <v>-34.999994946625293</v>
      </c>
      <c r="AQ89" s="586">
        <f t="shared" si="471"/>
        <v>0.38690536557416</v>
      </c>
      <c r="AS89" s="52">
        <f t="shared" si="543"/>
        <v>-272.62201261582049</v>
      </c>
      <c r="AT89" s="72">
        <f t="shared" si="472"/>
        <v>-3.6052406023029966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>Gage</v>
      </c>
      <c r="IG89" s="847">
        <f t="shared" si="643"/>
        <v>8.2550000000000008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7.1550000000000002</v>
      </c>
      <c r="II89" s="734" cm="1">
        <f t="array" ref="II89">IFERROR(ROUND(VALUE(IF($IH89&lt;1,$IH89+LARGE((IF($M$9:$M$150="",0,$M$9:$M$150)-MOD(IF($M$9:$M$150="",0,$M$9:$M$150),1)),1),$IH89)),4),"")</f>
        <v>7.1550000000000002</v>
      </c>
      <c r="IJ89" s="533">
        <f t="shared" si="542"/>
        <v>1613</v>
      </c>
      <c r="IK89" s="533">
        <f t="shared" si="517"/>
        <v>1613</v>
      </c>
      <c r="IL89" s="727">
        <f t="shared" si="647"/>
        <v>29.999995668536513</v>
      </c>
      <c r="IM89" s="759">
        <v>1.0126188369415201E-3</v>
      </c>
      <c r="IN89" s="5">
        <f t="shared" si="648"/>
        <v>0</v>
      </c>
      <c r="IO89" s="771">
        <v>0</v>
      </c>
      <c r="IP89" s="9">
        <f t="shared" si="649"/>
        <v>-5.8971177857072412</v>
      </c>
      <c r="IQ89" s="5">
        <f t="shared" si="650"/>
        <v>-3.766811360703064</v>
      </c>
      <c r="IR89" s="5">
        <f t="shared" si="518"/>
        <v>0.314</v>
      </c>
      <c r="IS89" s="5">
        <f t="shared" si="651"/>
        <v>0.2572137577914696</v>
      </c>
      <c r="IT89" s="727">
        <f t="shared" si="652"/>
        <v>89.999987005609597</v>
      </c>
      <c r="IU89" s="9">
        <f t="shared" si="653"/>
        <v>-5.8921177706271957</v>
      </c>
      <c r="IV89" s="5">
        <f t="shared" si="654"/>
        <v>-3.7945614443973166</v>
      </c>
      <c r="IW89" s="5">
        <f t="shared" si="519"/>
        <v>0.314</v>
      </c>
      <c r="IX89" s="5">
        <f t="shared" si="655"/>
        <v>0.2572137577914696</v>
      </c>
      <c r="IY89" s="762">
        <f t="shared" si="656"/>
        <v>89.999987005609597</v>
      </c>
    </row>
    <row r="90" spans="1:259" ht="15" customHeight="1" x14ac:dyDescent="0.25">
      <c r="A90" s="79"/>
      <c r="B90" s="707">
        <v>-2.0686181472613825</v>
      </c>
      <c r="C90" s="708">
        <v>1.7359617509000029</v>
      </c>
      <c r="D90" s="709">
        <v>-0.16120048618066632</v>
      </c>
      <c r="E90" s="710">
        <v>-0.59273130223215476</v>
      </c>
      <c r="F90" s="708">
        <v>-0.7635597347155777</v>
      </c>
      <c r="G90" s="711">
        <v>0.25621501688084314</v>
      </c>
      <c r="H90" s="710">
        <v>0.314</v>
      </c>
      <c r="I90" s="708">
        <v>0.52</v>
      </c>
      <c r="J90" s="570">
        <v>9.1120000000000001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9.1120000000000001</v>
      </c>
      <c r="N90" s="632">
        <f t="shared" si="465"/>
        <v>-2.0686181472613825</v>
      </c>
      <c r="O90" s="629">
        <f t="shared" si="466"/>
        <v>1.7359617509000029</v>
      </c>
      <c r="P90" s="633">
        <f t="shared" si="467"/>
        <v>-0.16120048618066632</v>
      </c>
      <c r="Q90" s="585">
        <f t="shared" si="520"/>
        <v>139.99699278132735</v>
      </c>
      <c r="R90" s="629">
        <f t="shared" si="79"/>
        <v>2.7005081447325647</v>
      </c>
      <c r="S90" s="634">
        <f t="shared" si="80"/>
        <v>-0.16120048618066632</v>
      </c>
      <c r="T90" s="635">
        <f t="shared" si="81"/>
        <v>1.7359617509000036</v>
      </c>
      <c r="U90" s="629">
        <f t="shared" si="82"/>
        <v>2.068618147261382</v>
      </c>
      <c r="V90" s="636">
        <f t="shared" si="114"/>
        <v>-0.16120048618066632</v>
      </c>
      <c r="W90" s="585">
        <f t="shared" si="645"/>
        <v>49.99699278132735</v>
      </c>
      <c r="X90" s="629">
        <f t="shared" si="83"/>
        <v>2.7005081447325647</v>
      </c>
      <c r="Y90" s="630">
        <f t="shared" si="644"/>
        <v>-0.16120048618066632</v>
      </c>
      <c r="Z90" s="632">
        <f t="shared" si="468"/>
        <v>0.59273130223215476</v>
      </c>
      <c r="AA90" s="629">
        <f t="shared" si="469"/>
        <v>0.7635597347155777</v>
      </c>
      <c r="AB90" s="629">
        <f t="shared" si="470"/>
        <v>-0.25621501688084314</v>
      </c>
      <c r="AC90" s="636">
        <f t="shared" si="84"/>
        <v>1</v>
      </c>
      <c r="AD90" s="637">
        <f t="shared" si="115"/>
        <v>0.59273130223215476</v>
      </c>
      <c r="AE90" s="629">
        <f t="shared" si="85"/>
        <v>0.7635597347155777</v>
      </c>
      <c r="AF90" s="633">
        <f t="shared" si="86"/>
        <v>-0.25621501688084314</v>
      </c>
      <c r="AG90" s="602">
        <f t="shared" si="87"/>
        <v>71.450650370596861</v>
      </c>
      <c r="AH90" s="603">
        <f t="shared" si="88"/>
        <v>53.648929795898781</v>
      </c>
      <c r="AI90" s="585">
        <f t="shared" si="89"/>
        <v>-75.154407464863212</v>
      </c>
      <c r="AJ90" s="586">
        <f t="shared" si="90"/>
        <v>142.17875238129184</v>
      </c>
      <c r="AK90" s="635">
        <f t="shared" si="211"/>
        <v>0.96591909862401915</v>
      </c>
      <c r="AL90" s="629">
        <f t="shared" si="91"/>
        <v>3.6798913545262268E-2</v>
      </c>
      <c r="AM90" s="634">
        <f t="shared" si="92"/>
        <v>-0.25621501688084314</v>
      </c>
      <c r="AN90" s="581">
        <f t="shared" si="93"/>
        <v>8.1732197413561369</v>
      </c>
      <c r="AO90" s="582">
        <f t="shared" si="461"/>
        <v>15.00148925716794</v>
      </c>
      <c r="AP90" s="585">
        <f t="shared" si="95"/>
        <v>2.1817595999645021</v>
      </c>
      <c r="AQ90" s="586">
        <f t="shared" si="471"/>
        <v>0.84412324149460705</v>
      </c>
      <c r="AS90" s="52">
        <f t="shared" si="543"/>
        <v>-310.00300721867268</v>
      </c>
      <c r="AT90" s="72">
        <f t="shared" si="472"/>
        <v>5.4079379943411943E-2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9.1120000000000001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-2.6575576253498232</v>
      </c>
      <c r="C91" s="708">
        <v>2.2541720785834509</v>
      </c>
      <c r="D91" s="709">
        <v>-0.15520046808461177</v>
      </c>
      <c r="E91" s="710">
        <v>-0.67491446809377875</v>
      </c>
      <c r="F91" s="708">
        <v>-0.69322345514775796</v>
      </c>
      <c r="G91" s="711">
        <v>0.25284719098834396</v>
      </c>
      <c r="H91" s="710">
        <v>0.314</v>
      </c>
      <c r="I91" s="708">
        <v>0.52</v>
      </c>
      <c r="J91" s="570">
        <v>9.1180000000000003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9.1180000000000003</v>
      </c>
      <c r="N91" s="632">
        <f t="shared" si="465"/>
        <v>-2.6575576253498232</v>
      </c>
      <c r="O91" s="629">
        <f t="shared" si="466"/>
        <v>2.2541720785834509</v>
      </c>
      <c r="P91" s="633">
        <f t="shared" si="467"/>
        <v>-0.15520046808461177</v>
      </c>
      <c r="Q91" s="585">
        <f t="shared" si="520"/>
        <v>139.69499282493078</v>
      </c>
      <c r="R91" s="629">
        <f t="shared" si="79"/>
        <v>3.484810510188499</v>
      </c>
      <c r="S91" s="634">
        <f t="shared" si="80"/>
        <v>-0.15520046808461177</v>
      </c>
      <c r="T91" s="635">
        <f t="shared" si="81"/>
        <v>2.2541720785834505</v>
      </c>
      <c r="U91" s="629">
        <f t="shared" si="82"/>
        <v>2.6575576253498236</v>
      </c>
      <c r="V91" s="636">
        <f t="shared" si="114"/>
        <v>-0.15520046808461177</v>
      </c>
      <c r="W91" s="585">
        <f t="shared" si="645"/>
        <v>49.694992824930779</v>
      </c>
      <c r="X91" s="629">
        <f t="shared" si="83"/>
        <v>3.484810510188499</v>
      </c>
      <c r="Y91" s="630">
        <f t="shared" si="644"/>
        <v>-0.15520046808461177</v>
      </c>
      <c r="Z91" s="632">
        <f t="shared" si="468"/>
        <v>0.67491446809377875</v>
      </c>
      <c r="AA91" s="629">
        <f t="shared" si="469"/>
        <v>0.69322345514775796</v>
      </c>
      <c r="AB91" s="629">
        <f t="shared" si="470"/>
        <v>-0.25284719098834396</v>
      </c>
      <c r="AC91" s="636">
        <f t="shared" si="84"/>
        <v>1</v>
      </c>
      <c r="AD91" s="637">
        <f t="shared" si="115"/>
        <v>0.67491446809377875</v>
      </c>
      <c r="AE91" s="629">
        <f t="shared" si="85"/>
        <v>0.69322345514775796</v>
      </c>
      <c r="AF91" s="633">
        <f t="shared" si="86"/>
        <v>-0.25284719098834396</v>
      </c>
      <c r="AG91" s="602">
        <f t="shared" si="87"/>
        <v>69.961001222395993</v>
      </c>
      <c r="AH91" s="603">
        <f t="shared" si="88"/>
        <v>47.552491486659861</v>
      </c>
      <c r="AI91" s="585">
        <f t="shared" si="89"/>
        <v>-75.353941529049436</v>
      </c>
      <c r="AJ91" s="586">
        <f t="shared" si="90"/>
        <v>135.76671003059016</v>
      </c>
      <c r="AK91" s="635">
        <f t="shared" si="211"/>
        <v>0.96523315080518601</v>
      </c>
      <c r="AL91" s="629">
        <f t="shared" si="91"/>
        <v>-6.6281691257819575E-2</v>
      </c>
      <c r="AM91" s="634">
        <f t="shared" si="92"/>
        <v>-0.25284719098834396</v>
      </c>
      <c r="AN91" s="581">
        <f t="shared" si="93"/>
        <v>-14.689075060744923</v>
      </c>
      <c r="AO91" s="582">
        <f t="shared" si="461"/>
        <v>15.152582215898754</v>
      </c>
      <c r="AP91" s="585">
        <f t="shared" si="95"/>
        <v>-3.9282827943406211</v>
      </c>
      <c r="AQ91" s="586">
        <f t="shared" si="471"/>
        <v>0.6541611279297791</v>
      </c>
      <c r="AS91" s="52">
        <f t="shared" si="543"/>
        <v>-310.30500717506925</v>
      </c>
      <c r="AT91" s="72">
        <f t="shared" si="472"/>
        <v>6.0289120231408561E-2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9.1180000000000003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-3.2046474729937588</v>
      </c>
      <c r="C92" s="708">
        <v>2.7744852484443467</v>
      </c>
      <c r="D92" s="709">
        <v>-0.37090111863777386</v>
      </c>
      <c r="E92" s="710">
        <v>-0.74162345196951607</v>
      </c>
      <c r="F92" s="708">
        <v>-0.63280851696751672</v>
      </c>
      <c r="G92" s="711">
        <v>0.22259388208616859</v>
      </c>
      <c r="H92" s="710">
        <v>0.314</v>
      </c>
      <c r="I92" s="708">
        <v>0.52</v>
      </c>
      <c r="J92" s="570">
        <v>9.1240000000000006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9.1240000000000006</v>
      </c>
      <c r="N92" s="632">
        <f t="shared" si="465"/>
        <v>-3.2046474729937588</v>
      </c>
      <c r="O92" s="629">
        <f t="shared" si="466"/>
        <v>2.7744852484443467</v>
      </c>
      <c r="P92" s="633">
        <f t="shared" si="467"/>
        <v>-0.37090111863777386</v>
      </c>
      <c r="Q92" s="585">
        <f t="shared" si="520"/>
        <v>139.11499290867241</v>
      </c>
      <c r="R92" s="629">
        <f t="shared" si="79"/>
        <v>4.2388127842593581</v>
      </c>
      <c r="S92" s="634">
        <f t="shared" si="80"/>
        <v>-0.37090111863777386</v>
      </c>
      <c r="T92" s="635">
        <f t="shared" si="81"/>
        <v>2.7744852484443463</v>
      </c>
      <c r="U92" s="629">
        <f t="shared" si="82"/>
        <v>3.2046474729937593</v>
      </c>
      <c r="V92" s="636">
        <f t="shared" si="114"/>
        <v>-0.37090111863777386</v>
      </c>
      <c r="W92" s="585">
        <f t="shared" si="645"/>
        <v>49.114992908672406</v>
      </c>
      <c r="X92" s="629">
        <f t="shared" si="83"/>
        <v>4.2388127842593581</v>
      </c>
      <c r="Y92" s="630">
        <f t="shared" si="644"/>
        <v>-0.37090111863777386</v>
      </c>
      <c r="Z92" s="632">
        <f t="shared" si="468"/>
        <v>0.74162345196951607</v>
      </c>
      <c r="AA92" s="629">
        <f t="shared" si="469"/>
        <v>0.63280851696751672</v>
      </c>
      <c r="AB92" s="629">
        <f t="shared" si="470"/>
        <v>-0.22259388208616859</v>
      </c>
      <c r="AC92" s="636">
        <f t="shared" si="84"/>
        <v>1</v>
      </c>
      <c r="AD92" s="637">
        <f t="shared" si="115"/>
        <v>0.74162345196951607</v>
      </c>
      <c r="AE92" s="629">
        <f t="shared" si="85"/>
        <v>0.63280851696751672</v>
      </c>
      <c r="AF92" s="633">
        <f t="shared" si="86"/>
        <v>-0.22259388208616859</v>
      </c>
      <c r="AG92" s="602">
        <f t="shared" si="87"/>
        <v>70.620396402438871</v>
      </c>
      <c r="AH92" s="603">
        <f t="shared" si="88"/>
        <v>42.130107000596837</v>
      </c>
      <c r="AI92" s="585">
        <f t="shared" si="89"/>
        <v>-77.13856999956549</v>
      </c>
      <c r="AJ92" s="586">
        <f t="shared" si="90"/>
        <v>130.47328703380052</v>
      </c>
      <c r="AK92" s="635">
        <f t="shared" si="211"/>
        <v>0.96384335664698151</v>
      </c>
      <c r="AL92" s="629">
        <f t="shared" si="91"/>
        <v>-0.14648531498170247</v>
      </c>
      <c r="AM92" s="634">
        <f t="shared" si="92"/>
        <v>-0.22259388208616859</v>
      </c>
      <c r="AN92" s="581">
        <f t="shared" si="93"/>
        <v>-33.348246681490572</v>
      </c>
      <c r="AO92" s="582">
        <f t="shared" si="461"/>
        <v>15.454287846159561</v>
      </c>
      <c r="AP92" s="585">
        <f t="shared" si="95"/>
        <v>-8.6417058748718905</v>
      </c>
      <c r="AQ92" s="586">
        <f t="shared" si="471"/>
        <v>0.53780617237155726</v>
      </c>
      <c r="AS92" s="52">
        <f t="shared" si="543"/>
        <v>-310.88500709132757</v>
      </c>
      <c r="AT92" s="73">
        <f t="shared" si="472"/>
        <v>-0.15500875260212971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9.1240000000000006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-3.6695066293700211</v>
      </c>
      <c r="C93" s="708">
        <v>3.2492472501862482</v>
      </c>
      <c r="D93" s="709">
        <v>-0.79060238445679143</v>
      </c>
      <c r="E93" s="710">
        <v>-0.79903152820917889</v>
      </c>
      <c r="F93" s="708">
        <v>-0.57146663265114472</v>
      </c>
      <c r="G93" s="711">
        <v>0.18701471785414647</v>
      </c>
      <c r="H93" s="710">
        <v>0.314</v>
      </c>
      <c r="I93" s="708">
        <v>0.52</v>
      </c>
      <c r="J93" s="570">
        <v>9.1300000000000008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9.1300000000000008</v>
      </c>
      <c r="N93" s="632">
        <f t="shared" si="465"/>
        <v>-3.6695066293700211</v>
      </c>
      <c r="O93" s="629">
        <f t="shared" si="466"/>
        <v>3.2492472501862482</v>
      </c>
      <c r="P93" s="633">
        <f t="shared" si="467"/>
        <v>-0.79060238445679143</v>
      </c>
      <c r="Q93" s="585">
        <f t="shared" si="520"/>
        <v>138.47599300093256</v>
      </c>
      <c r="R93" s="629">
        <f t="shared" si="79"/>
        <v>4.9013147823653833</v>
      </c>
      <c r="S93" s="634">
        <f t="shared" si="80"/>
        <v>-0.79060238445679143</v>
      </c>
      <c r="T93" s="635">
        <f t="shared" si="81"/>
        <v>3.2492472501862486</v>
      </c>
      <c r="U93" s="629">
        <f t="shared" si="82"/>
        <v>3.6695066293700203</v>
      </c>
      <c r="V93" s="636">
        <f t="shared" si="114"/>
        <v>-0.79060238445679143</v>
      </c>
      <c r="W93" s="585">
        <f t="shared" si="645"/>
        <v>48.475993000932561</v>
      </c>
      <c r="X93" s="629">
        <f t="shared" si="83"/>
        <v>4.9013147823653833</v>
      </c>
      <c r="Y93" s="630">
        <f t="shared" si="644"/>
        <v>-0.79060238445679143</v>
      </c>
      <c r="Z93" s="632">
        <f t="shared" si="468"/>
        <v>0.79903152820917889</v>
      </c>
      <c r="AA93" s="629">
        <f t="shared" si="469"/>
        <v>0.57146663265114472</v>
      </c>
      <c r="AB93" s="629">
        <f t="shared" si="470"/>
        <v>-0.18701471785414647</v>
      </c>
      <c r="AC93" s="636">
        <f t="shared" si="84"/>
        <v>1</v>
      </c>
      <c r="AD93" s="637">
        <f t="shared" si="115"/>
        <v>0.79903152820917889</v>
      </c>
      <c r="AE93" s="629">
        <f t="shared" si="85"/>
        <v>0.57146663265114472</v>
      </c>
      <c r="AF93" s="633">
        <f t="shared" si="86"/>
        <v>-0.18701471785414647</v>
      </c>
      <c r="AG93" s="602">
        <f t="shared" si="87"/>
        <v>71.879111076569814</v>
      </c>
      <c r="AH93" s="603">
        <f t="shared" si="88"/>
        <v>36.962280624795071</v>
      </c>
      <c r="AI93" s="585">
        <f t="shared" si="89"/>
        <v>-79.221382440159104</v>
      </c>
      <c r="AJ93" s="586">
        <f t="shared" si="90"/>
        <v>125.57231598635049</v>
      </c>
      <c r="AK93" s="635">
        <f t="shared" si="211"/>
        <v>0.95754951502175434</v>
      </c>
      <c r="AL93" s="629">
        <f t="shared" si="91"/>
        <v>-0.21937279135648829</v>
      </c>
      <c r="AM93" s="634">
        <f t="shared" si="92"/>
        <v>-0.18701471785414647</v>
      </c>
      <c r="AN93" s="581">
        <f t="shared" si="93"/>
        <v>-49.552496820865656</v>
      </c>
      <c r="AO93" s="582">
        <f t="shared" si="461"/>
        <v>16.754342573880301</v>
      </c>
      <c r="AP93" s="585">
        <f t="shared" si="95"/>
        <v>-12.903677014582074</v>
      </c>
      <c r="AQ93" s="586">
        <f t="shared" si="471"/>
        <v>0.46511531212485668</v>
      </c>
      <c r="AS93" s="52">
        <f t="shared" si="543"/>
        <v>-311.52400699906741</v>
      </c>
      <c r="AT93" s="73">
        <f t="shared" si="472"/>
        <v>-0.57426626848521689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9.1300000000000008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-4.0217281248498074</v>
      </c>
      <c r="C94" s="708">
        <v>3.6311070687098268</v>
      </c>
      <c r="D94" s="709">
        <v>-1.3803041629973558</v>
      </c>
      <c r="E94" s="710">
        <v>-0.84900229360628732</v>
      </c>
      <c r="F94" s="708">
        <v>-0.50783373852608749</v>
      </c>
      <c r="G94" s="711">
        <v>0.14594519336340298</v>
      </c>
      <c r="H94" s="710">
        <v>0.314</v>
      </c>
      <c r="I94" s="708">
        <v>0.52</v>
      </c>
      <c r="J94" s="570">
        <v>9.1359999999999992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9.1359999999999992</v>
      </c>
      <c r="N94" s="632">
        <f t="shared" si="465"/>
        <v>-4.0217281248498074</v>
      </c>
      <c r="O94" s="629">
        <f t="shared" si="466"/>
        <v>3.6311070687098268</v>
      </c>
      <c r="P94" s="633">
        <f t="shared" si="467"/>
        <v>-1.3803041629973558</v>
      </c>
      <c r="Q94" s="585">
        <f t="shared" si="520"/>
        <v>137.92199308092026</v>
      </c>
      <c r="R94" s="629">
        <f t="shared" si="79"/>
        <v>5.4184163419436882</v>
      </c>
      <c r="S94" s="634">
        <f t="shared" si="80"/>
        <v>-1.3803041629973558</v>
      </c>
      <c r="T94" s="635">
        <f t="shared" si="81"/>
        <v>3.6311070687098268</v>
      </c>
      <c r="U94" s="629">
        <f t="shared" si="82"/>
        <v>4.0217281248498074</v>
      </c>
      <c r="V94" s="636">
        <f t="shared" si="114"/>
        <v>-1.3803041629973558</v>
      </c>
      <c r="W94" s="585">
        <f t="shared" si="645"/>
        <v>47.921993080920259</v>
      </c>
      <c r="X94" s="629">
        <f t="shared" si="83"/>
        <v>5.4184163419436882</v>
      </c>
      <c r="Y94" s="630">
        <f t="shared" si="644"/>
        <v>-1.3803041629973558</v>
      </c>
      <c r="Z94" s="632">
        <f t="shared" si="468"/>
        <v>0.84900229360628732</v>
      </c>
      <c r="AA94" s="629">
        <f t="shared" si="469"/>
        <v>0.50783373852608749</v>
      </c>
      <c r="AB94" s="629">
        <f t="shared" si="470"/>
        <v>-0.14594519336340298</v>
      </c>
      <c r="AC94" s="636">
        <f t="shared" si="84"/>
        <v>1</v>
      </c>
      <c r="AD94" s="637">
        <f t="shared" si="115"/>
        <v>0.84900229360628732</v>
      </c>
      <c r="AE94" s="629">
        <f t="shared" si="85"/>
        <v>0.50783373852608749</v>
      </c>
      <c r="AF94" s="633">
        <f t="shared" si="86"/>
        <v>-0.14594519336340298</v>
      </c>
      <c r="AG94" s="602">
        <f t="shared" si="87"/>
        <v>73.965997529544111</v>
      </c>
      <c r="AH94" s="603">
        <f t="shared" si="88"/>
        <v>31.89668140103289</v>
      </c>
      <c r="AI94" s="585">
        <f t="shared" si="89"/>
        <v>-81.60798293219527</v>
      </c>
      <c r="AJ94" s="586">
        <f t="shared" si="90"/>
        <v>120.88590373873333</v>
      </c>
      <c r="AK94" s="635">
        <f t="shared" si="211"/>
        <v>0.9458829176652257</v>
      </c>
      <c r="AL94" s="629">
        <f t="shared" si="91"/>
        <v>-0.28983703456121512</v>
      </c>
      <c r="AM94" s="634">
        <f t="shared" si="92"/>
        <v>-0.14594519336340298</v>
      </c>
      <c r="AN94" s="581">
        <f t="shared" si="93"/>
        <v>-63.272814071277274</v>
      </c>
      <c r="AO94" s="582">
        <f t="shared" si="461"/>
        <v>18.93577596353925</v>
      </c>
      <c r="AP94" s="585">
        <f t="shared" si="95"/>
        <v>-17.03608934218693</v>
      </c>
      <c r="AQ94" s="586">
        <f t="shared" si="471"/>
        <v>0.42072914163580072</v>
      </c>
      <c r="AS94" s="52">
        <f t="shared" si="543"/>
        <v>-312.07800691907971</v>
      </c>
      <c r="AT94" s="73">
        <f t="shared" si="472"/>
        <v>-1.1635833248591061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9.1359999999999992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-4.2412696567056924</v>
      </c>
      <c r="C95" s="708">
        <v>3.8796050049325004</v>
      </c>
      <c r="D95" s="709">
        <v>-2.0919063091894281</v>
      </c>
      <c r="E95" s="710">
        <v>-0.90895423080986937</v>
      </c>
      <c r="F95" s="708">
        <v>-0.39853664982736325</v>
      </c>
      <c r="G95" s="711">
        <v>0.12235499596346892</v>
      </c>
      <c r="H95" s="710">
        <v>0.314</v>
      </c>
      <c r="I95" s="708">
        <v>0.52</v>
      </c>
      <c r="J95" s="570">
        <v>9.1419999999999995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9.1419999999999995</v>
      </c>
      <c r="N95" s="632">
        <f t="shared" si="465"/>
        <v>-4.2412696567056924</v>
      </c>
      <c r="O95" s="629">
        <f t="shared" si="466"/>
        <v>3.8796050049325004</v>
      </c>
      <c r="P95" s="633">
        <f t="shared" si="467"/>
        <v>-2.0919063091894281</v>
      </c>
      <c r="Q95" s="585">
        <f t="shared" si="520"/>
        <v>137.5499931346304</v>
      </c>
      <c r="R95" s="629">
        <f t="shared" si="79"/>
        <v>5.7480173360202844</v>
      </c>
      <c r="S95" s="634">
        <f t="shared" si="80"/>
        <v>-2.0919063091894281</v>
      </c>
      <c r="T95" s="635">
        <f t="shared" si="81"/>
        <v>3.8796050049325017</v>
      </c>
      <c r="U95" s="629">
        <f t="shared" si="82"/>
        <v>4.2412696567056916</v>
      </c>
      <c r="V95" s="636">
        <f t="shared" si="114"/>
        <v>-2.0919063091894281</v>
      </c>
      <c r="W95" s="585">
        <f t="shared" si="645"/>
        <v>47.549993134630398</v>
      </c>
      <c r="X95" s="629">
        <f t="shared" si="83"/>
        <v>5.7480173360202844</v>
      </c>
      <c r="Y95" s="630">
        <f t="shared" si="644"/>
        <v>-2.0919063091894281</v>
      </c>
      <c r="Z95" s="632">
        <f t="shared" si="468"/>
        <v>0.90895423080986937</v>
      </c>
      <c r="AA95" s="629">
        <f t="shared" si="469"/>
        <v>0.39853664982736325</v>
      </c>
      <c r="AB95" s="629">
        <f t="shared" si="470"/>
        <v>-0.12235499596346892</v>
      </c>
      <c r="AC95" s="636">
        <f t="shared" si="84"/>
        <v>1</v>
      </c>
      <c r="AD95" s="637">
        <f t="shared" si="115"/>
        <v>0.90895423080986937</v>
      </c>
      <c r="AE95" s="629">
        <f t="shared" si="85"/>
        <v>0.39853664982736325</v>
      </c>
      <c r="AF95" s="633">
        <f t="shared" si="86"/>
        <v>-0.12235499596346892</v>
      </c>
      <c r="AG95" s="602">
        <f t="shared" si="87"/>
        <v>72.932956140133527</v>
      </c>
      <c r="AH95" s="603">
        <f t="shared" si="88"/>
        <v>24.638768324934112</v>
      </c>
      <c r="AI95" s="585">
        <f t="shared" si="89"/>
        <v>-82.971964347569156</v>
      </c>
      <c r="AJ95" s="586">
        <f t="shared" si="90"/>
        <v>113.67534776499186</v>
      </c>
      <c r="AK95" s="635">
        <f t="shared" si="211"/>
        <v>0.90756246513242411</v>
      </c>
      <c r="AL95" s="629">
        <f t="shared" si="91"/>
        <v>-0.40169593829853084</v>
      </c>
      <c r="AM95" s="634">
        <f t="shared" si="92"/>
        <v>-0.12235499596346892</v>
      </c>
      <c r="AN95" s="581">
        <f t="shared" si="93"/>
        <v>-73.059471358873637</v>
      </c>
      <c r="AO95" s="582">
        <f t="shared" si="461"/>
        <v>24.829353853720246</v>
      </c>
      <c r="AP95" s="585">
        <f t="shared" si="95"/>
        <v>-23.874645369638529</v>
      </c>
      <c r="AQ95" s="586">
        <f t="shared" si="471"/>
        <v>0.39660461819055248</v>
      </c>
      <c r="AS95" s="52">
        <f t="shared" si="543"/>
        <v>-312.45000686536957</v>
      </c>
      <c r="AT95" s="73">
        <f t="shared" si="472"/>
        <v>-1.8749271377551437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9.1419999999999995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-4.3172171968867206</v>
      </c>
      <c r="C96" s="708">
        <v>3.9673832604968013</v>
      </c>
      <c r="D96" s="709">
        <v>-2.8677086490092858</v>
      </c>
      <c r="E96" s="710">
        <v>-0.95511570759417497</v>
      </c>
      <c r="F96" s="708">
        <v>-0.29026564024018359</v>
      </c>
      <c r="G96" s="711">
        <v>5.9159472638240965E-2</v>
      </c>
      <c r="H96" s="710">
        <v>0.314</v>
      </c>
      <c r="I96" s="708">
        <v>0.52</v>
      </c>
      <c r="J96" s="570">
        <v>9.1479999999999997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9.1479999999999997</v>
      </c>
      <c r="N96" s="632">
        <f t="shared" si="465"/>
        <v>-4.3172171968867206</v>
      </c>
      <c r="O96" s="629">
        <f t="shared" si="466"/>
        <v>3.9673832604968013</v>
      </c>
      <c r="P96" s="633">
        <f t="shared" si="467"/>
        <v>-2.8677086490092858</v>
      </c>
      <c r="Q96" s="585">
        <f t="shared" si="520"/>
        <v>137.41799315368885</v>
      </c>
      <c r="R96" s="629">
        <f t="shared" si="79"/>
        <v>5.8633176837661338</v>
      </c>
      <c r="S96" s="634">
        <f t="shared" si="80"/>
        <v>-2.8677086490092858</v>
      </c>
      <c r="T96" s="635">
        <f t="shared" si="81"/>
        <v>3.9673832604968013</v>
      </c>
      <c r="U96" s="629">
        <f t="shared" si="82"/>
        <v>4.3172171968867206</v>
      </c>
      <c r="V96" s="636">
        <f t="shared" si="114"/>
        <v>-2.8677086490092858</v>
      </c>
      <c r="W96" s="585">
        <f t="shared" si="645"/>
        <v>47.417993153688855</v>
      </c>
      <c r="X96" s="629">
        <f t="shared" si="83"/>
        <v>5.8633176837661338</v>
      </c>
      <c r="Y96" s="630">
        <f t="shared" si="644"/>
        <v>-2.8677086490092858</v>
      </c>
      <c r="Z96" s="632">
        <f t="shared" si="468"/>
        <v>0.95511570759417497</v>
      </c>
      <c r="AA96" s="629">
        <f t="shared" si="469"/>
        <v>0.29026564024018359</v>
      </c>
      <c r="AB96" s="629">
        <f t="shared" si="470"/>
        <v>-5.9159472638240965E-2</v>
      </c>
      <c r="AC96" s="636">
        <f t="shared" si="84"/>
        <v>1</v>
      </c>
      <c r="AD96" s="637">
        <f t="shared" si="115"/>
        <v>0.95511570759417497</v>
      </c>
      <c r="AE96" s="629">
        <f t="shared" si="85"/>
        <v>0.29026564024018359</v>
      </c>
      <c r="AF96" s="633">
        <f t="shared" si="86"/>
        <v>-5.9159472638240965E-2</v>
      </c>
      <c r="AG96" s="602">
        <f t="shared" si="87"/>
        <v>78.48023929162855</v>
      </c>
      <c r="AH96" s="603">
        <f t="shared" si="88"/>
        <v>17.231487655350875</v>
      </c>
      <c r="AI96" s="585">
        <f t="shared" si="89"/>
        <v>-86.60843160805598</v>
      </c>
      <c r="AJ96" s="586">
        <f t="shared" si="90"/>
        <v>106.90435501531852</v>
      </c>
      <c r="AK96" s="635">
        <f t="shared" si="211"/>
        <v>0.85999943305443904</v>
      </c>
      <c r="AL96" s="629">
        <f t="shared" si="91"/>
        <v>-0.5068541525362189</v>
      </c>
      <c r="AM96" s="634">
        <f t="shared" si="92"/>
        <v>-5.9159472638240965E-2</v>
      </c>
      <c r="AN96" s="581">
        <f t="shared" si="93"/>
        <v>-83.342620904983008</v>
      </c>
      <c r="AO96" s="582">
        <f t="shared" si="461"/>
        <v>30.683480765525474</v>
      </c>
      <c r="AP96" s="585">
        <f t="shared" si="95"/>
        <v>-30.513638138370336</v>
      </c>
      <c r="AQ96" s="586">
        <f t="shared" si="471"/>
        <v>0.38880575158356184</v>
      </c>
      <c r="AS96" s="52">
        <f t="shared" si="543"/>
        <v>-312.58200684631117</v>
      </c>
      <c r="AT96" s="73">
        <f t="shared" si="472"/>
        <v>-2.6506378109215696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9.1479999999999997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-4.3393177567212113</v>
      </c>
      <c r="C97" s="708">
        <v>3.9932843105279492</v>
      </c>
      <c r="D97" s="709">
        <v>-3.6387109743522985</v>
      </c>
      <c r="E97" s="710">
        <v>-0.97675466546721834</v>
      </c>
      <c r="F97" s="708">
        <v>-0.21436026564642457</v>
      </c>
      <c r="G97" s="711">
        <v>1.3008419238304243E-7</v>
      </c>
      <c r="H97" s="710">
        <v>0.314</v>
      </c>
      <c r="I97" s="708">
        <v>0.52</v>
      </c>
      <c r="J97" s="570">
        <v>9.1539999999999999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9.1539999999999999</v>
      </c>
      <c r="N97" s="632">
        <f t="shared" si="465"/>
        <v>-4.3393177567212113</v>
      </c>
      <c r="O97" s="629">
        <f t="shared" si="466"/>
        <v>3.9932843105279492</v>
      </c>
      <c r="P97" s="633">
        <f t="shared" si="467"/>
        <v>-3.6387109743522985</v>
      </c>
      <c r="Q97" s="585">
        <f t="shared" si="520"/>
        <v>137.37799315946413</v>
      </c>
      <c r="R97" s="629">
        <f t="shared" si="79"/>
        <v>5.8971177857072421</v>
      </c>
      <c r="S97" s="634">
        <f t="shared" si="80"/>
        <v>-3.6387109743522985</v>
      </c>
      <c r="T97" s="635">
        <f t="shared" si="81"/>
        <v>3.9932843105279496</v>
      </c>
      <c r="U97" s="629">
        <f t="shared" si="82"/>
        <v>4.3393177567212113</v>
      </c>
      <c r="V97" s="636">
        <f t="shared" si="114"/>
        <v>-3.6387109743522985</v>
      </c>
      <c r="W97" s="585">
        <f t="shared" si="645"/>
        <v>47.377993159464125</v>
      </c>
      <c r="X97" s="629">
        <f t="shared" si="83"/>
        <v>5.8971177857072421</v>
      </c>
      <c r="Y97" s="630">
        <f t="shared" si="644"/>
        <v>-3.6387109743522985</v>
      </c>
      <c r="Z97" s="632">
        <f t="shared" si="468"/>
        <v>0.97675466546721834</v>
      </c>
      <c r="AA97" s="629">
        <f t="shared" si="469"/>
        <v>0.21436026564642457</v>
      </c>
      <c r="AB97" s="629">
        <f t="shared" si="470"/>
        <v>-1.3008419238304243E-7</v>
      </c>
      <c r="AC97" s="636">
        <f t="shared" si="84"/>
        <v>1</v>
      </c>
      <c r="AD97" s="637">
        <f t="shared" si="115"/>
        <v>0.97675466546721834</v>
      </c>
      <c r="AE97" s="629">
        <f t="shared" si="85"/>
        <v>0.21436026564642457</v>
      </c>
      <c r="AF97" s="633">
        <f t="shared" si="86"/>
        <v>-1.3008419238304243E-7</v>
      </c>
      <c r="AG97" s="602">
        <f t="shared" si="87"/>
        <v>89.999965230145705</v>
      </c>
      <c r="AH97" s="603">
        <f t="shared" si="88"/>
        <v>12.37799821284103</v>
      </c>
      <c r="AI97" s="585">
        <f t="shared" si="89"/>
        <v>-89.999992546724798</v>
      </c>
      <c r="AJ97" s="586">
        <f t="shared" si="90"/>
        <v>102.37799821283886</v>
      </c>
      <c r="AK97" s="635">
        <f t="shared" si="211"/>
        <v>0.81915209487729201</v>
      </c>
      <c r="AL97" s="629">
        <f t="shared" si="91"/>
        <v>-0.57357636410344459</v>
      </c>
      <c r="AM97" s="634">
        <f t="shared" si="92"/>
        <v>-1.3008419238304243E-7</v>
      </c>
      <c r="AN97" s="581">
        <f t="shared" si="93"/>
        <v>-89.999987005609597</v>
      </c>
      <c r="AO97" s="582">
        <f t="shared" si="461"/>
        <v>34.999994946625954</v>
      </c>
      <c r="AP97" s="585">
        <f t="shared" si="95"/>
        <v>-34.999994946625264</v>
      </c>
      <c r="AQ97" s="586">
        <f t="shared" si="471"/>
        <v>0.38657732838746756</v>
      </c>
      <c r="AS97" s="52">
        <f t="shared" si="543"/>
        <v>-312.62200684053585</v>
      </c>
      <c r="AT97" s="73">
        <f t="shared" si="472"/>
        <v>-3.4216123584908154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9.1539999999999999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-2.3095958949956108</v>
      </c>
      <c r="C98" s="708">
        <v>3.5725528144198826</v>
      </c>
      <c r="D98" s="709">
        <v>-0.36664137872576724</v>
      </c>
      <c r="E98" s="710">
        <v>-0.1775606827718178</v>
      </c>
      <c r="F98" s="708">
        <v>0.27465581902578184</v>
      </c>
      <c r="G98" s="711">
        <v>0.94500602379502474</v>
      </c>
      <c r="H98" s="710">
        <v>0.25700000000000001</v>
      </c>
      <c r="I98" s="708">
        <v>0.41499999999999992</v>
      </c>
      <c r="J98" s="570">
        <v>9.2240000000000002</v>
      </c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CPS-32193r1</v>
      </c>
      <c r="L98" s="320"/>
      <c r="M98" s="168">
        <f t="shared" si="464"/>
        <v>9.2240000000000002</v>
      </c>
      <c r="N98" s="632">
        <f t="shared" si="465"/>
        <v>-2.3095958949956108</v>
      </c>
      <c r="O98" s="629">
        <f t="shared" si="466"/>
        <v>3.5725528144198826</v>
      </c>
      <c r="P98" s="633">
        <f t="shared" si="467"/>
        <v>-0.36664137872576724</v>
      </c>
      <c r="Q98" s="585">
        <f t="shared" si="520"/>
        <v>122.88199525242726</v>
      </c>
      <c r="R98" s="629">
        <f t="shared" si="79"/>
        <v>4.2541000000000002</v>
      </c>
      <c r="S98" s="634">
        <f t="shared" si="80"/>
        <v>-0.36664137872576724</v>
      </c>
      <c r="T98" s="635">
        <f t="shared" si="81"/>
        <v>3.572552814419883</v>
      </c>
      <c r="U98" s="629">
        <f t="shared" si="82"/>
        <v>2.3095958949956108</v>
      </c>
      <c r="V98" s="636">
        <f t="shared" si="114"/>
        <v>-0.36664137872576724</v>
      </c>
      <c r="W98" s="585">
        <f t="shared" si="645"/>
        <v>32.881995252427259</v>
      </c>
      <c r="X98" s="629">
        <f t="shared" si="83"/>
        <v>4.2541000000000002</v>
      </c>
      <c r="Y98" s="630">
        <f t="shared" si="644"/>
        <v>-0.36664137872576724</v>
      </c>
      <c r="Z98" s="632">
        <f t="shared" si="468"/>
        <v>0.1775606827718178</v>
      </c>
      <c r="AA98" s="629">
        <f t="shared" si="469"/>
        <v>-0.27465581902578184</v>
      </c>
      <c r="AB98" s="629">
        <f t="shared" si="470"/>
        <v>-0.94500602379502474</v>
      </c>
      <c r="AC98" s="636">
        <f t="shared" si="84"/>
        <v>1</v>
      </c>
      <c r="AD98" s="637">
        <f t="shared" si="115"/>
        <v>0.1775606827718178</v>
      </c>
      <c r="AE98" s="629">
        <f t="shared" si="85"/>
        <v>-0.27465581902578184</v>
      </c>
      <c r="AF98" s="633">
        <f t="shared" si="86"/>
        <v>-0.94500602379502474</v>
      </c>
      <c r="AG98" s="602">
        <f t="shared" si="87"/>
        <v>-16.205936958964923</v>
      </c>
      <c r="AH98" s="603">
        <f t="shared" si="88"/>
        <v>79.772291401100858</v>
      </c>
      <c r="AI98" s="585">
        <f t="shared" si="89"/>
        <v>-19.089997243749679</v>
      </c>
      <c r="AJ98" s="586">
        <f t="shared" si="90"/>
        <v>32.882034984193758</v>
      </c>
      <c r="AK98" s="635">
        <f t="shared" si="211"/>
        <v>2.2679489683485876E-7</v>
      </c>
      <c r="AL98" s="629">
        <f t="shared" si="91"/>
        <v>-0.32705292383812395</v>
      </c>
      <c r="AM98" s="634">
        <f t="shared" si="92"/>
        <v>-0.94500602379502474</v>
      </c>
      <c r="AN98" s="581">
        <f t="shared" si="93"/>
        <v>-19.089997243745422</v>
      </c>
      <c r="AO98" s="582">
        <f t="shared" si="461"/>
        <v>0</v>
      </c>
      <c r="AP98" s="585">
        <f t="shared" si="95"/>
        <v>-89.999960268233494</v>
      </c>
      <c r="AQ98" s="586">
        <f t="shared" si="471"/>
        <v>0.53587366521880075</v>
      </c>
      <c r="AS98" s="52">
        <f t="shared" si="543"/>
        <v>-327.11800474757274</v>
      </c>
      <c r="AT98" s="73">
        <f t="shared" si="472"/>
        <v>-0.13947609765106395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Nose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9.2240000000000002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0.124</v>
      </c>
      <c r="II98" s="734" cm="1">
        <f t="array" ref="II98">IFERROR(ROUND(VALUE(IF($IH98&lt;1,$IH98+LARGE((IF($M$9:$M$150="",0,$M$9:$M$150)-MOD(IF($M$9:$M$150="",0,$M$9:$M$150),1)),1),$IH98)),4),"")</f>
        <v>9.1240000000000006</v>
      </c>
      <c r="IJ98" s="533">
        <f t="shared" si="542"/>
        <v>1613</v>
      </c>
      <c r="IK98" s="533" t="str">
        <f t="shared" si="517"/>
        <v>CPS-32193r1</v>
      </c>
      <c r="IL98" s="727">
        <f t="shared" si="647"/>
        <v>16.232997656245146</v>
      </c>
      <c r="IM98" s="759">
        <v>3.2151538893454901E-2</v>
      </c>
      <c r="IN98" s="5">
        <f t="shared" si="648"/>
        <v>0.84</v>
      </c>
      <c r="IO98" s="771">
        <v>420</v>
      </c>
      <c r="IP98" s="9">
        <f t="shared" si="649"/>
        <v>-4.2388127842593581</v>
      </c>
      <c r="IQ98" s="5">
        <f t="shared" si="650"/>
        <v>-0.37090111863777386</v>
      </c>
      <c r="IR98" s="5">
        <f t="shared" si="518"/>
        <v>0.314</v>
      </c>
      <c r="IS98" s="5">
        <f t="shared" si="651"/>
        <v>0.30264681398715221</v>
      </c>
      <c r="IT98" s="727">
        <f t="shared" si="652"/>
        <v>33.348246681490572</v>
      </c>
      <c r="IU98" s="9">
        <f t="shared" si="653"/>
        <v>-4.2541000000000002</v>
      </c>
      <c r="IV98" s="5">
        <f t="shared" si="654"/>
        <v>-0.36664137872576724</v>
      </c>
      <c r="IW98" s="5">
        <f t="shared" si="519"/>
        <v>0.25700000000000001</v>
      </c>
      <c r="IX98" s="5">
        <f t="shared" si="655"/>
        <v>0.25700000000000001</v>
      </c>
      <c r="IY98" s="762">
        <f t="shared" si="656"/>
        <v>19.089997243745422</v>
      </c>
    </row>
    <row r="99" spans="1:259" ht="15" customHeight="1" x14ac:dyDescent="0.25">
      <c r="A99" s="79"/>
      <c r="B99" s="707">
        <v>-2.8855863442032841</v>
      </c>
      <c r="C99" s="708">
        <v>4.0098088246438506</v>
      </c>
      <c r="D99" s="709">
        <v>-0.73978199275635392</v>
      </c>
      <c r="E99" s="710">
        <v>-0.89463678433407101</v>
      </c>
      <c r="F99" s="708">
        <v>-0.21862729670392811</v>
      </c>
      <c r="G99" s="711">
        <v>0.38965000866460342</v>
      </c>
      <c r="H99" s="710">
        <v>0.26600000000000001</v>
      </c>
      <c r="I99" s="708">
        <v>0.52</v>
      </c>
      <c r="J99" s="570">
        <v>9.23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9.23</v>
      </c>
      <c r="N99" s="632">
        <f t="shared" si="465"/>
        <v>-2.8855863442032841</v>
      </c>
      <c r="O99" s="629">
        <f t="shared" si="466"/>
        <v>4.0098088246438506</v>
      </c>
      <c r="P99" s="633">
        <f t="shared" si="467"/>
        <v>-0.73978199275635392</v>
      </c>
      <c r="Q99" s="585">
        <f t="shared" si="520"/>
        <v>125.73999483978319</v>
      </c>
      <c r="R99" s="629">
        <f t="shared" si="79"/>
        <v>4.9401594468239756</v>
      </c>
      <c r="S99" s="634">
        <f t="shared" si="80"/>
        <v>-0.73978199275635392</v>
      </c>
      <c r="T99" s="635">
        <f t="shared" si="81"/>
        <v>4.0098088246438506</v>
      </c>
      <c r="U99" s="629">
        <f t="shared" si="82"/>
        <v>2.8855863442032836</v>
      </c>
      <c r="V99" s="636">
        <f t="shared" si="114"/>
        <v>-0.73978199275635392</v>
      </c>
      <c r="W99" s="585">
        <f t="shared" si="645"/>
        <v>35.739994839783193</v>
      </c>
      <c r="X99" s="629">
        <f t="shared" si="83"/>
        <v>4.9401594468239756</v>
      </c>
      <c r="Y99" s="630">
        <f t="shared" si="644"/>
        <v>-0.73978199275635392</v>
      </c>
      <c r="Z99" s="632">
        <f t="shared" si="468"/>
        <v>0.89463678433407101</v>
      </c>
      <c r="AA99" s="629">
        <f t="shared" si="469"/>
        <v>0.21862729670392811</v>
      </c>
      <c r="AB99" s="629">
        <f t="shared" si="470"/>
        <v>-0.38965000866460342</v>
      </c>
      <c r="AC99" s="636">
        <f t="shared" si="84"/>
        <v>1</v>
      </c>
      <c r="AD99" s="637">
        <f t="shared" si="115"/>
        <v>0.89463678433407101</v>
      </c>
      <c r="AE99" s="629">
        <f t="shared" si="85"/>
        <v>0.21862729670392811</v>
      </c>
      <c r="AF99" s="633">
        <f t="shared" si="86"/>
        <v>-0.38965000866460342</v>
      </c>
      <c r="AG99" s="602">
        <f t="shared" si="87"/>
        <v>29.296187627281643</v>
      </c>
      <c r="AH99" s="603">
        <f t="shared" si="88"/>
        <v>26.538186056218372</v>
      </c>
      <c r="AI99" s="585">
        <f t="shared" si="89"/>
        <v>-67.067276325721878</v>
      </c>
      <c r="AJ99" s="586">
        <f t="shared" si="90"/>
        <v>103.73253985647804</v>
      </c>
      <c r="AK99" s="635">
        <f t="shared" si="211"/>
        <v>0.85385713961612331</v>
      </c>
      <c r="AL99" s="629">
        <f t="shared" si="91"/>
        <v>-0.34510991853936424</v>
      </c>
      <c r="AM99" s="634">
        <f t="shared" si="92"/>
        <v>-0.38965000866460342</v>
      </c>
      <c r="AN99" s="581">
        <f t="shared" si="93"/>
        <v>-41.531057091825453</v>
      </c>
      <c r="AO99" s="582">
        <f t="shared" si="461"/>
        <v>31.366295083693704</v>
      </c>
      <c r="AP99" s="585">
        <f t="shared" si="95"/>
        <v>-22.007454983305141</v>
      </c>
      <c r="AQ99" s="586">
        <f t="shared" si="471"/>
        <v>0.46145825124689194</v>
      </c>
      <c r="AS99" s="52">
        <f t="shared" si="543"/>
        <v>-324.26000516021679</v>
      </c>
      <c r="AT99" s="73">
        <f t="shared" si="472"/>
        <v>-0.51460143361731447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9.23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0.13</v>
      </c>
      <c r="II99" s="734" cm="1">
        <f t="array" ref="II99">IFERROR(ROUND(VALUE(IF($IH99&lt;1,$IH99+LARGE((IF($M$9:$M$150="",0,$M$9:$M$150)-MOD(IF($M$9:$M$150="",0,$M$9:$M$150),1)),1),$IH99)),4),"")</f>
        <v>9.1300000000000008</v>
      </c>
      <c r="IJ99" s="533">
        <f t="shared" si="542"/>
        <v>1613</v>
      </c>
      <c r="IK99" s="533">
        <f t="shared" si="517"/>
        <v>1313</v>
      </c>
      <c r="IL99" s="727">
        <f t="shared" si="647"/>
        <v>12.735998161149368</v>
      </c>
      <c r="IM99" s="759">
        <v>9.9471287267579606E-3</v>
      </c>
      <c r="IN99" s="5">
        <f t="shared" si="648"/>
        <v>0.26</v>
      </c>
      <c r="IO99" s="771">
        <v>130</v>
      </c>
      <c r="IP99" s="9">
        <f t="shared" si="649"/>
        <v>-4.9013147823653833</v>
      </c>
      <c r="IQ99" s="5">
        <f t="shared" si="650"/>
        <v>-0.79060238445679143</v>
      </c>
      <c r="IR99" s="5">
        <f t="shared" si="518"/>
        <v>0.314</v>
      </c>
      <c r="IS99" s="5">
        <f t="shared" si="651"/>
        <v>0.30067054771683088</v>
      </c>
      <c r="IT99" s="727">
        <f t="shared" si="652"/>
        <v>49.552496820865656</v>
      </c>
      <c r="IU99" s="9">
        <f t="shared" si="653"/>
        <v>-4.9401594468239756</v>
      </c>
      <c r="IV99" s="5">
        <f t="shared" si="654"/>
        <v>-0.73978199275635392</v>
      </c>
      <c r="IW99" s="5">
        <f t="shared" si="519"/>
        <v>0.26600000000000001</v>
      </c>
      <c r="IX99" s="5">
        <f t="shared" si="655"/>
        <v>0.22712599913788883</v>
      </c>
      <c r="IY99" s="762">
        <f t="shared" si="656"/>
        <v>41.531057091825453</v>
      </c>
    </row>
    <row r="100" spans="1:259" ht="15" customHeight="1" x14ac:dyDescent="0.25">
      <c r="A100" s="79"/>
      <c r="B100" s="707">
        <v>-3.2360765695751224</v>
      </c>
      <c r="C100" s="708">
        <v>4.4116759845425895</v>
      </c>
      <c r="D100" s="709">
        <v>-1.3373740501713733</v>
      </c>
      <c r="E100" s="710">
        <v>-0.94123081167578881</v>
      </c>
      <c r="F100" s="708">
        <v>-0.12708232415990711</v>
      </c>
      <c r="G100" s="711">
        <v>0.31294511026416799</v>
      </c>
      <c r="H100" s="710">
        <v>0.26600000000000001</v>
      </c>
      <c r="I100" s="708">
        <v>0.52</v>
      </c>
      <c r="J100" s="570">
        <v>9.2360000000000007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9.2360000000000007</v>
      </c>
      <c r="N100" s="632">
        <f t="shared" si="465"/>
        <v>-3.2360765695751224</v>
      </c>
      <c r="O100" s="629">
        <f t="shared" si="466"/>
        <v>4.4116759845425895</v>
      </c>
      <c r="P100" s="633">
        <f t="shared" si="467"/>
        <v>-1.3373740501713733</v>
      </c>
      <c r="Q100" s="585">
        <f t="shared" si="520"/>
        <v>126.2609947645601</v>
      </c>
      <c r="R100" s="629">
        <f t="shared" si="79"/>
        <v>5.4712956926803828</v>
      </c>
      <c r="S100" s="634">
        <f t="shared" si="80"/>
        <v>-1.3373740501713733</v>
      </c>
      <c r="T100" s="635">
        <f t="shared" si="81"/>
        <v>4.4116759845425895</v>
      </c>
      <c r="U100" s="629">
        <f t="shared" si="82"/>
        <v>3.2360765695751206</v>
      </c>
      <c r="V100" s="636">
        <f t="shared" si="114"/>
        <v>-1.3373740501713733</v>
      </c>
      <c r="W100" s="585">
        <f t="shared" si="645"/>
        <v>36.260994764560095</v>
      </c>
      <c r="X100" s="629">
        <f t="shared" si="83"/>
        <v>5.4712956926803828</v>
      </c>
      <c r="Y100" s="630">
        <f t="shared" si="644"/>
        <v>-1.3373740501713733</v>
      </c>
      <c r="Z100" s="632">
        <f t="shared" si="468"/>
        <v>0.94123081167578881</v>
      </c>
      <c r="AA100" s="629">
        <f t="shared" si="469"/>
        <v>0.12708232415990711</v>
      </c>
      <c r="AB100" s="629">
        <f t="shared" si="470"/>
        <v>-0.31294511026416799</v>
      </c>
      <c r="AC100" s="636">
        <f t="shared" si="84"/>
        <v>1</v>
      </c>
      <c r="AD100" s="637">
        <f t="shared" si="115"/>
        <v>0.94123081167578881</v>
      </c>
      <c r="AE100" s="629">
        <f t="shared" si="85"/>
        <v>0.12708232415990711</v>
      </c>
      <c r="AF100" s="633">
        <f t="shared" si="86"/>
        <v>-0.31294511026416799</v>
      </c>
      <c r="AG100" s="602">
        <f t="shared" si="87"/>
        <v>22.101334719762949</v>
      </c>
      <c r="AH100" s="603">
        <f t="shared" si="88"/>
        <v>19.740706843622561</v>
      </c>
      <c r="AI100" s="585">
        <f t="shared" si="89"/>
        <v>-71.763193541441879</v>
      </c>
      <c r="AJ100" s="586">
        <f t="shared" si="90"/>
        <v>97.689414146214489</v>
      </c>
      <c r="AK100" s="635">
        <f t="shared" si="211"/>
        <v>0.83410836404034716</v>
      </c>
      <c r="AL100" s="629">
        <f t="shared" si="91"/>
        <v>-0.45423407511951763</v>
      </c>
      <c r="AM100" s="634">
        <f t="shared" si="92"/>
        <v>-0.31294511026416799</v>
      </c>
      <c r="AN100" s="581">
        <f t="shared" si="93"/>
        <v>-55.435054336813209</v>
      </c>
      <c r="AO100" s="582">
        <f t="shared" si="461"/>
        <v>33.476891198512497</v>
      </c>
      <c r="AP100" s="585">
        <f t="shared" si="95"/>
        <v>-28.5715806183456</v>
      </c>
      <c r="AQ100" s="586">
        <f t="shared" si="471"/>
        <v>0.41666299407139934</v>
      </c>
      <c r="AS100" s="52">
        <f t="shared" si="543"/>
        <v>-323.73900523543989</v>
      </c>
      <c r="AT100" s="73">
        <f t="shared" si="472"/>
        <v>-1.1125552965356511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9.2360000000000007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0.13600000000000001</v>
      </c>
      <c r="II100" s="734" cm="1">
        <f t="array" ref="II100">IFERROR(ROUND(VALUE(IF($IH100&lt;1,$IH100+LARGE((IF($M$9:$M$150="",0,$M$9:$M$150)-MOD(IF($M$9:$M$150="",0,$M$9:$M$150),1)),1),$IH100)),4),"")</f>
        <v>9.1359999999999992</v>
      </c>
      <c r="IJ100" s="533">
        <f t="shared" si="542"/>
        <v>1613</v>
      </c>
      <c r="IK100" s="533">
        <f t="shared" si="517"/>
        <v>1313</v>
      </c>
      <c r="IL100" s="727">
        <f t="shared" si="647"/>
        <v>11.660998316360164</v>
      </c>
      <c r="IM100" s="759">
        <v>7.5108398130320497E-3</v>
      </c>
      <c r="IN100" s="5">
        <f t="shared" si="648"/>
        <v>0.24</v>
      </c>
      <c r="IO100" s="771">
        <v>120</v>
      </c>
      <c r="IP100" s="9">
        <f t="shared" si="649"/>
        <v>-5.4184163419436882</v>
      </c>
      <c r="IQ100" s="5">
        <f t="shared" si="650"/>
        <v>-1.3803041629973558</v>
      </c>
      <c r="IR100" s="5">
        <f t="shared" si="518"/>
        <v>0.314</v>
      </c>
      <c r="IS100" s="5">
        <f t="shared" si="651"/>
        <v>0.29700723614688085</v>
      </c>
      <c r="IT100" s="727">
        <f t="shared" si="652"/>
        <v>63.272814071277274</v>
      </c>
      <c r="IU100" s="9">
        <f t="shared" si="653"/>
        <v>-5.4712956926803828</v>
      </c>
      <c r="IV100" s="5">
        <f t="shared" si="654"/>
        <v>-1.3373740501713733</v>
      </c>
      <c r="IW100" s="5">
        <f t="shared" si="519"/>
        <v>0.26600000000000001</v>
      </c>
      <c r="IX100" s="5">
        <f t="shared" si="655"/>
        <v>0.22187282483473236</v>
      </c>
      <c r="IY100" s="762">
        <f t="shared" si="656"/>
        <v>55.435054336813209</v>
      </c>
    </row>
    <row r="101" spans="1:259" ht="15" customHeight="1" x14ac:dyDescent="0.25">
      <c r="A101" s="79"/>
      <c r="B101" s="707">
        <v>-3.4510420647194411</v>
      </c>
      <c r="C101" s="708">
        <v>4.66892728703783</v>
      </c>
      <c r="D101" s="709">
        <v>-2.0649470634543223</v>
      </c>
      <c r="E101" s="710">
        <v>-0.97606872171910231</v>
      </c>
      <c r="F101" s="708">
        <v>-4.8559418100493683E-2</v>
      </c>
      <c r="G101" s="711">
        <v>0.21197130323555383</v>
      </c>
      <c r="H101" s="710">
        <v>0.26600000000000001</v>
      </c>
      <c r="I101" s="708">
        <v>0.52</v>
      </c>
      <c r="J101" s="570">
        <v>9.2420000000000009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1313</v>
      </c>
      <c r="L101" s="320"/>
      <c r="M101" s="168">
        <f t="shared" si="464"/>
        <v>9.2420000000000009</v>
      </c>
      <c r="N101" s="632">
        <f t="shared" si="465"/>
        <v>-3.4510420647194411</v>
      </c>
      <c r="O101" s="629">
        <f t="shared" si="466"/>
        <v>4.66892728703783</v>
      </c>
      <c r="P101" s="633">
        <f t="shared" si="467"/>
        <v>-2.0649470634543223</v>
      </c>
      <c r="Q101" s="585">
        <f t="shared" si="520"/>
        <v>126.46999473438422</v>
      </c>
      <c r="R101" s="629">
        <f t="shared" si="79"/>
        <v>5.8059084856815861</v>
      </c>
      <c r="S101" s="634">
        <f t="shared" si="80"/>
        <v>-2.0649470634543223</v>
      </c>
      <c r="T101" s="635">
        <f t="shared" si="81"/>
        <v>4.6689272870378309</v>
      </c>
      <c r="U101" s="629">
        <f t="shared" si="82"/>
        <v>3.4510420647194389</v>
      </c>
      <c r="V101" s="636">
        <f t="shared" si="114"/>
        <v>-2.0649470634543223</v>
      </c>
      <c r="W101" s="585">
        <f t="shared" si="645"/>
        <v>36.469994734384215</v>
      </c>
      <c r="X101" s="629">
        <f t="shared" si="83"/>
        <v>5.8059084856815861</v>
      </c>
      <c r="Y101" s="630">
        <f t="shared" si="644"/>
        <v>-2.0649470634543223</v>
      </c>
      <c r="Z101" s="632">
        <f t="shared" si="468"/>
        <v>0.97606872171910231</v>
      </c>
      <c r="AA101" s="629">
        <f t="shared" si="469"/>
        <v>4.8559418100493683E-2</v>
      </c>
      <c r="AB101" s="629">
        <f t="shared" si="470"/>
        <v>-0.21197130323555383</v>
      </c>
      <c r="AC101" s="636">
        <f t="shared" si="84"/>
        <v>1</v>
      </c>
      <c r="AD101" s="637">
        <f t="shared" si="115"/>
        <v>0.97606872171910231</v>
      </c>
      <c r="AE101" s="629">
        <f t="shared" si="85"/>
        <v>4.8559418100493683E-2</v>
      </c>
      <c r="AF101" s="633">
        <f t="shared" si="86"/>
        <v>-0.21197130323555383</v>
      </c>
      <c r="AG101" s="602">
        <f t="shared" si="87"/>
        <v>12.902955746634943</v>
      </c>
      <c r="AH101" s="603">
        <f t="shared" si="88"/>
        <v>12.560025054983754</v>
      </c>
      <c r="AI101" s="585">
        <f t="shared" si="89"/>
        <v>-77.762099284538593</v>
      </c>
      <c r="AJ101" s="586">
        <f t="shared" si="90"/>
        <v>92.848116776791699</v>
      </c>
      <c r="AK101" s="635">
        <f t="shared" si="211"/>
        <v>0.81378728152772251</v>
      </c>
      <c r="AL101" s="629">
        <f t="shared" si="91"/>
        <v>-0.54112699713499812</v>
      </c>
      <c r="AM101" s="634">
        <f t="shared" si="92"/>
        <v>-0.21197130323555383</v>
      </c>
      <c r="AN101" s="581">
        <f t="shared" si="93"/>
        <v>-68.608632770173827</v>
      </c>
      <c r="AO101" s="582">
        <f t="shared" si="461"/>
        <v>35.532373074990069</v>
      </c>
      <c r="AP101" s="585">
        <f t="shared" si="95"/>
        <v>-33.621877957592517</v>
      </c>
      <c r="AQ101" s="586">
        <f t="shared" si="471"/>
        <v>0.39265016818664655</v>
      </c>
      <c r="AS101" s="52">
        <f t="shared" si="543"/>
        <v>-323.53000526561578</v>
      </c>
      <c r="AT101" s="73">
        <f t="shared" si="472"/>
        <v>-1.8402734486865335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Taper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9.2420000000000009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0.14199999999999999</v>
      </c>
      <c r="II101" s="734" cm="1">
        <f t="array" ref="II101">IFERROR(ROUND(VALUE(IF($IH101&lt;1,$IH101+LARGE((IF($M$9:$M$150="",0,$M$9:$M$150)-MOD(IF($M$9:$M$150="",0,$M$9:$M$150),1)),1),$IH101)),4),"")</f>
        <v>9.1419999999999995</v>
      </c>
      <c r="IJ101" s="533">
        <f t="shared" si="542"/>
        <v>1613</v>
      </c>
      <c r="IK101" s="533">
        <f t="shared" si="517"/>
        <v>1313</v>
      </c>
      <c r="IL101" s="727">
        <f t="shared" si="647"/>
        <v>11.079998400246183</v>
      </c>
      <c r="IM101" s="759">
        <v>4.9407522239533902E-3</v>
      </c>
      <c r="IN101" s="5">
        <f t="shared" si="648"/>
        <v>0.22</v>
      </c>
      <c r="IO101" s="771">
        <v>110</v>
      </c>
      <c r="IP101" s="9">
        <f t="shared" si="649"/>
        <v>-5.7480173360202844</v>
      </c>
      <c r="IQ101" s="5">
        <f t="shared" si="650"/>
        <v>-2.0919063091894281</v>
      </c>
      <c r="IR101" s="5">
        <f t="shared" si="518"/>
        <v>0.314</v>
      </c>
      <c r="IS101" s="5">
        <f t="shared" si="651"/>
        <v>0.2849746140515812</v>
      </c>
      <c r="IT101" s="727">
        <f t="shared" si="652"/>
        <v>73.059471358873637</v>
      </c>
      <c r="IU101" s="9">
        <f t="shared" si="653"/>
        <v>-5.8059084856815861</v>
      </c>
      <c r="IV101" s="5">
        <f t="shared" si="654"/>
        <v>-2.0649470634543223</v>
      </c>
      <c r="IW101" s="5">
        <f t="shared" si="519"/>
        <v>0.26600000000000001</v>
      </c>
      <c r="IX101" s="5">
        <f t="shared" si="655"/>
        <v>0.21646741688637419</v>
      </c>
      <c r="IY101" s="762">
        <f t="shared" si="656"/>
        <v>68.608632770173827</v>
      </c>
    </row>
    <row r="102" spans="1:259" ht="15" customHeight="1" x14ac:dyDescent="0.25">
      <c r="A102" s="79"/>
      <c r="B102" s="707">
        <v>-3.5198736322716839</v>
      </c>
      <c r="C102" s="708">
        <v>4.7524988830388528</v>
      </c>
      <c r="D102" s="709">
        <v>-2.8593267713950716</v>
      </c>
      <c r="E102" s="710">
        <v>-0.99621763283560327</v>
      </c>
      <c r="F102" s="708">
        <v>-2.1665019903234523E-2</v>
      </c>
      <c r="G102" s="711">
        <v>8.4149004391136914E-2</v>
      </c>
      <c r="H102" s="710">
        <v>0.26600000000000001</v>
      </c>
      <c r="I102" s="708">
        <v>0.52</v>
      </c>
      <c r="J102" s="570">
        <v>9.2479999999999993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1313</v>
      </c>
      <c r="L102" s="320"/>
      <c r="M102" s="168">
        <f t="shared" si="464"/>
        <v>9.2479999999999993</v>
      </c>
      <c r="N102" s="632">
        <f t="shared" si="465"/>
        <v>-3.5198736322716839</v>
      </c>
      <c r="O102" s="629">
        <f t="shared" si="466"/>
        <v>4.7524988830388528</v>
      </c>
      <c r="P102" s="633">
        <f t="shared" si="467"/>
        <v>-2.8593267713950716</v>
      </c>
      <c r="Q102" s="585">
        <f t="shared" si="520"/>
        <v>126.52499472644324</v>
      </c>
      <c r="R102" s="629">
        <f t="shared" si="79"/>
        <v>5.9140304379033255</v>
      </c>
      <c r="S102" s="634">
        <f t="shared" si="80"/>
        <v>-2.8593267713950716</v>
      </c>
      <c r="T102" s="635">
        <f t="shared" si="81"/>
        <v>4.7524988830388528</v>
      </c>
      <c r="U102" s="629">
        <f t="shared" si="82"/>
        <v>3.5198736322716839</v>
      </c>
      <c r="V102" s="636">
        <f t="shared" si="114"/>
        <v>-2.8593267713950716</v>
      </c>
      <c r="W102" s="585">
        <f t="shared" si="645"/>
        <v>36.524994726443239</v>
      </c>
      <c r="X102" s="629">
        <f t="shared" si="83"/>
        <v>5.9140304379033255</v>
      </c>
      <c r="Y102" s="630">
        <f t="shared" si="644"/>
        <v>-2.8593267713950716</v>
      </c>
      <c r="Z102" s="632">
        <f t="shared" si="468"/>
        <v>0.99621763283560327</v>
      </c>
      <c r="AA102" s="629">
        <f t="shared" si="469"/>
        <v>2.1665019903234523E-2</v>
      </c>
      <c r="AB102" s="629">
        <f t="shared" si="470"/>
        <v>-8.4149004391136914E-2</v>
      </c>
      <c r="AC102" s="636">
        <f t="shared" si="84"/>
        <v>1</v>
      </c>
      <c r="AD102" s="637">
        <f t="shared" si="115"/>
        <v>0.99621763283560327</v>
      </c>
      <c r="AE102" s="629">
        <f t="shared" si="85"/>
        <v>2.1665019903234523E-2</v>
      </c>
      <c r="AF102" s="633">
        <f t="shared" si="86"/>
        <v>-8.4149004391136914E-2</v>
      </c>
      <c r="AG102" s="602">
        <f t="shared" si="87"/>
        <v>14.437826786342368</v>
      </c>
      <c r="AH102" s="603">
        <f t="shared" si="88"/>
        <v>4.9849000630893752</v>
      </c>
      <c r="AI102" s="585">
        <f t="shared" si="89"/>
        <v>-85.172908910655948</v>
      </c>
      <c r="AJ102" s="586">
        <f t="shared" si="90"/>
        <v>91.24583075767552</v>
      </c>
      <c r="AK102" s="635">
        <f t="shared" si="211"/>
        <v>0.81345224210925704</v>
      </c>
      <c r="AL102" s="629">
        <f t="shared" si="91"/>
        <v>-0.57551228906723018</v>
      </c>
      <c r="AM102" s="634">
        <f t="shared" si="92"/>
        <v>-8.4149004391136914E-2</v>
      </c>
      <c r="AN102" s="581">
        <f t="shared" si="93"/>
        <v>-81.681397392581459</v>
      </c>
      <c r="AO102" s="582">
        <f t="shared" si="461"/>
        <v>35.565390677055781</v>
      </c>
      <c r="AP102" s="585">
        <f t="shared" si="95"/>
        <v>-35.279163968767698</v>
      </c>
      <c r="AQ102" s="586">
        <f t="shared" si="471"/>
        <v>0.3854718470404972</v>
      </c>
      <c r="AS102" s="52">
        <f t="shared" si="543"/>
        <v>-323.47500527355675</v>
      </c>
      <c r="AT102" s="73">
        <f t="shared" si="472"/>
        <v>-2.6346913510662127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Taper</v>
      </c>
      <c r="IF102" s="533" t="str">
        <f>IFERROR(IF((((($IW102*COS(RADIANS(180-$IY102)))*COS(RADIANS($IY102)))-(($IX102*SIN(RADIANS(180-$IY102)))*SIN(RADIANS($IY102))))+$IU102)&lt;(((Settings!$C$19+$IF$8)/2)*-1),"Gage",""),"")</f>
        <v>Gage</v>
      </c>
      <c r="IG102" s="847">
        <f t="shared" si="643"/>
        <v>9.2479999999999993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0.14799999999999999</v>
      </c>
      <c r="II102" s="734" cm="1">
        <f t="array" ref="II102">IFERROR(ROUND(VALUE(IF($IH102&lt;1,$IH102+LARGE((IF($M$9:$M$150="",0,$M$9:$M$150)-MOD(IF($M$9:$M$150="",0,$M$9:$M$150),1)),1),$IH102)),4),"")</f>
        <v>9.1479999999999997</v>
      </c>
      <c r="IJ102" s="533">
        <f t="shared" si="542"/>
        <v>1613</v>
      </c>
      <c r="IK102" s="533">
        <f t="shared" si="517"/>
        <v>1313</v>
      </c>
      <c r="IL102" s="727">
        <f t="shared" si="647"/>
        <v>10.892998427245615</v>
      </c>
      <c r="IM102" s="759">
        <v>2.2737656259907602E-3</v>
      </c>
      <c r="IN102" s="5">
        <f t="shared" si="648"/>
        <v>0.14000000000000001</v>
      </c>
      <c r="IO102" s="771">
        <v>70</v>
      </c>
      <c r="IP102" s="9">
        <f t="shared" si="649"/>
        <v>-5.8633176837661338</v>
      </c>
      <c r="IQ102" s="5">
        <f t="shared" si="650"/>
        <v>-2.8677086490092858</v>
      </c>
      <c r="IR102" s="5">
        <f t="shared" si="518"/>
        <v>0.314</v>
      </c>
      <c r="IS102" s="5">
        <f t="shared" si="651"/>
        <v>0.27003982197909387</v>
      </c>
      <c r="IT102" s="727">
        <f t="shared" si="652"/>
        <v>83.342620904983008</v>
      </c>
      <c r="IU102" s="9">
        <f t="shared" si="653"/>
        <v>-5.9140304379033255</v>
      </c>
      <c r="IV102" s="5">
        <f t="shared" si="654"/>
        <v>-2.8593267713950716</v>
      </c>
      <c r="IW102" s="5">
        <f t="shared" si="519"/>
        <v>0.26600000000000001</v>
      </c>
      <c r="IX102" s="5">
        <f t="shared" si="655"/>
        <v>0.21637829640106238</v>
      </c>
      <c r="IY102" s="762">
        <f t="shared" si="656"/>
        <v>81.681397392581459</v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6.6987279208207198E-2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5.3811490036520221E-2</v>
      </c>
      <c r="G157" s="170">
        <f t="shared" si="929"/>
        <v>-0.2531631939051503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0.9651969343125284</v>
      </c>
      <c r="F158" s="170">
        <f t="shared" si="929"/>
        <v>-5.5544048930848217E-2</v>
      </c>
      <c r="G158" s="170">
        <f t="shared" si="929"/>
        <v>-0.25555769724675548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0.96218837749578034</v>
      </c>
      <c r="F159" s="170">
        <f t="shared" si="929"/>
        <v>-0.14723485593526292</v>
      </c>
      <c r="G159" s="170">
        <f t="shared" si="929"/>
        <v>-0.22916243891563048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0.95233897950637159</v>
      </c>
      <c r="F160" s="170">
        <f t="shared" si="929"/>
        <v>-0.23314536386698037</v>
      </c>
      <c r="G160" s="170">
        <f t="shared" si="929"/>
        <v>-0.19670716158822515</v>
      </c>
      <c r="H160" s="139"/>
      <c r="I160" s="86"/>
      <c r="J160" s="79">
        <f t="shared" si="930"/>
        <v>1.129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0.93569487879839564</v>
      </c>
      <c r="F161" s="170">
        <f t="shared" si="929"/>
        <v>-0.3153390994196229</v>
      </c>
      <c r="G161" s="170">
        <f t="shared" si="929"/>
        <v>-0.15822877793775986</v>
      </c>
      <c r="H161" s="139"/>
      <c r="I161" s="86"/>
      <c r="J161" s="79">
        <f t="shared" si="930"/>
        <v>1.135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0.89773537086064614</v>
      </c>
      <c r="F162" s="170">
        <f t="shared" si="929"/>
        <v>-0.42119809856166973</v>
      </c>
      <c r="G162" s="170">
        <f t="shared" si="929"/>
        <v>-0.12908665954982448</v>
      </c>
      <c r="H162" s="139"/>
      <c r="I162" s="86"/>
      <c r="J162" s="79">
        <f t="shared" si="930"/>
        <v>1.141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0.84561383496386533</v>
      </c>
      <c r="F163" s="170">
        <f t="shared" si="929"/>
        <v>-0.52887561383754378</v>
      </c>
      <c r="G163" s="170">
        <f t="shared" si="929"/>
        <v>-7.2303715019811962E-2</v>
      </c>
      <c r="H163" s="139"/>
      <c r="I163" s="86"/>
      <c r="J163" s="79">
        <f t="shared" si="930"/>
        <v>1.147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0.79205536390468279</v>
      </c>
      <c r="F164" s="170">
        <f t="shared" si="929"/>
        <v>-0.61044926120833654</v>
      </c>
      <c r="G164" s="170">
        <f t="shared" si="929"/>
        <v>-1.3008419224040881E-7</v>
      </c>
      <c r="H164" s="139"/>
      <c r="I164" s="86"/>
      <c r="J164" s="79">
        <f t="shared" si="930"/>
        <v>1.153</v>
      </c>
    </row>
    <row r="165" spans="5:16" x14ac:dyDescent="0.25">
      <c r="E165" s="170">
        <f t="shared" si="929"/>
        <v>1.8487371460528875E-7</v>
      </c>
      <c r="F165" s="170">
        <f t="shared" si="929"/>
        <v>-1.3136831734884448E-7</v>
      </c>
      <c r="G165" s="170">
        <f t="shared" si="929"/>
        <v>-0.99999999999997435</v>
      </c>
      <c r="H165" s="139"/>
      <c r="I165" s="86"/>
      <c r="J165" s="79">
        <f t="shared" si="930"/>
        <v>1.2070000000000001</v>
      </c>
    </row>
    <row r="166" spans="5:16" x14ac:dyDescent="0.25">
      <c r="E166" s="170">
        <f t="shared" si="929"/>
        <v>2.0269027489888525E-7</v>
      </c>
      <c r="F166" s="170">
        <f t="shared" si="929"/>
        <v>-1.0174761732874304E-7</v>
      </c>
      <c r="G166" s="170">
        <f t="shared" si="929"/>
        <v>-0.99999999999997435</v>
      </c>
      <c r="H166" s="139"/>
      <c r="I166" s="86"/>
      <c r="J166" s="79">
        <f t="shared" si="930"/>
        <v>1.2110000000000001</v>
      </c>
    </row>
    <row r="167" spans="5:16" x14ac:dyDescent="0.25">
      <c r="E167" s="170">
        <f t="shared" si="929"/>
        <v>0.7596621961792186</v>
      </c>
      <c r="F167" s="170">
        <f t="shared" si="929"/>
        <v>-0.6086032568812022</v>
      </c>
      <c r="G167" s="170">
        <f t="shared" si="929"/>
        <v>-0.22916243891563048</v>
      </c>
      <c r="H167" s="139"/>
      <c r="I167" s="86"/>
      <c r="J167" s="79">
        <f t="shared" si="930"/>
        <v>2.2229999999999999</v>
      </c>
    </row>
    <row r="168" spans="5:16" x14ac:dyDescent="0.25">
      <c r="E168" s="170">
        <f t="shared" si="929"/>
        <v>0.70817711859481502</v>
      </c>
      <c r="F168" s="170">
        <f t="shared" si="929"/>
        <v>-0.67807924409957354</v>
      </c>
      <c r="G168" s="170">
        <f t="shared" si="929"/>
        <v>-0.1967071615882254</v>
      </c>
      <c r="H168" s="139"/>
      <c r="I168" s="86"/>
      <c r="J168" s="79">
        <f t="shared" si="930"/>
        <v>2.2290000000000001</v>
      </c>
    </row>
    <row r="169" spans="5:16" x14ac:dyDescent="0.25">
      <c r="E169" s="170">
        <f t="shared" si="929"/>
        <v>0.65266604153433494</v>
      </c>
      <c r="F169" s="170">
        <f t="shared" si="929"/>
        <v>-0.74093906096265771</v>
      </c>
      <c r="G169" s="170">
        <f t="shared" si="929"/>
        <v>-0.15822877793775988</v>
      </c>
      <c r="H169" s="139"/>
      <c r="I169" s="86"/>
      <c r="J169" s="79">
        <f t="shared" si="930"/>
        <v>2.2349999999999999</v>
      </c>
    </row>
    <row r="170" spans="5:16" x14ac:dyDescent="0.25">
      <c r="E170" s="170">
        <f t="shared" si="929"/>
        <v>0.56686264926982033</v>
      </c>
      <c r="F170" s="170">
        <f t="shared" si="929"/>
        <v>-0.81363589595658115</v>
      </c>
      <c r="G170" s="170">
        <f t="shared" si="929"/>
        <v>-0.1290866595498249</v>
      </c>
      <c r="H170" s="139"/>
      <c r="I170" s="86"/>
      <c r="J170" s="79">
        <f t="shared" si="930"/>
        <v>2.2410000000000001</v>
      </c>
    </row>
    <row r="171" spans="5:16" x14ac:dyDescent="0.25">
      <c r="E171" s="170">
        <f t="shared" si="929"/>
        <v>0.46788532254051179</v>
      </c>
      <c r="F171" s="170">
        <f t="shared" si="929"/>
        <v>-0.88082659913600181</v>
      </c>
      <c r="G171" s="170">
        <f t="shared" si="929"/>
        <v>-7.2303715019814016E-2</v>
      </c>
      <c r="H171" s="139"/>
      <c r="I171" s="86"/>
      <c r="J171" s="79">
        <f t="shared" si="930"/>
        <v>2.2469999999999999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0.38071550564617512</v>
      </c>
      <c r="F172" s="170">
        <f t="shared" si="929"/>
        <v>-0.92469222109876126</v>
      </c>
      <c r="G172" s="170">
        <f t="shared" si="929"/>
        <v>-1.3008419012681284E-7</v>
      </c>
      <c r="H172" s="139"/>
      <c r="I172" s="86"/>
      <c r="J172" s="79">
        <f t="shared" si="930"/>
        <v>2.2530000000000001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0.46892836085802692</v>
      </c>
      <c r="F173" s="170">
        <f t="shared" si="929"/>
        <v>-0.84711640802815003</v>
      </c>
      <c r="G173" s="170">
        <f t="shared" si="929"/>
        <v>-0.24999996726497559</v>
      </c>
      <c r="H173" s="139"/>
      <c r="I173" s="86"/>
      <c r="J173" s="79">
        <f t="shared" si="930"/>
        <v>3.11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0.37219896219408322</v>
      </c>
      <c r="F174" s="170">
        <f t="shared" si="933"/>
        <v>-0.8917078135051979</v>
      </c>
      <c r="G174" s="170">
        <f t="shared" si="933"/>
        <v>-0.25753661463067118</v>
      </c>
      <c r="H174" s="139"/>
      <c r="I174" s="86"/>
      <c r="J174" s="79">
        <f t="shared" si="930"/>
        <v>3.1160000000000001</v>
      </c>
    </row>
    <row r="175" spans="5:16" x14ac:dyDescent="0.25">
      <c r="E175" s="170">
        <f t="shared" si="933"/>
        <v>0.28665639167824242</v>
      </c>
      <c r="F175" s="170">
        <f t="shared" si="933"/>
        <v>-0.92872442519794607</v>
      </c>
      <c r="G175" s="170">
        <f t="shared" si="933"/>
        <v>-0.23515751136367061</v>
      </c>
      <c r="H175" s="139"/>
      <c r="I175" s="86"/>
      <c r="J175" s="79">
        <f t="shared" si="930"/>
        <v>3.1219999999999999</v>
      </c>
    </row>
    <row r="176" spans="5:16" x14ac:dyDescent="0.25">
      <c r="E176" s="170">
        <f t="shared" si="933"/>
        <v>0.20261766828689071</v>
      </c>
      <c r="F176" s="170">
        <f t="shared" si="933"/>
        <v>-0.95734656763228654</v>
      </c>
      <c r="G176" s="170">
        <f t="shared" si="933"/>
        <v>-0.20599424734847196</v>
      </c>
      <c r="H176" s="139"/>
      <c r="I176" s="86"/>
      <c r="J176" s="79">
        <f t="shared" si="930"/>
        <v>3.1280000000000001</v>
      </c>
    </row>
    <row r="177" spans="5:10" x14ac:dyDescent="0.25">
      <c r="E177" s="170">
        <f t="shared" si="933"/>
        <v>0.13037396696667233</v>
      </c>
      <c r="F177" s="170">
        <f t="shared" si="933"/>
        <v>-0.97885795381947693</v>
      </c>
      <c r="G177" s="170">
        <f t="shared" si="933"/>
        <v>-0.15760626568039679</v>
      </c>
      <c r="H177" s="139"/>
      <c r="I177" s="86"/>
      <c r="J177" s="79">
        <f t="shared" si="930"/>
        <v>3.1339999999999999</v>
      </c>
    </row>
    <row r="178" spans="5:10" x14ac:dyDescent="0.25">
      <c r="E178" s="170">
        <f t="shared" si="933"/>
        <v>1.8390827426468401E-2</v>
      </c>
      <c r="F178" s="170">
        <f t="shared" si="933"/>
        <v>-0.99071623484014049</v>
      </c>
      <c r="G178" s="170">
        <f t="shared" si="933"/>
        <v>-0.13469639746758424</v>
      </c>
      <c r="H178" s="139"/>
      <c r="I178" s="86"/>
      <c r="J178" s="79">
        <f t="shared" si="930"/>
        <v>3.14</v>
      </c>
    </row>
    <row r="179" spans="5:10" x14ac:dyDescent="0.25">
      <c r="E179" s="170">
        <f t="shared" si="933"/>
        <v>-0.10287715171886837</v>
      </c>
      <c r="F179" s="170">
        <f t="shared" si="933"/>
        <v>-0.99110574853826527</v>
      </c>
      <c r="G179" s="170">
        <f t="shared" si="933"/>
        <v>-8.441378364116818E-2</v>
      </c>
      <c r="H179" s="139"/>
      <c r="I179" s="86"/>
      <c r="J179" s="79">
        <f t="shared" si="930"/>
        <v>3.1459999999999999</v>
      </c>
    </row>
    <row r="180" spans="5:10" x14ac:dyDescent="0.25">
      <c r="E180" s="170">
        <f t="shared" si="933"/>
        <v>-0.21851858334592211</v>
      </c>
      <c r="F180" s="170">
        <f t="shared" si="933"/>
        <v>-0.97583278728093292</v>
      </c>
      <c r="G180" s="170">
        <f t="shared" si="933"/>
        <v>-1.3008419231038119E-7</v>
      </c>
      <c r="H180" s="139"/>
      <c r="I180" s="86"/>
      <c r="J180" s="79">
        <f t="shared" si="930"/>
        <v>3.1520000000000001</v>
      </c>
    </row>
    <row r="181" spans="5:10" x14ac:dyDescent="0.25">
      <c r="E181" s="170">
        <f t="shared" si="933"/>
        <v>-0.2542885454163018</v>
      </c>
      <c r="F181" s="170">
        <f t="shared" si="933"/>
        <v>-3.1961850859703586E-2</v>
      </c>
      <c r="G181" s="170">
        <f t="shared" si="933"/>
        <v>-0.9666001116075269</v>
      </c>
      <c r="H181" s="139"/>
      <c r="I181" s="86"/>
      <c r="J181" s="79">
        <f t="shared" si="930"/>
        <v>3.222</v>
      </c>
    </row>
    <row r="182" spans="5:10" x14ac:dyDescent="0.25">
      <c r="E182" s="170">
        <f t="shared" si="933"/>
        <v>-0.1494204968711477</v>
      </c>
      <c r="F182" s="170">
        <f t="shared" si="933"/>
        <v>-0.89631089589532764</v>
      </c>
      <c r="G182" s="170">
        <f t="shared" si="933"/>
        <v>-0.41749286582418915</v>
      </c>
      <c r="H182" s="139"/>
      <c r="I182" s="86"/>
      <c r="J182" s="79">
        <f t="shared" si="930"/>
        <v>3.2280000000000002</v>
      </c>
    </row>
    <row r="183" spans="5:10" x14ac:dyDescent="0.25">
      <c r="E183" s="170">
        <f t="shared" si="933"/>
        <v>-0.24604146553372058</v>
      </c>
      <c r="F183" s="170">
        <f t="shared" si="933"/>
        <v>-0.9084607950737813</v>
      </c>
      <c r="G183" s="170">
        <f t="shared" si="933"/>
        <v>-0.33787953630241091</v>
      </c>
      <c r="H183" s="139"/>
      <c r="I183" s="86"/>
      <c r="J183" s="79">
        <f t="shared" si="930"/>
        <v>3.234</v>
      </c>
    </row>
    <row r="184" spans="5:10" x14ac:dyDescent="0.25">
      <c r="E184" s="170">
        <f t="shared" si="933"/>
        <v>-0.35095653857564618</v>
      </c>
      <c r="F184" s="170">
        <f t="shared" si="933"/>
        <v>-0.9013946341220016</v>
      </c>
      <c r="G184" s="170">
        <f t="shared" si="933"/>
        <v>-0.25360840208294333</v>
      </c>
      <c r="H184" s="139"/>
      <c r="I184" s="86"/>
      <c r="J184" s="79">
        <f t="shared" si="930"/>
        <v>3.24</v>
      </c>
    </row>
    <row r="185" spans="5:10" x14ac:dyDescent="0.25">
      <c r="E185" s="170">
        <f t="shared" si="933"/>
        <v>-0.39369090368819781</v>
      </c>
      <c r="F185" s="170">
        <f t="shared" si="933"/>
        <v>-0.91044718289646842</v>
      </c>
      <c r="G185" s="170">
        <f t="shared" si="933"/>
        <v>-0.12685976316017175</v>
      </c>
      <c r="H185" s="139"/>
      <c r="I185" s="86"/>
      <c r="J185" s="79">
        <f t="shared" si="930"/>
        <v>3.246</v>
      </c>
    </row>
    <row r="186" spans="5:10" x14ac:dyDescent="0.25">
      <c r="E186" s="170">
        <f t="shared" si="933"/>
        <v>-0.42495075868149657</v>
      </c>
      <c r="F186" s="170">
        <f t="shared" si="933"/>
        <v>-0.87000969481008184</v>
      </c>
      <c r="G186" s="170">
        <f t="shared" si="933"/>
        <v>-0.24999996726497567</v>
      </c>
      <c r="H186" s="139"/>
      <c r="I186" s="86"/>
      <c r="J186" s="79">
        <f t="shared" si="930"/>
        <v>4.1029999999999998</v>
      </c>
    </row>
    <row r="187" spans="5:10" x14ac:dyDescent="0.25">
      <c r="E187" s="170">
        <f t="shared" si="933"/>
        <v>-0.42495075868149657</v>
      </c>
      <c r="F187" s="170">
        <f t="shared" si="933"/>
        <v>-0.87000969481008184</v>
      </c>
      <c r="G187" s="170">
        <f t="shared" si="933"/>
        <v>-0.24999996726497564</v>
      </c>
      <c r="H187" s="139"/>
      <c r="I187" s="86"/>
      <c r="J187" s="79">
        <f t="shared" si="930"/>
        <v>4.1059999999999999</v>
      </c>
    </row>
    <row r="188" spans="5:10" x14ac:dyDescent="0.25">
      <c r="E188" s="170">
        <f t="shared" si="933"/>
        <v>-0.42495075868149651</v>
      </c>
      <c r="F188" s="170">
        <f t="shared" si="933"/>
        <v>-0.87000969481008184</v>
      </c>
      <c r="G188" s="170">
        <f t="shared" si="933"/>
        <v>-0.24999996726497564</v>
      </c>
      <c r="H188" s="139"/>
      <c r="I188" s="86"/>
      <c r="J188" s="79">
        <f t="shared" si="930"/>
        <v>4.109</v>
      </c>
    </row>
    <row r="189" spans="5:10" x14ac:dyDescent="0.25">
      <c r="E189" s="170">
        <f t="shared" si="933"/>
        <v>-0.50311988351771852</v>
      </c>
      <c r="F189" s="170">
        <f t="shared" si="933"/>
        <v>-0.82456938875012031</v>
      </c>
      <c r="G189" s="170">
        <f t="shared" si="933"/>
        <v>-0.25875800653384734</v>
      </c>
      <c r="H189" s="139"/>
      <c r="I189" s="86"/>
      <c r="J189" s="79">
        <f t="shared" si="930"/>
        <v>4.1150000000000002</v>
      </c>
    </row>
    <row r="190" spans="5:10" x14ac:dyDescent="0.25">
      <c r="E190" s="170">
        <f t="shared" si="933"/>
        <v>-0.58376055635955437</v>
      </c>
      <c r="F190" s="170">
        <f t="shared" si="933"/>
        <v>-0.77547360874129223</v>
      </c>
      <c r="G190" s="170">
        <f t="shared" si="933"/>
        <v>-0.24054998437859232</v>
      </c>
      <c r="H190" s="139"/>
      <c r="I190" s="86"/>
      <c r="J190" s="79">
        <f t="shared" si="930"/>
        <v>4.1210000000000004</v>
      </c>
    </row>
    <row r="191" spans="5:10" x14ac:dyDescent="0.25">
      <c r="E191" s="170">
        <f t="shared" si="933"/>
        <v>-0.65361728960208887</v>
      </c>
      <c r="F191" s="170">
        <f t="shared" si="933"/>
        <v>-0.72999341042418697</v>
      </c>
      <c r="G191" s="170">
        <f t="shared" si="933"/>
        <v>-0.19973497307803606</v>
      </c>
      <c r="H191" s="139"/>
      <c r="I191" s="86"/>
      <c r="J191" s="79">
        <f t="shared" si="930"/>
        <v>4.1269999999999998</v>
      </c>
    </row>
    <row r="192" spans="5:10" x14ac:dyDescent="0.25">
      <c r="E192" s="170">
        <f t="shared" si="933"/>
        <v>-0.71929178336612143</v>
      </c>
      <c r="F192" s="170">
        <f t="shared" si="933"/>
        <v>-0.67384992121560905</v>
      </c>
      <c r="G192" s="170">
        <f t="shared" si="933"/>
        <v>-0.16895447333439365</v>
      </c>
      <c r="H192" s="139"/>
      <c r="I192" s="86"/>
      <c r="J192" s="79">
        <f t="shared" si="930"/>
        <v>4.133</v>
      </c>
    </row>
    <row r="193" spans="5:10" x14ac:dyDescent="0.25">
      <c r="E193" s="170">
        <f t="shared" si="933"/>
        <v>-0.78805448324782901</v>
      </c>
      <c r="F193" s="170">
        <f t="shared" si="933"/>
        <v>-0.59965940529397821</v>
      </c>
      <c r="G193" s="170">
        <f t="shared" si="933"/>
        <v>-0.13920750366079324</v>
      </c>
      <c r="H193" s="139"/>
      <c r="I193" s="86"/>
      <c r="J193" s="79">
        <f t="shared" si="930"/>
        <v>4.1390000000000002</v>
      </c>
    </row>
    <row r="194" spans="5:10" x14ac:dyDescent="0.25">
      <c r="E194" s="170">
        <f t="shared" ref="E194:G213" si="934">E49*-1</f>
        <v>-0.86036747281962067</v>
      </c>
      <c r="F194" s="170">
        <f t="shared" si="934"/>
        <v>-0.50065005628229797</v>
      </c>
      <c r="G194" s="170">
        <f t="shared" si="934"/>
        <v>-9.5484725786437782E-2</v>
      </c>
      <c r="H194" s="139"/>
      <c r="I194" s="86"/>
      <c r="J194" s="79">
        <f t="shared" si="930"/>
        <v>4.1449999999999996</v>
      </c>
    </row>
    <row r="195" spans="5:10" x14ac:dyDescent="0.25">
      <c r="E195" s="170">
        <f t="shared" si="934"/>
        <v>-0.92469248013154881</v>
      </c>
      <c r="F195" s="170">
        <f t="shared" si="934"/>
        <v>-0.38071487649965635</v>
      </c>
      <c r="G195" s="170">
        <f t="shared" si="934"/>
        <v>-1.300841922800112E-7</v>
      </c>
      <c r="H195" s="139"/>
      <c r="I195" s="86"/>
      <c r="J195" s="79">
        <f t="shared" si="930"/>
        <v>4.1509999999999998</v>
      </c>
    </row>
    <row r="196" spans="5:10" x14ac:dyDescent="0.25">
      <c r="E196" s="170">
        <f t="shared" si="934"/>
        <v>-2.0637462931998181E-7</v>
      </c>
      <c r="F196" s="170">
        <f t="shared" si="934"/>
        <v>-9.405018632251944E-8</v>
      </c>
      <c r="G196" s="170">
        <f t="shared" si="934"/>
        <v>-0.99999999999997435</v>
      </c>
      <c r="H196" s="139"/>
      <c r="I196" s="86"/>
      <c r="J196" s="79">
        <f t="shared" si="930"/>
        <v>4.2060000000000004</v>
      </c>
    </row>
    <row r="197" spans="5:10" x14ac:dyDescent="0.25">
      <c r="E197" s="170">
        <f t="shared" si="934"/>
        <v>-1.942297733409115E-7</v>
      </c>
      <c r="F197" s="170">
        <f t="shared" si="934"/>
        <v>-1.1709278503559986E-7</v>
      </c>
      <c r="G197" s="170">
        <f t="shared" si="934"/>
        <v>-0.99999999999997435</v>
      </c>
      <c r="H197" s="139"/>
      <c r="I197" s="86"/>
      <c r="J197" s="79">
        <f t="shared" si="930"/>
        <v>4.2089999999999996</v>
      </c>
    </row>
    <row r="198" spans="5:10" x14ac:dyDescent="0.25">
      <c r="E198" s="170">
        <f t="shared" si="934"/>
        <v>-0.89328824720071365</v>
      </c>
      <c r="F198" s="170">
        <f t="shared" si="934"/>
        <v>-0.37969963448564964</v>
      </c>
      <c r="G198" s="170">
        <f t="shared" si="934"/>
        <v>-0.24054998437859237</v>
      </c>
      <c r="H198" s="139"/>
      <c r="I198" s="86"/>
      <c r="J198" s="79">
        <f t="shared" si="930"/>
        <v>5.2210000000000001</v>
      </c>
    </row>
    <row r="199" spans="5:10" x14ac:dyDescent="0.25">
      <c r="E199" s="170">
        <f t="shared" si="934"/>
        <v>-0.93104585927370487</v>
      </c>
      <c r="F199" s="170">
        <f t="shared" si="934"/>
        <v>-0.3053842636070252</v>
      </c>
      <c r="G199" s="170">
        <f t="shared" si="934"/>
        <v>-0.19973497307803578</v>
      </c>
      <c r="H199" s="139"/>
      <c r="I199" s="86"/>
      <c r="J199" s="79">
        <f t="shared" si="930"/>
        <v>5.2270000000000003</v>
      </c>
    </row>
    <row r="200" spans="5:10" x14ac:dyDescent="0.25">
      <c r="E200" s="170">
        <f t="shared" si="934"/>
        <v>-0.95984990080790733</v>
      </c>
      <c r="F200" s="170">
        <f t="shared" si="934"/>
        <v>-0.22392533099081988</v>
      </c>
      <c r="G200" s="170">
        <f t="shared" si="934"/>
        <v>-0.16895447333439395</v>
      </c>
      <c r="H200" s="139"/>
      <c r="I200" s="86"/>
      <c r="J200" s="79">
        <f t="shared" si="930"/>
        <v>5.2329999999999997</v>
      </c>
    </row>
    <row r="201" spans="5:10" x14ac:dyDescent="0.25">
      <c r="E201" s="170">
        <f t="shared" si="934"/>
        <v>-0.98230489523388442</v>
      </c>
      <c r="F201" s="170">
        <f t="shared" si="934"/>
        <v>-0.12529311123951795</v>
      </c>
      <c r="G201" s="170">
        <f t="shared" si="934"/>
        <v>-0.1392075036607921</v>
      </c>
      <c r="H201" s="139"/>
      <c r="I201" s="86"/>
      <c r="J201" s="79">
        <f t="shared" si="930"/>
        <v>5.2389999999999999</v>
      </c>
    </row>
    <row r="202" spans="5:10" x14ac:dyDescent="0.25">
      <c r="E202" s="170">
        <f t="shared" si="934"/>
        <v>-0.99542511593633098</v>
      </c>
      <c r="F202" s="170">
        <f t="shared" si="934"/>
        <v>-3.3920059892140757E-3</v>
      </c>
      <c r="G202" s="170">
        <f t="shared" si="934"/>
        <v>-9.5484725786438254E-2</v>
      </c>
      <c r="H202" s="139"/>
      <c r="I202" s="86"/>
      <c r="J202" s="79">
        <f t="shared" si="930"/>
        <v>5.2450000000000001</v>
      </c>
    </row>
    <row r="203" spans="5:10" x14ac:dyDescent="0.25">
      <c r="E203" s="170">
        <f t="shared" si="934"/>
        <v>-0.99116462675935213</v>
      </c>
      <c r="F203" s="170">
        <f t="shared" si="934"/>
        <v>0.13263741048805724</v>
      </c>
      <c r="G203" s="170">
        <f t="shared" si="934"/>
        <v>-1.3008419236355591E-7</v>
      </c>
      <c r="H203" s="139"/>
      <c r="I203" s="86"/>
      <c r="J203" s="79">
        <f t="shared" si="930"/>
        <v>5.2510000000000003</v>
      </c>
    </row>
    <row r="204" spans="5:10" x14ac:dyDescent="0.25">
      <c r="E204" s="170">
        <f t="shared" si="934"/>
        <v>-0.95055545400322639</v>
      </c>
      <c r="F204" s="170">
        <f t="shared" si="934"/>
        <v>0.17095546036234463</v>
      </c>
      <c r="G204" s="170">
        <f t="shared" si="934"/>
        <v>-0.25926542275633102</v>
      </c>
      <c r="H204" s="139"/>
      <c r="I204" s="86"/>
      <c r="J204" s="79">
        <f t="shared" si="930"/>
        <v>6.1139999999999999</v>
      </c>
    </row>
    <row r="205" spans="5:10" x14ac:dyDescent="0.25">
      <c r="E205" s="170">
        <f t="shared" si="934"/>
        <v>-0.93152527195693491</v>
      </c>
      <c r="F205" s="170">
        <f t="shared" si="934"/>
        <v>0.26848559980088943</v>
      </c>
      <c r="G205" s="170">
        <f t="shared" si="934"/>
        <v>-0.24530827626705823</v>
      </c>
      <c r="H205" s="139"/>
      <c r="I205" s="86"/>
      <c r="J205" s="79">
        <f t="shared" si="930"/>
        <v>6.12</v>
      </c>
    </row>
    <row r="206" spans="5:10" x14ac:dyDescent="0.25">
      <c r="E206" s="170">
        <f t="shared" si="934"/>
        <v>-0.91258468955757044</v>
      </c>
      <c r="F206" s="170">
        <f t="shared" si="934"/>
        <v>0.35211884262615356</v>
      </c>
      <c r="G206" s="170">
        <f t="shared" si="934"/>
        <v>-0.20784971747089526</v>
      </c>
      <c r="H206" s="139"/>
      <c r="I206" s="86"/>
      <c r="J206" s="79">
        <f t="shared" si="930"/>
        <v>6.1260000000000003</v>
      </c>
    </row>
    <row r="207" spans="5:10" x14ac:dyDescent="0.25">
      <c r="E207" s="170">
        <f t="shared" si="934"/>
        <v>-0.88879718863987989</v>
      </c>
      <c r="F207" s="170">
        <f t="shared" si="934"/>
        <v>0.42696370065381767</v>
      </c>
      <c r="G207" s="170">
        <f t="shared" si="934"/>
        <v>-0.1665579652548714</v>
      </c>
      <c r="H207" s="139"/>
      <c r="I207" s="86"/>
      <c r="J207" s="79">
        <f t="shared" si="930"/>
        <v>6.1319999999999997</v>
      </c>
    </row>
    <row r="208" spans="5:10" x14ac:dyDescent="0.25">
      <c r="E208" s="170">
        <f t="shared" si="934"/>
        <v>-0.84371432119781076</v>
      </c>
      <c r="F208" s="170">
        <f t="shared" si="934"/>
        <v>0.51751173092133751</v>
      </c>
      <c r="G208" s="170">
        <f t="shared" si="934"/>
        <v>-0.1425754276322487</v>
      </c>
      <c r="H208" s="139"/>
      <c r="I208" s="86"/>
      <c r="J208" s="79">
        <f t="shared" si="930"/>
        <v>6.1379999999999999</v>
      </c>
    </row>
    <row r="209" spans="5:10" x14ac:dyDescent="0.25">
      <c r="E209" s="170">
        <f t="shared" si="934"/>
        <v>-0.776482206668346</v>
      </c>
      <c r="F209" s="170">
        <f t="shared" si="934"/>
        <v>0.6212452561532309</v>
      </c>
      <c r="G209" s="170">
        <f t="shared" si="934"/>
        <v>-0.10549746174464458</v>
      </c>
      <c r="H209" s="139"/>
      <c r="I209" s="86"/>
      <c r="J209" s="79">
        <f t="shared" si="930"/>
        <v>6.1440000000000001</v>
      </c>
    </row>
    <row r="210" spans="5:10" x14ac:dyDescent="0.25">
      <c r="E210" s="170">
        <f t="shared" si="934"/>
        <v>-0.67401854496320879</v>
      </c>
      <c r="F210" s="170">
        <f t="shared" si="934"/>
        <v>0.73871442455502512</v>
      </c>
      <c r="G210" s="170">
        <f t="shared" si="934"/>
        <v>-1.3008419236317149E-7</v>
      </c>
      <c r="H210" s="139"/>
      <c r="I210" s="86"/>
      <c r="J210" s="79">
        <f t="shared" si="930"/>
        <v>6.15</v>
      </c>
    </row>
    <row r="211" spans="5:10" x14ac:dyDescent="0.25">
      <c r="E211" s="170">
        <f t="shared" si="934"/>
        <v>8.8512998391339415E-2</v>
      </c>
      <c r="F211" s="170">
        <f t="shared" si="934"/>
        <v>0.16145179659490591</v>
      </c>
      <c r="G211" s="170">
        <f t="shared" si="934"/>
        <v>-0.98290323353423348</v>
      </c>
      <c r="H211" s="139"/>
      <c r="I211" s="86"/>
      <c r="J211" s="79">
        <f t="shared" si="930"/>
        <v>6.22</v>
      </c>
    </row>
    <row r="212" spans="5:10" x14ac:dyDescent="0.25">
      <c r="E212" s="170">
        <f t="shared" si="934"/>
        <v>-0.67152338947061418</v>
      </c>
      <c r="F212" s="170">
        <f t="shared" si="934"/>
        <v>0.60437065034353454</v>
      </c>
      <c r="G212" s="170">
        <f t="shared" si="934"/>
        <v>-0.42871022194161773</v>
      </c>
      <c r="H212" s="139"/>
      <c r="I212" s="86"/>
      <c r="J212" s="79">
        <f t="shared" si="930"/>
        <v>6.226</v>
      </c>
    </row>
    <row r="213" spans="5:10" x14ac:dyDescent="0.25">
      <c r="E213" s="170">
        <f t="shared" si="934"/>
        <v>-0.6255198786691043</v>
      </c>
      <c r="F213" s="170">
        <f t="shared" si="934"/>
        <v>0.69258614958907794</v>
      </c>
      <c r="G213" s="170">
        <f t="shared" si="934"/>
        <v>-0.35923433408732602</v>
      </c>
      <c r="H213" s="139"/>
      <c r="I213" s="86"/>
      <c r="J213" s="79">
        <f t="shared" si="930"/>
        <v>6.2320000000000002</v>
      </c>
    </row>
    <row r="214" spans="5:10" x14ac:dyDescent="0.25">
      <c r="E214" s="170">
        <f t="shared" ref="E214:G233" si="935">E69*-1</f>
        <v>-0.54534123247664956</v>
      </c>
      <c r="F214" s="170">
        <f t="shared" si="935"/>
        <v>0.78487563472378241</v>
      </c>
      <c r="G214" s="170">
        <f t="shared" si="935"/>
        <v>-0.29423320373096717</v>
      </c>
      <c r="H214" s="139"/>
      <c r="I214" s="86"/>
      <c r="J214" s="79">
        <f t="shared" si="930"/>
        <v>6.2380000000000004</v>
      </c>
    </row>
    <row r="215" spans="5:10" x14ac:dyDescent="0.25">
      <c r="E215" s="170">
        <f t="shared" si="935"/>
        <v>-0.52437288538732907</v>
      </c>
      <c r="F215" s="170">
        <f t="shared" si="935"/>
        <v>0.83444076320862048</v>
      </c>
      <c r="G215" s="170">
        <f t="shared" si="935"/>
        <v>-0.16953374226501966</v>
      </c>
      <c r="H215" s="139"/>
      <c r="I215" s="86"/>
      <c r="J215" s="79">
        <f t="shared" si="930"/>
        <v>6.2439999999999998</v>
      </c>
    </row>
    <row r="216" spans="5:10" x14ac:dyDescent="0.25">
      <c r="E216" s="170">
        <f t="shared" si="935"/>
        <v>-0.54097536073219565</v>
      </c>
      <c r="F216" s="170">
        <f t="shared" si="935"/>
        <v>0.80302283619345605</v>
      </c>
      <c r="G216" s="170">
        <f t="shared" si="935"/>
        <v>-0.24999996726497567</v>
      </c>
      <c r="H216" s="139"/>
      <c r="I216" s="86"/>
      <c r="J216" s="79">
        <f t="shared" si="930"/>
        <v>7.1020000000000003</v>
      </c>
    </row>
    <row r="217" spans="5:10" x14ac:dyDescent="0.25">
      <c r="E217" s="170">
        <f t="shared" si="935"/>
        <v>-0.54097536073219554</v>
      </c>
      <c r="F217" s="170">
        <f t="shared" si="935"/>
        <v>0.80302283619345605</v>
      </c>
      <c r="G217" s="170">
        <f t="shared" si="935"/>
        <v>-0.24999996726497567</v>
      </c>
      <c r="H217" s="139"/>
      <c r="I217" s="86"/>
      <c r="J217" s="79">
        <f t="shared" si="930"/>
        <v>7.1050000000000004</v>
      </c>
    </row>
    <row r="218" spans="5:10" x14ac:dyDescent="0.25">
      <c r="E218" s="170">
        <f t="shared" si="935"/>
        <v>-0.54097536073219543</v>
      </c>
      <c r="F218" s="170">
        <f t="shared" si="935"/>
        <v>0.80302283619345616</v>
      </c>
      <c r="G218" s="170">
        <f t="shared" si="935"/>
        <v>-0.24999996726497573</v>
      </c>
      <c r="H218" s="139"/>
      <c r="I218" s="86"/>
      <c r="J218" s="79">
        <f t="shared" si="930"/>
        <v>7.1079999999999997</v>
      </c>
    </row>
    <row r="219" spans="5:10" x14ac:dyDescent="0.25">
      <c r="E219" s="170">
        <f t="shared" si="935"/>
        <v>-0.49749533589410516</v>
      </c>
      <c r="F219" s="170">
        <f t="shared" si="935"/>
        <v>0.82807801680114612</v>
      </c>
      <c r="G219" s="170">
        <f t="shared" si="935"/>
        <v>-0.25842830505633929</v>
      </c>
      <c r="H219" s="139"/>
      <c r="I219" s="86"/>
      <c r="J219" s="79">
        <f t="shared" ref="J219:J282" si="936">J74</f>
        <v>7.1130000000000004</v>
      </c>
    </row>
    <row r="220" spans="5:10" x14ac:dyDescent="0.25">
      <c r="E220" s="170">
        <f t="shared" si="935"/>
        <v>-0.40678791278101406</v>
      </c>
      <c r="F220" s="170">
        <f t="shared" si="935"/>
        <v>0.87881082179440806</v>
      </c>
      <c r="G220" s="170">
        <f t="shared" si="935"/>
        <v>-0.2494296163495891</v>
      </c>
      <c r="H220" s="139"/>
      <c r="I220" s="86"/>
      <c r="J220" s="79">
        <f t="shared" si="936"/>
        <v>7.1189999999999998</v>
      </c>
    </row>
    <row r="221" spans="5:10" x14ac:dyDescent="0.25">
      <c r="E221" s="170">
        <f t="shared" si="935"/>
        <v>-0.32873164874112853</v>
      </c>
      <c r="F221" s="170">
        <f t="shared" si="935"/>
        <v>0.91951396718295875</v>
      </c>
      <c r="G221" s="170">
        <f t="shared" si="935"/>
        <v>-0.21547521266121522</v>
      </c>
      <c r="H221" s="139"/>
      <c r="I221" s="86"/>
      <c r="J221" s="79">
        <f t="shared" si="936"/>
        <v>7.125</v>
      </c>
    </row>
    <row r="222" spans="5:10" x14ac:dyDescent="0.25">
      <c r="E222" s="170">
        <f t="shared" si="935"/>
        <v>-0.25369048672526484</v>
      </c>
      <c r="F222" s="170">
        <f t="shared" si="935"/>
        <v>0.95096253029909383</v>
      </c>
      <c r="G222" s="170">
        <f t="shared" si="935"/>
        <v>-0.17695028373032737</v>
      </c>
      <c r="H222" s="139"/>
      <c r="I222" s="86"/>
      <c r="J222" s="79">
        <f t="shared" si="936"/>
        <v>7.1310000000000002</v>
      </c>
    </row>
    <row r="223" spans="5:10" x14ac:dyDescent="0.25">
      <c r="E223" s="170">
        <f t="shared" si="935"/>
        <v>-0.16643041792554761</v>
      </c>
      <c r="F223" s="170">
        <f t="shared" si="935"/>
        <v>0.97535918710037972</v>
      </c>
      <c r="G223" s="170">
        <f t="shared" si="935"/>
        <v>-0.14482876830248195</v>
      </c>
      <c r="H223" s="139"/>
      <c r="I223" s="86"/>
      <c r="J223" s="79">
        <f t="shared" si="936"/>
        <v>7.1369999999999996</v>
      </c>
    </row>
    <row r="224" spans="5:10" x14ac:dyDescent="0.25">
      <c r="E224" s="170">
        <f t="shared" si="935"/>
        <v>-4.3322130735025763E-2</v>
      </c>
      <c r="F224" s="170">
        <f t="shared" si="935"/>
        <v>0.9924771687001126</v>
      </c>
      <c r="G224" s="170">
        <f t="shared" si="935"/>
        <v>-0.11450878829847778</v>
      </c>
      <c r="H224" s="139"/>
      <c r="I224" s="86"/>
      <c r="J224" s="79">
        <f t="shared" si="936"/>
        <v>7.1429999999999998</v>
      </c>
    </row>
    <row r="225" spans="5:10" x14ac:dyDescent="0.25">
      <c r="E225" s="170">
        <f t="shared" si="935"/>
        <v>5.5788331653199387E-2</v>
      </c>
      <c r="F225" s="170">
        <f t="shared" si="935"/>
        <v>0.99775701897244595</v>
      </c>
      <c r="G225" s="170">
        <f t="shared" si="935"/>
        <v>-3.6994501518075568E-2</v>
      </c>
      <c r="H225" s="139"/>
      <c r="I225" s="86"/>
      <c r="J225" s="79">
        <f t="shared" si="936"/>
        <v>7.149</v>
      </c>
    </row>
    <row r="226" spans="5:10" x14ac:dyDescent="0.25">
      <c r="E226" s="170">
        <f t="shared" si="935"/>
        <v>0.13263718569697472</v>
      </c>
      <c r="F226" s="170">
        <f t="shared" si="935"/>
        <v>0.99116465684081445</v>
      </c>
      <c r="G226" s="170">
        <f t="shared" si="935"/>
        <v>-1.3008419238679272E-7</v>
      </c>
      <c r="H226" s="139"/>
      <c r="I226" s="86"/>
      <c r="J226" s="79">
        <f t="shared" si="936"/>
        <v>7.1550000000000002</v>
      </c>
    </row>
    <row r="227" spans="5:10" x14ac:dyDescent="0.25">
      <c r="E227" s="170">
        <f t="shared" si="935"/>
        <v>6.8745950618305268E-9</v>
      </c>
      <c r="F227" s="170">
        <f t="shared" si="935"/>
        <v>2.2669068157467687E-7</v>
      </c>
      <c r="G227" s="170">
        <f t="shared" si="935"/>
        <v>-0.99999999999997435</v>
      </c>
      <c r="H227" s="139"/>
      <c r="I227" s="86"/>
      <c r="J227" s="79">
        <f t="shared" si="936"/>
        <v>7.2080000000000002</v>
      </c>
    </row>
    <row r="228" spans="5:10" x14ac:dyDescent="0.25">
      <c r="E228" s="170">
        <f t="shared" si="935"/>
        <v>-2.1225005469160927E-8</v>
      </c>
      <c r="F228" s="170">
        <f t="shared" si="935"/>
        <v>2.2579952239242442E-7</v>
      </c>
      <c r="G228" s="170">
        <f t="shared" si="935"/>
        <v>-0.99999999999997435</v>
      </c>
      <c r="H228" s="139"/>
      <c r="I228" s="86"/>
      <c r="J228" s="79">
        <f t="shared" si="936"/>
        <v>7.2130000000000001</v>
      </c>
    </row>
    <row r="229" spans="5:10" x14ac:dyDescent="0.25">
      <c r="E229" s="170">
        <f t="shared" si="935"/>
        <v>0.17506695212731949</v>
      </c>
      <c r="F229" s="170">
        <f t="shared" si="935"/>
        <v>0.96068829232038366</v>
      </c>
      <c r="G229" s="170">
        <f t="shared" si="935"/>
        <v>-0.21547521266121511</v>
      </c>
      <c r="H229" s="139"/>
      <c r="I229" s="86"/>
      <c r="J229" s="79">
        <f t="shared" si="936"/>
        <v>8.2249999999999996</v>
      </c>
    </row>
    <row r="230" spans="5:10" x14ac:dyDescent="0.25">
      <c r="E230" s="170">
        <f t="shared" si="935"/>
        <v>0.25577878709818141</v>
      </c>
      <c r="F230" s="170">
        <f t="shared" si="935"/>
        <v>0.9504029719852205</v>
      </c>
      <c r="G230" s="170">
        <f t="shared" si="935"/>
        <v>-0.17695028373032734</v>
      </c>
      <c r="H230" s="139"/>
      <c r="I230" s="86"/>
      <c r="J230" s="79">
        <f t="shared" si="936"/>
        <v>8.2309999999999999</v>
      </c>
    </row>
    <row r="231" spans="5:10" x14ac:dyDescent="0.25">
      <c r="E231" s="170">
        <f t="shared" si="935"/>
        <v>0.34354655351646352</v>
      </c>
      <c r="F231" s="170">
        <f t="shared" si="935"/>
        <v>0.92790106877777967</v>
      </c>
      <c r="G231" s="170">
        <f t="shared" si="935"/>
        <v>-0.14482876830248179</v>
      </c>
      <c r="H231" s="139"/>
      <c r="I231" s="86"/>
      <c r="J231" s="79">
        <f t="shared" si="936"/>
        <v>8.2370000000000001</v>
      </c>
    </row>
    <row r="232" spans="5:10" x14ac:dyDescent="0.25">
      <c r="E232" s="170">
        <f t="shared" si="935"/>
        <v>0.45872045197238509</v>
      </c>
      <c r="F232" s="170">
        <f t="shared" si="935"/>
        <v>0.88117154081635285</v>
      </c>
      <c r="G232" s="170">
        <f t="shared" si="935"/>
        <v>-0.11450878829847784</v>
      </c>
      <c r="H232" s="139"/>
      <c r="I232" s="86"/>
      <c r="J232" s="79">
        <f t="shared" si="936"/>
        <v>8.2430000000000003</v>
      </c>
    </row>
    <row r="233" spans="5:10" x14ac:dyDescent="0.25">
      <c r="E233" s="170">
        <f t="shared" si="935"/>
        <v>0.54719255871819572</v>
      </c>
      <c r="F233" s="170">
        <f t="shared" si="935"/>
        <v>0.83618880077459967</v>
      </c>
      <c r="G233" s="170">
        <f t="shared" si="935"/>
        <v>-3.6994501518075748E-2</v>
      </c>
      <c r="H233" s="139"/>
      <c r="I233" s="86"/>
      <c r="J233" s="79">
        <f t="shared" si="936"/>
        <v>8.2490000000000006</v>
      </c>
    </row>
    <row r="234" spans="5:10" x14ac:dyDescent="0.25">
      <c r="E234" s="170">
        <f t="shared" ref="E234:G253" si="937">E89*-1</f>
        <v>0.61044944084243535</v>
      </c>
      <c r="F234" s="170">
        <f t="shared" si="937"/>
        <v>0.7920552254578852</v>
      </c>
      <c r="G234" s="170">
        <f t="shared" si="937"/>
        <v>-1.3008419231172993E-7</v>
      </c>
      <c r="H234" s="139"/>
      <c r="I234" s="86"/>
      <c r="J234" s="79">
        <f t="shared" si="936"/>
        <v>8.2550000000000008</v>
      </c>
    </row>
    <row r="235" spans="5:10" x14ac:dyDescent="0.25">
      <c r="E235" s="170">
        <f t="shared" si="937"/>
        <v>0.59273130223215476</v>
      </c>
      <c r="F235" s="170">
        <f t="shared" si="937"/>
        <v>0.7635597347155777</v>
      </c>
      <c r="G235" s="170">
        <f t="shared" si="937"/>
        <v>-0.25621501688084314</v>
      </c>
      <c r="H235" s="139"/>
      <c r="I235" s="86"/>
      <c r="J235" s="79">
        <f t="shared" si="936"/>
        <v>9.1120000000000001</v>
      </c>
    </row>
    <row r="236" spans="5:10" x14ac:dyDescent="0.25">
      <c r="E236" s="170">
        <f t="shared" si="937"/>
        <v>0.67491446809377875</v>
      </c>
      <c r="F236" s="170">
        <f t="shared" si="937"/>
        <v>0.69322345514775796</v>
      </c>
      <c r="G236" s="170">
        <f t="shared" si="937"/>
        <v>-0.25284719098834396</v>
      </c>
      <c r="H236" s="139"/>
      <c r="I236" s="86"/>
      <c r="J236" s="79">
        <f t="shared" si="936"/>
        <v>9.1180000000000003</v>
      </c>
    </row>
    <row r="237" spans="5:10" x14ac:dyDescent="0.25">
      <c r="E237" s="170">
        <f t="shared" si="937"/>
        <v>0.74162345196951607</v>
      </c>
      <c r="F237" s="170">
        <f t="shared" si="937"/>
        <v>0.63280851696751672</v>
      </c>
      <c r="G237" s="170">
        <f t="shared" si="937"/>
        <v>-0.22259388208616859</v>
      </c>
      <c r="H237" s="139"/>
      <c r="I237" s="86"/>
      <c r="J237" s="79">
        <f t="shared" si="936"/>
        <v>9.1240000000000006</v>
      </c>
    </row>
    <row r="238" spans="5:10" x14ac:dyDescent="0.25">
      <c r="E238" s="170">
        <f t="shared" si="937"/>
        <v>0.79903152820917889</v>
      </c>
      <c r="F238" s="170">
        <f t="shared" si="937"/>
        <v>0.57146663265114472</v>
      </c>
      <c r="G238" s="170">
        <f t="shared" si="937"/>
        <v>-0.18701471785414647</v>
      </c>
      <c r="H238" s="139"/>
      <c r="I238" s="86"/>
      <c r="J238" s="79">
        <f t="shared" si="936"/>
        <v>9.1300000000000008</v>
      </c>
    </row>
    <row r="239" spans="5:10" x14ac:dyDescent="0.25">
      <c r="E239" s="170">
        <f t="shared" si="937"/>
        <v>0.84900229360628732</v>
      </c>
      <c r="F239" s="170">
        <f t="shared" si="937"/>
        <v>0.50783373852608749</v>
      </c>
      <c r="G239" s="170">
        <f t="shared" si="937"/>
        <v>-0.14594519336340298</v>
      </c>
      <c r="H239" s="139"/>
      <c r="I239" s="86"/>
      <c r="J239" s="79">
        <f t="shared" si="936"/>
        <v>9.1359999999999992</v>
      </c>
    </row>
    <row r="240" spans="5:10" x14ac:dyDescent="0.25">
      <c r="E240" s="170">
        <f t="shared" si="937"/>
        <v>0.90895423080986937</v>
      </c>
      <c r="F240" s="170">
        <f t="shared" si="937"/>
        <v>0.39853664982736325</v>
      </c>
      <c r="G240" s="170">
        <f t="shared" si="937"/>
        <v>-0.12235499596346892</v>
      </c>
      <c r="H240" s="139"/>
      <c r="I240" s="86"/>
      <c r="J240" s="79">
        <f t="shared" si="936"/>
        <v>9.1419999999999995</v>
      </c>
    </row>
    <row r="241" spans="5:10" x14ac:dyDescent="0.25">
      <c r="E241" s="170">
        <f t="shared" si="937"/>
        <v>0.95511570759417497</v>
      </c>
      <c r="F241" s="170">
        <f t="shared" si="937"/>
        <v>0.29026564024018359</v>
      </c>
      <c r="G241" s="170">
        <f t="shared" si="937"/>
        <v>-5.9159472638240965E-2</v>
      </c>
      <c r="H241" s="139"/>
      <c r="I241" s="86"/>
      <c r="J241" s="79">
        <f t="shared" si="936"/>
        <v>9.1479999999999997</v>
      </c>
    </row>
    <row r="242" spans="5:10" x14ac:dyDescent="0.25">
      <c r="E242" s="170">
        <f t="shared" si="937"/>
        <v>0.97675466546721834</v>
      </c>
      <c r="F242" s="170">
        <f t="shared" si="937"/>
        <v>0.21436026564642457</v>
      </c>
      <c r="G242" s="170">
        <f t="shared" si="937"/>
        <v>-1.3008419238304243E-7</v>
      </c>
      <c r="H242" s="139"/>
      <c r="I242" s="86"/>
      <c r="J242" s="79">
        <f t="shared" si="936"/>
        <v>9.1539999999999999</v>
      </c>
    </row>
    <row r="243" spans="5:10" x14ac:dyDescent="0.25">
      <c r="E243" s="170">
        <f t="shared" si="937"/>
        <v>0.1775606827718178</v>
      </c>
      <c r="F243" s="170">
        <f t="shared" si="937"/>
        <v>-0.27465581902578184</v>
      </c>
      <c r="G243" s="170">
        <f t="shared" si="937"/>
        <v>-0.94500602379502474</v>
      </c>
      <c r="H243" s="139"/>
      <c r="I243" s="86"/>
      <c r="J243" s="79">
        <f t="shared" si="936"/>
        <v>9.2240000000000002</v>
      </c>
    </row>
    <row r="244" spans="5:10" x14ac:dyDescent="0.25">
      <c r="E244" s="170">
        <f t="shared" si="937"/>
        <v>0.89463678433407101</v>
      </c>
      <c r="F244" s="170">
        <f t="shared" si="937"/>
        <v>0.21862729670392811</v>
      </c>
      <c r="G244" s="170">
        <f t="shared" si="937"/>
        <v>-0.38965000866460342</v>
      </c>
      <c r="H244" s="139"/>
      <c r="I244" s="86"/>
      <c r="J244" s="79">
        <f t="shared" si="936"/>
        <v>9.23</v>
      </c>
    </row>
    <row r="245" spans="5:10" x14ac:dyDescent="0.25">
      <c r="E245" s="170">
        <f t="shared" si="937"/>
        <v>0.94123081167578881</v>
      </c>
      <c r="F245" s="170">
        <f t="shared" si="937"/>
        <v>0.12708232415990711</v>
      </c>
      <c r="G245" s="170">
        <f t="shared" si="937"/>
        <v>-0.31294511026416799</v>
      </c>
      <c r="H245" s="139"/>
      <c r="I245" s="86"/>
      <c r="J245" s="79">
        <f t="shared" si="936"/>
        <v>9.2360000000000007</v>
      </c>
    </row>
    <row r="246" spans="5:10" x14ac:dyDescent="0.25">
      <c r="E246" s="170">
        <f t="shared" si="937"/>
        <v>0.97606872171910231</v>
      </c>
      <c r="F246" s="170">
        <f t="shared" si="937"/>
        <v>4.8559418100493683E-2</v>
      </c>
      <c r="G246" s="170">
        <f t="shared" si="937"/>
        <v>-0.21197130323555383</v>
      </c>
      <c r="H246" s="139"/>
      <c r="I246" s="86"/>
      <c r="J246" s="79">
        <f t="shared" si="936"/>
        <v>9.2420000000000009</v>
      </c>
    </row>
    <row r="247" spans="5:10" x14ac:dyDescent="0.25">
      <c r="E247" s="170">
        <f t="shared" si="937"/>
        <v>0.99621763283560327</v>
      </c>
      <c r="F247" s="170">
        <f t="shared" si="937"/>
        <v>2.1665019903234523E-2</v>
      </c>
      <c r="G247" s="170">
        <f t="shared" si="937"/>
        <v>-8.4149004391136914E-2</v>
      </c>
      <c r="H247" s="139"/>
      <c r="I247" s="86"/>
      <c r="J247" s="79">
        <f t="shared" si="936"/>
        <v>9.2479999999999993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2ECABC9-B1EC-4239-A9D2-14D609BB2B93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376F3459-5671-4F27-9CBD-F1A8BABAB0EA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12.25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1.135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1.141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1.147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1.153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1.2070000000000001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1.2110000000000001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2.2229999999999999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2.2290000000000001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2.2349999999999999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2.2410000000000001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2.2469999999999999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2.2530000000000001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3.1160000000000001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3.1219999999999999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3.1280000000000001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3.1339999999999999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3.14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3.1459999999999999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3.1520000000000001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3.222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3.2280000000000002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3.234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3.24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3.246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4.1029999999999998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4.1059999999999999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4.109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4.1150000000000002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4.1210000000000004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4.1269999999999998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4.133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4.1390000000000002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4.1449999999999996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4.1509999999999998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4.2060000000000004</v>
      </c>
      <c r="N206" s="869" t="str">
        <f>Assy.Model!K51</f>
        <v>CPS-32193r1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4.2089999999999996</v>
      </c>
      <c r="N207" s="869" t="str">
        <f>Assy.Model!K52</f>
        <v>CPS-32193r1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5.2210000000000001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5.2270000000000003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5.2329999999999997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5.2389999999999999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5.2450000000000001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5.2510000000000003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6.1139999999999999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6.12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6.1260000000000003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6.1319999999999997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6.1379999999999999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6.1440000000000001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6.15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6.22</v>
      </c>
      <c r="N221" s="869" t="str">
        <f>Assy.Model!K66</f>
        <v>CPS-32193r1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6.226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6.2320000000000002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6.2380000000000004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6.2439999999999998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7.1020000000000003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7.1050000000000004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7.1079999999999997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7.1130000000000004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7.1189999999999998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7.125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7.1310000000000002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7.1369999999999996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7.1429999999999998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7.149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7.1550000000000002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7.2080000000000002</v>
      </c>
      <c r="N237" s="869" t="str">
        <f>Assy.Model!K82</f>
        <v>CPS-32193r1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7.2130000000000001</v>
      </c>
      <c r="N238" s="869" t="str">
        <f>Assy.Model!K83</f>
        <v>CPS-32193r1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8.2249999999999996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8.2309999999999999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8.2370000000000001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8.2430000000000003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8.2490000000000006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8.2550000000000008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9.1120000000000001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9.1180000000000003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9.1240000000000006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9.1300000000000008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9.1359999999999992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9.1419999999999995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9.1479999999999997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9.1539999999999999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9.2240000000000002</v>
      </c>
      <c r="N253" s="869" t="str">
        <f>Assy.Model!K98</f>
        <v>CPS-32193r1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9.23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9.2360000000000007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9.2420000000000009</v>
      </c>
      <c r="N256" s="869">
        <f>Assy.Model!K101</f>
        <v>1313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9.2479999999999993</v>
      </c>
      <c r="N257" s="869">
        <f>Assy.Model!K102</f>
        <v>1313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2023-03-28T18:07:12Z</dcterms:modified>
</cp:coreProperties>
</file>