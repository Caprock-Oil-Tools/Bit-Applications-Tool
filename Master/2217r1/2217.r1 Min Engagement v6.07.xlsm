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17\"/>
    </mc:Choice>
  </mc:AlternateContent>
  <xr:revisionPtr revIDLastSave="0" documentId="8_{934D43D3-3379-4250-AEA3-48F87F11486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15" i="1" l="1"/>
  <c r="IG4" i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K119" i="1"/>
  <c r="IW119" i="1"/>
  <c r="IR119" i="1"/>
  <c r="IN119" i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2" i="1"/>
  <c r="IF12" i="1"/>
  <c r="IF133" i="1"/>
  <c r="IF149" i="1"/>
  <c r="IF130" i="1"/>
  <c r="IF132" i="1"/>
  <c r="IF110" i="1"/>
  <c r="IF125" i="1"/>
  <c r="IF144" i="1"/>
  <c r="IF139" i="1"/>
  <c r="IF126" i="1"/>
  <c r="IF140" i="1"/>
  <c r="IF14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Q89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113" i="1"/>
  <c r="IQ120" i="1"/>
  <c r="IQ75" i="1"/>
  <c r="IV69" i="1"/>
  <c r="IV81" i="1"/>
  <c r="IQ88" i="1"/>
  <c r="IQ77" i="1"/>
  <c r="IV71" i="1"/>
  <c r="IV62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AF86" i="1" s="1"/>
  <c r="AM86" i="1" s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Q69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90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12" i="1" l="1"/>
  <c r="IV105" i="1"/>
  <c r="IQ111" i="1"/>
  <c r="IV104" i="1"/>
  <c r="IQ98" i="1"/>
  <c r="IV89" i="1"/>
  <c r="IV99" i="1"/>
  <c r="IQ106" i="1"/>
  <c r="AQ121" i="1"/>
  <c r="IU121" i="1"/>
  <c r="IE121" i="1" s="1"/>
  <c r="IQ92" i="1"/>
  <c r="IV96" i="1"/>
  <c r="IQ103" i="1"/>
  <c r="IQ114" i="1"/>
  <c r="IV107" i="1"/>
  <c r="IQ57" i="1"/>
  <c r="IQ78" i="1"/>
  <c r="IV72" i="1"/>
  <c r="IQ91" i="1"/>
  <c r="IQ20" i="1"/>
  <c r="IV115" i="1"/>
  <c r="IQ122" i="1"/>
  <c r="IQ56" i="1"/>
  <c r="IV98" i="1"/>
  <c r="IQ105" i="1"/>
  <c r="IV114" i="1"/>
  <c r="IQ121" i="1"/>
  <c r="IV112" i="1"/>
  <c r="IQ119" i="1"/>
  <c r="IV97" i="1"/>
  <c r="IQ104" i="1"/>
  <c r="IQ47" i="1"/>
  <c r="IQ99" i="1"/>
  <c r="IV92" i="1"/>
  <c r="AQ91" i="1"/>
  <c r="IU91" i="1"/>
  <c r="IE91" i="1" s="1"/>
  <c r="R90" i="1"/>
  <c r="X90" i="1" s="1"/>
  <c r="IU90" i="1" s="1"/>
  <c r="IE90" i="1" s="1"/>
  <c r="IV25" i="1"/>
  <c r="IQ32" i="1"/>
  <c r="IQ93" i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0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20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IP89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IP122" i="1" s="1"/>
  <c r="V114" i="1"/>
  <c r="R114" i="1"/>
  <c r="X114" i="1" s="1"/>
  <c r="IP121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19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6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73" i="1" l="1"/>
  <c r="IU73" i="1"/>
  <c r="IE73" i="1" s="1"/>
  <c r="AQ103" i="1"/>
  <c r="IU103" i="1"/>
  <c r="IE103" i="1" s="1"/>
  <c r="IP117" i="1"/>
  <c r="IP55" i="1"/>
  <c r="IP69" i="1"/>
  <c r="AQ119" i="1"/>
  <c r="IU119" i="1"/>
  <c r="IE119" i="1" s="1"/>
  <c r="AQ122" i="1"/>
  <c r="IU122" i="1"/>
  <c r="IE122" i="1" s="1"/>
  <c r="IP85" i="1"/>
  <c r="IP57" i="1"/>
  <c r="AQ120" i="1"/>
  <c r="IU120" i="1"/>
  <c r="IE120" i="1" s="1"/>
  <c r="IP56" i="1"/>
  <c r="IU86" i="1"/>
  <c r="IE86" i="1" s="1"/>
  <c r="IP91" i="1"/>
  <c r="IP47" i="1"/>
  <c r="AQ92" i="1"/>
  <c r="IU92" i="1"/>
  <c r="IE92" i="1" s="1"/>
  <c r="IU87" i="1"/>
  <c r="IE87" i="1" s="1"/>
  <c r="IP92" i="1"/>
  <c r="IU25" i="1"/>
  <c r="IE25" i="1" s="1"/>
  <c r="IP32" i="1"/>
  <c r="IP59" i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W15" i="1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IL90" i="1" s="1"/>
  <c r="W79" i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106" i="1"/>
  <c r="IL105" i="1"/>
  <c r="IL71" i="1"/>
  <c r="IL103" i="1"/>
  <c r="IL107" i="1"/>
  <c r="IL88" i="1"/>
  <c r="IL89" i="1"/>
  <c r="IL38" i="1"/>
  <c r="IL70" i="1"/>
  <c r="IL86" i="1"/>
  <c r="IL92" i="1"/>
  <c r="IL91" i="1"/>
  <c r="IL21" i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98" i="1" l="1"/>
  <c r="IT105" i="1"/>
  <c r="IY113" i="1"/>
  <c r="IT120" i="1"/>
  <c r="IT98" i="1"/>
  <c r="IY89" i="1"/>
  <c r="IF89" i="1" s="1"/>
  <c r="IT111" i="1"/>
  <c r="IY104" i="1"/>
  <c r="IT86" i="1"/>
  <c r="IY97" i="1"/>
  <c r="IT104" i="1"/>
  <c r="IT112" i="1"/>
  <c r="IY105" i="1"/>
  <c r="IY114" i="1"/>
  <c r="IT121" i="1"/>
  <c r="IY99" i="1"/>
  <c r="IT106" i="1"/>
  <c r="IY112" i="1"/>
  <c r="IT119" i="1"/>
  <c r="IT114" i="1"/>
  <c r="IY107" i="1"/>
  <c r="IY96" i="1"/>
  <c r="IT103" i="1"/>
  <c r="IT113" i="1"/>
  <c r="IY106" i="1"/>
  <c r="IY115" i="1"/>
  <c r="IT122" i="1"/>
  <c r="IT78" i="1"/>
  <c r="IY72" i="1"/>
  <c r="IT20" i="1"/>
  <c r="IT32" i="1"/>
  <c r="IT99" i="1"/>
  <c r="IS94" i="1"/>
  <c r="IX85" i="1"/>
  <c r="IY49" i="1"/>
  <c r="IT56" i="1"/>
  <c r="IT76" i="1"/>
  <c r="IY70" i="1"/>
  <c r="IT77" i="1"/>
  <c r="IY71" i="1"/>
  <c r="IY62" i="1"/>
  <c r="IT69" i="1"/>
  <c r="IY64" i="1"/>
  <c r="IT71" i="1"/>
  <c r="IX71" i="1"/>
  <c r="IY63" i="1"/>
  <c r="IT70" i="1"/>
  <c r="IT75" i="1"/>
  <c r="IY69" i="1"/>
  <c r="IX49" i="1"/>
  <c r="IY77" i="1"/>
  <c r="IT84" i="1"/>
  <c r="IY81" i="1"/>
  <c r="IT88" i="1"/>
  <c r="IT97" i="1"/>
  <c r="IY88" i="1"/>
  <c r="IY61" i="1"/>
  <c r="IT68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T48" i="1"/>
  <c r="IT50" i="1"/>
  <c r="IY41" i="1"/>
  <c r="IT64" i="1"/>
  <c r="IY55" i="1"/>
  <c r="IX41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X90" i="1" s="1"/>
  <c r="IF90" i="1" s="1"/>
  <c r="AP90" i="1"/>
  <c r="AO87" i="1"/>
  <c r="AP87" i="1"/>
  <c r="AO88" i="1"/>
  <c r="AP88" i="1"/>
  <c r="AP86" i="1"/>
  <c r="AO86" i="1"/>
  <c r="IS91" i="1" s="1"/>
  <c r="AP85" i="1"/>
  <c r="AP84" i="1"/>
  <c r="AO84" i="1"/>
  <c r="AP83" i="1"/>
  <c r="AO83" i="1"/>
  <c r="IX83" i="1" s="1"/>
  <c r="IF83" i="1" s="1"/>
  <c r="AO81" i="1"/>
  <c r="IS89" i="1" s="1"/>
  <c r="AP81" i="1"/>
  <c r="AO82" i="1"/>
  <c r="IS90" i="1" s="1"/>
  <c r="AP82" i="1"/>
  <c r="AO79" i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S77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111" i="1" l="1"/>
  <c r="IX104" i="1"/>
  <c r="IS113" i="1"/>
  <c r="IX106" i="1"/>
  <c r="IF71" i="1"/>
  <c r="IF105" i="1"/>
  <c r="IS20" i="1"/>
  <c r="IX112" i="1"/>
  <c r="IF112" i="1" s="1"/>
  <c r="IS119" i="1"/>
  <c r="IX96" i="1"/>
  <c r="IF96" i="1" s="1"/>
  <c r="IS103" i="1"/>
  <c r="IX97" i="1"/>
  <c r="IF97" i="1" s="1"/>
  <c r="IS104" i="1"/>
  <c r="IX114" i="1"/>
  <c r="IF114" i="1" s="1"/>
  <c r="IS121" i="1"/>
  <c r="IX98" i="1"/>
  <c r="IF98" i="1" s="1"/>
  <c r="IS105" i="1"/>
  <c r="IS112" i="1"/>
  <c r="IX105" i="1"/>
  <c r="IF106" i="1"/>
  <c r="IS78" i="1"/>
  <c r="IX72" i="1"/>
  <c r="IS92" i="1"/>
  <c r="IX99" i="1"/>
  <c r="IF99" i="1" s="1"/>
  <c r="IS106" i="1"/>
  <c r="IX115" i="1"/>
  <c r="IF115" i="1" s="1"/>
  <c r="IS122" i="1"/>
  <c r="IS86" i="1"/>
  <c r="IS114" i="1"/>
  <c r="IX107" i="1"/>
  <c r="IF107" i="1" s="1"/>
  <c r="IT55" i="1"/>
  <c r="IS56" i="1"/>
  <c r="IF104" i="1"/>
  <c r="IX113" i="1"/>
  <c r="IF113" i="1" s="1"/>
  <c r="IS120" i="1"/>
  <c r="IF72" i="1"/>
  <c r="IF49" i="1"/>
  <c r="IS34" i="1"/>
  <c r="IS64" i="1"/>
  <c r="IS98" i="1"/>
  <c r="IX91" i="1"/>
  <c r="IF91" i="1" s="1"/>
  <c r="IX63" i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F69" i="1"/>
  <c r="IS93" i="1"/>
  <c r="IX84" i="1"/>
  <c r="IF84" i="1" s="1"/>
  <c r="IT60" i="1"/>
  <c r="IY57" i="1"/>
  <c r="IF57" i="1" s="1"/>
  <c r="IS75" i="1"/>
  <c r="IX69" i="1"/>
  <c r="IS97" i="1"/>
  <c r="IX88" i="1"/>
  <c r="IF88" i="1" s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<sst xmlns="http://schemas.openxmlformats.org/spreadsheetml/2006/main" count="736" uniqueCount="393">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</sst>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A18" sqref="A18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63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-0.14305052569038559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-8.5370249802008226E-18</v>
      </c>
      <c r="C9" s="703">
        <v>0.34260103328471642</v>
      </c>
      <c r="D9" s="704">
        <v>-0.74415233861345342</v>
      </c>
      <c r="E9" s="705">
        <v>-0.96592583607220739</v>
      </c>
      <c r="F9" s="703">
        <v>-6.6987279208207198E-2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-8.5370249802008226E-18</v>
      </c>
      <c r="O9" s="624">
        <f t="shared" ref="O9:O40" si="3">IF(M9="","",C9)</f>
        <v>0.34260103328471642</v>
      </c>
      <c r="P9" s="625">
        <f t="shared" ref="P9:P40" si="4">IF(M9="","",D9)</f>
        <v>-0.74415233861345342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-0.74415233861345342</v>
      </c>
      <c r="T9" s="627">
        <f>IF(M9="","",X9*COS(RADIANS(W9)))</f>
        <v>0.34260103328471642</v>
      </c>
      <c r="U9" s="624">
        <f>IF(M9="","",X9*SIN(RADIANS(W9)))</f>
        <v>0</v>
      </c>
      <c r="V9" s="628">
        <f>IF(M9="","",Y9)</f>
        <v>-0.74415233861345342</v>
      </c>
      <c r="W9" s="583">
        <f t="shared" ref="W9:W14" si="5">IF(M9="","",IF(Q9-$Q$8&lt;0,360+Q9-$Q$8,Q9-$Q$8))</f>
        <v>0</v>
      </c>
      <c r="X9" s="629">
        <f>IF(M9="","",R9)</f>
        <v>0.34260103328471642</v>
      </c>
      <c r="Y9" s="630">
        <f>IF(M9="","",S9)</f>
        <v>-0.74415233861345342</v>
      </c>
      <c r="Z9" s="623">
        <f t="shared" ref="Z9:Z40" si="6">IF(M9="","",-E9)</f>
        <v>0.96592583607220739</v>
      </c>
      <c r="AA9" s="624">
        <f t="shared" ref="AA9:AA40" si="7">IF(M9="","",-F9)</f>
        <v>6.6987279208207198E-2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6.6987279208207198E-2</v>
      </c>
      <c r="AF9" s="625">
        <f>IF(M9="","",AB9*(1/SQRT(Z9^2+AA9^2+AB9^2)))</f>
        <v>-0.24999996726497564</v>
      </c>
      <c r="AG9" s="599">
        <f>IF(M9="","",DEGREES(ATAN2(-AF9,AE9)))</f>
        <v>14.999997834268267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6.6987279208207198E-2</v>
      </c>
      <c r="AM9" s="626">
        <f>IF(M9="","",AF9)</f>
        <v>-0.24999996726497564</v>
      </c>
      <c r="AN9" s="581">
        <f>IF(M9="","",DEGREES(ATAN2(-AM9,AL9)))</f>
        <v>14.999997834268267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3.9671296450865712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</v>
      </c>
      <c r="AT9" s="71">
        <f t="shared" ref="AT9:AT40" si="10">IF(M9="","",Y9+(((AS9-$AS$9)*$AS$6)*-1))</f>
        <v>-0.74415233861345342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-6.4027687351506169E-18</v>
      </c>
      <c r="C10" s="708">
        <v>1.1303034089950814</v>
      </c>
      <c r="D10" s="709">
        <v>-0.53315170223553399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-6.4027687351506169E-18</v>
      </c>
      <c r="O10" s="629">
        <f t="shared" si="3"/>
        <v>1.1303034089950814</v>
      </c>
      <c r="P10" s="633">
        <f t="shared" si="4"/>
        <v>-0.53315170223553399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1.1303034089950814</v>
      </c>
      <c r="S10" s="634">
        <f t="shared" ref="S10:S105" si="80">IF(M10="","",P10)</f>
        <v>-0.53315170223553399</v>
      </c>
      <c r="T10" s="635">
        <f t="shared" ref="T10:T105" si="81">IF(M10="","",X10*COS(RADIANS(W10)))</f>
        <v>1.1303034089950814</v>
      </c>
      <c r="U10" s="629">
        <f t="shared" ref="U10:U105" si="82">IF(M10="","",X10*SIN(RADIANS(W10)))</f>
        <v>0</v>
      </c>
      <c r="V10" s="636">
        <f>IF(M10="","",Y10)</f>
        <v>-0.53315170223553399</v>
      </c>
      <c r="W10" s="585">
        <f t="shared" si="5"/>
        <v>0</v>
      </c>
      <c r="X10" s="629">
        <f t="shared" ref="X10:X105" si="83">IF(M10="","",R10)</f>
        <v>1.1303034089950814</v>
      </c>
      <c r="Y10" s="630">
        <f>IF(M10="","",S10)</f>
        <v>-0.53315170223553399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2.0160831671579902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-0.53315170223553399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2.7745331185652675E-17</v>
      </c>
      <c r="C11" s="708">
        <v>1.8727056480802349</v>
      </c>
      <c r="D11" s="709">
        <v>-0.33415110204972365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2.7745331185652675E-17</v>
      </c>
      <c r="O11" s="629">
        <f t="shared" si="3"/>
        <v>1.8727056480802349</v>
      </c>
      <c r="P11" s="633">
        <f t="shared" si="4"/>
        <v>-0.33415110204972365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1.8727056480802349</v>
      </c>
      <c r="S11" s="634">
        <f t="shared" si="80"/>
        <v>-0.33415110204972365</v>
      </c>
      <c r="T11" s="635">
        <f t="shared" si="81"/>
        <v>1.8727056480802349</v>
      </c>
      <c r="U11" s="629">
        <f t="shared" si="82"/>
        <v>0</v>
      </c>
      <c r="V11" s="636">
        <f t="shared" ref="V11:V105" si="114">IF(M11="","",Y11)</f>
        <v>-0.33415110204972365</v>
      </c>
      <c r="W11" s="585">
        <f t="shared" si="5"/>
        <v>0</v>
      </c>
      <c r="X11" s="629">
        <f>IF(M11="","",R11)</f>
        <v>1.8727056480802349</v>
      </c>
      <c r="Y11" s="630">
        <f>IF(M11="","",S11)</f>
        <v>-0.33415110204972365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1.2171606833974671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-0.33415110204972365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-1.7074049960401645E-17</v>
      </c>
      <c r="C12" s="708">
        <v>2.6294079302943176</v>
      </c>
      <c r="D12" s="709">
        <v>-0.14305052569038559</v>
      </c>
      <c r="E12" s="710">
        <v>-0.96592583607220739</v>
      </c>
      <c r="F12" s="708">
        <v>-4.7721098814973988E-2</v>
      </c>
      <c r="G12" s="711">
        <v>0.25438155580957267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-1.7074049960401645E-17</v>
      </c>
      <c r="O12" s="629">
        <f t="shared" si="3"/>
        <v>2.6294079302943176</v>
      </c>
      <c r="P12" s="633">
        <f t="shared" si="4"/>
        <v>-0.14305052569038559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2.6294079302943176</v>
      </c>
      <c r="S12" s="634">
        <f t="shared" si="80"/>
        <v>-0.14305052569038559</v>
      </c>
      <c r="T12" s="635">
        <f>IF(M12="","",X12*COS(RADIANS(W12)))</f>
        <v>2.6294079302943176</v>
      </c>
      <c r="U12" s="629">
        <f t="shared" si="82"/>
        <v>0</v>
      </c>
      <c r="V12" s="636">
        <f t="shared" si="114"/>
        <v>-0.14305052569038559</v>
      </c>
      <c r="W12" s="585">
        <f>IF(M12="","",IF(Q12-$Q$8&lt;0,360+Q12-$Q$8,Q12-$Q$8))</f>
        <v>0</v>
      </c>
      <c r="X12" s="629">
        <f t="shared" si="83"/>
        <v>2.6294079302943176</v>
      </c>
      <c r="Y12" s="630">
        <f>IF(M12="","",S12)</f>
        <v>-0.14305052569038559</v>
      </c>
      <c r="Z12" s="632">
        <f t="shared" si="6"/>
        <v>0.96592583607220739</v>
      </c>
      <c r="AA12" s="629">
        <f t="shared" si="7"/>
        <v>4.7721098814973988E-2</v>
      </c>
      <c r="AB12" s="629">
        <f t="shared" si="8"/>
        <v>-0.25438155580957267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4.7721098814973988E-2</v>
      </c>
      <c r="AF12" s="633">
        <f t="shared" si="86"/>
        <v>-0.25438155580957267</v>
      </c>
      <c r="AG12" s="602">
        <f t="shared" si="87"/>
        <v>10.624998465940024</v>
      </c>
      <c r="AH12" s="603">
        <f t="shared" si="88"/>
        <v>14.999997834268255</v>
      </c>
      <c r="AI12" s="585">
        <f t="shared" si="89"/>
        <v>-75.263057472154173</v>
      </c>
      <c r="AJ12" s="586">
        <f t="shared" si="90"/>
        <v>92.828370606601226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4.7721098814973988E-2</v>
      </c>
      <c r="AM12" s="634">
        <f t="shared" si="92"/>
        <v>-0.25438155580957267</v>
      </c>
      <c r="AN12" s="581">
        <f>IF(M12="","",DEGREES(ATAN2(-AM12,AL12)))</f>
        <v>10.624998465940024</v>
      </c>
      <c r="AO12" s="582">
        <f t="shared" si="94"/>
        <v>14.999997834268255</v>
      </c>
      <c r="AP12" s="585">
        <f t="shared" si="95"/>
        <v>2.8283706066012324</v>
      </c>
      <c r="AQ12" s="586">
        <f t="shared" si="9"/>
        <v>0.86694522479211378</v>
      </c>
      <c r="AS12" s="52">
        <f t="shared" si="116"/>
        <v>0</v>
      </c>
      <c r="AT12" s="72">
        <f>IF(M12="","",Y12+(((AS12-$AS$9)*$AS$6)*-1))</f>
        <v>-0.14305052569038559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1.4468035190301884E-2</v>
      </c>
      <c r="C13" s="708">
        <v>3.3834792715549407</v>
      </c>
      <c r="D13" s="709">
        <v>-0.11745044848055262</v>
      </c>
      <c r="E13" s="710">
        <v>-0.96514722346915183</v>
      </c>
      <c r="F13" s="708">
        <v>5.4808415938357537E-2</v>
      </c>
      <c r="G13" s="711">
        <v>0.255904033911377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130</v>
      </c>
      <c r="M13" s="168">
        <f t="shared" si="1"/>
        <v>1.1180000000000001</v>
      </c>
      <c r="N13" s="632">
        <f t="shared" si="2"/>
        <v>1.4468035190301884E-2</v>
      </c>
      <c r="O13" s="629">
        <f t="shared" si="3"/>
        <v>3.3834792715549407</v>
      </c>
      <c r="P13" s="633">
        <f t="shared" si="4"/>
        <v>-0.11745044848055262</v>
      </c>
      <c r="Q13" s="585">
        <f t="shared" si="113"/>
        <v>89.755000035373627</v>
      </c>
      <c r="R13" s="629">
        <f t="shared" si="79"/>
        <v>3.383510204666778</v>
      </c>
      <c r="S13" s="634">
        <f t="shared" si="80"/>
        <v>-0.11745044848055262</v>
      </c>
      <c r="T13" s="635">
        <f>IF(M13="","",X13*COS(RADIANS(W13)))</f>
        <v>3.3834792715549407</v>
      </c>
      <c r="U13" s="629">
        <f t="shared" si="82"/>
        <v>-1.446803519030021E-2</v>
      </c>
      <c r="V13" s="636">
        <f t="shared" si="114"/>
        <v>-0.11745044848055262</v>
      </c>
      <c r="W13" s="585">
        <f t="shared" si="5"/>
        <v>359.75500003537366</v>
      </c>
      <c r="X13" s="629">
        <f t="shared" si="83"/>
        <v>3.383510204666778</v>
      </c>
      <c r="Y13" s="630">
        <f>IF(M13="","",S13)</f>
        <v>-0.11745044848055262</v>
      </c>
      <c r="Z13" s="632">
        <f t="shared" si="6"/>
        <v>0.96514722346915183</v>
      </c>
      <c r="AA13" s="629">
        <f t="shared" si="7"/>
        <v>-5.4808415938357537E-2</v>
      </c>
      <c r="AB13" s="629">
        <f t="shared" si="8"/>
        <v>-0.255904033911377</v>
      </c>
      <c r="AC13" s="636">
        <f t="shared" si="84"/>
        <v>1</v>
      </c>
      <c r="AD13" s="637">
        <f>IF(M13="","",Z13*(1/SQRT(Z13^2+AA13^2+AB13^2)))</f>
        <v>0.96514722346915183</v>
      </c>
      <c r="AE13" s="629">
        <f t="shared" si="85"/>
        <v>-5.4808415938357537E-2</v>
      </c>
      <c r="AF13" s="633">
        <f t="shared" si="86"/>
        <v>-0.255904033911377</v>
      </c>
      <c r="AG13" s="602">
        <f>IF(M13="","",DEGREES(ATAN2(-AF13,AE13)))</f>
        <v>-12.088728252140694</v>
      </c>
      <c r="AH13" s="603">
        <f t="shared" si="88"/>
        <v>15.171405739557848</v>
      </c>
      <c r="AI13" s="585">
        <f t="shared" si="89"/>
        <v>-75.172839998556782</v>
      </c>
      <c r="AJ13" s="586">
        <f t="shared" si="90"/>
        <v>86.749799702790696</v>
      </c>
      <c r="AK13" s="635">
        <f t="shared" si="211"/>
        <v>0.96537276293478291</v>
      </c>
      <c r="AL13" s="629">
        <f t="shared" si="91"/>
        <v>-5.0680903815423825E-2</v>
      </c>
      <c r="AM13" s="634">
        <f t="shared" si="92"/>
        <v>-0.255904033911377</v>
      </c>
      <c r="AN13" s="581">
        <f t="shared" si="93"/>
        <v>-11.202270944385003</v>
      </c>
      <c r="AO13" s="582">
        <f t="shared" si="94"/>
        <v>15.121949534455673</v>
      </c>
      <c r="AP13" s="585">
        <f t="shared" si="95"/>
        <v>-3.0052003325829553</v>
      </c>
      <c r="AQ13" s="586">
        <f t="shared" si="9"/>
        <v>0.67374454820723406</v>
      </c>
      <c r="AS13" s="52">
        <f t="shared" si="116"/>
        <v>-0.24499996462634499</v>
      </c>
      <c r="AT13" s="72">
        <f t="shared" si="10"/>
        <v>-0.11728030961622878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5.5890929734878247E-2</v>
      </c>
      <c r="C14" s="708">
        <v>4.1158329467107446</v>
      </c>
      <c r="D14" s="709">
        <v>-0.2977509922669927</v>
      </c>
      <c r="E14" s="710">
        <v>-0.95748108559575174</v>
      </c>
      <c r="F14" s="708">
        <v>0.1516020911623249</v>
      </c>
      <c r="G14" s="711">
        <v>0.24545218817845352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5.5890929734878247E-2</v>
      </c>
      <c r="O14" s="629">
        <f t="shared" si="3"/>
        <v>4.1158329467107446</v>
      </c>
      <c r="P14" s="633">
        <f t="shared" si="4"/>
        <v>-0.2977509922669927</v>
      </c>
      <c r="Q14" s="585">
        <f t="shared" si="113"/>
        <v>89.222000112329297</v>
      </c>
      <c r="R14" s="629">
        <f t="shared" si="79"/>
        <v>4.1162124144966423</v>
      </c>
      <c r="S14" s="634">
        <f t="shared" si="80"/>
        <v>-0.2977509922669927</v>
      </c>
      <c r="T14" s="635">
        <f t="shared" si="81"/>
        <v>4.1158329467107446</v>
      </c>
      <c r="U14" s="629">
        <f t="shared" si="82"/>
        <v>-5.5890929734880385E-2</v>
      </c>
      <c r="V14" s="636">
        <f t="shared" si="114"/>
        <v>-0.2977509922669927</v>
      </c>
      <c r="W14" s="585">
        <f t="shared" si="5"/>
        <v>359.22200011232928</v>
      </c>
      <c r="X14" s="629">
        <f t="shared" si="83"/>
        <v>4.1162124144966423</v>
      </c>
      <c r="Y14" s="630">
        <f t="shared" ref="Y14:Y75" si="223">IF(M14="","",S14)</f>
        <v>-0.2977509922669927</v>
      </c>
      <c r="Z14" s="632">
        <f t="shared" si="6"/>
        <v>0.95748108559575174</v>
      </c>
      <c r="AA14" s="629">
        <f t="shared" si="7"/>
        <v>-0.1516020911623249</v>
      </c>
      <c r="AB14" s="629">
        <f t="shared" si="8"/>
        <v>-0.24545218817845352</v>
      </c>
      <c r="AC14" s="636">
        <f t="shared" si="84"/>
        <v>1</v>
      </c>
      <c r="AD14" s="637">
        <f>IF(M14="","",Z14*(1/SQRT(Z14^2+AA14^2+AB14^2)))</f>
        <v>0.95748108559575174</v>
      </c>
      <c r="AE14" s="629">
        <f t="shared" si="85"/>
        <v>-0.1516020911623249</v>
      </c>
      <c r="AF14" s="633">
        <f t="shared" si="86"/>
        <v>-0.24545218817845352</v>
      </c>
      <c r="AG14" s="602">
        <f t="shared" si="87"/>
        <v>-31.701306161348768</v>
      </c>
      <c r="AH14" s="603">
        <f t="shared" si="88"/>
        <v>16.767938121494673</v>
      </c>
      <c r="AI14" s="585">
        <f t="shared" si="89"/>
        <v>-75.791441789413341</v>
      </c>
      <c r="AJ14" s="586">
        <f t="shared" si="90"/>
        <v>81.002802914673765</v>
      </c>
      <c r="AK14" s="635">
        <f>IF(M14="","",(COS(RADIANS((90-$Q$8)-W14))*AD14)+(-SIN(RADIANS((90-$Q$8)-W14))*AE14))</f>
        <v>0.95945130670695167</v>
      </c>
      <c r="AL14" s="629">
        <f t="shared" si="91"/>
        <v>-0.13858720495317112</v>
      </c>
      <c r="AM14" s="634">
        <f t="shared" si="92"/>
        <v>-0.24545218817845352</v>
      </c>
      <c r="AN14" s="581">
        <f t="shared" si="93"/>
        <v>-29.449939971892427</v>
      </c>
      <c r="AO14" s="582">
        <f t="shared" si="94"/>
        <v>16.372108004445998</v>
      </c>
      <c r="AP14" s="585">
        <f>IF(M14="","",DEGREES(ATAN2(AK14,AL14)))</f>
        <v>-8.2191971976554949</v>
      </c>
      <c r="AQ14" s="586">
        <f t="shared" si="9"/>
        <v>0.5538236130244848</v>
      </c>
      <c r="AS14" s="52">
        <f t="shared" si="116"/>
        <v>-0.77799988767071682</v>
      </c>
      <c r="AT14" s="72">
        <f t="shared" si="10"/>
        <v>-0.29721071456722137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0.11601514369375192</v>
      </c>
      <c r="C15" s="708">
        <v>4.7709040186251999</v>
      </c>
      <c r="D15" s="709">
        <v>-0.67045211633358348</v>
      </c>
      <c r="E15" s="710">
        <v>-0.94737327467980514</v>
      </c>
      <c r="F15" s="708">
        <v>0.24118281256584095</v>
      </c>
      <c r="G15" s="711">
        <v>0.2105106395061615</v>
      </c>
      <c r="H15" s="710">
        <v>0.314</v>
      </c>
      <c r="I15" s="708">
        <v>0.52</v>
      </c>
      <c r="J15" s="570">
        <v>1.1319999999999999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2">
        <f>IF($L14=$JH$22,$JH$29,IF($L14=$JI$22,$JI$29,""))</f>
        <v>80</v>
      </c>
      <c r="M15" s="168">
        <f t="shared" si="1"/>
        <v>1.1319999999999999</v>
      </c>
      <c r="N15" s="632">
        <f t="shared" si="2"/>
        <v>0.11601514369375192</v>
      </c>
      <c r="O15" s="629">
        <f t="shared" si="3"/>
        <v>4.7709040186251999</v>
      </c>
      <c r="P15" s="633">
        <f t="shared" si="4"/>
        <v>-0.67045211633358348</v>
      </c>
      <c r="Q15" s="585">
        <f t="shared" si="113"/>
        <v>88.607000201124293</v>
      </c>
      <c r="R15" s="629">
        <f t="shared" si="79"/>
        <v>4.7723143933002108</v>
      </c>
      <c r="S15" s="634">
        <f t="shared" si="80"/>
        <v>-0.67045211633358348</v>
      </c>
      <c r="T15" s="635">
        <f t="shared" si="81"/>
        <v>4.770904018625199</v>
      </c>
      <c r="U15" s="629">
        <f t="shared" si="82"/>
        <v>-0.1160151436937551</v>
      </c>
      <c r="V15" s="636">
        <f t="shared" si="114"/>
        <v>-0.67045211633358348</v>
      </c>
      <c r="W15" s="585">
        <f>IF(M15="","",IF(Q15-$Q$8&lt;0,360+Q15-$Q$8,Q15-$Q$8))</f>
        <v>358.60700020112427</v>
      </c>
      <c r="X15" s="629">
        <f>IF(M15="","",R15)</f>
        <v>4.7723143933002108</v>
      </c>
      <c r="Y15" s="630">
        <f>IF(M15="","",S15)</f>
        <v>-0.67045211633358348</v>
      </c>
      <c r="Z15" s="632">
        <f t="shared" si="6"/>
        <v>0.94737327467980514</v>
      </c>
      <c r="AA15" s="629">
        <f t="shared" si="7"/>
        <v>-0.24118281256584095</v>
      </c>
      <c r="AB15" s="629">
        <f t="shared" si="8"/>
        <v>-0.2105106395061615</v>
      </c>
      <c r="AC15" s="636">
        <f t="shared" si="84"/>
        <v>1</v>
      </c>
      <c r="AD15" s="637">
        <f t="shared" si="115"/>
        <v>0.94737327467980514</v>
      </c>
      <c r="AE15" s="629">
        <f t="shared" si="85"/>
        <v>-0.24118281256584095</v>
      </c>
      <c r="AF15" s="633">
        <f t="shared" si="86"/>
        <v>-0.2105106395061615</v>
      </c>
      <c r="AG15" s="602">
        <f t="shared" si="87"/>
        <v>-48.884697383297812</v>
      </c>
      <c r="AH15" s="603">
        <f t="shared" si="88"/>
        <v>18.670849400600819</v>
      </c>
      <c r="AI15" s="585">
        <f t="shared" si="89"/>
        <v>-77.847721305717599</v>
      </c>
      <c r="AJ15" s="586">
        <f t="shared" si="90"/>
        <v>75.717015634105053</v>
      </c>
      <c r="AK15" s="635">
        <f t="shared" si="211"/>
        <v>0.95295645826454656</v>
      </c>
      <c r="AL15" s="629">
        <f t="shared" si="91"/>
        <v>-0.21808085497493496</v>
      </c>
      <c r="AM15" s="634">
        <f t="shared" si="92"/>
        <v>-0.2105106395061615</v>
      </c>
      <c r="AN15" s="581">
        <f>IF(M15="","",DEGREES(ATAN2(-AM15,AL15)))</f>
        <v>-46.011910651295267</v>
      </c>
      <c r="AO15" s="582">
        <f t="shared" si="94"/>
        <v>17.64432609102613</v>
      </c>
      <c r="AP15" s="585">
        <f t="shared" si="95"/>
        <v>-12.889984567019198</v>
      </c>
      <c r="AQ15" s="586">
        <f t="shared" si="9"/>
        <v>0.47768726517218552</v>
      </c>
      <c r="AS15" s="52">
        <f t="shared" si="116"/>
        <v>-1.392999798875735</v>
      </c>
      <c r="AT15" s="72">
        <f t="shared" si="10"/>
        <v>-0.66948475536214203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0.18042714143063229</v>
      </c>
      <c r="C16" s="708">
        <v>5.2993453746449886</v>
      </c>
      <c r="D16" s="709">
        <v>-1.207453735930468</v>
      </c>
      <c r="E16" s="710">
        <v>-0.93603907484108473</v>
      </c>
      <c r="F16" s="708">
        <v>0.31560805331068698</v>
      </c>
      <c r="G16" s="711">
        <v>0.15563549420387618</v>
      </c>
      <c r="H16" s="710">
        <v>0.314</v>
      </c>
      <c r="I16" s="708">
        <v>0.52</v>
      </c>
      <c r="J16" s="570">
        <v>1.139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1.139</v>
      </c>
      <c r="N16" s="632">
        <f t="shared" si="2"/>
        <v>0.18042714143063229</v>
      </c>
      <c r="O16" s="629">
        <f t="shared" si="3"/>
        <v>5.2993453746449886</v>
      </c>
      <c r="P16" s="633">
        <f t="shared" si="4"/>
        <v>-1.207453735930468</v>
      </c>
      <c r="Q16" s="585">
        <f>IF(M16="","",IF(DEGREES(ATAN2(N16,O16))&lt;0,DEGREES(ATAN2(N16,O16))+360,IF(DEGREES(ATAN2(N16,O16))&gt;360,DEGREES(ATAN2(N16,O16))-360,DEGREES(ATAN2(N16,O16)))))</f>
        <v>88.050000281545138</v>
      </c>
      <c r="R16" s="629">
        <f t="shared" si="79"/>
        <v>5.3024159920866323</v>
      </c>
      <c r="S16" s="634">
        <f t="shared" si="80"/>
        <v>-1.207453735930468</v>
      </c>
      <c r="T16" s="635">
        <f t="shared" si="81"/>
        <v>5.2993453746449886</v>
      </c>
      <c r="U16" s="629">
        <f t="shared" si="82"/>
        <v>-0.18042714143063507</v>
      </c>
      <c r="V16" s="636">
        <f t="shared" si="114"/>
        <v>-1.207453735930468</v>
      </c>
      <c r="W16" s="585">
        <f>IF(M16="","",IF(Q16-$Q$8&lt;0,360+Q16-$Q$8,Q16-$Q$8))</f>
        <v>358.05000028154512</v>
      </c>
      <c r="X16" s="629">
        <f t="shared" si="83"/>
        <v>5.3024159920866323</v>
      </c>
      <c r="Y16" s="630">
        <f t="shared" si="223"/>
        <v>-1.207453735930468</v>
      </c>
      <c r="Z16" s="632">
        <f t="shared" si="6"/>
        <v>0.93603907484108473</v>
      </c>
      <c r="AA16" s="629">
        <f t="shared" si="7"/>
        <v>-0.31560805331068698</v>
      </c>
      <c r="AB16" s="629">
        <f t="shared" si="8"/>
        <v>-0.15563549420387618</v>
      </c>
      <c r="AC16" s="636">
        <f t="shared" si="84"/>
        <v>1</v>
      </c>
      <c r="AD16" s="637">
        <f t="shared" si="115"/>
        <v>0.93603907484108473</v>
      </c>
      <c r="AE16" s="629">
        <f t="shared" si="85"/>
        <v>-0.31560805331068698</v>
      </c>
      <c r="AF16" s="633">
        <f t="shared" si="86"/>
        <v>-0.15563549420387618</v>
      </c>
      <c r="AG16" s="602">
        <f t="shared" si="87"/>
        <v>-63.750755510815665</v>
      </c>
      <c r="AH16" s="603">
        <f t="shared" si="88"/>
        <v>20.60333170454896</v>
      </c>
      <c r="AI16" s="585">
        <f t="shared" si="89"/>
        <v>-81.04634531744621</v>
      </c>
      <c r="AJ16" s="586">
        <f t="shared" si="90"/>
        <v>71.367230515196752</v>
      </c>
      <c r="AK16" s="635">
        <f t="shared" si="211"/>
        <v>0.94623632097242594</v>
      </c>
      <c r="AL16" s="629">
        <f t="shared" si="91"/>
        <v>-0.28357436029458516</v>
      </c>
      <c r="AM16" s="634">
        <f t="shared" si="92"/>
        <v>-0.15563549420387618</v>
      </c>
      <c r="AN16" s="581">
        <f t="shared" si="93"/>
        <v>-61.240484931384053</v>
      </c>
      <c r="AO16" s="582">
        <f t="shared" si="94"/>
        <v>18.873279025534014</v>
      </c>
      <c r="AP16" s="585">
        <f t="shared" si="95"/>
        <v>-16.682769766348354</v>
      </c>
      <c r="AQ16" s="586">
        <f t="shared" si="9"/>
        <v>0.4299330432762325</v>
      </c>
      <c r="AS16" s="52">
        <f t="shared" si="116"/>
        <v>-1.9499997184548761</v>
      </c>
      <c r="AT16" s="72">
        <f t="shared" si="10"/>
        <v>-1.2060995694593188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0.23304417702133062</v>
      </c>
      <c r="C17" s="708">
        <v>5.6618229981250243</v>
      </c>
      <c r="D17" s="709">
        <v>-1.868355729210879</v>
      </c>
      <c r="E17" s="710">
        <v>-0.91221094259728752</v>
      </c>
      <c r="F17" s="708">
        <v>0.39606637137015155</v>
      </c>
      <c r="G17" s="711">
        <v>0.10489340148669764</v>
      </c>
      <c r="H17" s="710">
        <v>0.314</v>
      </c>
      <c r="I17" s="708">
        <v>0.52</v>
      </c>
      <c r="J17" s="570">
        <v>1.1459999999999999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1.1459999999999999</v>
      </c>
      <c r="N17" s="632">
        <f t="shared" si="2"/>
        <v>0.23304417702133062</v>
      </c>
      <c r="O17" s="629">
        <f t="shared" si="3"/>
        <v>5.6618229981250243</v>
      </c>
      <c r="P17" s="633">
        <f t="shared" si="4"/>
        <v>-1.868355729210879</v>
      </c>
      <c r="Q17" s="585">
        <f>IF(M17="","",IF(DEGREES(ATAN2(N17,O17))&lt;0,DEGREES(ATAN2(N17,O17))+360,IF(DEGREES(ATAN2(N17,O17))&gt;360,DEGREES(ATAN2(N17,O17))-360,DEGREES(ATAN2(N17,O17)))))</f>
        <v>87.643000340308646</v>
      </c>
      <c r="R17" s="629">
        <f>IF(M17="","",SQRT(N17^2+O17^2))</f>
        <v>5.6666170905171445</v>
      </c>
      <c r="S17" s="634">
        <f>IF(M17="","",P17)</f>
        <v>-1.868355729210879</v>
      </c>
      <c r="T17" s="635">
        <f>IF(M17="","",X17*COS(RADIANS(W17)))</f>
        <v>5.6618229981250243</v>
      </c>
      <c r="U17" s="629">
        <f>IF(M17="","",X17*SIN(RADIANS(W17)))</f>
        <v>-0.23304417702133567</v>
      </c>
      <c r="V17" s="636">
        <f>IF(M17="","",Y17)</f>
        <v>-1.868355729210879</v>
      </c>
      <c r="W17" s="585">
        <f t="shared" ref="W15:W78" si="224">IF(M17="","",IF(Q17-$Q$8&lt;0,360+Q17-$Q$8,Q17-$Q$8))</f>
        <v>357.64300034030862</v>
      </c>
      <c r="X17" s="629">
        <f>IF(M17="","",R17)</f>
        <v>5.6666170905171445</v>
      </c>
      <c r="Y17" s="630">
        <f t="shared" si="223"/>
        <v>-1.868355729210879</v>
      </c>
      <c r="Z17" s="632">
        <f t="shared" si="6"/>
        <v>0.91221094259728752</v>
      </c>
      <c r="AA17" s="629">
        <f t="shared" si="7"/>
        <v>-0.39606637137015155</v>
      </c>
      <c r="AB17" s="629">
        <f t="shared" si="8"/>
        <v>-0.10489340148669764</v>
      </c>
      <c r="AC17" s="636">
        <f>IF(M17="","",SQRT(Z17^2+AA17^2+AB17^2))</f>
        <v>1</v>
      </c>
      <c r="AD17" s="637">
        <f>IF(M17="","",Z17*(1/SQRT(Z17^2+AA17^2+AB17^2)))</f>
        <v>0.91221094259728752</v>
      </c>
      <c r="AE17" s="629">
        <f>IF(M17="","",AA17*(1/SQRT(Z17^2+AA17^2+AB17^2)))</f>
        <v>-0.39606637137015155</v>
      </c>
      <c r="AF17" s="633">
        <f>IF(M17="","",AB17*(1/SQRT(Z17^2+AA17^2+AB17^2)))</f>
        <v>-0.10489340148669764</v>
      </c>
      <c r="AG17" s="602">
        <f>IF(M17="","",DEGREES(ATAN2(-AF17,AE17)))</f>
        <v>-75.166449422199065</v>
      </c>
      <c r="AH17" s="603">
        <f>IF(M17="","",DEGREES(ACOS(AD17)))</f>
        <v>24.18730187405043</v>
      </c>
      <c r="AI17" s="585">
        <f>IF(M17="","",DEGREES(-ACOS(-AF17)))</f>
        <v>-83.978974999412316</v>
      </c>
      <c r="AJ17" s="586">
        <f>IF(M17="","",DEGREES(ATAN2(-AE17,AD17)))</f>
        <v>66.530339789537365</v>
      </c>
      <c r="AK17" s="635">
        <f>IF(M17="","",(COS(RADIANS((90-$Q$8)-W17))*AD17)+(-SIN(RADIANS((90-$Q$8)-W17))*AE17))</f>
        <v>0.92772773800049424</v>
      </c>
      <c r="AL17" s="629">
        <f>IF(M17="","",(SIN(RADIANS((90-$Q$8)-W17))*AD17)+(COS(RADIANS((90-$Q$8)-W17))*AE17))</f>
        <v>-0.35821588249132247</v>
      </c>
      <c r="AM17" s="634">
        <f>IF(M17="","",AF17)</f>
        <v>-0.10489340148669764</v>
      </c>
      <c r="AN17" s="581">
        <f>IF(M17="","",DEGREES(ATAN2(-AM17,AL17)))</f>
        <v>-73.678821483085542</v>
      </c>
      <c r="AO17" s="582">
        <f t="shared" si="94"/>
        <v>21.916663427338623</v>
      </c>
      <c r="AP17" s="585">
        <f>IF(M17="","",DEGREES(ATAN2(AK17,AL17)))</f>
        <v>-21.112660550771245</v>
      </c>
      <c r="AQ17" s="586">
        <f t="shared" si="9"/>
        <v>0.40230160798361397</v>
      </c>
      <c r="AS17" s="52">
        <f t="shared" si="116"/>
        <v>-2.3569996596913825</v>
      </c>
      <c r="AT17" s="72">
        <f t="shared" si="10"/>
        <v>-1.8667189238916488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0.26002350184736384</v>
      </c>
      <c r="C18" s="708">
        <v>5.8317235512581895</v>
      </c>
      <c r="D18" s="709">
        <v>-2.6032579456759639</v>
      </c>
      <c r="E18" s="710">
        <v>-0.86337860872282424</v>
      </c>
      <c r="F18" s="708">
        <v>0.50214279143332952</v>
      </c>
      <c r="G18" s="711">
        <v>4.9294979575858371E-2</v>
      </c>
      <c r="H18" s="710">
        <v>0.314</v>
      </c>
      <c r="I18" s="708">
        <v>0.52</v>
      </c>
      <c r="J18" s="570">
        <v>1.153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1.153</v>
      </c>
      <c r="N18" s="632">
        <f t="shared" si="2"/>
        <v>0.26002350184736384</v>
      </c>
      <c r="O18" s="629">
        <f t="shared" si="3"/>
        <v>5.8317235512581895</v>
      </c>
      <c r="P18" s="633">
        <f t="shared" si="4"/>
        <v>-2.6032579456759639</v>
      </c>
      <c r="Q18" s="585">
        <f t="shared" si="113"/>
        <v>87.447000368607547</v>
      </c>
      <c r="R18" s="629">
        <f>IF(M18="","",SQRT(N18^2+O18^2))</f>
        <v>5.8375176059530984</v>
      </c>
      <c r="S18" s="634">
        <f>IF(M18="","",P18)</f>
        <v>-2.6032579456759639</v>
      </c>
      <c r="T18" s="635">
        <f>IF(M18="","",X18*COS(RADIANS(W18)))</f>
        <v>5.8317235512581895</v>
      </c>
      <c r="U18" s="629">
        <f>IF(M18="","",X18*SIN(RADIANS(W18)))</f>
        <v>-0.26002350184736833</v>
      </c>
      <c r="V18" s="636">
        <f>IF(M18="","",Y18)</f>
        <v>-2.6032579456759639</v>
      </c>
      <c r="W18" s="585">
        <f t="shared" si="224"/>
        <v>357.44700036860752</v>
      </c>
      <c r="X18" s="629">
        <f>IF(M18="","",R18)</f>
        <v>5.8375176059530984</v>
      </c>
      <c r="Y18" s="630">
        <f t="shared" si="223"/>
        <v>-2.6032579456759639</v>
      </c>
      <c r="Z18" s="632">
        <f t="shared" si="6"/>
        <v>0.86337860872282424</v>
      </c>
      <c r="AA18" s="629">
        <f t="shared" si="7"/>
        <v>-0.50214279143332952</v>
      </c>
      <c r="AB18" s="629">
        <f t="shared" si="8"/>
        <v>-4.9294979575858371E-2</v>
      </c>
      <c r="AC18" s="636">
        <f>IF(M18="","",SQRT(Z18^2+AA18^2+AB18^2))</f>
        <v>1</v>
      </c>
      <c r="AD18" s="637">
        <f>IF(M18="","",Z18*(1/SQRT(Z18^2+AA18^2+AB18^2)))</f>
        <v>0.86337860872282424</v>
      </c>
      <c r="AE18" s="629">
        <f>IF(M18="","",AA18*(1/SQRT(Z18^2+AA18^2+AB18^2)))</f>
        <v>-0.50214279143332952</v>
      </c>
      <c r="AF18" s="633">
        <f>IF(M18="","",AB18*(1/SQRT(Z18^2+AA18^2+AB18^2)))</f>
        <v>-4.9294979575858371E-2</v>
      </c>
      <c r="AG18" s="602">
        <f>IF(M18="","",DEGREES(ATAN2(-AF18,AE18)))</f>
        <v>-84.393281455372133</v>
      </c>
      <c r="AH18" s="603">
        <f>IF(M18="","",DEGREES(ACOS(AD18)))</f>
        <v>30.301923919549051</v>
      </c>
      <c r="AI18" s="585">
        <f>IF(M18="","",DEGREES(-ACOS(-AF18)))</f>
        <v>-87.174460589144743</v>
      </c>
      <c r="AJ18" s="586">
        <f>IF(M18="","",DEGREES(ATAN2(-AE18,AD18)))</f>
        <v>59.817628428451364</v>
      </c>
      <c r="AK18" s="635">
        <f>IF(M18="","",(COS(RADIANS((90-$Q$8)-W18))*AD18)+(-SIN(RADIANS((90-$Q$8)-W18))*AE18))</f>
        <v>0.8848888589097359</v>
      </c>
      <c r="AL18" s="629">
        <f>IF(M18="","",(SIN(RADIANS((90-$Q$8)-W18))*AD18)+(COS(RADIANS((90-$Q$8)-W18))*AE18))</f>
        <v>-0.46318647688165671</v>
      </c>
      <c r="AM18" s="634">
        <f>IF(M18="","",AF18)</f>
        <v>-4.9294979575858371E-2</v>
      </c>
      <c r="AN18" s="581">
        <f>IF(M18="","",DEGREES(ATAN2(-AM18,AL18)))</f>
        <v>-83.925119021714451</v>
      </c>
      <c r="AO18" s="582">
        <f t="shared" si="94"/>
        <v>27.762152657236399</v>
      </c>
      <c r="AP18" s="585">
        <f>IF(M18="","",DEGREES(ATAN2(AK18,AL18)))</f>
        <v>-27.629371940156126</v>
      </c>
      <c r="AQ18" s="586">
        <f t="shared" si="9"/>
        <v>0.39052410334347348</v>
      </c>
      <c r="AS18" s="52">
        <f t="shared" si="116"/>
        <v>-2.5529996313924812</v>
      </c>
      <c r="AT18" s="72">
        <f t="shared" si="10"/>
        <v>-2.6014850292652745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1.153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0.26923366679984884</v>
      </c>
      <c r="C19" s="708">
        <v>5.8881656960827904</v>
      </c>
      <c r="D19" s="709">
        <v>-3.4089603756744933</v>
      </c>
      <c r="E19" s="710">
        <v>-0.79209797936640236</v>
      </c>
      <c r="F19" s="708">
        <v>0.61039396383290501</v>
      </c>
      <c r="G19" s="711">
        <v>1.3008419213592557E-7</v>
      </c>
      <c r="H19" s="710">
        <v>0.314</v>
      </c>
      <c r="I19" s="708">
        <v>0.52</v>
      </c>
      <c r="J19" s="570">
        <v>1.1599999999999999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1.1599999999999999</v>
      </c>
      <c r="N19" s="632">
        <f t="shared" si="2"/>
        <v>0.26923366679984884</v>
      </c>
      <c r="O19" s="629">
        <f t="shared" si="3"/>
        <v>5.8881656960827904</v>
      </c>
      <c r="P19" s="633">
        <f t="shared" si="4"/>
        <v>-3.4089603756744933</v>
      </c>
      <c r="Q19" s="585">
        <f t="shared" si="113"/>
        <v>87.382000345623467</v>
      </c>
      <c r="R19" s="629">
        <f>IF(M19="","",SQRT(N19^2+O19^2))</f>
        <v>5.8943177749307525</v>
      </c>
      <c r="S19" s="634">
        <f>IF(M19="","",P19)</f>
        <v>-3.4089603756744933</v>
      </c>
      <c r="T19" s="635">
        <f>IF(M19="","",X19*COS(RADIANS(W19)))</f>
        <v>5.8881656960827904</v>
      </c>
      <c r="U19" s="629">
        <f>IF(M19="","",X19*SIN(RADIANS(W19)))</f>
        <v>-0.2692336667998485</v>
      </c>
      <c r="V19" s="636">
        <f>IF(M19="","",Y19)</f>
        <v>-3.4089603756744933</v>
      </c>
      <c r="W19" s="585">
        <f t="shared" si="224"/>
        <v>357.38200034562345</v>
      </c>
      <c r="X19" s="629">
        <f>IF(M19="","",R19)</f>
        <v>5.8943177749307525</v>
      </c>
      <c r="Y19" s="630">
        <f t="shared" si="223"/>
        <v>-3.4089603756744933</v>
      </c>
      <c r="Z19" s="632">
        <f t="shared" si="6"/>
        <v>0.79209797936640236</v>
      </c>
      <c r="AA19" s="629">
        <f t="shared" si="7"/>
        <v>-0.61039396383290501</v>
      </c>
      <c r="AB19" s="629">
        <f t="shared" si="8"/>
        <v>-1.3008419213592557E-7</v>
      </c>
      <c r="AC19" s="636">
        <f>IF(M19="","",SQRT(Z19^2+AA19^2+AB19^2))</f>
        <v>1</v>
      </c>
      <c r="AD19" s="637">
        <f>IF(M19="","",Z19*(1/SQRT(Z19^2+AA19^2+AB19^2)))</f>
        <v>0.79209797936640236</v>
      </c>
      <c r="AE19" s="629">
        <f>IF(M19="","",AA19*(1/SQRT(Z19^2+AA19^2+AB19^2)))</f>
        <v>-0.61039396383290501</v>
      </c>
      <c r="AF19" s="633">
        <f>IF(M19="","",AB19*(1/SQRT(Z19^2+AA19^2+AB19^2)))</f>
        <v>-1.3008419213592557E-7</v>
      </c>
      <c r="AG19" s="602">
        <f>IF(M19="","",DEGREES(ATAN2(-AF19,AE19)))</f>
        <v>-89.999987789402212</v>
      </c>
      <c r="AH19" s="603">
        <f>IF(M19="","",DEGREES(ACOS(AD19)))</f>
        <v>37.617994568633506</v>
      </c>
      <c r="AI19" s="585">
        <f>IF(M19="","",DEGREES(-ACOS(-AF19)))</f>
        <v>-89.999992546724812</v>
      </c>
      <c r="AJ19" s="586">
        <f>IF(M19="","",DEGREES(ATAN2(-AE19,AD19)))</f>
        <v>52.382005431367105</v>
      </c>
      <c r="AK19" s="635">
        <f>IF(M19="","",(COS(RADIANS((90-$Q$8)-W19))*AD19)+(-SIN(RADIANS((90-$Q$8)-W19))*AE19))</f>
        <v>0.81915209520133059</v>
      </c>
      <c r="AL19" s="629">
        <f>IF(M19="","",(SIN(RADIANS((90-$Q$8)-W19))*AD19)+(COS(RADIANS((90-$Q$8)-W19))*AE19))</f>
        <v>-0.57357636364066955</v>
      </c>
      <c r="AM19" s="634">
        <f>IF(M19="","",AF19)</f>
        <v>-1.3008419213592557E-7</v>
      </c>
      <c r="AN19" s="581">
        <f>IF(M19="","",DEGREES(ATAN2(-AM19,AL19)))</f>
        <v>-89.999987005609611</v>
      </c>
      <c r="AO19" s="582">
        <f t="shared" si="94"/>
        <v>34.999994914257037</v>
      </c>
      <c r="AP19" s="585">
        <f>IF(M19="","",DEGREES(ATAN2(AK19,AL19)))</f>
        <v>-34.999994914256362</v>
      </c>
      <c r="AQ19" s="586">
        <f t="shared" si="9"/>
        <v>0.38676096080327582</v>
      </c>
      <c r="AS19" s="52">
        <f t="shared" si="116"/>
        <v>-2.6179996543765469</v>
      </c>
      <c r="AT19" s="72">
        <f t="shared" si="10"/>
        <v>-3.4071423203589539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1.1599999999999999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0.96880983611808114</v>
      </c>
      <c r="C20" s="708">
        <v>2.4351676683503949</v>
      </c>
      <c r="D20" s="709">
        <v>-0.13925051422955095</v>
      </c>
      <c r="E20" s="710">
        <v>-2.1073028619124886E-7</v>
      </c>
      <c r="F20" s="708">
        <v>8.3837173430445379E-8</v>
      </c>
      <c r="G20" s="711">
        <v>0.99999999999997435</v>
      </c>
      <c r="H20" s="710">
        <v>0.25700000000000001</v>
      </c>
      <c r="I20" s="708">
        <v>0.41499999999999992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310</v>
      </c>
      <c r="M20" s="168">
        <f t="shared" si="1"/>
        <v>1.2110000000000001</v>
      </c>
      <c r="N20" s="632">
        <f t="shared" si="2"/>
        <v>0.96880983611808114</v>
      </c>
      <c r="O20" s="629">
        <f t="shared" si="3"/>
        <v>2.4351676683503949</v>
      </c>
      <c r="P20" s="633">
        <f t="shared" si="4"/>
        <v>-0.13925051422955095</v>
      </c>
      <c r="Q20" s="585">
        <f t="shared" si="113"/>
        <v>68.305303132326685</v>
      </c>
      <c r="R20" s="629">
        <f>IF(M20="","",SQRT(N20^2+O20^2))</f>
        <v>2.6208079043566399</v>
      </c>
      <c r="S20" s="634">
        <f>IF(M20="","",P20)</f>
        <v>-0.13925051422955095</v>
      </c>
      <c r="T20" s="635">
        <f>IF(M20="","",X20*COS(RADIANS(W20)))</f>
        <v>2.4351676683503953</v>
      </c>
      <c r="U20" s="629">
        <f>IF(M20="","",X20*SIN(RADIANS(W20)))</f>
        <v>-0.96880983611808091</v>
      </c>
      <c r="V20" s="636">
        <f>IF(M20="","",Y20)</f>
        <v>-0.13925051422955095</v>
      </c>
      <c r="W20" s="585">
        <f t="shared" si="224"/>
        <v>338.30530313232669</v>
      </c>
      <c r="X20" s="629">
        <f>IF(M20="","",R20)</f>
        <v>2.6208079043566399</v>
      </c>
      <c r="Y20" s="630">
        <f t="shared" si="223"/>
        <v>-0.13925051422955095</v>
      </c>
      <c r="Z20" s="632">
        <f t="shared" si="6"/>
        <v>2.1073028619124886E-7</v>
      </c>
      <c r="AA20" s="629">
        <f t="shared" si="7"/>
        <v>-8.3837173430445379E-8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2.1073028619124886E-7</v>
      </c>
      <c r="AE20" s="629">
        <f>IF(M20="","",AA20*(1/SQRT(Z20^2+AA20^2+AB20^2)))</f>
        <v>-8.3837173430445379E-8</v>
      </c>
      <c r="AF20" s="633">
        <f>IF(M20="","",AB20*(1/SQRT(Z20^2+AA20^2+AB20^2)))</f>
        <v>-0.99999999999997435</v>
      </c>
      <c r="AG20" s="602">
        <f>IF(M20="","",DEGREES(ATAN2(-AF20,AE20)))</f>
        <v>-4.8035162038709534E-6</v>
      </c>
      <c r="AH20" s="603">
        <f>IF(M20="","",DEGREES(ACOS(AD20)))</f>
        <v>89.999987926043985</v>
      </c>
      <c r="AI20" s="585">
        <f>IF(M20="","",DEGREES(-ACOS(-AF20)))</f>
        <v>-1.2976235990044085E-5</v>
      </c>
      <c r="AJ20" s="586">
        <f>IF(M20="","",DEGREES(ATAN2(-AE20,AD20)))</f>
        <v>68.305303121371864</v>
      </c>
      <c r="AK20" s="635">
        <f>IF(M20="","",(COS(RADIANS((90-$Q$8)-W20))*AD20)+(-SIN(RADIANS((90-$Q$8)-W20))*AE20))</f>
        <v>2.2679489669534505E-7</v>
      </c>
      <c r="AL20" s="629">
        <f>IF(M20="","",(SIN(RADIANS((90-$Q$8)-W20))*AD20)+(COS(RADIANS((90-$Q$8)-W20))*AE20))</f>
        <v>-4.3362700299271232E-17</v>
      </c>
      <c r="AM20" s="634">
        <f>IF(M20="","",AF20)</f>
        <v>-0.99999999999997435</v>
      </c>
      <c r="AN20" s="581">
        <f>IF(M20="","",DEGREES(ATAN2(-AM20,AL20)))</f>
        <v>-2.4844997154389767E-15</v>
      </c>
      <c r="AO20" s="582">
        <f t="shared" si="94"/>
        <v>0</v>
      </c>
      <c r="AP20" s="585">
        <f>IF(M20="","",DEGREES(ATAN2(AK20,AL20)))</f>
        <v>-1.0954830781648305E-8</v>
      </c>
      <c r="AQ20" s="586">
        <f t="shared" si="9"/>
        <v>0.86978961787558862</v>
      </c>
      <c r="AS20" s="52">
        <f t="shared" si="116"/>
        <v>-21.694696867673315</v>
      </c>
      <c r="AT20" s="72">
        <f t="shared" si="10"/>
        <v>-0.12418475251588892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IFERROR(IF($IH20&lt;1,$IH20+LARGE((IF($M$9:$M$150="",0,$M$9:$M$150)-MOD(IF($M$9:$M$150="",0,$M$9:$M$150),1)),1),$IH20),"")</f>
        <v>1.111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21.694696867673315</v>
      </c>
      <c r="IM20" s="759">
        <v>3.98761420699403E-2</v>
      </c>
      <c r="IN20" s="5">
        <f t="shared" si="226"/>
        <v>0.68</v>
      </c>
      <c r="IO20" s="771">
        <v>340</v>
      </c>
      <c r="IP20" s="9">
        <f t="shared" si="227"/>
        <v>-2.6294079302943176</v>
      </c>
      <c r="IQ20" s="5">
        <f t="shared" si="228"/>
        <v>-0.14305052569038559</v>
      </c>
      <c r="IR20" s="5">
        <f t="shared" si="71"/>
        <v>0.314</v>
      </c>
      <c r="IS20" s="5">
        <f t="shared" si="229"/>
        <v>0.30330071252667312</v>
      </c>
      <c r="IT20" s="727">
        <f t="shared" si="230"/>
        <v>-10.624998465940024</v>
      </c>
      <c r="IU20" s="9">
        <f t="shared" si="231"/>
        <v>-2.6208079043566399</v>
      </c>
      <c r="IV20" s="5">
        <f t="shared" si="232"/>
        <v>-0.13925051422955095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2.4844997154389767E-15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0.99938097192084585</v>
      </c>
      <c r="C21" s="708">
        <v>3.2357945569276789</v>
      </c>
      <c r="D21" s="709">
        <v>-0.10975042525728264</v>
      </c>
      <c r="E21" s="710">
        <v>1.9300095210472025E-2</v>
      </c>
      <c r="F21" s="708">
        <v>6.2490594528841384E-2</v>
      </c>
      <c r="G21" s="711">
        <v>0.99785892385662345</v>
      </c>
      <c r="H21" s="710">
        <v>0.25700000000000001</v>
      </c>
      <c r="I21" s="708">
        <v>0.41499999999999992</v>
      </c>
      <c r="J21" s="570">
        <v>1.218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1.218</v>
      </c>
      <c r="N21" s="632">
        <f t="shared" si="2"/>
        <v>0.99938097192084585</v>
      </c>
      <c r="O21" s="629">
        <f t="shared" si="3"/>
        <v>3.2357945569276789</v>
      </c>
      <c r="P21" s="633">
        <f t="shared" si="4"/>
        <v>-0.10975042525728264</v>
      </c>
      <c r="Q21" s="585">
        <f t="shared" si="113"/>
        <v>72.836602478087997</v>
      </c>
      <c r="R21" s="629">
        <f>IF(M21="","",SQRT(N21^2+O21^2))</f>
        <v>3.3866102140164061</v>
      </c>
      <c r="S21" s="634">
        <f>IF(M21="","",P21)</f>
        <v>-0.10975042525728264</v>
      </c>
      <c r="T21" s="635">
        <f>IF(M21="","",X21*COS(RADIANS(W21)))</f>
        <v>3.2357945569276794</v>
      </c>
      <c r="U21" s="629">
        <f>IF(M21="","",X21*SIN(RADIANS(W21)))</f>
        <v>-0.99938097192084374</v>
      </c>
      <c r="V21" s="636">
        <f>IF(M21="","",Y21)</f>
        <v>-0.10975042525728264</v>
      </c>
      <c r="W21" s="585">
        <f t="shared" si="224"/>
        <v>342.83660247808803</v>
      </c>
      <c r="X21" s="629">
        <f>IF(M21="","",R21)</f>
        <v>3.3866102140164061</v>
      </c>
      <c r="Y21" s="630">
        <f t="shared" si="223"/>
        <v>-0.10975042525728264</v>
      </c>
      <c r="Z21" s="632">
        <f t="shared" si="6"/>
        <v>-1.9300095210472025E-2</v>
      </c>
      <c r="AA21" s="629">
        <f t="shared" si="7"/>
        <v>-6.2490594528841384E-2</v>
      </c>
      <c r="AB21" s="629">
        <f t="shared" si="8"/>
        <v>-0.99785892385662345</v>
      </c>
      <c r="AC21" s="636">
        <f>IF(M21="","",SQRT(Z21^2+AA21^2+AB21^2))</f>
        <v>1</v>
      </c>
      <c r="AD21" s="637">
        <f>IF(M21="","",Z21*(1/SQRT(Z21^2+AA21^2+AB21^2)))</f>
        <v>-1.9300095210472025E-2</v>
      </c>
      <c r="AE21" s="629">
        <f>IF(M21="","",AA21*(1/SQRT(Z21^2+AA21^2+AB21^2)))</f>
        <v>-6.2490594528841384E-2</v>
      </c>
      <c r="AF21" s="633">
        <f>IF(M21="","",AB21*(1/SQRT(Z21^2+AA21^2+AB21^2)))</f>
        <v>-0.99785892385662345</v>
      </c>
      <c r="AG21" s="602">
        <f>IF(M21="","",DEGREES(ATAN2(-AF21,AE21)))</f>
        <v>-3.5834500890339851</v>
      </c>
      <c r="AH21" s="603">
        <f>IF(M21="","",DEGREES(ACOS(AD21)))</f>
        <v>91.105882662724227</v>
      </c>
      <c r="AI21" s="585">
        <f>IF(M21="","",DEGREES(-ACOS(-AF21)))</f>
        <v>-3.7499994585895533</v>
      </c>
      <c r="AJ21" s="586">
        <f>IF(M21="","",DEGREES(ATAN2(-AE21,AD21)))</f>
        <v>-17.16319884040513</v>
      </c>
      <c r="AK21" s="635">
        <f>IF(M21="","",(COS(RADIANS((90-$Q$8)-W21))*AD21)+(-SIN(RADIANS((90-$Q$8)-W21))*AE21))</f>
        <v>2.2679489665791697E-7</v>
      </c>
      <c r="AL21" s="629">
        <f>IF(M21="","",(SIN(RADIANS((90-$Q$8)-W21))*AD21)+(COS(RADIANS((90-$Q$8)-W21))*AE21))</f>
        <v>-6.5403119800586801E-2</v>
      </c>
      <c r="AM21" s="634">
        <f>IF(M21="","",AF21)</f>
        <v>-0.99785892385662345</v>
      </c>
      <c r="AN21" s="581">
        <f>IF(M21="","",DEGREES(ATAN2(-AM21,AL21)))</f>
        <v>-3.74999945856707</v>
      </c>
      <c r="AO21" s="582">
        <f>IF(ROUND(IF(M21="",0,DEGREES(ACOS(AK21))),4)=90,0,IF(M21="","",DEGREES(ACOS(AK21))))</f>
        <v>0</v>
      </c>
      <c r="AP21" s="585">
        <f>IF(M21="","",DEGREES(ATAN2(AK21,AL21)))</f>
        <v>-89.999801318493169</v>
      </c>
      <c r="AQ21" s="586">
        <f t="shared" si="9"/>
        <v>0.673127877849516</v>
      </c>
      <c r="AS21" s="52">
        <f t="shared" si="116"/>
        <v>-17.163397521911975</v>
      </c>
      <c r="AT21" s="72">
        <f t="shared" si="10"/>
        <v>-9.7831399200399322E-2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1.218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1.1180000000000001</v>
      </c>
      <c r="II21" s="734" cm="1">
        <f t="array" ref="II21">IFERROR(IF($IH21&lt;1,$IH21+LARGE((IF($M$9:$M$150="",0,$M$9:$M$150)-MOD(IF($M$9:$M$150="",0,$M$9:$M$150),1)),1),$IH21),"")</f>
        <v>1.1180000000000001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16.91839755728563</v>
      </c>
      <c r="IM21" s="759">
        <v>3.7937660830042901E-2</v>
      </c>
      <c r="IN21" s="5">
        <f t="shared" si="226"/>
        <v>0.8</v>
      </c>
      <c r="IO21" s="771">
        <v>400</v>
      </c>
      <c r="IP21" s="9">
        <f t="shared" si="227"/>
        <v>-3.383510204666778</v>
      </c>
      <c r="IQ21" s="5">
        <f t="shared" si="228"/>
        <v>-0.11745044848055262</v>
      </c>
      <c r="IR21" s="5">
        <f t="shared" si="71"/>
        <v>0.314</v>
      </c>
      <c r="IS21" s="5">
        <f t="shared" si="229"/>
        <v>0.30312704756152181</v>
      </c>
      <c r="IT21" s="727">
        <f t="shared" si="230"/>
        <v>11.202270944385003</v>
      </c>
      <c r="IU21" s="9">
        <f t="shared" si="231"/>
        <v>-3.3866102140164061</v>
      </c>
      <c r="IV21" s="5">
        <f t="shared" si="232"/>
        <v>-0.10975042525728264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3.74999945856707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1.0880308344069243</v>
      </c>
      <c r="C22" s="708">
        <v>3.9847394119268245</v>
      </c>
      <c r="D22" s="709">
        <v>-0.26245088580187159</v>
      </c>
      <c r="E22" s="710">
        <v>-0.87342484314622992</v>
      </c>
      <c r="F22" s="708">
        <v>0.39466690123007259</v>
      </c>
      <c r="G22" s="711">
        <v>0.28524915503544612</v>
      </c>
      <c r="H22" s="710">
        <v>0.26600000000000001</v>
      </c>
      <c r="I22" s="708">
        <v>0.52</v>
      </c>
      <c r="J22" s="570">
        <v>1.2250000000000001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872" t="str">
        <f>IF($L21=$JH$22,$JH$30,IF($L21=$JI$22,$JI$30,""))</f>
        <v/>
      </c>
      <c r="M22" s="168">
        <f t="shared" si="1"/>
        <v>1.2250000000000001</v>
      </c>
      <c r="N22" s="632">
        <f t="shared" si="2"/>
        <v>1.0880308344069243</v>
      </c>
      <c r="O22" s="629">
        <f t="shared" si="3"/>
        <v>3.9847394119268245</v>
      </c>
      <c r="P22" s="633">
        <f t="shared" si="4"/>
        <v>-0.26245088580187159</v>
      </c>
      <c r="Q22" s="585">
        <f t="shared" si="113"/>
        <v>74.727702205046981</v>
      </c>
      <c r="R22" s="629">
        <f t="shared" si="79"/>
        <v>4.1306124579271728</v>
      </c>
      <c r="S22" s="634">
        <f t="shared" si="80"/>
        <v>-0.26245088580187159</v>
      </c>
      <c r="T22" s="635">
        <f t="shared" si="81"/>
        <v>3.9847394119268236</v>
      </c>
      <c r="U22" s="629">
        <f t="shared" si="82"/>
        <v>-1.0880308344069267</v>
      </c>
      <c r="V22" s="636">
        <f t="shared" si="114"/>
        <v>-0.26245088580187159</v>
      </c>
      <c r="W22" s="585">
        <f t="shared" si="224"/>
        <v>344.72770220504697</v>
      </c>
      <c r="X22" s="629">
        <f t="shared" si="83"/>
        <v>4.1306124579271728</v>
      </c>
      <c r="Y22" s="630">
        <f t="shared" si="223"/>
        <v>-0.26245088580187159</v>
      </c>
      <c r="Z22" s="632">
        <f t="shared" si="6"/>
        <v>0.87342484314622992</v>
      </c>
      <c r="AA22" s="629">
        <f t="shared" si="7"/>
        <v>-0.39466690123007259</v>
      </c>
      <c r="AB22" s="629">
        <f t="shared" si="8"/>
        <v>-0.28524915503544612</v>
      </c>
      <c r="AC22" s="636">
        <f t="shared" si="84"/>
        <v>1</v>
      </c>
      <c r="AD22" s="637">
        <f t="shared" si="115"/>
        <v>0.87342484314622992</v>
      </c>
      <c r="AE22" s="629">
        <f t="shared" si="85"/>
        <v>-0.39466690123007259</v>
      </c>
      <c r="AF22" s="633">
        <f t="shared" si="86"/>
        <v>-0.28524915503544612</v>
      </c>
      <c r="AG22" s="602">
        <f t="shared" si="87"/>
        <v>-54.142130365248434</v>
      </c>
      <c r="AH22" s="603">
        <f t="shared" si="88"/>
        <v>29.140899036522665</v>
      </c>
      <c r="AI22" s="585">
        <f t="shared" si="89"/>
        <v>-73.426257648240124</v>
      </c>
      <c r="AJ22" s="586">
        <f t="shared" si="90"/>
        <v>65.683629835939072</v>
      </c>
      <c r="AK22" s="635">
        <f t="shared" si="211"/>
        <v>0.94653763661501844</v>
      </c>
      <c r="AL22" s="629">
        <f t="shared" si="91"/>
        <v>-0.15066327363634316</v>
      </c>
      <c r="AM22" s="634">
        <f t="shared" si="92"/>
        <v>-0.28524915503544612</v>
      </c>
      <c r="AN22" s="581">
        <f t="shared" si="93"/>
        <v>-27.842177104272952</v>
      </c>
      <c r="AO22" s="582">
        <f t="shared" si="94"/>
        <v>18.819835512766286</v>
      </c>
      <c r="AP22" s="585">
        <f t="shared" si="95"/>
        <v>-9.0440723691078642</v>
      </c>
      <c r="AQ22" s="586">
        <f t="shared" si="9"/>
        <v>0.55189300587821799</v>
      </c>
      <c r="AS22" s="52">
        <f t="shared" si="116"/>
        <v>-15.272297794953033</v>
      </c>
      <c r="AT22" s="72">
        <f t="shared" si="10"/>
        <v>-0.2518451234442653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</v>
      </c>
      <c r="II22" s="734" cm="1">
        <f t="array" ref="II22">IFERROR(IF($IH22&lt;1,$IH22+LARGE((IF($M$9:$M$150="",0,$M$9:$M$150)-MOD(IF($M$9:$M$150="",0,$M$9:$M$150),1)),1),$IH22),"")</f>
        <v>1.125</v>
      </c>
      <c r="IJ22" s="533">
        <f t="shared" si="112"/>
        <v>1613</v>
      </c>
      <c r="IK22" s="533">
        <f t="shared" si="66"/>
        <v>1313</v>
      </c>
      <c r="IL22" s="727">
        <f t="shared" si="225"/>
        <v>14.494297907282316</v>
      </c>
      <c r="IM22" s="759">
        <v>1.14304502700439E-2</v>
      </c>
      <c r="IN22" s="5">
        <f t="shared" si="226"/>
        <v>0.26</v>
      </c>
      <c r="IO22" s="771">
        <v>130</v>
      </c>
      <c r="IP22" s="9">
        <f t="shared" si="227"/>
        <v>-4.1162124144966423</v>
      </c>
      <c r="IQ22" s="5">
        <f t="shared" si="228"/>
        <v>-0.2977509922669927</v>
      </c>
      <c r="IR22" s="5">
        <f t="shared" si="71"/>
        <v>0.314</v>
      </c>
      <c r="IS22" s="5">
        <f t="shared" si="229"/>
        <v>0.30126771030598282</v>
      </c>
      <c r="IT22" s="727">
        <f t="shared" si="230"/>
        <v>29.449939971892427</v>
      </c>
      <c r="IU22" s="9">
        <f t="shared" si="231"/>
        <v>-4.1306124579271728</v>
      </c>
      <c r="IV22" s="5">
        <f t="shared" si="232"/>
        <v>-0.26245088580187159</v>
      </c>
      <c r="IW22" s="5">
        <f t="shared" si="76"/>
        <v>0.26600000000000001</v>
      </c>
      <c r="IX22" s="5">
        <f t="shared" si="233"/>
        <v>0.2517790113395949</v>
      </c>
      <c r="IY22" s="762">
        <f t="shared" si="234"/>
        <v>27.842177104272952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1.1704677891449571</v>
      </c>
      <c r="C23" s="708">
        <v>4.6521298750789351</v>
      </c>
      <c r="D23" s="709">
        <v>-0.63815201891648921</v>
      </c>
      <c r="E23" s="710">
        <v>-0.85270334134488035</v>
      </c>
      <c r="F23" s="708">
        <v>0.4607045085675463</v>
      </c>
      <c r="G23" s="711">
        <v>0.24626889256422974</v>
      </c>
      <c r="H23" s="710">
        <v>0.26600000000000001</v>
      </c>
      <c r="I23" s="708">
        <v>0.52</v>
      </c>
      <c r="J23" s="570">
        <v>1.232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1.232</v>
      </c>
      <c r="N23" s="632">
        <f t="shared" si="2"/>
        <v>1.1704677891449571</v>
      </c>
      <c r="O23" s="629">
        <f t="shared" si="3"/>
        <v>4.6521298750789351</v>
      </c>
      <c r="P23" s="633">
        <f t="shared" si="4"/>
        <v>-0.63815201891648921</v>
      </c>
      <c r="Q23" s="585">
        <f t="shared" si="113"/>
        <v>75.877602039021994</v>
      </c>
      <c r="R23" s="629">
        <f t="shared" si="79"/>
        <v>4.7971144680972362</v>
      </c>
      <c r="S23" s="634">
        <f t="shared" si="80"/>
        <v>-0.63815201891648921</v>
      </c>
      <c r="T23" s="635">
        <f t="shared" si="81"/>
        <v>4.6521298750789351</v>
      </c>
      <c r="U23" s="629">
        <f t="shared" si="82"/>
        <v>-1.1704677891449577</v>
      </c>
      <c r="V23" s="636">
        <f t="shared" si="114"/>
        <v>-0.63815201891648921</v>
      </c>
      <c r="W23" s="585">
        <f t="shared" si="224"/>
        <v>345.87760203902201</v>
      </c>
      <c r="X23" s="629">
        <f t="shared" si="83"/>
        <v>4.7971144680972362</v>
      </c>
      <c r="Y23" s="630">
        <f t="shared" si="223"/>
        <v>-0.63815201891648921</v>
      </c>
      <c r="Z23" s="632">
        <f t="shared" si="6"/>
        <v>0.85270334134488035</v>
      </c>
      <c r="AA23" s="629">
        <f t="shared" si="7"/>
        <v>-0.4607045085675463</v>
      </c>
      <c r="AB23" s="629">
        <f t="shared" si="8"/>
        <v>-0.24626889256422974</v>
      </c>
      <c r="AC23" s="636">
        <f t="shared" si="84"/>
        <v>1</v>
      </c>
      <c r="AD23" s="637">
        <f t="shared" si="115"/>
        <v>0.85270334134488035</v>
      </c>
      <c r="AE23" s="629">
        <f t="shared" si="85"/>
        <v>-0.4607045085675463</v>
      </c>
      <c r="AF23" s="633">
        <f t="shared" si="86"/>
        <v>-0.24626889256422974</v>
      </c>
      <c r="AG23" s="602">
        <f t="shared" si="87"/>
        <v>-61.873336047631369</v>
      </c>
      <c r="AH23" s="603">
        <f t="shared" si="88"/>
        <v>31.493071498427707</v>
      </c>
      <c r="AI23" s="585">
        <f t="shared" si="89"/>
        <v>-75.743166266420246</v>
      </c>
      <c r="AJ23" s="586">
        <f t="shared" si="90"/>
        <v>61.618224949084436</v>
      </c>
      <c r="AK23" s="635">
        <f t="shared" si="211"/>
        <v>0.93934103645220357</v>
      </c>
      <c r="AL23" s="629">
        <f t="shared" si="91"/>
        <v>-0.238725888399411</v>
      </c>
      <c r="AM23" s="634">
        <f t="shared" si="92"/>
        <v>-0.24626889256422974</v>
      </c>
      <c r="AN23" s="581">
        <f t="shared" si="93"/>
        <v>-44.10896471689604</v>
      </c>
      <c r="AO23" s="582">
        <f t="shared" si="94"/>
        <v>20.058815059863377</v>
      </c>
      <c r="AP23" s="585">
        <f t="shared" si="95"/>
        <v>-14.259377089937539</v>
      </c>
      <c r="AQ23" s="586">
        <f t="shared" si="9"/>
        <v>0.47521783583645077</v>
      </c>
      <c r="AS23" s="52">
        <f t="shared" si="116"/>
        <v>-14.122397960977992</v>
      </c>
      <c r="AT23" s="72">
        <f t="shared" si="10"/>
        <v>-0.62834479811025445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1.1319999999999999</v>
      </c>
      <c r="II23" s="734" cm="1">
        <f t="array" ref="II23">IFERROR(IF($IH23&lt;1,$IH23+LARGE((IF($M$9:$M$150="",0,$M$9:$M$150)-MOD(IF($M$9:$M$150="",0,$M$9:$M$150),1)),1),$IH23),"")</f>
        <v>1.1319999999999999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12.729398162102257</v>
      </c>
      <c r="IM23" s="759">
        <v>8.7486708815566298E-3</v>
      </c>
      <c r="IN23" s="5">
        <f t="shared" si="226"/>
        <v>0.26</v>
      </c>
      <c r="IO23" s="771">
        <v>130</v>
      </c>
      <c r="IP23" s="9">
        <f t="shared" si="227"/>
        <v>-4.7723143933002108</v>
      </c>
      <c r="IQ23" s="5">
        <f t="shared" si="228"/>
        <v>-0.67045211633358348</v>
      </c>
      <c r="IR23" s="5">
        <f t="shared" si="71"/>
        <v>0.314</v>
      </c>
      <c r="IS23" s="5">
        <f t="shared" si="229"/>
        <v>0.29922832789506765</v>
      </c>
      <c r="IT23" s="727">
        <f t="shared" si="230"/>
        <v>46.011910651295267</v>
      </c>
      <c r="IU23" s="9">
        <f t="shared" si="231"/>
        <v>-4.7971144680972362</v>
      </c>
      <c r="IV23" s="5">
        <f t="shared" si="232"/>
        <v>-0.63815201891648921</v>
      </c>
      <c r="IW23" s="5">
        <f t="shared" si="76"/>
        <v>0.26600000000000001</v>
      </c>
      <c r="IX23" s="5">
        <f t="shared" si="233"/>
        <v>0.24986471569628615</v>
      </c>
      <c r="IY23" s="762">
        <f t="shared" si="234"/>
        <v>44.10896471689604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34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7</v>
      </c>
      <c r="JG23" s="801">
        <v>22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130</v>
      </c>
      <c r="JI23" s="801">
        <v>80</v>
      </c>
    </row>
    <row r="24" spans="1:269" ht="15" customHeight="1" x14ac:dyDescent="0.25">
      <c r="A24" s="79"/>
      <c r="B24" s="707">
        <v>1.2354879583808851</v>
      </c>
      <c r="C24" s="708">
        <v>5.1912206374663468</v>
      </c>
      <c r="D24" s="709">
        <v>-1.1808536557046256</v>
      </c>
      <c r="E24" s="710">
        <v>-0.83446021072699694</v>
      </c>
      <c r="F24" s="708">
        <v>0.51889262614222043</v>
      </c>
      <c r="G24" s="711">
        <v>0.1855440628225164</v>
      </c>
      <c r="H24" s="710">
        <v>0.26600000000000001</v>
      </c>
      <c r="I24" s="708">
        <v>0.52</v>
      </c>
      <c r="J24" s="570">
        <v>1.2390000000000001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1.2390000000000001</v>
      </c>
      <c r="N24" s="632">
        <f t="shared" si="2"/>
        <v>1.2354879583808851</v>
      </c>
      <c r="O24" s="629">
        <f t="shared" si="3"/>
        <v>5.1912206374663468</v>
      </c>
      <c r="P24" s="633">
        <f t="shared" si="4"/>
        <v>-1.1808536557046256</v>
      </c>
      <c r="Q24" s="585">
        <f t="shared" si="113"/>
        <v>76.612901932857824</v>
      </c>
      <c r="R24" s="629">
        <f t="shared" si="79"/>
        <v>5.3362160940277406</v>
      </c>
      <c r="S24" s="634">
        <f t="shared" si="80"/>
        <v>-1.1808536557046256</v>
      </c>
      <c r="T24" s="635">
        <f t="shared" si="81"/>
        <v>5.1912206374663468</v>
      </c>
      <c r="U24" s="629">
        <f t="shared" si="82"/>
        <v>-1.2354879583808862</v>
      </c>
      <c r="V24" s="636">
        <f t="shared" si="114"/>
        <v>-1.1808536557046256</v>
      </c>
      <c r="W24" s="585">
        <f t="shared" si="224"/>
        <v>346.61290193285782</v>
      </c>
      <c r="X24" s="629">
        <f t="shared" si="83"/>
        <v>5.3362160940277406</v>
      </c>
      <c r="Y24" s="630">
        <f t="shared" si="223"/>
        <v>-1.1808536557046256</v>
      </c>
      <c r="Z24" s="632">
        <f t="shared" si="6"/>
        <v>0.83446021072699694</v>
      </c>
      <c r="AA24" s="629">
        <f t="shared" si="7"/>
        <v>-0.51889262614222043</v>
      </c>
      <c r="AB24" s="629">
        <f t="shared" si="8"/>
        <v>-0.1855440628225164</v>
      </c>
      <c r="AC24" s="636">
        <f t="shared" si="84"/>
        <v>1</v>
      </c>
      <c r="AD24" s="637">
        <f t="shared" si="115"/>
        <v>0.83446021072699694</v>
      </c>
      <c r="AE24" s="629">
        <f t="shared" si="85"/>
        <v>-0.51889262614222043</v>
      </c>
      <c r="AF24" s="633">
        <f t="shared" si="86"/>
        <v>-0.1855440628225164</v>
      </c>
      <c r="AG24" s="602">
        <f t="shared" si="87"/>
        <v>-70.324118849778898</v>
      </c>
      <c r="AH24" s="603">
        <f t="shared" si="88"/>
        <v>33.440326584880658</v>
      </c>
      <c r="AI24" s="585">
        <f t="shared" si="89"/>
        <v>-79.307145909292529</v>
      </c>
      <c r="AJ24" s="586">
        <f t="shared" si="90"/>
        <v>58.12539998488608</v>
      </c>
      <c r="AK24" s="635">
        <f>IF(M24="","",(COS(RADIANS((90-$Q$8)-W24))*AD24)+(-SIN(RADIANS((90-$Q$8)-W24))*AE24))</f>
        <v>0.93192490160350683</v>
      </c>
      <c r="AL24" s="629">
        <f t="shared" si="91"/>
        <v>-0.31159168558003669</v>
      </c>
      <c r="AM24" s="634">
        <f t="shared" si="92"/>
        <v>-0.1855440628225164</v>
      </c>
      <c r="AN24" s="581">
        <f t="shared" si="93"/>
        <v>-59.227394168838266</v>
      </c>
      <c r="AO24" s="582">
        <f t="shared" si="94"/>
        <v>21.263112033168252</v>
      </c>
      <c r="AP24" s="585">
        <f t="shared" si="95"/>
        <v>-18.48750194797174</v>
      </c>
      <c r="AQ24" s="586">
        <f t="shared" si="9"/>
        <v>0.42720990760748312</v>
      </c>
      <c r="AS24" s="52">
        <f t="shared" si="116"/>
        <v>-13.387098067142176</v>
      </c>
      <c r="AT24" s="72">
        <f t="shared" si="10"/>
        <v>-1.1715570598246658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1.2390000000000001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1.139</v>
      </c>
      <c r="II24" s="734" cm="1">
        <f t="array" ref="II24">IFERROR(IF($IH24&lt;1,$IH24+LARGE((IF($M$9:$M$150="",0,$M$9:$M$150)-MOD(IF($M$9:$M$150="",0,$M$9:$M$150),1)),1),$IH24),"")</f>
        <v>1.139</v>
      </c>
      <c r="IJ24" s="533">
        <f t="shared" si="112"/>
        <v>1613</v>
      </c>
      <c r="IK24" s="533">
        <f t="shared" si="66"/>
        <v>1313</v>
      </c>
      <c r="IL24" s="727">
        <f t="shared" si="225"/>
        <v>11.4370983486873</v>
      </c>
      <c r="IM24" s="759">
        <v>6.3604663621241496E-3</v>
      </c>
      <c r="IN24" s="5">
        <f t="shared" si="226"/>
        <v>0.24</v>
      </c>
      <c r="IO24" s="771">
        <v>120</v>
      </c>
      <c r="IP24" s="9">
        <f t="shared" si="227"/>
        <v>-5.3024159920866323</v>
      </c>
      <c r="IQ24" s="5">
        <f t="shared" si="228"/>
        <v>-1.207453735930468</v>
      </c>
      <c r="IR24" s="5">
        <f t="shared" si="71"/>
        <v>0.314</v>
      </c>
      <c r="IS24" s="5">
        <f t="shared" si="229"/>
        <v>0.29711820478534173</v>
      </c>
      <c r="IT24" s="727">
        <f t="shared" si="230"/>
        <v>61.240484931384053</v>
      </c>
      <c r="IU24" s="9">
        <f t="shared" si="231"/>
        <v>-5.3362160940277406</v>
      </c>
      <c r="IV24" s="5">
        <f t="shared" si="232"/>
        <v>-1.1808536557046256</v>
      </c>
      <c r="IW24" s="5">
        <f t="shared" si="76"/>
        <v>0.26600000000000001</v>
      </c>
      <c r="IX24" s="5">
        <f t="shared" si="233"/>
        <v>0.24789202382653283</v>
      </c>
      <c r="IY24" s="762">
        <f t="shared" si="234"/>
        <v>59.227394168838266</v>
      </c>
      <c r="JA24" s="798" t="str">
        <v>CPS-32193r1</v>
      </c>
      <c r="JB24" s="856" cm="1">
        <f t="array" ref="JB24">IF($JA24="","",COUNT(IF(IF($II$9:$II$150&lt;&gt;"",$IK$9:$IK$150,"")=$JA24,$IG$9:$IG$150,"")))</f>
        <v>17</v>
      </c>
      <c r="JC24" s="5"/>
      <c r="JD24" s="5"/>
      <c r="JE24" s="10"/>
      <c r="JF24" s="247">
        <v>10</v>
      </c>
      <c r="JG24" s="803" t="str">
        <v/>
      </c>
      <c r="JH24" s="787">
        <v>310</v>
      </c>
      <c r="JI24" s="803" t="str">
        <v/>
      </c>
    </row>
    <row r="25" spans="1:269" ht="15" customHeight="1" x14ac:dyDescent="0.25">
      <c r="A25" s="79"/>
      <c r="B25" s="707">
        <v>1.3038206434474711</v>
      </c>
      <c r="C25" s="708">
        <v>5.5566000824573001</v>
      </c>
      <c r="D25" s="709">
        <v>-1.850055674017913</v>
      </c>
      <c r="E25" s="710">
        <v>-0.79776177725920949</v>
      </c>
      <c r="F25" s="708">
        <v>0.58940608723936183</v>
      </c>
      <c r="G25" s="711">
        <v>0.12718730702948802</v>
      </c>
      <c r="H25" s="710">
        <v>0.26600000000000001</v>
      </c>
      <c r="I25" s="708">
        <v>0.52</v>
      </c>
      <c r="J25" s="570">
        <v>1.246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1.246</v>
      </c>
      <c r="N25" s="632">
        <f t="shared" si="2"/>
        <v>1.3038206434474711</v>
      </c>
      <c r="O25" s="629">
        <f t="shared" si="3"/>
        <v>5.5566000824573001</v>
      </c>
      <c r="P25" s="633">
        <f t="shared" si="4"/>
        <v>-1.850055674017913</v>
      </c>
      <c r="Q25" s="585">
        <f t="shared" si="113"/>
        <v>76.794801906594699</v>
      </c>
      <c r="R25" s="629">
        <f>IF(M25="","",SQRT(N25^2+O25^2))</f>
        <v>5.7075172138719177</v>
      </c>
      <c r="S25" s="634">
        <f>IF(M25="","",P25)</f>
        <v>-1.850055674017913</v>
      </c>
      <c r="T25" s="635">
        <f>IF(M25="","",X25*COS(RADIANS(W25)))</f>
        <v>5.5566000824572992</v>
      </c>
      <c r="U25" s="629">
        <f>IF(M25="","",X25*SIN(RADIANS(W25)))</f>
        <v>-1.3038206434474775</v>
      </c>
      <c r="V25" s="636">
        <f>IF(M25="","",Y25)</f>
        <v>-1.850055674017913</v>
      </c>
      <c r="W25" s="585">
        <f t="shared" si="224"/>
        <v>346.79480190659467</v>
      </c>
      <c r="X25" s="629">
        <f>IF(M25="","",R25)</f>
        <v>5.7075172138719177</v>
      </c>
      <c r="Y25" s="630">
        <f t="shared" si="223"/>
        <v>-1.850055674017913</v>
      </c>
      <c r="Z25" s="632">
        <f t="shared" si="6"/>
        <v>0.79776177725920949</v>
      </c>
      <c r="AA25" s="629">
        <f t="shared" si="7"/>
        <v>-0.58940608723936183</v>
      </c>
      <c r="AB25" s="629">
        <f t="shared" si="8"/>
        <v>-0.12718730702948802</v>
      </c>
      <c r="AC25" s="636">
        <f>IF(M25="","",SQRT(Z25^2+AA25^2+AB25^2))</f>
        <v>1</v>
      </c>
      <c r="AD25" s="637">
        <f>IF(M25="","",Z25*(1/SQRT(Z25^2+AA25^2+AB25^2)))</f>
        <v>0.79776177725920949</v>
      </c>
      <c r="AE25" s="629">
        <f>IF(M25="","",AA25*(1/SQRT(Z25^2+AA25^2+AB25^2)))</f>
        <v>-0.58940608723936183</v>
      </c>
      <c r="AF25" s="633">
        <f>IF(M25="","",AB25*(1/SQRT(Z25^2+AA25^2+AB25^2)))</f>
        <v>-0.12718730702948802</v>
      </c>
      <c r="AG25" s="602">
        <f>IF(M25="","",DEGREES(ATAN2(-AF25,AE25)))</f>
        <v>-77.822921815903669</v>
      </c>
      <c r="AH25" s="603">
        <f>IF(M25="","",DEGREES(ACOS(AD25)))</f>
        <v>37.08310375186597</v>
      </c>
      <c r="AI25" s="585">
        <f>IF(M25="","",DEGREES(-ACOS(-AF25)))</f>
        <v>-82.692912393190952</v>
      </c>
      <c r="AJ25" s="586">
        <f>IF(M25="","",DEGREES(ATAN2(-AE25,AD25)))</f>
        <v>53.542096559082502</v>
      </c>
      <c r="AK25" s="635">
        <f>IF(M25="","",(COS(RADIANS((90-$Q$8)-W25))*AD25)+(-SIN(RADIANS((90-$Q$8)-W25))*AE25))</f>
        <v>0.91131095821742936</v>
      </c>
      <c r="AL25" s="629">
        <f>IF(M25="","",(SIN(RADIANS((90-$Q$8)-W25))*AD25)+(COS(RADIANS((90-$Q$8)-W25))*AE25))</f>
        <v>-0.39158105976083368</v>
      </c>
      <c r="AM25" s="634">
        <f>IF(M25="","",AF25)</f>
        <v>-0.12718730702948802</v>
      </c>
      <c r="AN25" s="581">
        <f>IF(M25="","",DEGREES(ATAN2(-AM25,AL25)))</f>
        <v>-72.005967980586419</v>
      </c>
      <c r="AO25" s="582">
        <f>IF(ROUND(IF(M25="",0,DEGREES(ACOS(AK25))),4)=90,0,IF(M25="","",DEGREES(ACOS(AK25))))</f>
        <v>24.312850444378793</v>
      </c>
      <c r="AP25" s="585">
        <f>IF(M25="","",DEGREES(ATAN2(AK25,AL25)))</f>
        <v>-23.252705347512141</v>
      </c>
      <c r="AQ25" s="586">
        <f t="shared" si="9"/>
        <v>0.39941880452078427</v>
      </c>
      <c r="AS25" s="52">
        <f t="shared" si="116"/>
        <v>-13.205198093405329</v>
      </c>
      <c r="AT25" s="72">
        <f t="shared" si="10"/>
        <v>-1.8408853975641593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1.1459999999999999</v>
      </c>
      <c r="II25" s="734" cm="1">
        <f t="array" ref="II25">IFERROR(IF($IH25&lt;1,$IH25+LARGE((IF($M$9:$M$150="",0,$M$9:$M$150)-MOD(IF($M$9:$M$150="",0,$M$9:$M$150),1)),1),$IH25),"")</f>
        <v>1.1459999999999999</v>
      </c>
      <c r="IJ25" s="533">
        <f t="shared" si="112"/>
        <v>1613</v>
      </c>
      <c r="IK25" s="533">
        <f t="shared" si="66"/>
        <v>1313</v>
      </c>
      <c r="IL25" s="727">
        <f t="shared" si="225"/>
        <v>10.848198433713947</v>
      </c>
      <c r="IM25" s="759">
        <v>4.2378938154242598E-3</v>
      </c>
      <c r="IN25" s="5">
        <f t="shared" si="226"/>
        <v>0.2</v>
      </c>
      <c r="IO25" s="771">
        <v>100</v>
      </c>
      <c r="IP25" s="9">
        <f t="shared" si="227"/>
        <v>-5.6666170905171445</v>
      </c>
      <c r="IQ25" s="5">
        <f t="shared" si="228"/>
        <v>-1.868355729210879</v>
      </c>
      <c r="IR25" s="5">
        <f t="shared" si="71"/>
        <v>0.314</v>
      </c>
      <c r="IS25" s="5">
        <f t="shared" si="229"/>
        <v>0.29130650973215522</v>
      </c>
      <c r="IT25" s="727">
        <f t="shared" si="230"/>
        <v>73.678821483085542</v>
      </c>
      <c r="IU25" s="9">
        <f t="shared" si="231"/>
        <v>-5.7075172138719177</v>
      </c>
      <c r="IV25" s="5">
        <f t="shared" si="232"/>
        <v>-1.850055674017913</v>
      </c>
      <c r="IW25" s="5">
        <f t="shared" si="76"/>
        <v>0.26600000000000001</v>
      </c>
      <c r="IX25" s="5">
        <f t="shared" si="233"/>
        <v>0.24240871488583624</v>
      </c>
      <c r="IY25" s="762">
        <f t="shared" si="234"/>
        <v>72.005967980586419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1.3749068696261064</v>
      </c>
      <c r="C26" s="708">
        <v>5.7196872814914697</v>
      </c>
      <c r="D26" s="709">
        <v>-2.5954579221510938</v>
      </c>
      <c r="E26" s="710">
        <v>-0.7238319985210212</v>
      </c>
      <c r="F26" s="708">
        <v>0.68711812055406551</v>
      </c>
      <c r="G26" s="711">
        <v>6.2736961380936179E-2</v>
      </c>
      <c r="H26" s="710">
        <v>0.26600000000000001</v>
      </c>
      <c r="I26" s="708">
        <v>0.52</v>
      </c>
      <c r="J26" s="570">
        <v>1.2529999999999999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1.2529999999999999</v>
      </c>
      <c r="N26" s="632">
        <f t="shared" si="2"/>
        <v>1.3749068696261064</v>
      </c>
      <c r="O26" s="629">
        <f t="shared" si="3"/>
        <v>5.7196872814914697</v>
      </c>
      <c r="P26" s="633">
        <f t="shared" si="4"/>
        <v>-2.5954579221510938</v>
      </c>
      <c r="Q26" s="585">
        <f t="shared" si="113"/>
        <v>76.483601951526424</v>
      </c>
      <c r="R26" s="629">
        <f>IF(M26="","",SQRT(N26^2+O26^2))</f>
        <v>5.8826177419751096</v>
      </c>
      <c r="S26" s="634">
        <f>IF(M26="","",P26)</f>
        <v>-2.5954579221510938</v>
      </c>
      <c r="T26" s="635">
        <f>IF(M26="","",X26*COS(RADIANS(W26)))</f>
        <v>5.7196872814914705</v>
      </c>
      <c r="U26" s="629">
        <f>IF(M26="","",X26*SIN(RADIANS(W26)))</f>
        <v>-1.3749068696261015</v>
      </c>
      <c r="V26" s="636">
        <f>IF(M26="","",Y26)</f>
        <v>-2.5954579221510938</v>
      </c>
      <c r="W26" s="585">
        <f t="shared" si="224"/>
        <v>346.48360195152645</v>
      </c>
      <c r="X26" s="629">
        <f>IF(M26="","",R26)</f>
        <v>5.8826177419751096</v>
      </c>
      <c r="Y26" s="630">
        <f t="shared" si="223"/>
        <v>-2.5954579221510938</v>
      </c>
      <c r="Z26" s="632">
        <f t="shared" si="6"/>
        <v>0.7238319985210212</v>
      </c>
      <c r="AA26" s="629">
        <f t="shared" si="7"/>
        <v>-0.68711812055406551</v>
      </c>
      <c r="AB26" s="629">
        <f t="shared" si="8"/>
        <v>-6.2736961380936179E-2</v>
      </c>
      <c r="AC26" s="636">
        <f>IF(M26="","",SQRT(Z26^2+AA26^2+AB26^2))</f>
        <v>1</v>
      </c>
      <c r="AD26" s="637">
        <f>IF(M26="","",Z26*(1/SQRT(Z26^2+AA26^2+AB26^2)))</f>
        <v>0.7238319985210212</v>
      </c>
      <c r="AE26" s="629">
        <f>IF(M26="","",AA26*(1/SQRT(Z26^2+AA26^2+AB26^2)))</f>
        <v>-0.68711812055406551</v>
      </c>
      <c r="AF26" s="633">
        <f>IF(M26="","",AB26*(1/SQRT(Z26^2+AA26^2+AB26^2)))</f>
        <v>-6.2736961380936179E-2</v>
      </c>
      <c r="AG26" s="602">
        <f>IF(M26="","",DEGREES(ATAN2(-AF26,AE26)))</f>
        <v>-84.783103566500031</v>
      </c>
      <c r="AH26" s="603">
        <f>IF(M26="","",DEGREES(ACOS(AD26)))</f>
        <v>43.628229587671292</v>
      </c>
      <c r="AI26" s="585">
        <f>IF(M26="","",DEGREES(-ACOS(-AF26)))</f>
        <v>-86.40307471793524</v>
      </c>
      <c r="AJ26" s="586">
        <f>IF(M26="","",DEGREES(ATAN2(-AE26,AD26)))</f>
        <v>46.490538657024821</v>
      </c>
      <c r="AK26" s="635">
        <f>IF(M26="","",(COS(RADIANS((90-$Q$8)-W26))*AD26)+(-SIN(RADIANS((90-$Q$8)-W26))*AE26))</f>
        <v>0.86437982597257013</v>
      </c>
      <c r="AL26" s="629">
        <f>IF(M26="","",(SIN(RADIANS((90-$Q$8)-W26))*AD26)+(COS(RADIANS((90-$Q$8)-W26))*AE26))</f>
        <v>-0.49891040290649014</v>
      </c>
      <c r="AM26" s="634">
        <f>IF(M26="","",AF26)</f>
        <v>-6.2736961380936179E-2</v>
      </c>
      <c r="AN26" s="581">
        <f>IF(M26="","",DEGREES(ATAN2(-AM26,AL26)))</f>
        <v>-82.832792351498441</v>
      </c>
      <c r="AO26" s="582">
        <f t="shared" si="94"/>
        <v>30.188035240306679</v>
      </c>
      <c r="AP26" s="585">
        <f>IF(M26="","",DEGREES(ATAN2(AK26,AL26)))</f>
        <v>-29.993063294501653</v>
      </c>
      <c r="AQ26" s="586">
        <f t="shared" si="9"/>
        <v>0.3875301724563297</v>
      </c>
      <c r="AS26" s="52">
        <f t="shared" si="116"/>
        <v>-13.516398048473548</v>
      </c>
      <c r="AT26" s="72">
        <f t="shared" si="10"/>
        <v>-2.5860715346174317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1.2529999999999999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1.153</v>
      </c>
      <c r="II26" s="734" cm="1">
        <f t="array" ref="II26">IFERROR(IF($IH26&lt;1,$IH26+LARGE((IF($M$9:$M$150="",0,$M$9:$M$150)-MOD(IF($M$9:$M$150="",0,$M$9:$M$150),1)),1),$IH26),"")</f>
        <v>1.153</v>
      </c>
      <c r="IJ26" s="533">
        <f t="shared" si="112"/>
        <v>1613</v>
      </c>
      <c r="IK26" s="533">
        <f t="shared" si="66"/>
        <v>1313</v>
      </c>
      <c r="IL26" s="727">
        <f t="shared" si="225"/>
        <v>10.963398417081066</v>
      </c>
      <c r="IM26" s="759">
        <v>2.2308000518803201E-3</v>
      </c>
      <c r="IN26" s="5">
        <f t="shared" si="226"/>
        <v>0.12</v>
      </c>
      <c r="IO26" s="771">
        <v>60</v>
      </c>
      <c r="IP26" s="9">
        <f t="shared" si="227"/>
        <v>-5.8375176059530984</v>
      </c>
      <c r="IQ26" s="5">
        <f t="shared" si="228"/>
        <v>-2.6032579456759639</v>
      </c>
      <c r="IR26" s="5">
        <f t="shared" si="71"/>
        <v>0.314</v>
      </c>
      <c r="IS26" s="5">
        <f t="shared" si="229"/>
        <v>0.27785510169765709</v>
      </c>
      <c r="IT26" s="727">
        <f t="shared" si="230"/>
        <v>83.925119021714451</v>
      </c>
      <c r="IU26" s="9">
        <f t="shared" si="231"/>
        <v>-5.8826177419751096</v>
      </c>
      <c r="IV26" s="5">
        <f t="shared" si="232"/>
        <v>-2.5954579221510938</v>
      </c>
      <c r="IW26" s="5">
        <f t="shared" si="76"/>
        <v>0.26600000000000001</v>
      </c>
      <c r="IX26" s="5">
        <f t="shared" si="233"/>
        <v>0.22992503370870365</v>
      </c>
      <c r="IY26" s="762">
        <f t="shared" si="234"/>
        <v>82.832792351498441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1.8584198956353035</v>
      </c>
      <c r="C27" s="708">
        <v>5.5947338755663401</v>
      </c>
      <c r="D27" s="709">
        <v>-3.4220604151842133</v>
      </c>
      <c r="E27" s="710">
        <v>0.31523637881392252</v>
      </c>
      <c r="F27" s="708">
        <v>0.94901318508871824</v>
      </c>
      <c r="G27" s="711">
        <v>2.2679489631103913E-7</v>
      </c>
      <c r="H27" s="710">
        <v>0.25700000000000001</v>
      </c>
      <c r="I27" s="708">
        <v>0.41499999999999992</v>
      </c>
      <c r="J27" s="570">
        <v>1.26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1.26</v>
      </c>
      <c r="N27" s="632">
        <f t="shared" si="2"/>
        <v>1.8584198956353035</v>
      </c>
      <c r="O27" s="629">
        <f t="shared" si="3"/>
        <v>5.5947338755663401</v>
      </c>
      <c r="P27" s="633">
        <f t="shared" si="4"/>
        <v>-3.4220604151842133</v>
      </c>
      <c r="Q27" s="585">
        <f t="shared" si="113"/>
        <v>71.62490265303579</v>
      </c>
      <c r="R27" s="629">
        <f t="shared" si="79"/>
        <v>5.8953177731910849</v>
      </c>
      <c r="S27" s="634">
        <f t="shared" si="80"/>
        <v>-3.4220604151842133</v>
      </c>
      <c r="T27" s="635">
        <f t="shared" si="81"/>
        <v>5.5947338755663409</v>
      </c>
      <c r="U27" s="629">
        <f t="shared" si="82"/>
        <v>-1.8584198956353011</v>
      </c>
      <c r="V27" s="636">
        <f t="shared" si="114"/>
        <v>-3.4220604151842133</v>
      </c>
      <c r="W27" s="585">
        <f t="shared" si="224"/>
        <v>341.6249026530358</v>
      </c>
      <c r="X27" s="629">
        <f t="shared" si="83"/>
        <v>5.8953177731910849</v>
      </c>
      <c r="Y27" s="630">
        <f t="shared" si="223"/>
        <v>-3.4220604151842133</v>
      </c>
      <c r="Z27" s="632">
        <f t="shared" si="6"/>
        <v>-0.31523637881392252</v>
      </c>
      <c r="AA27" s="629">
        <f t="shared" si="7"/>
        <v>-0.94901318508871824</v>
      </c>
      <c r="AB27" s="629">
        <f t="shared" si="8"/>
        <v>-2.2679489631103913E-7</v>
      </c>
      <c r="AC27" s="636">
        <f t="shared" si="84"/>
        <v>1</v>
      </c>
      <c r="AD27" s="637">
        <f t="shared" si="115"/>
        <v>-0.31523637881392252</v>
      </c>
      <c r="AE27" s="629">
        <f t="shared" si="85"/>
        <v>-0.94901318508871824</v>
      </c>
      <c r="AF27" s="633">
        <f t="shared" si="86"/>
        <v>-2.2679489631103913E-7</v>
      </c>
      <c r="AG27" s="602">
        <f t="shared" si="87"/>
        <v>-89.999986307471204</v>
      </c>
      <c r="AH27" s="603">
        <f t="shared" si="88"/>
        <v>108.37508435257331</v>
      </c>
      <c r="AI27" s="585">
        <f t="shared" si="89"/>
        <v>-89.999987005609626</v>
      </c>
      <c r="AJ27" s="586">
        <f t="shared" si="90"/>
        <v>-18.375084352573797</v>
      </c>
      <c r="AK27" s="635">
        <f t="shared" si="211"/>
        <v>2.2679489658505858E-7</v>
      </c>
      <c r="AL27" s="629">
        <f t="shared" si="91"/>
        <v>-0.9999999999999486</v>
      </c>
      <c r="AM27" s="634">
        <f t="shared" si="92"/>
        <v>-2.2679489631103913E-7</v>
      </c>
      <c r="AN27" s="581">
        <f t="shared" si="93"/>
        <v>-89.999987005609626</v>
      </c>
      <c r="AO27" s="582">
        <f t="shared" si="94"/>
        <v>0</v>
      </c>
      <c r="AP27" s="585">
        <f t="shared" si="95"/>
        <v>-89.999987005609626</v>
      </c>
      <c r="AQ27" s="586">
        <f t="shared" si="9"/>
        <v>0.38669535814075257</v>
      </c>
      <c r="AS27" s="52">
        <f t="shared" si="116"/>
        <v>-18.375097346964196</v>
      </c>
      <c r="AT27" s="72">
        <f t="shared" si="10"/>
        <v>-3.4092999309154881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1.26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1.1599999999999999</v>
      </c>
      <c r="II27" s="734" cm="1">
        <f t="array" ref="II27">IFERROR(IF($IH27&lt;1,$IH27+LARGE((IF($M$9:$M$150="",0,$M$9:$M$150)-MOD(IF($M$9:$M$150="",0,$M$9:$M$150),1)),1),$IH27),"")</f>
        <v>1.1599999999999999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15.757097692587649</v>
      </c>
      <c r="IM27" s="759">
        <v>1.8705542896677201E-4</v>
      </c>
      <c r="IN27" s="5">
        <f t="shared" si="226"/>
        <v>0</v>
      </c>
      <c r="IO27" s="771">
        <v>0</v>
      </c>
      <c r="IP27" s="9">
        <f t="shared" si="227"/>
        <v>-5.8943177749307525</v>
      </c>
      <c r="IQ27" s="5">
        <f t="shared" si="228"/>
        <v>-3.4089603756744933</v>
      </c>
      <c r="IR27" s="5">
        <f t="shared" si="71"/>
        <v>0.314</v>
      </c>
      <c r="IS27" s="5">
        <f t="shared" si="229"/>
        <v>0.25721375789321782</v>
      </c>
      <c r="IT27" s="727">
        <f t="shared" si="230"/>
        <v>89.999987005609611</v>
      </c>
      <c r="IU27" s="9">
        <f t="shared" si="231"/>
        <v>-5.8953177731910849</v>
      </c>
      <c r="IV27" s="5">
        <f t="shared" si="232"/>
        <v>-3.4220604151842133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89.999987005609626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2.0918349929251003</v>
      </c>
      <c r="C28" s="708">
        <v>1.4109581870156345</v>
      </c>
      <c r="D28" s="709">
        <v>-0.16355058751857193</v>
      </c>
      <c r="E28" s="710">
        <v>-0.58749347638478377</v>
      </c>
      <c r="F28" s="708">
        <v>0.76884777976441332</v>
      </c>
      <c r="G28" s="711">
        <v>0.25243713426644238</v>
      </c>
      <c r="H28" s="710">
        <v>0.314</v>
      </c>
      <c r="I28" s="708">
        <v>0.52</v>
      </c>
      <c r="J28" s="570">
        <v>2.11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</v>
      </c>
      <c r="N28" s="632">
        <f t="shared" si="2"/>
        <v>2.0918349929251003</v>
      </c>
      <c r="O28" s="629">
        <f t="shared" si="3"/>
        <v>1.4109581870156345</v>
      </c>
      <c r="P28" s="633">
        <f t="shared" si="4"/>
        <v>-0.16355058751857193</v>
      </c>
      <c r="Q28" s="585">
        <f t="shared" si="113"/>
        <v>33.999956107836873</v>
      </c>
      <c r="R28" s="629">
        <f t="shared" si="79"/>
        <v>2.5232076099941518</v>
      </c>
      <c r="S28" s="634">
        <f t="shared" si="80"/>
        <v>-0.16355058751857193</v>
      </c>
      <c r="T28" s="635">
        <f t="shared" si="81"/>
        <v>1.4109581870156327</v>
      </c>
      <c r="U28" s="629">
        <f t="shared" si="82"/>
        <v>-2.0918349929251012</v>
      </c>
      <c r="V28" s="636">
        <f t="shared" si="114"/>
        <v>-0.16355058751857193</v>
      </c>
      <c r="W28" s="585">
        <f t="shared" si="224"/>
        <v>303.99995610783685</v>
      </c>
      <c r="X28" s="629">
        <f t="shared" si="83"/>
        <v>2.5232076099941518</v>
      </c>
      <c r="Y28" s="630">
        <f t="shared" si="223"/>
        <v>-0.16355058751857193</v>
      </c>
      <c r="Z28" s="632">
        <f t="shared" si="6"/>
        <v>0.58749347638478377</v>
      </c>
      <c r="AA28" s="629">
        <f t="shared" si="7"/>
        <v>-0.76884777976441332</v>
      </c>
      <c r="AB28" s="629">
        <f t="shared" si="8"/>
        <v>-0.25243713426644238</v>
      </c>
      <c r="AC28" s="636">
        <f t="shared" si="84"/>
        <v>1</v>
      </c>
      <c r="AD28" s="637">
        <f t="shared" si="115"/>
        <v>0.58749347638478377</v>
      </c>
      <c r="AE28" s="629">
        <f t="shared" si="85"/>
        <v>-0.76884777976441332</v>
      </c>
      <c r="AF28" s="633">
        <f t="shared" si="86"/>
        <v>-0.25243713426644238</v>
      </c>
      <c r="AG28" s="602">
        <f t="shared" si="87"/>
        <v>-71.823349839354421</v>
      </c>
      <c r="AH28" s="603">
        <f t="shared" si="88"/>
        <v>54.020661294966963</v>
      </c>
      <c r="AI28" s="585">
        <f t="shared" si="89"/>
        <v>-75.378223769899591</v>
      </c>
      <c r="AJ28" s="586">
        <f t="shared" si="90"/>
        <v>37.384239806360014</v>
      </c>
      <c r="AK28" s="635">
        <f t="shared" si="211"/>
        <v>0.96592583607220739</v>
      </c>
      <c r="AL28" s="629">
        <f t="shared" si="91"/>
        <v>5.7120683220296065E-2</v>
      </c>
      <c r="AM28" s="634">
        <f t="shared" si="92"/>
        <v>-0.25243713426644238</v>
      </c>
      <c r="AN28" s="581">
        <f t="shared" si="93"/>
        <v>12.749998159128193</v>
      </c>
      <c r="AO28" s="582">
        <f t="shared" si="94"/>
        <v>14.999997834268255</v>
      </c>
      <c r="AP28" s="585">
        <f t="shared" si="95"/>
        <v>3.3842836985231854</v>
      </c>
      <c r="AQ28" s="586">
        <f t="shared" si="9"/>
        <v>0.90342851239199706</v>
      </c>
      <c r="AS28" s="52">
        <f t="shared" si="116"/>
        <v>-56.000043892163148</v>
      </c>
      <c r="AT28" s="72">
        <f t="shared" si="10"/>
        <v>-0.12466166814901419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2.7217031723986556</v>
      </c>
      <c r="C29" s="708">
        <v>1.822981681265466</v>
      </c>
      <c r="D29" s="709">
        <v>-0.10835042103486979</v>
      </c>
      <c r="E29" s="710">
        <v>-0.50580466084320186</v>
      </c>
      <c r="F29" s="708">
        <v>0.82328790299032095</v>
      </c>
      <c r="G29" s="711">
        <v>0.25760177378871718</v>
      </c>
      <c r="H29" s="710">
        <v>0.314</v>
      </c>
      <c r="I29" s="708">
        <v>0.52</v>
      </c>
      <c r="J29" s="570">
        <v>2.117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2.117</v>
      </c>
      <c r="N29" s="632">
        <f t="shared" si="2"/>
        <v>2.7217031723986556</v>
      </c>
      <c r="O29" s="629">
        <f t="shared" si="3"/>
        <v>1.822981681265466</v>
      </c>
      <c r="P29" s="633">
        <f t="shared" si="4"/>
        <v>-0.10835042103486979</v>
      </c>
      <c r="Q29" s="585">
        <f t="shared" si="113"/>
        <v>33.813956134691942</v>
      </c>
      <c r="R29" s="629">
        <f>IF(M29="","",SQRT(N29^2+O29^2))</f>
        <v>3.2758098798425972</v>
      </c>
      <c r="S29" s="634">
        <f>IF(M29="","",P29)</f>
        <v>-0.10835042103486979</v>
      </c>
      <c r="T29" s="635">
        <f>IF(M29="","",X29*COS(RADIANS(W29)))</f>
        <v>1.8229816812654638</v>
      </c>
      <c r="U29" s="629">
        <f>IF(M29="","",X29*SIN(RADIANS(W29)))</f>
        <v>-2.7217031723986569</v>
      </c>
      <c r="V29" s="636">
        <f>IF(M29="","",Y29)</f>
        <v>-0.10835042103486979</v>
      </c>
      <c r="W29" s="585">
        <f t="shared" si="224"/>
        <v>303.81395613469192</v>
      </c>
      <c r="X29" s="629">
        <f>IF(M29="","",R29)</f>
        <v>3.2758098798425972</v>
      </c>
      <c r="Y29" s="630">
        <f t="shared" si="223"/>
        <v>-0.10835042103486979</v>
      </c>
      <c r="Z29" s="632">
        <f t="shared" si="6"/>
        <v>0.50580466084320186</v>
      </c>
      <c r="AA29" s="629">
        <f t="shared" si="7"/>
        <v>-0.82328790299032095</v>
      </c>
      <c r="AB29" s="629">
        <f t="shared" si="8"/>
        <v>-0.25760177378871718</v>
      </c>
      <c r="AC29" s="636">
        <f>IF(M29="","",SQRT(Z29^2+AA29^2+AB29^2))</f>
        <v>1</v>
      </c>
      <c r="AD29" s="637">
        <f>IF(M29="","",Z29*(1/SQRT(Z29^2+AA29^2+AB29^2)))</f>
        <v>0.50580466084320186</v>
      </c>
      <c r="AE29" s="629">
        <f>IF(M29="","",AA29*(1/SQRT(Z29^2+AA29^2+AB29^2)))</f>
        <v>-0.82328790299032095</v>
      </c>
      <c r="AF29" s="633">
        <f>IF(M29="","",AB29*(1/SQRT(Z29^2+AA29^2+AB29^2)))</f>
        <v>-0.25760177378871718</v>
      </c>
      <c r="AG29" s="602">
        <f>IF(M29="","",DEGREES(ATAN2(-AF29,AE29)))</f>
        <v>-72.625416066367407</v>
      </c>
      <c r="AH29" s="603">
        <f>IF(M29="","",DEGREES(ACOS(AD29)))</f>
        <v>59.615217878688455</v>
      </c>
      <c r="AI29" s="585">
        <f>IF(M29="","",DEGREES(-ACOS(-AF29)))</f>
        <v>-75.072192661087684</v>
      </c>
      <c r="AJ29" s="586">
        <f>IF(M29="","",DEGREES(ATAN2(-AE29,AD29)))</f>
        <v>31.56538214231891</v>
      </c>
      <c r="AK29" s="635">
        <f>IF(M29="","",(COS(RADIANS((90-$Q$8)-W29))*AD29)+(-SIN(RADIANS((90-$Q$8)-W29))*AE29))</f>
        <v>0.96550717056083113</v>
      </c>
      <c r="AL29" s="629">
        <f>IF(M29="","",(SIN(RADIANS((90-$Q$8)-W29))*AD29)+(COS(RADIANS((90-$Q$8)-W29))*AE29))</f>
        <v>-3.7910812923554416E-2</v>
      </c>
      <c r="AM29" s="634">
        <f>IF(M29="","",AF29)</f>
        <v>-0.25760177378871718</v>
      </c>
      <c r="AN29" s="581">
        <f>IF(M29="","",DEGREES(ATAN2(-AM29,AL29)))</f>
        <v>-8.3720253073441331</v>
      </c>
      <c r="AO29" s="582">
        <f t="shared" si="94"/>
        <v>15.0924014196007</v>
      </c>
      <c r="AP29" s="585">
        <f>IF(M29="","",DEGREES(ATAN2(AK29,AL29)))</f>
        <v>-2.2485739923729886</v>
      </c>
      <c r="AQ29" s="586">
        <f t="shared" si="9"/>
        <v>0.695893417345401</v>
      </c>
      <c r="AS29" s="52">
        <f t="shared" si="116"/>
        <v>-56.186043865308079</v>
      </c>
      <c r="AT29" s="72">
        <f t="shared" si="10"/>
        <v>-6.933233501729473E-2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2.117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34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130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80</v>
      </c>
    </row>
    <row r="30" spans="1:269" ht="15" customHeight="1" x14ac:dyDescent="0.25">
      <c r="A30" s="79"/>
      <c r="B30" s="707">
        <v>3.355509026879969</v>
      </c>
      <c r="C30" s="708">
        <v>2.2047406668731209</v>
      </c>
      <c r="D30" s="709">
        <v>-0.25975087765864668</v>
      </c>
      <c r="E30" s="710">
        <v>-0.42702788454142493</v>
      </c>
      <c r="F30" s="708">
        <v>0.87326494074343841</v>
      </c>
      <c r="G30" s="711">
        <v>0.23463914654727724</v>
      </c>
      <c r="H30" s="710">
        <v>0.314</v>
      </c>
      <c r="I30" s="708">
        <v>0.52</v>
      </c>
      <c r="J30" s="570">
        <v>2.1240000000000001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2.1240000000000001</v>
      </c>
      <c r="N30" s="632">
        <f t="shared" si="2"/>
        <v>3.355509026879969</v>
      </c>
      <c r="O30" s="629">
        <f t="shared" si="3"/>
        <v>2.2047406668731209</v>
      </c>
      <c r="P30" s="633">
        <f t="shared" si="4"/>
        <v>-0.25975087765864668</v>
      </c>
      <c r="Q30" s="585">
        <f t="shared" si="113"/>
        <v>33.306956207893684</v>
      </c>
      <c r="R30" s="629">
        <f>IF(M30="","",SQRT(N30^2+O30^2))</f>
        <v>4.0150121092765199</v>
      </c>
      <c r="S30" s="634">
        <f>IF(M30="","",P30)</f>
        <v>-0.25975087765864668</v>
      </c>
      <c r="T30" s="635">
        <f>IF(M30="","",X30*COS(RADIANS(W30)))</f>
        <v>2.2047406668731191</v>
      </c>
      <c r="U30" s="629">
        <f>IF(M30="","",X30*SIN(RADIANS(W30)))</f>
        <v>-3.3555090268799703</v>
      </c>
      <c r="V30" s="636">
        <f>IF(M30="","",Y30)</f>
        <v>-0.25975087765864668</v>
      </c>
      <c r="W30" s="585">
        <f t="shared" si="224"/>
        <v>303.30695620789368</v>
      </c>
      <c r="X30" s="629">
        <f>IF(M30="","",R30)</f>
        <v>4.0150121092765199</v>
      </c>
      <c r="Y30" s="630">
        <f t="shared" si="223"/>
        <v>-0.25975087765864668</v>
      </c>
      <c r="Z30" s="632">
        <f t="shared" si="6"/>
        <v>0.42702788454142493</v>
      </c>
      <c r="AA30" s="629">
        <f t="shared" si="7"/>
        <v>-0.87326494074343841</v>
      </c>
      <c r="AB30" s="629">
        <f t="shared" si="8"/>
        <v>-0.23463914654727724</v>
      </c>
      <c r="AC30" s="636">
        <f>IF(M30="","",SQRT(Z30^2+AA30^2+AB30^2))</f>
        <v>1</v>
      </c>
      <c r="AD30" s="637">
        <f>IF(M30="","",Z30*(1/SQRT(Z30^2+AA30^2+AB30^2)))</f>
        <v>0.42702788454142493</v>
      </c>
      <c r="AE30" s="629">
        <f>IF(M30="","",AA30*(1/SQRT(Z30^2+AA30^2+AB30^2)))</f>
        <v>-0.87326494074343841</v>
      </c>
      <c r="AF30" s="633">
        <f>IF(M30="","",AB30*(1/SQRT(Z30^2+AA30^2+AB30^2)))</f>
        <v>-0.23463914654727724</v>
      </c>
      <c r="AG30" s="602">
        <f>IF(M30="","",DEGREES(ATAN2(-AF30,AE30)))</f>
        <v>-74.960308204068923</v>
      </c>
      <c r="AH30" s="603">
        <f>IF(M30="","",DEGREES(ACOS(AD30)))</f>
        <v>64.720910441142991</v>
      </c>
      <c r="AI30" s="585">
        <f>IF(M30="","",DEGREES(-ACOS(-AF30)))</f>
        <v>-76.429647340260473</v>
      </c>
      <c r="AJ30" s="586">
        <f>IF(M30="","",DEGREES(ATAN2(-AE30,AD30)))</f>
        <v>26.05870355261608</v>
      </c>
      <c r="AK30" s="635">
        <f>IF(M30="","",(COS(RADIANS((90-$Q$8)-W30))*AD30)+(-SIN(RADIANS((90-$Q$8)-W30))*AE30))</f>
        <v>0.96431443519540239</v>
      </c>
      <c r="AL30" s="629">
        <f>IF(M30="","",(SIN(RADIANS((90-$Q$8)-W30))*AD30)+(COS(RADIANS((90-$Q$8)-W30))*AE30))</f>
        <v>-0.12264640631236512</v>
      </c>
      <c r="AM30" s="634">
        <f>IF(M30="","",AF30)</f>
        <v>-0.23463914654727724</v>
      </c>
      <c r="AN30" s="581">
        <f>IF(M30="","",DEGREES(ATAN2(-AM30,AL30)))</f>
        <v>-27.596169161876574</v>
      </c>
      <c r="AO30" s="582">
        <f>IF(ROUND(IF(M30="",0,DEGREES(ACOS(AK30))),4)=90,0,IF(M30="","",DEGREES(ACOS(AK30))))</f>
        <v>15.352671408927975</v>
      </c>
      <c r="AP30" s="585">
        <f>IF(M30="","",DEGREES(ATAN2(AK30,AL30)))</f>
        <v>-7.2482526552775735</v>
      </c>
      <c r="AQ30" s="586">
        <f t="shared" si="9"/>
        <v>0.56778210008486429</v>
      </c>
      <c r="AS30" s="52">
        <f t="shared" si="116"/>
        <v>-56.693043792106323</v>
      </c>
      <c r="AT30" s="72">
        <f t="shared" si="10"/>
        <v>-0.22038070835857285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2.1240000000000001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17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310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3.9430093329328217</v>
      </c>
      <c r="C31" s="708">
        <v>2.5307797031123456</v>
      </c>
      <c r="D31" s="709">
        <v>-0.60635192300740015</v>
      </c>
      <c r="E31" s="710">
        <v>-0.34860157387694013</v>
      </c>
      <c r="F31" s="708">
        <v>0.91475204766571983</v>
      </c>
      <c r="G31" s="711">
        <v>0.20421957296472051</v>
      </c>
      <c r="H31" s="710">
        <v>0.314</v>
      </c>
      <c r="I31" s="708">
        <v>0.52</v>
      </c>
      <c r="J31" s="570">
        <v>2.1309999999999998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2.1309999999999998</v>
      </c>
      <c r="N31" s="632">
        <f t="shared" si="2"/>
        <v>3.9430093329328217</v>
      </c>
      <c r="O31" s="629">
        <f t="shared" si="3"/>
        <v>2.5307797031123456</v>
      </c>
      <c r="P31" s="633">
        <f t="shared" si="4"/>
        <v>-0.60635192300740015</v>
      </c>
      <c r="Q31" s="585">
        <f t="shared" si="113"/>
        <v>32.693956296399911</v>
      </c>
      <c r="R31" s="629">
        <f>IF(M31="","",SQRT(N31^2+O31^2))</f>
        <v>4.68531413090742</v>
      </c>
      <c r="S31" s="634">
        <f>IF(M31="","",P31)</f>
        <v>-0.60635192300740015</v>
      </c>
      <c r="T31" s="635">
        <f>IF(M31="","",X31*COS(RADIANS(W31)))</f>
        <v>2.5307797031123465</v>
      </c>
      <c r="U31" s="629">
        <f>IF(M31="","",X31*SIN(RADIANS(W31)))</f>
        <v>-3.9430093329328217</v>
      </c>
      <c r="V31" s="636">
        <f>IF(M31="","",Y31)</f>
        <v>-0.60635192300740015</v>
      </c>
      <c r="W31" s="585">
        <f t="shared" si="224"/>
        <v>302.6939562963999</v>
      </c>
      <c r="X31" s="629">
        <f>IF(M31="","",R31)</f>
        <v>4.68531413090742</v>
      </c>
      <c r="Y31" s="630">
        <f t="shared" si="223"/>
        <v>-0.60635192300740015</v>
      </c>
      <c r="Z31" s="632">
        <f t="shared" si="6"/>
        <v>0.34860157387694013</v>
      </c>
      <c r="AA31" s="629">
        <f t="shared" si="7"/>
        <v>-0.91475204766571983</v>
      </c>
      <c r="AB31" s="629">
        <f t="shared" si="8"/>
        <v>-0.20421957296472051</v>
      </c>
      <c r="AC31" s="636">
        <f>IF(M31="","",SQRT(Z31^2+AA31^2+AB31^2))</f>
        <v>1</v>
      </c>
      <c r="AD31" s="637">
        <f>IF(M31="","",Z31*(1/SQRT(Z31^2+AA31^2+AB31^2)))</f>
        <v>0.34860157387694013</v>
      </c>
      <c r="AE31" s="629">
        <f>IF(M31="","",AA31*(1/SQRT(Z31^2+AA31^2+AB31^2)))</f>
        <v>-0.91475204766571983</v>
      </c>
      <c r="AF31" s="633">
        <f>IF(M31="","",AB31*(1/SQRT(Z31^2+AA31^2+AB31^2)))</f>
        <v>-0.20421957296472051</v>
      </c>
      <c r="AG31" s="602">
        <f>IF(M31="","",DEGREES(ATAN2(-AF31,AE31)))</f>
        <v>-77.415018058317884</v>
      </c>
      <c r="AH31" s="603">
        <f>IF(M31="","",DEGREES(ACOS(AD31)))</f>
        <v>69.598195039570271</v>
      </c>
      <c r="AI31" s="585">
        <f>IF(M31="","",DEGREES(-ACOS(-AF31)))</f>
        <v>-78.216182585954201</v>
      </c>
      <c r="AJ31" s="586">
        <f>IF(M31="","",DEGREES(ATAN2(-AE31,AD31)))</f>
        <v>20.861273205712411</v>
      </c>
      <c r="AK31" s="635">
        <f>IF(M31="","",(COS(RADIANS((90-$Q$8)-W31))*AD31)+(-SIN(RADIANS((90-$Q$8)-W31))*AE31))</f>
        <v>0.95812351605050261</v>
      </c>
      <c r="AL31" s="629">
        <f>IF(M31="","",(SIN(RADIANS((90-$Q$8)-W31))*AD31)+(COS(RADIANS((90-$Q$8)-W31))*AE31))</f>
        <v>-0.20073289219539836</v>
      </c>
      <c r="AM31" s="634">
        <f>IF(M31="","",AF31)</f>
        <v>-0.20421957296472051</v>
      </c>
      <c r="AN31" s="581">
        <f>IF(M31="","",DEGREES(ATAN2(-AM31,AL31)))</f>
        <v>-44.50668986269654</v>
      </c>
      <c r="AO31" s="582">
        <f t="shared" si="94"/>
        <v>16.639875304154138</v>
      </c>
      <c r="AP31" s="585">
        <f>IF(M31="","",DEGREES(ATAN2(AK31,AL31)))</f>
        <v>-11.832683090687512</v>
      </c>
      <c r="AQ31" s="586">
        <f t="shared" si="9"/>
        <v>0.48655688127309288</v>
      </c>
      <c r="AS31" s="52">
        <f t="shared" si="116"/>
        <v>-57.306043703600096</v>
      </c>
      <c r="AT31" s="72">
        <f t="shared" si="10"/>
        <v>-0.5665560593243445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2.1309999999999998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4.4345618734491108</v>
      </c>
      <c r="C32" s="708">
        <v>2.7841640718705376</v>
      </c>
      <c r="D32" s="709">
        <v>-1.1220534783632909</v>
      </c>
      <c r="E32" s="710">
        <v>-0.26882138086934598</v>
      </c>
      <c r="F32" s="708">
        <v>0.94872912044797275</v>
      </c>
      <c r="G32" s="711">
        <v>0.16627724198312396</v>
      </c>
      <c r="H32" s="710">
        <v>0.314</v>
      </c>
      <c r="I32" s="708">
        <v>0.52</v>
      </c>
      <c r="J32" s="570">
        <v>2.1379999999999999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2.1379999999999999</v>
      </c>
      <c r="N32" s="632">
        <f t="shared" si="2"/>
        <v>4.4345618734491108</v>
      </c>
      <c r="O32" s="629">
        <f t="shared" si="3"/>
        <v>2.7841640718705376</v>
      </c>
      <c r="P32" s="633">
        <f t="shared" si="4"/>
        <v>-1.1220534783632909</v>
      </c>
      <c r="Q32" s="585">
        <f t="shared" si="113"/>
        <v>32.121956378986489</v>
      </c>
      <c r="R32" s="629">
        <f t="shared" si="79"/>
        <v>5.2361157921252293</v>
      </c>
      <c r="S32" s="634">
        <f t="shared" si="80"/>
        <v>-1.1220534783632909</v>
      </c>
      <c r="T32" s="635">
        <f t="shared" si="81"/>
        <v>2.7841640718705398</v>
      </c>
      <c r="U32" s="629">
        <f t="shared" si="82"/>
        <v>-4.434561873449109</v>
      </c>
      <c r="V32" s="636">
        <f t="shared" si="114"/>
        <v>-1.1220534783632909</v>
      </c>
      <c r="W32" s="585">
        <f t="shared" si="224"/>
        <v>302.12195637898651</v>
      </c>
      <c r="X32" s="629">
        <f t="shared" si="83"/>
        <v>5.2361157921252293</v>
      </c>
      <c r="Y32" s="630">
        <f t="shared" si="223"/>
        <v>-1.1220534783632909</v>
      </c>
      <c r="Z32" s="632">
        <f t="shared" si="6"/>
        <v>0.26882138086934598</v>
      </c>
      <c r="AA32" s="629">
        <f t="shared" si="7"/>
        <v>-0.94872912044797275</v>
      </c>
      <c r="AB32" s="629">
        <f t="shared" si="8"/>
        <v>-0.16627724198312396</v>
      </c>
      <c r="AC32" s="636">
        <f t="shared" si="84"/>
        <v>1</v>
      </c>
      <c r="AD32" s="637">
        <f t="shared" si="115"/>
        <v>0.26882138086934598</v>
      </c>
      <c r="AE32" s="629">
        <f t="shared" si="85"/>
        <v>-0.94872912044797275</v>
      </c>
      <c r="AF32" s="633">
        <f t="shared" si="86"/>
        <v>-0.16627724198312396</v>
      </c>
      <c r="AG32" s="602">
        <f t="shared" si="87"/>
        <v>-80.059126499773527</v>
      </c>
      <c r="AH32" s="603">
        <f t="shared" si="88"/>
        <v>74.405855814698143</v>
      </c>
      <c r="AI32" s="585">
        <f t="shared" si="89"/>
        <v>-80.428559912869076</v>
      </c>
      <c r="AJ32" s="586">
        <f t="shared" si="90"/>
        <v>15.820021145158078</v>
      </c>
      <c r="AK32" s="635">
        <f t="shared" si="211"/>
        <v>0.94643453523115406</v>
      </c>
      <c r="AL32" s="629">
        <f t="shared" si="91"/>
        <v>-0.27679152682167762</v>
      </c>
      <c r="AM32" s="634">
        <f t="shared" si="92"/>
        <v>-0.16627724198312396</v>
      </c>
      <c r="AN32" s="581">
        <f t="shared" si="93"/>
        <v>-59.005458243832059</v>
      </c>
      <c r="AO32" s="582">
        <f t="shared" si="94"/>
        <v>18.838138760848796</v>
      </c>
      <c r="AP32" s="585">
        <f t="shared" si="95"/>
        <v>-16.301935233828445</v>
      </c>
      <c r="AQ32" s="586">
        <f t="shared" si="9"/>
        <v>0.4353766884290724</v>
      </c>
      <c r="AS32" s="52">
        <f t="shared" si="116"/>
        <v>-57.878043621013489</v>
      </c>
      <c r="AT32" s="72">
        <f t="shared" si="10"/>
        <v>-1.0818603925153649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4.7871958860626656</v>
      </c>
      <c r="C33" s="708">
        <v>2.9554733078551862</v>
      </c>
      <c r="D33" s="709">
        <v>-1.7681554270067681</v>
      </c>
      <c r="E33" s="710">
        <v>-0.20086745151806315</v>
      </c>
      <c r="F33" s="708">
        <v>0.97356866552115751</v>
      </c>
      <c r="G33" s="711">
        <v>0.10870289985088355</v>
      </c>
      <c r="H33" s="710">
        <v>0.314</v>
      </c>
      <c r="I33" s="708">
        <v>0.52</v>
      </c>
      <c r="J33" s="570">
        <v>2.145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2.145</v>
      </c>
      <c r="N33" s="632">
        <f t="shared" si="2"/>
        <v>4.7871958860626656</v>
      </c>
      <c r="O33" s="629">
        <f t="shared" si="3"/>
        <v>2.9554733078551862</v>
      </c>
      <c r="P33" s="633">
        <f t="shared" si="4"/>
        <v>-1.7681554270067681</v>
      </c>
      <c r="Q33" s="585">
        <f t="shared" si="113"/>
        <v>31.689956441359556</v>
      </c>
      <c r="R33" s="629">
        <f t="shared" si="79"/>
        <v>5.6260169680671765</v>
      </c>
      <c r="S33" s="634">
        <f t="shared" si="80"/>
        <v>-1.7681554270067681</v>
      </c>
      <c r="T33" s="635">
        <f t="shared" si="81"/>
        <v>2.9554733078551818</v>
      </c>
      <c r="U33" s="629">
        <f t="shared" si="82"/>
        <v>-4.7871958860626682</v>
      </c>
      <c r="V33" s="636">
        <f t="shared" si="114"/>
        <v>-1.7681554270067681</v>
      </c>
      <c r="W33" s="585">
        <f t="shared" si="224"/>
        <v>301.68995644135953</v>
      </c>
      <c r="X33" s="629">
        <f t="shared" si="83"/>
        <v>5.6260169680671765</v>
      </c>
      <c r="Y33" s="630">
        <f t="shared" si="223"/>
        <v>-1.7681554270067681</v>
      </c>
      <c r="Z33" s="632">
        <f t="shared" si="6"/>
        <v>0.20086745151806315</v>
      </c>
      <c r="AA33" s="629">
        <f t="shared" si="7"/>
        <v>-0.97356866552115751</v>
      </c>
      <c r="AB33" s="629">
        <f t="shared" si="8"/>
        <v>-0.10870289985088355</v>
      </c>
      <c r="AC33" s="636">
        <f t="shared" si="84"/>
        <v>1</v>
      </c>
      <c r="AD33" s="637">
        <f t="shared" si="115"/>
        <v>0.20086745151806315</v>
      </c>
      <c r="AE33" s="629">
        <f t="shared" si="85"/>
        <v>-0.97356866552115751</v>
      </c>
      <c r="AF33" s="633">
        <f t="shared" si="86"/>
        <v>-0.10870289985088355</v>
      </c>
      <c r="AG33" s="602">
        <f t="shared" si="87"/>
        <v>-83.629080453662723</v>
      </c>
      <c r="AH33" s="603">
        <f t="shared" si="88"/>
        <v>78.412310188092434</v>
      </c>
      <c r="AI33" s="585">
        <f t="shared" si="89"/>
        <v>-83.759451165217556</v>
      </c>
      <c r="AJ33" s="586">
        <f t="shared" si="90"/>
        <v>11.657730738877992</v>
      </c>
      <c r="AK33" s="635">
        <f t="shared" si="211"/>
        <v>0.9339328927701519</v>
      </c>
      <c r="AL33" s="629">
        <f t="shared" si="91"/>
        <v>-0.34051876800843867</v>
      </c>
      <c r="AM33" s="634">
        <f t="shared" si="92"/>
        <v>-0.10870289985088355</v>
      </c>
      <c r="AN33" s="581">
        <f t="shared" si="93"/>
        <v>-72.295495460971495</v>
      </c>
      <c r="AO33" s="582">
        <f t="shared" si="94"/>
        <v>20.943575391894292</v>
      </c>
      <c r="AP33" s="585">
        <f t="shared" si="95"/>
        <v>-20.032225702481512</v>
      </c>
      <c r="AQ33" s="586">
        <f t="shared" si="9"/>
        <v>0.4052047190082585</v>
      </c>
      <c r="AS33" s="52">
        <f t="shared" si="116"/>
        <v>-58.310043558640473</v>
      </c>
      <c r="AT33" s="72">
        <f t="shared" si="10"/>
        <v>-1.7276623412021566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2.145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4.9692285825266049</v>
      </c>
      <c r="C34" s="708">
        <v>3.0404913035926611</v>
      </c>
      <c r="D34" s="709">
        <v>-2.4958576217565867</v>
      </c>
      <c r="E34" s="710">
        <v>-8.4720022727669236E-2</v>
      </c>
      <c r="F34" s="708">
        <v>0.99466411789510567</v>
      </c>
      <c r="G34" s="711">
        <v>5.8871133172163179E-2</v>
      </c>
      <c r="H34" s="710">
        <v>0.314</v>
      </c>
      <c r="I34" s="708">
        <v>0.52</v>
      </c>
      <c r="J34" s="570">
        <v>2.1520000000000001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2.1520000000000001</v>
      </c>
      <c r="N34" s="632">
        <f t="shared" si="2"/>
        <v>4.9692285825266049</v>
      </c>
      <c r="O34" s="629">
        <f t="shared" si="3"/>
        <v>3.0404913035926611</v>
      </c>
      <c r="P34" s="633">
        <f t="shared" si="4"/>
        <v>-2.4958576217565867</v>
      </c>
      <c r="Q34" s="585">
        <f t="shared" si="113"/>
        <v>31.460956474423067</v>
      </c>
      <c r="R34" s="629">
        <f>IF(M34="","",SQRT(N34^2+O34^2))</f>
        <v>5.8256175700625912</v>
      </c>
      <c r="S34" s="634">
        <f>IF(M34="","",P34)</f>
        <v>-2.4958576217565867</v>
      </c>
      <c r="T34" s="635">
        <f>IF(M34="","",X34*COS(RADIANS(W34)))</f>
        <v>3.0404913035926611</v>
      </c>
      <c r="U34" s="629">
        <f>IF(M34="","",X34*SIN(RADIANS(W34)))</f>
        <v>-4.9692285825266049</v>
      </c>
      <c r="V34" s="636">
        <f>IF(M34="","",Y34)</f>
        <v>-2.4958576217565867</v>
      </c>
      <c r="W34" s="585">
        <f t="shared" si="224"/>
        <v>301.46095647442309</v>
      </c>
      <c r="X34" s="629">
        <f>IF(M34="","",R34)</f>
        <v>5.8256175700625912</v>
      </c>
      <c r="Y34" s="630">
        <f t="shared" si="223"/>
        <v>-2.4958576217565867</v>
      </c>
      <c r="Z34" s="632">
        <f t="shared" si="6"/>
        <v>8.4720022727669236E-2</v>
      </c>
      <c r="AA34" s="629">
        <f t="shared" si="7"/>
        <v>-0.99466411789510567</v>
      </c>
      <c r="AB34" s="629">
        <f t="shared" si="8"/>
        <v>-5.8871133172163179E-2</v>
      </c>
      <c r="AC34" s="636">
        <f>IF(M34="","",SQRT(Z34^2+AA34^2+AB34^2))</f>
        <v>1</v>
      </c>
      <c r="AD34" s="637">
        <f>IF(M34="","",Z34*(1/SQRT(Z34^2+AA34^2+AB34^2)))</f>
        <v>8.4720022727669236E-2</v>
      </c>
      <c r="AE34" s="629">
        <f>IF(M34="","",AA34*(1/SQRT(Z34^2+AA34^2+AB34^2)))</f>
        <v>-0.99466411789510567</v>
      </c>
      <c r="AF34" s="633">
        <f>IF(M34="","",AB34*(1/SQRT(Z34^2+AA34^2+AB34^2)))</f>
        <v>-5.8871133172163179E-2</v>
      </c>
      <c r="AG34" s="602">
        <f>IF(M34="","",DEGREES(ATAN2(-AF34,AE34)))</f>
        <v>-86.612789243860561</v>
      </c>
      <c r="AH34" s="603">
        <f>IF(M34="","",DEGREES(ACOS(AD34)))</f>
        <v>85.140074719597521</v>
      </c>
      <c r="AI34" s="585">
        <f>IF(M34="","",DEGREES(-ACOS(-AF34)))</f>
        <v>-86.624981087036275</v>
      </c>
      <c r="AJ34" s="586">
        <f>IF(M34="","",DEGREES(ATAN2(-AE34,AD34)))</f>
        <v>4.8683893864243499</v>
      </c>
      <c r="AK34" s="635">
        <f>IF(M34="","",(COS(RADIANS((90-$Q$8)-W34))*AD34)+(-SIN(RADIANS((90-$Q$8)-W34))*AE34))</f>
        <v>0.89266138644692228</v>
      </c>
      <c r="AL34" s="629">
        <f>IF(M34="","",(SIN(RADIANS((90-$Q$8)-W34))*AD34)+(COS(RADIANS((90-$Q$8)-W34))*AE34))</f>
        <v>-0.44686669021721015</v>
      </c>
      <c r="AM34" s="634">
        <f>IF(M34="","",AF34)</f>
        <v>-5.8871133172163179E-2</v>
      </c>
      <c r="AN34" s="581">
        <f>IF(M34="","",DEGREES(ATAN2(-AM34,AL34)))</f>
        <v>-82.494956584960448</v>
      </c>
      <c r="AO34" s="582">
        <f t="shared" si="94"/>
        <v>26.790395516901302</v>
      </c>
      <c r="AP34" s="585">
        <f>IF(M34="","",DEGREES(ATAN2(AK34,AL34)))</f>
        <v>-26.592567087998713</v>
      </c>
      <c r="AQ34" s="586">
        <f t="shared" si="9"/>
        <v>0.3913218052898747</v>
      </c>
      <c r="AS34" s="52">
        <f t="shared" si="116"/>
        <v>-58.539043525576915</v>
      </c>
      <c r="AT34" s="72">
        <f t="shared" si="10"/>
        <v>-2.4552055081971584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2.1520000000000001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5.0320665026957796</v>
      </c>
      <c r="C35" s="708">
        <v>3.0694117912576817</v>
      </c>
      <c r="D35" s="709">
        <v>-3.3057600644223557</v>
      </c>
      <c r="E35" s="710">
        <v>6.3104725699020661E-2</v>
      </c>
      <c r="F35" s="708">
        <v>0.99800691059452817</v>
      </c>
      <c r="G35" s="711">
        <v>1.3008419234010204E-7</v>
      </c>
      <c r="H35" s="710">
        <v>0.314</v>
      </c>
      <c r="I35" s="708">
        <v>0.52</v>
      </c>
      <c r="J35" s="570">
        <v>2.1589999999999998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2.1589999999999998</v>
      </c>
      <c r="N35" s="632">
        <f t="shared" si="2"/>
        <v>5.0320665026957796</v>
      </c>
      <c r="O35" s="629">
        <f t="shared" si="3"/>
        <v>3.0694117912576817</v>
      </c>
      <c r="P35" s="633">
        <f t="shared" si="4"/>
        <v>-3.3057600644223557</v>
      </c>
      <c r="Q35" s="585">
        <f t="shared" si="113"/>
        <v>31.381956453460333</v>
      </c>
      <c r="R35" s="629">
        <f>IF(M35="","",SQRT(N35^2+O35^2))</f>
        <v>5.8943177749307534</v>
      </c>
      <c r="S35" s="634">
        <f>IF(M35="","",P35)</f>
        <v>-3.3057600644223557</v>
      </c>
      <c r="T35" s="635">
        <f>IF(M35="","",X35*COS(RADIANS(W35)))</f>
        <v>3.0694117912576839</v>
      </c>
      <c r="U35" s="629">
        <f>IF(M35="","",X35*SIN(RADIANS(W35)))</f>
        <v>-5.0320665026957787</v>
      </c>
      <c r="V35" s="636">
        <f>IF(M35="","",Y35)</f>
        <v>-3.3057600644223557</v>
      </c>
      <c r="W35" s="585">
        <f t="shared" si="224"/>
        <v>301.38195645346036</v>
      </c>
      <c r="X35" s="629">
        <f>IF(M35="","",R35)</f>
        <v>5.8943177749307534</v>
      </c>
      <c r="Y35" s="630">
        <f t="shared" si="223"/>
        <v>-3.3057600644223557</v>
      </c>
      <c r="Z35" s="632">
        <f t="shared" si="6"/>
        <v>-6.3104725699020661E-2</v>
      </c>
      <c r="AA35" s="629">
        <f t="shared" si="7"/>
        <v>-0.99800691059452817</v>
      </c>
      <c r="AB35" s="629">
        <f t="shared" si="8"/>
        <v>-1.3008419234010204E-7</v>
      </c>
      <c r="AC35" s="636">
        <f>IF(M35="","",SQRT(Z35^2+AA35^2+AB35^2))</f>
        <v>1</v>
      </c>
      <c r="AD35" s="637">
        <f>IF(M35="","",Z35*(1/SQRT(Z35^2+AA35^2+AB35^2)))</f>
        <v>-6.3104725699020661E-2</v>
      </c>
      <c r="AE35" s="629">
        <f>IF(M35="","",AA35*(1/SQRT(Z35^2+AA35^2+AB35^2)))</f>
        <v>-0.99800691059452817</v>
      </c>
      <c r="AF35" s="633">
        <f>IF(M35="","",AB35*(1/SQRT(Z35^2+AA35^2+AB35^2)))</f>
        <v>-1.3008419234010204E-7</v>
      </c>
      <c r="AG35" s="602">
        <f>IF(M35="","",DEGREES(ATAN2(-AF35,AE35)))</f>
        <v>-89.999992531840093</v>
      </c>
      <c r="AH35" s="603">
        <f>IF(M35="","",DEGREES(ACOS(AD35)))</f>
        <v>93.618038460796001</v>
      </c>
      <c r="AI35" s="585">
        <f>IF(M35="","",DEGREES(-ACOS(-AF35)))</f>
        <v>-89.999992546724798</v>
      </c>
      <c r="AJ35" s="586">
        <f>IF(M35="","",DEGREES(ATAN2(-AE35,AD35)))</f>
        <v>-3.6180384607960239</v>
      </c>
      <c r="AK35" s="635">
        <f>IF(M35="","",(COS(RADIANS((90-$Q$8)-W35))*AD35)+(-SIN(RADIANS((90-$Q$8)-W35))*AE35))</f>
        <v>0.81915209520133037</v>
      </c>
      <c r="AL35" s="629">
        <f>IF(M35="","",(SIN(RADIANS((90-$Q$8)-W35))*AD35)+(COS(RADIANS((90-$Q$8)-W35))*AE35))</f>
        <v>-0.57357636364066966</v>
      </c>
      <c r="AM35" s="634">
        <f>IF(M35="","",AF35)</f>
        <v>-1.3008419234010204E-7</v>
      </c>
      <c r="AN35" s="581">
        <f>IF(M35="","",DEGREES(ATAN2(-AM35,AL35)))</f>
        <v>-89.999987005609583</v>
      </c>
      <c r="AO35" s="582">
        <f t="shared" si="94"/>
        <v>34.999994914257059</v>
      </c>
      <c r="AP35" s="585">
        <f>IF(M35="","",DEGREES(ATAN2(AK35,AL35)))</f>
        <v>-34.999994914256369</v>
      </c>
      <c r="AQ35" s="586">
        <f t="shared" si="9"/>
        <v>0.38676096080327577</v>
      </c>
      <c r="AS35" s="52">
        <f t="shared" si="116"/>
        <v>-58.618043546539639</v>
      </c>
      <c r="AT35" s="72">
        <f t="shared" si="10"/>
        <v>-3.2650530897372589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2.1589999999999998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3.1454965400575632</v>
      </c>
      <c r="C36" s="708">
        <v>0.92011498990778173</v>
      </c>
      <c r="D36" s="709">
        <v>-0.10115039931960437</v>
      </c>
      <c r="E36" s="710">
        <v>3.1486765327263647E-2</v>
      </c>
      <c r="F36" s="708">
        <v>9.2106882552636018E-3</v>
      </c>
      <c r="G36" s="711">
        <v>0.99946172854746684</v>
      </c>
      <c r="H36" s="710">
        <v>0.25700000000000001</v>
      </c>
      <c r="I36" s="708">
        <v>0.41499999999999992</v>
      </c>
      <c r="J36" s="570">
        <v>2.2170000000000001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2.2170000000000001</v>
      </c>
      <c r="N36" s="632">
        <f t="shared" si="2"/>
        <v>3.1454965400575632</v>
      </c>
      <c r="O36" s="629">
        <f t="shared" si="3"/>
        <v>0.92011498990778173</v>
      </c>
      <c r="P36" s="633">
        <f t="shared" si="4"/>
        <v>-0.10115039931960437</v>
      </c>
      <c r="Q36" s="585">
        <f t="shared" si="113"/>
        <v>16.305158662649522</v>
      </c>
      <c r="R36" s="629">
        <f>IF(M36="","",SQRT(N36^2+O36^2))</f>
        <v>3.2773098843666126</v>
      </c>
      <c r="S36" s="634">
        <f>IF(M36="","",P36)</f>
        <v>-0.10115039931960437</v>
      </c>
      <c r="T36" s="635">
        <f>IF(M36="","",X36*COS(RADIANS(W36)))</f>
        <v>0.9201149899077814</v>
      </c>
      <c r="U36" s="629">
        <f>IF(M36="","",X36*SIN(RADIANS(W36)))</f>
        <v>-3.1454965400575636</v>
      </c>
      <c r="V36" s="636">
        <f>IF(M36="","",Y36)</f>
        <v>-0.10115039931960437</v>
      </c>
      <c r="W36" s="585">
        <f t="shared" si="224"/>
        <v>286.30515866264955</v>
      </c>
      <c r="X36" s="629">
        <f>IF(M36="","",R36)</f>
        <v>3.2773098843666126</v>
      </c>
      <c r="Y36" s="630">
        <f t="shared" si="223"/>
        <v>-0.10115039931960437</v>
      </c>
      <c r="Z36" s="632">
        <f t="shared" si="6"/>
        <v>-3.1486765327263647E-2</v>
      </c>
      <c r="AA36" s="629">
        <f t="shared" si="7"/>
        <v>-9.2106882552636018E-3</v>
      </c>
      <c r="AB36" s="629">
        <f t="shared" si="8"/>
        <v>-0.99946172854746684</v>
      </c>
      <c r="AC36" s="636">
        <f>IF(M36="","",SQRT(Z36^2+AA36^2+AB36^2))</f>
        <v>1</v>
      </c>
      <c r="AD36" s="637">
        <f>IF(M36="","",Z36*(1/SQRT(Z36^2+AA36^2+AB36^2)))</f>
        <v>-3.1486765327263647E-2</v>
      </c>
      <c r="AE36" s="629">
        <f>IF(M36="","",AA36*(1/SQRT(Z36^2+AA36^2+AB36^2)))</f>
        <v>-9.2106882552636018E-3</v>
      </c>
      <c r="AF36" s="633">
        <f>IF(M36="","",AB36*(1/SQRT(Z36^2+AA36^2+AB36^2)))</f>
        <v>-0.99946172854746684</v>
      </c>
      <c r="AG36" s="602">
        <f>IF(M36="","",DEGREES(ATAN2(-AF36,AE36)))</f>
        <v>-0.52800283323310915</v>
      </c>
      <c r="AH36" s="603">
        <f>IF(M36="","",DEGREES(ACOS(AD36)))</f>
        <v>91.804356992412565</v>
      </c>
      <c r="AI36" s="585">
        <f>IF(M36="","",DEGREES(-ACOS(-AF36)))</f>
        <v>-1.879999728606409</v>
      </c>
      <c r="AJ36" s="586">
        <f>IF(M36="","",DEGREES(ATAN2(-AE36,AD36)))</f>
        <v>-73.694445242962971</v>
      </c>
      <c r="AK36" s="635">
        <f>IF(M36="","",(COS(RADIANS((90-$Q$8)-W36))*AD36)+(-SIN(RADIANS((90-$Q$8)-W36))*AE36))</f>
        <v>2.267948966822031E-7</v>
      </c>
      <c r="AL36" s="629">
        <f>IF(M36="","",(SIN(RADIANS((90-$Q$8)-W36))*AD36)+(COS(RADIANS((90-$Q$8)-W36))*AE36))</f>
        <v>-3.2806297701179071E-2</v>
      </c>
      <c r="AM36" s="634">
        <f>IF(M36="","",AF36)</f>
        <v>-0.99946172854746684</v>
      </c>
      <c r="AN36" s="581">
        <f>IF(M36="","",DEGREES(ATAN2(-AM36,AL36)))</f>
        <v>-1.8799997285616288</v>
      </c>
      <c r="AO36" s="582">
        <f t="shared" si="94"/>
        <v>0</v>
      </c>
      <c r="AP36" s="585">
        <f>IF(M36="","",DEGREES(ATAN2(AK36,AL36)))</f>
        <v>-89.999603905612489</v>
      </c>
      <c r="AQ36" s="586">
        <f t="shared" si="9"/>
        <v>0.69557494252044172</v>
      </c>
      <c r="AS36" s="52">
        <f t="shared" si="116"/>
        <v>-73.694841337350454</v>
      </c>
      <c r="AT36" s="72">
        <f t="shared" si="10"/>
        <v>-4.9973426168666554E-2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2.2170000000000001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2.117</v>
      </c>
      <c r="II36" s="734" cm="1">
        <f t="array" ref="II36">IFERROR(IF($IH36&lt;1,$IH36+LARGE((IF($M$9:$M$150="",0,$M$9:$M$150)-MOD(IF($M$9:$M$150="",0,$M$9:$M$150),1)),1),$IH36),"")</f>
        <v>2.117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17.508797472042374</v>
      </c>
      <c r="IM36" s="759">
        <v>3.8824678055567101E-2</v>
      </c>
      <c r="IN36" s="5">
        <f t="shared" si="226"/>
        <v>0.78</v>
      </c>
      <c r="IO36" s="771">
        <v>390</v>
      </c>
      <c r="IP36" s="9">
        <f t="shared" si="227"/>
        <v>-3.2758098798425972</v>
      </c>
      <c r="IQ36" s="5">
        <f t="shared" si="228"/>
        <v>-0.10835042103486979</v>
      </c>
      <c r="IR36" s="5">
        <f t="shared" si="71"/>
        <v>0.314</v>
      </c>
      <c r="IS36" s="5">
        <f t="shared" si="229"/>
        <v>0.30316925155610097</v>
      </c>
      <c r="IT36" s="727">
        <f t="shared" si="230"/>
        <v>8.3720253073441331</v>
      </c>
      <c r="IU36" s="9">
        <f t="shared" si="231"/>
        <v>-3.2773098843666126</v>
      </c>
      <c r="IV36" s="5">
        <f t="shared" si="232"/>
        <v>-0.10115039931960437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1.8799997285616288</v>
      </c>
    </row>
    <row r="37" spans="1:267" ht="15" customHeight="1" x14ac:dyDescent="0.25">
      <c r="A37" s="79"/>
      <c r="B37" s="707">
        <v>3.7976348870608483</v>
      </c>
      <c r="C37" s="708">
        <v>1.3421028139451998</v>
      </c>
      <c r="D37" s="709">
        <v>-0.2233507678759159</v>
      </c>
      <c r="E37" s="710">
        <v>-0.19141478893795066</v>
      </c>
      <c r="F37" s="708">
        <v>0.94218801143647157</v>
      </c>
      <c r="G37" s="711">
        <v>0.27503114311151572</v>
      </c>
      <c r="H37" s="710">
        <v>0.26600000000000001</v>
      </c>
      <c r="I37" s="708">
        <v>0.52</v>
      </c>
      <c r="J37" s="570">
        <v>2.2240000000000002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2.2240000000000002</v>
      </c>
      <c r="N37" s="632">
        <f t="shared" si="2"/>
        <v>3.7976348870608483</v>
      </c>
      <c r="O37" s="629">
        <f t="shared" si="3"/>
        <v>1.3421028139451998</v>
      </c>
      <c r="P37" s="633">
        <f t="shared" si="4"/>
        <v>-0.2233507678759159</v>
      </c>
      <c r="Q37" s="585">
        <f t="shared" si="113"/>
        <v>19.463658206618614</v>
      </c>
      <c r="R37" s="629">
        <f t="shared" si="79"/>
        <v>4.0278121478814386</v>
      </c>
      <c r="S37" s="634">
        <f t="shared" si="80"/>
        <v>-0.2233507678759159</v>
      </c>
      <c r="T37" s="635">
        <f t="shared" si="81"/>
        <v>1.3421028139451998</v>
      </c>
      <c r="U37" s="629">
        <f t="shared" si="82"/>
        <v>-3.7976348870608487</v>
      </c>
      <c r="V37" s="636">
        <f t="shared" si="114"/>
        <v>-0.2233507678759159</v>
      </c>
      <c r="W37" s="585">
        <f t="shared" si="224"/>
        <v>289.46365820661862</v>
      </c>
      <c r="X37" s="629">
        <f t="shared" si="83"/>
        <v>4.0278121478814386</v>
      </c>
      <c r="Y37" s="630">
        <f t="shared" si="223"/>
        <v>-0.2233507678759159</v>
      </c>
      <c r="Z37" s="632">
        <f t="shared" si="6"/>
        <v>0.19141478893795066</v>
      </c>
      <c r="AA37" s="629">
        <f t="shared" si="7"/>
        <v>-0.94218801143647157</v>
      </c>
      <c r="AB37" s="629">
        <f t="shared" si="8"/>
        <v>-0.27503114311151572</v>
      </c>
      <c r="AC37" s="636">
        <f t="shared" si="84"/>
        <v>1</v>
      </c>
      <c r="AD37" s="637">
        <f t="shared" si="115"/>
        <v>0.19141478893795066</v>
      </c>
      <c r="AE37" s="629">
        <f t="shared" si="85"/>
        <v>-0.94218801143647157</v>
      </c>
      <c r="AF37" s="633">
        <f t="shared" si="86"/>
        <v>-0.27503114311151572</v>
      </c>
      <c r="AG37" s="602">
        <f t="shared" si="87"/>
        <v>-73.727113039163427</v>
      </c>
      <c r="AH37" s="603">
        <f t="shared" si="88"/>
        <v>78.964638816849202</v>
      </c>
      <c r="AI37" s="585">
        <f t="shared" si="89"/>
        <v>-74.03612990306037</v>
      </c>
      <c r="AJ37" s="586">
        <f t="shared" si="90"/>
        <v>11.483909787983047</v>
      </c>
      <c r="AK37" s="635">
        <f t="shared" si="211"/>
        <v>0.95212593052114347</v>
      </c>
      <c r="AL37" s="629">
        <f t="shared" si="91"/>
        <v>-0.13346940753603248</v>
      </c>
      <c r="AM37" s="634">
        <f t="shared" si="92"/>
        <v>-0.27503114311151572</v>
      </c>
      <c r="AN37" s="581">
        <f t="shared" si="93"/>
        <v>-25.886758441197877</v>
      </c>
      <c r="AO37" s="582">
        <f t="shared" si="94"/>
        <v>17.800648904804429</v>
      </c>
      <c r="AP37" s="585">
        <f t="shared" si="95"/>
        <v>-7.9797484186355678</v>
      </c>
      <c r="AQ37" s="586">
        <f t="shared" si="9"/>
        <v>0.56597785524591504</v>
      </c>
      <c r="AS37" s="52">
        <f t="shared" si="116"/>
        <v>-70.536341793381382</v>
      </c>
      <c r="AT37" s="72">
        <f t="shared" si="10"/>
        <v>-0.17436719718606772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2.2240000000000002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2.1240000000000001</v>
      </c>
      <c r="II37" s="734" cm="1">
        <f t="array" ref="II37">IFERROR(IF($IH37&lt;1,$IH37+LARGE((IF($M$9:$M$150="",0,$M$9:$M$150)-MOD(IF($M$9:$M$150="",0,$M$9:$M$150),1)),1),$IH37),"")</f>
        <v>2.1240000000000001</v>
      </c>
      <c r="IJ37" s="533">
        <f t="shared" si="112"/>
        <v>1613</v>
      </c>
      <c r="IK37" s="533">
        <f t="shared" si="66"/>
        <v>1313</v>
      </c>
      <c r="IL37" s="727">
        <f t="shared" si="225"/>
        <v>13.843298001275059</v>
      </c>
      <c r="IM37" s="759">
        <v>1.1017299229345001E-2</v>
      </c>
      <c r="IN37" s="5">
        <f t="shared" si="226"/>
        <v>0.26</v>
      </c>
      <c r="IO37" s="771">
        <v>130</v>
      </c>
      <c r="IP37" s="9">
        <f t="shared" si="227"/>
        <v>-4.0150121092765199</v>
      </c>
      <c r="IQ37" s="5">
        <f t="shared" si="228"/>
        <v>-0.25975087765864668</v>
      </c>
      <c r="IR37" s="5">
        <f t="shared" si="71"/>
        <v>0.314</v>
      </c>
      <c r="IS37" s="5">
        <f t="shared" si="229"/>
        <v>0.30279473265135637</v>
      </c>
      <c r="IT37" s="727">
        <f t="shared" si="230"/>
        <v>27.596169161876574</v>
      </c>
      <c r="IU37" s="9">
        <f t="shared" si="231"/>
        <v>-4.0278121478814386</v>
      </c>
      <c r="IV37" s="5">
        <f t="shared" si="232"/>
        <v>-0.2233507678759159</v>
      </c>
      <c r="IW37" s="5">
        <f t="shared" si="76"/>
        <v>0.26600000000000001</v>
      </c>
      <c r="IX37" s="5">
        <f t="shared" si="233"/>
        <v>0.25326549751862415</v>
      </c>
      <c r="IY37" s="762">
        <f t="shared" si="234"/>
        <v>25.886758441197877</v>
      </c>
    </row>
    <row r="38" spans="1:267" ht="15" customHeight="1" x14ac:dyDescent="0.25">
      <c r="A38" s="79"/>
      <c r="B38" s="707">
        <v>4.4311159665221664</v>
      </c>
      <c r="C38" s="708">
        <v>1.592859291485252</v>
      </c>
      <c r="D38" s="709">
        <v>-0.57345182378070059</v>
      </c>
      <c r="E38" s="710">
        <v>-0.11242534191595033</v>
      </c>
      <c r="F38" s="708">
        <v>0.96403015803135528</v>
      </c>
      <c r="G38" s="711">
        <v>0.24084517205275696</v>
      </c>
      <c r="H38" s="710">
        <v>0.26600000000000001</v>
      </c>
      <c r="I38" s="708">
        <v>0.52</v>
      </c>
      <c r="J38" s="570">
        <v>2.2309999999999999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2.2309999999999999</v>
      </c>
      <c r="N38" s="632">
        <f t="shared" si="2"/>
        <v>4.4311159665221664</v>
      </c>
      <c r="O38" s="629">
        <f t="shared" si="3"/>
        <v>1.592859291485252</v>
      </c>
      <c r="P38" s="633">
        <f t="shared" si="4"/>
        <v>-0.57345182378070059</v>
      </c>
      <c r="Q38" s="585">
        <f t="shared" si="113"/>
        <v>19.772058162091177</v>
      </c>
      <c r="R38" s="629">
        <f t="shared" si="79"/>
        <v>4.7087142014820325</v>
      </c>
      <c r="S38" s="634">
        <f t="shared" si="80"/>
        <v>-0.57345182378070059</v>
      </c>
      <c r="T38" s="635">
        <f t="shared" si="81"/>
        <v>1.5928592914852515</v>
      </c>
      <c r="U38" s="629">
        <f t="shared" si="82"/>
        <v>-4.4311159665221673</v>
      </c>
      <c r="V38" s="636">
        <f t="shared" si="114"/>
        <v>-0.57345182378070059</v>
      </c>
      <c r="W38" s="585">
        <f t="shared" si="224"/>
        <v>289.77205816209118</v>
      </c>
      <c r="X38" s="629">
        <f t="shared" si="83"/>
        <v>4.7087142014820325</v>
      </c>
      <c r="Y38" s="630">
        <f t="shared" si="223"/>
        <v>-0.57345182378070059</v>
      </c>
      <c r="Z38" s="632">
        <f t="shared" si="6"/>
        <v>0.11242534191595033</v>
      </c>
      <c r="AA38" s="629">
        <f t="shared" si="7"/>
        <v>-0.96403015803135528</v>
      </c>
      <c r="AB38" s="629">
        <f t="shared" si="8"/>
        <v>-0.24084517205275696</v>
      </c>
      <c r="AC38" s="636">
        <f t="shared" si="84"/>
        <v>1</v>
      </c>
      <c r="AD38" s="637">
        <f t="shared" si="115"/>
        <v>0.11242534191595033</v>
      </c>
      <c r="AE38" s="629">
        <f t="shared" si="85"/>
        <v>-0.96403015803135528</v>
      </c>
      <c r="AF38" s="633">
        <f t="shared" si="86"/>
        <v>-0.24084517205275696</v>
      </c>
      <c r="AG38" s="602">
        <f t="shared" si="87"/>
        <v>-75.972839321897212</v>
      </c>
      <c r="AH38" s="603">
        <f t="shared" si="88"/>
        <v>83.544855126291068</v>
      </c>
      <c r="AI38" s="585">
        <f t="shared" si="89"/>
        <v>-76.063571542141119</v>
      </c>
      <c r="AJ38" s="586">
        <f t="shared" si="90"/>
        <v>6.6517956290965401</v>
      </c>
      <c r="AK38" s="635">
        <f t="shared" si="211"/>
        <v>0.94522771726727339</v>
      </c>
      <c r="AL38" s="629">
        <f t="shared" si="91"/>
        <v>-0.22031378896605064</v>
      </c>
      <c r="AM38" s="634">
        <f t="shared" si="92"/>
        <v>-0.24084517205275696</v>
      </c>
      <c r="AN38" s="581">
        <f t="shared" si="93"/>
        <v>-42.450802474494985</v>
      </c>
      <c r="AO38" s="582">
        <f t="shared" si="94"/>
        <v>19.051121073844136</v>
      </c>
      <c r="AP38" s="585">
        <f t="shared" si="95"/>
        <v>-13.120262532994628</v>
      </c>
      <c r="AQ38" s="586">
        <f t="shared" si="9"/>
        <v>0.48413904031191707</v>
      </c>
      <c r="AS38" s="52">
        <f t="shared" si="116"/>
        <v>-70.227941837908816</v>
      </c>
      <c r="AT38" s="72">
        <f t="shared" si="10"/>
        <v>-0.52468241972659724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2.2309999999999999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2.1309999999999998</v>
      </c>
      <c r="II38" s="734" cm="1">
        <f t="array" ref="II38">IFERROR(IF($IH38&lt;1,$IH38+LARGE((IF($M$9:$M$150="",0,$M$9:$M$150)-MOD(IF($M$9:$M$150="",0,$M$9:$M$150),1)),1),$IH38),"")</f>
        <v>2.1309999999999998</v>
      </c>
      <c r="IJ38" s="533">
        <f t="shared" si="112"/>
        <v>1613</v>
      </c>
      <c r="IK38" s="533">
        <f t="shared" si="66"/>
        <v>1313</v>
      </c>
      <c r="IL38" s="727">
        <f t="shared" si="225"/>
        <v>12.921898134308719</v>
      </c>
      <c r="IM38" s="759">
        <v>9.1545517299517001E-3</v>
      </c>
      <c r="IN38" s="5">
        <f t="shared" si="226"/>
        <v>0.26</v>
      </c>
      <c r="IO38" s="771">
        <v>130</v>
      </c>
      <c r="IP38" s="9">
        <f t="shared" si="227"/>
        <v>-4.68531413090742</v>
      </c>
      <c r="IQ38" s="5">
        <f t="shared" si="228"/>
        <v>-0.60635192300740015</v>
      </c>
      <c r="IR38" s="5">
        <f t="shared" si="71"/>
        <v>0.314</v>
      </c>
      <c r="IS38" s="5">
        <f t="shared" si="229"/>
        <v>0.30085078403985782</v>
      </c>
      <c r="IT38" s="727">
        <f t="shared" si="230"/>
        <v>44.50668986269654</v>
      </c>
      <c r="IU38" s="9">
        <f t="shared" si="231"/>
        <v>-4.7087142014820325</v>
      </c>
      <c r="IV38" s="5">
        <f t="shared" si="232"/>
        <v>-0.57345182378070059</v>
      </c>
      <c r="IW38" s="5">
        <f t="shared" si="76"/>
        <v>0.26600000000000001</v>
      </c>
      <c r="IX38" s="5">
        <f t="shared" si="233"/>
        <v>0.25143057279309472</v>
      </c>
      <c r="IY38" s="762">
        <f t="shared" si="234"/>
        <v>42.450802474494985</v>
      </c>
    </row>
    <row r="39" spans="1:267" ht="15" customHeight="1" x14ac:dyDescent="0.25">
      <c r="A39" s="79"/>
      <c r="B39" s="707">
        <v>4.9340039065527632</v>
      </c>
      <c r="C39" s="708">
        <v>1.8479644434815616</v>
      </c>
      <c r="D39" s="709">
        <v>-1.0945533954230406</v>
      </c>
      <c r="E39" s="710">
        <v>-4.2417250526559508E-2</v>
      </c>
      <c r="F39" s="708">
        <v>0.97946629107869709</v>
      </c>
      <c r="G39" s="711">
        <v>0.19709531069588715</v>
      </c>
      <c r="H39" s="710">
        <v>0.26600000000000001</v>
      </c>
      <c r="I39" s="708">
        <v>0.52</v>
      </c>
      <c r="J39" s="570">
        <v>2.238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2.238</v>
      </c>
      <c r="N39" s="632">
        <f t="shared" si="2"/>
        <v>4.9340039065527632</v>
      </c>
      <c r="O39" s="629">
        <f t="shared" si="3"/>
        <v>1.8479644434815616</v>
      </c>
      <c r="P39" s="633">
        <f t="shared" si="4"/>
        <v>-1.0945533954230406</v>
      </c>
      <c r="Q39" s="585">
        <f t="shared" si="113"/>
        <v>20.532758052259698</v>
      </c>
      <c r="R39" s="629">
        <f t="shared" si="79"/>
        <v>5.2687158904471261</v>
      </c>
      <c r="S39" s="634">
        <f t="shared" si="80"/>
        <v>-1.0945533954230406</v>
      </c>
      <c r="T39" s="635">
        <f t="shared" si="81"/>
        <v>1.8479644434815592</v>
      </c>
      <c r="U39" s="629">
        <f t="shared" si="82"/>
        <v>-4.934003906552765</v>
      </c>
      <c r="V39" s="636">
        <f t="shared" si="114"/>
        <v>-1.0945533954230406</v>
      </c>
      <c r="W39" s="585">
        <f t="shared" si="224"/>
        <v>290.53275805225968</v>
      </c>
      <c r="X39" s="629">
        <f t="shared" si="83"/>
        <v>5.2687158904471261</v>
      </c>
      <c r="Y39" s="630">
        <f t="shared" si="223"/>
        <v>-1.0945533954230406</v>
      </c>
      <c r="Z39" s="632">
        <f t="shared" si="6"/>
        <v>4.2417250526559508E-2</v>
      </c>
      <c r="AA39" s="629">
        <f t="shared" si="7"/>
        <v>-0.97946629107869709</v>
      </c>
      <c r="AB39" s="629">
        <f t="shared" si="8"/>
        <v>-0.19709531069588715</v>
      </c>
      <c r="AC39" s="636">
        <f t="shared" si="84"/>
        <v>1</v>
      </c>
      <c r="AD39" s="637">
        <f t="shared" si="115"/>
        <v>4.2417250526559508E-2</v>
      </c>
      <c r="AE39" s="629">
        <f t="shared" si="85"/>
        <v>-0.97946629107869709</v>
      </c>
      <c r="AF39" s="633">
        <f t="shared" si="86"/>
        <v>-0.19709531069588715</v>
      </c>
      <c r="AG39" s="602">
        <f t="shared" si="87"/>
        <v>-78.622471597061462</v>
      </c>
      <c r="AH39" s="603">
        <f t="shared" si="88"/>
        <v>87.568941191425907</v>
      </c>
      <c r="AI39" s="585">
        <f t="shared" si="89"/>
        <v>-78.632848124333222</v>
      </c>
      <c r="AJ39" s="586">
        <f t="shared" si="90"/>
        <v>2.4797298700695354</v>
      </c>
      <c r="AK39" s="635">
        <f t="shared" si="211"/>
        <v>0.93212011795640681</v>
      </c>
      <c r="AL39" s="629">
        <f t="shared" si="91"/>
        <v>-0.30381824205045044</v>
      </c>
      <c r="AM39" s="634">
        <f t="shared" si="92"/>
        <v>-0.19709531069588715</v>
      </c>
      <c r="AN39" s="581">
        <f t="shared" si="93"/>
        <v>-57.027408056037309</v>
      </c>
      <c r="AO39" s="582">
        <f t="shared" si="94"/>
        <v>21.232248170158364</v>
      </c>
      <c r="AP39" s="585">
        <f t="shared" si="95"/>
        <v>-18.053028182190133</v>
      </c>
      <c r="AQ39" s="586">
        <f t="shared" si="9"/>
        <v>0.43268290462052128</v>
      </c>
      <c r="AS39" s="52">
        <f t="shared" si="116"/>
        <v>-69.46724194774032</v>
      </c>
      <c r="AT39" s="72">
        <f t="shared" si="10"/>
        <v>-1.0463122551815542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2.238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I39" s="734" cm="1">
        <f t="array" ref="II39">IFERROR(IF($IH39&lt;1,$IH39+LARGE((IF($M$9:$M$150="",0,$M$9:$M$150)-MOD(IF($M$9:$M$150="",0,$M$9:$M$150),1)),1),$IH39),"")</f>
        <v>2.1379999999999999</v>
      </c>
      <c r="IJ39" s="533">
        <f t="shared" si="112"/>
        <v>1613</v>
      </c>
      <c r="IK39" s="533">
        <f t="shared" si="66"/>
        <v>1313</v>
      </c>
      <c r="IL39" s="727">
        <f t="shared" si="225"/>
        <v>11.58919832672683</v>
      </c>
      <c r="IM39" s="759">
        <v>6.7247108492177101E-3</v>
      </c>
      <c r="IN39" s="5">
        <f t="shared" si="226"/>
        <v>0.24</v>
      </c>
      <c r="IO39" s="771">
        <v>120</v>
      </c>
      <c r="IP39" s="9">
        <f t="shared" si="227"/>
        <v>-5.2361157921252293</v>
      </c>
      <c r="IQ39" s="5">
        <f t="shared" si="228"/>
        <v>-1.1220534783632909</v>
      </c>
      <c r="IR39" s="5">
        <f t="shared" si="71"/>
        <v>0.314</v>
      </c>
      <c r="IS39" s="5">
        <f t="shared" si="229"/>
        <v>0.29718044406258237</v>
      </c>
      <c r="IT39" s="727">
        <f t="shared" si="230"/>
        <v>59.005458243832059</v>
      </c>
      <c r="IU39" s="9">
        <f t="shared" si="231"/>
        <v>-5.2687158904471261</v>
      </c>
      <c r="IV39" s="5">
        <f t="shared" si="232"/>
        <v>-1.0945533954230406</v>
      </c>
      <c r="IW39" s="5">
        <f t="shared" si="76"/>
        <v>0.26600000000000001</v>
      </c>
      <c r="IX39" s="5">
        <f t="shared" si="233"/>
        <v>0.24794395137640424</v>
      </c>
      <c r="IY39" s="762">
        <f t="shared" si="234"/>
        <v>57.027408056037309</v>
      </c>
    </row>
    <row r="40" spans="1:267" ht="15" customHeight="1" x14ac:dyDescent="0.25">
      <c r="A40" s="79"/>
      <c r="B40" s="707">
        <v>5.2959491979994811</v>
      </c>
      <c r="C40" s="708">
        <v>2.0141181052099535</v>
      </c>
      <c r="D40" s="709">
        <v>-1.7484553675913885</v>
      </c>
      <c r="E40" s="710">
        <v>2.2544998035156111E-2</v>
      </c>
      <c r="F40" s="708">
        <v>0.99095361303303742</v>
      </c>
      <c r="G40" s="711">
        <v>0.13229761857404768</v>
      </c>
      <c r="H40" s="710">
        <v>0.26600000000000001</v>
      </c>
      <c r="I40" s="708">
        <v>0.52</v>
      </c>
      <c r="J40" s="570">
        <v>2.2450000000000001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2.2450000000000001</v>
      </c>
      <c r="N40" s="632">
        <f t="shared" si="2"/>
        <v>5.2959491979994811</v>
      </c>
      <c r="O40" s="629">
        <f t="shared" si="3"/>
        <v>2.0141181052099535</v>
      </c>
      <c r="P40" s="633">
        <f t="shared" si="4"/>
        <v>-1.7484553675913885</v>
      </c>
      <c r="Q40" s="585">
        <f t="shared" si="113"/>
        <v>20.822458010432197</v>
      </c>
      <c r="R40" s="629">
        <f t="shared" si="79"/>
        <v>5.6660170887075409</v>
      </c>
      <c r="S40" s="634">
        <f t="shared" si="80"/>
        <v>-1.7484553675913885</v>
      </c>
      <c r="T40" s="635">
        <f t="shared" si="81"/>
        <v>2.0141181052099522</v>
      </c>
      <c r="U40" s="629">
        <f t="shared" si="82"/>
        <v>-5.2959491979994811</v>
      </c>
      <c r="V40" s="636">
        <f t="shared" si="114"/>
        <v>-1.7484553675913885</v>
      </c>
      <c r="W40" s="585">
        <f t="shared" si="224"/>
        <v>290.82245801043217</v>
      </c>
      <c r="X40" s="629">
        <f t="shared" si="83"/>
        <v>5.6660170887075409</v>
      </c>
      <c r="Y40" s="630">
        <f t="shared" si="223"/>
        <v>-1.7484553675913885</v>
      </c>
      <c r="Z40" s="632">
        <f t="shared" si="6"/>
        <v>-2.2544998035156111E-2</v>
      </c>
      <c r="AA40" s="629">
        <f t="shared" si="7"/>
        <v>-0.99095361303303742</v>
      </c>
      <c r="AB40" s="629">
        <f t="shared" si="8"/>
        <v>-0.13229761857404768</v>
      </c>
      <c r="AC40" s="636">
        <f t="shared" si="84"/>
        <v>1</v>
      </c>
      <c r="AD40" s="637">
        <f t="shared" si="115"/>
        <v>-2.2544998035156111E-2</v>
      </c>
      <c r="AE40" s="629">
        <f t="shared" si="85"/>
        <v>-0.99095361303303742</v>
      </c>
      <c r="AF40" s="633">
        <f t="shared" si="86"/>
        <v>-0.13229761857404768</v>
      </c>
      <c r="AG40" s="602">
        <f t="shared" si="87"/>
        <v>-82.395672627753285</v>
      </c>
      <c r="AH40" s="603">
        <f t="shared" si="88"/>
        <v>91.291842687949952</v>
      </c>
      <c r="AI40" s="585">
        <f t="shared" si="89"/>
        <v>-82.397616850204713</v>
      </c>
      <c r="AJ40" s="586">
        <f t="shared" si="90"/>
        <v>-1.3033006005228178</v>
      </c>
      <c r="AK40" s="635">
        <f t="shared" si="211"/>
        <v>0.91821673355722788</v>
      </c>
      <c r="AL40" s="629">
        <f t="shared" si="91"/>
        <v>-0.37333010906586522</v>
      </c>
      <c r="AM40" s="634">
        <f t="shared" si="92"/>
        <v>-0.13229761857404768</v>
      </c>
      <c r="AN40" s="581">
        <f t="shared" si="93"/>
        <v>-70.487114864284791</v>
      </c>
      <c r="AO40" s="582">
        <f t="shared" si="94"/>
        <v>23.333242679850109</v>
      </c>
      <c r="AP40" s="585">
        <f t="shared" si="95"/>
        <v>-22.125758610955</v>
      </c>
      <c r="AQ40" s="586">
        <f t="shared" si="9"/>
        <v>0.40234420823599881</v>
      </c>
      <c r="AS40" s="52">
        <f t="shared" si="116"/>
        <v>-69.177541989567828</v>
      </c>
      <c r="AT40" s="72">
        <f t="shared" si="10"/>
        <v>-1.7004154078764109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2.2450000000000001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2.145</v>
      </c>
      <c r="II40" s="734" cm="1">
        <f t="array" ref="II40">IFERROR(IF($IH40&lt;1,$IH40+LARGE((IF($M$9:$M$150="",0,$M$9:$M$150)-MOD(IF($M$9:$M$150="",0,$M$9:$M$150),1)),1),$IH40),"")</f>
        <v>2.145</v>
      </c>
      <c r="IJ40" s="533">
        <f t="shared" si="112"/>
        <v>1613</v>
      </c>
      <c r="IK40" s="533">
        <f t="shared" si="66"/>
        <v>1313</v>
      </c>
      <c r="IL40" s="727">
        <f t="shared" si="225"/>
        <v>10.867498430927355</v>
      </c>
      <c r="IM40" s="759">
        <v>4.5778927937875002E-3</v>
      </c>
      <c r="IN40" s="5">
        <f t="shared" si="226"/>
        <v>0.22</v>
      </c>
      <c r="IO40" s="771">
        <v>110</v>
      </c>
      <c r="IP40" s="9">
        <f t="shared" si="227"/>
        <v>-5.6260169680671765</v>
      </c>
      <c r="IQ40" s="5">
        <f t="shared" si="228"/>
        <v>-1.7681554270067681</v>
      </c>
      <c r="IR40" s="5">
        <f t="shared" si="71"/>
        <v>0.314</v>
      </c>
      <c r="IS40" s="5">
        <f t="shared" si="229"/>
        <v>0.29325492832982769</v>
      </c>
      <c r="IT40" s="727">
        <f t="shared" si="230"/>
        <v>72.295495460971495</v>
      </c>
      <c r="IU40" s="9">
        <f t="shared" si="231"/>
        <v>-5.6660170887075409</v>
      </c>
      <c r="IV40" s="5">
        <f t="shared" si="232"/>
        <v>-1.7484553675913885</v>
      </c>
      <c r="IW40" s="5">
        <f t="shared" si="76"/>
        <v>0.26600000000000001</v>
      </c>
      <c r="IX40" s="5">
        <f t="shared" si="233"/>
        <v>0.24424565112622262</v>
      </c>
      <c r="IY40" s="762">
        <f t="shared" si="234"/>
        <v>70.487114864284791</v>
      </c>
    </row>
    <row r="41" spans="1:267" ht="15" customHeight="1" x14ac:dyDescent="0.25">
      <c r="A41" s="79"/>
      <c r="B41" s="707">
        <v>5.4965061161192486</v>
      </c>
      <c r="C41" s="708">
        <v>2.0613225054974151</v>
      </c>
      <c r="D41" s="709">
        <v>-2.4864575934061022</v>
      </c>
      <c r="E41" s="710">
        <v>0.14525008798373645</v>
      </c>
      <c r="F41" s="708">
        <v>0.98665267628093445</v>
      </c>
      <c r="G41" s="711">
        <v>7.3613234736605665E-2</v>
      </c>
      <c r="H41" s="710">
        <v>0.26600000000000001</v>
      </c>
      <c r="I41" s="708">
        <v>0.52</v>
      </c>
      <c r="J41" s="570">
        <v>2.2519999999999998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2.2519999999999998</v>
      </c>
      <c r="N41" s="632">
        <f t="shared" ref="N41:N72" si="240">IF(M41="","",B41)</f>
        <v>5.4965061161192486</v>
      </c>
      <c r="O41" s="629">
        <f t="shared" ref="O41:O72" si="241">IF(M41="","",C41)</f>
        <v>2.0613225054974151</v>
      </c>
      <c r="P41" s="633">
        <f t="shared" ref="P41:P72" si="242">IF(M41="","",D41)</f>
        <v>-2.4864575934061022</v>
      </c>
      <c r="Q41" s="585">
        <f t="shared" si="113"/>
        <v>20.557258048722336</v>
      </c>
      <c r="R41" s="629">
        <f t="shared" si="79"/>
        <v>5.8703177048781994</v>
      </c>
      <c r="S41" s="634">
        <f t="shared" si="80"/>
        <v>-2.4864575934061022</v>
      </c>
      <c r="T41" s="635">
        <f t="shared" si="81"/>
        <v>2.0613225054974178</v>
      </c>
      <c r="U41" s="629">
        <f t="shared" si="82"/>
        <v>-5.4965061161192477</v>
      </c>
      <c r="V41" s="636">
        <f t="shared" si="114"/>
        <v>-2.4864575934061022</v>
      </c>
      <c r="W41" s="585">
        <f t="shared" si="224"/>
        <v>290.55725804872236</v>
      </c>
      <c r="X41" s="629">
        <f t="shared" si="83"/>
        <v>5.8703177048781994</v>
      </c>
      <c r="Y41" s="630">
        <f t="shared" si="223"/>
        <v>-2.4864575934061022</v>
      </c>
      <c r="Z41" s="632">
        <f t="shared" ref="Z41:Z72" si="243">IF(M41="","",-E41)</f>
        <v>-0.14525008798373645</v>
      </c>
      <c r="AA41" s="629">
        <f t="shared" ref="AA41:AA72" si="244">IF(M41="","",-F41)</f>
        <v>-0.98665267628093445</v>
      </c>
      <c r="AB41" s="629">
        <f t="shared" ref="AB41:AB72" si="245">IF(M41="","",-G41)</f>
        <v>-7.3613234736605665E-2</v>
      </c>
      <c r="AC41" s="636">
        <f t="shared" si="84"/>
        <v>1</v>
      </c>
      <c r="AD41" s="637">
        <f t="shared" si="115"/>
        <v>-0.14525008798373645</v>
      </c>
      <c r="AE41" s="629">
        <f t="shared" si="85"/>
        <v>-0.98665267628093445</v>
      </c>
      <c r="AF41" s="633">
        <f t="shared" si="86"/>
        <v>-7.3613234736605665E-2</v>
      </c>
      <c r="AG41" s="602">
        <f t="shared" si="87"/>
        <v>-85.733120893507419</v>
      </c>
      <c r="AH41" s="603">
        <f t="shared" si="88"/>
        <v>98.351761494427649</v>
      </c>
      <c r="AI41" s="585">
        <f t="shared" si="89"/>
        <v>-85.778453767736238</v>
      </c>
      <c r="AJ41" s="586">
        <f t="shared" si="90"/>
        <v>-8.374645568263194</v>
      </c>
      <c r="AK41" s="635">
        <f t="shared" si="211"/>
        <v>0.87282076575164413</v>
      </c>
      <c r="AL41" s="629">
        <f t="shared" si="91"/>
        <v>-0.48245725462918165</v>
      </c>
      <c r="AM41" s="634">
        <f t="shared" si="92"/>
        <v>-7.3613234736605665E-2</v>
      </c>
      <c r="AN41" s="581">
        <f t="shared" si="93"/>
        <v>-81.324729927038192</v>
      </c>
      <c r="AO41" s="582">
        <f t="shared" si="94"/>
        <v>29.211896135088352</v>
      </c>
      <c r="AP41" s="585">
        <f t="shared" si="95"/>
        <v>-28.931903616985554</v>
      </c>
      <c r="AQ41" s="586">
        <f t="shared" ref="AQ41:AQ72" si="246">IF(M41="","",DEGREES(ATAN(($AS$5*SIN(RADIANS(90)))/(($X41*2*PI())-($AS$5*COS(RADIANS(90)))))))</f>
        <v>0.38834213697123959</v>
      </c>
      <c r="AS41" s="52">
        <f t="shared" si="116"/>
        <v>-69.44274195127764</v>
      </c>
      <c r="AT41" s="72">
        <f t="shared" ref="AT41:AT72" si="247">IF(M41="","",Y41+(((AS41-$AS$9)*$AS$6)*-1))</f>
        <v>-2.4382334670510484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>Gage</v>
      </c>
      <c r="IG41" s="847">
        <f t="shared" si="210"/>
        <v>2.2519999999999998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2.1520000000000001</v>
      </c>
      <c r="II41" s="734" cm="1">
        <f t="array" ref="II41">IFERROR(IF($IH41&lt;1,$IH41+LARGE((IF($M$9:$M$150="",0,$M$9:$M$150)-MOD(IF($M$9:$M$150="",0,$M$9:$M$150),1)),1),$IH41),"")</f>
        <v>2.1520000000000001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10.903698425700725</v>
      </c>
      <c r="IM41" s="759">
        <v>2.53275126010456E-3</v>
      </c>
      <c r="IN41" s="5">
        <f t="shared" si="226"/>
        <v>0.14000000000000001</v>
      </c>
      <c r="IO41" s="771">
        <v>70</v>
      </c>
      <c r="IP41" s="9">
        <f t="shared" si="227"/>
        <v>-5.8256175700625912</v>
      </c>
      <c r="IQ41" s="5">
        <f t="shared" si="228"/>
        <v>-2.4958576217565867</v>
      </c>
      <c r="IR41" s="5">
        <f t="shared" ref="IR41:IR72" si="383">IF(ISNUMBER($II41),INDEX($H$9:$H$150,MATCH($II41,$M$9:$M$150,0)),"")</f>
        <v>0.314</v>
      </c>
      <c r="IS41" s="5">
        <f t="shared" si="229"/>
        <v>0.28029567534433358</v>
      </c>
      <c r="IT41" s="727">
        <f t="shared" si="230"/>
        <v>82.494956584960448</v>
      </c>
      <c r="IU41" s="9">
        <f t="shared" si="231"/>
        <v>-5.8703177048781994</v>
      </c>
      <c r="IV41" s="5">
        <f t="shared" si="232"/>
        <v>-2.4864575934061022</v>
      </c>
      <c r="IW41" s="5">
        <f t="shared" ref="IW41:IW72" si="384">IF(ISNUMBER($II41),$H41,"")</f>
        <v>0.26600000000000001</v>
      </c>
      <c r="IX41" s="5">
        <f t="shared" si="233"/>
        <v>0.23217032368993734</v>
      </c>
      <c r="IY41" s="762">
        <f t="shared" si="234"/>
        <v>81.324729927038192</v>
      </c>
    </row>
    <row r="42" spans="1:267" ht="15" customHeight="1" x14ac:dyDescent="0.25">
      <c r="A42" s="79"/>
      <c r="B42" s="707">
        <v>5.6774610249791175</v>
      </c>
      <c r="C42" s="708">
        <v>1.587831211667589</v>
      </c>
      <c r="D42" s="709">
        <v>-3.3188601039320749</v>
      </c>
      <c r="E42" s="710">
        <v>0.96304573956725803</v>
      </c>
      <c r="F42" s="708">
        <v>0.26933789837544519</v>
      </c>
      <c r="G42" s="711">
        <v>2.2679489758251439E-7</v>
      </c>
      <c r="H42" s="710">
        <v>0.25700000000000001</v>
      </c>
      <c r="I42" s="708">
        <v>0.41499999999999992</v>
      </c>
      <c r="J42" s="570">
        <v>2.2589999999999999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2.2589999999999999</v>
      </c>
      <c r="N42" s="632">
        <f t="shared" si="240"/>
        <v>5.6774610249791175</v>
      </c>
      <c r="O42" s="629">
        <f t="shared" si="241"/>
        <v>1.587831211667589</v>
      </c>
      <c r="P42" s="633">
        <f t="shared" si="242"/>
        <v>-3.3188601039320749</v>
      </c>
      <c r="Q42" s="585">
        <f t="shared" si="113"/>
        <v>15.624858760872659</v>
      </c>
      <c r="R42" s="629">
        <f t="shared" ref="R42:R47" si="385">IF(M42="","",SQRT(N42^2+O42^2))</f>
        <v>5.8953177731910849</v>
      </c>
      <c r="S42" s="634">
        <f t="shared" ref="S42:S47" si="386">IF(M42="","",P42)</f>
        <v>-3.3188601039320749</v>
      </c>
      <c r="T42" s="635">
        <f t="shared" ref="T42:T47" si="387">IF(M42="","",X42*COS(RADIANS(W42)))</f>
        <v>1.5878312116675886</v>
      </c>
      <c r="U42" s="629">
        <f t="shared" ref="U42:U47" si="388">IF(M42="","",X42*SIN(RADIANS(W42)))</f>
        <v>-5.6774610249791175</v>
      </c>
      <c r="V42" s="636">
        <f t="shared" ref="V42:V47" si="389">IF(M42="","",Y42)</f>
        <v>-3.3188601039320749</v>
      </c>
      <c r="W42" s="585">
        <f t="shared" si="224"/>
        <v>285.62485876087266</v>
      </c>
      <c r="X42" s="629">
        <f t="shared" ref="X42:X47" si="390">IF(M42="","",R42)</f>
        <v>5.8953177731910849</v>
      </c>
      <c r="Y42" s="630">
        <f t="shared" si="223"/>
        <v>-3.3188601039320749</v>
      </c>
      <c r="Z42" s="632">
        <f t="shared" si="243"/>
        <v>-0.96304573956725803</v>
      </c>
      <c r="AA42" s="629">
        <f t="shared" si="244"/>
        <v>-0.26933789837544519</v>
      </c>
      <c r="AB42" s="629">
        <f t="shared" si="245"/>
        <v>-2.2679489758251439E-7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-0.96304573956725803</v>
      </c>
      <c r="AE42" s="629">
        <f t="shared" ref="AE42:AE47" si="393">IF(M42="","",AA42*(1/SQRT(Z42^2+AA42^2+AB42^2)))</f>
        <v>-0.26933789837544519</v>
      </c>
      <c r="AF42" s="633">
        <f t="shared" ref="AF42:AF47" si="394">IF(M42="","",AB42*(1/SQRT(Z42^2+AA42^2+AB42^2)))</f>
        <v>-2.2679489758251439E-7</v>
      </c>
      <c r="AG42" s="602">
        <f t="shared" ref="AG42:AG47" si="395">IF(M42="","",DEGREES(ATAN2(-AF42,AE42)))</f>
        <v>-89.999951754318545</v>
      </c>
      <c r="AH42" s="603">
        <f t="shared" ref="AH42:AH47" si="396">IF(M42="","",DEGREES(ACOS(AD42)))</f>
        <v>164.37512824473166</v>
      </c>
      <c r="AI42" s="585">
        <f t="shared" ref="AI42:AI47" si="397">IF(M42="","",DEGREES(-ACOS(-AF42)))</f>
        <v>-89.999987005609555</v>
      </c>
      <c r="AJ42" s="586">
        <f t="shared" ref="AJ42:AJ47" si="398">IF(M42="","",DEGREES(ATAN2(-AE42,AD42)))</f>
        <v>-74.375128244736928</v>
      </c>
      <c r="AK42" s="635">
        <f t="shared" ref="AK42:AK47" si="399">IF(M42="","",(COS(RADIANS((90-$Q$8)-W42))*AD42)+(-SIN(RADIANS((90-$Q$8)-W42))*AE42))</f>
        <v>2.2679489719568124E-7</v>
      </c>
      <c r="AL42" s="629">
        <f t="shared" ref="AL42:AL47" si="400">IF(M42="","",(SIN(RADIANS((90-$Q$8)-W42))*AD42)+(COS(RADIANS((90-$Q$8)-W42))*AE42))</f>
        <v>-0.9999999999999486</v>
      </c>
      <c r="AM42" s="634">
        <f t="shared" ref="AM42:AM47" si="401">IF(M42="","",AF42)</f>
        <v>-2.2679489758251439E-7</v>
      </c>
      <c r="AN42" s="581">
        <f t="shared" ref="AN42:AN47" si="402">IF(M42="","",DEGREES(ATAN2(-AM42,AL42)))</f>
        <v>-89.999987005609555</v>
      </c>
      <c r="AO42" s="582">
        <f t="shared" si="94"/>
        <v>0</v>
      </c>
      <c r="AP42" s="585">
        <f t="shared" ref="AP42:AP47" si="403">IF(M42="","",DEGREES(ATAN2(AK42,AL42)))</f>
        <v>-89.999987005609583</v>
      </c>
      <c r="AQ42" s="586">
        <f t="shared" si="246"/>
        <v>0.38669535814075257</v>
      </c>
      <c r="AS42" s="52">
        <f t="shared" si="116"/>
        <v>-74.375141239127345</v>
      </c>
      <c r="AT42" s="72">
        <f t="shared" si="247"/>
        <v>-3.2672107002937918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2.2589999999999999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2.1589999999999998</v>
      </c>
      <c r="II42" s="734" cm="1">
        <f t="array" ref="II42">IFERROR(IF($IH42&lt;1,$IH42+LARGE((IF($M$9:$M$150="",0,$M$9:$M$150)-MOD(IF($M$9:$M$150="",0,$M$9:$M$150),1)),1),$IH42),"")</f>
        <v>2.1589999999999998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15.757097692587706</v>
      </c>
      <c r="IM42" s="759">
        <v>1.8705542896541499E-4</v>
      </c>
      <c r="IN42" s="5">
        <f t="shared" si="226"/>
        <v>0</v>
      </c>
      <c r="IO42" s="771">
        <v>0</v>
      </c>
      <c r="IP42" s="9">
        <f t="shared" si="227"/>
        <v>-5.8943177749307534</v>
      </c>
      <c r="IQ42" s="5">
        <f t="shared" si="228"/>
        <v>-3.3057600644223557</v>
      </c>
      <c r="IR42" s="5">
        <f t="shared" si="383"/>
        <v>0.314</v>
      </c>
      <c r="IS42" s="5">
        <f t="shared" si="229"/>
        <v>0.25721375789321771</v>
      </c>
      <c r="IT42" s="727">
        <f t="shared" si="230"/>
        <v>89.999987005609583</v>
      </c>
      <c r="IU42" s="9">
        <f t="shared" si="231"/>
        <v>-5.8953177731910849</v>
      </c>
      <c r="IV42" s="5">
        <f t="shared" si="232"/>
        <v>-3.3188601039320749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89.999987005609555</v>
      </c>
    </row>
    <row r="43" spans="1:267" ht="15" customHeight="1" x14ac:dyDescent="0.25">
      <c r="A43" s="79"/>
      <c r="B43" s="707">
        <v>0.83889545818694056</v>
      </c>
      <c r="C43" s="708">
        <v>-0.24054998286679602</v>
      </c>
      <c r="D43" s="709">
        <v>-0.60215191034016169</v>
      </c>
      <c r="E43" s="710">
        <v>0.20185354387626059</v>
      </c>
      <c r="F43" s="708">
        <v>0.94697157464841886</v>
      </c>
      <c r="G43" s="711">
        <v>0.2499999672649757</v>
      </c>
      <c r="H43" s="710">
        <v>0.314</v>
      </c>
      <c r="I43" s="708">
        <v>0.52</v>
      </c>
      <c r="J43" s="570">
        <v>3.1030000000000002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3.1030000000000002</v>
      </c>
      <c r="N43" s="632">
        <f t="shared" si="240"/>
        <v>0.83889545818694056</v>
      </c>
      <c r="O43" s="629">
        <f t="shared" si="241"/>
        <v>-0.24054998286679602</v>
      </c>
      <c r="P43" s="633">
        <f t="shared" si="242"/>
        <v>-0.60215191034016169</v>
      </c>
      <c r="Q43" s="585">
        <f t="shared" si="113"/>
        <v>343.99996332694263</v>
      </c>
      <c r="R43" s="629">
        <f t="shared" si="385"/>
        <v>0.87270263207113841</v>
      </c>
      <c r="S43" s="634">
        <f t="shared" si="386"/>
        <v>-0.60215191034016169</v>
      </c>
      <c r="T43" s="635">
        <f t="shared" si="387"/>
        <v>-0.24054998286679607</v>
      </c>
      <c r="U43" s="629">
        <f t="shared" si="388"/>
        <v>-0.83889545818694056</v>
      </c>
      <c r="V43" s="636">
        <f t="shared" si="389"/>
        <v>-0.60215191034016169</v>
      </c>
      <c r="W43" s="585">
        <f t="shared" si="224"/>
        <v>253.99996332694263</v>
      </c>
      <c r="X43" s="629">
        <f t="shared" si="390"/>
        <v>0.87270263207113841</v>
      </c>
      <c r="Y43" s="630">
        <f t="shared" si="223"/>
        <v>-0.60215191034016169</v>
      </c>
      <c r="Z43" s="632">
        <f t="shared" si="243"/>
        <v>-0.20185354387626059</v>
      </c>
      <c r="AA43" s="629">
        <f t="shared" si="244"/>
        <v>-0.94697157464841886</v>
      </c>
      <c r="AB43" s="629">
        <f t="shared" si="245"/>
        <v>-0.2499999672649757</v>
      </c>
      <c r="AC43" s="636">
        <f t="shared" si="391"/>
        <v>1</v>
      </c>
      <c r="AD43" s="637">
        <f t="shared" si="392"/>
        <v>-0.20185354387626059</v>
      </c>
      <c r="AE43" s="629">
        <f t="shared" si="393"/>
        <v>-0.94697157464841886</v>
      </c>
      <c r="AF43" s="633">
        <f t="shared" si="394"/>
        <v>-0.2499999672649757</v>
      </c>
      <c r="AG43" s="602">
        <f t="shared" si="395"/>
        <v>-75.2113522756256</v>
      </c>
      <c r="AH43" s="603">
        <f t="shared" si="396"/>
        <v>101.64537020065387</v>
      </c>
      <c r="AI43" s="585">
        <f t="shared" si="397"/>
        <v>-75.522489751159455</v>
      </c>
      <c r="AJ43" s="586">
        <f t="shared" si="398"/>
        <v>-12.032907027970774</v>
      </c>
      <c r="AK43" s="635">
        <f t="shared" si="399"/>
        <v>0.9659258360722075</v>
      </c>
      <c r="AL43" s="629">
        <f t="shared" si="400"/>
        <v>6.6987279208207295E-2</v>
      </c>
      <c r="AM43" s="634">
        <f t="shared" si="401"/>
        <v>-0.2499999672649757</v>
      </c>
      <c r="AN43" s="581">
        <f t="shared" si="402"/>
        <v>14.999997834268287</v>
      </c>
      <c r="AO43" s="582">
        <f t="shared" si="94"/>
        <v>14.99999783426823</v>
      </c>
      <c r="AP43" s="585">
        <f t="shared" si="403"/>
        <v>3.9671296450865765</v>
      </c>
      <c r="AQ43" s="586">
        <f t="shared" si="246"/>
        <v>2.6104527564904569</v>
      </c>
      <c r="AS43" s="52">
        <f t="shared" ref="AS43:AS74" si="406">IF(G43="","",IF(AND(W43&lt;(AS42+180),W43&gt;(AS42-180)),W43,IF(W43&gt;(AS42+180),W43-360,IF(W43&lt;(AS42-180),W43+360,"Error"))))</f>
        <v>-106.00003667305737</v>
      </c>
      <c r="AT43" s="72">
        <f t="shared" si="247"/>
        <v>-0.52854077376164965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3.1030000000000002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1.5670532553412975</v>
      </c>
      <c r="C44" s="708">
        <v>-0.44934637569548624</v>
      </c>
      <c r="D44" s="709">
        <v>-0.39915129809031513</v>
      </c>
      <c r="E44" s="710">
        <v>0.20185354387626064</v>
      </c>
      <c r="F44" s="708">
        <v>0.94697157464841875</v>
      </c>
      <c r="G44" s="711">
        <v>0.2499999672649757</v>
      </c>
      <c r="H44" s="710">
        <v>0.314</v>
      </c>
      <c r="I44" s="708">
        <v>0.52</v>
      </c>
      <c r="J44" s="570">
        <v>3.1059999999999999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3.1059999999999999</v>
      </c>
      <c r="N44" s="632">
        <f t="shared" si="240"/>
        <v>1.5670532553412975</v>
      </c>
      <c r="O44" s="629">
        <f t="shared" si="241"/>
        <v>-0.44934637569548624</v>
      </c>
      <c r="P44" s="633">
        <f t="shared" si="242"/>
        <v>-0.39915129809031513</v>
      </c>
      <c r="Q44" s="585">
        <f t="shared" si="113"/>
        <v>343.99996332694263</v>
      </c>
      <c r="R44" s="629">
        <f t="shared" si="385"/>
        <v>1.6302049166980288</v>
      </c>
      <c r="S44" s="634">
        <f t="shared" si="386"/>
        <v>-0.39915129809031513</v>
      </c>
      <c r="T44" s="635">
        <f t="shared" si="387"/>
        <v>-0.44934637569548636</v>
      </c>
      <c r="U44" s="629">
        <f t="shared" si="388"/>
        <v>-1.5670532553412975</v>
      </c>
      <c r="V44" s="636">
        <f t="shared" si="389"/>
        <v>-0.39915129809031513</v>
      </c>
      <c r="W44" s="585">
        <f t="shared" si="224"/>
        <v>253.99996332694263</v>
      </c>
      <c r="X44" s="629">
        <f t="shared" si="390"/>
        <v>1.6302049166980288</v>
      </c>
      <c r="Y44" s="630">
        <f t="shared" si="223"/>
        <v>-0.39915129809031513</v>
      </c>
      <c r="Z44" s="632">
        <f t="shared" si="243"/>
        <v>-0.20185354387626064</v>
      </c>
      <c r="AA44" s="629">
        <f t="shared" si="244"/>
        <v>-0.94697157464841875</v>
      </c>
      <c r="AB44" s="629">
        <f t="shared" si="245"/>
        <v>-0.2499999672649757</v>
      </c>
      <c r="AC44" s="636">
        <f t="shared" si="391"/>
        <v>1</v>
      </c>
      <c r="AD44" s="637">
        <f t="shared" si="392"/>
        <v>-0.20185354387626064</v>
      </c>
      <c r="AE44" s="629">
        <f t="shared" si="393"/>
        <v>-0.94697157464841875</v>
      </c>
      <c r="AF44" s="633">
        <f t="shared" si="394"/>
        <v>-0.2499999672649757</v>
      </c>
      <c r="AG44" s="602">
        <f t="shared" si="395"/>
        <v>-75.2113522756256</v>
      </c>
      <c r="AH44" s="603">
        <f t="shared" si="396"/>
        <v>101.64537020065387</v>
      </c>
      <c r="AI44" s="585">
        <f t="shared" si="397"/>
        <v>-75.522489751159455</v>
      </c>
      <c r="AJ44" s="586">
        <f t="shared" si="398"/>
        <v>-12.032907027970779</v>
      </c>
      <c r="AK44" s="635">
        <f t="shared" si="399"/>
        <v>0.96592583607220739</v>
      </c>
      <c r="AL44" s="629">
        <f t="shared" si="400"/>
        <v>6.6987279208207184E-2</v>
      </c>
      <c r="AM44" s="634">
        <f t="shared" si="401"/>
        <v>-0.2499999672649757</v>
      </c>
      <c r="AN44" s="581">
        <f t="shared" si="402"/>
        <v>14.999997834268262</v>
      </c>
      <c r="AO44" s="582">
        <f t="shared" si="94"/>
        <v>14.999997834268255</v>
      </c>
      <c r="AP44" s="585">
        <f t="shared" si="403"/>
        <v>3.9671296450865703</v>
      </c>
      <c r="AQ44" s="586">
        <f t="shared" si="246"/>
        <v>1.3981519034738918</v>
      </c>
      <c r="AS44" s="52">
        <f t="shared" si="406"/>
        <v>-106.00003667305737</v>
      </c>
      <c r="AT44" s="72">
        <f t="shared" si="247"/>
        <v>-0.32554016151180309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3.1059999999999999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2.2470517051195054</v>
      </c>
      <c r="C45" s="708">
        <v>-0.6443332645232297</v>
      </c>
      <c r="D45" s="709">
        <v>-0.20965072655659137</v>
      </c>
      <c r="E45" s="710">
        <v>0.20185354387626064</v>
      </c>
      <c r="F45" s="708">
        <v>0.94697157464841886</v>
      </c>
      <c r="G45" s="711">
        <v>0.2499999672649757</v>
      </c>
      <c r="H45" s="710">
        <v>0.314</v>
      </c>
      <c r="I45" s="708">
        <v>0.52</v>
      </c>
      <c r="J45" s="570">
        <v>3.109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3.109</v>
      </c>
      <c r="N45" s="632">
        <f t="shared" si="240"/>
        <v>2.2470517051195054</v>
      </c>
      <c r="O45" s="629">
        <f t="shared" si="241"/>
        <v>-0.6443332645232297</v>
      </c>
      <c r="P45" s="633">
        <f t="shared" si="242"/>
        <v>-0.20965072655659137</v>
      </c>
      <c r="Q45" s="585">
        <f t="shared" si="113"/>
        <v>343.99996332694263</v>
      </c>
      <c r="R45" s="629">
        <f t="shared" si="385"/>
        <v>2.3376070502228639</v>
      </c>
      <c r="S45" s="634">
        <f t="shared" si="386"/>
        <v>-0.20965072655659137</v>
      </c>
      <c r="T45" s="635">
        <f t="shared" si="387"/>
        <v>-0.6443332645232297</v>
      </c>
      <c r="U45" s="629">
        <f t="shared" si="388"/>
        <v>-2.2470517051195054</v>
      </c>
      <c r="V45" s="636">
        <f t="shared" si="389"/>
        <v>-0.20965072655659137</v>
      </c>
      <c r="W45" s="585">
        <f t="shared" si="224"/>
        <v>253.99996332694263</v>
      </c>
      <c r="X45" s="629">
        <f t="shared" si="390"/>
        <v>2.3376070502228639</v>
      </c>
      <c r="Y45" s="630">
        <f t="shared" si="223"/>
        <v>-0.20965072655659137</v>
      </c>
      <c r="Z45" s="632">
        <f t="shared" si="243"/>
        <v>-0.20185354387626064</v>
      </c>
      <c r="AA45" s="629">
        <f t="shared" si="244"/>
        <v>-0.94697157464841886</v>
      </c>
      <c r="AB45" s="629">
        <f t="shared" si="245"/>
        <v>-0.2499999672649757</v>
      </c>
      <c r="AC45" s="636">
        <f t="shared" si="391"/>
        <v>1</v>
      </c>
      <c r="AD45" s="637">
        <f t="shared" si="392"/>
        <v>-0.20185354387626064</v>
      </c>
      <c r="AE45" s="629">
        <f t="shared" si="393"/>
        <v>-0.94697157464841886</v>
      </c>
      <c r="AF45" s="633">
        <f t="shared" si="394"/>
        <v>-0.2499999672649757</v>
      </c>
      <c r="AG45" s="602">
        <f t="shared" si="395"/>
        <v>-75.2113522756256</v>
      </c>
      <c r="AH45" s="603">
        <f t="shared" si="396"/>
        <v>101.64537020065387</v>
      </c>
      <c r="AI45" s="585">
        <f t="shared" si="397"/>
        <v>-75.522489751159455</v>
      </c>
      <c r="AJ45" s="586">
        <f t="shared" si="398"/>
        <v>-12.032907027970777</v>
      </c>
      <c r="AK45" s="635">
        <f t="shared" si="399"/>
        <v>0.9659258360722075</v>
      </c>
      <c r="AL45" s="629">
        <f t="shared" si="400"/>
        <v>6.698727920820724E-2</v>
      </c>
      <c r="AM45" s="634">
        <f t="shared" si="401"/>
        <v>-0.2499999672649757</v>
      </c>
      <c r="AN45" s="581">
        <f t="shared" si="402"/>
        <v>14.999997834268274</v>
      </c>
      <c r="AO45" s="582">
        <f t="shared" si="94"/>
        <v>14.99999783426823</v>
      </c>
      <c r="AP45" s="585">
        <f t="shared" si="403"/>
        <v>3.9671296450865734</v>
      </c>
      <c r="AQ45" s="586">
        <f t="shared" si="246"/>
        <v>0.97514529219655988</v>
      </c>
      <c r="AS45" s="52">
        <f t="shared" si="406"/>
        <v>-106.00003667305737</v>
      </c>
      <c r="AT45" s="72">
        <f t="shared" si="247"/>
        <v>-0.1360395899780793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3.109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3.0430429844120779</v>
      </c>
      <c r="C46" s="708">
        <v>-0.88028788822403492</v>
      </c>
      <c r="D46" s="709">
        <v>-0.10355040655802611</v>
      </c>
      <c r="E46" s="710">
        <v>0.29228912415496788</v>
      </c>
      <c r="F46" s="708">
        <v>0.92066359159732514</v>
      </c>
      <c r="G46" s="711">
        <v>0.25873851473608594</v>
      </c>
      <c r="H46" s="710">
        <v>0.314</v>
      </c>
      <c r="I46" s="708">
        <v>0.52</v>
      </c>
      <c r="J46" s="570">
        <v>3.1160000000000001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3.1160000000000001</v>
      </c>
      <c r="N46" s="632">
        <f t="shared" si="240"/>
        <v>3.0430429844120779</v>
      </c>
      <c r="O46" s="629">
        <f t="shared" si="241"/>
        <v>-0.88028788822403492</v>
      </c>
      <c r="P46" s="633">
        <f t="shared" si="242"/>
        <v>-0.10355040655802611</v>
      </c>
      <c r="Q46" s="585">
        <f t="shared" si="113"/>
        <v>343.86596334628985</v>
      </c>
      <c r="R46" s="629">
        <f t="shared" si="385"/>
        <v>3.1678095541136146</v>
      </c>
      <c r="S46" s="634">
        <f t="shared" si="386"/>
        <v>-0.10355040655802611</v>
      </c>
      <c r="T46" s="635">
        <f t="shared" si="387"/>
        <v>-0.88028788822403481</v>
      </c>
      <c r="U46" s="629">
        <f t="shared" si="388"/>
        <v>-3.0430429844120783</v>
      </c>
      <c r="V46" s="636">
        <f t="shared" si="389"/>
        <v>-0.10355040655802611</v>
      </c>
      <c r="W46" s="585">
        <f t="shared" si="224"/>
        <v>253.86596334628985</v>
      </c>
      <c r="X46" s="629">
        <f t="shared" si="390"/>
        <v>3.1678095541136146</v>
      </c>
      <c r="Y46" s="630">
        <f t="shared" si="223"/>
        <v>-0.10355040655802611</v>
      </c>
      <c r="Z46" s="632">
        <f t="shared" si="243"/>
        <v>-0.29228912415496788</v>
      </c>
      <c r="AA46" s="629">
        <f t="shared" si="244"/>
        <v>-0.92066359159732514</v>
      </c>
      <c r="AB46" s="629">
        <f t="shared" si="245"/>
        <v>-0.25873851473608594</v>
      </c>
      <c r="AC46" s="636">
        <f t="shared" si="391"/>
        <v>1</v>
      </c>
      <c r="AD46" s="637">
        <f t="shared" si="392"/>
        <v>-0.29228912415496788</v>
      </c>
      <c r="AE46" s="629">
        <f t="shared" si="393"/>
        <v>-0.92066359159732514</v>
      </c>
      <c r="AF46" s="633">
        <f t="shared" si="394"/>
        <v>-0.25873851473608594</v>
      </c>
      <c r="AG46" s="602">
        <f t="shared" si="395"/>
        <v>-74.302788662267133</v>
      </c>
      <c r="AH46" s="603">
        <f t="shared" si="396"/>
        <v>106.99505235593304</v>
      </c>
      <c r="AI46" s="585">
        <f t="shared" si="397"/>
        <v>-75.004776762835306</v>
      </c>
      <c r="AJ46" s="586">
        <f t="shared" si="398"/>
        <v>-17.613424066526921</v>
      </c>
      <c r="AK46" s="635">
        <f t="shared" si="399"/>
        <v>0.96562542886925939</v>
      </c>
      <c r="AL46" s="629">
        <f t="shared" si="400"/>
        <v>-2.4938165795091838E-2</v>
      </c>
      <c r="AM46" s="634">
        <f t="shared" si="401"/>
        <v>-0.25873851473608594</v>
      </c>
      <c r="AN46" s="581">
        <f t="shared" si="402"/>
        <v>-5.5053711774276541</v>
      </c>
      <c r="AO46" s="582">
        <f t="shared" si="94"/>
        <v>15.066356755720973</v>
      </c>
      <c r="AP46" s="585">
        <f t="shared" si="403"/>
        <v>-1.4793874128167741</v>
      </c>
      <c r="AQ46" s="586">
        <f t="shared" si="246"/>
        <v>0.71961610055254355</v>
      </c>
      <c r="AS46" s="52">
        <f t="shared" si="406"/>
        <v>-106.13403665371015</v>
      </c>
      <c r="AT46" s="72">
        <f t="shared" si="247"/>
        <v>-2.9846214437394061E-2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3.1160000000000001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3.7491566963777525</v>
      </c>
      <c r="C47" s="708">
        <v>-1.1183873020944433</v>
      </c>
      <c r="D47" s="709">
        <v>-0.22575077511433808</v>
      </c>
      <c r="E47" s="710">
        <v>0.38238936054341199</v>
      </c>
      <c r="F47" s="708">
        <v>0.89244625739030392</v>
      </c>
      <c r="G47" s="711">
        <v>0.23941189321593842</v>
      </c>
      <c r="H47" s="710">
        <v>0.314</v>
      </c>
      <c r="I47" s="708">
        <v>0.52</v>
      </c>
      <c r="J47" s="570">
        <v>3.1230000000000002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3.1230000000000002</v>
      </c>
      <c r="N47" s="632">
        <f t="shared" si="240"/>
        <v>3.7491566963777525</v>
      </c>
      <c r="O47" s="629">
        <f t="shared" si="241"/>
        <v>-1.1183873020944433</v>
      </c>
      <c r="P47" s="633">
        <f t="shared" si="242"/>
        <v>-0.22575077511433808</v>
      </c>
      <c r="Q47" s="585">
        <f t="shared" si="113"/>
        <v>343.38996341501576</v>
      </c>
      <c r="R47" s="629">
        <f t="shared" si="385"/>
        <v>3.9124117998339885</v>
      </c>
      <c r="S47" s="634">
        <f t="shared" si="386"/>
        <v>-0.22575077511433808</v>
      </c>
      <c r="T47" s="635">
        <f t="shared" si="387"/>
        <v>-1.1183873020944421</v>
      </c>
      <c r="U47" s="629">
        <f t="shared" si="388"/>
        <v>-3.749156696377753</v>
      </c>
      <c r="V47" s="636">
        <f t="shared" si="389"/>
        <v>-0.22575077511433808</v>
      </c>
      <c r="W47" s="585">
        <f t="shared" si="224"/>
        <v>253.38996341501576</v>
      </c>
      <c r="X47" s="629">
        <f t="shared" si="390"/>
        <v>3.9124117998339885</v>
      </c>
      <c r="Y47" s="630">
        <f t="shared" si="223"/>
        <v>-0.22575077511433808</v>
      </c>
      <c r="Z47" s="632">
        <f t="shared" si="243"/>
        <v>-0.38238936054341199</v>
      </c>
      <c r="AA47" s="629">
        <f t="shared" si="244"/>
        <v>-0.89244625739030392</v>
      </c>
      <c r="AB47" s="629">
        <f t="shared" si="245"/>
        <v>-0.23941189321593842</v>
      </c>
      <c r="AC47" s="636">
        <f t="shared" si="391"/>
        <v>1</v>
      </c>
      <c r="AD47" s="637">
        <f t="shared" si="392"/>
        <v>-0.38238936054341199</v>
      </c>
      <c r="AE47" s="629">
        <f t="shared" si="393"/>
        <v>-0.89244625739030392</v>
      </c>
      <c r="AF47" s="633">
        <f t="shared" si="394"/>
        <v>-0.23941189321593842</v>
      </c>
      <c r="AG47" s="602">
        <f t="shared" si="395"/>
        <v>-74.983131089438601</v>
      </c>
      <c r="AH47" s="603">
        <f t="shared" si="396"/>
        <v>112.48176389522226</v>
      </c>
      <c r="AI47" s="585">
        <f t="shared" si="397"/>
        <v>-76.148167565575051</v>
      </c>
      <c r="AJ47" s="586">
        <f t="shared" si="398"/>
        <v>-23.193838666723877</v>
      </c>
      <c r="AK47" s="635">
        <f t="shared" si="399"/>
        <v>0.96451510229572657</v>
      </c>
      <c r="AL47" s="629">
        <f t="shared" si="400"/>
        <v>-0.1113218883698277</v>
      </c>
      <c r="AM47" s="634">
        <f t="shared" si="401"/>
        <v>-0.23941189321593842</v>
      </c>
      <c r="AN47" s="581">
        <f t="shared" si="402"/>
        <v>-24.937514238528351</v>
      </c>
      <c r="AO47" s="582">
        <f t="shared" si="94"/>
        <v>15.30918558105655</v>
      </c>
      <c r="AP47" s="585">
        <f t="shared" si="403"/>
        <v>-6.5838020817396341</v>
      </c>
      <c r="AQ47" s="586">
        <f t="shared" si="246"/>
        <v>0.58267078182607424</v>
      </c>
      <c r="AS47" s="52">
        <f t="shared" si="406"/>
        <v>-106.61003658498424</v>
      </c>
      <c r="AT47" s="72">
        <f t="shared" si="247"/>
        <v>-0.15171602748587681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3.1230000000000002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4.3897579872465053</v>
      </c>
      <c r="C48" s="708">
        <v>-1.3603715310853455</v>
      </c>
      <c r="D48" s="709">
        <v>-0.54575174023724904</v>
      </c>
      <c r="E48" s="710">
        <v>0.46640786901042641</v>
      </c>
      <c r="F48" s="708">
        <v>0.8587745479469292</v>
      </c>
      <c r="G48" s="711">
        <v>0.2120612541783633</v>
      </c>
      <c r="H48" s="710">
        <v>0.314</v>
      </c>
      <c r="I48" s="708">
        <v>0.52</v>
      </c>
      <c r="J48" s="570">
        <v>3.13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</v>
      </c>
      <c r="N48" s="632">
        <f t="shared" si="240"/>
        <v>4.3897579872465053</v>
      </c>
      <c r="O48" s="629">
        <f t="shared" si="241"/>
        <v>-1.3603715310853455</v>
      </c>
      <c r="P48" s="633">
        <f t="shared" si="242"/>
        <v>-0.54575174023724904</v>
      </c>
      <c r="Q48" s="585">
        <f t="shared" si="113"/>
        <v>342.78196350280007</v>
      </c>
      <c r="R48" s="629">
        <f t="shared" si="79"/>
        <v>4.5957138606730048</v>
      </c>
      <c r="S48" s="634">
        <f t="shared" si="80"/>
        <v>-0.54575174023724904</v>
      </c>
      <c r="T48" s="635">
        <f t="shared" si="81"/>
        <v>-1.3603715310853475</v>
      </c>
      <c r="U48" s="629">
        <f t="shared" si="82"/>
        <v>-4.3897579872465045</v>
      </c>
      <c r="V48" s="636">
        <f t="shared" si="114"/>
        <v>-0.54575174023724904</v>
      </c>
      <c r="W48" s="585">
        <f t="shared" si="224"/>
        <v>252.78196350280007</v>
      </c>
      <c r="X48" s="629">
        <f t="shared" si="83"/>
        <v>4.5957138606730048</v>
      </c>
      <c r="Y48" s="630">
        <f t="shared" si="223"/>
        <v>-0.54575174023724904</v>
      </c>
      <c r="Z48" s="632">
        <f t="shared" si="243"/>
        <v>-0.46640786901042641</v>
      </c>
      <c r="AA48" s="629">
        <f t="shared" si="244"/>
        <v>-0.8587745479469292</v>
      </c>
      <c r="AB48" s="629">
        <f t="shared" si="245"/>
        <v>-0.2120612541783633</v>
      </c>
      <c r="AC48" s="636">
        <f t="shared" si="84"/>
        <v>1</v>
      </c>
      <c r="AD48" s="637">
        <f t="shared" si="115"/>
        <v>-0.46640786901042641</v>
      </c>
      <c r="AE48" s="629">
        <f t="shared" si="85"/>
        <v>-0.8587745479469292</v>
      </c>
      <c r="AF48" s="633">
        <f t="shared" si="86"/>
        <v>-0.2120612541783633</v>
      </c>
      <c r="AG48" s="602">
        <f t="shared" si="87"/>
        <v>-76.129171845744949</v>
      </c>
      <c r="AH48" s="603">
        <f t="shared" si="88"/>
        <v>117.8013750249617</v>
      </c>
      <c r="AI48" s="585">
        <f t="shared" si="89"/>
        <v>-77.75682558354093</v>
      </c>
      <c r="AJ48" s="586">
        <f t="shared" si="90"/>
        <v>-28.506766874752206</v>
      </c>
      <c r="AK48" s="635">
        <f t="shared" si="211"/>
        <v>0.9583495734273223</v>
      </c>
      <c r="AL48" s="629">
        <f t="shared" si="91"/>
        <v>-0.19130112280896072</v>
      </c>
      <c r="AM48" s="634">
        <f t="shared" si="92"/>
        <v>-0.2120612541783633</v>
      </c>
      <c r="AN48" s="581">
        <f t="shared" si="93"/>
        <v>-42.053718012229929</v>
      </c>
      <c r="AO48" s="582">
        <f t="shared" si="94"/>
        <v>16.594584407216907</v>
      </c>
      <c r="AP48" s="585">
        <f t="shared" si="95"/>
        <v>-11.288730377552241</v>
      </c>
      <c r="AQ48" s="586">
        <f t="shared" si="246"/>
        <v>0.49604256114680678</v>
      </c>
      <c r="AS48" s="52">
        <f t="shared" si="406"/>
        <v>-107.21803649719993</v>
      </c>
      <c r="AT48" s="72">
        <f t="shared" si="247"/>
        <v>-0.47129477044752688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4.9190124255184591</v>
      </c>
      <c r="C49" s="708">
        <v>-1.5796096741256058</v>
      </c>
      <c r="D49" s="709">
        <v>-1.0394532292409393</v>
      </c>
      <c r="E49" s="710">
        <v>0.54607828978561801</v>
      </c>
      <c r="F49" s="708">
        <v>0.81889283139111324</v>
      </c>
      <c r="G49" s="711">
        <v>0.1766721034036228</v>
      </c>
      <c r="H49" s="710">
        <v>0.314</v>
      </c>
      <c r="I49" s="708">
        <v>0.52</v>
      </c>
      <c r="J49" s="570">
        <v>3.137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3.137</v>
      </c>
      <c r="N49" s="632">
        <f t="shared" si="240"/>
        <v>4.9190124255184591</v>
      </c>
      <c r="O49" s="629">
        <f t="shared" si="241"/>
        <v>-1.5796096741256058</v>
      </c>
      <c r="P49" s="633">
        <f t="shared" si="242"/>
        <v>-1.0394532292409393</v>
      </c>
      <c r="Q49" s="585">
        <f t="shared" si="113"/>
        <v>342.19696358726361</v>
      </c>
      <c r="R49" s="629">
        <f t="shared" si="79"/>
        <v>5.1664155819093951</v>
      </c>
      <c r="S49" s="634">
        <f t="shared" si="80"/>
        <v>-1.0394532292409393</v>
      </c>
      <c r="T49" s="635">
        <f t="shared" si="81"/>
        <v>-1.579609674125604</v>
      </c>
      <c r="U49" s="629">
        <f t="shared" si="82"/>
        <v>-4.91901242551846</v>
      </c>
      <c r="V49" s="636">
        <f t="shared" si="114"/>
        <v>-1.0394532292409393</v>
      </c>
      <c r="W49" s="585">
        <f t="shared" si="224"/>
        <v>252.19696358726361</v>
      </c>
      <c r="X49" s="629">
        <f t="shared" si="83"/>
        <v>5.1664155819093951</v>
      </c>
      <c r="Y49" s="630">
        <f t="shared" si="223"/>
        <v>-1.0394532292409393</v>
      </c>
      <c r="Z49" s="632">
        <f t="shared" si="243"/>
        <v>-0.54607828978561801</v>
      </c>
      <c r="AA49" s="629">
        <f t="shared" si="244"/>
        <v>-0.81889283139111324</v>
      </c>
      <c r="AB49" s="629">
        <f t="shared" si="245"/>
        <v>-0.1766721034036228</v>
      </c>
      <c r="AC49" s="636">
        <f t="shared" si="84"/>
        <v>1</v>
      </c>
      <c r="AD49" s="637">
        <f t="shared" si="115"/>
        <v>-0.54607828978561801</v>
      </c>
      <c r="AE49" s="629">
        <f t="shared" si="85"/>
        <v>-0.81889283139111324</v>
      </c>
      <c r="AF49" s="633">
        <f t="shared" si="86"/>
        <v>-0.1766721034036228</v>
      </c>
      <c r="AG49" s="602">
        <f t="shared" si="87"/>
        <v>-77.82532203215905</v>
      </c>
      <c r="AH49" s="603">
        <f t="shared" si="88"/>
        <v>123.09838102099324</v>
      </c>
      <c r="AI49" s="585">
        <f t="shared" si="89"/>
        <v>-79.824021101665195</v>
      </c>
      <c r="AJ49" s="586">
        <f t="shared" si="90"/>
        <v>-33.697319945487429</v>
      </c>
      <c r="AK49" s="635">
        <f t="shared" si="211"/>
        <v>0.94663979012480004</v>
      </c>
      <c r="AL49" s="629">
        <f t="shared" si="91"/>
        <v>-0.26955532944353805</v>
      </c>
      <c r="AM49" s="634">
        <f t="shared" si="92"/>
        <v>-0.1766721034036228</v>
      </c>
      <c r="AN49" s="581">
        <f t="shared" si="93"/>
        <v>-56.758342617277705</v>
      </c>
      <c r="AO49" s="582">
        <f t="shared" si="94"/>
        <v>18.801683601768225</v>
      </c>
      <c r="AP49" s="585">
        <f t="shared" si="95"/>
        <v>-15.894283532751054</v>
      </c>
      <c r="AQ49" s="586">
        <f t="shared" si="246"/>
        <v>0.44125013286263698</v>
      </c>
      <c r="AS49" s="52">
        <f t="shared" si="406"/>
        <v>-107.80303641273639</v>
      </c>
      <c r="AT49" s="72">
        <f t="shared" si="247"/>
        <v>-0.96459000950987239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3.137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5.3003604339532151</v>
      </c>
      <c r="C50" s="708">
        <v>-1.7488262177969482</v>
      </c>
      <c r="D50" s="709">
        <v>-1.669655129929871</v>
      </c>
      <c r="E50" s="710">
        <v>0.61192986796482574</v>
      </c>
      <c r="F50" s="708">
        <v>0.78170236157891604</v>
      </c>
      <c r="G50" s="711">
        <v>0.12034639418984139</v>
      </c>
      <c r="H50" s="710">
        <v>0.314</v>
      </c>
      <c r="I50" s="708">
        <v>0.52</v>
      </c>
      <c r="J50" s="570">
        <v>3.1440000000000001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3.1440000000000001</v>
      </c>
      <c r="N50" s="632">
        <f t="shared" si="240"/>
        <v>5.3003604339532151</v>
      </c>
      <c r="O50" s="629">
        <f t="shared" si="241"/>
        <v>-1.7488262177969482</v>
      </c>
      <c r="P50" s="633">
        <f t="shared" si="242"/>
        <v>-1.669655129929871</v>
      </c>
      <c r="Q50" s="585">
        <f t="shared" si="113"/>
        <v>341.73996365324626</v>
      </c>
      <c r="R50" s="629">
        <f t="shared" si="79"/>
        <v>5.5814168335531704</v>
      </c>
      <c r="S50" s="634">
        <f t="shared" si="80"/>
        <v>-1.669655129929871</v>
      </c>
      <c r="T50" s="635">
        <f t="shared" si="81"/>
        <v>-1.7488262177969447</v>
      </c>
      <c r="U50" s="629">
        <f t="shared" si="82"/>
        <v>-5.3003604339532169</v>
      </c>
      <c r="V50" s="636">
        <f t="shared" si="114"/>
        <v>-1.669655129929871</v>
      </c>
      <c r="W50" s="585">
        <f t="shared" si="224"/>
        <v>251.73996365324626</v>
      </c>
      <c r="X50" s="629">
        <f t="shared" si="83"/>
        <v>5.5814168335531704</v>
      </c>
      <c r="Y50" s="630">
        <f t="shared" si="223"/>
        <v>-1.669655129929871</v>
      </c>
      <c r="Z50" s="632">
        <f t="shared" si="243"/>
        <v>-0.61192986796482574</v>
      </c>
      <c r="AA50" s="629">
        <f t="shared" si="244"/>
        <v>-0.78170236157891604</v>
      </c>
      <c r="AB50" s="629">
        <f t="shared" si="245"/>
        <v>-0.12034639418984139</v>
      </c>
      <c r="AC50" s="636">
        <f t="shared" si="84"/>
        <v>1</v>
      </c>
      <c r="AD50" s="637">
        <f t="shared" si="115"/>
        <v>-0.61192986796482574</v>
      </c>
      <c r="AE50" s="629">
        <f t="shared" si="85"/>
        <v>-0.78170236157891604</v>
      </c>
      <c r="AF50" s="633">
        <f t="shared" si="86"/>
        <v>-0.12034639418984139</v>
      </c>
      <c r="AG50" s="602">
        <f t="shared" si="87"/>
        <v>-81.247788056883167</v>
      </c>
      <c r="AH50" s="603">
        <f t="shared" si="88"/>
        <v>127.72917617386479</v>
      </c>
      <c r="AI50" s="585">
        <f t="shared" si="89"/>
        <v>-83.08790561362612</v>
      </c>
      <c r="AJ50" s="586">
        <f t="shared" si="90"/>
        <v>-38.054442071500894</v>
      </c>
      <c r="AK50" s="635">
        <f t="shared" si="211"/>
        <v>0.93407523939968118</v>
      </c>
      <c r="AL50" s="629">
        <f t="shared" si="91"/>
        <v>-0.33618475953845961</v>
      </c>
      <c r="AM50" s="634">
        <f t="shared" si="92"/>
        <v>-0.12034639418984139</v>
      </c>
      <c r="AN50" s="581">
        <f t="shared" si="93"/>
        <v>-70.303803353068531</v>
      </c>
      <c r="AO50" s="582">
        <f t="shared" si="94"/>
        <v>20.920746617210753</v>
      </c>
      <c r="AP50" s="585">
        <f t="shared" si="95"/>
        <v>-19.794405724747168</v>
      </c>
      <c r="AQ50" s="586">
        <f t="shared" si="246"/>
        <v>0.40844253042515716</v>
      </c>
      <c r="AS50" s="52">
        <f t="shared" si="406"/>
        <v>-108.26003634675374</v>
      </c>
      <c r="AT50" s="72">
        <f t="shared" si="247"/>
        <v>-1.5944745491335142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3.1440000000000001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5.5086579225055754</v>
      </c>
      <c r="C51" s="708">
        <v>-1.8453134491159946</v>
      </c>
      <c r="D51" s="709">
        <v>-2.3888572990436137</v>
      </c>
      <c r="E51" s="710">
        <v>0.69392325519498077</v>
      </c>
      <c r="F51" s="708">
        <v>0.71688583724572152</v>
      </c>
      <c r="G51" s="711">
        <v>6.7418189356452954E-2</v>
      </c>
      <c r="H51" s="710">
        <v>0.314</v>
      </c>
      <c r="I51" s="708">
        <v>0.52</v>
      </c>
      <c r="J51" s="570">
        <v>3.1509999999999998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3.1509999999999998</v>
      </c>
      <c r="N51" s="632">
        <f t="shared" si="240"/>
        <v>5.5086579225055754</v>
      </c>
      <c r="O51" s="629">
        <f t="shared" si="241"/>
        <v>-1.8453134491159946</v>
      </c>
      <c r="P51" s="633">
        <f t="shared" si="242"/>
        <v>-2.3888572990436137</v>
      </c>
      <c r="Q51" s="585">
        <f t="shared" si="113"/>
        <v>341.47996369078555</v>
      </c>
      <c r="R51" s="629">
        <f t="shared" si="79"/>
        <v>5.809517521504846</v>
      </c>
      <c r="S51" s="634">
        <f t="shared" si="80"/>
        <v>-2.3888572990436137</v>
      </c>
      <c r="T51" s="635">
        <f t="shared" si="81"/>
        <v>-1.8453134491159979</v>
      </c>
      <c r="U51" s="629">
        <f t="shared" si="82"/>
        <v>-5.5086579225055745</v>
      </c>
      <c r="V51" s="636">
        <f t="shared" si="114"/>
        <v>-2.3888572990436137</v>
      </c>
      <c r="W51" s="585">
        <f t="shared" si="224"/>
        <v>251.47996369078555</v>
      </c>
      <c r="X51" s="629">
        <f t="shared" si="83"/>
        <v>5.809517521504846</v>
      </c>
      <c r="Y51" s="630">
        <f t="shared" si="223"/>
        <v>-2.3888572990436137</v>
      </c>
      <c r="Z51" s="632">
        <f t="shared" si="243"/>
        <v>-0.69392325519498077</v>
      </c>
      <c r="AA51" s="629">
        <f t="shared" si="244"/>
        <v>-0.71688583724572152</v>
      </c>
      <c r="AB51" s="629">
        <f t="shared" si="245"/>
        <v>-6.7418189356452954E-2</v>
      </c>
      <c r="AC51" s="636">
        <f t="shared" si="84"/>
        <v>1</v>
      </c>
      <c r="AD51" s="637">
        <f t="shared" si="115"/>
        <v>-0.69392325519498077</v>
      </c>
      <c r="AE51" s="629">
        <f t="shared" si="85"/>
        <v>-0.71688583724572152</v>
      </c>
      <c r="AF51" s="633">
        <f t="shared" si="86"/>
        <v>-6.7418189356452954E-2</v>
      </c>
      <c r="AG51" s="602">
        <f t="shared" si="87"/>
        <v>-84.627526518028077</v>
      </c>
      <c r="AH51" s="603">
        <f t="shared" si="88"/>
        <v>133.94147654982891</v>
      </c>
      <c r="AI51" s="585">
        <f t="shared" si="89"/>
        <v>-86.134290095380578</v>
      </c>
      <c r="AJ51" s="586">
        <f t="shared" si="90"/>
        <v>-44.067525943162202</v>
      </c>
      <c r="AK51" s="635">
        <f t="shared" si="211"/>
        <v>0.9001754006220315</v>
      </c>
      <c r="AL51" s="629">
        <f t="shared" si="91"/>
        <v>-0.43027785889917997</v>
      </c>
      <c r="AM51" s="634">
        <f t="shared" si="92"/>
        <v>-6.7418189356452954E-2</v>
      </c>
      <c r="AN51" s="581">
        <f t="shared" si="93"/>
        <v>-81.09499939591565</v>
      </c>
      <c r="AO51" s="582">
        <f t="shared" si="94"/>
        <v>25.818867548490797</v>
      </c>
      <c r="AP51" s="585">
        <f t="shared" si="95"/>
        <v>-25.547489633947748</v>
      </c>
      <c r="AQ51" s="586">
        <f t="shared" si="246"/>
        <v>0.39240625047897515</v>
      </c>
      <c r="AS51" s="52">
        <f t="shared" si="406"/>
        <v>-108.52003630921445</v>
      </c>
      <c r="AT51" s="72">
        <f t="shared" si="247"/>
        <v>-2.3134961627177701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3.1509999999999998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5.5858560824906069</v>
      </c>
      <c r="C52" s="708">
        <v>-1.8818060095470337</v>
      </c>
      <c r="D52" s="709">
        <v>-3.2025597531702168</v>
      </c>
      <c r="E52" s="710">
        <v>0.80508050911010354</v>
      </c>
      <c r="F52" s="708">
        <v>0.59316555349328892</v>
      </c>
      <c r="G52" s="711">
        <v>1.3008419227988973E-7</v>
      </c>
      <c r="H52" s="710">
        <v>0.314</v>
      </c>
      <c r="I52" s="708">
        <v>0.52</v>
      </c>
      <c r="J52" s="570">
        <v>3.1579999999999999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3.1579999999999999</v>
      </c>
      <c r="N52" s="632">
        <f t="shared" si="240"/>
        <v>5.5858560824906069</v>
      </c>
      <c r="O52" s="629">
        <f t="shared" si="241"/>
        <v>-1.8818060095470337</v>
      </c>
      <c r="P52" s="633">
        <f t="shared" si="242"/>
        <v>-3.2025597531702168</v>
      </c>
      <c r="Q52" s="585">
        <f t="shared" si="113"/>
        <v>341.38196367256609</v>
      </c>
      <c r="R52" s="629">
        <f t="shared" si="79"/>
        <v>5.8943177749307543</v>
      </c>
      <c r="S52" s="634">
        <f t="shared" si="80"/>
        <v>-3.2025597531702168</v>
      </c>
      <c r="T52" s="635">
        <f t="shared" si="81"/>
        <v>-1.8818060095470359</v>
      </c>
      <c r="U52" s="629">
        <f t="shared" si="82"/>
        <v>-5.5858560824906061</v>
      </c>
      <c r="V52" s="636">
        <f t="shared" si="114"/>
        <v>-3.2025597531702168</v>
      </c>
      <c r="W52" s="585">
        <f t="shared" si="224"/>
        <v>251.38196367256609</v>
      </c>
      <c r="X52" s="629">
        <f t="shared" si="83"/>
        <v>5.8943177749307543</v>
      </c>
      <c r="Y52" s="630">
        <f t="shared" si="223"/>
        <v>-3.2025597531702168</v>
      </c>
      <c r="Z52" s="632">
        <f t="shared" si="243"/>
        <v>-0.80508050911010354</v>
      </c>
      <c r="AA52" s="629">
        <f t="shared" si="244"/>
        <v>-0.59316555349328892</v>
      </c>
      <c r="AB52" s="629">
        <f t="shared" si="245"/>
        <v>-1.3008419227988973E-7</v>
      </c>
      <c r="AC52" s="636">
        <f t="shared" si="84"/>
        <v>1</v>
      </c>
      <c r="AD52" s="637">
        <f t="shared" si="115"/>
        <v>-0.80508050911010354</v>
      </c>
      <c r="AE52" s="629">
        <f t="shared" si="85"/>
        <v>-0.59316555349328892</v>
      </c>
      <c r="AF52" s="633">
        <f t="shared" si="86"/>
        <v>-1.3008419227988973E-7</v>
      </c>
      <c r="AG52" s="602">
        <f t="shared" si="87"/>
        <v>-89.999987434747098</v>
      </c>
      <c r="AH52" s="603">
        <f t="shared" si="88"/>
        <v>143.61803124168958</v>
      </c>
      <c r="AI52" s="585">
        <f t="shared" si="89"/>
        <v>-89.999992546724798</v>
      </c>
      <c r="AJ52" s="586">
        <f t="shared" si="90"/>
        <v>-53.61803124169024</v>
      </c>
      <c r="AK52" s="635">
        <f t="shared" si="211"/>
        <v>0.81915209520133103</v>
      </c>
      <c r="AL52" s="629">
        <f t="shared" si="91"/>
        <v>-0.57357636364066888</v>
      </c>
      <c r="AM52" s="634">
        <f t="shared" si="92"/>
        <v>-1.3008419227988973E-7</v>
      </c>
      <c r="AN52" s="581">
        <f t="shared" si="93"/>
        <v>-89.999987005609597</v>
      </c>
      <c r="AO52" s="582">
        <f t="shared" si="94"/>
        <v>34.999994914256995</v>
      </c>
      <c r="AP52" s="585">
        <f t="shared" si="95"/>
        <v>-34.999994914256312</v>
      </c>
      <c r="AQ52" s="586">
        <f t="shared" si="246"/>
        <v>0.38676096080327571</v>
      </c>
      <c r="AS52" s="52">
        <f t="shared" si="406"/>
        <v>-108.61803632743391</v>
      </c>
      <c r="AT52" s="72">
        <f t="shared" si="247"/>
        <v>-3.1271305612761653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3.1579999999999999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1.7627308419456187</v>
      </c>
      <c r="C53" s="708">
        <v>-1.5168265720764447</v>
      </c>
      <c r="D53" s="709">
        <v>-0.2083507226357795</v>
      </c>
      <c r="E53" s="710">
        <v>1.4792839746803172E-7</v>
      </c>
      <c r="F53" s="708">
        <v>1.7191019286555678E-7</v>
      </c>
      <c r="G53" s="711">
        <v>0.99999999999997435</v>
      </c>
      <c r="H53" s="710">
        <v>0.25700000000000001</v>
      </c>
      <c r="I53" s="708">
        <v>0.41499999999999992</v>
      </c>
      <c r="J53" s="570">
        <v>3.2090000000000001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3.2090000000000001</v>
      </c>
      <c r="N53" s="632">
        <f t="shared" si="240"/>
        <v>1.7627308419456187</v>
      </c>
      <c r="O53" s="629">
        <f t="shared" si="241"/>
        <v>-1.5168265720764447</v>
      </c>
      <c r="P53" s="633">
        <f t="shared" si="242"/>
        <v>-0.2083507226357795</v>
      </c>
      <c r="Q53" s="585">
        <f t="shared" si="113"/>
        <v>319.28806689489903</v>
      </c>
      <c r="R53" s="629">
        <f t="shared" ref="R53:R58" si="410">IF(M53="","",SQRT(N53^2+O53^2))</f>
        <v>2.3255070137291538</v>
      </c>
      <c r="S53" s="634">
        <f t="shared" ref="S53:S58" si="411">IF(M53="","",P53)</f>
        <v>-0.2083507226357795</v>
      </c>
      <c r="T53" s="635">
        <f t="shared" ref="T53:T58" si="412">IF(M53="","",X53*COS(RADIANS(W53)))</f>
        <v>-1.5168265720764444</v>
      </c>
      <c r="U53" s="629">
        <f t="shared" ref="U53:U58" si="413">IF(M53="","",X53*SIN(RADIANS(W53)))</f>
        <v>-1.7627308419456185</v>
      </c>
      <c r="V53" s="636">
        <f t="shared" ref="V53:V58" si="414">IF(M53="","",Y53)</f>
        <v>-0.2083507226357795</v>
      </c>
      <c r="W53" s="585">
        <f t="shared" si="224"/>
        <v>229.28806689489903</v>
      </c>
      <c r="X53" s="629">
        <f t="shared" ref="X53:X58" si="415">IF(M53="","",R53)</f>
        <v>2.3255070137291538</v>
      </c>
      <c r="Y53" s="630">
        <f t="shared" si="223"/>
        <v>-0.2083507226357795</v>
      </c>
      <c r="Z53" s="632">
        <f t="shared" si="243"/>
        <v>-1.4792839746803172E-7</v>
      </c>
      <c r="AA53" s="629">
        <f t="shared" si="244"/>
        <v>-1.7191019286555678E-7</v>
      </c>
      <c r="AB53" s="629">
        <f t="shared" si="245"/>
        <v>-0.99999999999997435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-1.4792839746803172E-7</v>
      </c>
      <c r="AE53" s="629">
        <f t="shared" ref="AE53:AE58" si="418">IF(M53="","",AA53*(1/SQRT(Z53^2+AA53^2+AB53^2)))</f>
        <v>-1.7191019286555678E-7</v>
      </c>
      <c r="AF53" s="633">
        <f t="shared" ref="AF53:AF58" si="419">IF(M53="","",AB53*(1/SQRT(Z53^2+AA53^2+AB53^2)))</f>
        <v>-0.99999999999997435</v>
      </c>
      <c r="AG53" s="602">
        <f t="shared" ref="AG53:AG58" si="420">IF(M53="","",DEGREES(ATAN2(-AF53,AE53)))</f>
        <v>-9.8497285064765557E-6</v>
      </c>
      <c r="AH53" s="603">
        <f t="shared" ref="AH53:AH58" si="421">IF(M53="","",DEGREES(ACOS(AD53)))</f>
        <v>90.000008475672843</v>
      </c>
      <c r="AI53" s="585">
        <f t="shared" ref="AI53:AI58" si="422">IF(M53="","",DEGREES(-ACOS(-AF53)))</f>
        <v>-1.2976235990044085E-5</v>
      </c>
      <c r="AJ53" s="586">
        <f t="shared" ref="AJ53:AJ58" si="423">IF(M53="","",DEGREES(ATAN2(-AE53,AD53)))</f>
        <v>-40.711933112404161</v>
      </c>
      <c r="AK53" s="635">
        <f t="shared" ref="AK53:AK58" si="424">IF(M53="","",(COS(RADIANS((90-$Q$8)-W53))*AD53)+(-SIN(RADIANS((90-$Q$8)-W53))*AE53))</f>
        <v>2.2679489674270205E-7</v>
      </c>
      <c r="AL53" s="629">
        <f t="shared" ref="AL53:AL58" si="425">IF(M53="","",(SIN(RADIANS((90-$Q$8)-W53))*AD53)+(COS(RADIANS((90-$Q$8)-W53))*AE53))</f>
        <v>-2.8908413926621618E-17</v>
      </c>
      <c r="AM53" s="634">
        <f t="shared" ref="AM53:AM58" si="426">IF(M53="","",AF53)</f>
        <v>-0.99999999999997435</v>
      </c>
      <c r="AN53" s="581">
        <f t="shared" ref="AN53:AN58" si="427">IF(M53="","",DEGREES(ATAN2(-AM53,AL53)))</f>
        <v>-1.6563301104126731E-15</v>
      </c>
      <c r="AO53" s="582">
        <f t="shared" si="94"/>
        <v>0</v>
      </c>
      <c r="AP53" s="585">
        <f t="shared" ref="AP53:AP58" si="428">IF(M53="","",DEGREES(ATAN2(AK53,AL53)))</f>
        <v>-7.3032071453165497E-9</v>
      </c>
      <c r="AQ53" s="586">
        <f t="shared" si="246"/>
        <v>0.9802181633285818</v>
      </c>
      <c r="AS53" s="52">
        <f t="shared" si="406"/>
        <v>-130.71193310510097</v>
      </c>
      <c r="AT53" s="72">
        <f t="shared" si="247"/>
        <v>-0.11757854686834827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3.2090000000000001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3.109</v>
      </c>
      <c r="II53" s="734" cm="1">
        <f t="array" ref="II53">IFERROR(IF($IH53&lt;1,$IH53+LARGE((IF($M$9:$M$150="",0,$M$9:$M$150)-MOD(IF($M$9:$M$150="",0,$M$9:$M$150),1)),1),$IH53),"")</f>
        <v>3.109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24.711896432043602</v>
      </c>
      <c r="IM53" s="759">
        <v>3.94770194692989E-2</v>
      </c>
      <c r="IN53" s="5">
        <f t="shared" si="226"/>
        <v>0.62</v>
      </c>
      <c r="IO53" s="771">
        <v>310</v>
      </c>
      <c r="IP53" s="9">
        <f t="shared" si="227"/>
        <v>-2.3376070502228639</v>
      </c>
      <c r="IQ53" s="5">
        <f t="shared" si="228"/>
        <v>-0.20965072655659137</v>
      </c>
      <c r="IR53" s="5">
        <f t="shared" si="383"/>
        <v>0.314</v>
      </c>
      <c r="IS53" s="5">
        <f t="shared" si="229"/>
        <v>0.30330071252667318</v>
      </c>
      <c r="IT53" s="727">
        <f t="shared" si="230"/>
        <v>-14.999997834268274</v>
      </c>
      <c r="IU53" s="9">
        <f t="shared" si="231"/>
        <v>-2.3255070137291538</v>
      </c>
      <c r="IV53" s="5">
        <f t="shared" si="232"/>
        <v>-0.2083507226357795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1.6563301104126731E-15</v>
      </c>
    </row>
    <row r="54" spans="1:259" ht="15" customHeight="1" x14ac:dyDescent="0.25">
      <c r="A54" s="79"/>
      <c r="B54" s="707">
        <v>2.6172294214132057</v>
      </c>
      <c r="C54" s="708">
        <v>-1.7846925580678057</v>
      </c>
      <c r="D54" s="709">
        <v>-9.6850386350765247E-2</v>
      </c>
      <c r="E54" s="710">
        <v>1.2777256886067945E-7</v>
      </c>
      <c r="F54" s="708">
        <v>1.8737688173148835E-7</v>
      </c>
      <c r="G54" s="711">
        <v>0.99999999999997435</v>
      </c>
      <c r="H54" s="710">
        <v>0.25700000000000001</v>
      </c>
      <c r="I54" s="708">
        <v>0.41499999999999992</v>
      </c>
      <c r="J54" s="570">
        <v>3.2160000000000002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3.2160000000000002</v>
      </c>
      <c r="N54" s="632">
        <f t="shared" si="240"/>
        <v>2.6172294214132057</v>
      </c>
      <c r="O54" s="629">
        <f t="shared" si="241"/>
        <v>-1.7846925580678057</v>
      </c>
      <c r="P54" s="633">
        <f t="shared" si="242"/>
        <v>-9.6850386350765247E-2</v>
      </c>
      <c r="Q54" s="585">
        <f t="shared" si="113"/>
        <v>325.70986596770598</v>
      </c>
      <c r="R54" s="629">
        <f t="shared" si="410"/>
        <v>3.1678095541136169</v>
      </c>
      <c r="S54" s="634">
        <f t="shared" si="411"/>
        <v>-9.6850386350765247E-2</v>
      </c>
      <c r="T54" s="635">
        <f t="shared" si="412"/>
        <v>-1.7846925580678057</v>
      </c>
      <c r="U54" s="629">
        <f t="shared" si="413"/>
        <v>-2.6172294214132057</v>
      </c>
      <c r="V54" s="636">
        <f t="shared" si="414"/>
        <v>-9.6850386350765247E-2</v>
      </c>
      <c r="W54" s="585">
        <f t="shared" si="224"/>
        <v>235.70986596770598</v>
      </c>
      <c r="X54" s="629">
        <f t="shared" si="415"/>
        <v>3.1678095541136169</v>
      </c>
      <c r="Y54" s="630">
        <f t="shared" si="223"/>
        <v>-9.6850386350765247E-2</v>
      </c>
      <c r="Z54" s="632">
        <f t="shared" si="243"/>
        <v>-1.2777256886067945E-7</v>
      </c>
      <c r="AA54" s="629">
        <f t="shared" si="244"/>
        <v>-1.8737688173148835E-7</v>
      </c>
      <c r="AB54" s="629">
        <f t="shared" si="245"/>
        <v>-0.99999999999997435</v>
      </c>
      <c r="AC54" s="636">
        <f t="shared" si="416"/>
        <v>1</v>
      </c>
      <c r="AD54" s="637">
        <f t="shared" si="417"/>
        <v>-1.2777256886067945E-7</v>
      </c>
      <c r="AE54" s="629">
        <f t="shared" si="418"/>
        <v>-1.8737688173148835E-7</v>
      </c>
      <c r="AF54" s="633">
        <f t="shared" si="419"/>
        <v>-0.99999999999997435</v>
      </c>
      <c r="AG54" s="602">
        <f t="shared" si="420"/>
        <v>-1.073590450153641E-5</v>
      </c>
      <c r="AH54" s="603">
        <f t="shared" si="421"/>
        <v>90.000007320828942</v>
      </c>
      <c r="AI54" s="585">
        <f t="shared" si="422"/>
        <v>-1.2976235990044085E-5</v>
      </c>
      <c r="AJ54" s="586">
        <f t="shared" si="423"/>
        <v>-34.290134039597234</v>
      </c>
      <c r="AK54" s="635">
        <f t="shared" si="424"/>
        <v>2.2679489668128171E-7</v>
      </c>
      <c r="AL54" s="629">
        <f t="shared" si="425"/>
        <v>-2.890844039640122E-17</v>
      </c>
      <c r="AM54" s="634">
        <f t="shared" si="426"/>
        <v>-0.99999999999997435</v>
      </c>
      <c r="AN54" s="581">
        <f t="shared" si="427"/>
        <v>-1.6563316270193288E-15</v>
      </c>
      <c r="AO54" s="582">
        <f t="shared" si="94"/>
        <v>0</v>
      </c>
      <c r="AP54" s="585">
        <f t="shared" si="428"/>
        <v>-7.3032138344230654E-9</v>
      </c>
      <c r="AQ54" s="586">
        <f t="shared" si="246"/>
        <v>0.71961610055254299</v>
      </c>
      <c r="AS54" s="52">
        <f t="shared" si="406"/>
        <v>-124.29013403229402</v>
      </c>
      <c r="AT54" s="72">
        <f t="shared" si="247"/>
        <v>-1.0537793272783286E-2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3.2160000000000002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3.1160000000000001</v>
      </c>
      <c r="II54" s="734" cm="1">
        <f t="array" ref="II54">IFERROR(IF($IH54&lt;1,$IH54+LARGE((IF($M$9:$M$150="",0,$M$9:$M$150)-MOD(IF($M$9:$M$150="",0,$M$9:$M$150),1)),1),$IH54),"")</f>
        <v>3.1160000000000001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18.156097378583866</v>
      </c>
      <c r="IM54" s="759">
        <v>3.9530682376028803E-2</v>
      </c>
      <c r="IN54" s="5">
        <f t="shared" si="226"/>
        <v>0.76</v>
      </c>
      <c r="IO54" s="771">
        <v>380</v>
      </c>
      <c r="IP54" s="9">
        <f t="shared" si="227"/>
        <v>-3.1678095541136146</v>
      </c>
      <c r="IQ54" s="5">
        <f t="shared" si="228"/>
        <v>-0.10355040655802611</v>
      </c>
      <c r="IR54" s="5">
        <f t="shared" si="383"/>
        <v>0.314</v>
      </c>
      <c r="IS54" s="5">
        <f t="shared" si="229"/>
        <v>0.30320638466494743</v>
      </c>
      <c r="IT54" s="727">
        <f t="shared" si="230"/>
        <v>5.5053711774276541</v>
      </c>
      <c r="IU54" s="9">
        <f t="shared" si="231"/>
        <v>-3.1678095541136169</v>
      </c>
      <c r="IV54" s="5">
        <f t="shared" si="232"/>
        <v>-9.6850386350765247E-2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1.6563316270193288E-15</v>
      </c>
    </row>
    <row r="55" spans="1:259" ht="15" customHeight="1" x14ac:dyDescent="0.25">
      <c r="A55" s="79"/>
      <c r="B55" s="707">
        <v>3.3822456931692755</v>
      </c>
      <c r="C55" s="708">
        <v>-1.9889516400962715</v>
      </c>
      <c r="D55" s="709">
        <v>-0.18895066412520303</v>
      </c>
      <c r="E55" s="710">
        <v>0.58688807839744983</v>
      </c>
      <c r="F55" s="708">
        <v>0.75965894141540535</v>
      </c>
      <c r="G55" s="711">
        <v>0.28014402753329304</v>
      </c>
      <c r="H55" s="710">
        <v>0.26600000000000001</v>
      </c>
      <c r="I55" s="708">
        <v>0.52</v>
      </c>
      <c r="J55" s="570">
        <v>3.2229999999999999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3.2229999999999999</v>
      </c>
      <c r="N55" s="632">
        <f t="shared" si="240"/>
        <v>3.3822456931692755</v>
      </c>
      <c r="O55" s="629">
        <f t="shared" si="241"/>
        <v>-1.9889516400962715</v>
      </c>
      <c r="P55" s="633">
        <f t="shared" si="242"/>
        <v>-0.18895066412520303</v>
      </c>
      <c r="Q55" s="585">
        <f t="shared" si="113"/>
        <v>329.54206541440482</v>
      </c>
      <c r="R55" s="629">
        <f t="shared" si="410"/>
        <v>3.9237118339148913</v>
      </c>
      <c r="S55" s="634">
        <f t="shared" si="411"/>
        <v>-0.18895066412520303</v>
      </c>
      <c r="T55" s="635">
        <f t="shared" si="412"/>
        <v>-1.9889516400962735</v>
      </c>
      <c r="U55" s="629">
        <f t="shared" si="413"/>
        <v>-3.3822456931692737</v>
      </c>
      <c r="V55" s="636">
        <f t="shared" si="414"/>
        <v>-0.18895066412520303</v>
      </c>
      <c r="W55" s="585">
        <f t="shared" si="224"/>
        <v>239.54206541440482</v>
      </c>
      <c r="X55" s="629">
        <f t="shared" si="415"/>
        <v>3.9237118339148913</v>
      </c>
      <c r="Y55" s="630">
        <f t="shared" si="223"/>
        <v>-0.18895066412520303</v>
      </c>
      <c r="Z55" s="632">
        <f t="shared" si="243"/>
        <v>-0.58688807839744983</v>
      </c>
      <c r="AA55" s="629">
        <f t="shared" si="244"/>
        <v>-0.75965894141540535</v>
      </c>
      <c r="AB55" s="629">
        <f t="shared" si="245"/>
        <v>-0.28014402753329304</v>
      </c>
      <c r="AC55" s="636">
        <f t="shared" si="416"/>
        <v>1</v>
      </c>
      <c r="AD55" s="637">
        <f t="shared" si="417"/>
        <v>-0.58688807839744983</v>
      </c>
      <c r="AE55" s="629">
        <f t="shared" si="418"/>
        <v>-0.75965894141540535</v>
      </c>
      <c r="AF55" s="633">
        <f t="shared" si="419"/>
        <v>-0.28014402753329304</v>
      </c>
      <c r="AG55" s="602">
        <f t="shared" si="420"/>
        <v>-69.757233390455141</v>
      </c>
      <c r="AH55" s="603">
        <f t="shared" si="421"/>
        <v>125.93648638200919</v>
      </c>
      <c r="AI55" s="585">
        <f t="shared" si="422"/>
        <v>-73.731199093374542</v>
      </c>
      <c r="AJ55" s="586">
        <f t="shared" si="423"/>
        <v>-37.688520935713655</v>
      </c>
      <c r="AK55" s="635">
        <f t="shared" si="424"/>
        <v>0.95232406127875535</v>
      </c>
      <c r="AL55" s="629">
        <f t="shared" si="425"/>
        <v>-0.12082303649123677</v>
      </c>
      <c r="AM55" s="634">
        <f t="shared" si="426"/>
        <v>-0.28014402753329304</v>
      </c>
      <c r="AN55" s="581">
        <f t="shared" si="427"/>
        <v>-23.330005000132701</v>
      </c>
      <c r="AO55" s="582">
        <f>IF(ROUND(IF(M55="",0,DEGREES(ACOS(AK55))),4)=90,0,IF(M55="","",DEGREES(ACOS(AK55))))</f>
        <v>17.763477458336247</v>
      </c>
      <c r="AP55" s="585">
        <f t="shared" si="428"/>
        <v>-7.2305863501184593</v>
      </c>
      <c r="AQ55" s="586">
        <f t="shared" si="246"/>
        <v>0.58099284318418265</v>
      </c>
      <c r="AS55" s="52">
        <f t="shared" si="406"/>
        <v>-120.45793458559518</v>
      </c>
      <c r="AT55" s="72">
        <f t="shared" si="247"/>
        <v>-0.10529932066298416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3.1230000000000002</v>
      </c>
      <c r="II55" s="734" cm="1">
        <f t="array" ref="II55">IFERROR(IF($IH55&lt;1,$IH55+LARGE((IF($M$9:$M$150="",0,$M$9:$M$150)-MOD(IF($M$9:$M$150="",0,$M$9:$M$150),1)),1),$IH55),"")</f>
        <v>3.1230000000000002</v>
      </c>
      <c r="IJ55" s="533">
        <f t="shared" si="112"/>
        <v>1613</v>
      </c>
      <c r="IK55" s="533">
        <f t="shared" si="382"/>
        <v>1313</v>
      </c>
      <c r="IL55" s="727">
        <f t="shared" si="225"/>
        <v>13.84789800061094</v>
      </c>
      <c r="IM55" s="759">
        <v>1.11035736228196E-2</v>
      </c>
      <c r="IN55" s="5">
        <f t="shared" si="226"/>
        <v>0.26</v>
      </c>
      <c r="IO55" s="771">
        <v>130</v>
      </c>
      <c r="IP55" s="9">
        <f t="shared" si="227"/>
        <v>-3.9124117998339885</v>
      </c>
      <c r="IQ55" s="5">
        <f t="shared" si="228"/>
        <v>-0.22575077511433808</v>
      </c>
      <c r="IR55" s="5">
        <f t="shared" si="383"/>
        <v>0.314</v>
      </c>
      <c r="IS55" s="5">
        <f t="shared" si="229"/>
        <v>0.30285774212085814</v>
      </c>
      <c r="IT55" s="727">
        <f t="shared" si="230"/>
        <v>24.937514238528351</v>
      </c>
      <c r="IU55" s="9">
        <f t="shared" si="231"/>
        <v>-3.9237118339148913</v>
      </c>
      <c r="IV55" s="5">
        <f t="shared" si="232"/>
        <v>-0.18895066412520303</v>
      </c>
      <c r="IW55" s="5">
        <f t="shared" si="384"/>
        <v>0.26600000000000001</v>
      </c>
      <c r="IX55" s="5">
        <f t="shared" si="233"/>
        <v>0.25331820030014895</v>
      </c>
      <c r="IY55" s="762">
        <f t="shared" si="234"/>
        <v>23.330005000132701</v>
      </c>
    </row>
    <row r="56" spans="1:259" ht="15" customHeight="1" x14ac:dyDescent="0.25">
      <c r="A56" s="79"/>
      <c r="B56" s="707">
        <v>3.9822112042663811</v>
      </c>
      <c r="C56" s="708">
        <v>-2.3375954100072747</v>
      </c>
      <c r="D56" s="709">
        <v>-0.51225163920094385</v>
      </c>
      <c r="E56" s="710">
        <v>0.65944198466870951</v>
      </c>
      <c r="F56" s="708">
        <v>0.70920846883910393</v>
      </c>
      <c r="G56" s="711">
        <v>0.24931830374661124</v>
      </c>
      <c r="H56" s="710">
        <v>0.26600000000000001</v>
      </c>
      <c r="I56" s="708">
        <v>0.52</v>
      </c>
      <c r="J56" s="570">
        <v>3.23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3.23</v>
      </c>
      <c r="N56" s="632">
        <f t="shared" si="240"/>
        <v>3.9822112042663811</v>
      </c>
      <c r="O56" s="629">
        <f t="shared" si="241"/>
        <v>-2.3375954100072747</v>
      </c>
      <c r="P56" s="633">
        <f t="shared" si="242"/>
        <v>-0.51225163920094385</v>
      </c>
      <c r="Q56" s="585">
        <f t="shared" si="113"/>
        <v>329.58666540796537</v>
      </c>
      <c r="R56" s="629">
        <f t="shared" si="410"/>
        <v>4.617613926723604</v>
      </c>
      <c r="S56" s="634">
        <f t="shared" si="411"/>
        <v>-0.51225163920094385</v>
      </c>
      <c r="T56" s="635">
        <f t="shared" si="412"/>
        <v>-2.3375954100072747</v>
      </c>
      <c r="U56" s="629">
        <f t="shared" si="413"/>
        <v>-3.9822112042663811</v>
      </c>
      <c r="V56" s="636">
        <f t="shared" si="414"/>
        <v>-0.51225163920094385</v>
      </c>
      <c r="W56" s="585">
        <f t="shared" si="224"/>
        <v>239.58666540796537</v>
      </c>
      <c r="X56" s="629">
        <f t="shared" si="415"/>
        <v>4.617613926723604</v>
      </c>
      <c r="Y56" s="630">
        <f t="shared" si="223"/>
        <v>-0.51225163920094385</v>
      </c>
      <c r="Z56" s="632">
        <f t="shared" si="243"/>
        <v>-0.65944198466870951</v>
      </c>
      <c r="AA56" s="629">
        <f t="shared" si="244"/>
        <v>-0.70920846883910393</v>
      </c>
      <c r="AB56" s="629">
        <f t="shared" si="245"/>
        <v>-0.24931830374661124</v>
      </c>
      <c r="AC56" s="636">
        <f t="shared" si="416"/>
        <v>1</v>
      </c>
      <c r="AD56" s="637">
        <f t="shared" si="417"/>
        <v>-0.65944198466870951</v>
      </c>
      <c r="AE56" s="629">
        <f t="shared" si="418"/>
        <v>-0.70920846883910393</v>
      </c>
      <c r="AF56" s="633">
        <f t="shared" si="419"/>
        <v>-0.24931830374661124</v>
      </c>
      <c r="AG56" s="602">
        <f t="shared" si="420"/>
        <v>-70.63115820844979</v>
      </c>
      <c r="AH56" s="603">
        <f t="shared" si="421"/>
        <v>131.25732924679821</v>
      </c>
      <c r="AI56" s="585">
        <f t="shared" si="422"/>
        <v>-75.562823409126821</v>
      </c>
      <c r="AJ56" s="586">
        <f t="shared" si="423"/>
        <v>-42.917544391463899</v>
      </c>
      <c r="AK56" s="635">
        <f t="shared" si="424"/>
        <v>0.94545073204009034</v>
      </c>
      <c r="AL56" s="629">
        <f t="shared" si="425"/>
        <v>-0.20967426332711908</v>
      </c>
      <c r="AM56" s="634">
        <f t="shared" si="426"/>
        <v>-0.24931830374661124</v>
      </c>
      <c r="AN56" s="581">
        <f t="shared" si="427"/>
        <v>-40.063508363102983</v>
      </c>
      <c r="AO56" s="582">
        <f t="shared" ref="AO56:AO119" si="461">IF(ROUND(IF(M56="",0,DEGREES(ACOS(AK56))),4)=90,0,IF(M56="","",DEGREES(ACOS(AK56))))</f>
        <v>19.011935977326317</v>
      </c>
      <c r="AP56" s="585">
        <f t="shared" si="428"/>
        <v>-12.504209799429287</v>
      </c>
      <c r="AQ56" s="586">
        <f t="shared" si="246"/>
        <v>0.49369008515887192</v>
      </c>
      <c r="AS56" s="52">
        <f t="shared" si="406"/>
        <v>-120.41333459203463</v>
      </c>
      <c r="AT56" s="72">
        <f t="shared" si="247"/>
        <v>-0.42863126795647533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3.23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3.13</v>
      </c>
      <c r="II56" s="734" cm="1">
        <f t="array" ref="II56">IFERROR(IF($IH56&lt;1,$IH56+LARGE((IF($M$9:$M$150="",0,$M$9:$M$150)-MOD(IF($M$9:$M$150="",0,$M$9:$M$150),1)),1),$IH56),"")</f>
        <v>3.13</v>
      </c>
      <c r="IJ56" s="533">
        <f t="shared" si="112"/>
        <v>1613</v>
      </c>
      <c r="IK56" s="533">
        <f t="shared" si="382"/>
        <v>1313</v>
      </c>
      <c r="IL56" s="727">
        <f t="shared" si="225"/>
        <v>13.195298094834698</v>
      </c>
      <c r="IM56" s="759">
        <v>9.5090672720195401E-3</v>
      </c>
      <c r="IN56" s="5">
        <f t="shared" si="226"/>
        <v>0.26</v>
      </c>
      <c r="IO56" s="771">
        <v>130</v>
      </c>
      <c r="IP56" s="9">
        <f t="shared" si="227"/>
        <v>-4.5957138606730048</v>
      </c>
      <c r="IQ56" s="5">
        <f t="shared" si="228"/>
        <v>-0.54575174023724904</v>
      </c>
      <c r="IR56" s="5">
        <f t="shared" si="383"/>
        <v>0.314</v>
      </c>
      <c r="IS56" s="5">
        <f t="shared" si="229"/>
        <v>0.30092176605617921</v>
      </c>
      <c r="IT56" s="727">
        <f t="shared" si="230"/>
        <v>42.053718012229929</v>
      </c>
      <c r="IU56" s="9">
        <f t="shared" si="231"/>
        <v>-4.617613926723604</v>
      </c>
      <c r="IV56" s="5">
        <f t="shared" si="232"/>
        <v>-0.51225163920094385</v>
      </c>
      <c r="IW56" s="5">
        <f t="shared" si="384"/>
        <v>0.26600000000000001</v>
      </c>
      <c r="IX56" s="5">
        <f t="shared" si="233"/>
        <v>0.25148989472266403</v>
      </c>
      <c r="IY56" s="762">
        <f t="shared" si="234"/>
        <v>40.063508363102983</v>
      </c>
    </row>
    <row r="57" spans="1:259" ht="15" customHeight="1" x14ac:dyDescent="0.25">
      <c r="A57" s="79"/>
      <c r="B57" s="707">
        <v>4.5213625739528149</v>
      </c>
      <c r="C57" s="708">
        <v>-2.5640920971940684</v>
      </c>
      <c r="D57" s="709">
        <v>-1.0110531435862813</v>
      </c>
      <c r="E57" s="710">
        <v>0.71701823623161776</v>
      </c>
      <c r="F57" s="708">
        <v>0.66518410332855915</v>
      </c>
      <c r="G57" s="711">
        <v>0.20836256283286825</v>
      </c>
      <c r="H57" s="710">
        <v>0.26600000000000001</v>
      </c>
      <c r="I57" s="708">
        <v>0.52</v>
      </c>
      <c r="J57" s="570">
        <v>3.2370000000000001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3.2370000000000001</v>
      </c>
      <c r="N57" s="632">
        <f t="shared" si="240"/>
        <v>4.5213625739528149</v>
      </c>
      <c r="O57" s="629">
        <f t="shared" si="241"/>
        <v>-2.5640920971940684</v>
      </c>
      <c r="P57" s="633">
        <f t="shared" si="242"/>
        <v>-1.0110531435862813</v>
      </c>
      <c r="Q57" s="585">
        <f t="shared" si="113"/>
        <v>330.4421652844465</v>
      </c>
      <c r="R57" s="629">
        <f t="shared" si="410"/>
        <v>5.1978156766120804</v>
      </c>
      <c r="S57" s="634">
        <f t="shared" si="411"/>
        <v>-1.0110531435862813</v>
      </c>
      <c r="T57" s="635">
        <f t="shared" si="412"/>
        <v>-2.5640920971940679</v>
      </c>
      <c r="U57" s="629">
        <f t="shared" si="413"/>
        <v>-4.5213625739528149</v>
      </c>
      <c r="V57" s="636">
        <f t="shared" si="414"/>
        <v>-1.0110531435862813</v>
      </c>
      <c r="W57" s="585">
        <f t="shared" si="224"/>
        <v>240.4421652844465</v>
      </c>
      <c r="X57" s="629">
        <f t="shared" si="415"/>
        <v>5.1978156766120804</v>
      </c>
      <c r="Y57" s="630">
        <f t="shared" si="223"/>
        <v>-1.0110531435862813</v>
      </c>
      <c r="Z57" s="632">
        <f t="shared" si="243"/>
        <v>-0.71701823623161776</v>
      </c>
      <c r="AA57" s="629">
        <f t="shared" si="244"/>
        <v>-0.66518410332855915</v>
      </c>
      <c r="AB57" s="629">
        <f t="shared" si="245"/>
        <v>-0.20836256283286825</v>
      </c>
      <c r="AC57" s="636">
        <f t="shared" si="416"/>
        <v>1</v>
      </c>
      <c r="AD57" s="637">
        <f t="shared" si="417"/>
        <v>-0.71701823623161776</v>
      </c>
      <c r="AE57" s="629">
        <f t="shared" si="418"/>
        <v>-0.66518410332855915</v>
      </c>
      <c r="AF57" s="633">
        <f t="shared" si="419"/>
        <v>-0.20836256283286825</v>
      </c>
      <c r="AG57" s="602">
        <f t="shared" si="420"/>
        <v>-72.607333685791858</v>
      </c>
      <c r="AH57" s="603">
        <f t="shared" si="421"/>
        <v>135.80884604381154</v>
      </c>
      <c r="AI57" s="585">
        <f t="shared" si="422"/>
        <v>-77.973588515570853</v>
      </c>
      <c r="AJ57" s="586">
        <f t="shared" si="423"/>
        <v>-47.147649389532589</v>
      </c>
      <c r="AK57" s="635">
        <f t="shared" si="424"/>
        <v>0.93232226845763466</v>
      </c>
      <c r="AL57" s="629">
        <f t="shared" si="425"/>
        <v>-0.29556764056257828</v>
      </c>
      <c r="AM57" s="634">
        <f t="shared" si="426"/>
        <v>-0.20836256283286825</v>
      </c>
      <c r="AN57" s="581">
        <f t="shared" si="427"/>
        <v>-54.817798064546373</v>
      </c>
      <c r="AO57" s="582">
        <f t="shared" si="461"/>
        <v>21.200242848757615</v>
      </c>
      <c r="AP57" s="585">
        <f t="shared" si="428"/>
        <v>-17.589814673979092</v>
      </c>
      <c r="AQ57" s="586">
        <f t="shared" si="246"/>
        <v>0.4385846375954186</v>
      </c>
      <c r="AS57" s="52">
        <f t="shared" si="406"/>
        <v>-119.5578347155535</v>
      </c>
      <c r="AT57" s="72">
        <f t="shared" si="247"/>
        <v>-0.92802686947825808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3.2370000000000001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3.137</v>
      </c>
      <c r="II57" s="734" cm="1">
        <f t="array" ref="II57">IFERROR(IF($IH57&lt;1,$IH57+LARGE((IF($M$9:$M$150="",0,$M$9:$M$150)-MOD(IF($M$9:$M$150="",0,$M$9:$M$150),1)),1),$IH57),"")</f>
        <v>3.137</v>
      </c>
      <c r="IJ57" s="533">
        <f t="shared" si="112"/>
        <v>1613</v>
      </c>
      <c r="IK57" s="533">
        <f t="shared" si="382"/>
        <v>1313</v>
      </c>
      <c r="IL57" s="727">
        <f t="shared" si="225"/>
        <v>11.754798302817107</v>
      </c>
      <c r="IM57" s="759">
        <v>7.0400896442288597E-3</v>
      </c>
      <c r="IN57" s="5">
        <f t="shared" si="226"/>
        <v>0.24</v>
      </c>
      <c r="IO57" s="771">
        <v>120</v>
      </c>
      <c r="IP57" s="9">
        <f t="shared" si="227"/>
        <v>-5.1664155819093951</v>
      </c>
      <c r="IQ57" s="5">
        <f t="shared" si="228"/>
        <v>-1.0394532292409393</v>
      </c>
      <c r="IR57" s="5">
        <f t="shared" si="383"/>
        <v>0.314</v>
      </c>
      <c r="IS57" s="5">
        <f t="shared" si="229"/>
        <v>0.2972448940991872</v>
      </c>
      <c r="IT57" s="727">
        <f t="shared" si="230"/>
        <v>56.758342617277705</v>
      </c>
      <c r="IU57" s="9">
        <f t="shared" si="231"/>
        <v>-5.1978156766120804</v>
      </c>
      <c r="IV57" s="5">
        <f t="shared" si="232"/>
        <v>-1.0110531435862813</v>
      </c>
      <c r="IW57" s="5">
        <f t="shared" si="384"/>
        <v>0.26600000000000001</v>
      </c>
      <c r="IX57" s="5">
        <f t="shared" si="233"/>
        <v>0.24799772340973084</v>
      </c>
      <c r="IY57" s="762">
        <f t="shared" si="234"/>
        <v>54.817798064546373</v>
      </c>
    </row>
    <row r="58" spans="1:259" ht="15" customHeight="1" x14ac:dyDescent="0.25">
      <c r="A58" s="79"/>
      <c r="B58" s="707">
        <v>4.9054530890021777</v>
      </c>
      <c r="C58" s="708">
        <v>-2.7434906220840625</v>
      </c>
      <c r="D58" s="709">
        <v>-1.6487550668952817</v>
      </c>
      <c r="E58" s="710">
        <v>0.76967068530190619</v>
      </c>
      <c r="F58" s="708">
        <v>0.62176825499989086</v>
      </c>
      <c r="G58" s="711">
        <v>0.14495265868994911</v>
      </c>
      <c r="H58" s="710">
        <v>0.26600000000000001</v>
      </c>
      <c r="I58" s="708">
        <v>0.52</v>
      </c>
      <c r="J58" s="570">
        <v>3.2440000000000002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3.2440000000000002</v>
      </c>
      <c r="N58" s="632">
        <f t="shared" si="240"/>
        <v>4.9054530890021777</v>
      </c>
      <c r="O58" s="629">
        <f t="shared" si="241"/>
        <v>-2.7434906220840625</v>
      </c>
      <c r="P58" s="633">
        <f t="shared" si="242"/>
        <v>-1.6487550668952817</v>
      </c>
      <c r="Q58" s="585">
        <f t="shared" si="113"/>
        <v>330.78286523525549</v>
      </c>
      <c r="R58" s="629">
        <f t="shared" si="410"/>
        <v>5.6205169514791251</v>
      </c>
      <c r="S58" s="634">
        <f t="shared" si="411"/>
        <v>-1.6487550668952817</v>
      </c>
      <c r="T58" s="635">
        <f t="shared" si="412"/>
        <v>-2.7434906220840647</v>
      </c>
      <c r="U58" s="629">
        <f t="shared" si="413"/>
        <v>-4.9054530890021759</v>
      </c>
      <c r="V58" s="636">
        <f t="shared" si="414"/>
        <v>-1.6487550668952817</v>
      </c>
      <c r="W58" s="585">
        <f t="shared" si="224"/>
        <v>240.78286523525549</v>
      </c>
      <c r="X58" s="629">
        <f t="shared" si="415"/>
        <v>5.6205169514791251</v>
      </c>
      <c r="Y58" s="630">
        <f t="shared" si="223"/>
        <v>-1.6487550668952817</v>
      </c>
      <c r="Z58" s="632">
        <f t="shared" si="243"/>
        <v>-0.76967068530190619</v>
      </c>
      <c r="AA58" s="629">
        <f t="shared" si="244"/>
        <v>-0.62176825499989086</v>
      </c>
      <c r="AB58" s="629">
        <f t="shared" si="245"/>
        <v>-0.14495265868994911</v>
      </c>
      <c r="AC58" s="636">
        <f t="shared" si="416"/>
        <v>1</v>
      </c>
      <c r="AD58" s="637">
        <f t="shared" si="417"/>
        <v>-0.76967068530190619</v>
      </c>
      <c r="AE58" s="629">
        <f t="shared" si="418"/>
        <v>-0.62176825499989086</v>
      </c>
      <c r="AF58" s="633">
        <f t="shared" si="419"/>
        <v>-0.14495265868994911</v>
      </c>
      <c r="AG58" s="602">
        <f t="shared" si="420"/>
        <v>-76.877042057016851</v>
      </c>
      <c r="AH58" s="603">
        <f t="shared" si="421"/>
        <v>140.32432588573872</v>
      </c>
      <c r="AI58" s="585">
        <f t="shared" si="422"/>
        <v>-81.665462231120699</v>
      </c>
      <c r="AJ58" s="586">
        <f t="shared" si="423"/>
        <v>-51.067448677192637</v>
      </c>
      <c r="AK58" s="635">
        <f t="shared" si="424"/>
        <v>0.91835668478735544</v>
      </c>
      <c r="AL58" s="629">
        <f t="shared" si="425"/>
        <v>-0.36825225898165687</v>
      </c>
      <c r="AM58" s="634">
        <f t="shared" si="426"/>
        <v>-0.14495265868994911</v>
      </c>
      <c r="AN58" s="581">
        <f t="shared" si="427"/>
        <v>-68.514246643467473</v>
      </c>
      <c r="AO58" s="582">
        <f t="shared" si="461"/>
        <v>23.312989357179575</v>
      </c>
      <c r="AP58" s="585">
        <f t="shared" si="428"/>
        <v>-21.850313912448119</v>
      </c>
      <c r="AQ58" s="586">
        <f t="shared" si="246"/>
        <v>0.40560122315126618</v>
      </c>
      <c r="AS58" s="52">
        <f t="shared" si="406"/>
        <v>-119.21713476474451</v>
      </c>
      <c r="AT58" s="72">
        <f t="shared" si="247"/>
        <v>-1.5659653899753203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3.2440000000000002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3.1440000000000001</v>
      </c>
      <c r="II58" s="734" cm="1">
        <f t="array" ref="II58">IFERROR(IF($IH58&lt;1,$IH58+LARGE((IF($M$9:$M$150="",0,$M$9:$M$150)-MOD(IF($M$9:$M$150="",0,$M$9:$M$150),1)),1),$IH58),"")</f>
        <v>3.1440000000000001</v>
      </c>
      <c r="IJ58" s="533">
        <f t="shared" si="112"/>
        <v>1613</v>
      </c>
      <c r="IK58" s="533">
        <f t="shared" si="382"/>
        <v>1313</v>
      </c>
      <c r="IL58" s="727">
        <f t="shared" si="225"/>
        <v>10.957098417990778</v>
      </c>
      <c r="IM58" s="759">
        <v>4.8335589787685401E-3</v>
      </c>
      <c r="IN58" s="5">
        <f t="shared" si="226"/>
        <v>0.22</v>
      </c>
      <c r="IO58" s="771">
        <v>110</v>
      </c>
      <c r="IP58" s="9">
        <f t="shared" si="227"/>
        <v>-5.5814168335531704</v>
      </c>
      <c r="IQ58" s="5">
        <f t="shared" si="228"/>
        <v>-1.669655129929871</v>
      </c>
      <c r="IR58" s="5">
        <f t="shared" si="383"/>
        <v>0.314</v>
      </c>
      <c r="IS58" s="5">
        <f t="shared" si="229"/>
        <v>0.29329962517149988</v>
      </c>
      <c r="IT58" s="727">
        <f t="shared" si="230"/>
        <v>70.303803353068531</v>
      </c>
      <c r="IU58" s="9">
        <f t="shared" si="231"/>
        <v>-5.6205169514791251</v>
      </c>
      <c r="IV58" s="5">
        <f t="shared" si="232"/>
        <v>-1.6487550668952817</v>
      </c>
      <c r="IW58" s="5">
        <f t="shared" si="384"/>
        <v>0.26600000000000001</v>
      </c>
      <c r="IX58" s="5">
        <f t="shared" si="233"/>
        <v>0.24428287815343655</v>
      </c>
      <c r="IY58" s="762">
        <f t="shared" si="234"/>
        <v>68.514246643467473</v>
      </c>
    </row>
    <row r="59" spans="1:259" ht="15" customHeight="1" x14ac:dyDescent="0.25">
      <c r="A59" s="79"/>
      <c r="B59" s="707">
        <v>5.1014289942766036</v>
      </c>
      <c r="C59" s="708">
        <v>-2.8709934440327327</v>
      </c>
      <c r="D59" s="709">
        <v>-2.3778572658675139</v>
      </c>
      <c r="E59" s="710">
        <v>0.83791594485802168</v>
      </c>
      <c r="F59" s="708">
        <v>0.53938121817451667</v>
      </c>
      <c r="G59" s="711">
        <v>8.3455202553606445E-2</v>
      </c>
      <c r="H59" s="710">
        <v>0.26600000000000001</v>
      </c>
      <c r="I59" s="708">
        <v>0.52</v>
      </c>
      <c r="J59" s="570">
        <v>3.2509999999999999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3.2509999999999999</v>
      </c>
      <c r="N59" s="632">
        <f t="shared" si="240"/>
        <v>5.1014289942766036</v>
      </c>
      <c r="O59" s="629">
        <f t="shared" si="241"/>
        <v>-2.8709934440327327</v>
      </c>
      <c r="P59" s="633">
        <f t="shared" si="242"/>
        <v>-2.3778572658675139</v>
      </c>
      <c r="Q59" s="585">
        <f t="shared" si="113"/>
        <v>330.62996525733155</v>
      </c>
      <c r="R59" s="629">
        <f t="shared" si="79"/>
        <v>5.8538176551140477</v>
      </c>
      <c r="S59" s="634">
        <f t="shared" si="80"/>
        <v>-2.3778572658675139</v>
      </c>
      <c r="T59" s="635">
        <f t="shared" si="81"/>
        <v>-2.8709934440327332</v>
      </c>
      <c r="U59" s="629">
        <f t="shared" si="82"/>
        <v>-5.1014289942766036</v>
      </c>
      <c r="V59" s="636">
        <f t="shared" si="114"/>
        <v>-2.3778572658675139</v>
      </c>
      <c r="W59" s="585">
        <f t="shared" si="224"/>
        <v>240.62996525733155</v>
      </c>
      <c r="X59" s="629">
        <f t="shared" si="83"/>
        <v>5.8538176551140477</v>
      </c>
      <c r="Y59" s="630">
        <f t="shared" si="223"/>
        <v>-2.3778572658675139</v>
      </c>
      <c r="Z59" s="632">
        <f t="shared" si="243"/>
        <v>-0.83791594485802168</v>
      </c>
      <c r="AA59" s="629">
        <f t="shared" si="244"/>
        <v>-0.53938121817451667</v>
      </c>
      <c r="AB59" s="629">
        <f t="shared" si="245"/>
        <v>-8.3455202553606445E-2</v>
      </c>
      <c r="AC59" s="636">
        <f t="shared" si="84"/>
        <v>1</v>
      </c>
      <c r="AD59" s="637">
        <f t="shared" si="115"/>
        <v>-0.83791594485802168</v>
      </c>
      <c r="AE59" s="629">
        <f t="shared" si="85"/>
        <v>-0.53938121817451667</v>
      </c>
      <c r="AF59" s="633">
        <f t="shared" si="86"/>
        <v>-8.3455202553606445E-2</v>
      </c>
      <c r="AG59" s="602">
        <f t="shared" si="87"/>
        <v>-81.204712053363764</v>
      </c>
      <c r="AH59" s="603">
        <f t="shared" si="88"/>
        <v>146.92069847514014</v>
      </c>
      <c r="AI59" s="585">
        <f t="shared" si="89"/>
        <v>-85.212801152856571</v>
      </c>
      <c r="AJ59" s="586">
        <f t="shared" si="90"/>
        <v>-57.229904332552557</v>
      </c>
      <c r="AK59" s="635">
        <f t="shared" si="211"/>
        <v>0.88100902241054002</v>
      </c>
      <c r="AL59" s="629">
        <f t="shared" si="91"/>
        <v>-0.46568050377695797</v>
      </c>
      <c r="AM59" s="634">
        <f t="shared" si="92"/>
        <v>-8.3455202553606445E-2</v>
      </c>
      <c r="AN59" s="581">
        <f t="shared" si="93"/>
        <v>-79.839803995297714</v>
      </c>
      <c r="AO59" s="582">
        <f t="shared" si="461"/>
        <v>28.235678257163478</v>
      </c>
      <c r="AP59" s="585">
        <f t="shared" si="95"/>
        <v>-27.859869589884081</v>
      </c>
      <c r="AQ59" s="586">
        <f t="shared" si="246"/>
        <v>0.38943671625133502</v>
      </c>
      <c r="AS59" s="52">
        <f t="shared" si="406"/>
        <v>-119.37003474266845</v>
      </c>
      <c r="AT59" s="72">
        <f t="shared" si="247"/>
        <v>-2.2949614084073273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3.2509999999999999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3.1509999999999998</v>
      </c>
      <c r="II59" s="734" cm="1">
        <f t="array" ref="II59">IFERROR(IF($IH59&lt;1,$IH59+LARGE((IF($M$9:$M$150="",0,$M$9:$M$150)-MOD(IF($M$9:$M$150="",0,$M$9:$M$150),1)),1),$IH59),"")</f>
        <v>3.1509999999999998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10.849998433454004</v>
      </c>
      <c r="IM59" s="759">
        <v>2.75928388484404E-3</v>
      </c>
      <c r="IN59" s="5">
        <f t="shared" si="226"/>
        <v>0.16</v>
      </c>
      <c r="IO59" s="771">
        <v>80</v>
      </c>
      <c r="IP59" s="9">
        <f t="shared" si="227"/>
        <v>-5.809517521504846</v>
      </c>
      <c r="IQ59" s="5">
        <f t="shared" si="228"/>
        <v>-2.3888572990436137</v>
      </c>
      <c r="IR59" s="5">
        <f t="shared" si="383"/>
        <v>0.314</v>
      </c>
      <c r="IS59" s="5">
        <f t="shared" si="229"/>
        <v>0.2826550757953179</v>
      </c>
      <c r="IT59" s="727">
        <f t="shared" si="230"/>
        <v>81.09499939591565</v>
      </c>
      <c r="IU59" s="9">
        <f t="shared" si="231"/>
        <v>-5.8538176551140477</v>
      </c>
      <c r="IV59" s="5">
        <f t="shared" si="232"/>
        <v>-2.3778572658675139</v>
      </c>
      <c r="IW59" s="5">
        <f t="shared" si="384"/>
        <v>0.26600000000000001</v>
      </c>
      <c r="IX59" s="5">
        <f t="shared" si="233"/>
        <v>0.23434839996120366</v>
      </c>
      <c r="IY59" s="762">
        <f t="shared" si="234"/>
        <v>79.839803995297714</v>
      </c>
    </row>
    <row r="60" spans="1:259" ht="15" customHeight="1" x14ac:dyDescent="0.25">
      <c r="A60" s="79"/>
      <c r="B60" s="707">
        <v>4.865751297031375</v>
      </c>
      <c r="C60" s="708">
        <v>-3.3285486270054974</v>
      </c>
      <c r="D60" s="709">
        <v>-3.2156597926799355</v>
      </c>
      <c r="E60" s="710">
        <v>0.82535874046619517</v>
      </c>
      <c r="F60" s="708">
        <v>-0.56460866937729937</v>
      </c>
      <c r="G60" s="711">
        <v>2.267948963863144E-7</v>
      </c>
      <c r="H60" s="710">
        <v>0.25700000000000001</v>
      </c>
      <c r="I60" s="708">
        <v>0.41499999999999992</v>
      </c>
      <c r="J60" s="570">
        <v>3.258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3.258</v>
      </c>
      <c r="N60" s="632">
        <f t="shared" si="240"/>
        <v>4.865751297031375</v>
      </c>
      <c r="O60" s="629">
        <f t="shared" si="241"/>
        <v>-3.3285486270054974</v>
      </c>
      <c r="P60" s="633">
        <f t="shared" si="242"/>
        <v>-3.2156597926799355</v>
      </c>
      <c r="Q60" s="585">
        <f t="shared" si="113"/>
        <v>325.62486597997844</v>
      </c>
      <c r="R60" s="629">
        <f t="shared" si="79"/>
        <v>5.8953177731910849</v>
      </c>
      <c r="S60" s="634">
        <f t="shared" si="80"/>
        <v>-3.2156597926799355</v>
      </c>
      <c r="T60" s="635">
        <f t="shared" si="81"/>
        <v>-3.3285486270054974</v>
      </c>
      <c r="U60" s="629">
        <f t="shared" si="82"/>
        <v>-4.865751297031375</v>
      </c>
      <c r="V60" s="636">
        <f t="shared" si="114"/>
        <v>-3.2156597926799355</v>
      </c>
      <c r="W60" s="585">
        <f t="shared" si="224"/>
        <v>235.62486597997844</v>
      </c>
      <c r="X60" s="629">
        <f t="shared" si="83"/>
        <v>5.8953177731910849</v>
      </c>
      <c r="Y60" s="630">
        <f t="shared" si="223"/>
        <v>-3.2156597926799355</v>
      </c>
      <c r="Z60" s="632">
        <f t="shared" si="243"/>
        <v>-0.82535874046619517</v>
      </c>
      <c r="AA60" s="629">
        <f t="shared" si="244"/>
        <v>0.56460866937729937</v>
      </c>
      <c r="AB60" s="629">
        <f t="shared" si="245"/>
        <v>-2.267948963863144E-7</v>
      </c>
      <c r="AC60" s="636">
        <f t="shared" si="84"/>
        <v>1</v>
      </c>
      <c r="AD60" s="637">
        <f t="shared" si="115"/>
        <v>-0.82535874046619517</v>
      </c>
      <c r="AE60" s="629">
        <f t="shared" si="85"/>
        <v>0.56460866937729937</v>
      </c>
      <c r="AF60" s="633">
        <f t="shared" si="86"/>
        <v>-2.267948963863144E-7</v>
      </c>
      <c r="AG60" s="602">
        <f t="shared" si="87"/>
        <v>89.999976985138417</v>
      </c>
      <c r="AH60" s="603">
        <f t="shared" si="88"/>
        <v>145.62487897436668</v>
      </c>
      <c r="AI60" s="585">
        <f t="shared" si="89"/>
        <v>-89.999987005609626</v>
      </c>
      <c r="AJ60" s="586">
        <f t="shared" si="90"/>
        <v>-124.37512102563115</v>
      </c>
      <c r="AK60" s="635">
        <f t="shared" si="211"/>
        <v>2.2679489708465894E-7</v>
      </c>
      <c r="AL60" s="629">
        <f t="shared" si="91"/>
        <v>-0.99999999999994871</v>
      </c>
      <c r="AM60" s="634">
        <f t="shared" si="92"/>
        <v>-2.267948963863144E-7</v>
      </c>
      <c r="AN60" s="581">
        <f t="shared" si="93"/>
        <v>-89.999987005609626</v>
      </c>
      <c r="AO60" s="582">
        <f t="shared" si="461"/>
        <v>0</v>
      </c>
      <c r="AP60" s="585">
        <f t="shared" si="95"/>
        <v>-89.999987005609583</v>
      </c>
      <c r="AQ60" s="586">
        <f t="shared" si="246"/>
        <v>0.38669535814075257</v>
      </c>
      <c r="AS60" s="52">
        <f t="shared" si="406"/>
        <v>-124.37513402002156</v>
      </c>
      <c r="AT60" s="72">
        <f t="shared" si="247"/>
        <v>-3.1292881718326981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>Gage</v>
      </c>
      <c r="IG60" s="847">
        <f t="shared" si="210"/>
        <v>3.258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3.1579999999999999</v>
      </c>
      <c r="II60" s="734" cm="1">
        <f t="array" ref="II60">IFERROR(IF($IH60&lt;1,$IH60+LARGE((IF($M$9:$M$150="",0,$M$9:$M$150)-MOD(IF($M$9:$M$150="",0,$M$9:$M$150),1)),1),$IH60),"")</f>
        <v>3.1579999999999999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15.757097692587649</v>
      </c>
      <c r="IM60" s="759">
        <v>1.87055428966834E-4</v>
      </c>
      <c r="IN60" s="5">
        <f t="shared" si="226"/>
        <v>0</v>
      </c>
      <c r="IO60" s="771">
        <v>0</v>
      </c>
      <c r="IP60" s="9">
        <f t="shared" si="227"/>
        <v>-5.8943177749307543</v>
      </c>
      <c r="IQ60" s="5">
        <f t="shared" si="228"/>
        <v>-3.2025597531702168</v>
      </c>
      <c r="IR60" s="5">
        <f t="shared" si="383"/>
        <v>0.314</v>
      </c>
      <c r="IS60" s="5">
        <f t="shared" si="229"/>
        <v>0.25721375789321793</v>
      </c>
      <c r="IT60" s="727">
        <f t="shared" si="230"/>
        <v>89.999987005609597</v>
      </c>
      <c r="IU60" s="9">
        <f t="shared" si="231"/>
        <v>-5.8953177731910849</v>
      </c>
      <c r="IV60" s="5">
        <f t="shared" si="232"/>
        <v>-3.2156597926799355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89.999987005609626</v>
      </c>
    </row>
    <row r="61" spans="1:259" ht="15" customHeight="1" x14ac:dyDescent="0.25">
      <c r="A61" s="79"/>
      <c r="B61" s="707">
        <v>0.8387716150238127</v>
      </c>
      <c r="C61" s="708">
        <v>-2.9423920208829473</v>
      </c>
      <c r="D61" s="709">
        <v>-0.10295040474842071</v>
      </c>
      <c r="E61" s="710">
        <v>0.93165428320762678</v>
      </c>
      <c r="F61" s="708">
        <v>0.25448609488210688</v>
      </c>
      <c r="G61" s="711">
        <v>0.25933978501675875</v>
      </c>
      <c r="H61" s="710">
        <v>0.314</v>
      </c>
      <c r="I61" s="708">
        <v>0.52</v>
      </c>
      <c r="J61" s="570">
        <v>4.1150000000000002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4.1150000000000002</v>
      </c>
      <c r="N61" s="632">
        <f t="shared" si="240"/>
        <v>0.8387716150238127</v>
      </c>
      <c r="O61" s="629">
        <f t="shared" si="241"/>
        <v>-2.9423920208829473</v>
      </c>
      <c r="P61" s="633">
        <f t="shared" si="242"/>
        <v>-0.10295040474842071</v>
      </c>
      <c r="Q61" s="585">
        <f t="shared" si="113"/>
        <v>285.9109717139554</v>
      </c>
      <c r="R61" s="629">
        <f t="shared" si="79"/>
        <v>3.059609227781432</v>
      </c>
      <c r="S61" s="634">
        <f t="shared" si="80"/>
        <v>-0.10295040474842071</v>
      </c>
      <c r="T61" s="635">
        <f t="shared" si="81"/>
        <v>-2.9423920208829468</v>
      </c>
      <c r="U61" s="629">
        <f t="shared" si="82"/>
        <v>-0.83877161502381437</v>
      </c>
      <c r="V61" s="636">
        <f t="shared" si="114"/>
        <v>-0.10295040474842071</v>
      </c>
      <c r="W61" s="585">
        <f t="shared" si="224"/>
        <v>195.9109717139554</v>
      </c>
      <c r="X61" s="629">
        <f t="shared" si="83"/>
        <v>3.059609227781432</v>
      </c>
      <c r="Y61" s="630">
        <f t="shared" si="223"/>
        <v>-0.10295040474842071</v>
      </c>
      <c r="Z61" s="632">
        <f t="shared" si="243"/>
        <v>-0.93165428320762678</v>
      </c>
      <c r="AA61" s="629">
        <f t="shared" si="244"/>
        <v>-0.25448609488210688</v>
      </c>
      <c r="AB61" s="629">
        <f t="shared" si="245"/>
        <v>-0.25933978501675875</v>
      </c>
      <c r="AC61" s="636">
        <f t="shared" si="84"/>
        <v>1</v>
      </c>
      <c r="AD61" s="637">
        <f t="shared" si="115"/>
        <v>-0.93165428320762678</v>
      </c>
      <c r="AE61" s="629">
        <f t="shared" si="85"/>
        <v>-0.25448609488210688</v>
      </c>
      <c r="AF61" s="633">
        <f t="shared" si="86"/>
        <v>-0.25933978501675875</v>
      </c>
      <c r="AG61" s="602">
        <f t="shared" si="87"/>
        <v>-44.458790030675928</v>
      </c>
      <c r="AH61" s="603">
        <f t="shared" si="88"/>
        <v>158.69417350653762</v>
      </c>
      <c r="AI61" s="585">
        <f t="shared" si="89"/>
        <v>-74.969109060723042</v>
      </c>
      <c r="AJ61" s="586">
        <f t="shared" si="90"/>
        <v>-74.722069485732092</v>
      </c>
      <c r="AK61" s="635">
        <f t="shared" si="211"/>
        <v>0.96572719650196703</v>
      </c>
      <c r="AL61" s="629">
        <f t="shared" si="91"/>
        <v>-1.0670419106696361E-2</v>
      </c>
      <c r="AM61" s="634">
        <f t="shared" si="92"/>
        <v>-0.25933978501675875</v>
      </c>
      <c r="AN61" s="581">
        <f t="shared" si="93"/>
        <v>-2.3560802273322485</v>
      </c>
      <c r="AO61" s="582">
        <f t="shared" si="461"/>
        <v>15.043908662770589</v>
      </c>
      <c r="AP61" s="585">
        <f t="shared" si="95"/>
        <v>-0.63304119968750117</v>
      </c>
      <c r="AQ61" s="586">
        <f t="shared" si="246"/>
        <v>0.74506185641624045</v>
      </c>
      <c r="AS61" s="52">
        <f t="shared" si="406"/>
        <v>-164.0890282860446</v>
      </c>
      <c r="AT61" s="72">
        <f t="shared" si="247"/>
        <v>1.1000309339110267E-2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4.1150000000000002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1.0158568712113223</v>
      </c>
      <c r="C62" s="708">
        <v>-3.6705305556270158</v>
      </c>
      <c r="D62" s="709">
        <v>-0.19575068463406492</v>
      </c>
      <c r="E62" s="710">
        <v>0.95634293167886364</v>
      </c>
      <c r="F62" s="708">
        <v>0.16125670584190641</v>
      </c>
      <c r="G62" s="711">
        <v>0.24373032607554934</v>
      </c>
      <c r="H62" s="710">
        <v>0.314</v>
      </c>
      <c r="I62" s="708">
        <v>0.52</v>
      </c>
      <c r="J62" s="570">
        <v>4.1219999999999999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4.1219999999999999</v>
      </c>
      <c r="N62" s="632">
        <f t="shared" si="240"/>
        <v>1.0158568712113223</v>
      </c>
      <c r="O62" s="629">
        <f t="shared" si="241"/>
        <v>-3.6705305556270158</v>
      </c>
      <c r="P62" s="633">
        <f t="shared" si="242"/>
        <v>-0.19575068463406492</v>
      </c>
      <c r="Q62" s="585">
        <f t="shared" si="113"/>
        <v>285.4699717776279</v>
      </c>
      <c r="R62" s="629">
        <f t="shared" si="79"/>
        <v>3.8085114864706431</v>
      </c>
      <c r="S62" s="634">
        <f t="shared" si="80"/>
        <v>-0.19575068463406492</v>
      </c>
      <c r="T62" s="635">
        <f t="shared" si="81"/>
        <v>-3.6705305556270158</v>
      </c>
      <c r="U62" s="629">
        <f t="shared" si="82"/>
        <v>-1.0158568712113223</v>
      </c>
      <c r="V62" s="636">
        <f t="shared" si="114"/>
        <v>-0.19575068463406492</v>
      </c>
      <c r="W62" s="585">
        <f t="shared" si="224"/>
        <v>195.4699717776279</v>
      </c>
      <c r="X62" s="629">
        <f t="shared" si="83"/>
        <v>3.8085114864706431</v>
      </c>
      <c r="Y62" s="630">
        <f t="shared" si="223"/>
        <v>-0.19575068463406492</v>
      </c>
      <c r="Z62" s="632">
        <f t="shared" si="243"/>
        <v>-0.95634293167886364</v>
      </c>
      <c r="AA62" s="629">
        <f t="shared" si="244"/>
        <v>-0.16125670584190641</v>
      </c>
      <c r="AB62" s="629">
        <f t="shared" si="245"/>
        <v>-0.24373032607554934</v>
      </c>
      <c r="AC62" s="636">
        <f t="shared" si="84"/>
        <v>1</v>
      </c>
      <c r="AD62" s="637">
        <f t="shared" si="115"/>
        <v>-0.95634293167886364</v>
      </c>
      <c r="AE62" s="629">
        <f t="shared" si="85"/>
        <v>-0.16125670584190641</v>
      </c>
      <c r="AF62" s="633">
        <f t="shared" si="86"/>
        <v>-0.24373032607554934</v>
      </c>
      <c r="AG62" s="602">
        <f t="shared" si="87"/>
        <v>-33.489393413221485</v>
      </c>
      <c r="AH62" s="603">
        <f t="shared" si="88"/>
        <v>163.00748285367155</v>
      </c>
      <c r="AI62" s="585">
        <f t="shared" si="89"/>
        <v>-75.893187636430142</v>
      </c>
      <c r="AJ62" s="586">
        <f t="shared" si="90"/>
        <v>-80.428926601148291</v>
      </c>
      <c r="AK62" s="635">
        <f t="shared" si="211"/>
        <v>0.96470752368621304</v>
      </c>
      <c r="AL62" s="629">
        <f t="shared" si="91"/>
        <v>-9.9674078346988049E-2</v>
      </c>
      <c r="AM62" s="634">
        <f t="shared" si="92"/>
        <v>-0.24373032607554934</v>
      </c>
      <c r="AN62" s="581">
        <f t="shared" si="93"/>
        <v>-22.242220342750702</v>
      </c>
      <c r="AO62" s="582">
        <f t="shared" si="461"/>
        <v>15.267373110194157</v>
      </c>
      <c r="AP62" s="585">
        <f t="shared" si="95"/>
        <v>-5.8988983787761899</v>
      </c>
      <c r="AQ62" s="586">
        <f t="shared" si="246"/>
        <v>0.59856552989314471</v>
      </c>
      <c r="AS62" s="52">
        <f t="shared" si="406"/>
        <v>-164.5300282223721</v>
      </c>
      <c r="AT62" s="72">
        <f t="shared" si="247"/>
        <v>-8.1493720590750954E-2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4.1219999999999999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1.1558226334140893</v>
      </c>
      <c r="C63" s="708">
        <v>-4.353080703416401</v>
      </c>
      <c r="D63" s="709">
        <v>-0.48865156802312915</v>
      </c>
      <c r="E63" s="710">
        <v>0.97305174775539272</v>
      </c>
      <c r="F63" s="708">
        <v>7.0573599700861578E-2</v>
      </c>
      <c r="G63" s="711">
        <v>0.21952144135696225</v>
      </c>
      <c r="H63" s="710">
        <v>0.314</v>
      </c>
      <c r="I63" s="708">
        <v>0.52</v>
      </c>
      <c r="J63" s="570">
        <v>4.1289999999999996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4.1289999999999996</v>
      </c>
      <c r="N63" s="632">
        <f t="shared" si="240"/>
        <v>1.1558226334140893</v>
      </c>
      <c r="O63" s="629">
        <f t="shared" si="241"/>
        <v>-4.353080703416401</v>
      </c>
      <c r="P63" s="633">
        <f t="shared" si="242"/>
        <v>-0.48865156802312915</v>
      </c>
      <c r="Q63" s="585">
        <f t="shared" si="113"/>
        <v>284.86997186425714</v>
      </c>
      <c r="R63" s="629">
        <f t="shared" si="79"/>
        <v>4.503913583803369</v>
      </c>
      <c r="S63" s="634">
        <f t="shared" si="80"/>
        <v>-0.48865156802312915</v>
      </c>
      <c r="T63" s="635">
        <f t="shared" si="81"/>
        <v>-4.353080703416401</v>
      </c>
      <c r="U63" s="629">
        <f t="shared" si="82"/>
        <v>-1.1558226334140871</v>
      </c>
      <c r="V63" s="636">
        <f t="shared" si="114"/>
        <v>-0.48865156802312915</v>
      </c>
      <c r="W63" s="585">
        <f t="shared" si="224"/>
        <v>194.86997186425714</v>
      </c>
      <c r="X63" s="629">
        <f t="shared" si="83"/>
        <v>4.503913583803369</v>
      </c>
      <c r="Y63" s="630">
        <f t="shared" si="223"/>
        <v>-0.48865156802312915</v>
      </c>
      <c r="Z63" s="632">
        <f t="shared" si="243"/>
        <v>-0.97305174775539272</v>
      </c>
      <c r="AA63" s="629">
        <f t="shared" si="244"/>
        <v>-7.0573599700861578E-2</v>
      </c>
      <c r="AB63" s="629">
        <f t="shared" si="245"/>
        <v>-0.21952144135696225</v>
      </c>
      <c r="AC63" s="636">
        <f t="shared" si="84"/>
        <v>1</v>
      </c>
      <c r="AD63" s="637">
        <f t="shared" si="115"/>
        <v>-0.97305174775539272</v>
      </c>
      <c r="AE63" s="629">
        <f t="shared" si="85"/>
        <v>-7.0573599700861578E-2</v>
      </c>
      <c r="AF63" s="633">
        <f t="shared" si="86"/>
        <v>-0.21952144135696225</v>
      </c>
      <c r="AG63" s="602">
        <f t="shared" si="87"/>
        <v>-17.821996439902186</v>
      </c>
      <c r="AH63" s="603">
        <f t="shared" si="88"/>
        <v>166.66837538656719</v>
      </c>
      <c r="AI63" s="585">
        <f t="shared" si="89"/>
        <v>-77.319073493102621</v>
      </c>
      <c r="AJ63" s="586">
        <f t="shared" si="90"/>
        <v>-85.851709277642286</v>
      </c>
      <c r="AK63" s="635">
        <f t="shared" si="211"/>
        <v>0.95857597400648764</v>
      </c>
      <c r="AL63" s="629">
        <f t="shared" si="91"/>
        <v>-0.18150052022535712</v>
      </c>
      <c r="AM63" s="634">
        <f t="shared" si="92"/>
        <v>-0.21952144135696225</v>
      </c>
      <c r="AN63" s="581">
        <f t="shared" si="93"/>
        <v>-39.583972423296316</v>
      </c>
      <c r="AO63" s="582">
        <f t="shared" si="461"/>
        <v>16.549104019652145</v>
      </c>
      <c r="AP63" s="585">
        <f t="shared" si="95"/>
        <v>-10.721681141899417</v>
      </c>
      <c r="AQ63" s="586">
        <f t="shared" si="246"/>
        <v>0.50615254620086159</v>
      </c>
      <c r="AS63" s="52">
        <f t="shared" si="406"/>
        <v>-165.13002813574286</v>
      </c>
      <c r="AT63" s="72">
        <f t="shared" si="247"/>
        <v>-0.3739779373733077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4.1289999999999996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1.2559371255450715</v>
      </c>
      <c r="C64" s="708">
        <v>-4.9362456057249435</v>
      </c>
      <c r="D64" s="709">
        <v>-0.9595529882618129</v>
      </c>
      <c r="E64" s="710">
        <v>0.98474965384212654</v>
      </c>
      <c r="F64" s="708">
        <v>-9.2031940964640152E-3</v>
      </c>
      <c r="G64" s="711">
        <v>0.17373376320172973</v>
      </c>
      <c r="H64" s="710">
        <v>0.314</v>
      </c>
      <c r="I64" s="708">
        <v>0.52</v>
      </c>
      <c r="J64" s="570">
        <v>4.1360000000000001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4.1360000000000001</v>
      </c>
      <c r="N64" s="632">
        <f t="shared" si="240"/>
        <v>1.2559371255450715</v>
      </c>
      <c r="O64" s="629">
        <f t="shared" si="241"/>
        <v>-4.9362456057249435</v>
      </c>
      <c r="P64" s="633">
        <f t="shared" si="242"/>
        <v>-0.9595529882618129</v>
      </c>
      <c r="Q64" s="585">
        <f t="shared" si="113"/>
        <v>284.27497195016451</v>
      </c>
      <c r="R64" s="629">
        <f t="shared" si="79"/>
        <v>5.0935153620423321</v>
      </c>
      <c r="S64" s="634">
        <f t="shared" si="80"/>
        <v>-0.9595529882618129</v>
      </c>
      <c r="T64" s="635">
        <f t="shared" si="81"/>
        <v>-4.9362456057249435</v>
      </c>
      <c r="U64" s="629">
        <f t="shared" si="82"/>
        <v>-1.2559371255450709</v>
      </c>
      <c r="V64" s="636">
        <f t="shared" si="114"/>
        <v>-0.9595529882618129</v>
      </c>
      <c r="W64" s="585">
        <f t="shared" si="224"/>
        <v>194.27497195016451</v>
      </c>
      <c r="X64" s="629">
        <f t="shared" si="83"/>
        <v>5.0935153620423321</v>
      </c>
      <c r="Y64" s="630">
        <f t="shared" si="223"/>
        <v>-0.9595529882618129</v>
      </c>
      <c r="Z64" s="632">
        <f t="shared" si="243"/>
        <v>-0.98474965384212654</v>
      </c>
      <c r="AA64" s="629">
        <f t="shared" si="244"/>
        <v>9.2031940964640152E-3</v>
      </c>
      <c r="AB64" s="629">
        <f t="shared" si="245"/>
        <v>-0.17373376320172973</v>
      </c>
      <c r="AC64" s="636">
        <f t="shared" si="84"/>
        <v>1</v>
      </c>
      <c r="AD64" s="637">
        <f t="shared" si="115"/>
        <v>-0.98474965384212654</v>
      </c>
      <c r="AE64" s="629">
        <f t="shared" si="85"/>
        <v>9.2031940964640152E-3</v>
      </c>
      <c r="AF64" s="633">
        <f t="shared" si="86"/>
        <v>-0.17373376320172973</v>
      </c>
      <c r="AG64" s="602">
        <f t="shared" si="87"/>
        <v>3.0322936069814919</v>
      </c>
      <c r="AH64" s="603">
        <f t="shared" si="88"/>
        <v>169.98084814309104</v>
      </c>
      <c r="AI64" s="585">
        <f t="shared" si="89"/>
        <v>-79.995020624589102</v>
      </c>
      <c r="AJ64" s="586">
        <f t="shared" si="90"/>
        <v>-90.535454698051524</v>
      </c>
      <c r="AK64" s="635">
        <f t="shared" si="211"/>
        <v>0.95207478012465574</v>
      </c>
      <c r="AL64" s="629">
        <f t="shared" si="91"/>
        <v>-0.25173436907651991</v>
      </c>
      <c r="AM64" s="634">
        <f t="shared" si="92"/>
        <v>-0.17373376320172973</v>
      </c>
      <c r="AN64" s="581">
        <f t="shared" si="93"/>
        <v>-55.388612220196727</v>
      </c>
      <c r="AO64" s="582">
        <f t="shared" si="461"/>
        <v>17.81023307320444</v>
      </c>
      <c r="AP64" s="585">
        <f t="shared" si="95"/>
        <v>-14.810426648216039</v>
      </c>
      <c r="AQ64" s="586">
        <f t="shared" si="246"/>
        <v>0.44756520803462335</v>
      </c>
      <c r="AS64" s="52">
        <f t="shared" si="406"/>
        <v>-165.72502804983549</v>
      </c>
      <c r="AT64" s="72">
        <f t="shared" si="247"/>
        <v>-0.84446616322720491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4.1360000000000001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1.3192204358847015</v>
      </c>
      <c r="C65" s="708">
        <v>-5.3733438853184774</v>
      </c>
      <c r="D65" s="709">
        <v>-1.5729548382817926</v>
      </c>
      <c r="E65" s="710">
        <v>0.98885714390629886</v>
      </c>
      <c r="F65" s="708">
        <v>-8.5213760839120495E-2</v>
      </c>
      <c r="G65" s="711">
        <v>0.12206622755345081</v>
      </c>
      <c r="H65" s="710">
        <v>0.314</v>
      </c>
      <c r="I65" s="708">
        <v>0.52</v>
      </c>
      <c r="J65" s="570">
        <v>4.1429999999999998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4.1429999999999998</v>
      </c>
      <c r="N65" s="632">
        <f t="shared" si="240"/>
        <v>1.3192204358847015</v>
      </c>
      <c r="O65" s="629">
        <f t="shared" si="241"/>
        <v>-5.3733438853184774</v>
      </c>
      <c r="P65" s="633">
        <f t="shared" si="242"/>
        <v>-1.5729548382817926</v>
      </c>
      <c r="Q65" s="585">
        <f t="shared" si="113"/>
        <v>283.79397201961234</v>
      </c>
      <c r="R65" s="629">
        <f t="shared" si="79"/>
        <v>5.532916687276729</v>
      </c>
      <c r="S65" s="634">
        <f t="shared" si="80"/>
        <v>-1.5729548382817926</v>
      </c>
      <c r="T65" s="635">
        <f t="shared" si="81"/>
        <v>-5.3733438853184774</v>
      </c>
      <c r="U65" s="629">
        <f t="shared" si="82"/>
        <v>-1.3192204358847042</v>
      </c>
      <c r="V65" s="636">
        <f t="shared" si="114"/>
        <v>-1.5729548382817926</v>
      </c>
      <c r="W65" s="585">
        <f t="shared" si="224"/>
        <v>193.79397201961234</v>
      </c>
      <c r="X65" s="629">
        <f t="shared" si="83"/>
        <v>5.532916687276729</v>
      </c>
      <c r="Y65" s="630">
        <f t="shared" si="223"/>
        <v>-1.5729548382817926</v>
      </c>
      <c r="Z65" s="632">
        <f t="shared" si="243"/>
        <v>-0.98885714390629886</v>
      </c>
      <c r="AA65" s="629">
        <f t="shared" si="244"/>
        <v>8.5213760839120495E-2</v>
      </c>
      <c r="AB65" s="629">
        <f t="shared" si="245"/>
        <v>-0.12206622755345081</v>
      </c>
      <c r="AC65" s="636">
        <f t="shared" si="84"/>
        <v>1</v>
      </c>
      <c r="AD65" s="637">
        <f t="shared" si="115"/>
        <v>-0.98885714390629886</v>
      </c>
      <c r="AE65" s="629">
        <f t="shared" si="85"/>
        <v>8.5213760839120495E-2</v>
      </c>
      <c r="AF65" s="633">
        <f t="shared" si="86"/>
        <v>-0.12206622755345081</v>
      </c>
      <c r="AG65" s="602">
        <f t="shared" si="87"/>
        <v>34.918680963778201</v>
      </c>
      <c r="AH65" s="603">
        <f t="shared" si="88"/>
        <v>171.43869457286735</v>
      </c>
      <c r="AI65" s="585">
        <f t="shared" si="89"/>
        <v>-82.988634515196779</v>
      </c>
      <c r="AJ65" s="586">
        <f t="shared" si="90"/>
        <v>-94.925238168560668</v>
      </c>
      <c r="AK65" s="635">
        <f t="shared" si="211"/>
        <v>0.94002025458018856</v>
      </c>
      <c r="AL65" s="629">
        <f t="shared" si="91"/>
        <v>-0.31853062187153508</v>
      </c>
      <c r="AM65" s="634">
        <f t="shared" si="92"/>
        <v>-0.12206622755345081</v>
      </c>
      <c r="AN65" s="581">
        <f t="shared" si="93"/>
        <v>-69.03233735191705</v>
      </c>
      <c r="AO65" s="582">
        <f t="shared" si="461"/>
        <v>19.945041819080924</v>
      </c>
      <c r="AP65" s="585">
        <f t="shared" si="95"/>
        <v>-18.719210188173022</v>
      </c>
      <c r="AQ65" s="586">
        <f t="shared" si="246"/>
        <v>0.41202271130066304</v>
      </c>
      <c r="AS65" s="52">
        <f t="shared" si="406"/>
        <v>-166.20602798038766</v>
      </c>
      <c r="AT65" s="72">
        <f t="shared" si="247"/>
        <v>-1.4575339855176346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4.1429999999999998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1.3517346274785424</v>
      </c>
      <c r="C66" s="708">
        <v>-5.6290935737737184</v>
      </c>
      <c r="D66" s="709">
        <v>-2.282656978743447</v>
      </c>
      <c r="E66" s="710">
        <v>0.97888315803710846</v>
      </c>
      <c r="F66" s="708">
        <v>-0.19012806851106162</v>
      </c>
      <c r="G66" s="711">
        <v>7.5093811166770608E-2</v>
      </c>
      <c r="H66" s="710">
        <v>0.314</v>
      </c>
      <c r="I66" s="708">
        <v>0.52</v>
      </c>
      <c r="J66" s="570">
        <v>4.1500000000000004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4.1500000000000004</v>
      </c>
      <c r="N66" s="632">
        <f t="shared" si="240"/>
        <v>1.3517346274785424</v>
      </c>
      <c r="O66" s="629">
        <f t="shared" si="241"/>
        <v>-5.6290935737737184</v>
      </c>
      <c r="P66" s="633">
        <f t="shared" si="242"/>
        <v>-2.282656978743447</v>
      </c>
      <c r="Q66" s="585">
        <f t="shared" si="113"/>
        <v>283.50297206162753</v>
      </c>
      <c r="R66" s="629">
        <f t="shared" si="79"/>
        <v>5.7891174599782582</v>
      </c>
      <c r="S66" s="634">
        <f t="shared" si="80"/>
        <v>-2.282656978743447</v>
      </c>
      <c r="T66" s="635">
        <f t="shared" si="81"/>
        <v>-5.6290935737737176</v>
      </c>
      <c r="U66" s="629">
        <f t="shared" si="82"/>
        <v>-1.3517346274785442</v>
      </c>
      <c r="V66" s="636">
        <f t="shared" si="114"/>
        <v>-2.282656978743447</v>
      </c>
      <c r="W66" s="585">
        <f t="shared" si="224"/>
        <v>193.50297206162753</v>
      </c>
      <c r="X66" s="629">
        <f t="shared" si="83"/>
        <v>5.7891174599782582</v>
      </c>
      <c r="Y66" s="630">
        <f t="shared" si="223"/>
        <v>-2.282656978743447</v>
      </c>
      <c r="Z66" s="632">
        <f t="shared" si="243"/>
        <v>-0.97888315803710846</v>
      </c>
      <c r="AA66" s="629">
        <f t="shared" si="244"/>
        <v>0.19012806851106162</v>
      </c>
      <c r="AB66" s="629">
        <f t="shared" si="245"/>
        <v>-7.5093811166770608E-2</v>
      </c>
      <c r="AC66" s="636">
        <f t="shared" si="84"/>
        <v>1</v>
      </c>
      <c r="AD66" s="637">
        <f t="shared" si="115"/>
        <v>-0.97888315803710846</v>
      </c>
      <c r="AE66" s="629">
        <f t="shared" si="85"/>
        <v>0.19012806851106162</v>
      </c>
      <c r="AF66" s="633">
        <f t="shared" si="86"/>
        <v>-7.5093811166770608E-2</v>
      </c>
      <c r="AG66" s="602">
        <f t="shared" si="87"/>
        <v>68.447746447292971</v>
      </c>
      <c r="AH66" s="603">
        <f t="shared" si="88"/>
        <v>168.2044190571589</v>
      </c>
      <c r="AI66" s="585">
        <f t="shared" si="89"/>
        <v>-85.693387511106806</v>
      </c>
      <c r="AJ66" s="586">
        <f t="shared" si="90"/>
        <v>-100.99167826452852</v>
      </c>
      <c r="AK66" s="635">
        <f t="shared" si="211"/>
        <v>0.90743057760305379</v>
      </c>
      <c r="AL66" s="629">
        <f t="shared" si="91"/>
        <v>-0.41343762087579528</v>
      </c>
      <c r="AM66" s="634">
        <f t="shared" si="92"/>
        <v>-7.5093811166770608E-2</v>
      </c>
      <c r="AN66" s="581">
        <f t="shared" si="93"/>
        <v>-79.705438460838451</v>
      </c>
      <c r="AO66" s="582">
        <f t="shared" si="461"/>
        <v>24.847343204163224</v>
      </c>
      <c r="AP66" s="585">
        <f t="shared" si="95"/>
        <v>-24.494650326156052</v>
      </c>
      <c r="AQ66" s="586">
        <f t="shared" si="246"/>
        <v>0.39378899319616828</v>
      </c>
      <c r="AS66" s="52">
        <f t="shared" si="406"/>
        <v>-166.49702793837247</v>
      </c>
      <c r="AT66" s="72">
        <f t="shared" si="247"/>
        <v>-2.1670340426751329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4.1500000000000004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1.3641915797173871</v>
      </c>
      <c r="C67" s="708">
        <v>-5.7342796727830443</v>
      </c>
      <c r="D67" s="709">
        <v>-3.0994594422196791</v>
      </c>
      <c r="E67" s="710">
        <v>0.929660643228304</v>
      </c>
      <c r="F67" s="708">
        <v>-0.36841700345168565</v>
      </c>
      <c r="G67" s="711">
        <v>1.3008419249321492E-7</v>
      </c>
      <c r="H67" s="710">
        <v>0.314</v>
      </c>
      <c r="I67" s="708">
        <v>0.52</v>
      </c>
      <c r="J67" s="570">
        <v>4.157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4.157</v>
      </c>
      <c r="N67" s="632">
        <f t="shared" si="240"/>
        <v>1.3641915797173871</v>
      </c>
      <c r="O67" s="629">
        <f t="shared" si="241"/>
        <v>-5.7342796727830443</v>
      </c>
      <c r="P67" s="633">
        <f t="shared" si="242"/>
        <v>-3.0994594422196791</v>
      </c>
      <c r="Q67" s="585">
        <f t="shared" si="113"/>
        <v>283.38197204672883</v>
      </c>
      <c r="R67" s="629">
        <f>IF(M67="","",SQRT(N67^2+O67^2))</f>
        <v>5.8943177749307543</v>
      </c>
      <c r="S67" s="634">
        <f>IF(M67="","",P67)</f>
        <v>-3.0994594422196791</v>
      </c>
      <c r="T67" s="635">
        <f>IF(M67="","",X67*COS(RADIANS(W67)))</f>
        <v>-5.7342796727830443</v>
      </c>
      <c r="U67" s="629">
        <f>IF(M67="","",X67*SIN(RADIANS(W67)))</f>
        <v>-1.3641915797173867</v>
      </c>
      <c r="V67" s="636">
        <f>IF(M67="","",Y67)</f>
        <v>-3.0994594422196791</v>
      </c>
      <c r="W67" s="585">
        <f t="shared" si="224"/>
        <v>193.38197204672883</v>
      </c>
      <c r="X67" s="629">
        <f>IF(M67="","",R67)</f>
        <v>5.8943177749307543</v>
      </c>
      <c r="Y67" s="630">
        <f t="shared" si="223"/>
        <v>-3.0994594422196791</v>
      </c>
      <c r="Z67" s="632">
        <f t="shared" si="243"/>
        <v>-0.929660643228304</v>
      </c>
      <c r="AA67" s="629">
        <f t="shared" si="244"/>
        <v>0.36841700345168565</v>
      </c>
      <c r="AB67" s="629">
        <f t="shared" si="245"/>
        <v>-1.3008419249321492E-7</v>
      </c>
      <c r="AC67" s="636">
        <f>IF(M67="","",SQRT(Z67^2+AA67^2+AB67^2))</f>
        <v>1</v>
      </c>
      <c r="AD67" s="637">
        <f>IF(M67="","",Z67*(1/SQRT(Z67^2+AA67^2+AB67^2)))</f>
        <v>-0.929660643228304</v>
      </c>
      <c r="AE67" s="629">
        <f>IF(M67="","",AA67*(1/SQRT(Z67^2+AA67^2+AB67^2)))</f>
        <v>0.36841700345168565</v>
      </c>
      <c r="AF67" s="633">
        <f>IF(M67="","",AB67*(1/SQRT(Z67^2+AA67^2+AB67^2)))</f>
        <v>-1.3008419249321492E-7</v>
      </c>
      <c r="AG67" s="602">
        <f>IF(M67="","",DEGREES(ATAN2(-AF67,AE67)))</f>
        <v>89.999979769459216</v>
      </c>
      <c r="AH67" s="603">
        <f>IF(M67="","",DEGREES(ACOS(AD67)))</f>
        <v>158.38197713247129</v>
      </c>
      <c r="AI67" s="585">
        <f>IF(M67="","",DEGREES(-ACOS(-AF67)))</f>
        <v>-89.999992546724783</v>
      </c>
      <c r="AJ67" s="586">
        <f>IF(M67="","",DEGREES(ATAN2(-AE67,AD67)))</f>
        <v>-111.61802286752751</v>
      </c>
      <c r="AK67" s="635">
        <f>IF(M67="","",(COS(RADIANS((90-$Q$8)-W67))*AD67)+(-SIN(RADIANS((90-$Q$8)-W67))*AE67))</f>
        <v>0.8191520952013307</v>
      </c>
      <c r="AL67" s="629">
        <f>IF(M67="","",(SIN(RADIANS((90-$Q$8)-W67))*AD67)+(COS(RADIANS((90-$Q$8)-W67))*AE67))</f>
        <v>-0.57357636364066944</v>
      </c>
      <c r="AM67" s="634">
        <f>IF(M67="","",AF67)</f>
        <v>-1.3008419249321492E-7</v>
      </c>
      <c r="AN67" s="581">
        <f>IF(M67="","",DEGREES(ATAN2(-AM67,AL67)))</f>
        <v>-89.999987005609569</v>
      </c>
      <c r="AO67" s="582">
        <f t="shared" si="461"/>
        <v>34.99999491425703</v>
      </c>
      <c r="AP67" s="585">
        <f>IF(M67="","",DEGREES(ATAN2(AK67,AL67)))</f>
        <v>-34.999994914256355</v>
      </c>
      <c r="AQ67" s="586">
        <f t="shared" si="246"/>
        <v>0.38676096080327571</v>
      </c>
      <c r="AS67" s="52">
        <f t="shared" si="406"/>
        <v>-166.61802795327117</v>
      </c>
      <c r="AT67" s="72">
        <f t="shared" si="247"/>
        <v>-2.9837524783632405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4.157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3.5491494628782427E-2</v>
      </c>
      <c r="C68" s="708">
        <v>-3.8174465320414801</v>
      </c>
      <c r="D68" s="709">
        <v>-0.18725065899798751</v>
      </c>
      <c r="E68" s="710">
        <v>1.8139383437217444E-3</v>
      </c>
      <c r="F68" s="708">
        <v>-0.19508186108211301</v>
      </c>
      <c r="G68" s="711">
        <v>0.98078528593389103</v>
      </c>
      <c r="H68" s="710">
        <v>0.25700000000000001</v>
      </c>
      <c r="I68" s="708">
        <v>0.41499999999999992</v>
      </c>
      <c r="J68" s="570">
        <v>4.2220000000000004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CPS-32193r1</v>
      </c>
      <c r="L68" s="320"/>
      <c r="M68" s="168">
        <f t="shared" si="239"/>
        <v>4.2220000000000004</v>
      </c>
      <c r="N68" s="632">
        <f t="shared" si="240"/>
        <v>3.5491494628782427E-2</v>
      </c>
      <c r="O68" s="629">
        <f t="shared" si="241"/>
        <v>-3.8174465320414801</v>
      </c>
      <c r="P68" s="633">
        <f t="shared" si="242"/>
        <v>-0.18725065899798751</v>
      </c>
      <c r="Q68" s="585">
        <f t="shared" si="113"/>
        <v>270.53267393430684</v>
      </c>
      <c r="R68" s="629">
        <f>IF(M68="","",SQRT(N68^2+O68^2))</f>
        <v>3.8176115139163267</v>
      </c>
      <c r="S68" s="634">
        <f>IF(M68="","",P68)</f>
        <v>-0.18725065899798751</v>
      </c>
      <c r="T68" s="635">
        <f>IF(M68="","",X68*COS(RADIANS(W68)))</f>
        <v>-3.8174465320414801</v>
      </c>
      <c r="U68" s="629">
        <f>IF(M68="","",X68*SIN(RADIANS(W68)))</f>
        <v>-3.5491494628780859E-2</v>
      </c>
      <c r="V68" s="636">
        <f>IF(M68="","",Y68)</f>
        <v>-0.18725065899798751</v>
      </c>
      <c r="W68" s="585">
        <f t="shared" si="224"/>
        <v>180.53267393430684</v>
      </c>
      <c r="X68" s="629">
        <f>IF(M68="","",R68)</f>
        <v>3.8176115139163267</v>
      </c>
      <c r="Y68" s="630">
        <f t="shared" si="223"/>
        <v>-0.18725065899798751</v>
      </c>
      <c r="Z68" s="632">
        <f t="shared" si="243"/>
        <v>-1.8139383437217444E-3</v>
      </c>
      <c r="AA68" s="629">
        <f t="shared" si="244"/>
        <v>0.19508186108211301</v>
      </c>
      <c r="AB68" s="629">
        <f t="shared" si="245"/>
        <v>-0.98078528593389103</v>
      </c>
      <c r="AC68" s="636">
        <f>IF(M68="","",SQRT(Z68^2+AA68^2+AB68^2))</f>
        <v>1</v>
      </c>
      <c r="AD68" s="637">
        <f>IF(M68="","",Z68*(1/SQRT(Z68^2+AA68^2+AB68^2)))</f>
        <v>-1.8139383437217444E-3</v>
      </c>
      <c r="AE68" s="629">
        <f>IF(M68="","",AA68*(1/SQRT(Z68^2+AA68^2+AB68^2)))</f>
        <v>0.19508186108211301</v>
      </c>
      <c r="AF68" s="633">
        <f>IF(M68="","",AB68*(1/SQRT(Z68^2+AA68^2+AB68^2)))</f>
        <v>-0.98078528593389103</v>
      </c>
      <c r="AG68" s="602">
        <f>IF(M68="","",DEGREES(ATAN2(-AF68,AE68)))</f>
        <v>11.249524476418205</v>
      </c>
      <c r="AH68" s="603">
        <f>IF(M68="","",DEGREES(ACOS(AD68)))</f>
        <v>90.103931068387581</v>
      </c>
      <c r="AI68" s="585">
        <f>IF(M68="","",DEGREES(-ACOS(-AF68)))</f>
        <v>-11.249998375708598</v>
      </c>
      <c r="AJ68" s="586">
        <f>IF(M68="","",DEGREES(ATAN2(-AE68,AD68)))</f>
        <v>-179.46725945863588</v>
      </c>
      <c r="AK68" s="635">
        <f>IF(M68="","",(COS(RADIANS((90-$Q$8)-W68))*AD68)+(-SIN(RADIANS((90-$Q$8)-W68))*AE68))</f>
        <v>2.2679489678173285E-7</v>
      </c>
      <c r="AL68" s="629">
        <f>IF(M68="","",(SIN(RADIANS((90-$Q$8)-W68))*AD68)+(COS(RADIANS((90-$Q$8)-W68))*AE68))</f>
        <v>-0.19509029421148613</v>
      </c>
      <c r="AM68" s="634">
        <f>IF(M68="","",AF68)</f>
        <v>-0.98078528593389103</v>
      </c>
      <c r="AN68" s="581">
        <f>IF(M68="","",DEGREES(ATAN2(-AM68,AL68)))</f>
        <v>-11.249998375701201</v>
      </c>
      <c r="AO68" s="582">
        <f t="shared" si="461"/>
        <v>0</v>
      </c>
      <c r="AP68" s="585">
        <f>IF(M68="","",DEGREES(ATAN2(AK68,AL68)))</f>
        <v>-89.999933392942722</v>
      </c>
      <c r="AQ68" s="586">
        <f t="shared" si="246"/>
        <v>0.59713883473599783</v>
      </c>
      <c r="AS68" s="52">
        <f t="shared" si="406"/>
        <v>-179.46732606569316</v>
      </c>
      <c r="AT68" s="72">
        <f t="shared" si="247"/>
        <v>-6.2620571452367255E-2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4.2220000000000004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4.1219999999999999</v>
      </c>
      <c r="II68" s="734" cm="1">
        <f t="array" ref="II68">IFERROR(IF($IH68&lt;1,$IH68+LARGE((IF($M$9:$M$150="",0,$M$9:$M$150)-MOD(IF($M$9:$M$150="",0,$M$9:$M$150),1)),1),$IH68),"")</f>
        <v>4.1219999999999999</v>
      </c>
      <c r="IJ68" s="533">
        <f t="shared" si="112"/>
        <v>1613</v>
      </c>
      <c r="IK68" s="533" t="str">
        <f t="shared" si="382"/>
        <v>CPS-32193r1</v>
      </c>
      <c r="IL68" s="727">
        <f t="shared" si="225"/>
        <v>14.937297843321062</v>
      </c>
      <c r="IM68" s="759">
        <v>3.4214278805652101E-2</v>
      </c>
      <c r="IN68" s="5">
        <f t="shared" si="226"/>
        <v>0.86</v>
      </c>
      <c r="IO68" s="771">
        <v>430</v>
      </c>
      <c r="IP68" s="9">
        <f t="shared" si="227"/>
        <v>-3.8085114864706431</v>
      </c>
      <c r="IQ68" s="5">
        <f t="shared" si="228"/>
        <v>-0.19575068463406492</v>
      </c>
      <c r="IR68" s="5">
        <f t="shared" si="383"/>
        <v>0.314</v>
      </c>
      <c r="IS68" s="5">
        <f t="shared" si="229"/>
        <v>0.30291816243747088</v>
      </c>
      <c r="IT68" s="727">
        <f t="shared" si="230"/>
        <v>22.242220342750702</v>
      </c>
      <c r="IU68" s="9">
        <f t="shared" si="231"/>
        <v>-3.8176115139163267</v>
      </c>
      <c r="IV68" s="5">
        <f t="shared" si="232"/>
        <v>-0.18725065899798751</v>
      </c>
      <c r="IW68" s="5">
        <f t="shared" si="384"/>
        <v>0.25700000000000001</v>
      </c>
      <c r="IX68" s="5">
        <f t="shared" si="233"/>
        <v>0.25700000000000001</v>
      </c>
      <c r="IY68" s="762">
        <f t="shared" si="234"/>
        <v>11.249998375701201</v>
      </c>
    </row>
    <row r="69" spans="1:259" ht="15" customHeight="1" x14ac:dyDescent="0.25">
      <c r="A69" s="79"/>
      <c r="B69" s="707">
        <v>0.10918929387066081</v>
      </c>
      <c r="C69" s="708">
        <v>-4.5230959015790333</v>
      </c>
      <c r="D69" s="709">
        <v>-0.45475146578042086</v>
      </c>
      <c r="E69" s="710">
        <v>0.95019279970645032</v>
      </c>
      <c r="F69" s="708">
        <v>-0.1757720111216772</v>
      </c>
      <c r="G69" s="711">
        <v>0.25736713755306567</v>
      </c>
      <c r="H69" s="710">
        <v>0.26600000000000001</v>
      </c>
      <c r="I69" s="708">
        <v>0.52</v>
      </c>
      <c r="J69" s="570">
        <v>4.2290000000000001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4.2290000000000001</v>
      </c>
      <c r="N69" s="632">
        <f t="shared" si="240"/>
        <v>0.10918929387066081</v>
      </c>
      <c r="O69" s="629">
        <f t="shared" si="241"/>
        <v>-4.5230959015790333</v>
      </c>
      <c r="P69" s="633">
        <f t="shared" si="242"/>
        <v>-0.45475146578042086</v>
      </c>
      <c r="Q69" s="585">
        <f t="shared" si="113"/>
        <v>271.38287381155317</v>
      </c>
      <c r="R69" s="629">
        <f t="shared" si="79"/>
        <v>4.5244136456315553</v>
      </c>
      <c r="S69" s="634">
        <f t="shared" si="80"/>
        <v>-0.45475146578042086</v>
      </c>
      <c r="T69" s="635">
        <f t="shared" si="81"/>
        <v>-4.5230959015790333</v>
      </c>
      <c r="U69" s="629">
        <f t="shared" si="82"/>
        <v>-0.10918929387065976</v>
      </c>
      <c r="V69" s="636">
        <f t="shared" si="114"/>
        <v>-0.45475146578042086</v>
      </c>
      <c r="W69" s="585">
        <f t="shared" si="224"/>
        <v>181.38287381155317</v>
      </c>
      <c r="X69" s="629">
        <f t="shared" si="83"/>
        <v>4.5244136456315553</v>
      </c>
      <c r="Y69" s="630">
        <f t="shared" si="223"/>
        <v>-0.45475146578042086</v>
      </c>
      <c r="Z69" s="632">
        <f t="shared" si="243"/>
        <v>-0.95019279970645032</v>
      </c>
      <c r="AA69" s="629">
        <f t="shared" si="244"/>
        <v>0.1757720111216772</v>
      </c>
      <c r="AB69" s="629">
        <f t="shared" si="245"/>
        <v>-0.25736713755306567</v>
      </c>
      <c r="AC69" s="636">
        <f t="shared" si="84"/>
        <v>1</v>
      </c>
      <c r="AD69" s="637">
        <f t="shared" si="115"/>
        <v>-0.95019279970645032</v>
      </c>
      <c r="AE69" s="629">
        <f t="shared" si="85"/>
        <v>0.1757720111216772</v>
      </c>
      <c r="AF69" s="633">
        <f t="shared" si="86"/>
        <v>-0.25736713755306567</v>
      </c>
      <c r="AG69" s="602">
        <f t="shared" si="87"/>
        <v>34.331596872521658</v>
      </c>
      <c r="AH69" s="603">
        <f t="shared" si="88"/>
        <v>161.84053841903489</v>
      </c>
      <c r="AI69" s="585">
        <f t="shared" si="89"/>
        <v>-75.086105431824606</v>
      </c>
      <c r="AJ69" s="586">
        <f t="shared" si="90"/>
        <v>-100.48042189917304</v>
      </c>
      <c r="AK69" s="635">
        <f t="shared" si="211"/>
        <v>0.94567408539594422</v>
      </c>
      <c r="AL69" s="629">
        <f t="shared" si="91"/>
        <v>-0.19865216011482414</v>
      </c>
      <c r="AM69" s="634">
        <f t="shared" si="92"/>
        <v>-0.25736713755306567</v>
      </c>
      <c r="AN69" s="581">
        <f t="shared" si="93"/>
        <v>-37.663220454680832</v>
      </c>
      <c r="AO69" s="582">
        <f t="shared" si="461"/>
        <v>18.972613279556256</v>
      </c>
      <c r="AP69" s="585">
        <f t="shared" si="95"/>
        <v>-11.863295710726227</v>
      </c>
      <c r="AQ69" s="586">
        <f t="shared" si="246"/>
        <v>0.50385929382861683</v>
      </c>
      <c r="AS69" s="52">
        <f t="shared" si="406"/>
        <v>-178.61712618844683</v>
      </c>
      <c r="AT69" s="72">
        <f t="shared" si="247"/>
        <v>-0.33071179481622165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Nose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4.2290000000000001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4.1289999999999996</v>
      </c>
      <c r="II69" s="734" cm="1">
        <f t="array" ref="II69">IFERROR(IF($IH69&lt;1,$IH69+LARGE((IF($M$9:$M$150="",0,$M$9:$M$150)-MOD(IF($M$9:$M$150="",0,$M$9:$M$150),1)),1),$IH69),"")</f>
        <v>4.1289999999999996</v>
      </c>
      <c r="IJ69" s="533">
        <f t="shared" si="112"/>
        <v>1613</v>
      </c>
      <c r="IK69" s="533">
        <f t="shared" si="382"/>
        <v>1313</v>
      </c>
      <c r="IL69" s="727">
        <f t="shared" si="225"/>
        <v>13.487098052703971</v>
      </c>
      <c r="IM69" s="759">
        <v>9.9193454481776404E-3</v>
      </c>
      <c r="IN69" s="5">
        <f t="shared" si="226"/>
        <v>0.26</v>
      </c>
      <c r="IO69" s="771">
        <v>130</v>
      </c>
      <c r="IP69" s="9">
        <f t="shared" si="227"/>
        <v>-4.503913583803369</v>
      </c>
      <c r="IQ69" s="5">
        <f t="shared" si="228"/>
        <v>-0.48865156802312915</v>
      </c>
      <c r="IR69" s="5">
        <f t="shared" si="383"/>
        <v>0.314</v>
      </c>
      <c r="IS69" s="5">
        <f t="shared" si="229"/>
        <v>0.30099285583803714</v>
      </c>
      <c r="IT69" s="727">
        <f t="shared" si="230"/>
        <v>39.583972423296316</v>
      </c>
      <c r="IU69" s="9">
        <f t="shared" si="231"/>
        <v>-4.5244136456315553</v>
      </c>
      <c r="IV69" s="5">
        <f t="shared" si="232"/>
        <v>-0.45475146578042086</v>
      </c>
      <c r="IW69" s="5">
        <f t="shared" si="384"/>
        <v>0.26600000000000001</v>
      </c>
      <c r="IX69" s="5">
        <f t="shared" si="233"/>
        <v>0.25154930671532116</v>
      </c>
      <c r="IY69" s="762">
        <f t="shared" si="234"/>
        <v>37.663220454680832</v>
      </c>
    </row>
    <row r="70" spans="1:259" ht="15" customHeight="1" x14ac:dyDescent="0.25">
      <c r="A70" s="79"/>
      <c r="B70" s="707">
        <v>0.21465960816578222</v>
      </c>
      <c r="C70" s="708">
        <v>-5.1191167754839402</v>
      </c>
      <c r="D70" s="709">
        <v>-0.93015289959114467</v>
      </c>
      <c r="E70" s="710">
        <v>0.94924676230981064</v>
      </c>
      <c r="F70" s="708">
        <v>-0.23728550062238429</v>
      </c>
      <c r="G70" s="711">
        <v>0.2064610748754509</v>
      </c>
      <c r="H70" s="710">
        <v>0.26600000000000001</v>
      </c>
      <c r="I70" s="708">
        <v>0.52</v>
      </c>
      <c r="J70" s="570">
        <v>4.2359999999999998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4.2359999999999998</v>
      </c>
      <c r="N70" s="632">
        <f t="shared" si="240"/>
        <v>0.21465960816578222</v>
      </c>
      <c r="O70" s="629">
        <f t="shared" si="241"/>
        <v>-5.1191167754839402</v>
      </c>
      <c r="P70" s="633">
        <f t="shared" si="242"/>
        <v>-0.93015289959114467</v>
      </c>
      <c r="Q70" s="585">
        <f t="shared" si="113"/>
        <v>272.40117366452887</v>
      </c>
      <c r="R70" s="629">
        <f t="shared" si="79"/>
        <v>5.1236154528242048</v>
      </c>
      <c r="S70" s="634">
        <f t="shared" si="80"/>
        <v>-0.93015289959114467</v>
      </c>
      <c r="T70" s="635">
        <f t="shared" si="81"/>
        <v>-5.1191167754839402</v>
      </c>
      <c r="U70" s="629">
        <f t="shared" si="82"/>
        <v>-0.21465960816578059</v>
      </c>
      <c r="V70" s="636">
        <f t="shared" si="114"/>
        <v>-0.93015289959114467</v>
      </c>
      <c r="W70" s="585">
        <f t="shared" si="224"/>
        <v>182.40117366452887</v>
      </c>
      <c r="X70" s="629">
        <f t="shared" si="83"/>
        <v>5.1236154528242048</v>
      </c>
      <c r="Y70" s="630">
        <f t="shared" si="223"/>
        <v>-0.93015289959114467</v>
      </c>
      <c r="Z70" s="632">
        <f t="shared" si="243"/>
        <v>-0.94924676230981064</v>
      </c>
      <c r="AA70" s="629">
        <f t="shared" si="244"/>
        <v>0.23728550062238429</v>
      </c>
      <c r="AB70" s="629">
        <f t="shared" si="245"/>
        <v>-0.2064610748754509</v>
      </c>
      <c r="AC70" s="636">
        <f t="shared" si="84"/>
        <v>1</v>
      </c>
      <c r="AD70" s="637">
        <f t="shared" si="115"/>
        <v>-0.94924676230981064</v>
      </c>
      <c r="AE70" s="629">
        <f t="shared" si="85"/>
        <v>0.23728550062238429</v>
      </c>
      <c r="AF70" s="633">
        <f t="shared" si="86"/>
        <v>-0.2064610748754509</v>
      </c>
      <c r="AG70" s="602">
        <f t="shared" si="87"/>
        <v>48.973612763554847</v>
      </c>
      <c r="AH70" s="603">
        <f t="shared" si="88"/>
        <v>161.66741692840989</v>
      </c>
      <c r="AI70" s="585">
        <f t="shared" si="89"/>
        <v>-78.084957634010252</v>
      </c>
      <c r="AJ70" s="586">
        <f t="shared" si="90"/>
        <v>-104.03475564193339</v>
      </c>
      <c r="AK70" s="635">
        <f t="shared" si="211"/>
        <v>0.93847195534093186</v>
      </c>
      <c r="AL70" s="629">
        <f t="shared" si="91"/>
        <v>-0.27684691365417358</v>
      </c>
      <c r="AM70" s="634">
        <f t="shared" si="92"/>
        <v>-0.2064610748754509</v>
      </c>
      <c r="AN70" s="581">
        <f t="shared" si="93"/>
        <v>-53.285934036384532</v>
      </c>
      <c r="AO70" s="582">
        <f t="shared" si="461"/>
        <v>20.203495454395178</v>
      </c>
      <c r="AP70" s="585">
        <f t="shared" si="95"/>
        <v>-16.435929306462263</v>
      </c>
      <c r="AQ70" s="586">
        <f t="shared" si="246"/>
        <v>0.44493596891274206</v>
      </c>
      <c r="AS70" s="52">
        <f t="shared" si="406"/>
        <v>-177.59882633547113</v>
      </c>
      <c r="AT70" s="72">
        <f t="shared" si="247"/>
        <v>-0.80682038130262301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4.2359999999999998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4.1360000000000001</v>
      </c>
      <c r="II70" s="734" cm="1">
        <f t="array" ref="II70">IFERROR(IF($IH70&lt;1,$IH70+LARGE((IF($M$9:$M$150="",0,$M$9:$M$150)-MOD(IF($M$9:$M$150="",0,$M$9:$M$150),1)),1),$IH70),"")</f>
        <v>4.1360000000000001</v>
      </c>
      <c r="IJ70" s="533">
        <f t="shared" si="112"/>
        <v>1613</v>
      </c>
      <c r="IK70" s="533">
        <f t="shared" si="382"/>
        <v>1313</v>
      </c>
      <c r="IL70" s="727">
        <f t="shared" si="225"/>
        <v>11.873798285635644</v>
      </c>
      <c r="IM70" s="759">
        <v>7.3827134872327801E-3</v>
      </c>
      <c r="IN70" s="5">
        <f t="shared" si="226"/>
        <v>0.24</v>
      </c>
      <c r="IO70" s="771">
        <v>120</v>
      </c>
      <c r="IP70" s="9">
        <f t="shared" si="227"/>
        <v>-5.0935153620423321</v>
      </c>
      <c r="IQ70" s="5">
        <f t="shared" si="228"/>
        <v>-0.9595529882618129</v>
      </c>
      <c r="IR70" s="5">
        <f t="shared" si="383"/>
        <v>0.314</v>
      </c>
      <c r="IS70" s="5">
        <f t="shared" si="229"/>
        <v>0.29895148095914192</v>
      </c>
      <c r="IT70" s="727">
        <f t="shared" si="230"/>
        <v>55.388612220196727</v>
      </c>
      <c r="IU70" s="9">
        <f t="shared" si="231"/>
        <v>-5.1236154528242048</v>
      </c>
      <c r="IV70" s="5">
        <f t="shared" si="232"/>
        <v>-0.93015289959114467</v>
      </c>
      <c r="IW70" s="5">
        <f t="shared" si="384"/>
        <v>0.26600000000000001</v>
      </c>
      <c r="IX70" s="5">
        <f t="shared" si="233"/>
        <v>0.24963354012068789</v>
      </c>
      <c r="IY70" s="762">
        <f t="shared" si="234"/>
        <v>53.285934036384532</v>
      </c>
    </row>
    <row r="71" spans="1:259" ht="15" customHeight="1" x14ac:dyDescent="0.25">
      <c r="A71" s="79"/>
      <c r="B71" s="707">
        <v>0.27184414313266625</v>
      </c>
      <c r="C71" s="708">
        <v>-5.5644804958604777</v>
      </c>
      <c r="D71" s="709">
        <v>-1.5507547713263905</v>
      </c>
      <c r="E71" s="710">
        <v>0.94098308223551119</v>
      </c>
      <c r="F71" s="708">
        <v>-0.30443768196153509</v>
      </c>
      <c r="G71" s="711">
        <v>0.14788014318509535</v>
      </c>
      <c r="H71" s="710">
        <v>0.26600000000000001</v>
      </c>
      <c r="I71" s="708">
        <v>0.52</v>
      </c>
      <c r="J71" s="570">
        <v>4.2430000000000003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4.2430000000000003</v>
      </c>
      <c r="N71" s="632">
        <f t="shared" si="240"/>
        <v>0.27184414313266625</v>
      </c>
      <c r="O71" s="629">
        <f t="shared" si="241"/>
        <v>-5.5644804958604777</v>
      </c>
      <c r="P71" s="633">
        <f t="shared" si="242"/>
        <v>-1.5507547713263905</v>
      </c>
      <c r="Q71" s="585">
        <f t="shared" si="113"/>
        <v>272.79687360739689</v>
      </c>
      <c r="R71" s="629">
        <f t="shared" si="79"/>
        <v>5.5711168024882767</v>
      </c>
      <c r="S71" s="634">
        <f t="shared" si="80"/>
        <v>-1.5507547713263905</v>
      </c>
      <c r="T71" s="635">
        <f t="shared" si="81"/>
        <v>-5.5644804958604777</v>
      </c>
      <c r="U71" s="629">
        <f t="shared" si="82"/>
        <v>-0.27184414313266692</v>
      </c>
      <c r="V71" s="636">
        <f t="shared" si="114"/>
        <v>-1.5507547713263905</v>
      </c>
      <c r="W71" s="585">
        <f t="shared" si="224"/>
        <v>182.79687360739689</v>
      </c>
      <c r="X71" s="629">
        <f t="shared" si="83"/>
        <v>5.5711168024882767</v>
      </c>
      <c r="Y71" s="630">
        <f t="shared" si="223"/>
        <v>-1.5507547713263905</v>
      </c>
      <c r="Z71" s="632">
        <f t="shared" si="243"/>
        <v>-0.94098308223551119</v>
      </c>
      <c r="AA71" s="629">
        <f t="shared" si="244"/>
        <v>0.30443768196153509</v>
      </c>
      <c r="AB71" s="629">
        <f t="shared" si="245"/>
        <v>-0.14788014318509535</v>
      </c>
      <c r="AC71" s="636">
        <f t="shared" si="84"/>
        <v>1</v>
      </c>
      <c r="AD71" s="637">
        <f t="shared" si="115"/>
        <v>-0.94098308223551119</v>
      </c>
      <c r="AE71" s="629">
        <f t="shared" si="85"/>
        <v>0.30443768196153509</v>
      </c>
      <c r="AF71" s="633">
        <f t="shared" si="86"/>
        <v>-0.14788014318509535</v>
      </c>
      <c r="AG71" s="602">
        <f t="shared" si="87"/>
        <v>64.091906521333783</v>
      </c>
      <c r="AH71" s="603">
        <f t="shared" si="88"/>
        <v>160.21731303181195</v>
      </c>
      <c r="AI71" s="585">
        <f t="shared" si="89"/>
        <v>-81.495902320612345</v>
      </c>
      <c r="AJ71" s="586">
        <f t="shared" si="90"/>
        <v>-107.92802883773456</v>
      </c>
      <c r="AK71" s="635">
        <f t="shared" si="211"/>
        <v>0.92500706589787807</v>
      </c>
      <c r="AL71" s="629">
        <f t="shared" si="91"/>
        <v>-0.34999055885917024</v>
      </c>
      <c r="AM71" s="634">
        <f t="shared" si="92"/>
        <v>-0.14788014318509535</v>
      </c>
      <c r="AN71" s="581">
        <f t="shared" si="93"/>
        <v>-67.094673670155032</v>
      </c>
      <c r="AO71" s="582">
        <f t="shared" si="461"/>
        <v>22.330579508321399</v>
      </c>
      <c r="AP71" s="585">
        <f t="shared" si="95"/>
        <v>-20.724902445131452</v>
      </c>
      <c r="AQ71" s="586">
        <f t="shared" si="246"/>
        <v>0.40919764434225026</v>
      </c>
      <c r="AS71" s="52">
        <f t="shared" si="406"/>
        <v>-177.20312639260311</v>
      </c>
      <c r="AT71" s="72">
        <f t="shared" si="247"/>
        <v>-1.4276970446648605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4.2430000000000003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4.1429999999999998</v>
      </c>
      <c r="II71" s="734" cm="1">
        <f t="array" ref="II71">IFERROR(IF($IH71&lt;1,$IH71+LARGE((IF($M$9:$M$150="",0,$M$9:$M$150)-MOD(IF($M$9:$M$150="",0,$M$9:$M$150),1)),1),$IH71),"")</f>
        <v>4.1429999999999998</v>
      </c>
      <c r="IJ71" s="533">
        <f t="shared" si="112"/>
        <v>1613</v>
      </c>
      <c r="IK71" s="533">
        <f t="shared" si="382"/>
        <v>1313</v>
      </c>
      <c r="IL71" s="727">
        <f t="shared" si="225"/>
        <v>10.99709841221545</v>
      </c>
      <c r="IM71" s="759">
        <v>5.0880486463811001E-3</v>
      </c>
      <c r="IN71" s="5">
        <f t="shared" si="226"/>
        <v>0.22</v>
      </c>
      <c r="IO71" s="771">
        <v>110</v>
      </c>
      <c r="IP71" s="9">
        <f t="shared" si="227"/>
        <v>-5.532916687276729</v>
      </c>
      <c r="IQ71" s="5">
        <f t="shared" si="228"/>
        <v>-1.5729548382817926</v>
      </c>
      <c r="IR71" s="5">
        <f t="shared" si="383"/>
        <v>0.314</v>
      </c>
      <c r="IS71" s="5">
        <f t="shared" si="229"/>
        <v>0.29516635993817919</v>
      </c>
      <c r="IT71" s="727">
        <f t="shared" si="230"/>
        <v>69.03233735191705</v>
      </c>
      <c r="IU71" s="9">
        <f t="shared" si="231"/>
        <v>-5.5711168024882767</v>
      </c>
      <c r="IV71" s="5">
        <f t="shared" si="232"/>
        <v>-1.5507547713263905</v>
      </c>
      <c r="IW71" s="5">
        <f t="shared" si="384"/>
        <v>0.26600000000000001</v>
      </c>
      <c r="IX71" s="5">
        <f t="shared" si="233"/>
        <v>0.24605187952883559</v>
      </c>
      <c r="IY71" s="762">
        <f t="shared" si="234"/>
        <v>67.094673670155032</v>
      </c>
    </row>
    <row r="72" spans="1:259" ht="15" customHeight="1" x14ac:dyDescent="0.25">
      <c r="A72" s="79"/>
      <c r="B72" s="707">
        <v>0.2735708867515691</v>
      </c>
      <c r="C72" s="708">
        <v>-5.8263985470335946</v>
      </c>
      <c r="D72" s="709">
        <v>-2.2700569407417333</v>
      </c>
      <c r="E72" s="710">
        <v>0.90900565945683776</v>
      </c>
      <c r="F72" s="708">
        <v>-0.40640542031265686</v>
      </c>
      <c r="G72" s="711">
        <v>9.2430219170639039E-2</v>
      </c>
      <c r="H72" s="710">
        <v>0.26600000000000001</v>
      </c>
      <c r="I72" s="708">
        <v>0.52</v>
      </c>
      <c r="J72" s="570">
        <v>4.25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4.25</v>
      </c>
      <c r="N72" s="632">
        <f t="shared" si="240"/>
        <v>0.2735708867515691</v>
      </c>
      <c r="O72" s="629">
        <f t="shared" si="241"/>
        <v>-5.8263985470335946</v>
      </c>
      <c r="P72" s="633">
        <f t="shared" si="242"/>
        <v>-2.2700569407417333</v>
      </c>
      <c r="Q72" s="585">
        <f t="shared" si="113"/>
        <v>272.68827362307678</v>
      </c>
      <c r="R72" s="629">
        <f t="shared" si="79"/>
        <v>5.8328175917778555</v>
      </c>
      <c r="S72" s="634">
        <f t="shared" si="80"/>
        <v>-2.2700569407417333</v>
      </c>
      <c r="T72" s="635">
        <f t="shared" si="81"/>
        <v>-5.8263985470335946</v>
      </c>
      <c r="U72" s="629">
        <f t="shared" si="82"/>
        <v>-0.2735708867515696</v>
      </c>
      <c r="V72" s="636">
        <f t="shared" si="114"/>
        <v>-2.2700569407417333</v>
      </c>
      <c r="W72" s="585">
        <f t="shared" si="224"/>
        <v>182.68827362307678</v>
      </c>
      <c r="X72" s="629">
        <f t="shared" si="83"/>
        <v>5.8328175917778555</v>
      </c>
      <c r="Y72" s="630">
        <f t="shared" si="223"/>
        <v>-2.2700569407417333</v>
      </c>
      <c r="Z72" s="632">
        <f t="shared" si="243"/>
        <v>-0.90900565945683776</v>
      </c>
      <c r="AA72" s="629">
        <f t="shared" si="244"/>
        <v>0.40640542031265686</v>
      </c>
      <c r="AB72" s="629">
        <f t="shared" si="245"/>
        <v>-9.2430219170639039E-2</v>
      </c>
      <c r="AC72" s="636">
        <f t="shared" si="84"/>
        <v>1</v>
      </c>
      <c r="AD72" s="637">
        <f t="shared" si="115"/>
        <v>-0.90900565945683776</v>
      </c>
      <c r="AE72" s="629">
        <f t="shared" si="85"/>
        <v>0.40640542031265686</v>
      </c>
      <c r="AF72" s="633">
        <f t="shared" si="86"/>
        <v>-9.2430219170639039E-2</v>
      </c>
      <c r="AG72" s="602">
        <f t="shared" si="87"/>
        <v>77.186973466546192</v>
      </c>
      <c r="AH72" s="603">
        <f t="shared" si="88"/>
        <v>155.36830068359779</v>
      </c>
      <c r="AI72" s="585">
        <f t="shared" si="89"/>
        <v>-84.696568674439987</v>
      </c>
      <c r="AJ72" s="586">
        <f t="shared" si="90"/>
        <v>-114.08884017184337</v>
      </c>
      <c r="AK72" s="635">
        <f t="shared" si="211"/>
        <v>0.88894406188838859</v>
      </c>
      <c r="AL72" s="629">
        <f t="shared" si="91"/>
        <v>-0.44859236442168787</v>
      </c>
      <c r="AM72" s="634">
        <f t="shared" si="92"/>
        <v>-9.2430219170639039E-2</v>
      </c>
      <c r="AN72" s="581">
        <f t="shared" si="93"/>
        <v>-78.357425577846342</v>
      </c>
      <c r="AO72" s="582">
        <f t="shared" si="461"/>
        <v>27.259143355383213</v>
      </c>
      <c r="AP72" s="585">
        <f t="shared" si="95"/>
        <v>-26.777113794920158</v>
      </c>
      <c r="AQ72" s="586">
        <f t="shared" si="246"/>
        <v>0.39083877320543842</v>
      </c>
      <c r="AS72" s="52">
        <f t="shared" si="406"/>
        <v>-177.31172637692322</v>
      </c>
      <c r="AT72" s="72">
        <f t="shared" si="247"/>
        <v>-2.1469237974244253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4.25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4.1500000000000004</v>
      </c>
      <c r="II72" s="734" cm="1">
        <f t="array" ref="II72">IFERROR(IF($IH72&lt;1,$IH72+LARGE((IF($M$9:$M$150="",0,$M$9:$M$150)-MOD(IF($M$9:$M$150="",0,$M$9:$M$150),1)),1),$IH72),"")</f>
        <v>4.1500000000000004</v>
      </c>
      <c r="IJ72" s="533">
        <f t="shared" si="112"/>
        <v>1613</v>
      </c>
      <c r="IK72" s="533">
        <f t="shared" si="382"/>
        <v>1313</v>
      </c>
      <c r="IL72" s="727">
        <f t="shared" si="225"/>
        <v>10.814698438550749</v>
      </c>
      <c r="IM72" s="759">
        <v>3.0990830017401999E-3</v>
      </c>
      <c r="IN72" s="5">
        <f t="shared" si="226"/>
        <v>0.18</v>
      </c>
      <c r="IO72" s="771">
        <v>90</v>
      </c>
      <c r="IP72" s="9">
        <f t="shared" si="227"/>
        <v>-5.7891174599782582</v>
      </c>
      <c r="IQ72" s="5">
        <f t="shared" si="228"/>
        <v>-2.282656978743447</v>
      </c>
      <c r="IR72" s="5">
        <f t="shared" si="383"/>
        <v>0.314</v>
      </c>
      <c r="IS72" s="5">
        <f t="shared" si="229"/>
        <v>0.28493320136735889</v>
      </c>
      <c r="IT72" s="727">
        <f t="shared" si="230"/>
        <v>79.705438460838451</v>
      </c>
      <c r="IU72" s="9">
        <f t="shared" si="231"/>
        <v>-5.8328175917778555</v>
      </c>
      <c r="IV72" s="5">
        <f t="shared" si="232"/>
        <v>-2.2700569407417333</v>
      </c>
      <c r="IW72" s="5">
        <f t="shared" si="384"/>
        <v>0.26600000000000001</v>
      </c>
      <c r="IX72" s="5">
        <f t="shared" si="233"/>
        <v>0.23645912046231138</v>
      </c>
      <c r="IY72" s="762">
        <f t="shared" si="234"/>
        <v>78.357425577846342</v>
      </c>
    </row>
    <row r="73" spans="1:259" ht="15" customHeight="1" x14ac:dyDescent="0.25">
      <c r="A73" s="79"/>
      <c r="B73" s="707">
        <v>-0.24431311793143254</v>
      </c>
      <c r="C73" s="708">
        <v>-5.8902531989133804</v>
      </c>
      <c r="D73" s="709">
        <v>-3.1125594817293991</v>
      </c>
      <c r="E73" s="710">
        <v>-4.1441664631389125E-2</v>
      </c>
      <c r="F73" s="708">
        <v>-0.99914092521151798</v>
      </c>
      <c r="G73" s="711">
        <v>2.2679489611301554E-7</v>
      </c>
      <c r="H73" s="710">
        <v>0.25700000000000001</v>
      </c>
      <c r="I73" s="708">
        <v>0.41499999999999992</v>
      </c>
      <c r="J73" s="570">
        <v>4.2569999999999997</v>
      </c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CPS-32193r1</v>
      </c>
      <c r="L73" s="320"/>
      <c r="M73" s="168">
        <f t="shared" ref="M73:M104" si="464">IF(J73="","",VALUE(J73))</f>
        <v>4.2569999999999997</v>
      </c>
      <c r="N73" s="632">
        <f t="shared" ref="N73:N104" si="465">IF(M73="","",B73)</f>
        <v>-0.24431311793143254</v>
      </c>
      <c r="O73" s="629">
        <f t="shared" ref="O73:O104" si="466">IF(M73="","",C73)</f>
        <v>-5.8902531989133804</v>
      </c>
      <c r="P73" s="633">
        <f t="shared" ref="P73:P104" si="467">IF(M73="","",D73)</f>
        <v>-3.1125594817293991</v>
      </c>
      <c r="Q73" s="585">
        <f t="shared" si="113"/>
        <v>267.62487435414118</v>
      </c>
      <c r="R73" s="629">
        <f>IF(M73="","",SQRT(N73^2+O73^2))</f>
        <v>5.8953177731910849</v>
      </c>
      <c r="S73" s="634">
        <f>IF(M73="","",P73)</f>
        <v>-3.1125594817293991</v>
      </c>
      <c r="T73" s="635">
        <f>IF(M73="","",X73*COS(RADIANS(W73)))</f>
        <v>-5.8902531989133804</v>
      </c>
      <c r="U73" s="629">
        <f>IF(M73="","",X73*SIN(RADIANS(W73)))</f>
        <v>0.24431311793143135</v>
      </c>
      <c r="V73" s="636">
        <f>IF(M73="","",Y73)</f>
        <v>-3.1125594817293991</v>
      </c>
      <c r="W73" s="585">
        <f t="shared" si="224"/>
        <v>177.62487435414118</v>
      </c>
      <c r="X73" s="629">
        <f>IF(M73="","",R73)</f>
        <v>5.8953177731910849</v>
      </c>
      <c r="Y73" s="630">
        <f t="shared" si="223"/>
        <v>-3.1125594817293991</v>
      </c>
      <c r="Z73" s="632">
        <f t="shared" ref="Z73:Z104" si="468">IF(M73="","",-E73)</f>
        <v>4.1441664631389125E-2</v>
      </c>
      <c r="AA73" s="629">
        <f t="shared" ref="AA73:AA104" si="469">IF(M73="","",-F73)</f>
        <v>0.99914092521151798</v>
      </c>
      <c r="AB73" s="629">
        <f t="shared" ref="AB73:AB104" si="470">IF(M73="","",-G73)</f>
        <v>-2.2679489611301554E-7</v>
      </c>
      <c r="AC73" s="636">
        <f>IF(M73="","",SQRT(Z73^2+AA73^2+AB73^2))</f>
        <v>1</v>
      </c>
      <c r="AD73" s="637">
        <f>IF(M73="","",Z73*(1/SQRT(Z73^2+AA73^2+AB73^2)))</f>
        <v>4.1441664631389125E-2</v>
      </c>
      <c r="AE73" s="629">
        <f>IF(M73="","",AA73*(1/SQRT(Z73^2+AA73^2+AB73^2)))</f>
        <v>0.99914092521151798</v>
      </c>
      <c r="AF73" s="633">
        <f>IF(M73="","",AB73*(1/SQRT(Z73^2+AA73^2+AB73^2)))</f>
        <v>-2.2679489611301554E-7</v>
      </c>
      <c r="AG73" s="602">
        <f>IF(M73="","",DEGREES(ATAN2(-AF73,AE73)))</f>
        <v>89.999986994436895</v>
      </c>
      <c r="AH73" s="603">
        <f>IF(M73="","",DEGREES(ACOS(AD73)))</f>
        <v>87.624887348531644</v>
      </c>
      <c r="AI73" s="585">
        <f>IF(M73="","",DEGREES(-ACOS(-AF73)))</f>
        <v>-89.999987005609626</v>
      </c>
      <c r="AJ73" s="586">
        <f>IF(M73="","",DEGREES(ATAN2(-AE73,AD73)))</f>
        <v>177.62488734853159</v>
      </c>
      <c r="AK73" s="635">
        <f>IF(M73="","",(COS(RADIANS((90-$Q$8)-W73))*AD73)+(-SIN(RADIANS((90-$Q$8)-W73))*AE73))</f>
        <v>2.2679489675853093E-7</v>
      </c>
      <c r="AL73" s="629">
        <f>IF(M73="","",(SIN(RADIANS((90-$Q$8)-W73))*AD73)+(COS(RADIANS((90-$Q$8)-W73))*AE73))</f>
        <v>-0.9999999999999486</v>
      </c>
      <c r="AM73" s="634">
        <f>IF(M73="","",AF73)</f>
        <v>-2.2679489611301554E-7</v>
      </c>
      <c r="AN73" s="581">
        <f>IF(M73="","",DEGREES(ATAN2(-AM73,AL73)))</f>
        <v>-89.99998700560964</v>
      </c>
      <c r="AO73" s="582">
        <f t="shared" si="461"/>
        <v>0</v>
      </c>
      <c r="AP73" s="585">
        <f>IF(M73="","",DEGREES(ATAN2(AK73,AL73)))</f>
        <v>-89.999987005609611</v>
      </c>
      <c r="AQ73" s="586">
        <f t="shared" ref="AQ73:AQ104" si="471">IF(M73="","",DEGREES(ATAN(($AS$5*SIN(RADIANS(90)))/(($X73*2*PI())-($AS$5*COS(RADIANS(90)))))))</f>
        <v>0.38669535814075257</v>
      </c>
      <c r="AS73" s="52">
        <f t="shared" si="406"/>
        <v>-182.37512564585882</v>
      </c>
      <c r="AT73" s="72">
        <f t="shared" ref="AT73:AT104" si="472">IF(M73="","",Y73+(((AS73-$AS$9)*$AS$6)*-1))</f>
        <v>-2.9859100889197752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>Gage</v>
      </c>
      <c r="IG73" s="847">
        <f t="shared" si="210"/>
        <v>4.2569999999999997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4.157</v>
      </c>
      <c r="II73" s="734" cm="1">
        <f t="array" ref="II73">IFERROR(IF($IH73&lt;1,$IH73+LARGE((IF($M$9:$M$150="",0,$M$9:$M$150)-MOD(IF($M$9:$M$150="",0,$M$9:$M$150),1)),1),$IH73),"")</f>
        <v>4.157</v>
      </c>
      <c r="IJ73" s="533">
        <f t="shared" si="112"/>
        <v>1613</v>
      </c>
      <c r="IK73" s="533" t="str">
        <f t="shared" ref="IK73:IK104" si="517">IF(ISNUMBER($II73),INDEX($K$9:$K$150,MATCH($IG73,$M$9:$M$150,0)),"")</f>
        <v>CPS-32193r1</v>
      </c>
      <c r="IL73" s="727">
        <f t="shared" si="225"/>
        <v>15.757097692587649</v>
      </c>
      <c r="IM73" s="759">
        <v>1.87055428966834E-4</v>
      </c>
      <c r="IN73" s="5">
        <f t="shared" si="226"/>
        <v>0</v>
      </c>
      <c r="IO73" s="771">
        <v>0</v>
      </c>
      <c r="IP73" s="9">
        <f t="shared" si="227"/>
        <v>-5.8943177749307543</v>
      </c>
      <c r="IQ73" s="5">
        <f t="shared" si="228"/>
        <v>-3.0994594422196791</v>
      </c>
      <c r="IR73" s="5">
        <f t="shared" ref="IR73:IR104" si="518">IF(ISNUMBER($II73),INDEX($H$9:$H$150,MATCH($II73,$M$9:$M$150,0)),"")</f>
        <v>0.314</v>
      </c>
      <c r="IS73" s="5">
        <f t="shared" si="229"/>
        <v>0.25721375789321782</v>
      </c>
      <c r="IT73" s="727">
        <f t="shared" si="230"/>
        <v>89.999987005609569</v>
      </c>
      <c r="IU73" s="9">
        <f t="shared" si="231"/>
        <v>-5.8953177731910849</v>
      </c>
      <c r="IV73" s="5">
        <f t="shared" si="232"/>
        <v>-3.1125594817293991</v>
      </c>
      <c r="IW73" s="5">
        <f t="shared" ref="IW73:IW104" si="519">IF(ISNUMBER($II73),$H73,"")</f>
        <v>0.25700000000000001</v>
      </c>
      <c r="IX73" s="5">
        <f t="shared" si="233"/>
        <v>0.25700000000000001</v>
      </c>
      <c r="IY73" s="762">
        <f t="shared" si="234"/>
        <v>89.99998700560964</v>
      </c>
    </row>
    <row r="74" spans="1:259" ht="15" customHeight="1" x14ac:dyDescent="0.25">
      <c r="A74" s="79"/>
      <c r="B74" s="707">
        <v>-0.37567793734975485</v>
      </c>
      <c r="C74" s="708">
        <v>-0.48084547765165037</v>
      </c>
      <c r="D74" s="709">
        <v>-0.67245212236560115</v>
      </c>
      <c r="E74" s="710">
        <v>0.80240123924886197</v>
      </c>
      <c r="F74" s="708">
        <v>-0.54189691604529522</v>
      </c>
      <c r="G74" s="711">
        <v>0.24999996726497561</v>
      </c>
      <c r="H74" s="710">
        <v>0.314</v>
      </c>
      <c r="I74" s="708">
        <v>0.52</v>
      </c>
      <c r="J74" s="570">
        <v>5.1020000000000003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5.1020000000000003</v>
      </c>
      <c r="N74" s="632">
        <f t="shared" si="465"/>
        <v>-0.37567793734975485</v>
      </c>
      <c r="O74" s="629">
        <f t="shared" si="466"/>
        <v>-0.48084547765165037</v>
      </c>
      <c r="P74" s="633">
        <f t="shared" si="467"/>
        <v>-0.67245212236560115</v>
      </c>
      <c r="Q74" s="585">
        <f t="shared" ref="Q74:Q129" si="520">IF(M74="","",IF(DEGREES(ATAN2(N74,O74))&lt;0,DEGREES(ATAN2(N74,O74))+360,IF(DEGREES(ATAN2(N74,O74))&gt;360,DEGREES(ATAN2(N74,O74))-360,DEGREES(ATAN2(N74,O74)))))</f>
        <v>231.99997949773959</v>
      </c>
      <c r="R74" s="629">
        <f>IF(M74="","",SQRT(N74^2+O74^2))</f>
        <v>0.61020184036875058</v>
      </c>
      <c r="S74" s="634">
        <f>IF(M74="","",P74)</f>
        <v>-0.67245212236560115</v>
      </c>
      <c r="T74" s="635">
        <f>IF(M74="","",X74*COS(RADIANS(W74)))</f>
        <v>-0.48084547765165037</v>
      </c>
      <c r="U74" s="629">
        <f>IF(M74="","",X74*SIN(RADIANS(W74)))</f>
        <v>0.37567793734975491</v>
      </c>
      <c r="V74" s="636">
        <f>IF(M74="","",Y74)</f>
        <v>-0.67245212236560115</v>
      </c>
      <c r="W74" s="585">
        <f t="shared" si="224"/>
        <v>141.99997949773959</v>
      </c>
      <c r="X74" s="629">
        <f>IF(M74="","",R74)</f>
        <v>0.61020184036875058</v>
      </c>
      <c r="Y74" s="630">
        <f t="shared" si="223"/>
        <v>-0.67245212236560115</v>
      </c>
      <c r="Z74" s="632">
        <f t="shared" si="468"/>
        <v>-0.80240123924886197</v>
      </c>
      <c r="AA74" s="629">
        <f t="shared" si="469"/>
        <v>0.54189691604529522</v>
      </c>
      <c r="AB74" s="629">
        <f t="shared" si="470"/>
        <v>-0.24999996726497561</v>
      </c>
      <c r="AC74" s="636">
        <f>IF(M74="","",SQRT(Z74^2+AA74^2+AB74^2))</f>
        <v>1</v>
      </c>
      <c r="AD74" s="637">
        <f>IF(M74="","",Z74*(1/SQRT(Z74^2+AA74^2+AB74^2)))</f>
        <v>-0.80240123924886197</v>
      </c>
      <c r="AE74" s="629">
        <f>IF(M74="","",AA74*(1/SQRT(Z74^2+AA74^2+AB74^2)))</f>
        <v>0.54189691604529522</v>
      </c>
      <c r="AF74" s="633">
        <f>IF(M74="","",AB74*(1/SQRT(Z74^2+AA74^2+AB74^2)))</f>
        <v>-0.24999996726497561</v>
      </c>
      <c r="AG74" s="602">
        <f>IF(M74="","",DEGREES(ATAN2(-AF74,AE74)))</f>
        <v>65.234125837354625</v>
      </c>
      <c r="AH74" s="603">
        <f>IF(M74="","",DEGREES(ACOS(AD74)))</f>
        <v>143.36001950406509</v>
      </c>
      <c r="AI74" s="585">
        <f>IF(M74="","",DEGREES(-ACOS(-AF74)))</f>
        <v>-75.522489751159469</v>
      </c>
      <c r="AJ74" s="586">
        <f>IF(M74="","",DEGREES(ATAN2(-AE74,AD74)))</f>
        <v>-124.03289085717384</v>
      </c>
      <c r="AK74" s="635">
        <f>IF(M74="","",(COS(RADIANS((90-$Q$8)-W74))*AD74)+(-SIN(RADIANS((90-$Q$8)-W74))*AE74))</f>
        <v>0.96592583607220739</v>
      </c>
      <c r="AL74" s="629">
        <f>IF(M74="","",(SIN(RADIANS((90-$Q$8)-W74))*AD74)+(COS(RADIANS((90-$Q$8)-W74))*AE74))</f>
        <v>6.698727920820724E-2</v>
      </c>
      <c r="AM74" s="634">
        <f>IF(M74="","",AF74)</f>
        <v>-0.24999996726497561</v>
      </c>
      <c r="AN74" s="581">
        <f>IF(M74="","",DEGREES(ATAN2(-AM74,AL74)))</f>
        <v>14.999997834268278</v>
      </c>
      <c r="AO74" s="582">
        <f t="shared" si="461"/>
        <v>14.999997834268255</v>
      </c>
      <c r="AP74" s="585">
        <f>IF(M74="","",DEGREES(ATAN2(AK74,AL74)))</f>
        <v>3.9671296450865734</v>
      </c>
      <c r="AQ74" s="586">
        <f t="shared" si="471"/>
        <v>3.7307391016610647</v>
      </c>
      <c r="AS74" s="52">
        <f t="shared" si="406"/>
        <v>-218.00002050226041</v>
      </c>
      <c r="AT74" s="72">
        <f t="shared" si="472"/>
        <v>-0.52106321923903143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5.1020000000000003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-0.85127807927483801</v>
      </c>
      <c r="C75" s="708">
        <v>-1.0895854505882285</v>
      </c>
      <c r="D75" s="709">
        <v>-0.46545149805171809</v>
      </c>
      <c r="E75" s="710">
        <v>0.80240123924886197</v>
      </c>
      <c r="F75" s="708">
        <v>-0.54189691604529522</v>
      </c>
      <c r="G75" s="711">
        <v>0.24999996726497561</v>
      </c>
      <c r="H75" s="710">
        <v>0.314</v>
      </c>
      <c r="I75" s="708">
        <v>0.52</v>
      </c>
      <c r="J75" s="570">
        <v>5.1050000000000004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5.1050000000000004</v>
      </c>
      <c r="N75" s="632">
        <f t="shared" si="465"/>
        <v>-0.85127807927483801</v>
      </c>
      <c r="O75" s="629">
        <f t="shared" si="466"/>
        <v>-1.0895854505882285</v>
      </c>
      <c r="P75" s="633">
        <f t="shared" si="467"/>
        <v>-0.46545149805171809</v>
      </c>
      <c r="Q75" s="585">
        <f t="shared" si="520"/>
        <v>231.99997949773959</v>
      </c>
      <c r="R75" s="629">
        <f>IF(M75="","",SQRT(N75^2+O75^2))</f>
        <v>1.3827041702357776</v>
      </c>
      <c r="S75" s="634">
        <f>IF(M75="","",P75)</f>
        <v>-0.46545149805171809</v>
      </c>
      <c r="T75" s="635">
        <f>IF(M75="","",X75*COS(RADIANS(W75)))</f>
        <v>-1.0895854505882285</v>
      </c>
      <c r="U75" s="629">
        <f>IF(M75="","",X75*SIN(RADIANS(W75)))</f>
        <v>0.85127807927483801</v>
      </c>
      <c r="V75" s="636">
        <f>IF(M75="","",Y75)</f>
        <v>-0.46545149805171809</v>
      </c>
      <c r="W75" s="585">
        <f t="shared" si="224"/>
        <v>141.99997949773959</v>
      </c>
      <c r="X75" s="629">
        <f>IF(M75="","",R75)</f>
        <v>1.3827041702357776</v>
      </c>
      <c r="Y75" s="630">
        <f t="shared" si="223"/>
        <v>-0.46545149805171809</v>
      </c>
      <c r="Z75" s="632">
        <f t="shared" si="468"/>
        <v>-0.80240123924886197</v>
      </c>
      <c r="AA75" s="629">
        <f t="shared" si="469"/>
        <v>0.54189691604529522</v>
      </c>
      <c r="AB75" s="629">
        <f t="shared" si="470"/>
        <v>-0.24999996726497561</v>
      </c>
      <c r="AC75" s="636">
        <f>IF(M75="","",SQRT(Z75^2+AA75^2+AB75^2))</f>
        <v>1</v>
      </c>
      <c r="AD75" s="637">
        <f>IF(M75="","",Z75*(1/SQRT(Z75^2+AA75^2+AB75^2)))</f>
        <v>-0.80240123924886197</v>
      </c>
      <c r="AE75" s="629">
        <f>IF(M75="","",AA75*(1/SQRT(Z75^2+AA75^2+AB75^2)))</f>
        <v>0.54189691604529522</v>
      </c>
      <c r="AF75" s="633">
        <f>IF(M75="","",AB75*(1/SQRT(Z75^2+AA75^2+AB75^2)))</f>
        <v>-0.24999996726497561</v>
      </c>
      <c r="AG75" s="602">
        <f>IF(M75="","",DEGREES(ATAN2(-AF75,AE75)))</f>
        <v>65.234125837354625</v>
      </c>
      <c r="AH75" s="603">
        <f>IF(M75="","",DEGREES(ACOS(AD75)))</f>
        <v>143.36001950406509</v>
      </c>
      <c r="AI75" s="585">
        <f>IF(M75="","",DEGREES(-ACOS(-AF75)))</f>
        <v>-75.522489751159469</v>
      </c>
      <c r="AJ75" s="586">
        <f>IF(M75="","",DEGREES(ATAN2(-AE75,AD75)))</f>
        <v>-124.03289085717384</v>
      </c>
      <c r="AK75" s="635">
        <f>IF(M75="","",(COS(RADIANS((90-$Q$8)-W75))*AD75)+(-SIN(RADIANS((90-$Q$8)-W75))*AE75))</f>
        <v>0.96592583607220739</v>
      </c>
      <c r="AL75" s="629">
        <f>IF(M75="","",(SIN(RADIANS((90-$Q$8)-W75))*AD75)+(COS(RADIANS((90-$Q$8)-W75))*AE75))</f>
        <v>6.698727920820724E-2</v>
      </c>
      <c r="AM75" s="634">
        <f>IF(M75="","",AF75)</f>
        <v>-0.24999996726497561</v>
      </c>
      <c r="AN75" s="581">
        <f>IF(M75="","",DEGREES(ATAN2(-AM75,AL75)))</f>
        <v>14.999997834268278</v>
      </c>
      <c r="AO75" s="582">
        <f t="shared" si="461"/>
        <v>14.999997834268255</v>
      </c>
      <c r="AP75" s="585">
        <f>IF(M75="","",DEGREES(ATAN2(AK75,AL75)))</f>
        <v>3.9671296450865734</v>
      </c>
      <c r="AQ75" s="586">
        <f t="shared" si="471"/>
        <v>1.6482901718384932</v>
      </c>
      <c r="AS75" s="52">
        <f t="shared" ref="AS75:AS106" si="543">IF(G75="","",IF(AND(W75&lt;(AS74+180),W75&gt;(AS74-180)),W75,IF(W75&gt;(AS74+180),W75-360,IF(W75&lt;(AS74-180),W75+360,"Error"))))</f>
        <v>-218.00002050226041</v>
      </c>
      <c r="AT75" s="72">
        <f t="shared" si="472"/>
        <v>-0.31406259492514832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5.1050000000000004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-1.296095040492796</v>
      </c>
      <c r="C76" s="708">
        <v>-1.6589247780272933</v>
      </c>
      <c r="D76" s="709">
        <v>-0.27185091415235701</v>
      </c>
      <c r="E76" s="710">
        <v>0.80240123924886197</v>
      </c>
      <c r="F76" s="708">
        <v>-0.54189691604529533</v>
      </c>
      <c r="G76" s="711">
        <v>0.24999996726497567</v>
      </c>
      <c r="H76" s="710">
        <v>0.314</v>
      </c>
      <c r="I76" s="708">
        <v>0.52</v>
      </c>
      <c r="J76" s="570">
        <v>5.1079999999999997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5.1079999999999997</v>
      </c>
      <c r="N76" s="632">
        <f t="shared" si="465"/>
        <v>-1.296095040492796</v>
      </c>
      <c r="O76" s="629">
        <f t="shared" si="466"/>
        <v>-1.6589247780272933</v>
      </c>
      <c r="P76" s="633">
        <f t="shared" si="467"/>
        <v>-0.27185091415235701</v>
      </c>
      <c r="Q76" s="585">
        <f t="shared" si="520"/>
        <v>231.99997949773959</v>
      </c>
      <c r="R76" s="629">
        <f t="shared" si="79"/>
        <v>2.1052063493023496</v>
      </c>
      <c r="S76" s="634">
        <f t="shared" si="80"/>
        <v>-0.27185091415235701</v>
      </c>
      <c r="T76" s="635">
        <f t="shared" si="81"/>
        <v>-1.6589247780272933</v>
      </c>
      <c r="U76" s="629">
        <f t="shared" si="82"/>
        <v>1.2960950404927958</v>
      </c>
      <c r="V76" s="636">
        <f t="shared" si="114"/>
        <v>-0.27185091415235701</v>
      </c>
      <c r="W76" s="585">
        <f t="shared" si="224"/>
        <v>141.99997949773959</v>
      </c>
      <c r="X76" s="629">
        <f t="shared" si="83"/>
        <v>2.1052063493023496</v>
      </c>
      <c r="Y76" s="630">
        <f t="shared" ref="Y76:Y129" si="644">IF(M76="","",S76)</f>
        <v>-0.27185091415235701</v>
      </c>
      <c r="Z76" s="632">
        <f t="shared" si="468"/>
        <v>-0.80240123924886197</v>
      </c>
      <c r="AA76" s="629">
        <f t="shared" si="469"/>
        <v>0.54189691604529533</v>
      </c>
      <c r="AB76" s="629">
        <f t="shared" si="470"/>
        <v>-0.24999996726497567</v>
      </c>
      <c r="AC76" s="636">
        <f t="shared" si="84"/>
        <v>1</v>
      </c>
      <c r="AD76" s="637">
        <f t="shared" si="115"/>
        <v>-0.80240123924886197</v>
      </c>
      <c r="AE76" s="629">
        <f t="shared" si="85"/>
        <v>0.54189691604529533</v>
      </c>
      <c r="AF76" s="633">
        <f t="shared" si="86"/>
        <v>-0.24999996726497567</v>
      </c>
      <c r="AG76" s="602">
        <f t="shared" si="87"/>
        <v>65.234125837354625</v>
      </c>
      <c r="AH76" s="603">
        <f t="shared" si="88"/>
        <v>143.36001950406509</v>
      </c>
      <c r="AI76" s="585">
        <f t="shared" si="89"/>
        <v>-75.522489751159455</v>
      </c>
      <c r="AJ76" s="586">
        <f t="shared" si="90"/>
        <v>-124.03289085717384</v>
      </c>
      <c r="AK76" s="635">
        <f t="shared" si="211"/>
        <v>0.96592583607220739</v>
      </c>
      <c r="AL76" s="629">
        <f t="shared" si="91"/>
        <v>6.6987279208207129E-2</v>
      </c>
      <c r="AM76" s="634">
        <f t="shared" si="92"/>
        <v>-0.24999996726497567</v>
      </c>
      <c r="AN76" s="581">
        <f t="shared" si="93"/>
        <v>14.999997834268251</v>
      </c>
      <c r="AO76" s="582">
        <f t="shared" si="461"/>
        <v>14.999997834268255</v>
      </c>
      <c r="AP76" s="585">
        <f t="shared" si="95"/>
        <v>3.9671296450865672</v>
      </c>
      <c r="AQ76" s="586">
        <f t="shared" si="471"/>
        <v>1.0827704558471205</v>
      </c>
      <c r="AS76" s="52">
        <f t="shared" si="543"/>
        <v>-218.00002050226041</v>
      </c>
      <c r="AT76" s="72">
        <f t="shared" si="472"/>
        <v>-0.12046201102578727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5.1079999999999997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-1.8193028933970274</v>
      </c>
      <c r="C77" s="708">
        <v>-2.3242487157687028</v>
      </c>
      <c r="D77" s="709">
        <v>-0.10655041560605347</v>
      </c>
      <c r="E77" s="710">
        <v>0.76282318085733836</v>
      </c>
      <c r="F77" s="708">
        <v>-0.59237089848528013</v>
      </c>
      <c r="G77" s="711">
        <v>0.25922483170875937</v>
      </c>
      <c r="H77" s="710">
        <v>0.314</v>
      </c>
      <c r="I77" s="708">
        <v>0.52</v>
      </c>
      <c r="J77" s="570">
        <v>5.1139999999999999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5.1139999999999999</v>
      </c>
      <c r="N77" s="632">
        <f t="shared" si="465"/>
        <v>-1.8193028933970274</v>
      </c>
      <c r="O77" s="629">
        <f t="shared" si="466"/>
        <v>-2.3242487157687028</v>
      </c>
      <c r="P77" s="633">
        <f t="shared" si="467"/>
        <v>-0.10655041560605347</v>
      </c>
      <c r="Q77" s="585">
        <f t="shared" si="520"/>
        <v>231.94797950524745</v>
      </c>
      <c r="R77" s="629">
        <f t="shared" si="79"/>
        <v>2.9516089020524485</v>
      </c>
      <c r="S77" s="634">
        <f t="shared" si="80"/>
        <v>-0.10655041560605347</v>
      </c>
      <c r="T77" s="635">
        <f t="shared" si="81"/>
        <v>-2.3242487157687024</v>
      </c>
      <c r="U77" s="629">
        <f t="shared" si="82"/>
        <v>1.8193028933970281</v>
      </c>
      <c r="V77" s="636">
        <f t="shared" si="114"/>
        <v>-0.10655041560605347</v>
      </c>
      <c r="W77" s="585">
        <f t="shared" si="224"/>
        <v>141.94797950524745</v>
      </c>
      <c r="X77" s="629">
        <f t="shared" si="83"/>
        <v>2.9516089020524485</v>
      </c>
      <c r="Y77" s="630">
        <f t="shared" si="644"/>
        <v>-0.10655041560605347</v>
      </c>
      <c r="Z77" s="632">
        <f t="shared" si="468"/>
        <v>-0.76282318085733836</v>
      </c>
      <c r="AA77" s="629">
        <f t="shared" si="469"/>
        <v>0.59237089848528013</v>
      </c>
      <c r="AB77" s="629">
        <f t="shared" si="470"/>
        <v>-0.25922483170875937</v>
      </c>
      <c r="AC77" s="636">
        <f t="shared" si="84"/>
        <v>1</v>
      </c>
      <c r="AD77" s="637">
        <f t="shared" si="115"/>
        <v>-0.76282318085733836</v>
      </c>
      <c r="AE77" s="629">
        <f t="shared" si="85"/>
        <v>0.59237089848528013</v>
      </c>
      <c r="AF77" s="633">
        <f t="shared" si="86"/>
        <v>-0.25922483170875937</v>
      </c>
      <c r="AG77" s="602">
        <f t="shared" si="87"/>
        <v>66.36554331768717</v>
      </c>
      <c r="AH77" s="603">
        <f t="shared" si="88"/>
        <v>139.71371940482061</v>
      </c>
      <c r="AI77" s="585">
        <f t="shared" si="89"/>
        <v>-74.975928618235201</v>
      </c>
      <c r="AJ77" s="586">
        <f t="shared" si="90"/>
        <v>-127.83115240979784</v>
      </c>
      <c r="AK77" s="635">
        <f t="shared" si="211"/>
        <v>0.96580982868782439</v>
      </c>
      <c r="AL77" s="629">
        <f t="shared" si="91"/>
        <v>3.7230948901373351E-3</v>
      </c>
      <c r="AM77" s="634">
        <f t="shared" si="92"/>
        <v>-0.25922483170875937</v>
      </c>
      <c r="AN77" s="581">
        <f t="shared" si="93"/>
        <v>0.8228492490177437</v>
      </c>
      <c r="AO77" s="582">
        <f t="shared" si="461"/>
        <v>15.025657401609337</v>
      </c>
      <c r="AP77" s="585">
        <f t="shared" si="95"/>
        <v>0.22086808495472429</v>
      </c>
      <c r="AQ77" s="586">
        <f t="shared" si="471"/>
        <v>0.7723206671463253</v>
      </c>
      <c r="AS77" s="52">
        <f t="shared" si="543"/>
        <v>-218.05202049475255</v>
      </c>
      <c r="AT77" s="72">
        <f t="shared" si="472"/>
        <v>4.4874598626413603E-2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5.1139999999999999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-2.3030619796420888</v>
      </c>
      <c r="C78" s="708">
        <v>-2.9003276543666683</v>
      </c>
      <c r="D78" s="709">
        <v>-0.16995060682103028</v>
      </c>
      <c r="E78" s="710">
        <v>0.7010311960899398</v>
      </c>
      <c r="F78" s="708">
        <v>-0.6687890882029689</v>
      </c>
      <c r="G78" s="711">
        <v>0.24754073929224241</v>
      </c>
      <c r="H78" s="710">
        <v>0.314</v>
      </c>
      <c r="I78" s="708">
        <v>0.52</v>
      </c>
      <c r="J78" s="570">
        <v>5.1210000000000004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5.1210000000000004</v>
      </c>
      <c r="N78" s="632">
        <f t="shared" si="465"/>
        <v>-2.3030619796420888</v>
      </c>
      <c r="O78" s="629">
        <f t="shared" si="466"/>
        <v>-2.9003276543666683</v>
      </c>
      <c r="P78" s="633">
        <f t="shared" si="467"/>
        <v>-0.16995060682103028</v>
      </c>
      <c r="Q78" s="585">
        <f t="shared" si="520"/>
        <v>231.54797956300033</v>
      </c>
      <c r="R78" s="629">
        <f>IF(M78="","",SQRT(N78^2+O78^2))</f>
        <v>3.7035111697896901</v>
      </c>
      <c r="S78" s="634">
        <f>IF(M78="","",P78)</f>
        <v>-0.16995060682103028</v>
      </c>
      <c r="T78" s="635">
        <f>IF(M78="","",X78*COS(RADIANS(W78)))</f>
        <v>-2.9003276543666692</v>
      </c>
      <c r="U78" s="629">
        <f>IF(M78="","",X78*SIN(RADIANS(W78)))</f>
        <v>2.3030619796420879</v>
      </c>
      <c r="V78" s="636">
        <f>IF(M78="","",Y78)</f>
        <v>-0.16995060682103028</v>
      </c>
      <c r="W78" s="585">
        <f t="shared" si="224"/>
        <v>141.54797956300033</v>
      </c>
      <c r="X78" s="629">
        <f>IF(M78="","",R78)</f>
        <v>3.7035111697896901</v>
      </c>
      <c r="Y78" s="630">
        <f t="shared" si="644"/>
        <v>-0.16995060682103028</v>
      </c>
      <c r="Z78" s="632">
        <f t="shared" si="468"/>
        <v>-0.7010311960899398</v>
      </c>
      <c r="AA78" s="629">
        <f t="shared" si="469"/>
        <v>0.6687890882029689</v>
      </c>
      <c r="AB78" s="629">
        <f t="shared" si="470"/>
        <v>-0.24754073929224241</v>
      </c>
      <c r="AC78" s="636">
        <f>IF(M78="","",SQRT(Z78^2+AA78^2+AB78^2))</f>
        <v>1</v>
      </c>
      <c r="AD78" s="637">
        <f>IF(M78="","",Z78*(1/SQRT(Z78^2+AA78^2+AB78^2)))</f>
        <v>-0.7010311960899398</v>
      </c>
      <c r="AE78" s="629">
        <f>IF(M78="","",AA78*(1/SQRT(Z78^2+AA78^2+AB78^2)))</f>
        <v>0.6687890882029689</v>
      </c>
      <c r="AF78" s="633">
        <f>IF(M78="","",AB78*(1/SQRT(Z78^2+AA78^2+AB78^2)))</f>
        <v>-0.24754073929224241</v>
      </c>
      <c r="AG78" s="602">
        <f>IF(M78="","",DEGREES(ATAN2(-AF78,AE78)))</f>
        <v>69.688836827720692</v>
      </c>
      <c r="AH78" s="603">
        <f>IF(M78="","",DEGREES(ACOS(AD78)))</f>
        <v>134.50979566703475</v>
      </c>
      <c r="AI78" s="585">
        <f>IF(M78="","",DEGREES(-ACOS(-AF78)))</f>
        <v>-75.667966609306291</v>
      </c>
      <c r="AJ78" s="586">
        <f>IF(M78="","",DEGREES(ATAN2(-AE78,AD78)))</f>
        <v>-133.65165110359891</v>
      </c>
      <c r="AK78" s="635">
        <f>IF(M78="","",(COS(RADIANS((90-$Q$8)-W78))*AD78)+(-SIN(RADIANS((90-$Q$8)-W78))*AE78))</f>
        <v>0.96489053824997062</v>
      </c>
      <c r="AL78" s="629">
        <f>IF(M78="","",(SIN(RADIANS((90-$Q$8)-W78))*AD78)+(COS(RADIANS((90-$Q$8)-W78))*AE78))</f>
        <v>-8.7805646665418124E-2</v>
      </c>
      <c r="AM78" s="634">
        <f>IF(M78="","",AF78)</f>
        <v>-0.24754073929224241</v>
      </c>
      <c r="AN78" s="581">
        <f>IF(M78="","",DEGREES(ATAN2(-AM78,AL78)))</f>
        <v>-19.530201683874303</v>
      </c>
      <c r="AO78" s="582">
        <f t="shared" si="461"/>
        <v>15.227500720177126</v>
      </c>
      <c r="AP78" s="585">
        <f>IF(M78="","",DEGREES(ATAN2(AK78,AL78)))</f>
        <v>-5.1996306665992371</v>
      </c>
      <c r="AQ78" s="586">
        <f t="shared" si="471"/>
        <v>0.61553450831670098</v>
      </c>
      <c r="AS78" s="52">
        <f t="shared" si="543"/>
        <v>-218.45202043699967</v>
      </c>
      <c r="AT78" s="72">
        <f t="shared" si="472"/>
        <v>-1.8247814850891608E-2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5.1210000000000004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-2.7777012829978176</v>
      </c>
      <c r="C79" s="708">
        <v>-3.4251585216719556</v>
      </c>
      <c r="D79" s="709">
        <v>-0.4352514069682436</v>
      </c>
      <c r="E79" s="710">
        <v>0.63680864316234043</v>
      </c>
      <c r="F79" s="708">
        <v>-0.7369605340578127</v>
      </c>
      <c r="G79" s="711">
        <v>0.22663610311458032</v>
      </c>
      <c r="H79" s="710">
        <v>0.314</v>
      </c>
      <c r="I79" s="708">
        <v>0.52</v>
      </c>
      <c r="J79" s="570">
        <v>5.1280000000000001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 t="shared" si="464"/>
        <v>5.1280000000000001</v>
      </c>
      <c r="N79" s="632">
        <f t="shared" si="465"/>
        <v>-2.7777012829978176</v>
      </c>
      <c r="O79" s="629">
        <f t="shared" si="466"/>
        <v>-3.4251585216719556</v>
      </c>
      <c r="P79" s="633">
        <f t="shared" si="467"/>
        <v>-0.4352514069682436</v>
      </c>
      <c r="Q79" s="585">
        <f t="shared" si="520"/>
        <v>230.95897964804138</v>
      </c>
      <c r="R79" s="629">
        <f>IF(M79="","",SQRT(N79^2+O79^2))</f>
        <v>4.4099133002985145</v>
      </c>
      <c r="S79" s="634">
        <f>IF(M79="","",P79)</f>
        <v>-0.4352514069682436</v>
      </c>
      <c r="T79" s="635">
        <f>IF(M79="","",X79*COS(RADIANS(W79)))</f>
        <v>-3.4251585216719547</v>
      </c>
      <c r="U79" s="629">
        <f>IF(M79="","",X79*SIN(RADIANS(W79)))</f>
        <v>2.7777012829978185</v>
      </c>
      <c r="V79" s="636">
        <f>IF(M79="","",Y79)</f>
        <v>-0.4352514069682436</v>
      </c>
      <c r="W79" s="585">
        <f t="shared" ref="W79:W129" si="645">IF(M79="","",IF(Q79-$Q$8&lt;0,360+Q79-$Q$8,Q79-$Q$8))</f>
        <v>140.95897964804138</v>
      </c>
      <c r="X79" s="629">
        <f>IF(M79="","",R79)</f>
        <v>4.4099133002985145</v>
      </c>
      <c r="Y79" s="630">
        <f t="shared" si="644"/>
        <v>-0.4352514069682436</v>
      </c>
      <c r="Z79" s="632">
        <f t="shared" si="468"/>
        <v>-0.63680864316234043</v>
      </c>
      <c r="AA79" s="629">
        <f t="shared" si="469"/>
        <v>0.7369605340578127</v>
      </c>
      <c r="AB79" s="629">
        <f t="shared" si="470"/>
        <v>-0.22663610311458032</v>
      </c>
      <c r="AC79" s="636">
        <f>IF(M79="","",SQRT(Z79^2+AA79^2+AB79^2))</f>
        <v>1</v>
      </c>
      <c r="AD79" s="637">
        <f>IF(M79="","",Z79*(1/SQRT(Z79^2+AA79^2+AB79^2)))</f>
        <v>-0.63680864316234043</v>
      </c>
      <c r="AE79" s="629">
        <f>IF(M79="","",AA79*(1/SQRT(Z79^2+AA79^2+AB79^2)))</f>
        <v>0.7369605340578127</v>
      </c>
      <c r="AF79" s="633">
        <f>IF(M79="","",AB79*(1/SQRT(Z79^2+AA79^2+AB79^2)))</f>
        <v>-0.22663610311458032</v>
      </c>
      <c r="AG79" s="602">
        <f>IF(M79="","",DEGREES(ATAN2(-AF79,AE79)))</f>
        <v>72.90586398297647</v>
      </c>
      <c r="AH79" s="603">
        <f>IF(M79="","",DEGREES(ACOS(AD79)))</f>
        <v>129.5542575971759</v>
      </c>
      <c r="AI79" s="585">
        <f>IF(M79="","",DEGREES(-ACOS(-AF79)))</f>
        <v>-76.900894418285162</v>
      </c>
      <c r="AJ79" s="586">
        <f>IF(M79="","",DEGREES(ATAN2(-AE79,AD79)))</f>
        <v>-139.16965748068529</v>
      </c>
      <c r="AK79" s="635">
        <f>IF(M79="","",(COS(RADIANS((90-$Q$8)-W79))*AD79)+(-SIN(RADIANS((90-$Q$8)-W79))*AE79))</f>
        <v>0.95880043072202192</v>
      </c>
      <c r="AL79" s="629">
        <f>IF(M79="","",(SIN(RADIANS((90-$Q$8)-W79))*AD79)+(COS(RADIANS((90-$Q$8)-W79))*AE79))</f>
        <v>-0.17128283863920152</v>
      </c>
      <c r="AM79" s="634">
        <f>IF(M79="","",AF79)</f>
        <v>-0.22663610311458032</v>
      </c>
      <c r="AN79" s="581">
        <f>IF(M79="","",DEGREES(ATAN2(-AM79,AL79)))</f>
        <v>-37.080583782138973</v>
      </c>
      <c r="AO79" s="582">
        <f t="shared" si="461"/>
        <v>16.503893871431632</v>
      </c>
      <c r="AP79" s="585">
        <f>IF(M79="","",DEGREES(ATAN2(AK79,AL79)))</f>
        <v>-10.128637128726654</v>
      </c>
      <c r="AQ79" s="586">
        <f t="shared" si="471"/>
        <v>0.51694095054922606</v>
      </c>
      <c r="AS79" s="52">
        <f t="shared" si="543"/>
        <v>-219.04102035195862</v>
      </c>
      <c r="AT79" s="72">
        <f t="shared" si="472"/>
        <v>-0.28313958727938343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5.1280000000000001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-3.2013212922130903</v>
      </c>
      <c r="C80" s="708">
        <v>-3.8635476044896122</v>
      </c>
      <c r="D80" s="709">
        <v>-0.88255275602911198</v>
      </c>
      <c r="E80" s="710">
        <v>0.57759185431400961</v>
      </c>
      <c r="F80" s="708">
        <v>-0.79547641790066503</v>
      </c>
      <c r="G80" s="711">
        <v>0.18331644332691691</v>
      </c>
      <c r="H80" s="710">
        <v>0.314</v>
      </c>
      <c r="I80" s="708">
        <v>0.52</v>
      </c>
      <c r="J80" s="570">
        <v>5.1349999999999998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5.1349999999999998</v>
      </c>
      <c r="N80" s="632">
        <f t="shared" si="465"/>
        <v>-3.2013212922130903</v>
      </c>
      <c r="O80" s="629">
        <f t="shared" si="466"/>
        <v>-3.8635476044896122</v>
      </c>
      <c r="P80" s="633">
        <f t="shared" si="467"/>
        <v>-0.88255275602911198</v>
      </c>
      <c r="Q80" s="585">
        <f t="shared" si="520"/>
        <v>230.35497973524818</v>
      </c>
      <c r="R80" s="629">
        <f t="shared" si="79"/>
        <v>5.0175151328256415</v>
      </c>
      <c r="S80" s="634">
        <f t="shared" si="80"/>
        <v>-0.88255275602911198</v>
      </c>
      <c r="T80" s="635">
        <f t="shared" si="81"/>
        <v>-3.8635476044896127</v>
      </c>
      <c r="U80" s="629">
        <f t="shared" si="82"/>
        <v>3.2013212922130903</v>
      </c>
      <c r="V80" s="636">
        <f t="shared" si="114"/>
        <v>-0.88255275602911198</v>
      </c>
      <c r="W80" s="585">
        <f t="shared" si="645"/>
        <v>140.35497973524818</v>
      </c>
      <c r="X80" s="629">
        <f t="shared" si="83"/>
        <v>5.0175151328256415</v>
      </c>
      <c r="Y80" s="630">
        <f t="shared" si="644"/>
        <v>-0.88255275602911198</v>
      </c>
      <c r="Z80" s="632">
        <f t="shared" si="468"/>
        <v>-0.57759185431400961</v>
      </c>
      <c r="AA80" s="629">
        <f t="shared" si="469"/>
        <v>0.79547641790066503</v>
      </c>
      <c r="AB80" s="629">
        <f t="shared" si="470"/>
        <v>-0.18331644332691691</v>
      </c>
      <c r="AC80" s="636">
        <f t="shared" si="84"/>
        <v>1</v>
      </c>
      <c r="AD80" s="637">
        <f t="shared" si="115"/>
        <v>-0.57759185431400961</v>
      </c>
      <c r="AE80" s="629">
        <f t="shared" si="85"/>
        <v>0.79547641790066503</v>
      </c>
      <c r="AF80" s="633">
        <f t="shared" si="86"/>
        <v>-0.18331644332691691</v>
      </c>
      <c r="AG80" s="602">
        <f t="shared" si="87"/>
        <v>77.022825234892892</v>
      </c>
      <c r="AH80" s="603">
        <f t="shared" si="88"/>
        <v>125.28134414016746</v>
      </c>
      <c r="AI80" s="585">
        <f t="shared" si="89"/>
        <v>-79.437006820421061</v>
      </c>
      <c r="AJ80" s="586">
        <f t="shared" si="90"/>
        <v>-144.01676704450094</v>
      </c>
      <c r="AK80" s="635">
        <f t="shared" si="211"/>
        <v>0.9522899468557402</v>
      </c>
      <c r="AL80" s="629">
        <f t="shared" si="91"/>
        <v>-0.24400602189999543</v>
      </c>
      <c r="AM80" s="634">
        <f t="shared" si="92"/>
        <v>-0.18331644332691691</v>
      </c>
      <c r="AN80" s="581">
        <f t="shared" si="93"/>
        <v>-53.083254641586549</v>
      </c>
      <c r="AO80" s="582">
        <f t="shared" si="461"/>
        <v>17.769883050898631</v>
      </c>
      <c r="AP80" s="585">
        <f t="shared" si="95"/>
        <v>-14.371746779749101</v>
      </c>
      <c r="AQ80" s="586">
        <f t="shared" si="471"/>
        <v>0.45434418970260904</v>
      </c>
      <c r="AS80" s="52">
        <f t="shared" si="543"/>
        <v>-219.64502026475182</v>
      </c>
      <c r="AT80" s="72">
        <f t="shared" si="472"/>
        <v>-0.73002149195636767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5.1349999999999998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-3.5337627663473077</v>
      </c>
      <c r="C81" s="708">
        <v>-4.1894952617543799</v>
      </c>
      <c r="D81" s="709">
        <v>-1.4782545526657316</v>
      </c>
      <c r="E81" s="710">
        <v>0.5166396181637104</v>
      </c>
      <c r="F81" s="708">
        <v>-0.84570157844420901</v>
      </c>
      <c r="G81" s="711">
        <v>0.13368749066621471</v>
      </c>
      <c r="H81" s="710">
        <v>0.314</v>
      </c>
      <c r="I81" s="708">
        <v>0.52</v>
      </c>
      <c r="J81" s="570">
        <v>5.1420000000000003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5.1420000000000003</v>
      </c>
      <c r="N81" s="632">
        <f t="shared" si="465"/>
        <v>-3.5337627663473077</v>
      </c>
      <c r="O81" s="629">
        <f t="shared" si="466"/>
        <v>-4.1894952617543799</v>
      </c>
      <c r="P81" s="633">
        <f t="shared" si="467"/>
        <v>-1.4782545526657316</v>
      </c>
      <c r="Q81" s="585">
        <f t="shared" si="520"/>
        <v>229.85297980772802</v>
      </c>
      <c r="R81" s="629">
        <f t="shared" si="79"/>
        <v>5.480816530142655</v>
      </c>
      <c r="S81" s="634">
        <f t="shared" si="80"/>
        <v>-1.4782545526657316</v>
      </c>
      <c r="T81" s="635">
        <f t="shared" si="81"/>
        <v>-4.1894952617543808</v>
      </c>
      <c r="U81" s="629">
        <f t="shared" si="82"/>
        <v>3.5337627663473063</v>
      </c>
      <c r="V81" s="636">
        <f t="shared" si="114"/>
        <v>-1.4782545526657316</v>
      </c>
      <c r="W81" s="585">
        <f t="shared" si="645"/>
        <v>139.85297980772802</v>
      </c>
      <c r="X81" s="629">
        <f t="shared" si="83"/>
        <v>5.480816530142655</v>
      </c>
      <c r="Y81" s="630">
        <f t="shared" si="644"/>
        <v>-1.4782545526657316</v>
      </c>
      <c r="Z81" s="632">
        <f t="shared" si="468"/>
        <v>-0.5166396181637104</v>
      </c>
      <c r="AA81" s="629">
        <f t="shared" si="469"/>
        <v>0.84570157844420901</v>
      </c>
      <c r="AB81" s="629">
        <f t="shared" si="470"/>
        <v>-0.13368749066621471</v>
      </c>
      <c r="AC81" s="636">
        <f t="shared" si="84"/>
        <v>1.0000000000000002</v>
      </c>
      <c r="AD81" s="637">
        <f t="shared" si="115"/>
        <v>-0.51663961816371029</v>
      </c>
      <c r="AE81" s="629">
        <f t="shared" si="85"/>
        <v>0.84570157844420879</v>
      </c>
      <c r="AF81" s="633">
        <f t="shared" si="86"/>
        <v>-0.13368749066621469</v>
      </c>
      <c r="AG81" s="602">
        <f t="shared" si="87"/>
        <v>81.017084161025991</v>
      </c>
      <c r="AH81" s="603">
        <f t="shared" si="88"/>
        <v>121.1071124492351</v>
      </c>
      <c r="AI81" s="585">
        <f t="shared" si="89"/>
        <v>-82.317269314168257</v>
      </c>
      <c r="AJ81" s="586">
        <f t="shared" si="90"/>
        <v>-148.5792161771486</v>
      </c>
      <c r="AK81" s="635">
        <f t="shared" si="211"/>
        <v>0.94018253545601271</v>
      </c>
      <c r="AL81" s="629">
        <f t="shared" si="91"/>
        <v>-0.31334398807520453</v>
      </c>
      <c r="AM81" s="634">
        <f t="shared" si="92"/>
        <v>-0.13368749066621469</v>
      </c>
      <c r="AN81" s="581">
        <f t="shared" si="93"/>
        <v>-66.894592674471426</v>
      </c>
      <c r="AO81" s="582">
        <f t="shared" si="461"/>
        <v>19.917766521029947</v>
      </c>
      <c r="AP81" s="585">
        <f t="shared" si="95"/>
        <v>-18.432195984876618</v>
      </c>
      <c r="AQ81" s="586">
        <f t="shared" si="471"/>
        <v>0.4159392257921668</v>
      </c>
      <c r="AS81" s="52">
        <f t="shared" si="543"/>
        <v>-220.14702019227198</v>
      </c>
      <c r="AT81" s="72">
        <f t="shared" si="472"/>
        <v>-1.3253746775322093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5.1420000000000003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-3.7414488304887072</v>
      </c>
      <c r="C82" s="708">
        <v>-4.3854730938406288</v>
      </c>
      <c r="D82" s="709">
        <v>-2.1773566611576909</v>
      </c>
      <c r="E82" s="710">
        <v>0.43836013071517421</v>
      </c>
      <c r="F82" s="708">
        <v>-0.89507618621759544</v>
      </c>
      <c r="G82" s="711">
        <v>8.1725251088876211E-2</v>
      </c>
      <c r="H82" s="710">
        <v>0.314</v>
      </c>
      <c r="I82" s="708">
        <v>0.52</v>
      </c>
      <c r="J82" s="570">
        <v>5.149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5.149</v>
      </c>
      <c r="N82" s="632">
        <f t="shared" si="465"/>
        <v>-3.7414488304887072</v>
      </c>
      <c r="O82" s="629">
        <f t="shared" si="466"/>
        <v>-4.3854730938406288</v>
      </c>
      <c r="P82" s="633">
        <f t="shared" si="467"/>
        <v>-2.1773566611576909</v>
      </c>
      <c r="Q82" s="585">
        <f t="shared" si="520"/>
        <v>229.53097985421903</v>
      </c>
      <c r="R82" s="629">
        <f t="shared" si="79"/>
        <v>5.7646173860860364</v>
      </c>
      <c r="S82" s="634">
        <f t="shared" si="80"/>
        <v>-2.1773566611576909</v>
      </c>
      <c r="T82" s="635">
        <f t="shared" si="81"/>
        <v>-4.385473093840627</v>
      </c>
      <c r="U82" s="629">
        <f t="shared" si="82"/>
        <v>3.7414488304887077</v>
      </c>
      <c r="V82" s="636">
        <f t="shared" si="114"/>
        <v>-2.1773566611576909</v>
      </c>
      <c r="W82" s="585">
        <f t="shared" si="645"/>
        <v>139.53097985421903</v>
      </c>
      <c r="X82" s="629">
        <f t="shared" si="83"/>
        <v>5.7646173860860364</v>
      </c>
      <c r="Y82" s="630">
        <f t="shared" si="644"/>
        <v>-2.1773566611576909</v>
      </c>
      <c r="Z82" s="632">
        <f t="shared" si="468"/>
        <v>-0.43836013071517421</v>
      </c>
      <c r="AA82" s="629">
        <f t="shared" si="469"/>
        <v>0.89507618621759544</v>
      </c>
      <c r="AB82" s="629">
        <f t="shared" si="470"/>
        <v>-8.1725251088876211E-2</v>
      </c>
      <c r="AC82" s="636">
        <f t="shared" si="84"/>
        <v>1</v>
      </c>
      <c r="AD82" s="637">
        <f t="shared" si="115"/>
        <v>-0.43836013071517421</v>
      </c>
      <c r="AE82" s="629">
        <f t="shared" si="85"/>
        <v>0.89507618621759544</v>
      </c>
      <c r="AF82" s="633">
        <f t="shared" si="86"/>
        <v>-8.1725251088876211E-2</v>
      </c>
      <c r="AG82" s="602">
        <f t="shared" si="87"/>
        <v>84.783053601693908</v>
      </c>
      <c r="AH82" s="603">
        <f t="shared" si="88"/>
        <v>115.99929775607936</v>
      </c>
      <c r="AI82" s="585">
        <f t="shared" si="89"/>
        <v>-85.312259874893229</v>
      </c>
      <c r="AJ82" s="586">
        <f t="shared" si="90"/>
        <v>-153.90687493238789</v>
      </c>
      <c r="AK82" s="635">
        <f t="shared" si="211"/>
        <v>0.91442292796556102</v>
      </c>
      <c r="AL82" s="629">
        <f t="shared" si="91"/>
        <v>-0.39642362712803902</v>
      </c>
      <c r="AM82" s="634">
        <f t="shared" si="92"/>
        <v>-8.1725251088876211E-2</v>
      </c>
      <c r="AN82" s="581">
        <f t="shared" si="93"/>
        <v>-78.351305893694175</v>
      </c>
      <c r="AO82" s="582">
        <f t="shared" si="461"/>
        <v>23.876092345989971</v>
      </c>
      <c r="AP82" s="585">
        <f t="shared" si="95"/>
        <v>-23.437854786606923</v>
      </c>
      <c r="AQ82" s="586">
        <f t="shared" si="471"/>
        <v>0.39546257411659225</v>
      </c>
      <c r="AS82" s="52">
        <f t="shared" si="543"/>
        <v>-220.46902014578097</v>
      </c>
      <c r="AT82" s="72">
        <f t="shared" si="472"/>
        <v>-2.024253174945343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5.149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-3.807069927022916</v>
      </c>
      <c r="C83" s="708">
        <v>-4.4463341641060916</v>
      </c>
      <c r="D83" s="709">
        <v>-2.9273589231645119</v>
      </c>
      <c r="E83" s="710">
        <v>0.32156913987964991</v>
      </c>
      <c r="F83" s="708">
        <v>-0.94676624720411962</v>
      </c>
      <c r="G83" s="711">
        <v>1.5065239197905422E-2</v>
      </c>
      <c r="H83" s="710">
        <v>0.314</v>
      </c>
      <c r="I83" s="708">
        <v>0.52</v>
      </c>
      <c r="J83" s="570">
        <v>5.1559999999999997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5.1559999999999997</v>
      </c>
      <c r="N83" s="632">
        <f t="shared" si="465"/>
        <v>-3.807069927022916</v>
      </c>
      <c r="O83" s="629">
        <f t="shared" si="466"/>
        <v>-4.4463341641060916</v>
      </c>
      <c r="P83" s="633">
        <f t="shared" si="467"/>
        <v>-2.9273589231645119</v>
      </c>
      <c r="Q83" s="585">
        <f t="shared" si="520"/>
        <v>229.42897986894602</v>
      </c>
      <c r="R83" s="629">
        <f t="shared" si="79"/>
        <v>5.8535176542092442</v>
      </c>
      <c r="S83" s="634">
        <f t="shared" si="80"/>
        <v>-2.9273589231645119</v>
      </c>
      <c r="T83" s="635">
        <f t="shared" si="81"/>
        <v>-4.4463341641060916</v>
      </c>
      <c r="U83" s="629">
        <f t="shared" si="82"/>
        <v>3.8070699270229165</v>
      </c>
      <c r="V83" s="636">
        <f t="shared" si="114"/>
        <v>-2.9273589231645119</v>
      </c>
      <c r="W83" s="585">
        <f t="shared" si="645"/>
        <v>139.42897986894602</v>
      </c>
      <c r="X83" s="629">
        <f t="shared" si="83"/>
        <v>5.8535176542092442</v>
      </c>
      <c r="Y83" s="630">
        <f t="shared" si="644"/>
        <v>-2.9273589231645119</v>
      </c>
      <c r="Z83" s="632">
        <f t="shared" si="468"/>
        <v>-0.32156913987964991</v>
      </c>
      <c r="AA83" s="629">
        <f t="shared" si="469"/>
        <v>0.94676624720411962</v>
      </c>
      <c r="AB83" s="629">
        <f t="shared" si="470"/>
        <v>-1.5065239197905422E-2</v>
      </c>
      <c r="AC83" s="636">
        <f t="shared" si="84"/>
        <v>1</v>
      </c>
      <c r="AD83" s="637">
        <f t="shared" si="115"/>
        <v>-0.32156913987964991</v>
      </c>
      <c r="AE83" s="629">
        <f t="shared" si="85"/>
        <v>0.94676624720411962</v>
      </c>
      <c r="AF83" s="633">
        <f t="shared" si="86"/>
        <v>-1.5065239197905422E-2</v>
      </c>
      <c r="AG83" s="602">
        <f t="shared" si="87"/>
        <v>89.088368660588642</v>
      </c>
      <c r="AH83" s="603">
        <f t="shared" si="88"/>
        <v>108.75784638531623</v>
      </c>
      <c r="AI83" s="585">
        <f t="shared" si="89"/>
        <v>-89.136792722044987</v>
      </c>
      <c r="AJ83" s="586">
        <f t="shared" si="90"/>
        <v>-161.23994511114972</v>
      </c>
      <c r="AK83" s="635">
        <f t="shared" si="211"/>
        <v>0.86003143029732965</v>
      </c>
      <c r="AL83" s="629">
        <f t="shared" si="91"/>
        <v>-0.51001860502205154</v>
      </c>
      <c r="AM83" s="634">
        <f t="shared" si="92"/>
        <v>-1.5065239197905422E-2</v>
      </c>
      <c r="AN83" s="581">
        <f t="shared" si="93"/>
        <v>-88.308054455547264</v>
      </c>
      <c r="AO83" s="582">
        <f t="shared" si="461"/>
        <v>30.679887934137014</v>
      </c>
      <c r="AP83" s="585">
        <f t="shared" si="95"/>
        <v>-30.668924980095763</v>
      </c>
      <c r="AQ83" s="586">
        <f t="shared" si="471"/>
        <v>0.38945667480883878</v>
      </c>
      <c r="AS83" s="52">
        <f t="shared" si="543"/>
        <v>-220.57102013105398</v>
      </c>
      <c r="AT83" s="72">
        <f t="shared" si="472"/>
        <v>-2.7741846036290578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5.1559999999999997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>
        <f t="shared" si="542"/>
        <v>1613</v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-3.8372774050882033</v>
      </c>
      <c r="C84" s="708">
        <v>-4.4741797179219542</v>
      </c>
      <c r="D84" s="709">
        <v>-3.7183613088277081</v>
      </c>
      <c r="E84" s="710">
        <v>0.24838533072969099</v>
      </c>
      <c r="F84" s="708">
        <v>-0.9686613068964226</v>
      </c>
      <c r="G84" s="711">
        <v>1.3008419230815257E-7</v>
      </c>
      <c r="H84" s="710">
        <v>0.314</v>
      </c>
      <c r="I84" s="708">
        <v>0.52</v>
      </c>
      <c r="J84" s="570">
        <v>5.1630000000000003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5.1630000000000003</v>
      </c>
      <c r="N84" s="632">
        <f t="shared" si="465"/>
        <v>-3.8372774050882033</v>
      </c>
      <c r="O84" s="629">
        <f t="shared" si="466"/>
        <v>-4.4741797179219542</v>
      </c>
      <c r="P84" s="633">
        <f t="shared" si="467"/>
        <v>-3.7183613088277081</v>
      </c>
      <c r="Q84" s="585">
        <f t="shared" si="520"/>
        <v>229.38197984336304</v>
      </c>
      <c r="R84" s="629">
        <f t="shared" si="79"/>
        <v>5.8943177749307543</v>
      </c>
      <c r="S84" s="634">
        <f t="shared" si="80"/>
        <v>-3.7183613088277081</v>
      </c>
      <c r="T84" s="635">
        <f t="shared" si="81"/>
        <v>-4.4741797179219533</v>
      </c>
      <c r="U84" s="629">
        <f t="shared" si="82"/>
        <v>3.8372774050882046</v>
      </c>
      <c r="V84" s="636">
        <f t="shared" si="114"/>
        <v>-3.7183613088277081</v>
      </c>
      <c r="W84" s="585">
        <f t="shared" si="645"/>
        <v>139.38197984336304</v>
      </c>
      <c r="X84" s="629">
        <f t="shared" si="83"/>
        <v>5.8943177749307543</v>
      </c>
      <c r="Y84" s="630">
        <f t="shared" si="644"/>
        <v>-3.7183613088277081</v>
      </c>
      <c r="Z84" s="632">
        <f t="shared" si="468"/>
        <v>-0.24838533072969099</v>
      </c>
      <c r="AA84" s="629">
        <f t="shared" si="469"/>
        <v>0.9686613068964226</v>
      </c>
      <c r="AB84" s="629">
        <f t="shared" si="470"/>
        <v>-1.3008419230815257E-7</v>
      </c>
      <c r="AC84" s="636">
        <f t="shared" si="84"/>
        <v>1</v>
      </c>
      <c r="AD84" s="637">
        <f t="shared" si="115"/>
        <v>-0.24838533072969099</v>
      </c>
      <c r="AE84" s="629">
        <f t="shared" si="85"/>
        <v>0.9686613068964226</v>
      </c>
      <c r="AF84" s="633">
        <f t="shared" si="86"/>
        <v>-1.3008419230815257E-7</v>
      </c>
      <c r="AG84" s="602">
        <f t="shared" si="87"/>
        <v>89.999992305592116</v>
      </c>
      <c r="AH84" s="603">
        <f t="shared" si="88"/>
        <v>104.38198492910659</v>
      </c>
      <c r="AI84" s="585">
        <f t="shared" si="89"/>
        <v>-89.999992546724798</v>
      </c>
      <c r="AJ84" s="586">
        <f t="shared" si="90"/>
        <v>-165.61801507089328</v>
      </c>
      <c r="AK84" s="635">
        <f t="shared" si="211"/>
        <v>0.81915209520133081</v>
      </c>
      <c r="AL84" s="629">
        <f t="shared" si="91"/>
        <v>-0.57357636364066922</v>
      </c>
      <c r="AM84" s="634">
        <f t="shared" si="92"/>
        <v>-1.3008419230815257E-7</v>
      </c>
      <c r="AN84" s="581">
        <f t="shared" si="93"/>
        <v>-89.999987005609597</v>
      </c>
      <c r="AO84" s="582">
        <f t="shared" si="461"/>
        <v>34.999994914257023</v>
      </c>
      <c r="AP84" s="585">
        <f t="shared" si="95"/>
        <v>-34.999994914256341</v>
      </c>
      <c r="AQ84" s="586">
        <f t="shared" si="471"/>
        <v>0.38676096080327571</v>
      </c>
      <c r="AS84" s="52">
        <f t="shared" si="543"/>
        <v>-220.61802015663696</v>
      </c>
      <c r="AT84" s="72">
        <f t="shared" si="472"/>
        <v>-3.5651543503855989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5.1630000000000003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-2.4740832013513421</v>
      </c>
      <c r="C85" s="708">
        <v>-1.6032025289748395</v>
      </c>
      <c r="D85" s="709">
        <v>-0.1005503975099989</v>
      </c>
      <c r="E85" s="710">
        <v>1.2333267363039402E-7</v>
      </c>
      <c r="F85" s="708">
        <v>-1.9032860204484621E-7</v>
      </c>
      <c r="G85" s="711">
        <v>0.99999999999997435</v>
      </c>
      <c r="H85" s="710">
        <v>0.25700000000000001</v>
      </c>
      <c r="I85" s="708">
        <v>0.41499999999999992</v>
      </c>
      <c r="J85" s="570">
        <v>5.2140000000000004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5.2140000000000004</v>
      </c>
      <c r="N85" s="632">
        <f t="shared" si="465"/>
        <v>-2.4740832013513421</v>
      </c>
      <c r="O85" s="629">
        <f t="shared" si="466"/>
        <v>-1.6032025289748395</v>
      </c>
      <c r="P85" s="633">
        <f t="shared" si="467"/>
        <v>-0.1005503975099989</v>
      </c>
      <c r="Q85" s="585">
        <f t="shared" si="520"/>
        <v>212.9431822492007</v>
      </c>
      <c r="R85" s="629">
        <f t="shared" si="79"/>
        <v>2.9481088914964158</v>
      </c>
      <c r="S85" s="634">
        <f t="shared" si="80"/>
        <v>-0.1005503975099989</v>
      </c>
      <c r="T85" s="635">
        <f t="shared" si="81"/>
        <v>-1.6032025289748395</v>
      </c>
      <c r="U85" s="629">
        <f t="shared" si="82"/>
        <v>2.4740832013513416</v>
      </c>
      <c r="V85" s="636">
        <f t="shared" si="114"/>
        <v>-0.1005503975099989</v>
      </c>
      <c r="W85" s="585">
        <f t="shared" si="645"/>
        <v>122.9431822492007</v>
      </c>
      <c r="X85" s="629">
        <f t="shared" si="83"/>
        <v>2.9481088914964158</v>
      </c>
      <c r="Y85" s="630">
        <f t="shared" si="644"/>
        <v>-0.1005503975099989</v>
      </c>
      <c r="Z85" s="632">
        <f t="shared" si="468"/>
        <v>-1.2333267363039402E-7</v>
      </c>
      <c r="AA85" s="629">
        <f t="shared" si="469"/>
        <v>1.9032860204484621E-7</v>
      </c>
      <c r="AB85" s="629">
        <f t="shared" si="470"/>
        <v>-0.99999999999997435</v>
      </c>
      <c r="AC85" s="636">
        <f t="shared" si="84"/>
        <v>1</v>
      </c>
      <c r="AD85" s="637">
        <f t="shared" si="115"/>
        <v>-1.2333267363039402E-7</v>
      </c>
      <c r="AE85" s="629">
        <f t="shared" si="85"/>
        <v>1.9032860204484621E-7</v>
      </c>
      <c r="AF85" s="633">
        <f t="shared" si="86"/>
        <v>-0.99999999999997435</v>
      </c>
      <c r="AG85" s="602">
        <f t="shared" si="87"/>
        <v>1.0905025617794845E-5</v>
      </c>
      <c r="AH85" s="603">
        <f t="shared" si="88"/>
        <v>90.000007066441668</v>
      </c>
      <c r="AI85" s="585">
        <f t="shared" si="89"/>
        <v>-1.2976235990044085E-5</v>
      </c>
      <c r="AJ85" s="586">
        <f t="shared" si="90"/>
        <v>-147.0568177617541</v>
      </c>
      <c r="AK85" s="635">
        <f t="shared" si="211"/>
        <v>2.2679489663827692E-7</v>
      </c>
      <c r="AL85" s="629">
        <f t="shared" si="91"/>
        <v>-4.3362647359712029E-17</v>
      </c>
      <c r="AM85" s="634">
        <f t="shared" si="92"/>
        <v>-0.99999999999997435</v>
      </c>
      <c r="AN85" s="581">
        <f t="shared" si="93"/>
        <v>-2.4844966822256652E-15</v>
      </c>
      <c r="AO85" s="582">
        <f t="shared" si="461"/>
        <v>0</v>
      </c>
      <c r="AP85" s="585">
        <f t="shared" si="95"/>
        <v>-1.0954817410147513E-8</v>
      </c>
      <c r="AQ85" s="586">
        <f t="shared" si="471"/>
        <v>0.7732374590900003</v>
      </c>
      <c r="AS85" s="52">
        <f t="shared" si="543"/>
        <v>-237.0568177507993</v>
      </c>
      <c r="AT85" s="72">
        <f t="shared" si="472"/>
        <v>6.4072392594722846E-2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5.2140000000000004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5.1139999999999999</v>
      </c>
      <c r="II85" s="734" cm="1">
        <f t="array" ref="II85">IFERROR(IF($IH85&lt;1,$IH85+LARGE((IF($M$9:$M$150="",0,$M$9:$M$150)-MOD(IF($M$9:$M$150="",0,$M$9:$M$150),1)),1),$IH85),"")</f>
        <v>5.1139999999999999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19.004797256046743</v>
      </c>
      <c r="IM85" s="759">
        <v>4.0007361017662897E-2</v>
      </c>
      <c r="IN85" s="5">
        <f t="shared" si="648"/>
        <v>0.74</v>
      </c>
      <c r="IO85" s="771">
        <v>370</v>
      </c>
      <c r="IP85" s="9">
        <f t="shared" si="649"/>
        <v>-2.9516089020524485</v>
      </c>
      <c r="IQ85" s="5">
        <f t="shared" si="650"/>
        <v>-0.10655041560605347</v>
      </c>
      <c r="IR85" s="5">
        <f t="shared" si="518"/>
        <v>0.314</v>
      </c>
      <c r="IS85" s="5">
        <f t="shared" si="651"/>
        <v>0.30326428620797685</v>
      </c>
      <c r="IT85" s="727">
        <f t="shared" si="652"/>
        <v>-0.8228492490177437</v>
      </c>
      <c r="IU85" s="9">
        <f t="shared" si="653"/>
        <v>-2.9481088914964158</v>
      </c>
      <c r="IV85" s="5">
        <f t="shared" si="654"/>
        <v>-0.1005503975099989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2.4844966822256652E-15</v>
      </c>
    </row>
    <row r="86" spans="1:259" ht="15" customHeight="1" x14ac:dyDescent="0.25">
      <c r="A86" s="79"/>
      <c r="B86" s="707">
        <v>-2.9960317245584061</v>
      </c>
      <c r="C86" s="708">
        <v>-2.190009175804315</v>
      </c>
      <c r="D86" s="709">
        <v>-0.1615505814865538</v>
      </c>
      <c r="E86" s="710">
        <v>-0.13157714044581123</v>
      </c>
      <c r="F86" s="708">
        <v>-9.6179217396628713E-2</v>
      </c>
      <c r="G86" s="711">
        <v>0.98662911686868204</v>
      </c>
      <c r="H86" s="710">
        <v>0.25700000000000001</v>
      </c>
      <c r="I86" s="708">
        <v>0.41499999999999992</v>
      </c>
      <c r="J86" s="570">
        <v>5.2210000000000001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CPS-32193r1</v>
      </c>
      <c r="L86" s="320"/>
      <c r="M86" s="168">
        <f t="shared" si="464"/>
        <v>5.2210000000000001</v>
      </c>
      <c r="N86" s="632">
        <f t="shared" si="465"/>
        <v>-2.9960317245584061</v>
      </c>
      <c r="O86" s="629">
        <f t="shared" si="466"/>
        <v>-2.190009175804315</v>
      </c>
      <c r="P86" s="633">
        <f t="shared" si="467"/>
        <v>-0.1615505814865538</v>
      </c>
      <c r="Q86" s="585">
        <f t="shared" si="520"/>
        <v>216.16568178392933</v>
      </c>
      <c r="R86" s="629">
        <f t="shared" si="79"/>
        <v>3.7111111927113569</v>
      </c>
      <c r="S86" s="634">
        <f t="shared" si="80"/>
        <v>-0.1615505814865538</v>
      </c>
      <c r="T86" s="635">
        <f t="shared" si="81"/>
        <v>-2.1900091758043154</v>
      </c>
      <c r="U86" s="629">
        <f t="shared" si="82"/>
        <v>2.9960317245584056</v>
      </c>
      <c r="V86" s="636">
        <f t="shared" si="114"/>
        <v>-0.1615505814865538</v>
      </c>
      <c r="W86" s="585">
        <f t="shared" si="645"/>
        <v>126.16568178392933</v>
      </c>
      <c r="X86" s="629">
        <f t="shared" si="83"/>
        <v>3.7111111927113569</v>
      </c>
      <c r="Y86" s="630">
        <f t="shared" si="644"/>
        <v>-0.1615505814865538</v>
      </c>
      <c r="Z86" s="632">
        <f t="shared" si="468"/>
        <v>0.13157714044581123</v>
      </c>
      <c r="AA86" s="629">
        <f t="shared" si="469"/>
        <v>9.6179217396628713E-2</v>
      </c>
      <c r="AB86" s="629">
        <f t="shared" si="470"/>
        <v>-0.98662911686868204</v>
      </c>
      <c r="AC86" s="636">
        <f t="shared" si="84"/>
        <v>1</v>
      </c>
      <c r="AD86" s="637">
        <f t="shared" si="115"/>
        <v>0.13157714044581123</v>
      </c>
      <c r="AE86" s="629">
        <f t="shared" si="85"/>
        <v>9.6179217396628713E-2</v>
      </c>
      <c r="AF86" s="633">
        <f t="shared" si="86"/>
        <v>-0.98662911686868204</v>
      </c>
      <c r="AG86" s="602">
        <f t="shared" si="87"/>
        <v>5.5677521551985922</v>
      </c>
      <c r="AH86" s="603">
        <f t="shared" si="88"/>
        <v>82.439261260362287</v>
      </c>
      <c r="AI86" s="585">
        <f t="shared" si="89"/>
        <v>-9.3799986457046529</v>
      </c>
      <c r="AJ86" s="586">
        <f t="shared" si="90"/>
        <v>126.16576151314021</v>
      </c>
      <c r="AK86" s="635">
        <f t="shared" si="211"/>
        <v>2.2679489672383646E-7</v>
      </c>
      <c r="AL86" s="629">
        <f t="shared" si="91"/>
        <v>-0.16298155032663442</v>
      </c>
      <c r="AM86" s="634">
        <f t="shared" si="92"/>
        <v>-0.98662911686868204</v>
      </c>
      <c r="AN86" s="581">
        <f t="shared" si="93"/>
        <v>-9.3799986456957622</v>
      </c>
      <c r="AO86" s="582">
        <f t="shared" si="461"/>
        <v>0</v>
      </c>
      <c r="AP86" s="585">
        <f t="shared" si="95"/>
        <v>-89.999920270789104</v>
      </c>
      <c r="AQ86" s="586">
        <f t="shared" si="471"/>
        <v>0.61427404553400278</v>
      </c>
      <c r="AS86" s="52">
        <f t="shared" si="543"/>
        <v>-233.83431821607067</v>
      </c>
      <c r="AT86" s="72">
        <f t="shared" si="472"/>
        <v>8.3436171905085232E-4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5.2210000000000001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5.1210000000000004</v>
      </c>
      <c r="II86" s="734" cm="1">
        <f t="array" ref="II86">IFERROR(IF($IH86&lt;1,$IH86+LARGE((IF($M$9:$M$150="",0,$M$9:$M$150)-MOD(IF($M$9:$M$150="",0,$M$9:$M$150),1)),1),$IH86),"")</f>
        <v>5.1210000000000004</v>
      </c>
      <c r="IJ86" s="533">
        <f t="shared" si="542"/>
        <v>1613</v>
      </c>
      <c r="IK86" s="533" t="str">
        <f t="shared" si="517"/>
        <v>CPS-32193r1</v>
      </c>
      <c r="IL86" s="727">
        <f t="shared" si="647"/>
        <v>15.382297779070996</v>
      </c>
      <c r="IM86" s="759">
        <v>3.5234346285554899E-2</v>
      </c>
      <c r="IN86" s="5">
        <f t="shared" si="648"/>
        <v>0.84</v>
      </c>
      <c r="IO86" s="771">
        <v>420</v>
      </c>
      <c r="IP86" s="9">
        <f t="shared" si="649"/>
        <v>-3.7035111697896901</v>
      </c>
      <c r="IQ86" s="5">
        <f t="shared" si="650"/>
        <v>-0.16995060682103028</v>
      </c>
      <c r="IR86" s="5">
        <f t="shared" si="518"/>
        <v>0.314</v>
      </c>
      <c r="IS86" s="5">
        <f t="shared" si="651"/>
        <v>0.3029756290104908</v>
      </c>
      <c r="IT86" s="727">
        <f t="shared" si="652"/>
        <v>19.530201683874303</v>
      </c>
      <c r="IU86" s="9">
        <f t="shared" si="653"/>
        <v>-3.7111111927113569</v>
      </c>
      <c r="IV86" s="5">
        <f t="shared" si="654"/>
        <v>-0.1615505814865538</v>
      </c>
      <c r="IW86" s="5">
        <f t="shared" si="519"/>
        <v>0.25700000000000001</v>
      </c>
      <c r="IX86" s="5">
        <f t="shared" si="655"/>
        <v>0.25700000000000001</v>
      </c>
      <c r="IY86" s="762">
        <f t="shared" si="656"/>
        <v>9.3799986456957622</v>
      </c>
    </row>
    <row r="87" spans="1:259" ht="15" customHeight="1" x14ac:dyDescent="0.25">
      <c r="A87" s="79"/>
      <c r="B87" s="707">
        <v>-3.5297434478598824</v>
      </c>
      <c r="C87" s="708">
        <v>-2.675104618784419</v>
      </c>
      <c r="D87" s="709">
        <v>-0.40095130351913139</v>
      </c>
      <c r="E87" s="710">
        <v>0.42214553649177639</v>
      </c>
      <c r="F87" s="708">
        <v>-0.86692018239125435</v>
      </c>
      <c r="G87" s="711">
        <v>0.26503309865521479</v>
      </c>
      <c r="H87" s="710">
        <v>0.26600000000000001</v>
      </c>
      <c r="I87" s="708">
        <v>0.52</v>
      </c>
      <c r="J87" s="570">
        <v>5.2279999999999998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5.2279999999999998</v>
      </c>
      <c r="N87" s="632">
        <f t="shared" si="465"/>
        <v>-3.5297434478598824</v>
      </c>
      <c r="O87" s="629">
        <f t="shared" si="466"/>
        <v>-2.675104618784419</v>
      </c>
      <c r="P87" s="633">
        <f t="shared" si="467"/>
        <v>-0.40095130351913139</v>
      </c>
      <c r="Q87" s="585">
        <f t="shared" si="520"/>
        <v>217.15758164071673</v>
      </c>
      <c r="R87" s="629">
        <f t="shared" si="79"/>
        <v>4.4289133576026867</v>
      </c>
      <c r="S87" s="634">
        <f t="shared" si="80"/>
        <v>-0.40095130351913139</v>
      </c>
      <c r="T87" s="635">
        <f t="shared" si="81"/>
        <v>-2.6751046187844207</v>
      </c>
      <c r="U87" s="629">
        <f t="shared" si="82"/>
        <v>3.5297434478598815</v>
      </c>
      <c r="V87" s="636">
        <f t="shared" si="114"/>
        <v>-0.40095130351913139</v>
      </c>
      <c r="W87" s="585">
        <f t="shared" si="645"/>
        <v>127.15758164071673</v>
      </c>
      <c r="X87" s="629">
        <f t="shared" si="83"/>
        <v>4.4289133576026867</v>
      </c>
      <c r="Y87" s="630">
        <f t="shared" si="644"/>
        <v>-0.40095130351913139</v>
      </c>
      <c r="Z87" s="632">
        <f t="shared" si="468"/>
        <v>-0.42214553649177639</v>
      </c>
      <c r="AA87" s="629">
        <f t="shared" si="469"/>
        <v>0.86692018239125435</v>
      </c>
      <c r="AB87" s="629">
        <f t="shared" si="470"/>
        <v>-0.26503309865521479</v>
      </c>
      <c r="AC87" s="636">
        <f t="shared" si="84"/>
        <v>1</v>
      </c>
      <c r="AD87" s="637">
        <f t="shared" si="115"/>
        <v>-0.42214553649177639</v>
      </c>
      <c r="AE87" s="629">
        <f t="shared" si="85"/>
        <v>0.86692018239125435</v>
      </c>
      <c r="AF87" s="633">
        <f t="shared" si="86"/>
        <v>-0.26503309865521479</v>
      </c>
      <c r="AG87" s="602">
        <f t="shared" si="87"/>
        <v>73.000664828682034</v>
      </c>
      <c r="AH87" s="603">
        <f t="shared" si="88"/>
        <v>114.97011846287364</v>
      </c>
      <c r="AI87" s="585">
        <f t="shared" si="89"/>
        <v>-74.631080466085336</v>
      </c>
      <c r="AJ87" s="586">
        <f t="shared" si="90"/>
        <v>-154.0363000906062</v>
      </c>
      <c r="AK87" s="635">
        <f t="shared" si="211"/>
        <v>0.94589552105146846</v>
      </c>
      <c r="AL87" s="629">
        <f t="shared" si="91"/>
        <v>-0.18718739239592663</v>
      </c>
      <c r="AM87" s="634">
        <f t="shared" si="92"/>
        <v>-0.26503309865521479</v>
      </c>
      <c r="AN87" s="581">
        <f t="shared" si="93"/>
        <v>-35.232770043055687</v>
      </c>
      <c r="AO87" s="582">
        <f t="shared" si="461"/>
        <v>18.933550559237297</v>
      </c>
      <c r="AP87" s="585">
        <f t="shared" si="95"/>
        <v>-11.193881731322953</v>
      </c>
      <c r="AQ87" s="586">
        <f t="shared" si="471"/>
        <v>0.51472339122787569</v>
      </c>
      <c r="AS87" s="52">
        <f t="shared" si="543"/>
        <v>-232.84241835928327</v>
      </c>
      <c r="AT87" s="72">
        <f t="shared" si="472"/>
        <v>-0.239255179658518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Nose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5.2279999999999998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5.1280000000000001</v>
      </c>
      <c r="II87" s="734" cm="1">
        <f t="array" ref="II87">IFERROR(IF($IH87&lt;1,$IH87+LARGE((IF($M$9:$M$150="",0,$M$9:$M$150)-MOD(IF($M$9:$M$150="",0,$M$9:$M$150),1)),1),$IH87),"")</f>
        <v>5.1280000000000001</v>
      </c>
      <c r="IJ87" s="533">
        <f t="shared" si="542"/>
        <v>1613</v>
      </c>
      <c r="IK87" s="533">
        <f t="shared" si="517"/>
        <v>1313</v>
      </c>
      <c r="IL87" s="727">
        <f t="shared" si="647"/>
        <v>13.80139800732465</v>
      </c>
      <c r="IM87" s="759">
        <v>1.03343702555986E-2</v>
      </c>
      <c r="IN87" s="5">
        <f t="shared" si="648"/>
        <v>0.26</v>
      </c>
      <c r="IO87" s="771">
        <v>130</v>
      </c>
      <c r="IP87" s="9">
        <f t="shared" si="649"/>
        <v>-4.4099133002985145</v>
      </c>
      <c r="IQ87" s="5">
        <f t="shared" si="650"/>
        <v>-0.4352514069682436</v>
      </c>
      <c r="IR87" s="5">
        <f t="shared" si="518"/>
        <v>0.314</v>
      </c>
      <c r="IS87" s="5">
        <f t="shared" si="651"/>
        <v>0.30106333524671486</v>
      </c>
      <c r="IT87" s="727">
        <f t="shared" si="652"/>
        <v>37.080583782138973</v>
      </c>
      <c r="IU87" s="9">
        <f t="shared" si="653"/>
        <v>-4.4289133576026867</v>
      </c>
      <c r="IV87" s="5">
        <f t="shared" si="654"/>
        <v>-0.40095130351913139</v>
      </c>
      <c r="IW87" s="5">
        <f t="shared" si="519"/>
        <v>0.26600000000000001</v>
      </c>
      <c r="IX87" s="5">
        <f t="shared" si="655"/>
        <v>0.25160820859969063</v>
      </c>
      <c r="IY87" s="762">
        <f t="shared" si="656"/>
        <v>35.232770043055687</v>
      </c>
    </row>
    <row r="88" spans="1:259" ht="15" customHeight="1" x14ac:dyDescent="0.25">
      <c r="A88" s="79"/>
      <c r="B88" s="707">
        <v>-3.9607757624689364</v>
      </c>
      <c r="C88" s="708">
        <v>-3.1269078425627228</v>
      </c>
      <c r="D88" s="709">
        <v>-0.85235266494563755</v>
      </c>
      <c r="E88" s="710">
        <v>0.37126527311071483</v>
      </c>
      <c r="F88" s="708">
        <v>-0.90284921881720681</v>
      </c>
      <c r="G88" s="711">
        <v>0.21685337226611398</v>
      </c>
      <c r="H88" s="710">
        <v>0.26600000000000001</v>
      </c>
      <c r="I88" s="708">
        <v>0.52</v>
      </c>
      <c r="J88" s="570">
        <v>5.2350000000000003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5.2350000000000003</v>
      </c>
      <c r="N88" s="632">
        <f t="shared" si="465"/>
        <v>-3.9607757624689364</v>
      </c>
      <c r="O88" s="629">
        <f t="shared" si="466"/>
        <v>-3.1269078425627228</v>
      </c>
      <c r="P88" s="633">
        <f t="shared" si="467"/>
        <v>-0.85235266494563755</v>
      </c>
      <c r="Q88" s="585">
        <f t="shared" si="520"/>
        <v>218.28998147721839</v>
      </c>
      <c r="R88" s="629">
        <f t="shared" si="79"/>
        <v>5.0463152196867016</v>
      </c>
      <c r="S88" s="634">
        <f t="shared" si="80"/>
        <v>-0.85235266494563755</v>
      </c>
      <c r="T88" s="635">
        <f t="shared" si="81"/>
        <v>-3.1269078425627219</v>
      </c>
      <c r="U88" s="629">
        <f t="shared" si="82"/>
        <v>3.9607757624689368</v>
      </c>
      <c r="V88" s="636">
        <f t="shared" si="114"/>
        <v>-0.85235266494563755</v>
      </c>
      <c r="W88" s="585">
        <f t="shared" si="645"/>
        <v>128.28998147721839</v>
      </c>
      <c r="X88" s="629">
        <f t="shared" si="83"/>
        <v>5.0463152196867016</v>
      </c>
      <c r="Y88" s="630">
        <f t="shared" si="644"/>
        <v>-0.85235266494563755</v>
      </c>
      <c r="Z88" s="632">
        <f t="shared" si="468"/>
        <v>-0.37126527311071483</v>
      </c>
      <c r="AA88" s="629">
        <f t="shared" si="469"/>
        <v>0.90284921881720681</v>
      </c>
      <c r="AB88" s="629">
        <f t="shared" si="470"/>
        <v>-0.21685337226611398</v>
      </c>
      <c r="AC88" s="636">
        <f t="shared" si="84"/>
        <v>1</v>
      </c>
      <c r="AD88" s="637">
        <f t="shared" si="115"/>
        <v>-0.37126527311071483</v>
      </c>
      <c r="AE88" s="629">
        <f t="shared" si="85"/>
        <v>0.90284921881720681</v>
      </c>
      <c r="AF88" s="633">
        <f t="shared" si="86"/>
        <v>-0.21685337226611398</v>
      </c>
      <c r="AG88" s="602">
        <f t="shared" si="87"/>
        <v>76.494092754700517</v>
      </c>
      <c r="AH88" s="603">
        <f t="shared" si="88"/>
        <v>111.79367113104567</v>
      </c>
      <c r="AI88" s="585">
        <f t="shared" si="89"/>
        <v>-77.475716667636107</v>
      </c>
      <c r="AJ88" s="586">
        <f t="shared" si="90"/>
        <v>-157.64679287965129</v>
      </c>
      <c r="AK88" s="635">
        <f t="shared" si="211"/>
        <v>0.93868404786460791</v>
      </c>
      <c r="AL88" s="629">
        <f t="shared" si="91"/>
        <v>-0.26804267052342373</v>
      </c>
      <c r="AM88" s="634">
        <f t="shared" si="92"/>
        <v>-0.21685337226611398</v>
      </c>
      <c r="AN88" s="581">
        <f t="shared" si="93"/>
        <v>-51.026255953059298</v>
      </c>
      <c r="AO88" s="582">
        <f t="shared" si="461"/>
        <v>20.168279088339911</v>
      </c>
      <c r="AP88" s="585">
        <f t="shared" si="95"/>
        <v>-15.936774356869668</v>
      </c>
      <c r="AQ88" s="586">
        <f t="shared" si="471"/>
        <v>0.45175128622605071</v>
      </c>
      <c r="AS88" s="52">
        <f t="shared" si="543"/>
        <v>-231.71001852278161</v>
      </c>
      <c r="AT88" s="72">
        <f t="shared" si="472"/>
        <v>-0.69144292986037259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5.2350000000000003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5.1349999999999998</v>
      </c>
      <c r="II88" s="734" cm="1">
        <f t="array" ref="II88">IFERROR(IF($IH88&lt;1,$IH88+LARGE((IF($M$9:$M$150="",0,$M$9:$M$150)-MOD(IF($M$9:$M$150="",0,$M$9:$M$150),1)),1),$IH88),"")</f>
        <v>5.1349999999999998</v>
      </c>
      <c r="IJ88" s="533">
        <f t="shared" si="542"/>
        <v>1613</v>
      </c>
      <c r="IK88" s="533">
        <f t="shared" si="517"/>
        <v>1313</v>
      </c>
      <c r="IL88" s="727">
        <f t="shared" si="647"/>
        <v>12.064998258029789</v>
      </c>
      <c r="IM88" s="759">
        <v>7.7290174701298503E-3</v>
      </c>
      <c r="IN88" s="5">
        <f t="shared" si="648"/>
        <v>0.26</v>
      </c>
      <c r="IO88" s="771">
        <v>130</v>
      </c>
      <c r="IP88" s="9">
        <f t="shared" si="649"/>
        <v>-5.0175151328256415</v>
      </c>
      <c r="IQ88" s="5">
        <f t="shared" si="650"/>
        <v>-0.88255275602911198</v>
      </c>
      <c r="IR88" s="5">
        <f t="shared" si="518"/>
        <v>0.314</v>
      </c>
      <c r="IS88" s="5">
        <f t="shared" si="651"/>
        <v>0.2990190433127024</v>
      </c>
      <c r="IT88" s="727">
        <f t="shared" si="652"/>
        <v>53.083254641586549</v>
      </c>
      <c r="IU88" s="9">
        <f t="shared" si="653"/>
        <v>-5.0463152196867016</v>
      </c>
      <c r="IV88" s="5">
        <f t="shared" si="654"/>
        <v>-0.85235266494563755</v>
      </c>
      <c r="IW88" s="5">
        <f t="shared" si="519"/>
        <v>0.26600000000000001</v>
      </c>
      <c r="IX88" s="5">
        <f t="shared" si="655"/>
        <v>0.24968995673198571</v>
      </c>
      <c r="IY88" s="762">
        <f t="shared" si="656"/>
        <v>51.026255953059298</v>
      </c>
    </row>
    <row r="89" spans="1:259" ht="15" customHeight="1" x14ac:dyDescent="0.25">
      <c r="A89" s="79"/>
      <c r="B89" s="707">
        <v>-4.3034954123448683</v>
      </c>
      <c r="C89" s="708">
        <v>-3.4535968647760633</v>
      </c>
      <c r="D89" s="709">
        <v>-1.4549544823927187</v>
      </c>
      <c r="E89" s="710">
        <v>0.31080308096432102</v>
      </c>
      <c r="F89" s="708">
        <v>-0.936820909888742</v>
      </c>
      <c r="G89" s="711">
        <v>0.16052422763656327</v>
      </c>
      <c r="H89" s="710">
        <v>0.26600000000000001</v>
      </c>
      <c r="I89" s="708">
        <v>0.52</v>
      </c>
      <c r="J89" s="570">
        <v>5.242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5.242</v>
      </c>
      <c r="N89" s="632">
        <f t="shared" si="465"/>
        <v>-4.3034954123448683</v>
      </c>
      <c r="O89" s="629">
        <f t="shared" si="466"/>
        <v>-3.4535968647760633</v>
      </c>
      <c r="P89" s="633">
        <f t="shared" si="467"/>
        <v>-1.4549544823927187</v>
      </c>
      <c r="Q89" s="585">
        <f t="shared" si="520"/>
        <v>218.74738141117803</v>
      </c>
      <c r="R89" s="629">
        <f t="shared" si="79"/>
        <v>5.5179166420365924</v>
      </c>
      <c r="S89" s="634">
        <f t="shared" si="80"/>
        <v>-1.4549544823927187</v>
      </c>
      <c r="T89" s="635">
        <f t="shared" si="81"/>
        <v>-3.4535968647760633</v>
      </c>
      <c r="U89" s="629">
        <f t="shared" si="82"/>
        <v>4.3034954123448683</v>
      </c>
      <c r="V89" s="636">
        <f t="shared" si="114"/>
        <v>-1.4549544823927187</v>
      </c>
      <c r="W89" s="585">
        <f t="shared" si="645"/>
        <v>128.74738141117803</v>
      </c>
      <c r="X89" s="629">
        <f t="shared" si="83"/>
        <v>5.5179166420365924</v>
      </c>
      <c r="Y89" s="630">
        <f t="shared" si="644"/>
        <v>-1.4549544823927187</v>
      </c>
      <c r="Z89" s="632">
        <f t="shared" si="468"/>
        <v>-0.31080308096432102</v>
      </c>
      <c r="AA89" s="629">
        <f t="shared" si="469"/>
        <v>0.936820909888742</v>
      </c>
      <c r="AB89" s="629">
        <f t="shared" si="470"/>
        <v>-0.16052422763656327</v>
      </c>
      <c r="AC89" s="636">
        <f t="shared" si="84"/>
        <v>1</v>
      </c>
      <c r="AD89" s="637">
        <f t="shared" si="115"/>
        <v>-0.31080308096432102</v>
      </c>
      <c r="AE89" s="629">
        <f t="shared" si="85"/>
        <v>0.936820909888742</v>
      </c>
      <c r="AF89" s="633">
        <f t="shared" si="86"/>
        <v>-0.16052422763656327</v>
      </c>
      <c r="AG89" s="602">
        <f t="shared" si="87"/>
        <v>80.276796891633353</v>
      </c>
      <c r="AH89" s="603">
        <f t="shared" si="88"/>
        <v>108.10763453427181</v>
      </c>
      <c r="AI89" s="585">
        <f t="shared" si="89"/>
        <v>-80.762674432469083</v>
      </c>
      <c r="AJ89" s="586">
        <f t="shared" si="90"/>
        <v>-161.64603426102099</v>
      </c>
      <c r="AK89" s="635">
        <f t="shared" si="211"/>
        <v>0.92516675496422118</v>
      </c>
      <c r="AL89" s="629">
        <f t="shared" si="91"/>
        <v>-0.34394541405673273</v>
      </c>
      <c r="AM89" s="634">
        <f t="shared" si="92"/>
        <v>-0.16052422763656327</v>
      </c>
      <c r="AN89" s="581">
        <f t="shared" si="93"/>
        <v>-64.980867563868998</v>
      </c>
      <c r="AO89" s="582">
        <f t="shared" si="461"/>
        <v>22.306486343622723</v>
      </c>
      <c r="AP89" s="585">
        <f t="shared" si="95"/>
        <v>-20.393415672199009</v>
      </c>
      <c r="AQ89" s="586">
        <f t="shared" si="471"/>
        <v>0.41314272556952808</v>
      </c>
      <c r="AS89" s="52">
        <f t="shared" si="543"/>
        <v>-231.25261858882197</v>
      </c>
      <c r="AT89" s="72">
        <f t="shared" si="472"/>
        <v>-1.2943623861504812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5.242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5.1420000000000003</v>
      </c>
      <c r="II89" s="734" cm="1">
        <f t="array" ref="II89">IFERROR(IF($IH89&lt;1,$IH89+LARGE((IF($M$9:$M$150="",0,$M$9:$M$150)-MOD(IF($M$9:$M$150="",0,$M$9:$M$150),1)),1),$IH89),"")</f>
        <v>5.1420000000000003</v>
      </c>
      <c r="IJ89" s="533">
        <f t="shared" si="542"/>
        <v>1613</v>
      </c>
      <c r="IK89" s="533">
        <f t="shared" si="517"/>
        <v>1313</v>
      </c>
      <c r="IL89" s="727">
        <f t="shared" si="647"/>
        <v>11.105598396549993</v>
      </c>
      <c r="IM89" s="759">
        <v>5.4645341333451197E-3</v>
      </c>
      <c r="IN89" s="5">
        <f t="shared" si="648"/>
        <v>0.22</v>
      </c>
      <c r="IO89" s="771">
        <v>110</v>
      </c>
      <c r="IP89" s="9">
        <f t="shared" si="649"/>
        <v>-5.480816530142655</v>
      </c>
      <c r="IQ89" s="5">
        <f t="shared" si="650"/>
        <v>-1.4782545526657316</v>
      </c>
      <c r="IR89" s="5">
        <f t="shared" si="518"/>
        <v>0.314</v>
      </c>
      <c r="IS89" s="5">
        <f t="shared" si="651"/>
        <v>0.29521731613318797</v>
      </c>
      <c r="IT89" s="727">
        <f t="shared" si="652"/>
        <v>66.894592674471426</v>
      </c>
      <c r="IU89" s="9">
        <f t="shared" si="653"/>
        <v>-5.5179166420365924</v>
      </c>
      <c r="IV89" s="5">
        <f t="shared" si="654"/>
        <v>-1.4549544823927187</v>
      </c>
      <c r="IW89" s="5">
        <f t="shared" si="519"/>
        <v>0.26600000000000001</v>
      </c>
      <c r="IX89" s="5">
        <f t="shared" si="655"/>
        <v>0.24609435682048283</v>
      </c>
      <c r="IY89" s="762">
        <f t="shared" si="656"/>
        <v>64.980867563868998</v>
      </c>
    </row>
    <row r="90" spans="1:259" ht="15" customHeight="1" x14ac:dyDescent="0.25">
      <c r="A90" s="79"/>
      <c r="B90" s="707">
        <v>-4.529946283282591</v>
      </c>
      <c r="C90" s="708">
        <v>-3.6344421053458196</v>
      </c>
      <c r="D90" s="709">
        <v>-2.1632566186319617</v>
      </c>
      <c r="E90" s="710">
        <v>0.22471162690377436</v>
      </c>
      <c r="F90" s="708">
        <v>-0.96924427759935516</v>
      </c>
      <c r="G90" s="711">
        <v>0.10035046126034103</v>
      </c>
      <c r="H90" s="710">
        <v>0.26600000000000001</v>
      </c>
      <c r="I90" s="708">
        <v>0.52</v>
      </c>
      <c r="J90" s="570">
        <v>5.2489999999999997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5.2489999999999997</v>
      </c>
      <c r="N90" s="632">
        <f t="shared" si="465"/>
        <v>-4.529946283282591</v>
      </c>
      <c r="O90" s="629">
        <f t="shared" si="466"/>
        <v>-3.6344421053458196</v>
      </c>
      <c r="P90" s="633">
        <f t="shared" si="467"/>
        <v>-2.1632566186319617</v>
      </c>
      <c r="Q90" s="585">
        <f t="shared" si="520"/>
        <v>218.74058141215983</v>
      </c>
      <c r="R90" s="629">
        <f t="shared" si="79"/>
        <v>5.8077175160760284</v>
      </c>
      <c r="S90" s="634">
        <f t="shared" si="80"/>
        <v>-2.1632566186319617</v>
      </c>
      <c r="T90" s="635">
        <f t="shared" si="81"/>
        <v>-3.6344421053458205</v>
      </c>
      <c r="U90" s="629">
        <f t="shared" si="82"/>
        <v>4.5299462832825901</v>
      </c>
      <c r="V90" s="636">
        <f t="shared" si="114"/>
        <v>-2.1632566186319617</v>
      </c>
      <c r="W90" s="585">
        <f t="shared" si="645"/>
        <v>128.74058141215983</v>
      </c>
      <c r="X90" s="629">
        <f t="shared" si="83"/>
        <v>5.8077175160760284</v>
      </c>
      <c r="Y90" s="630">
        <f t="shared" si="644"/>
        <v>-2.1632566186319617</v>
      </c>
      <c r="Z90" s="632">
        <f t="shared" si="468"/>
        <v>-0.22471162690377436</v>
      </c>
      <c r="AA90" s="629">
        <f t="shared" si="469"/>
        <v>0.96924427759935516</v>
      </c>
      <c r="AB90" s="629">
        <f t="shared" si="470"/>
        <v>-0.10035046126034103</v>
      </c>
      <c r="AC90" s="636">
        <f t="shared" si="84"/>
        <v>1</v>
      </c>
      <c r="AD90" s="637">
        <f t="shared" si="115"/>
        <v>-0.22471162690377436</v>
      </c>
      <c r="AE90" s="629">
        <f t="shared" si="85"/>
        <v>0.96924427759935516</v>
      </c>
      <c r="AF90" s="633">
        <f t="shared" si="86"/>
        <v>-0.10035046126034103</v>
      </c>
      <c r="AG90" s="602">
        <f t="shared" si="87"/>
        <v>84.088956945482863</v>
      </c>
      <c r="AH90" s="603">
        <f t="shared" si="88"/>
        <v>102.9859213728384</v>
      </c>
      <c r="AI90" s="585">
        <f t="shared" si="89"/>
        <v>-84.240648054911873</v>
      </c>
      <c r="AJ90" s="586">
        <f t="shared" si="90"/>
        <v>-166.9470342459837</v>
      </c>
      <c r="AK90" s="635">
        <f t="shared" si="211"/>
        <v>0.89662176179709829</v>
      </c>
      <c r="AL90" s="629">
        <f t="shared" si="91"/>
        <v>-0.43127624696556666</v>
      </c>
      <c r="AM90" s="634">
        <f t="shared" si="92"/>
        <v>-0.10035046126034103</v>
      </c>
      <c r="AN90" s="581">
        <f t="shared" si="93"/>
        <v>-76.901344112983935</v>
      </c>
      <c r="AO90" s="582">
        <f t="shared" si="461"/>
        <v>26.282494198223588</v>
      </c>
      <c r="AP90" s="585">
        <f t="shared" si="95"/>
        <v>-25.687615658143528</v>
      </c>
      <c r="AQ90" s="586">
        <f t="shared" si="471"/>
        <v>0.39252786646352067</v>
      </c>
      <c r="AS90" s="52">
        <f t="shared" si="543"/>
        <v>-231.25941858784017</v>
      </c>
      <c r="AT90" s="72">
        <f t="shared" si="472"/>
        <v>-2.0026598001681837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5.2489999999999997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5.149</v>
      </c>
      <c r="II90" s="734" cm="1">
        <f t="array" ref="II90">IFERROR(IF($IH90&lt;1,$IH90+LARGE((IF($M$9:$M$150="",0,$M$9:$M$150)-MOD(IF($M$9:$M$150="",0,$M$9:$M$150),1)),1),$IH90),"")</f>
        <v>5.149</v>
      </c>
      <c r="IJ90" s="533">
        <f t="shared" si="542"/>
        <v>1613</v>
      </c>
      <c r="IK90" s="533">
        <f t="shared" si="517"/>
        <v>1313</v>
      </c>
      <c r="IL90" s="727">
        <f t="shared" si="647"/>
        <v>10.7903984420592</v>
      </c>
      <c r="IM90" s="759">
        <v>3.3987085733430699E-3</v>
      </c>
      <c r="IN90" s="5">
        <f t="shared" si="648"/>
        <v>0.18</v>
      </c>
      <c r="IO90" s="771">
        <v>90</v>
      </c>
      <c r="IP90" s="9">
        <f t="shared" si="649"/>
        <v>-5.7646173860860364</v>
      </c>
      <c r="IQ90" s="5">
        <f t="shared" si="650"/>
        <v>-2.1773566611576909</v>
      </c>
      <c r="IR90" s="5">
        <f t="shared" si="518"/>
        <v>0.314</v>
      </c>
      <c r="IS90" s="5">
        <f t="shared" si="651"/>
        <v>0.28712879938118618</v>
      </c>
      <c r="IT90" s="727">
        <f t="shared" si="652"/>
        <v>78.351305893694175</v>
      </c>
      <c r="IU90" s="9">
        <f t="shared" si="653"/>
        <v>-5.8077175160760284</v>
      </c>
      <c r="IV90" s="5">
        <f t="shared" si="654"/>
        <v>-2.1632566186319617</v>
      </c>
      <c r="IW90" s="5">
        <f t="shared" si="519"/>
        <v>0.26600000000000001</v>
      </c>
      <c r="IX90" s="5">
        <f t="shared" si="655"/>
        <v>0.23850138863802817</v>
      </c>
      <c r="IY90" s="762">
        <f t="shared" si="656"/>
        <v>76.901344112983935</v>
      </c>
    </row>
    <row r="91" spans="1:259" ht="15" customHeight="1" x14ac:dyDescent="0.25">
      <c r="A91" s="79"/>
      <c r="B91" s="707">
        <v>-4.6345006562035715</v>
      </c>
      <c r="C91" s="708">
        <v>-3.6502786139983909</v>
      </c>
      <c r="D91" s="709">
        <v>-2.9243589141164859</v>
      </c>
      <c r="E91" s="710">
        <v>8.9467348221575524E-2</v>
      </c>
      <c r="F91" s="708">
        <v>-0.99568461816068643</v>
      </c>
      <c r="G91" s="711">
        <v>2.4652276982209141E-2</v>
      </c>
      <c r="H91" s="710">
        <v>0.26600000000000001</v>
      </c>
      <c r="I91" s="708">
        <v>0.52</v>
      </c>
      <c r="J91" s="570">
        <v>5.2560000000000002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5.2560000000000002</v>
      </c>
      <c r="N91" s="632">
        <f t="shared" si="465"/>
        <v>-4.6345006562035715</v>
      </c>
      <c r="O91" s="629">
        <f t="shared" si="466"/>
        <v>-3.6502786139983909</v>
      </c>
      <c r="P91" s="633">
        <f t="shared" si="467"/>
        <v>-2.9243589141164859</v>
      </c>
      <c r="Q91" s="585">
        <f t="shared" si="520"/>
        <v>218.22508148658878</v>
      </c>
      <c r="R91" s="629">
        <f t="shared" si="79"/>
        <v>5.899417792644063</v>
      </c>
      <c r="S91" s="634">
        <f t="shared" si="80"/>
        <v>-2.9243589141164859</v>
      </c>
      <c r="T91" s="635">
        <f t="shared" si="81"/>
        <v>-3.6502786139983905</v>
      </c>
      <c r="U91" s="629">
        <f t="shared" si="82"/>
        <v>4.6345006562035715</v>
      </c>
      <c r="V91" s="636">
        <f t="shared" si="114"/>
        <v>-2.9243589141164859</v>
      </c>
      <c r="W91" s="585">
        <f t="shared" si="645"/>
        <v>128.22508148658878</v>
      </c>
      <c r="X91" s="629">
        <f t="shared" si="83"/>
        <v>5.899417792644063</v>
      </c>
      <c r="Y91" s="630">
        <f t="shared" si="644"/>
        <v>-2.9243589141164859</v>
      </c>
      <c r="Z91" s="632">
        <f t="shared" si="468"/>
        <v>-8.9467348221575524E-2</v>
      </c>
      <c r="AA91" s="629">
        <f t="shared" si="469"/>
        <v>0.99568461816068643</v>
      </c>
      <c r="AB91" s="629">
        <f t="shared" si="470"/>
        <v>-2.4652276982209141E-2</v>
      </c>
      <c r="AC91" s="636">
        <f t="shared" si="84"/>
        <v>1</v>
      </c>
      <c r="AD91" s="637">
        <f t="shared" si="115"/>
        <v>-8.9467348221575524E-2</v>
      </c>
      <c r="AE91" s="629">
        <f t="shared" si="85"/>
        <v>0.99568461816068643</v>
      </c>
      <c r="AF91" s="633">
        <f t="shared" si="86"/>
        <v>-2.4652276982209141E-2</v>
      </c>
      <c r="AG91" s="602">
        <f t="shared" si="87"/>
        <v>88.581696568193621</v>
      </c>
      <c r="AH91" s="603">
        <f t="shared" si="88"/>
        <v>95.132964774278165</v>
      </c>
      <c r="AI91" s="585">
        <f t="shared" si="89"/>
        <v>-88.587385466394096</v>
      </c>
      <c r="AJ91" s="586">
        <f t="shared" si="90"/>
        <v>-174.86547058385315</v>
      </c>
      <c r="AK91" s="635">
        <f t="shared" si="211"/>
        <v>0.83755413462373585</v>
      </c>
      <c r="AL91" s="629">
        <f t="shared" si="91"/>
        <v>-0.54579789007862389</v>
      </c>
      <c r="AM91" s="634">
        <f t="shared" si="92"/>
        <v>-2.4652276982209141E-2</v>
      </c>
      <c r="AN91" s="581">
        <f t="shared" si="93"/>
        <v>-87.41385574972486</v>
      </c>
      <c r="AO91" s="582">
        <f t="shared" si="461"/>
        <v>33.117263580541554</v>
      </c>
      <c r="AP91" s="585">
        <f t="shared" si="95"/>
        <v>-33.090552070441966</v>
      </c>
      <c r="AQ91" s="586">
        <f t="shared" si="471"/>
        <v>0.38642661799527867</v>
      </c>
      <c r="AS91" s="52">
        <f t="shared" si="543"/>
        <v>-231.77491851341122</v>
      </c>
      <c r="AT91" s="72">
        <f t="shared" si="472"/>
        <v>-2.7634041095932838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>Gage</v>
      </c>
      <c r="IG91" s="847">
        <f t="shared" si="643"/>
        <v>5.2560000000000002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5.1559999999999997</v>
      </c>
      <c r="II91" s="734" cm="1">
        <f t="array" ref="II91">IFERROR(IF($IH91&lt;1,$IH91+LARGE((IF($M$9:$M$150="",0,$M$9:$M$150)-MOD(IF($M$9:$M$150="",0,$M$9:$M$150),1)),1),$IH91),"")</f>
        <v>5.1559999999999997</v>
      </c>
      <c r="IJ91" s="533">
        <f t="shared" si="542"/>
        <v>1613</v>
      </c>
      <c r="IK91" s="533">
        <f t="shared" si="517"/>
        <v>1313</v>
      </c>
      <c r="IL91" s="727">
        <f t="shared" si="647"/>
        <v>11.203898382357238</v>
      </c>
      <c r="IM91" s="759">
        <v>1.28223289049409E-3</v>
      </c>
      <c r="IN91" s="5">
        <f t="shared" si="648"/>
        <v>0</v>
      </c>
      <c r="IO91" s="771">
        <v>0</v>
      </c>
      <c r="IP91" s="9">
        <f t="shared" si="649"/>
        <v>-5.8535176542092442</v>
      </c>
      <c r="IQ91" s="5">
        <f t="shared" si="650"/>
        <v>-2.9273589231645119</v>
      </c>
      <c r="IR91" s="5">
        <f t="shared" si="518"/>
        <v>0.314</v>
      </c>
      <c r="IS91" s="5">
        <f t="shared" si="651"/>
        <v>0.27004986911336148</v>
      </c>
      <c r="IT91" s="727">
        <f t="shared" si="652"/>
        <v>88.308054455547264</v>
      </c>
      <c r="IU91" s="9">
        <f t="shared" si="653"/>
        <v>-5.899417792644063</v>
      </c>
      <c r="IV91" s="5">
        <f t="shared" si="654"/>
        <v>-2.9243589141164859</v>
      </c>
      <c r="IW91" s="5">
        <f t="shared" si="519"/>
        <v>0.26600000000000001</v>
      </c>
      <c r="IX91" s="5">
        <f t="shared" si="655"/>
        <v>0.22278939980991375</v>
      </c>
      <c r="IY91" s="762">
        <f t="shared" si="656"/>
        <v>87.41385574972486</v>
      </c>
    </row>
    <row r="92" spans="1:259" ht="15" customHeight="1" x14ac:dyDescent="0.25">
      <c r="A92" s="79"/>
      <c r="B92" s="707">
        <v>-4.9089181425239303</v>
      </c>
      <c r="C92" s="708">
        <v>-3.2645511662251661</v>
      </c>
      <c r="D92" s="709">
        <v>-3.7314613483374286</v>
      </c>
      <c r="E92" s="710">
        <v>-0.83268071221934781</v>
      </c>
      <c r="F92" s="708">
        <v>-0.55375340314785271</v>
      </c>
      <c r="G92" s="711">
        <v>2.2679489648887492E-7</v>
      </c>
      <c r="H92" s="710">
        <v>0.25700000000000001</v>
      </c>
      <c r="I92" s="708">
        <v>0.41499999999999992</v>
      </c>
      <c r="J92" s="570">
        <v>5.2629999999999999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CPS-32193r1</v>
      </c>
      <c r="L92" s="320"/>
      <c r="M92" s="168">
        <f t="shared" si="464"/>
        <v>5.2629999999999999</v>
      </c>
      <c r="N92" s="632">
        <f t="shared" si="465"/>
        <v>-4.9089181425239303</v>
      </c>
      <c r="O92" s="629">
        <f t="shared" si="466"/>
        <v>-3.2645511662251661</v>
      </c>
      <c r="P92" s="633">
        <f t="shared" si="467"/>
        <v>-3.7314613483374286</v>
      </c>
      <c r="Q92" s="585">
        <f t="shared" si="520"/>
        <v>213.62488215077539</v>
      </c>
      <c r="R92" s="629">
        <f t="shared" si="79"/>
        <v>5.895317773191084</v>
      </c>
      <c r="S92" s="634">
        <f t="shared" si="80"/>
        <v>-3.7314613483374286</v>
      </c>
      <c r="T92" s="635">
        <f t="shared" si="81"/>
        <v>-3.2645511662251678</v>
      </c>
      <c r="U92" s="629">
        <f t="shared" si="82"/>
        <v>4.9089181425239286</v>
      </c>
      <c r="V92" s="636">
        <f t="shared" si="114"/>
        <v>-3.7314613483374286</v>
      </c>
      <c r="W92" s="585">
        <f t="shared" si="645"/>
        <v>123.62488215077539</v>
      </c>
      <c r="X92" s="629">
        <f t="shared" si="83"/>
        <v>5.895317773191084</v>
      </c>
      <c r="Y92" s="630">
        <f t="shared" si="644"/>
        <v>-3.7314613483374286</v>
      </c>
      <c r="Z92" s="632">
        <f t="shared" si="468"/>
        <v>0.83268071221934781</v>
      </c>
      <c r="AA92" s="629">
        <f t="shared" si="469"/>
        <v>0.55375340314785271</v>
      </c>
      <c r="AB92" s="629">
        <f t="shared" si="470"/>
        <v>-2.2679489648887492E-7</v>
      </c>
      <c r="AC92" s="636">
        <f t="shared" si="84"/>
        <v>1</v>
      </c>
      <c r="AD92" s="637">
        <f t="shared" si="115"/>
        <v>0.83268071221934781</v>
      </c>
      <c r="AE92" s="629">
        <f t="shared" si="85"/>
        <v>0.55375340314785271</v>
      </c>
      <c r="AF92" s="633">
        <f t="shared" si="86"/>
        <v>-2.2679489648887492E-7</v>
      </c>
      <c r="AG92" s="602">
        <f t="shared" si="87"/>
        <v>89.999976533976479</v>
      </c>
      <c r="AH92" s="603">
        <f t="shared" si="88"/>
        <v>33.624895145168011</v>
      </c>
      <c r="AI92" s="585">
        <f t="shared" si="89"/>
        <v>-89.999987005609626</v>
      </c>
      <c r="AJ92" s="586">
        <f t="shared" si="90"/>
        <v>123.62489514516579</v>
      </c>
      <c r="AK92" s="635">
        <f t="shared" si="211"/>
        <v>2.2679489680710319E-7</v>
      </c>
      <c r="AL92" s="629">
        <f t="shared" si="91"/>
        <v>-0.99999999999994849</v>
      </c>
      <c r="AM92" s="634">
        <f t="shared" si="92"/>
        <v>-2.2679489648887492E-7</v>
      </c>
      <c r="AN92" s="581">
        <f t="shared" si="93"/>
        <v>-89.999987005609626</v>
      </c>
      <c r="AO92" s="582">
        <f t="shared" si="461"/>
        <v>0</v>
      </c>
      <c r="AP92" s="585">
        <f t="shared" si="95"/>
        <v>-89.999987005609611</v>
      </c>
      <c r="AQ92" s="586">
        <f t="shared" si="471"/>
        <v>0.38669535814075262</v>
      </c>
      <c r="AS92" s="52">
        <f t="shared" si="543"/>
        <v>-236.37511784922461</v>
      </c>
      <c r="AT92" s="73">
        <f t="shared" si="472"/>
        <v>-3.5673119609421335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>Gage</v>
      </c>
      <c r="IG92" s="847">
        <f t="shared" si="643"/>
        <v>5.2629999999999999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5.1630000000000003</v>
      </c>
      <c r="II92" s="734" cm="1">
        <f t="array" ref="II92">IFERROR(IF($IH92&lt;1,$IH92+LARGE((IF($M$9:$M$150="",0,$M$9:$M$150)-MOD(IF($M$9:$M$150="",0,$M$9:$M$150),1)),1),$IH92),"")</f>
        <v>5.1630000000000003</v>
      </c>
      <c r="IJ92" s="533">
        <f t="shared" si="542"/>
        <v>1613</v>
      </c>
      <c r="IK92" s="533" t="str">
        <f t="shared" si="517"/>
        <v>CPS-32193r1</v>
      </c>
      <c r="IL92" s="727">
        <f t="shared" si="647"/>
        <v>15.757097692587649</v>
      </c>
      <c r="IM92" s="759">
        <v>1.87055428966834E-4</v>
      </c>
      <c r="IN92" s="5">
        <f t="shared" si="648"/>
        <v>0</v>
      </c>
      <c r="IO92" s="771">
        <v>0</v>
      </c>
      <c r="IP92" s="9">
        <f t="shared" si="649"/>
        <v>-5.8943177749307543</v>
      </c>
      <c r="IQ92" s="5">
        <f t="shared" si="650"/>
        <v>-3.7183613088277081</v>
      </c>
      <c r="IR92" s="5">
        <f t="shared" si="518"/>
        <v>0.314</v>
      </c>
      <c r="IS92" s="5">
        <f t="shared" si="651"/>
        <v>0.25721375789321788</v>
      </c>
      <c r="IT92" s="727">
        <f t="shared" si="652"/>
        <v>89.999987005609597</v>
      </c>
      <c r="IU92" s="9">
        <f t="shared" si="653"/>
        <v>-5.895317773191084</v>
      </c>
      <c r="IV92" s="5">
        <f t="shared" si="654"/>
        <v>-3.7314613483374286</v>
      </c>
      <c r="IW92" s="5">
        <f t="shared" si="519"/>
        <v>0.25700000000000001</v>
      </c>
      <c r="IX92" s="5">
        <f t="shared" si="655"/>
        <v>0.25700000000000001</v>
      </c>
      <c r="IY92" s="762">
        <f t="shared" si="656"/>
        <v>89.999987005609626</v>
      </c>
    </row>
    <row r="93" spans="1:259" ht="15" customHeight="1" x14ac:dyDescent="0.25">
      <c r="A93" s="79"/>
      <c r="B93" s="707">
        <v>-2.8282547781446139</v>
      </c>
      <c r="C93" s="708">
        <v>-0.29606313291785114</v>
      </c>
      <c r="D93" s="709">
        <v>-0.11455043973412621</v>
      </c>
      <c r="E93" s="710">
        <v>0.1187020587241394</v>
      </c>
      <c r="F93" s="708">
        <v>-0.95872379391542528</v>
      </c>
      <c r="G93" s="711">
        <v>0.25837667896902827</v>
      </c>
      <c r="H93" s="710">
        <v>0.314</v>
      </c>
      <c r="I93" s="708">
        <v>0.52</v>
      </c>
      <c r="J93" s="570">
        <v>6.1130000000000004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6.1130000000000004</v>
      </c>
      <c r="N93" s="632">
        <f t="shared" si="465"/>
        <v>-2.8282547781446139</v>
      </c>
      <c r="O93" s="629">
        <f t="shared" si="466"/>
        <v>-0.29606313291785114</v>
      </c>
      <c r="P93" s="633">
        <f t="shared" si="467"/>
        <v>-0.11455043973412621</v>
      </c>
      <c r="Q93" s="585">
        <f t="shared" si="520"/>
        <v>185.97598614278209</v>
      </c>
      <c r="R93" s="629">
        <f t="shared" si="79"/>
        <v>2.843708576625068</v>
      </c>
      <c r="S93" s="634">
        <f t="shared" si="80"/>
        <v>-0.11455043973412621</v>
      </c>
      <c r="T93" s="635">
        <f t="shared" si="81"/>
        <v>-0.29606313291785075</v>
      </c>
      <c r="U93" s="629">
        <f t="shared" si="82"/>
        <v>2.8282547781446139</v>
      </c>
      <c r="V93" s="636">
        <f t="shared" si="114"/>
        <v>-0.11455043973412621</v>
      </c>
      <c r="W93" s="585">
        <f t="shared" si="645"/>
        <v>95.975986142782091</v>
      </c>
      <c r="X93" s="629">
        <f t="shared" si="83"/>
        <v>2.843708576625068</v>
      </c>
      <c r="Y93" s="630">
        <f t="shared" si="644"/>
        <v>-0.11455043973412621</v>
      </c>
      <c r="Z93" s="632">
        <f t="shared" si="468"/>
        <v>-0.1187020587241394</v>
      </c>
      <c r="AA93" s="629">
        <f t="shared" si="469"/>
        <v>0.95872379391542528</v>
      </c>
      <c r="AB93" s="629">
        <f t="shared" si="470"/>
        <v>-0.25837667896902827</v>
      </c>
      <c r="AC93" s="636">
        <f t="shared" si="84"/>
        <v>1</v>
      </c>
      <c r="AD93" s="637">
        <f t="shared" si="115"/>
        <v>-0.1187020587241394</v>
      </c>
      <c r="AE93" s="629">
        <f t="shared" si="85"/>
        <v>0.95872379391542528</v>
      </c>
      <c r="AF93" s="633">
        <f t="shared" si="86"/>
        <v>-0.25837667896902827</v>
      </c>
      <c r="AG93" s="602">
        <f t="shared" si="87"/>
        <v>74.917095247143706</v>
      </c>
      <c r="AH93" s="603">
        <f t="shared" si="88"/>
        <v>96.81720062647274</v>
      </c>
      <c r="AI93" s="585">
        <f t="shared" si="89"/>
        <v>-75.026238203505187</v>
      </c>
      <c r="AJ93" s="586">
        <f t="shared" si="90"/>
        <v>-172.9419813407105</v>
      </c>
      <c r="AK93" s="635">
        <f t="shared" si="211"/>
        <v>0.96587198738615232</v>
      </c>
      <c r="AL93" s="629">
        <f t="shared" si="91"/>
        <v>1.8242690252820812E-2</v>
      </c>
      <c r="AM93" s="634">
        <f t="shared" si="92"/>
        <v>-0.25837667896902827</v>
      </c>
      <c r="AN93" s="581">
        <f t="shared" si="93"/>
        <v>4.038667471040152</v>
      </c>
      <c r="AO93" s="582">
        <f t="shared" si="461"/>
        <v>15.011913904822364</v>
      </c>
      <c r="AP93" s="585">
        <f t="shared" si="95"/>
        <v>1.0820325165074201</v>
      </c>
      <c r="AQ93" s="586">
        <f t="shared" si="471"/>
        <v>0.80162148099281161</v>
      </c>
      <c r="AS93" s="52">
        <f t="shared" si="543"/>
        <v>-264.02401385721794</v>
      </c>
      <c r="AT93" s="73">
        <f t="shared" si="472"/>
        <v>6.8799569888941814E-2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6.1130000000000004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-3.5802125455925951</v>
      </c>
      <c r="C94" s="708">
        <v>-0.35236691802191078</v>
      </c>
      <c r="D94" s="709">
        <v>-0.14825054137363278</v>
      </c>
      <c r="E94" s="710">
        <v>1.9238964498132879E-2</v>
      </c>
      <c r="F94" s="708">
        <v>-0.96783227959369178</v>
      </c>
      <c r="G94" s="711">
        <v>0.25085960380562983</v>
      </c>
      <c r="H94" s="710">
        <v>0.314</v>
      </c>
      <c r="I94" s="708">
        <v>0.52</v>
      </c>
      <c r="J94" s="570">
        <v>6.12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6.12</v>
      </c>
      <c r="N94" s="632">
        <f t="shared" si="465"/>
        <v>-3.5802125455925951</v>
      </c>
      <c r="O94" s="629">
        <f t="shared" si="466"/>
        <v>-0.35236691802191078</v>
      </c>
      <c r="P94" s="633">
        <f t="shared" si="467"/>
        <v>-0.14825054137363278</v>
      </c>
      <c r="Q94" s="585">
        <f t="shared" si="520"/>
        <v>185.62098619403776</v>
      </c>
      <c r="R94" s="629">
        <f t="shared" si="79"/>
        <v>3.5975108500927235</v>
      </c>
      <c r="S94" s="634">
        <f t="shared" si="80"/>
        <v>-0.14825054137363278</v>
      </c>
      <c r="T94" s="635">
        <f t="shared" si="81"/>
        <v>-0.35236691802191128</v>
      </c>
      <c r="U94" s="629">
        <f t="shared" si="82"/>
        <v>3.5802125455925951</v>
      </c>
      <c r="V94" s="636">
        <f t="shared" si="114"/>
        <v>-0.14825054137363278</v>
      </c>
      <c r="W94" s="585">
        <f t="shared" si="645"/>
        <v>95.620986194037755</v>
      </c>
      <c r="X94" s="629">
        <f t="shared" si="83"/>
        <v>3.5975108500927235</v>
      </c>
      <c r="Y94" s="630">
        <f t="shared" si="644"/>
        <v>-0.14825054137363278</v>
      </c>
      <c r="Z94" s="632">
        <f t="shared" si="468"/>
        <v>-1.9238964498132879E-2</v>
      </c>
      <c r="AA94" s="629">
        <f t="shared" si="469"/>
        <v>0.96783227959369178</v>
      </c>
      <c r="AB94" s="629">
        <f t="shared" si="470"/>
        <v>-0.25085960380562983</v>
      </c>
      <c r="AC94" s="636">
        <f t="shared" si="84"/>
        <v>1</v>
      </c>
      <c r="AD94" s="637">
        <f t="shared" si="115"/>
        <v>-1.9238964498132879E-2</v>
      </c>
      <c r="AE94" s="629">
        <f t="shared" si="85"/>
        <v>0.96783227959369178</v>
      </c>
      <c r="AF94" s="633">
        <f t="shared" si="86"/>
        <v>-0.25085960380562983</v>
      </c>
      <c r="AG94" s="602">
        <f t="shared" si="87"/>
        <v>75.468866390063141</v>
      </c>
      <c r="AH94" s="603">
        <f t="shared" si="88"/>
        <v>91.102379480455951</v>
      </c>
      <c r="AI94" s="585">
        <f t="shared" si="89"/>
        <v>-75.471615069827749</v>
      </c>
      <c r="AJ94" s="586">
        <f t="shared" si="90"/>
        <v>-178.86120112708949</v>
      </c>
      <c r="AK94" s="635">
        <f t="shared" si="211"/>
        <v>0.9650629528935184</v>
      </c>
      <c r="AL94" s="629">
        <f t="shared" si="91"/>
        <v>-7.5650222279415646E-2</v>
      </c>
      <c r="AM94" s="634">
        <f t="shared" si="92"/>
        <v>-0.25085960380562983</v>
      </c>
      <c r="AN94" s="581">
        <f t="shared" si="93"/>
        <v>-16.781419675806692</v>
      </c>
      <c r="AO94" s="582">
        <f t="shared" si="461"/>
        <v>15.189844203081371</v>
      </c>
      <c r="AP94" s="585">
        <f t="shared" si="95"/>
        <v>-4.4821873211272241</v>
      </c>
      <c r="AQ94" s="586">
        <f t="shared" si="471"/>
        <v>0.63366971712800191</v>
      </c>
      <c r="AS94" s="52">
        <f t="shared" si="543"/>
        <v>-264.37901380596224</v>
      </c>
      <c r="AT94" s="73">
        <f t="shared" si="472"/>
        <v>3.5345995991618778E-2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6.12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-4.2970878817392197</v>
      </c>
      <c r="C95" s="708">
        <v>-0.37949759659878535</v>
      </c>
      <c r="D95" s="709">
        <v>-0.38555125707259114</v>
      </c>
      <c r="E95" s="710">
        <v>-7.5747931847437042E-2</v>
      </c>
      <c r="F95" s="708">
        <v>-0.96944436894583297</v>
      </c>
      <c r="G95" s="711">
        <v>0.23332352290339664</v>
      </c>
      <c r="H95" s="710">
        <v>0.314</v>
      </c>
      <c r="I95" s="708">
        <v>0.52</v>
      </c>
      <c r="J95" s="570">
        <v>6.1269999999999998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6.1269999999999998</v>
      </c>
      <c r="N95" s="632">
        <f t="shared" si="465"/>
        <v>-4.2970878817392197</v>
      </c>
      <c r="O95" s="629">
        <f t="shared" si="466"/>
        <v>-0.37949759659878535</v>
      </c>
      <c r="P95" s="633">
        <f t="shared" si="467"/>
        <v>-0.38555125707259114</v>
      </c>
      <c r="Q95" s="585">
        <f t="shared" si="520"/>
        <v>185.04698627691306</v>
      </c>
      <c r="R95" s="629">
        <f t="shared" si="79"/>
        <v>4.3138130104600396</v>
      </c>
      <c r="S95" s="634">
        <f t="shared" si="80"/>
        <v>-0.38555125707259114</v>
      </c>
      <c r="T95" s="635">
        <f t="shared" si="81"/>
        <v>-0.37949759659878451</v>
      </c>
      <c r="U95" s="629">
        <f t="shared" si="82"/>
        <v>4.2970878817392197</v>
      </c>
      <c r="V95" s="636">
        <f t="shared" si="114"/>
        <v>-0.38555125707259114</v>
      </c>
      <c r="W95" s="585">
        <f t="shared" si="645"/>
        <v>95.04698627691306</v>
      </c>
      <c r="X95" s="629">
        <f t="shared" si="83"/>
        <v>4.3138130104600396</v>
      </c>
      <c r="Y95" s="630">
        <f t="shared" si="644"/>
        <v>-0.38555125707259114</v>
      </c>
      <c r="Z95" s="632">
        <f t="shared" si="468"/>
        <v>7.5747931847437042E-2</v>
      </c>
      <c r="AA95" s="629">
        <f t="shared" si="469"/>
        <v>0.96944436894583297</v>
      </c>
      <c r="AB95" s="629">
        <f t="shared" si="470"/>
        <v>-0.23332352290339664</v>
      </c>
      <c r="AC95" s="636">
        <f t="shared" si="84"/>
        <v>1</v>
      </c>
      <c r="AD95" s="637">
        <f t="shared" si="115"/>
        <v>7.5747931847437042E-2</v>
      </c>
      <c r="AE95" s="629">
        <f t="shared" si="85"/>
        <v>0.96944436894583297</v>
      </c>
      <c r="AF95" s="633">
        <f t="shared" si="86"/>
        <v>-0.23332352290339664</v>
      </c>
      <c r="AG95" s="602">
        <f t="shared" si="87"/>
        <v>76.467564377566163</v>
      </c>
      <c r="AH95" s="603">
        <f t="shared" si="88"/>
        <v>85.655802104996326</v>
      </c>
      <c r="AI95" s="585">
        <f t="shared" si="89"/>
        <v>-76.507179230067351</v>
      </c>
      <c r="AJ95" s="586">
        <f t="shared" si="90"/>
        <v>175.53224819016685</v>
      </c>
      <c r="AK95" s="635">
        <f t="shared" si="211"/>
        <v>0.95902197932609168</v>
      </c>
      <c r="AL95" s="629">
        <f t="shared" si="91"/>
        <v>-0.16073884667190355</v>
      </c>
      <c r="AM95" s="634">
        <f t="shared" si="92"/>
        <v>-0.23332352290339664</v>
      </c>
      <c r="AN95" s="581">
        <f t="shared" si="93"/>
        <v>-34.563334693546935</v>
      </c>
      <c r="AO95" s="582">
        <f t="shared" si="461"/>
        <v>16.459151091695183</v>
      </c>
      <c r="AP95" s="585">
        <f t="shared" si="95"/>
        <v>-9.5147380867462203</v>
      </c>
      <c r="AQ95" s="586">
        <f t="shared" si="471"/>
        <v>0.52845637516470534</v>
      </c>
      <c r="AS95" s="52">
        <f t="shared" si="543"/>
        <v>-264.95301372308694</v>
      </c>
      <c r="AT95" s="73">
        <f t="shared" si="472"/>
        <v>-0.20155610865378076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6.1269999999999998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-4.923813963600173</v>
      </c>
      <c r="C96" s="708">
        <v>-0.38206430298306238</v>
      </c>
      <c r="D96" s="709">
        <v>-0.80865253314603991</v>
      </c>
      <c r="E96" s="710">
        <v>-0.16139268779654792</v>
      </c>
      <c r="F96" s="708">
        <v>-0.96789644558032228</v>
      </c>
      <c r="G96" s="711">
        <v>0.19268853354256565</v>
      </c>
      <c r="H96" s="710">
        <v>0.314</v>
      </c>
      <c r="I96" s="708">
        <v>0.52</v>
      </c>
      <c r="J96" s="570">
        <v>6.1340000000000003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6.1340000000000003</v>
      </c>
      <c r="N96" s="632">
        <f t="shared" si="465"/>
        <v>-4.923813963600173</v>
      </c>
      <c r="O96" s="629">
        <f t="shared" si="466"/>
        <v>-0.38206430298306238</v>
      </c>
      <c r="P96" s="633">
        <f t="shared" si="467"/>
        <v>-0.80865253314603991</v>
      </c>
      <c r="Q96" s="585">
        <f t="shared" si="520"/>
        <v>184.43698636498618</v>
      </c>
      <c r="R96" s="629">
        <f t="shared" si="79"/>
        <v>4.9386148948625239</v>
      </c>
      <c r="S96" s="634">
        <f t="shared" si="80"/>
        <v>-0.80865253314603991</v>
      </c>
      <c r="T96" s="635">
        <f t="shared" si="81"/>
        <v>-0.38206430298306387</v>
      </c>
      <c r="U96" s="629">
        <f t="shared" si="82"/>
        <v>4.923813963600173</v>
      </c>
      <c r="V96" s="636">
        <f t="shared" si="114"/>
        <v>-0.80865253314603991</v>
      </c>
      <c r="W96" s="585">
        <f t="shared" si="645"/>
        <v>94.436986364986183</v>
      </c>
      <c r="X96" s="629">
        <f t="shared" si="83"/>
        <v>4.9386148948625239</v>
      </c>
      <c r="Y96" s="630">
        <f t="shared" si="644"/>
        <v>-0.80865253314603991</v>
      </c>
      <c r="Z96" s="632">
        <f t="shared" si="468"/>
        <v>0.16139268779654792</v>
      </c>
      <c r="AA96" s="629">
        <f t="shared" si="469"/>
        <v>0.96789644558032228</v>
      </c>
      <c r="AB96" s="629">
        <f t="shared" si="470"/>
        <v>-0.19268853354256565</v>
      </c>
      <c r="AC96" s="636">
        <f t="shared" si="84"/>
        <v>1</v>
      </c>
      <c r="AD96" s="637">
        <f t="shared" si="115"/>
        <v>0.16139268779654792</v>
      </c>
      <c r="AE96" s="629">
        <f t="shared" si="85"/>
        <v>0.96789644558032228</v>
      </c>
      <c r="AF96" s="633">
        <f t="shared" si="86"/>
        <v>-0.19268853354256565</v>
      </c>
      <c r="AG96" s="602">
        <f t="shared" si="87"/>
        <v>78.74077777015917</v>
      </c>
      <c r="AH96" s="603">
        <f t="shared" si="88"/>
        <v>80.712257957656945</v>
      </c>
      <c r="AI96" s="585">
        <f t="shared" si="89"/>
        <v>-78.890274312269028</v>
      </c>
      <c r="AJ96" s="586">
        <f t="shared" si="90"/>
        <v>170.5332651933044</v>
      </c>
      <c r="AK96" s="635">
        <f t="shared" si="211"/>
        <v>0.95250991410391428</v>
      </c>
      <c r="AL96" s="629">
        <f t="shared" si="91"/>
        <v>-0.23578802466403931</v>
      </c>
      <c r="AM96" s="634">
        <f t="shared" si="92"/>
        <v>-0.19268853354256565</v>
      </c>
      <c r="AN96" s="581">
        <f t="shared" si="93"/>
        <v>-50.743933128456931</v>
      </c>
      <c r="AO96" s="582">
        <f t="shared" si="461"/>
        <v>17.728540929856528</v>
      </c>
      <c r="AP96" s="585">
        <f t="shared" si="95"/>
        <v>-13.903721171681774</v>
      </c>
      <c r="AQ96" s="586">
        <f t="shared" si="471"/>
        <v>0.4616025660853702</v>
      </c>
      <c r="AS96" s="52">
        <f t="shared" si="543"/>
        <v>-265.56301363501382</v>
      </c>
      <c r="AT96" s="73">
        <f t="shared" si="472"/>
        <v>-0.62423377367728028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6.1340000000000003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-5.4122570720728129</v>
      </c>
      <c r="C97" s="708">
        <v>-0.37039292054016854</v>
      </c>
      <c r="D97" s="709">
        <v>-1.3856542733832888</v>
      </c>
      <c r="E97" s="710">
        <v>-0.2427499689443226</v>
      </c>
      <c r="F97" s="708">
        <v>-0.95916849812632832</v>
      </c>
      <c r="G97" s="711">
        <v>0.14514904333000031</v>
      </c>
      <c r="H97" s="710">
        <v>0.314</v>
      </c>
      <c r="I97" s="708">
        <v>0.52</v>
      </c>
      <c r="J97" s="570">
        <v>6.141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6.141</v>
      </c>
      <c r="N97" s="632">
        <f t="shared" si="465"/>
        <v>-5.4122570720728129</v>
      </c>
      <c r="O97" s="629">
        <f t="shared" si="466"/>
        <v>-0.37039292054016854</v>
      </c>
      <c r="P97" s="633">
        <f t="shared" si="467"/>
        <v>-1.3856542733832888</v>
      </c>
      <c r="Q97" s="585">
        <f t="shared" si="520"/>
        <v>183.91498644035363</v>
      </c>
      <c r="R97" s="629">
        <f t="shared" si="79"/>
        <v>5.4249163615477478</v>
      </c>
      <c r="S97" s="634">
        <f t="shared" si="80"/>
        <v>-1.3856542733832888</v>
      </c>
      <c r="T97" s="635">
        <f t="shared" si="81"/>
        <v>-0.37039292054016826</v>
      </c>
      <c r="U97" s="629">
        <f t="shared" si="82"/>
        <v>5.4122570720728129</v>
      </c>
      <c r="V97" s="636">
        <f t="shared" si="114"/>
        <v>-1.3856542733832888</v>
      </c>
      <c r="W97" s="585">
        <f t="shared" si="645"/>
        <v>93.91498644035363</v>
      </c>
      <c r="X97" s="629">
        <f t="shared" si="83"/>
        <v>5.4249163615477478</v>
      </c>
      <c r="Y97" s="630">
        <f t="shared" si="644"/>
        <v>-1.3856542733832888</v>
      </c>
      <c r="Z97" s="632">
        <f t="shared" si="468"/>
        <v>0.2427499689443226</v>
      </c>
      <c r="AA97" s="629">
        <f t="shared" si="469"/>
        <v>0.95916849812632832</v>
      </c>
      <c r="AB97" s="629">
        <f t="shared" si="470"/>
        <v>-0.14514904333000031</v>
      </c>
      <c r="AC97" s="636">
        <f t="shared" si="84"/>
        <v>1</v>
      </c>
      <c r="AD97" s="637">
        <f t="shared" si="115"/>
        <v>0.2427499689443226</v>
      </c>
      <c r="AE97" s="629">
        <f t="shared" si="85"/>
        <v>0.95916849812632832</v>
      </c>
      <c r="AF97" s="633">
        <f t="shared" si="86"/>
        <v>-0.14514904333000031</v>
      </c>
      <c r="AG97" s="602">
        <f t="shared" si="87"/>
        <v>81.394834874396935</v>
      </c>
      <c r="AH97" s="603">
        <f t="shared" si="88"/>
        <v>75.951097215962221</v>
      </c>
      <c r="AI97" s="585">
        <f t="shared" si="89"/>
        <v>-81.654089949102413</v>
      </c>
      <c r="AJ97" s="586">
        <f t="shared" si="90"/>
        <v>165.79758451588734</v>
      </c>
      <c r="AK97" s="635">
        <f t="shared" si="211"/>
        <v>0.94035617829874185</v>
      </c>
      <c r="AL97" s="629">
        <f t="shared" si="91"/>
        <v>-0.30767192454913811</v>
      </c>
      <c r="AM97" s="634">
        <f t="shared" si="92"/>
        <v>-0.14514904333000031</v>
      </c>
      <c r="AN97" s="581">
        <f t="shared" si="93"/>
        <v>-64.743671716805778</v>
      </c>
      <c r="AO97" s="582">
        <f t="shared" si="461"/>
        <v>19.888541823556906</v>
      </c>
      <c r="AP97" s="585">
        <f t="shared" si="95"/>
        <v>-18.117401924466293</v>
      </c>
      <c r="AQ97" s="586">
        <f t="shared" si="471"/>
        <v>0.42022505099979673</v>
      </c>
      <c r="AS97" s="52">
        <f t="shared" si="543"/>
        <v>-266.08501355964637</v>
      </c>
      <c r="AT97" s="73">
        <f t="shared" si="472"/>
        <v>-1.2008730139668677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6.141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-5.7249238339193838</v>
      </c>
      <c r="C98" s="708">
        <v>-0.35656915142774903</v>
      </c>
      <c r="D98" s="709">
        <v>-2.0730563465879417</v>
      </c>
      <c r="E98" s="710">
        <v>-0.32126092162764436</v>
      </c>
      <c r="F98" s="708">
        <v>-0.9429445656881067</v>
      </c>
      <c r="G98" s="711">
        <v>8.7446934047023916E-2</v>
      </c>
      <c r="H98" s="710">
        <v>0.314</v>
      </c>
      <c r="I98" s="708">
        <v>0.52</v>
      </c>
      <c r="J98" s="570">
        <v>6.1479999999999997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6.1479999999999997</v>
      </c>
      <c r="N98" s="632">
        <f t="shared" si="465"/>
        <v>-5.7249238339193838</v>
      </c>
      <c r="O98" s="629">
        <f t="shared" si="466"/>
        <v>-0.35656915142774903</v>
      </c>
      <c r="P98" s="633">
        <f t="shared" si="467"/>
        <v>-2.0730563465879417</v>
      </c>
      <c r="Q98" s="585">
        <f t="shared" si="520"/>
        <v>183.56398649103176</v>
      </c>
      <c r="R98" s="629">
        <f t="shared" si="79"/>
        <v>5.736017299828176</v>
      </c>
      <c r="S98" s="634">
        <f t="shared" si="80"/>
        <v>-2.0730563465879417</v>
      </c>
      <c r="T98" s="635">
        <f t="shared" si="81"/>
        <v>-0.3565691514277492</v>
      </c>
      <c r="U98" s="629">
        <f t="shared" si="82"/>
        <v>5.7249238339193838</v>
      </c>
      <c r="V98" s="636">
        <f t="shared" si="114"/>
        <v>-2.0730563465879417</v>
      </c>
      <c r="W98" s="585">
        <f t="shared" si="645"/>
        <v>93.563986491031756</v>
      </c>
      <c r="X98" s="629">
        <f t="shared" si="83"/>
        <v>5.736017299828176</v>
      </c>
      <c r="Y98" s="630">
        <f t="shared" si="644"/>
        <v>-2.0730563465879417</v>
      </c>
      <c r="Z98" s="632">
        <f t="shared" si="468"/>
        <v>0.32126092162764436</v>
      </c>
      <c r="AA98" s="629">
        <f t="shared" si="469"/>
        <v>0.9429445656881067</v>
      </c>
      <c r="AB98" s="629">
        <f t="shared" si="470"/>
        <v>-8.7446934047023916E-2</v>
      </c>
      <c r="AC98" s="636">
        <f t="shared" si="84"/>
        <v>1</v>
      </c>
      <c r="AD98" s="637">
        <f t="shared" si="115"/>
        <v>0.32126092162764436</v>
      </c>
      <c r="AE98" s="629">
        <f t="shared" si="85"/>
        <v>0.9429445656881067</v>
      </c>
      <c r="AF98" s="633">
        <f t="shared" si="86"/>
        <v>-8.7446934047023916E-2</v>
      </c>
      <c r="AG98" s="602">
        <f t="shared" si="87"/>
        <v>84.701650004603593</v>
      </c>
      <c r="AH98" s="603">
        <f t="shared" si="88"/>
        <v>71.260802773567207</v>
      </c>
      <c r="AI98" s="585">
        <f t="shared" si="89"/>
        <v>-84.983252022830399</v>
      </c>
      <c r="AJ98" s="586">
        <f t="shared" si="90"/>
        <v>161.18603924377356</v>
      </c>
      <c r="AK98" s="635">
        <f t="shared" si="211"/>
        <v>0.92115030478015003</v>
      </c>
      <c r="AL98" s="629">
        <f t="shared" si="91"/>
        <v>-0.37925604771606758</v>
      </c>
      <c r="AM98" s="634">
        <f t="shared" si="92"/>
        <v>-8.7446934047023916E-2</v>
      </c>
      <c r="AN98" s="581">
        <f t="shared" si="93"/>
        <v>-77.015953761000873</v>
      </c>
      <c r="AO98" s="582">
        <f t="shared" si="461"/>
        <v>22.905167793414758</v>
      </c>
      <c r="AP98" s="585">
        <f t="shared" si="95"/>
        <v>-22.377947247258192</v>
      </c>
      <c r="AQ98" s="586">
        <f t="shared" si="471"/>
        <v>0.39743430837819377</v>
      </c>
      <c r="AS98" s="52">
        <f t="shared" si="543"/>
        <v>-266.43601350896824</v>
      </c>
      <c r="AT98" s="73">
        <f t="shared" si="472"/>
        <v>-1.8880313372067137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6.1479999999999997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-5.8381101742936083</v>
      </c>
      <c r="C99" s="708">
        <v>-0.35042529171075759</v>
      </c>
      <c r="D99" s="709">
        <v>-2.819258597133929</v>
      </c>
      <c r="E99" s="710">
        <v>-0.44185596686917411</v>
      </c>
      <c r="F99" s="708">
        <v>-0.89666571278583307</v>
      </c>
      <c r="G99" s="711">
        <v>2.7457313349658868E-2</v>
      </c>
      <c r="H99" s="710">
        <v>0.314</v>
      </c>
      <c r="I99" s="708">
        <v>0.52</v>
      </c>
      <c r="J99" s="570">
        <v>6.1550000000000002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6.1550000000000002</v>
      </c>
      <c r="N99" s="632">
        <f t="shared" si="465"/>
        <v>-5.8381101742936083</v>
      </c>
      <c r="O99" s="629">
        <f t="shared" si="466"/>
        <v>-0.35042529171075759</v>
      </c>
      <c r="P99" s="633">
        <f t="shared" si="467"/>
        <v>-2.819258597133929</v>
      </c>
      <c r="Q99" s="585">
        <f t="shared" si="520"/>
        <v>183.43498650965705</v>
      </c>
      <c r="R99" s="629">
        <f t="shared" si="79"/>
        <v>5.8486176394308007</v>
      </c>
      <c r="S99" s="634">
        <f t="shared" si="80"/>
        <v>-2.819258597133929</v>
      </c>
      <c r="T99" s="635">
        <f t="shared" si="81"/>
        <v>-0.35042529171075787</v>
      </c>
      <c r="U99" s="629">
        <f t="shared" si="82"/>
        <v>5.8381101742936083</v>
      </c>
      <c r="V99" s="636">
        <f t="shared" si="114"/>
        <v>-2.819258597133929</v>
      </c>
      <c r="W99" s="585">
        <f t="shared" si="645"/>
        <v>93.434986509657051</v>
      </c>
      <c r="X99" s="629">
        <f t="shared" si="83"/>
        <v>5.8486176394308007</v>
      </c>
      <c r="Y99" s="630">
        <f t="shared" si="644"/>
        <v>-2.819258597133929</v>
      </c>
      <c r="Z99" s="632">
        <f t="shared" si="468"/>
        <v>0.44185596686917411</v>
      </c>
      <c r="AA99" s="629">
        <f t="shared" si="469"/>
        <v>0.89666571278583307</v>
      </c>
      <c r="AB99" s="629">
        <f t="shared" si="470"/>
        <v>-2.7457313349658868E-2</v>
      </c>
      <c r="AC99" s="636">
        <f t="shared" si="84"/>
        <v>1</v>
      </c>
      <c r="AD99" s="637">
        <f t="shared" si="115"/>
        <v>0.44185596686917411</v>
      </c>
      <c r="AE99" s="629">
        <f t="shared" si="85"/>
        <v>0.89666571278583307</v>
      </c>
      <c r="AF99" s="633">
        <f t="shared" si="86"/>
        <v>-2.7457313349658868E-2</v>
      </c>
      <c r="AG99" s="602">
        <f t="shared" si="87"/>
        <v>88.246061258168709</v>
      </c>
      <c r="AH99" s="603">
        <f t="shared" si="88"/>
        <v>63.777640792941057</v>
      </c>
      <c r="AI99" s="585">
        <f t="shared" si="89"/>
        <v>-88.426614089047234</v>
      </c>
      <c r="AJ99" s="586">
        <f t="shared" si="90"/>
        <v>153.76699640048605</v>
      </c>
      <c r="AK99" s="635">
        <f t="shared" si="211"/>
        <v>0.86858058225966173</v>
      </c>
      <c r="AL99" s="629">
        <f t="shared" si="91"/>
        <v>-0.49478668945828153</v>
      </c>
      <c r="AM99" s="634">
        <f t="shared" si="92"/>
        <v>-2.7457313349658868E-2</v>
      </c>
      <c r="AN99" s="581">
        <f t="shared" si="93"/>
        <v>-86.82372968932917</v>
      </c>
      <c r="AO99" s="582">
        <f t="shared" si="461"/>
        <v>29.705889363017814</v>
      </c>
      <c r="AP99" s="585">
        <f t="shared" si="95"/>
        <v>-29.667990109170972</v>
      </c>
      <c r="AQ99" s="586">
        <f t="shared" si="471"/>
        <v>0.38978295440604366</v>
      </c>
      <c r="AS99" s="52">
        <f t="shared" si="543"/>
        <v>-266.56501349034295</v>
      </c>
      <c r="AT99" s="73">
        <f t="shared" si="472"/>
        <v>-2.6341440044323021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6.1550000000000002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-5.884052373880083</v>
      </c>
      <c r="C100" s="708">
        <v>-0.34772071163620272</v>
      </c>
      <c r="D100" s="709">
        <v>-3.6152609978771695</v>
      </c>
      <c r="E100" s="710">
        <v>-0.52425358329717764</v>
      </c>
      <c r="F100" s="708">
        <v>-0.85156219995961091</v>
      </c>
      <c r="G100" s="711">
        <v>1.3008419226882965E-7</v>
      </c>
      <c r="H100" s="710">
        <v>0.314</v>
      </c>
      <c r="I100" s="708">
        <v>0.52</v>
      </c>
      <c r="J100" s="570">
        <v>6.1619999999999999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6.1619999999999999</v>
      </c>
      <c r="N100" s="632">
        <f t="shared" si="465"/>
        <v>-5.884052373880083</v>
      </c>
      <c r="O100" s="629">
        <f t="shared" si="466"/>
        <v>-0.34772071163620272</v>
      </c>
      <c r="P100" s="633">
        <f t="shared" si="467"/>
        <v>-3.6152609978771695</v>
      </c>
      <c r="Q100" s="585">
        <f t="shared" si="520"/>
        <v>183.38198648494037</v>
      </c>
      <c r="R100" s="629">
        <f t="shared" si="79"/>
        <v>5.8943177749307534</v>
      </c>
      <c r="S100" s="634">
        <f t="shared" si="80"/>
        <v>-3.6152609978771695</v>
      </c>
      <c r="T100" s="635">
        <f t="shared" si="81"/>
        <v>-0.34772071163620139</v>
      </c>
      <c r="U100" s="629">
        <f t="shared" si="82"/>
        <v>5.884052373880083</v>
      </c>
      <c r="V100" s="636">
        <f t="shared" si="114"/>
        <v>-3.6152609978771695</v>
      </c>
      <c r="W100" s="585">
        <f t="shared" si="645"/>
        <v>93.38198648494037</v>
      </c>
      <c r="X100" s="629">
        <f t="shared" si="83"/>
        <v>5.8943177749307534</v>
      </c>
      <c r="Y100" s="630">
        <f t="shared" si="644"/>
        <v>-3.6152609978771695</v>
      </c>
      <c r="Z100" s="632">
        <f t="shared" si="468"/>
        <v>0.52425358329717764</v>
      </c>
      <c r="AA100" s="629">
        <f t="shared" si="469"/>
        <v>0.85156219995961091</v>
      </c>
      <c r="AB100" s="629">
        <f t="shared" si="470"/>
        <v>-1.3008419226882965E-7</v>
      </c>
      <c r="AC100" s="636">
        <f t="shared" si="84"/>
        <v>1</v>
      </c>
      <c r="AD100" s="637">
        <f t="shared" si="115"/>
        <v>0.52425358329717764</v>
      </c>
      <c r="AE100" s="629">
        <f t="shared" si="85"/>
        <v>0.85156219995961091</v>
      </c>
      <c r="AF100" s="633">
        <f t="shared" si="86"/>
        <v>-1.3008419226882965E-7</v>
      </c>
      <c r="AG100" s="602">
        <f t="shared" si="87"/>
        <v>89.999991247526964</v>
      </c>
      <c r="AH100" s="603">
        <f t="shared" si="88"/>
        <v>58.38199157068432</v>
      </c>
      <c r="AI100" s="585">
        <f t="shared" si="89"/>
        <v>-89.999992546724798</v>
      </c>
      <c r="AJ100" s="586">
        <f t="shared" si="90"/>
        <v>148.38199157068402</v>
      </c>
      <c r="AK100" s="635">
        <f t="shared" si="211"/>
        <v>0.81915209520133059</v>
      </c>
      <c r="AL100" s="629">
        <f t="shared" si="91"/>
        <v>-0.57357636364066933</v>
      </c>
      <c r="AM100" s="634">
        <f t="shared" si="92"/>
        <v>-1.3008419226882965E-7</v>
      </c>
      <c r="AN100" s="581">
        <f t="shared" si="93"/>
        <v>-89.999987005609597</v>
      </c>
      <c r="AO100" s="582">
        <f t="shared" si="461"/>
        <v>34.999994914257037</v>
      </c>
      <c r="AP100" s="585">
        <f t="shared" si="95"/>
        <v>-34.999994914256355</v>
      </c>
      <c r="AQ100" s="586">
        <f t="shared" si="471"/>
        <v>0.38676096080327577</v>
      </c>
      <c r="AS100" s="52">
        <f t="shared" si="543"/>
        <v>-266.6180135150596</v>
      </c>
      <c r="AT100" s="73">
        <f t="shared" si="472"/>
        <v>-3.4301095996028224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6.1619999999999999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-3.5461399075003444</v>
      </c>
      <c r="C101" s="708">
        <v>0.64101719784685995</v>
      </c>
      <c r="D101" s="709">
        <v>-0.14005051664235818</v>
      </c>
      <c r="E101" s="710">
        <v>-0.1284445615882325</v>
      </c>
      <c r="F101" s="708">
        <v>2.321802236095067E-2</v>
      </c>
      <c r="G101" s="711">
        <v>0.99144486384067432</v>
      </c>
      <c r="H101" s="710">
        <v>0.25700000000000001</v>
      </c>
      <c r="I101" s="708">
        <v>0.41499999999999992</v>
      </c>
      <c r="J101" s="570">
        <v>6.22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CPS-32193r1</v>
      </c>
      <c r="L101" s="320"/>
      <c r="M101" s="168">
        <f t="shared" si="464"/>
        <v>6.22</v>
      </c>
      <c r="N101" s="632">
        <f t="shared" si="465"/>
        <v>-3.5461399075003444</v>
      </c>
      <c r="O101" s="629">
        <f t="shared" si="466"/>
        <v>0.64101719784685995</v>
      </c>
      <c r="P101" s="633">
        <f t="shared" si="467"/>
        <v>-0.14005051664235818</v>
      </c>
      <c r="Q101" s="585">
        <f t="shared" si="520"/>
        <v>169.7535884850065</v>
      </c>
      <c r="R101" s="629">
        <f t="shared" si="79"/>
        <v>3.6036108684903798</v>
      </c>
      <c r="S101" s="634">
        <f t="shared" si="80"/>
        <v>-0.14005051664235818</v>
      </c>
      <c r="T101" s="635">
        <f t="shared" si="81"/>
        <v>0.64101719784686106</v>
      </c>
      <c r="U101" s="629">
        <f t="shared" si="82"/>
        <v>3.5461399075003439</v>
      </c>
      <c r="V101" s="636">
        <f t="shared" si="114"/>
        <v>-0.14005051664235818</v>
      </c>
      <c r="W101" s="585">
        <f t="shared" si="645"/>
        <v>79.753588485006503</v>
      </c>
      <c r="X101" s="629">
        <f t="shared" si="83"/>
        <v>3.6036108684903798</v>
      </c>
      <c r="Y101" s="630">
        <f t="shared" si="644"/>
        <v>-0.14005051664235818</v>
      </c>
      <c r="Z101" s="632">
        <f t="shared" si="468"/>
        <v>0.1284445615882325</v>
      </c>
      <c r="AA101" s="629">
        <f t="shared" si="469"/>
        <v>-2.321802236095067E-2</v>
      </c>
      <c r="AB101" s="629">
        <f t="shared" si="470"/>
        <v>-0.99144486384067432</v>
      </c>
      <c r="AC101" s="636">
        <f t="shared" si="84"/>
        <v>1</v>
      </c>
      <c r="AD101" s="637">
        <f t="shared" si="115"/>
        <v>0.1284445615882325</v>
      </c>
      <c r="AE101" s="629">
        <f t="shared" si="85"/>
        <v>-2.321802236095067E-2</v>
      </c>
      <c r="AF101" s="633">
        <f t="shared" si="86"/>
        <v>-0.99144486384067432</v>
      </c>
      <c r="AG101" s="602">
        <f t="shared" si="87"/>
        <v>-1.3415285424998409</v>
      </c>
      <c r="AH101" s="603">
        <f t="shared" si="88"/>
        <v>82.620281280949513</v>
      </c>
      <c r="AI101" s="585">
        <f t="shared" si="89"/>
        <v>-7.4999989171453043</v>
      </c>
      <c r="AJ101" s="586">
        <f t="shared" si="90"/>
        <v>79.753688038912443</v>
      </c>
      <c r="AK101" s="635">
        <f t="shared" si="211"/>
        <v>2.2679489675159203E-7</v>
      </c>
      <c r="AL101" s="629">
        <f t="shared" si="91"/>
        <v>-0.13052617348216186</v>
      </c>
      <c r="AM101" s="634">
        <f t="shared" si="92"/>
        <v>-0.99144486384067432</v>
      </c>
      <c r="AN101" s="581">
        <f t="shared" si="93"/>
        <v>-7.4999989171341275</v>
      </c>
      <c r="AO101" s="582">
        <f t="shared" si="461"/>
        <v>0</v>
      </c>
      <c r="AP101" s="585">
        <f t="shared" si="95"/>
        <v>-89.999900446094045</v>
      </c>
      <c r="AQ101" s="586">
        <f t="shared" si="471"/>
        <v>0.6325971588848841</v>
      </c>
      <c r="AS101" s="52">
        <f t="shared" si="543"/>
        <v>-280.2464115149935</v>
      </c>
      <c r="AT101" s="73">
        <f t="shared" si="472"/>
        <v>5.4565046909720638E-2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Nose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6.22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6.12</v>
      </c>
      <c r="II101" s="734" cm="1">
        <f t="array" ref="II101">IFERROR(IF($IH101&lt;1,$IH101+LARGE((IF($M$9:$M$150="",0,$M$9:$M$150)-MOD(IF($M$9:$M$150="",0,$M$9:$M$150),1)),1),$IH101),"")</f>
        <v>6.12</v>
      </c>
      <c r="IJ101" s="533">
        <f t="shared" si="542"/>
        <v>1613</v>
      </c>
      <c r="IK101" s="533" t="str">
        <f t="shared" si="517"/>
        <v>CPS-32193r1</v>
      </c>
      <c r="IL101" s="727">
        <f t="shared" si="647"/>
        <v>15.867397709031252</v>
      </c>
      <c r="IM101" s="759">
        <v>3.6230345555942699E-2</v>
      </c>
      <c r="IN101" s="5">
        <f t="shared" si="648"/>
        <v>0.82</v>
      </c>
      <c r="IO101" s="771">
        <v>410</v>
      </c>
      <c r="IP101" s="9">
        <f t="shared" si="649"/>
        <v>-3.5975108500927235</v>
      </c>
      <c r="IQ101" s="5">
        <f t="shared" si="650"/>
        <v>-0.14825054137363278</v>
      </c>
      <c r="IR101" s="5">
        <f t="shared" si="518"/>
        <v>0.314</v>
      </c>
      <c r="IS101" s="5">
        <f t="shared" si="651"/>
        <v>0.30302976720856478</v>
      </c>
      <c r="IT101" s="727">
        <f t="shared" si="652"/>
        <v>16.781419675806692</v>
      </c>
      <c r="IU101" s="9">
        <f t="shared" si="653"/>
        <v>-3.6036108684903798</v>
      </c>
      <c r="IV101" s="5">
        <f t="shared" si="654"/>
        <v>-0.14005051664235818</v>
      </c>
      <c r="IW101" s="5">
        <f t="shared" si="519"/>
        <v>0.25700000000000001</v>
      </c>
      <c r="IX101" s="5">
        <f t="shared" si="655"/>
        <v>0.25700000000000001</v>
      </c>
      <c r="IY101" s="762">
        <f t="shared" si="656"/>
        <v>7.4999989171341275</v>
      </c>
    </row>
    <row r="102" spans="1:259" ht="15" customHeight="1" x14ac:dyDescent="0.25">
      <c r="A102" s="79"/>
      <c r="B102" s="707">
        <v>-4.2768937872947221</v>
      </c>
      <c r="C102" s="708">
        <v>0.68443581437195466</v>
      </c>
      <c r="D102" s="709">
        <v>-0.35095115271867666</v>
      </c>
      <c r="E102" s="710">
        <v>-0.32268710509887372</v>
      </c>
      <c r="F102" s="708">
        <v>-0.90651250388375781</v>
      </c>
      <c r="G102" s="711">
        <v>0.27222805238496001</v>
      </c>
      <c r="H102" s="710">
        <v>0.26600000000000001</v>
      </c>
      <c r="I102" s="708">
        <v>0.52</v>
      </c>
      <c r="J102" s="570">
        <v>6.2270000000000003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6.2270000000000003</v>
      </c>
      <c r="N102" s="632">
        <f t="shared" si="465"/>
        <v>-4.2768937872947221</v>
      </c>
      <c r="O102" s="629">
        <f t="shared" si="466"/>
        <v>0.68443581437195466</v>
      </c>
      <c r="P102" s="633">
        <f t="shared" si="467"/>
        <v>-0.35095115271867666</v>
      </c>
      <c r="Q102" s="585">
        <f t="shared" si="520"/>
        <v>170.9079883183318</v>
      </c>
      <c r="R102" s="629">
        <f t="shared" si="79"/>
        <v>4.3313130632401986</v>
      </c>
      <c r="S102" s="634">
        <f t="shared" si="80"/>
        <v>-0.35095115271867666</v>
      </c>
      <c r="T102" s="635">
        <f t="shared" si="81"/>
        <v>0.68443581437195444</v>
      </c>
      <c r="U102" s="629">
        <f t="shared" si="82"/>
        <v>4.2768937872947221</v>
      </c>
      <c r="V102" s="636">
        <f t="shared" si="114"/>
        <v>-0.35095115271867666</v>
      </c>
      <c r="W102" s="585">
        <f t="shared" si="645"/>
        <v>80.907988318331803</v>
      </c>
      <c r="X102" s="629">
        <f t="shared" si="83"/>
        <v>4.3313130632401986</v>
      </c>
      <c r="Y102" s="630">
        <f t="shared" si="644"/>
        <v>-0.35095115271867666</v>
      </c>
      <c r="Z102" s="632">
        <f t="shared" si="468"/>
        <v>0.32268710509887372</v>
      </c>
      <c r="AA102" s="629">
        <f t="shared" si="469"/>
        <v>0.90651250388375781</v>
      </c>
      <c r="AB102" s="629">
        <f t="shared" si="470"/>
        <v>-0.27222805238496001</v>
      </c>
      <c r="AC102" s="636">
        <f t="shared" si="84"/>
        <v>1</v>
      </c>
      <c r="AD102" s="637">
        <f t="shared" si="115"/>
        <v>0.32268710509887372</v>
      </c>
      <c r="AE102" s="629">
        <f t="shared" si="85"/>
        <v>0.90651250388375781</v>
      </c>
      <c r="AF102" s="633">
        <f t="shared" si="86"/>
        <v>-0.27222805238496001</v>
      </c>
      <c r="AG102" s="602">
        <f t="shared" si="87"/>
        <v>73.284851490284865</v>
      </c>
      <c r="AH102" s="603">
        <f t="shared" si="88"/>
        <v>71.174492308273059</v>
      </c>
      <c r="AI102" s="585">
        <f t="shared" si="89"/>
        <v>-74.203107934532639</v>
      </c>
      <c r="AJ102" s="586">
        <f t="shared" si="90"/>
        <v>160.40602890118851</v>
      </c>
      <c r="AK102" s="635">
        <f t="shared" si="211"/>
        <v>0.94611408773705796</v>
      </c>
      <c r="AL102" s="629">
        <f t="shared" si="91"/>
        <v>-0.17538534853335436</v>
      </c>
      <c r="AM102" s="634">
        <f t="shared" si="92"/>
        <v>-0.27222805238496001</v>
      </c>
      <c r="AN102" s="581">
        <f t="shared" si="93"/>
        <v>-32.792019702731743</v>
      </c>
      <c r="AO102" s="582">
        <f t="shared" si="461"/>
        <v>18.894917659771679</v>
      </c>
      <c r="AP102" s="585">
        <f t="shared" si="95"/>
        <v>-10.501959417143292</v>
      </c>
      <c r="AQ102" s="586">
        <f t="shared" si="471"/>
        <v>0.52632134289532539</v>
      </c>
      <c r="AS102" s="52">
        <f t="shared" si="543"/>
        <v>-279.09201168166817</v>
      </c>
      <c r="AT102" s="73">
        <f t="shared" si="472"/>
        <v>-0.15713725571751821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Nose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6.2270000000000003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6.1269999999999998</v>
      </c>
      <c r="II102" s="734" cm="1">
        <f t="array" ref="II102">IFERROR(IF($IH102&lt;1,$IH102+LARGE((IF($M$9:$M$150="",0,$M$9:$M$150)-MOD(IF($M$9:$M$150="",0,$M$9:$M$150),1)),1),$IH102),"")</f>
        <v>6.1269999999999998</v>
      </c>
      <c r="IJ102" s="533">
        <f t="shared" si="542"/>
        <v>1613</v>
      </c>
      <c r="IK102" s="533">
        <f t="shared" si="517"/>
        <v>1313</v>
      </c>
      <c r="IL102" s="727">
        <f t="shared" si="647"/>
        <v>14.138997958581257</v>
      </c>
      <c r="IM102" s="759">
        <v>1.07805930724465E-2</v>
      </c>
      <c r="IN102" s="5">
        <f t="shared" si="648"/>
        <v>0.26</v>
      </c>
      <c r="IO102" s="771">
        <v>130</v>
      </c>
      <c r="IP102" s="9">
        <f t="shared" si="649"/>
        <v>-4.3138130104600396</v>
      </c>
      <c r="IQ102" s="5">
        <f t="shared" si="650"/>
        <v>-0.38555125707259114</v>
      </c>
      <c r="IR102" s="5">
        <f t="shared" si="518"/>
        <v>0.314</v>
      </c>
      <c r="IS102" s="5">
        <f t="shared" si="651"/>
        <v>0.30113290150839278</v>
      </c>
      <c r="IT102" s="727">
        <f t="shared" si="652"/>
        <v>34.563334693546935</v>
      </c>
      <c r="IU102" s="9">
        <f t="shared" si="653"/>
        <v>-4.3313130632401986</v>
      </c>
      <c r="IV102" s="5">
        <f t="shared" si="654"/>
        <v>-0.35095115271867666</v>
      </c>
      <c r="IW102" s="5">
        <f t="shared" si="519"/>
        <v>0.26600000000000001</v>
      </c>
      <c r="IX102" s="5">
        <f t="shared" si="655"/>
        <v>0.25166634733805743</v>
      </c>
      <c r="IY102" s="762">
        <f t="shared" si="656"/>
        <v>32.792019702731743</v>
      </c>
    </row>
    <row r="103" spans="1:259" ht="15" customHeight="1" x14ac:dyDescent="0.25">
      <c r="A103" s="79"/>
      <c r="B103" s="707">
        <v>-4.9197750056224923</v>
      </c>
      <c r="C103" s="708">
        <v>0.67683961675514837</v>
      </c>
      <c r="D103" s="709">
        <v>-0.7777524399513589</v>
      </c>
      <c r="E103" s="710">
        <v>-0.3842669367816644</v>
      </c>
      <c r="F103" s="708">
        <v>-0.89487884983248289</v>
      </c>
      <c r="G103" s="711">
        <v>0.22700388855464371</v>
      </c>
      <c r="H103" s="710">
        <v>0.26600000000000001</v>
      </c>
      <c r="I103" s="708">
        <v>0.52</v>
      </c>
      <c r="J103" s="570">
        <v>6.234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1313</v>
      </c>
      <c r="L103" s="320"/>
      <c r="M103" s="168">
        <f t="shared" si="464"/>
        <v>6.234</v>
      </c>
      <c r="N103" s="632">
        <f t="shared" si="465"/>
        <v>-4.9197750056224923</v>
      </c>
      <c r="O103" s="629">
        <f t="shared" si="466"/>
        <v>0.67683961675514837</v>
      </c>
      <c r="P103" s="633">
        <f t="shared" si="467"/>
        <v>-0.7777524399513589</v>
      </c>
      <c r="Q103" s="585">
        <f t="shared" si="520"/>
        <v>172.16668813659805</v>
      </c>
      <c r="R103" s="629">
        <f t="shared" si="79"/>
        <v>4.9661149778027749</v>
      </c>
      <c r="S103" s="634">
        <f t="shared" si="80"/>
        <v>-0.7777524399513589</v>
      </c>
      <c r="T103" s="635">
        <f t="shared" si="81"/>
        <v>0.67683961675514726</v>
      </c>
      <c r="U103" s="629">
        <f t="shared" si="82"/>
        <v>4.9197750056224931</v>
      </c>
      <c r="V103" s="636">
        <f t="shared" si="114"/>
        <v>-0.7777524399513589</v>
      </c>
      <c r="W103" s="585">
        <f t="shared" si="645"/>
        <v>82.166688136598054</v>
      </c>
      <c r="X103" s="629">
        <f t="shared" si="83"/>
        <v>4.9661149778027749</v>
      </c>
      <c r="Y103" s="630">
        <f t="shared" si="644"/>
        <v>-0.7777524399513589</v>
      </c>
      <c r="Z103" s="632">
        <f t="shared" si="468"/>
        <v>0.3842669367816644</v>
      </c>
      <c r="AA103" s="629">
        <f t="shared" si="469"/>
        <v>0.89487884983248289</v>
      </c>
      <c r="AB103" s="629">
        <f t="shared" si="470"/>
        <v>-0.22700388855464371</v>
      </c>
      <c r="AC103" s="636">
        <f t="shared" si="84"/>
        <v>1</v>
      </c>
      <c r="AD103" s="637">
        <f t="shared" si="115"/>
        <v>0.3842669367816644</v>
      </c>
      <c r="AE103" s="629">
        <f t="shared" si="85"/>
        <v>0.89487884983248289</v>
      </c>
      <c r="AF103" s="633">
        <f t="shared" si="86"/>
        <v>-0.22700388855464371</v>
      </c>
      <c r="AG103" s="602">
        <f t="shared" si="87"/>
        <v>75.766023465992404</v>
      </c>
      <c r="AH103" s="603">
        <f t="shared" si="88"/>
        <v>67.401761657938295</v>
      </c>
      <c r="AI103" s="585">
        <f t="shared" si="89"/>
        <v>-76.879257946740836</v>
      </c>
      <c r="AJ103" s="586">
        <f t="shared" si="90"/>
        <v>156.76099235881827</v>
      </c>
      <c r="AK103" s="635">
        <f t="shared" si="211"/>
        <v>0.93890087231770181</v>
      </c>
      <c r="AL103" s="629">
        <f t="shared" si="91"/>
        <v>-0.25871680761429039</v>
      </c>
      <c r="AM103" s="634">
        <f t="shared" si="92"/>
        <v>-0.22700388855464371</v>
      </c>
      <c r="AN103" s="581">
        <f t="shared" si="93"/>
        <v>-48.735564763010899</v>
      </c>
      <c r="AO103" s="582">
        <f t="shared" si="461"/>
        <v>20.132215998343138</v>
      </c>
      <c r="AP103" s="585">
        <f t="shared" si="95"/>
        <v>-15.405695777779794</v>
      </c>
      <c r="AQ103" s="586">
        <f t="shared" si="471"/>
        <v>0.45904653099960002</v>
      </c>
      <c r="AS103" s="52">
        <f t="shared" si="543"/>
        <v>-277.83331186340195</v>
      </c>
      <c r="AT103" s="73">
        <f t="shared" si="472"/>
        <v>-0.58481264004621869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>Taper</v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6.234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6.1340000000000003</v>
      </c>
      <c r="II103" s="734" cm="1">
        <f t="array" ref="II103">IFERROR(IF($IH103&lt;1,$IH103+LARGE((IF($M$9:$M$150="",0,$M$9:$M$150)-MOD(IF($M$9:$M$150="",0,$M$9:$M$150),1)),1),$IH103),"")</f>
        <v>6.1340000000000003</v>
      </c>
      <c r="IJ103" s="533">
        <f t="shared" si="542"/>
        <v>1613</v>
      </c>
      <c r="IK103" s="533">
        <f t="shared" si="517"/>
        <v>1313</v>
      </c>
      <c r="IL103" s="727">
        <f t="shared" si="647"/>
        <v>12.270298228388128</v>
      </c>
      <c r="IM103" s="759">
        <v>8.0958919685193403E-3</v>
      </c>
      <c r="IN103" s="5">
        <f t="shared" si="648"/>
        <v>0.26</v>
      </c>
      <c r="IO103" s="771">
        <v>130</v>
      </c>
      <c r="IP103" s="9">
        <f t="shared" si="649"/>
        <v>-4.9386148948625239</v>
      </c>
      <c r="IQ103" s="5">
        <f t="shared" si="650"/>
        <v>-0.80865253314603991</v>
      </c>
      <c r="IR103" s="5">
        <f t="shared" si="518"/>
        <v>0.314</v>
      </c>
      <c r="IS103" s="5">
        <f t="shared" si="651"/>
        <v>0.29908811302862909</v>
      </c>
      <c r="IT103" s="727">
        <f t="shared" si="652"/>
        <v>50.743933128456931</v>
      </c>
      <c r="IU103" s="9">
        <f t="shared" si="653"/>
        <v>-4.9661149778027749</v>
      </c>
      <c r="IV103" s="5">
        <f t="shared" si="654"/>
        <v>-0.7777524399513589</v>
      </c>
      <c r="IW103" s="5">
        <f t="shared" si="519"/>
        <v>0.26600000000000001</v>
      </c>
      <c r="IX103" s="5">
        <f t="shared" si="655"/>
        <v>0.24974763203650868</v>
      </c>
      <c r="IY103" s="762">
        <f t="shared" si="656"/>
        <v>48.735564763010899</v>
      </c>
    </row>
    <row r="104" spans="1:259" ht="15" customHeight="1" x14ac:dyDescent="0.25">
      <c r="A104" s="79"/>
      <c r="B104" s="707">
        <v>-5.4165362151004954</v>
      </c>
      <c r="C104" s="708">
        <v>0.69479790167876054</v>
      </c>
      <c r="D104" s="709">
        <v>-1.3612541997926668</v>
      </c>
      <c r="E104" s="710">
        <v>-0.45237654094079061</v>
      </c>
      <c r="F104" s="708">
        <v>-0.87489144623781212</v>
      </c>
      <c r="G104" s="711">
        <v>0.17297520777948175</v>
      </c>
      <c r="H104" s="710">
        <v>0.26600000000000001</v>
      </c>
      <c r="I104" s="708">
        <v>0.52</v>
      </c>
      <c r="J104" s="570">
        <v>6.2409999999999997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1313</v>
      </c>
      <c r="L104" s="320"/>
      <c r="M104" s="168">
        <f t="shared" si="464"/>
        <v>6.2409999999999997</v>
      </c>
      <c r="N104" s="632">
        <f t="shared" si="465"/>
        <v>-5.4165362151004954</v>
      </c>
      <c r="O104" s="629">
        <f t="shared" si="466"/>
        <v>0.69479790167876054</v>
      </c>
      <c r="P104" s="633">
        <f t="shared" si="467"/>
        <v>-1.3612541997926668</v>
      </c>
      <c r="Q104" s="585">
        <f t="shared" si="520"/>
        <v>172.6903880609851</v>
      </c>
      <c r="R104" s="629">
        <f t="shared" si="79"/>
        <v>5.4609164701240767</v>
      </c>
      <c r="S104" s="634">
        <f t="shared" si="80"/>
        <v>-1.3612541997926668</v>
      </c>
      <c r="T104" s="635">
        <f t="shared" si="81"/>
        <v>0.69479790167876188</v>
      </c>
      <c r="U104" s="629">
        <f t="shared" si="82"/>
        <v>5.4165362151004945</v>
      </c>
      <c r="V104" s="636">
        <f t="shared" si="114"/>
        <v>-1.3612541997926668</v>
      </c>
      <c r="W104" s="585">
        <f t="shared" si="645"/>
        <v>82.6903880609851</v>
      </c>
      <c r="X104" s="629">
        <f t="shared" si="83"/>
        <v>5.4609164701240767</v>
      </c>
      <c r="Y104" s="630">
        <f t="shared" si="644"/>
        <v>-1.3612541997926668</v>
      </c>
      <c r="Z104" s="632">
        <f t="shared" si="468"/>
        <v>0.45237654094079061</v>
      </c>
      <c r="AA104" s="629">
        <f t="shared" si="469"/>
        <v>0.87489144623781212</v>
      </c>
      <c r="AB104" s="629">
        <f t="shared" si="470"/>
        <v>-0.17297520777948175</v>
      </c>
      <c r="AC104" s="636">
        <f t="shared" si="84"/>
        <v>1</v>
      </c>
      <c r="AD104" s="637">
        <f t="shared" si="115"/>
        <v>0.45237654094079061</v>
      </c>
      <c r="AE104" s="629">
        <f t="shared" si="85"/>
        <v>0.87489144623781212</v>
      </c>
      <c r="AF104" s="633">
        <f t="shared" si="86"/>
        <v>-0.17297520777948175</v>
      </c>
      <c r="AG104" s="602">
        <f t="shared" si="87"/>
        <v>78.816257337608704</v>
      </c>
      <c r="AH104" s="603">
        <f t="shared" si="88"/>
        <v>63.103737111742987</v>
      </c>
      <c r="AI104" s="585">
        <f t="shared" si="89"/>
        <v>-80.039150803231948</v>
      </c>
      <c r="AJ104" s="586">
        <f t="shared" si="90"/>
        <v>152.6580564649239</v>
      </c>
      <c r="AK104" s="635">
        <f t="shared" si="211"/>
        <v>0.92533762453398261</v>
      </c>
      <c r="AL104" s="629">
        <f t="shared" si="91"/>
        <v>-0.33738680785628145</v>
      </c>
      <c r="AM104" s="634">
        <f t="shared" si="92"/>
        <v>-0.17297520777948175</v>
      </c>
      <c r="AN104" s="581">
        <f t="shared" si="93"/>
        <v>-62.856190260329768</v>
      </c>
      <c r="AO104" s="582">
        <f t="shared" si="461"/>
        <v>22.28067893624933</v>
      </c>
      <c r="AP104" s="585">
        <f t="shared" si="95"/>
        <v>-20.032331596061198</v>
      </c>
      <c r="AQ104" s="586">
        <f t="shared" si="471"/>
        <v>0.417454891377875</v>
      </c>
      <c r="AS104" s="52">
        <f t="shared" si="543"/>
        <v>-277.30961193901487</v>
      </c>
      <c r="AT104" s="73">
        <f t="shared" si="472"/>
        <v>-1.1686780803905732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Taper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6.2409999999999997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6.141</v>
      </c>
      <c r="II104" s="734" cm="1">
        <f t="array" ref="II104">IFERROR(IF($IH104&lt;1,$IH104+LARGE((IF($M$9:$M$150="",0,$M$9:$M$150)-MOD(IF($M$9:$M$150="",0,$M$9:$M$150),1)),1),$IH104),"")</f>
        <v>6.141</v>
      </c>
      <c r="IJ104" s="533">
        <f t="shared" si="542"/>
        <v>1613</v>
      </c>
      <c r="IK104" s="533">
        <f t="shared" si="517"/>
        <v>1313</v>
      </c>
      <c r="IL104" s="727">
        <f t="shared" si="647"/>
        <v>11.22459837936853</v>
      </c>
      <c r="IM104" s="759">
        <v>5.7880594398200102E-3</v>
      </c>
      <c r="IN104" s="5">
        <f t="shared" si="648"/>
        <v>0.24</v>
      </c>
      <c r="IO104" s="771">
        <v>120</v>
      </c>
      <c r="IP104" s="9">
        <f t="shared" si="649"/>
        <v>-5.4249163615477478</v>
      </c>
      <c r="IQ104" s="5">
        <f t="shared" si="650"/>
        <v>-1.3856542733832888</v>
      </c>
      <c r="IR104" s="5">
        <f t="shared" si="518"/>
        <v>0.314</v>
      </c>
      <c r="IS104" s="5">
        <f t="shared" si="651"/>
        <v>0.29527183998580492</v>
      </c>
      <c r="IT104" s="727">
        <f t="shared" si="652"/>
        <v>64.743671716805778</v>
      </c>
      <c r="IU104" s="9">
        <f t="shared" si="653"/>
        <v>-5.4609164701240767</v>
      </c>
      <c r="IV104" s="5">
        <f t="shared" si="654"/>
        <v>-1.3612541997926668</v>
      </c>
      <c r="IW104" s="5">
        <f t="shared" si="519"/>
        <v>0.26600000000000001</v>
      </c>
      <c r="IX104" s="5">
        <f t="shared" si="655"/>
        <v>0.24613980812603942</v>
      </c>
      <c r="IY104" s="762">
        <f t="shared" si="656"/>
        <v>62.856190260329768</v>
      </c>
    </row>
    <row r="105" spans="1:259" ht="15" customHeight="1" x14ac:dyDescent="0.25">
      <c r="A105" s="79"/>
      <c r="B105" s="707">
        <v>-5.7327748043243991</v>
      </c>
      <c r="C105" s="708">
        <v>0.72564227323251873</v>
      </c>
      <c r="D105" s="709">
        <v>-2.0575562998398005</v>
      </c>
      <c r="E105" s="710">
        <v>-0.52399655111715626</v>
      </c>
      <c r="F105" s="708">
        <v>-0.84492690870086773</v>
      </c>
      <c r="G105" s="711">
        <v>0.1073598312709233</v>
      </c>
      <c r="H105" s="710">
        <v>0.26600000000000001</v>
      </c>
      <c r="I105" s="708">
        <v>0.52</v>
      </c>
      <c r="J105" s="570">
        <v>6.2480000000000002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1313</v>
      </c>
      <c r="L105" s="320"/>
      <c r="M105" s="168">
        <f t="shared" ref="M105:M136" si="660">IF(J105="","",VALUE(J105))</f>
        <v>6.2480000000000002</v>
      </c>
      <c r="N105" s="632">
        <f t="shared" ref="N105:N136" si="661">IF(M105="","",B105)</f>
        <v>-5.7327748043243991</v>
      </c>
      <c r="O105" s="629">
        <f t="shared" ref="O105:O136" si="662">IF(M105="","",C105)</f>
        <v>0.72564227323251873</v>
      </c>
      <c r="P105" s="633">
        <f t="shared" ref="P105:P136" si="663">IF(M105="","",D105)</f>
        <v>-2.0575562998398005</v>
      </c>
      <c r="Q105" s="585">
        <f t="shared" si="520"/>
        <v>172.78598804718217</v>
      </c>
      <c r="R105" s="629">
        <f t="shared" si="79"/>
        <v>5.7785174280085645</v>
      </c>
      <c r="S105" s="634">
        <f t="shared" si="80"/>
        <v>-2.0575562998398005</v>
      </c>
      <c r="T105" s="635">
        <f t="shared" si="81"/>
        <v>0.72564227323252106</v>
      </c>
      <c r="U105" s="629">
        <f t="shared" si="82"/>
        <v>5.7327748043243991</v>
      </c>
      <c r="V105" s="636">
        <f t="shared" si="114"/>
        <v>-2.0575562998398005</v>
      </c>
      <c r="W105" s="585">
        <f t="shared" si="645"/>
        <v>82.785988047182173</v>
      </c>
      <c r="X105" s="629">
        <f t="shared" si="83"/>
        <v>5.7785174280085645</v>
      </c>
      <c r="Y105" s="630">
        <f t="shared" si="644"/>
        <v>-2.0575562998398005</v>
      </c>
      <c r="Z105" s="632">
        <f t="shared" ref="Z105:Z136" si="664">IF(M105="","",-E105)</f>
        <v>0.52399655111715626</v>
      </c>
      <c r="AA105" s="629">
        <f t="shared" ref="AA105:AA136" si="665">IF(M105="","",-F105)</f>
        <v>0.84492690870086773</v>
      </c>
      <c r="AB105" s="629">
        <f t="shared" ref="AB105:AB136" si="666">IF(M105="","",-G105)</f>
        <v>-0.1073598312709233</v>
      </c>
      <c r="AC105" s="636">
        <f t="shared" si="84"/>
        <v>1</v>
      </c>
      <c r="AD105" s="637">
        <f t="shared" si="115"/>
        <v>0.52399655111715626</v>
      </c>
      <c r="AE105" s="629">
        <f t="shared" si="85"/>
        <v>0.84492690870086773</v>
      </c>
      <c r="AF105" s="633">
        <f t="shared" si="86"/>
        <v>-0.1073598312709233</v>
      </c>
      <c r="AG105" s="602">
        <f t="shared" si="87"/>
        <v>82.758571683154287</v>
      </c>
      <c r="AH105" s="603">
        <f t="shared" si="88"/>
        <v>58.399283896845041</v>
      </c>
      <c r="AI105" s="585">
        <f t="shared" si="89"/>
        <v>-83.836856347412436</v>
      </c>
      <c r="AJ105" s="586">
        <f t="shared" si="90"/>
        <v>148.19413864726647</v>
      </c>
      <c r="AK105" s="635">
        <f t="shared" si="211"/>
        <v>0.90403980039825327</v>
      </c>
      <c r="AL105" s="629">
        <f t="shared" si="91"/>
        <v>-0.41374618539071184</v>
      </c>
      <c r="AM105" s="634">
        <f t="shared" si="92"/>
        <v>-0.1073598312709233</v>
      </c>
      <c r="AN105" s="581">
        <f t="shared" si="93"/>
        <v>-75.453568614749017</v>
      </c>
      <c r="AO105" s="582">
        <f t="shared" si="461"/>
        <v>25.305730778405582</v>
      </c>
      <c r="AP105" s="585">
        <f t="shared" si="95"/>
        <v>-24.591849399915723</v>
      </c>
      <c r="AQ105" s="586">
        <f t="shared" ref="AQ105:AQ136" si="667">IF(M105="","",DEGREES(ATAN(($AS$5*SIN(RADIANS(90)))/(($X105*2*PI())-($AS$5*COS(RADIANS(90)))))))</f>
        <v>0.39451133143574291</v>
      </c>
      <c r="AS105" s="52">
        <f t="shared" si="543"/>
        <v>-277.21401195281783</v>
      </c>
      <c r="AT105" s="73">
        <f t="shared" ref="AT105:AT136" si="668">IF(M105="","",Y105+(((AS105-$AS$9)*$AS$6)*-1))</f>
        <v>-1.8650465693170104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6.2480000000000002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6.1479999999999997</v>
      </c>
      <c r="II105" s="734" cm="1">
        <f t="array" ref="II105">IFERROR(IF($IH105&lt;1,$IH105+LARGE((IF($M$9:$M$150="",0,$M$9:$M$150)-MOD(IF($M$9:$M$150="",0,$M$9:$M$150),1)),1),$IH105),"")</f>
        <v>6.1479999999999997</v>
      </c>
      <c r="IJ105" s="533">
        <f t="shared" si="542"/>
        <v>1613</v>
      </c>
      <c r="IK105" s="533">
        <f t="shared" ref="IK105:IK136" si="713">IF(ISNUMBER($II105),INDEX($K$9:$K$150,MATCH($IG105,$M$9:$M$150,0)),"")</f>
        <v>1313</v>
      </c>
      <c r="IL105" s="727">
        <f t="shared" si="647"/>
        <v>10.777998443849583</v>
      </c>
      <c r="IM105" s="759">
        <v>3.6585867836584499E-3</v>
      </c>
      <c r="IN105" s="5">
        <f t="shared" si="648"/>
        <v>0.2</v>
      </c>
      <c r="IO105" s="771">
        <v>100</v>
      </c>
      <c r="IP105" s="9">
        <f t="shared" si="649"/>
        <v>-5.736017299828176</v>
      </c>
      <c r="IQ105" s="5">
        <f t="shared" si="650"/>
        <v>-2.0730563465879417</v>
      </c>
      <c r="IR105" s="5">
        <f t="shared" ref="IR105:IR136" si="714">IF(ISNUMBER($II105),INDEX($H$9:$H$150,MATCH($II105,$M$9:$M$150,0)),"")</f>
        <v>0.314</v>
      </c>
      <c r="IS105" s="5">
        <f t="shared" si="651"/>
        <v>0.28924119570096712</v>
      </c>
      <c r="IT105" s="727">
        <f t="shared" si="652"/>
        <v>77.015953761000873</v>
      </c>
      <c r="IU105" s="9">
        <f t="shared" si="653"/>
        <v>-5.7785174280085645</v>
      </c>
      <c r="IV105" s="5">
        <f t="shared" si="654"/>
        <v>-2.0575562998398005</v>
      </c>
      <c r="IW105" s="5">
        <f t="shared" ref="IW105:IW136" si="715">IF(ISNUMBER($II105),$H105,"")</f>
        <v>0.26600000000000001</v>
      </c>
      <c r="IX105" s="5">
        <f t="shared" si="655"/>
        <v>0.24047458690593537</v>
      </c>
      <c r="IY105" s="762">
        <f t="shared" si="656"/>
        <v>75.453568614749017</v>
      </c>
    </row>
    <row r="106" spans="1:259" ht="15" customHeight="1" x14ac:dyDescent="0.25">
      <c r="A106" s="79"/>
      <c r="B106" s="707">
        <v>-5.841394168154852</v>
      </c>
      <c r="C106" s="708">
        <v>0.78809658773418134</v>
      </c>
      <c r="D106" s="709">
        <v>-2.8146585832602882</v>
      </c>
      <c r="E106" s="710">
        <v>-0.63905513276586778</v>
      </c>
      <c r="F106" s="708">
        <v>-0.76820581764265605</v>
      </c>
      <c r="G106" s="711">
        <v>3.8319173080554159E-2</v>
      </c>
      <c r="H106" s="710">
        <v>0.26600000000000001</v>
      </c>
      <c r="I106" s="708">
        <v>0.52</v>
      </c>
      <c r="J106" s="570">
        <v>6.2549999999999999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1313</v>
      </c>
      <c r="L106" s="320"/>
      <c r="M106" s="168">
        <f t="shared" si="660"/>
        <v>6.2549999999999999</v>
      </c>
      <c r="N106" s="632">
        <f t="shared" si="661"/>
        <v>-5.841394168154852</v>
      </c>
      <c r="O106" s="629">
        <f t="shared" si="662"/>
        <v>0.78809658773418134</v>
      </c>
      <c r="P106" s="633">
        <f t="shared" si="663"/>
        <v>-2.8146585832602882</v>
      </c>
      <c r="Q106" s="585">
        <f t="shared" si="520"/>
        <v>172.31628811499849</v>
      </c>
      <c r="R106" s="629">
        <f t="shared" ref="R106:R129" si="716">IF(M106="","",SQRT(N106^2+O106^2))</f>
        <v>5.894317777262418</v>
      </c>
      <c r="S106" s="634">
        <f t="shared" ref="S106:S129" si="717">IF(M106="","",P106)</f>
        <v>-2.8146585832602882</v>
      </c>
      <c r="T106" s="635">
        <f t="shared" ref="T106:T129" si="718">IF(M106="","",X106*COS(RADIANS(W106)))</f>
        <v>0.78809658773417957</v>
      </c>
      <c r="U106" s="629">
        <f t="shared" ref="U106:U129" si="719">IF(M106="","",X106*SIN(RADIANS(W106)))</f>
        <v>5.841394168154852</v>
      </c>
      <c r="V106" s="636">
        <f t="shared" ref="V106:V129" si="720">IF(M106="","",Y106)</f>
        <v>-2.8146585832602882</v>
      </c>
      <c r="W106" s="585">
        <f t="shared" si="645"/>
        <v>82.316288114998486</v>
      </c>
      <c r="X106" s="629">
        <f t="shared" ref="X106:X129" si="721">IF(M106="","",R106)</f>
        <v>5.894317777262418</v>
      </c>
      <c r="Y106" s="630">
        <f t="shared" si="644"/>
        <v>-2.8146585832602882</v>
      </c>
      <c r="Z106" s="632">
        <f t="shared" si="664"/>
        <v>0.63905513276586778</v>
      </c>
      <c r="AA106" s="629">
        <f t="shared" si="665"/>
        <v>0.76820581764265605</v>
      </c>
      <c r="AB106" s="629">
        <f t="shared" si="666"/>
        <v>-3.8319173080554159E-2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0.63905513276586778</v>
      </c>
      <c r="AE106" s="629">
        <f t="shared" ref="AE106:AE129" si="724">IF(M106="","",AA106*(1/SQRT(Z106^2+AA106^2+AB106^2)))</f>
        <v>0.76820581764265605</v>
      </c>
      <c r="AF106" s="633">
        <f t="shared" ref="AF106:AF129" si="725">IF(M106="","",AB106*(1/SQRT(Z106^2+AA106^2+AB106^2)))</f>
        <v>-3.8319173080554159E-2</v>
      </c>
      <c r="AG106" s="602">
        <f t="shared" ref="AG106:AG129" si="726">IF(M106="","",DEGREES(ATAN2(-AF106,AE106)))</f>
        <v>87.144373786773357</v>
      </c>
      <c r="AH106" s="603">
        <f t="shared" ref="AH106:AH129" si="727">IF(M106="","",DEGREES(ACOS(AD106)))</f>
        <v>50.27860083995192</v>
      </c>
      <c r="AI106" s="585">
        <f t="shared" ref="AI106:AI129" si="728">IF(M106="","",DEGREES(-ACOS(-AF106)))</f>
        <v>-87.803935449091455</v>
      </c>
      <c r="AJ106" s="586">
        <f t="shared" ref="AJ106:AJ129" si="729">IF(M106="","",DEGREES(ATAN2(-AE106,AD106)))</f>
        <v>140.24360351541893</v>
      </c>
      <c r="AK106" s="635">
        <f t="shared" ref="AK106:AK129" si="730">IF(M106="","",(COS(RADIANS((90-$Q$8)-W106))*AD106)+(-SIN(RADIANS((90-$Q$8)-W106))*AE106))</f>
        <v>0.84675281198450914</v>
      </c>
      <c r="AL106" s="629">
        <f t="shared" ref="AL106:AL129" si="731">IF(M106="","",(SIN(RADIANS((90-$Q$8)-W106))*AD106)+(COS(RADIANS((90-$Q$8)-W106))*AE106))</f>
        <v>-0.53060467051350868</v>
      </c>
      <c r="AM106" s="634">
        <f t="shared" ref="AM106:AM129" si="732">IF(M106="","",AF106)</f>
        <v>-3.8319173080554159E-2</v>
      </c>
      <c r="AN106" s="581">
        <f t="shared" ref="AN106:AN129" si="733">IF(M106="","",DEGREES(ATAN2(-AM106,AL106)))</f>
        <v>-85.869388188344757</v>
      </c>
      <c r="AO106" s="582">
        <f t="shared" si="461"/>
        <v>32.139775636291503</v>
      </c>
      <c r="AP106" s="585">
        <f t="shared" ref="AP106:AP129" si="734">IF(M106="","",DEGREES(ATAN2(AK106,AL106)))</f>
        <v>-32.072684599579581</v>
      </c>
      <c r="AQ106" s="586">
        <f t="shared" si="667"/>
        <v>0.38676096065028615</v>
      </c>
      <c r="AS106" s="52">
        <f t="shared" si="543"/>
        <v>-277.68371188500151</v>
      </c>
      <c r="AT106" s="73">
        <f t="shared" si="668"/>
        <v>-2.6218226722290372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>Taper</v>
      </c>
      <c r="IF106" s="533" t="str">
        <f>IFERROR(IF((((($IW106*COS(RADIANS(180-$IY106)))*COS(RADIANS($IY106)))-(($IX106*SIN(RADIANS(180-$IY106)))*SIN(RADIANS($IY106))))+$IU106)&lt;(((Settings!$C$19+$IF$8)/2)*-1),"Gage",""),"")</f>
        <v>Gage</v>
      </c>
      <c r="IG106" s="847">
        <f t="shared" si="643"/>
        <v>6.2549999999999999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6.1550000000000002</v>
      </c>
      <c r="II106" s="734" cm="1">
        <f t="array" ref="II106">IFERROR(IF($IH106&lt;1,$IH106+LARGE((IF($M$9:$M$150="",0,$M$9:$M$150)-MOD(IF($M$9:$M$150="",0,$M$9:$M$150),1)),1),$IH106),"")</f>
        <v>6.1550000000000002</v>
      </c>
      <c r="IJ106" s="533">
        <f t="shared" si="542"/>
        <v>1613</v>
      </c>
      <c r="IK106" s="533">
        <f t="shared" si="713"/>
        <v>1313</v>
      </c>
      <c r="IL106" s="727">
        <f t="shared" si="647"/>
        <v>11.118698394658566</v>
      </c>
      <c r="IM106" s="759">
        <v>1.6006058349673201E-3</v>
      </c>
      <c r="IN106" s="5">
        <f t="shared" si="648"/>
        <v>0</v>
      </c>
      <c r="IO106" s="771">
        <v>0</v>
      </c>
      <c r="IP106" s="9">
        <f t="shared" si="649"/>
        <v>-5.8486176394308007</v>
      </c>
      <c r="IQ106" s="5">
        <f t="shared" si="650"/>
        <v>-2.819258597133929</v>
      </c>
      <c r="IR106" s="5">
        <f t="shared" si="714"/>
        <v>0.314</v>
      </c>
      <c r="IS106" s="5">
        <f t="shared" si="651"/>
        <v>0.27273430282953376</v>
      </c>
      <c r="IT106" s="727">
        <f t="shared" si="652"/>
        <v>86.82372968932917</v>
      </c>
      <c r="IU106" s="9">
        <f t="shared" si="653"/>
        <v>-5.894317777262418</v>
      </c>
      <c r="IV106" s="5">
        <f t="shared" si="654"/>
        <v>-2.8146585832602882</v>
      </c>
      <c r="IW106" s="5">
        <f t="shared" si="715"/>
        <v>0.26600000000000001</v>
      </c>
      <c r="IX106" s="5">
        <f t="shared" si="655"/>
        <v>0.22523624798787945</v>
      </c>
      <c r="IY106" s="762">
        <f t="shared" si="656"/>
        <v>85.869388188344757</v>
      </c>
    </row>
    <row r="107" spans="1:259" ht="15" customHeight="1" x14ac:dyDescent="0.25">
      <c r="A107" s="79"/>
      <c r="B107" s="707">
        <v>-5.7583428081637535</v>
      </c>
      <c r="C107" s="708">
        <v>1.2634317356198808</v>
      </c>
      <c r="D107" s="709">
        <v>-3.6283610373868909</v>
      </c>
      <c r="E107" s="710">
        <v>-0.9767655139625131</v>
      </c>
      <c r="F107" s="708">
        <v>0.21431082738279059</v>
      </c>
      <c r="G107" s="711">
        <v>2.2679489620620168E-7</v>
      </c>
      <c r="H107" s="710">
        <v>0.25700000000000001</v>
      </c>
      <c r="I107" s="708">
        <v>0.41499999999999992</v>
      </c>
      <c r="J107" s="570">
        <v>6.2619999999999996</v>
      </c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CPS-32193r1</v>
      </c>
      <c r="L107" s="320"/>
      <c r="M107" s="168">
        <f t="shared" si="660"/>
        <v>6.2619999999999996</v>
      </c>
      <c r="N107" s="632">
        <f t="shared" si="661"/>
        <v>-5.7583428081637535</v>
      </c>
      <c r="O107" s="629">
        <f t="shared" si="662"/>
        <v>1.2634317356198808</v>
      </c>
      <c r="P107" s="633">
        <f t="shared" si="663"/>
        <v>-3.6283610373868909</v>
      </c>
      <c r="Q107" s="585">
        <f t="shared" si="520"/>
        <v>167.62488879235269</v>
      </c>
      <c r="R107" s="629">
        <f t="shared" si="716"/>
        <v>5.895317773191084</v>
      </c>
      <c r="S107" s="634">
        <f t="shared" si="717"/>
        <v>-3.6283610373868909</v>
      </c>
      <c r="T107" s="635">
        <f t="shared" si="718"/>
        <v>1.2634317356198828</v>
      </c>
      <c r="U107" s="629">
        <f t="shared" si="719"/>
        <v>5.7583428081637527</v>
      </c>
      <c r="V107" s="636">
        <f t="shared" si="720"/>
        <v>-3.6283610373868909</v>
      </c>
      <c r="W107" s="585">
        <f t="shared" si="645"/>
        <v>77.624888792352692</v>
      </c>
      <c r="X107" s="629">
        <f t="shared" si="721"/>
        <v>5.895317773191084</v>
      </c>
      <c r="Y107" s="630">
        <f t="shared" si="644"/>
        <v>-3.6283610373868909</v>
      </c>
      <c r="Z107" s="632">
        <f t="shared" si="664"/>
        <v>0.9767655139625131</v>
      </c>
      <c r="AA107" s="629">
        <f t="shared" si="665"/>
        <v>-0.21431082738279059</v>
      </c>
      <c r="AB107" s="629">
        <f t="shared" si="666"/>
        <v>-2.2679489620620168E-7</v>
      </c>
      <c r="AC107" s="636">
        <f t="shared" si="722"/>
        <v>1</v>
      </c>
      <c r="AD107" s="637">
        <f t="shared" si="723"/>
        <v>0.9767655139625131</v>
      </c>
      <c r="AE107" s="629">
        <f t="shared" si="724"/>
        <v>-0.21431082738279059</v>
      </c>
      <c r="AF107" s="633">
        <f t="shared" si="725"/>
        <v>-2.2679489620620168E-7</v>
      </c>
      <c r="AG107" s="602">
        <f t="shared" si="726"/>
        <v>-89.999939366617511</v>
      </c>
      <c r="AH107" s="603">
        <f t="shared" si="727"/>
        <v>12.375098213263582</v>
      </c>
      <c r="AI107" s="585">
        <f t="shared" si="728"/>
        <v>-89.999987005609626</v>
      </c>
      <c r="AJ107" s="586">
        <f t="shared" si="729"/>
        <v>77.624901786743123</v>
      </c>
      <c r="AK107" s="635">
        <f t="shared" si="730"/>
        <v>2.2679489733445912E-7</v>
      </c>
      <c r="AL107" s="629">
        <f t="shared" si="731"/>
        <v>-0.9999999999999486</v>
      </c>
      <c r="AM107" s="634">
        <f t="shared" si="732"/>
        <v>-2.2679489620620168E-7</v>
      </c>
      <c r="AN107" s="581">
        <f t="shared" si="733"/>
        <v>-89.999987005609626</v>
      </c>
      <c r="AO107" s="582">
        <f t="shared" si="461"/>
        <v>0</v>
      </c>
      <c r="AP107" s="585">
        <f t="shared" si="734"/>
        <v>-89.999987005609569</v>
      </c>
      <c r="AQ107" s="586">
        <f t="shared" si="667"/>
        <v>0.38669535814075262</v>
      </c>
      <c r="AS107" s="52">
        <f t="shared" ref="AS107:AS138" si="737">IF(G107="","",IF(AND(W107&lt;(AS106+180),W107&gt;(AS106-180)),W107,IF(W107&gt;(AS106+180),W107-360,IF(W107&lt;(AS106-180),W107+360,"Error"))))</f>
        <v>-282.37511120764731</v>
      </c>
      <c r="AT107" s="73">
        <f t="shared" si="668"/>
        <v>-3.4322672101593579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Taper</v>
      </c>
      <c r="IF107" s="533" t="str">
        <f>IFERROR(IF((((($IW107*COS(RADIANS(180-$IY107)))*COS(RADIANS($IY107)))-(($IX107*SIN(RADIANS(180-$IY107)))*SIN(RADIANS($IY107))))+$IU107)&lt;(((Settings!$C$19+$IF$8)/2)*-1),"Gage",""),"")</f>
        <v>Gage</v>
      </c>
      <c r="IG107" s="847">
        <f t="shared" si="643"/>
        <v>6.2619999999999996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6.1619999999999999</v>
      </c>
      <c r="II107" s="734" cm="1">
        <f t="array" ref="II107">IFERROR(IF($IH107&lt;1,$IH107+LARGE((IF($M$9:$M$150="",0,$M$9:$M$150)-MOD(IF($M$9:$M$150="",0,$M$9:$M$150),1)),1),$IH107),"")</f>
        <v>6.1619999999999999</v>
      </c>
      <c r="IJ107" s="533">
        <f t="shared" si="542"/>
        <v>1613</v>
      </c>
      <c r="IK107" s="533" t="str">
        <f t="shared" si="713"/>
        <v>CPS-32193r1</v>
      </c>
      <c r="IL107" s="727">
        <f t="shared" si="647"/>
        <v>15.757097692587678</v>
      </c>
      <c r="IM107" s="759">
        <v>1.87055428966834E-4</v>
      </c>
      <c r="IN107" s="5">
        <f t="shared" si="648"/>
        <v>0</v>
      </c>
      <c r="IO107" s="771">
        <v>0</v>
      </c>
      <c r="IP107" s="9">
        <f t="shared" si="649"/>
        <v>-5.8943177749307534</v>
      </c>
      <c r="IQ107" s="5">
        <f t="shared" si="650"/>
        <v>-3.6152609978771695</v>
      </c>
      <c r="IR107" s="5">
        <f t="shared" si="714"/>
        <v>0.314</v>
      </c>
      <c r="IS107" s="5">
        <f t="shared" si="651"/>
        <v>0.25721375789321782</v>
      </c>
      <c r="IT107" s="727">
        <f t="shared" si="652"/>
        <v>89.999987005609597</v>
      </c>
      <c r="IU107" s="9">
        <f t="shared" si="653"/>
        <v>-5.895317773191084</v>
      </c>
      <c r="IV107" s="5">
        <f t="shared" si="654"/>
        <v>-3.6283610373868909</v>
      </c>
      <c r="IW107" s="5">
        <f t="shared" si="715"/>
        <v>0.25700000000000001</v>
      </c>
      <c r="IX107" s="5">
        <f t="shared" si="655"/>
        <v>0.25700000000000001</v>
      </c>
      <c r="IY107" s="762">
        <f t="shared" si="656"/>
        <v>89.999987005609626</v>
      </c>
    </row>
    <row r="108" spans="1:259" ht="15" customHeight="1" x14ac:dyDescent="0.25">
      <c r="A108" s="79"/>
      <c r="B108" s="707">
        <v>-2.0648984931053023</v>
      </c>
      <c r="C108" s="708">
        <v>1.7954322785882846</v>
      </c>
      <c r="D108" s="709">
        <v>-0.12665047622783623</v>
      </c>
      <c r="E108" s="710">
        <v>-0.60900559467952842</v>
      </c>
      <c r="F108" s="708">
        <v>-0.75044988818074421</v>
      </c>
      <c r="G108" s="711">
        <v>0.25678230269732905</v>
      </c>
      <c r="H108" s="710">
        <v>0.314</v>
      </c>
      <c r="I108" s="708">
        <v>0.52</v>
      </c>
      <c r="J108" s="570">
        <v>7.1120000000000001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7.1120000000000001</v>
      </c>
      <c r="N108" s="632">
        <f t="shared" si="661"/>
        <v>-2.0648984931053023</v>
      </c>
      <c r="O108" s="629">
        <f t="shared" si="662"/>
        <v>1.7954322785882846</v>
      </c>
      <c r="P108" s="633">
        <f t="shared" si="663"/>
        <v>-0.12665047622783623</v>
      </c>
      <c r="Q108" s="585">
        <f t="shared" si="520"/>
        <v>138.992992926287</v>
      </c>
      <c r="R108" s="629">
        <f t="shared" si="716"/>
        <v>2.7363082527056899</v>
      </c>
      <c r="S108" s="634">
        <f t="shared" si="717"/>
        <v>-0.12665047622783623</v>
      </c>
      <c r="T108" s="635">
        <f t="shared" si="718"/>
        <v>1.795432278588285</v>
      </c>
      <c r="U108" s="629">
        <f t="shared" si="719"/>
        <v>2.0648984931053014</v>
      </c>
      <c r="V108" s="636">
        <f t="shared" si="720"/>
        <v>-0.12665047622783623</v>
      </c>
      <c r="W108" s="585">
        <f t="shared" si="645"/>
        <v>48.992992926287002</v>
      </c>
      <c r="X108" s="629">
        <f t="shared" si="721"/>
        <v>2.7363082527056899</v>
      </c>
      <c r="Y108" s="630">
        <f t="shared" si="644"/>
        <v>-0.12665047622783623</v>
      </c>
      <c r="Z108" s="632">
        <f t="shared" si="664"/>
        <v>0.60900559467952842</v>
      </c>
      <c r="AA108" s="629">
        <f t="shared" si="665"/>
        <v>0.75044988818074421</v>
      </c>
      <c r="AB108" s="629">
        <f t="shared" si="666"/>
        <v>-0.25678230269732905</v>
      </c>
      <c r="AC108" s="636">
        <f t="shared" si="722"/>
        <v>1</v>
      </c>
      <c r="AD108" s="637">
        <f t="shared" si="723"/>
        <v>0.60900559467952842</v>
      </c>
      <c r="AE108" s="629">
        <f t="shared" si="724"/>
        <v>0.75044988818074421</v>
      </c>
      <c r="AF108" s="633">
        <f t="shared" si="725"/>
        <v>-0.25678230269732905</v>
      </c>
      <c r="AG108" s="602">
        <f t="shared" si="726"/>
        <v>71.110533086759204</v>
      </c>
      <c r="AH108" s="603">
        <f t="shared" si="727"/>
        <v>52.482364333508031</v>
      </c>
      <c r="AI108" s="585">
        <f t="shared" si="728"/>
        <v>-75.120779338355405</v>
      </c>
      <c r="AJ108" s="586">
        <f t="shared" si="729"/>
        <v>140.93995629318414</v>
      </c>
      <c r="AK108" s="635">
        <f t="shared" si="730"/>
        <v>0.96591133077586688</v>
      </c>
      <c r="AL108" s="629">
        <f t="shared" si="731"/>
        <v>3.2835196059281424E-2</v>
      </c>
      <c r="AM108" s="634">
        <f t="shared" si="732"/>
        <v>-0.25678230269732905</v>
      </c>
      <c r="AN108" s="581">
        <f t="shared" si="733"/>
        <v>7.286965064689487</v>
      </c>
      <c r="AO108" s="582">
        <f t="shared" si="461"/>
        <v>15.003208592892666</v>
      </c>
      <c r="AP108" s="585">
        <f t="shared" si="734"/>
        <v>1.9469633668971285</v>
      </c>
      <c r="AQ108" s="586">
        <f t="shared" si="667"/>
        <v>0.83308083941326394</v>
      </c>
      <c r="AS108" s="52">
        <f t="shared" si="737"/>
        <v>-311.007007073713</v>
      </c>
      <c r="AT108" s="73">
        <f t="shared" si="668"/>
        <v>8.9326612017797791E-2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7.1120000000000001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-2.6221585294932348</v>
      </c>
      <c r="C109" s="708">
        <v>2.3043530091086657</v>
      </c>
      <c r="D109" s="709">
        <v>-0.13075048859347352</v>
      </c>
      <c r="E109" s="710">
        <v>-0.68471024673933945</v>
      </c>
      <c r="F109" s="708">
        <v>-0.68325412449504741</v>
      </c>
      <c r="G109" s="711">
        <v>0.25364478975657945</v>
      </c>
      <c r="H109" s="710">
        <v>0.314</v>
      </c>
      <c r="I109" s="708">
        <v>0.52</v>
      </c>
      <c r="J109" s="570">
        <v>7.1189999999999998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0"/>
        <v>7.1189999999999998</v>
      </c>
      <c r="N109" s="632">
        <f t="shared" si="661"/>
        <v>-2.6221585294932348</v>
      </c>
      <c r="O109" s="629">
        <f t="shared" si="662"/>
        <v>2.3043530091086657</v>
      </c>
      <c r="P109" s="633">
        <f t="shared" si="663"/>
        <v>-0.13075048859347352</v>
      </c>
      <c r="Q109" s="585">
        <f t="shared" si="520"/>
        <v>138.6909929698904</v>
      </c>
      <c r="R109" s="629">
        <f t="shared" si="716"/>
        <v>3.4908105282845536</v>
      </c>
      <c r="S109" s="634">
        <f t="shared" si="717"/>
        <v>-0.13075048859347352</v>
      </c>
      <c r="T109" s="635">
        <f t="shared" si="718"/>
        <v>2.3043530091086666</v>
      </c>
      <c r="U109" s="629">
        <f t="shared" si="719"/>
        <v>2.6221585294932344</v>
      </c>
      <c r="V109" s="636">
        <f t="shared" si="720"/>
        <v>-0.13075048859347352</v>
      </c>
      <c r="W109" s="585">
        <f t="shared" si="645"/>
        <v>48.690992969890402</v>
      </c>
      <c r="X109" s="629">
        <f t="shared" si="721"/>
        <v>3.4908105282845536</v>
      </c>
      <c r="Y109" s="630">
        <f t="shared" si="644"/>
        <v>-0.13075048859347352</v>
      </c>
      <c r="Z109" s="632">
        <f t="shared" si="664"/>
        <v>0.68471024673933945</v>
      </c>
      <c r="AA109" s="629">
        <f t="shared" si="665"/>
        <v>0.68325412449504741</v>
      </c>
      <c r="AB109" s="629">
        <f t="shared" si="666"/>
        <v>-0.25364478975657945</v>
      </c>
      <c r="AC109" s="636">
        <f t="shared" si="722"/>
        <v>1</v>
      </c>
      <c r="AD109" s="637">
        <f t="shared" si="723"/>
        <v>0.68471024673933945</v>
      </c>
      <c r="AE109" s="629">
        <f t="shared" si="724"/>
        <v>0.68325412449504741</v>
      </c>
      <c r="AF109" s="633">
        <f t="shared" si="725"/>
        <v>-0.25364478975657945</v>
      </c>
      <c r="AG109" s="602">
        <f t="shared" si="726"/>
        <v>69.633536809616245</v>
      </c>
      <c r="AH109" s="603">
        <f t="shared" si="727"/>
        <v>46.787176042894487</v>
      </c>
      <c r="AI109" s="585">
        <f t="shared" si="728"/>
        <v>-75.306702585299064</v>
      </c>
      <c r="AJ109" s="586">
        <f t="shared" si="729"/>
        <v>134.93901184175724</v>
      </c>
      <c r="AK109" s="635">
        <f t="shared" si="730"/>
        <v>0.9652241851846497</v>
      </c>
      <c r="AL109" s="629">
        <f t="shared" si="731"/>
        <v>-6.3297653700354117E-2</v>
      </c>
      <c r="AM109" s="634">
        <f t="shared" si="732"/>
        <v>-0.25364478975657945</v>
      </c>
      <c r="AN109" s="581">
        <f t="shared" si="733"/>
        <v>-14.012101278165934</v>
      </c>
      <c r="AO109" s="582">
        <f t="shared" si="461"/>
        <v>15.154547320975867</v>
      </c>
      <c r="AP109" s="585">
        <f t="shared" si="734"/>
        <v>-3.751981128133155</v>
      </c>
      <c r="AQ109" s="586">
        <f t="shared" si="667"/>
        <v>0.6530368508112675</v>
      </c>
      <c r="AS109" s="52">
        <f t="shared" si="737"/>
        <v>-311.30900703010957</v>
      </c>
      <c r="AT109" s="73">
        <f t="shared" si="668"/>
        <v>8.5436321844102575E-2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7.1189999999999998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>
        <f t="shared" si="542"/>
        <v>1613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-3.1396714905506231</v>
      </c>
      <c r="C110" s="708">
        <v>2.8136067517596581</v>
      </c>
      <c r="D110" s="709">
        <v>-0.3397511189393746</v>
      </c>
      <c r="E110" s="710">
        <v>-0.75174739704138516</v>
      </c>
      <c r="F110" s="708">
        <v>-0.61437777622880696</v>
      </c>
      <c r="G110" s="711">
        <v>0.23961594086714708</v>
      </c>
      <c r="H110" s="710">
        <v>0.314</v>
      </c>
      <c r="I110" s="708">
        <v>0.52</v>
      </c>
      <c r="J110" s="570">
        <v>7.1260000000000003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1613</v>
      </c>
      <c r="L110" s="320"/>
      <c r="M110" s="168">
        <f t="shared" si="660"/>
        <v>7.1260000000000003</v>
      </c>
      <c r="N110" s="632">
        <f t="shared" si="661"/>
        <v>-3.1396714905506231</v>
      </c>
      <c r="O110" s="629">
        <f t="shared" si="662"/>
        <v>2.8136067517596581</v>
      </c>
      <c r="P110" s="633">
        <f t="shared" si="663"/>
        <v>-0.3397511189393746</v>
      </c>
      <c r="Q110" s="585">
        <f t="shared" si="520"/>
        <v>138.13499305016686</v>
      </c>
      <c r="R110" s="629">
        <f t="shared" si="716"/>
        <v>4.2159127151927498</v>
      </c>
      <c r="S110" s="634">
        <f t="shared" si="717"/>
        <v>-0.3397511189393746</v>
      </c>
      <c r="T110" s="635">
        <f t="shared" si="718"/>
        <v>2.813606751759659</v>
      </c>
      <c r="U110" s="629">
        <f t="shared" si="719"/>
        <v>3.1396714905506222</v>
      </c>
      <c r="V110" s="636">
        <f t="shared" si="720"/>
        <v>-0.3397511189393746</v>
      </c>
      <c r="W110" s="585">
        <f t="shared" si="645"/>
        <v>48.134993050166855</v>
      </c>
      <c r="X110" s="629">
        <f t="shared" si="721"/>
        <v>4.2159127151927498</v>
      </c>
      <c r="Y110" s="630">
        <f t="shared" si="644"/>
        <v>-0.3397511189393746</v>
      </c>
      <c r="Z110" s="632">
        <f t="shared" si="664"/>
        <v>0.75174739704138516</v>
      </c>
      <c r="AA110" s="629">
        <f t="shared" si="665"/>
        <v>0.61437777622880696</v>
      </c>
      <c r="AB110" s="629">
        <f t="shared" si="666"/>
        <v>-0.23961594086714708</v>
      </c>
      <c r="AC110" s="636">
        <f t="shared" si="722"/>
        <v>1</v>
      </c>
      <c r="AD110" s="637">
        <f t="shared" si="723"/>
        <v>0.75174739704138516</v>
      </c>
      <c r="AE110" s="629">
        <f t="shared" si="724"/>
        <v>0.61437777622880696</v>
      </c>
      <c r="AF110" s="633">
        <f t="shared" si="725"/>
        <v>-0.23961594086714708</v>
      </c>
      <c r="AG110" s="602">
        <f t="shared" si="726"/>
        <v>68.693519588632995</v>
      </c>
      <c r="AH110" s="603">
        <f t="shared" si="727"/>
        <v>41.258029633206057</v>
      </c>
      <c r="AI110" s="585">
        <f t="shared" si="728"/>
        <v>-76.13612600168527</v>
      </c>
      <c r="AJ110" s="586">
        <f t="shared" si="729"/>
        <v>129.25796978707609</v>
      </c>
      <c r="AK110" s="635">
        <f t="shared" si="730"/>
        <v>0.95923853589600994</v>
      </c>
      <c r="AL110" s="629">
        <f t="shared" si="731"/>
        <v>-0.1498186641724964</v>
      </c>
      <c r="AM110" s="634">
        <f t="shared" si="732"/>
        <v>-0.23961594086714708</v>
      </c>
      <c r="AN110" s="581">
        <f t="shared" si="733"/>
        <v>-32.015475633279578</v>
      </c>
      <c r="AO110" s="582">
        <f t="shared" si="461"/>
        <v>16.415301882434022</v>
      </c>
      <c r="AP110" s="585">
        <f t="shared" si="734"/>
        <v>-8.8770232630907415</v>
      </c>
      <c r="AQ110" s="586">
        <f t="shared" si="667"/>
        <v>0.54072726444194197</v>
      </c>
      <c r="AS110" s="52">
        <f t="shared" si="737"/>
        <v>-311.86500694983317</v>
      </c>
      <c r="AT110" s="73">
        <f t="shared" si="668"/>
        <v>-0.12317819744643488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7.1260000000000003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>
        <f t="shared" si="542"/>
        <v>1613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-3.5820213644861885</v>
      </c>
      <c r="C111" s="708">
        <v>3.279904186234385</v>
      </c>
      <c r="D111" s="709">
        <v>-0.73795231991419674</v>
      </c>
      <c r="E111" s="710">
        <v>-0.81094019173088472</v>
      </c>
      <c r="F111" s="708">
        <v>-0.54925364819753986</v>
      </c>
      <c r="G111" s="711">
        <v>0.2017335752351827</v>
      </c>
      <c r="H111" s="710">
        <v>0.314</v>
      </c>
      <c r="I111" s="708">
        <v>0.52</v>
      </c>
      <c r="J111" s="570">
        <v>7.133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1613</v>
      </c>
      <c r="L111" s="320"/>
      <c r="M111" s="168">
        <f t="shared" si="660"/>
        <v>7.133</v>
      </c>
      <c r="N111" s="632">
        <f t="shared" si="661"/>
        <v>-3.5820213644861885</v>
      </c>
      <c r="O111" s="629">
        <f t="shared" si="662"/>
        <v>3.279904186234385</v>
      </c>
      <c r="P111" s="633">
        <f t="shared" si="663"/>
        <v>-0.73795231991419674</v>
      </c>
      <c r="Q111" s="585">
        <f t="shared" si="520"/>
        <v>137.52099313881749</v>
      </c>
      <c r="R111" s="629">
        <f t="shared" si="716"/>
        <v>4.8568146481529784</v>
      </c>
      <c r="S111" s="634">
        <f t="shared" si="717"/>
        <v>-0.73795231991419674</v>
      </c>
      <c r="T111" s="635">
        <f t="shared" si="718"/>
        <v>3.2799041862343845</v>
      </c>
      <c r="U111" s="629">
        <f t="shared" si="719"/>
        <v>3.5820213644861889</v>
      </c>
      <c r="V111" s="636">
        <f t="shared" si="720"/>
        <v>-0.73795231991419674</v>
      </c>
      <c r="W111" s="585">
        <f t="shared" si="645"/>
        <v>47.520993138817488</v>
      </c>
      <c r="X111" s="629">
        <f t="shared" si="721"/>
        <v>4.8568146481529784</v>
      </c>
      <c r="Y111" s="630">
        <f t="shared" si="644"/>
        <v>-0.73795231991419674</v>
      </c>
      <c r="Z111" s="632">
        <f t="shared" si="664"/>
        <v>0.81094019173088472</v>
      </c>
      <c r="AA111" s="629">
        <f t="shared" si="665"/>
        <v>0.54925364819753986</v>
      </c>
      <c r="AB111" s="629">
        <f t="shared" si="666"/>
        <v>-0.2017335752351827</v>
      </c>
      <c r="AC111" s="636">
        <f t="shared" si="722"/>
        <v>1</v>
      </c>
      <c r="AD111" s="637">
        <f t="shared" si="723"/>
        <v>0.81094019173088472</v>
      </c>
      <c r="AE111" s="629">
        <f t="shared" si="724"/>
        <v>0.54925364819753986</v>
      </c>
      <c r="AF111" s="633">
        <f t="shared" si="725"/>
        <v>-0.2017335752351827</v>
      </c>
      <c r="AG111" s="602">
        <f t="shared" si="726"/>
        <v>69.832386294780278</v>
      </c>
      <c r="AH111" s="603">
        <f t="shared" si="727"/>
        <v>35.812107342066895</v>
      </c>
      <c r="AI111" s="585">
        <f t="shared" si="728"/>
        <v>-78.361647871391696</v>
      </c>
      <c r="AJ111" s="586">
        <f t="shared" si="729"/>
        <v>124.10997200104272</v>
      </c>
      <c r="AK111" s="635">
        <f t="shared" si="730"/>
        <v>0.9527323497447302</v>
      </c>
      <c r="AL111" s="629">
        <f t="shared" si="731"/>
        <v>-0.22716653444712326</v>
      </c>
      <c r="AM111" s="634">
        <f t="shared" si="732"/>
        <v>-0.2017335752351827</v>
      </c>
      <c r="AN111" s="581">
        <f t="shared" si="733"/>
        <v>-48.393556720596493</v>
      </c>
      <c r="AO111" s="582">
        <f t="shared" si="461"/>
        <v>17.686639777275186</v>
      </c>
      <c r="AP111" s="585">
        <f t="shared" si="734"/>
        <v>-13.411021137774751</v>
      </c>
      <c r="AQ111" s="586">
        <f t="shared" si="667"/>
        <v>0.46937670019332622</v>
      </c>
      <c r="AS111" s="52">
        <f t="shared" si="737"/>
        <v>-312.47900686118248</v>
      </c>
      <c r="AT111" s="73">
        <f t="shared" si="668"/>
        <v>-0.52095300959393109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7.133</v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>
        <f t="shared" si="542"/>
        <v>1613</v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>
        <v>-3.9228028980614429</v>
      </c>
      <c r="C112" s="708">
        <v>3.660506553750428</v>
      </c>
      <c r="D112" s="709">
        <v>-1.2953540010376674</v>
      </c>
      <c r="E112" s="710">
        <v>-0.85734530578831425</v>
      </c>
      <c r="F112" s="708">
        <v>-0.49393553145663333</v>
      </c>
      <c r="G112" s="711">
        <v>0.14486793091431663</v>
      </c>
      <c r="H112" s="710">
        <v>0.314</v>
      </c>
      <c r="I112" s="708">
        <v>0.52</v>
      </c>
      <c r="J112" s="570">
        <v>7.14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1613</v>
      </c>
      <c r="L112" s="320"/>
      <c r="M112" s="168">
        <f t="shared" si="660"/>
        <v>7.14</v>
      </c>
      <c r="N112" s="632">
        <f t="shared" si="661"/>
        <v>-3.9228028980614429</v>
      </c>
      <c r="O112" s="629">
        <f t="shared" si="662"/>
        <v>3.660506553750428</v>
      </c>
      <c r="P112" s="633">
        <f t="shared" si="663"/>
        <v>-1.2953540010376674</v>
      </c>
      <c r="Q112" s="585">
        <f t="shared" si="520"/>
        <v>136.98099321678382</v>
      </c>
      <c r="R112" s="629">
        <f t="shared" si="716"/>
        <v>5.3654161820952053</v>
      </c>
      <c r="S112" s="634">
        <f t="shared" si="717"/>
        <v>-1.2953540010376674</v>
      </c>
      <c r="T112" s="635">
        <f t="shared" si="718"/>
        <v>3.6605065537504293</v>
      </c>
      <c r="U112" s="629">
        <f t="shared" si="719"/>
        <v>3.9228028980614416</v>
      </c>
      <c r="V112" s="636">
        <f t="shared" si="720"/>
        <v>-1.2953540010376674</v>
      </c>
      <c r="W112" s="585">
        <f t="shared" si="645"/>
        <v>46.980993216783816</v>
      </c>
      <c r="X112" s="629">
        <f t="shared" si="721"/>
        <v>5.3654161820952053</v>
      </c>
      <c r="Y112" s="630">
        <f t="shared" si="644"/>
        <v>-1.2953540010376674</v>
      </c>
      <c r="Z112" s="632">
        <f t="shared" si="664"/>
        <v>0.85734530578831425</v>
      </c>
      <c r="AA112" s="629">
        <f t="shared" si="665"/>
        <v>0.49393553145663333</v>
      </c>
      <c r="AB112" s="629">
        <f t="shared" si="666"/>
        <v>-0.14486793091431663</v>
      </c>
      <c r="AC112" s="636">
        <f t="shared" si="722"/>
        <v>1</v>
      </c>
      <c r="AD112" s="637">
        <f t="shared" si="723"/>
        <v>0.85734530578831425</v>
      </c>
      <c r="AE112" s="629">
        <f t="shared" si="724"/>
        <v>0.49393553145663333</v>
      </c>
      <c r="AF112" s="633">
        <f t="shared" si="725"/>
        <v>-0.14486793091431663</v>
      </c>
      <c r="AG112" s="602">
        <f t="shared" si="726"/>
        <v>73.653945946818524</v>
      </c>
      <c r="AH112" s="603">
        <f t="shared" si="727"/>
        <v>30.980191997877032</v>
      </c>
      <c r="AI112" s="585">
        <f t="shared" si="728"/>
        <v>-81.670368562395765</v>
      </c>
      <c r="AJ112" s="586">
        <f t="shared" si="729"/>
        <v>119.94719291425579</v>
      </c>
      <c r="AK112" s="635">
        <f t="shared" si="730"/>
        <v>0.94604587466255596</v>
      </c>
      <c r="AL112" s="629">
        <f t="shared" si="731"/>
        <v>-0.28984562378370399</v>
      </c>
      <c r="AM112" s="634">
        <f t="shared" si="732"/>
        <v>-0.14486793091431663</v>
      </c>
      <c r="AN112" s="581">
        <f t="shared" si="733"/>
        <v>-63.443628440702483</v>
      </c>
      <c r="AO112" s="582">
        <f t="shared" si="461"/>
        <v>18.90698287068259</v>
      </c>
      <c r="AP112" s="585">
        <f t="shared" si="734"/>
        <v>-17.033800302528014</v>
      </c>
      <c r="AQ112" s="586">
        <f t="shared" si="667"/>
        <v>0.42488499786632694</v>
      </c>
      <c r="AS112" s="52">
        <f t="shared" si="737"/>
        <v>-313.01900678321618</v>
      </c>
      <c r="AT112" s="73">
        <f t="shared" si="668"/>
        <v>-1.0779796907715451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7.14</v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>
        <f t="shared" si="542"/>
        <v>1613</v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>
        <v>-4.1440948039571683</v>
      </c>
      <c r="C113" s="708">
        <v>3.9186025608950095</v>
      </c>
      <c r="D113" s="709">
        <v>-1.9700560359390051</v>
      </c>
      <c r="E113" s="710">
        <v>-0.90036364962605153</v>
      </c>
      <c r="F113" s="708">
        <v>-0.42527569527824716</v>
      </c>
      <c r="G113" s="711">
        <v>9.2118844096419683E-2</v>
      </c>
      <c r="H113" s="710">
        <v>0.314</v>
      </c>
      <c r="I113" s="708">
        <v>0.52</v>
      </c>
      <c r="J113" s="570">
        <v>7.1470000000000002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1613</v>
      </c>
      <c r="L113" s="320"/>
      <c r="M113" s="168">
        <f t="shared" si="660"/>
        <v>7.1470000000000002</v>
      </c>
      <c r="N113" s="632">
        <f t="shared" si="661"/>
        <v>-4.1440948039571683</v>
      </c>
      <c r="O113" s="629">
        <f t="shared" si="662"/>
        <v>3.9186025608950095</v>
      </c>
      <c r="P113" s="633">
        <f t="shared" si="663"/>
        <v>-1.9700560359390051</v>
      </c>
      <c r="Q113" s="585">
        <f t="shared" si="520"/>
        <v>136.60199327150463</v>
      </c>
      <c r="R113" s="629">
        <f t="shared" si="716"/>
        <v>5.7034172015062801</v>
      </c>
      <c r="S113" s="634">
        <f t="shared" si="717"/>
        <v>-1.9700560359390051</v>
      </c>
      <c r="T113" s="635">
        <f t="shared" si="718"/>
        <v>3.9186025608950112</v>
      </c>
      <c r="U113" s="629">
        <f t="shared" si="719"/>
        <v>4.1440948039571674</v>
      </c>
      <c r="V113" s="636">
        <f t="shared" si="720"/>
        <v>-1.9700560359390051</v>
      </c>
      <c r="W113" s="585">
        <f t="shared" si="645"/>
        <v>46.601993271504625</v>
      </c>
      <c r="X113" s="629">
        <f t="shared" si="721"/>
        <v>5.7034172015062801</v>
      </c>
      <c r="Y113" s="630">
        <f t="shared" si="644"/>
        <v>-1.9700560359390051</v>
      </c>
      <c r="Z113" s="632">
        <f t="shared" si="664"/>
        <v>0.90036364962605153</v>
      </c>
      <c r="AA113" s="629">
        <f t="shared" si="665"/>
        <v>0.42527569527824716</v>
      </c>
      <c r="AB113" s="629">
        <f t="shared" si="666"/>
        <v>-9.2118844096419683E-2</v>
      </c>
      <c r="AC113" s="636">
        <f t="shared" si="722"/>
        <v>1</v>
      </c>
      <c r="AD113" s="637">
        <f t="shared" si="723"/>
        <v>0.90036364962605153</v>
      </c>
      <c r="AE113" s="629">
        <f t="shared" si="724"/>
        <v>0.42527569527824716</v>
      </c>
      <c r="AF113" s="633">
        <f t="shared" si="725"/>
        <v>-9.2118844096419683E-2</v>
      </c>
      <c r="AG113" s="602">
        <f t="shared" si="726"/>
        <v>77.777994528911165</v>
      </c>
      <c r="AH113" s="603">
        <f t="shared" si="727"/>
        <v>25.794091398525211</v>
      </c>
      <c r="AI113" s="585">
        <f t="shared" si="728"/>
        <v>-84.714485592775517</v>
      </c>
      <c r="AJ113" s="586">
        <f t="shared" si="729"/>
        <v>115.28313198055753</v>
      </c>
      <c r="AK113" s="635">
        <f t="shared" si="730"/>
        <v>0.92761057367783617</v>
      </c>
      <c r="AL113" s="629">
        <f t="shared" si="731"/>
        <v>-0.36201207460997142</v>
      </c>
      <c r="AM113" s="634">
        <f t="shared" si="732"/>
        <v>-9.2118844096419683E-2</v>
      </c>
      <c r="AN113" s="581">
        <f t="shared" si="733"/>
        <v>-75.723316563309098</v>
      </c>
      <c r="AO113" s="582">
        <f t="shared" si="461"/>
        <v>21.934641371917973</v>
      </c>
      <c r="AP113" s="585">
        <f t="shared" si="734"/>
        <v>-21.318861290947098</v>
      </c>
      <c r="AQ113" s="586">
        <f t="shared" si="667"/>
        <v>0.39970592518320158</v>
      </c>
      <c r="AS113" s="52">
        <f t="shared" si="737"/>
        <v>-313.39800672849537</v>
      </c>
      <c r="AT113" s="73">
        <f t="shared" si="668"/>
        <v>-1.7524185312664389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7.1470000000000002</v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>
        <f t="shared" si="542"/>
        <v>1613</v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>
        <v>-4.2356141732168311</v>
      </c>
      <c r="C114" s="708">
        <v>4.028168530247827</v>
      </c>
      <c r="D114" s="709">
        <v>-2.7111582711033462</v>
      </c>
      <c r="E114" s="710">
        <v>-0.95149874061891404</v>
      </c>
      <c r="F114" s="708">
        <v>-0.30518615297859347</v>
      </c>
      <c r="G114" s="711">
        <v>3.887876838002053E-2</v>
      </c>
      <c r="H114" s="710">
        <v>0.314</v>
      </c>
      <c r="I114" s="708">
        <v>0.52</v>
      </c>
      <c r="J114" s="570">
        <v>7.1539999999999999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1613</v>
      </c>
      <c r="L114" s="320"/>
      <c r="M114" s="168">
        <f t="shared" si="660"/>
        <v>7.1539999999999999</v>
      </c>
      <c r="N114" s="632">
        <f t="shared" si="661"/>
        <v>-4.2356141732168311</v>
      </c>
      <c r="O114" s="629">
        <f t="shared" si="662"/>
        <v>4.028168530247827</v>
      </c>
      <c r="P114" s="633">
        <f t="shared" si="663"/>
        <v>-2.7111582711033462</v>
      </c>
      <c r="Q114" s="585">
        <f t="shared" si="520"/>
        <v>136.4379932951833</v>
      </c>
      <c r="R114" s="629">
        <f t="shared" si="716"/>
        <v>5.8452176291763704</v>
      </c>
      <c r="S114" s="634">
        <f t="shared" si="717"/>
        <v>-2.7111582711033462</v>
      </c>
      <c r="T114" s="635">
        <f t="shared" si="718"/>
        <v>4.028168530247827</v>
      </c>
      <c r="U114" s="629">
        <f t="shared" si="719"/>
        <v>4.2356141732168302</v>
      </c>
      <c r="V114" s="636">
        <f t="shared" si="720"/>
        <v>-2.7111582711033462</v>
      </c>
      <c r="W114" s="585">
        <f t="shared" si="645"/>
        <v>46.437993295183304</v>
      </c>
      <c r="X114" s="629">
        <f t="shared" si="721"/>
        <v>5.8452176291763704</v>
      </c>
      <c r="Y114" s="630">
        <f t="shared" si="644"/>
        <v>-2.7111582711033462</v>
      </c>
      <c r="Z114" s="632">
        <f t="shared" si="664"/>
        <v>0.95149874061891404</v>
      </c>
      <c r="AA114" s="629">
        <f t="shared" si="665"/>
        <v>0.30518615297859347</v>
      </c>
      <c r="AB114" s="629">
        <f t="shared" si="666"/>
        <v>-3.887876838002053E-2</v>
      </c>
      <c r="AC114" s="636">
        <f t="shared" si="722"/>
        <v>1</v>
      </c>
      <c r="AD114" s="637">
        <f t="shared" si="723"/>
        <v>0.95149874061891404</v>
      </c>
      <c r="AE114" s="629">
        <f t="shared" si="724"/>
        <v>0.30518615297859347</v>
      </c>
      <c r="AF114" s="633">
        <f t="shared" si="725"/>
        <v>-3.887876838002053E-2</v>
      </c>
      <c r="AG114" s="602">
        <f t="shared" si="726"/>
        <v>82.739989337069048</v>
      </c>
      <c r="AH114" s="603">
        <f t="shared" si="727"/>
        <v>17.917824450520367</v>
      </c>
      <c r="AI114" s="585">
        <f t="shared" si="728"/>
        <v>-87.771849088444057</v>
      </c>
      <c r="AJ114" s="586">
        <f t="shared" si="729"/>
        <v>107.78325747924622</v>
      </c>
      <c r="AK114" s="635">
        <f t="shared" si="730"/>
        <v>0.87686180459279306</v>
      </c>
      <c r="AL114" s="629">
        <f t="shared" si="731"/>
        <v>-0.47916783804375213</v>
      </c>
      <c r="AM114" s="634">
        <f t="shared" si="732"/>
        <v>-3.887876838002053E-2</v>
      </c>
      <c r="AN114" s="581">
        <f t="shared" si="733"/>
        <v>-85.361290931779706</v>
      </c>
      <c r="AO114" s="582">
        <f t="shared" si="461"/>
        <v>28.733908746340425</v>
      </c>
      <c r="AP114" s="585">
        <f t="shared" si="734"/>
        <v>-28.654735815937094</v>
      </c>
      <c r="AQ114" s="586">
        <f t="shared" si="667"/>
        <v>0.39000967395717279</v>
      </c>
      <c r="AS114" s="52">
        <f t="shared" si="737"/>
        <v>-313.56200670481667</v>
      </c>
      <c r="AT114" s="73">
        <f t="shared" si="668"/>
        <v>-2.4934068775583347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7.1539999999999999</v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>
        <f t="shared" si="542"/>
        <v>1613</v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>
        <v>-4.2672213806801746</v>
      </c>
      <c r="C115" s="708">
        <v>4.0661780236643121</v>
      </c>
      <c r="D115" s="709">
        <v>-3.512060686625031</v>
      </c>
      <c r="E115" s="710">
        <v>-0.98033322779146614</v>
      </c>
      <c r="F115" s="708">
        <v>-0.19734934124021941</v>
      </c>
      <c r="G115" s="711">
        <v>1.3008419209239779E-7</v>
      </c>
      <c r="H115" s="710">
        <v>0.314</v>
      </c>
      <c r="I115" s="708">
        <v>0.52</v>
      </c>
      <c r="J115" s="570">
        <v>7.1609999999999996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1613</v>
      </c>
      <c r="L115" s="320"/>
      <c r="M115" s="168">
        <f t="shared" si="660"/>
        <v>7.1609999999999996</v>
      </c>
      <c r="N115" s="632">
        <f t="shared" si="661"/>
        <v>-4.2672213806801746</v>
      </c>
      <c r="O115" s="629">
        <f t="shared" si="662"/>
        <v>4.0661780236643121</v>
      </c>
      <c r="P115" s="633">
        <f t="shared" si="663"/>
        <v>-3.512060686625031</v>
      </c>
      <c r="Q115" s="585">
        <f t="shared" si="520"/>
        <v>136.38199327089981</v>
      </c>
      <c r="R115" s="629">
        <f t="shared" si="716"/>
        <v>5.8943177749307534</v>
      </c>
      <c r="S115" s="634">
        <f t="shared" si="717"/>
        <v>-3.512060686625031</v>
      </c>
      <c r="T115" s="635">
        <f t="shared" si="718"/>
        <v>4.0661780236643112</v>
      </c>
      <c r="U115" s="629">
        <f t="shared" si="719"/>
        <v>4.2672213806801746</v>
      </c>
      <c r="V115" s="636">
        <f t="shared" si="720"/>
        <v>-3.512060686625031</v>
      </c>
      <c r="W115" s="585">
        <f t="shared" si="645"/>
        <v>46.381993270899812</v>
      </c>
      <c r="X115" s="629">
        <f t="shared" si="721"/>
        <v>5.8943177749307534</v>
      </c>
      <c r="Y115" s="630">
        <f t="shared" si="644"/>
        <v>-3.512060686625031</v>
      </c>
      <c r="Z115" s="632">
        <f t="shared" si="664"/>
        <v>0.98033322779146614</v>
      </c>
      <c r="AA115" s="629">
        <f t="shared" si="665"/>
        <v>0.19734934124021941</v>
      </c>
      <c r="AB115" s="629">
        <f t="shared" si="666"/>
        <v>-1.3008419209239779E-7</v>
      </c>
      <c r="AC115" s="636">
        <f t="shared" si="722"/>
        <v>1</v>
      </c>
      <c r="AD115" s="637">
        <f t="shared" si="723"/>
        <v>0.98033322779146614</v>
      </c>
      <c r="AE115" s="629">
        <f t="shared" si="724"/>
        <v>0.19734934124021941</v>
      </c>
      <c r="AF115" s="633">
        <f t="shared" si="725"/>
        <v>-1.3008419209239779E-7</v>
      </c>
      <c r="AG115" s="602">
        <f t="shared" si="726"/>
        <v>89.999962233088084</v>
      </c>
      <c r="AH115" s="603">
        <f t="shared" si="727"/>
        <v>11.381998356645841</v>
      </c>
      <c r="AI115" s="585">
        <f t="shared" si="728"/>
        <v>-89.999992546724812</v>
      </c>
      <c r="AJ115" s="586">
        <f t="shared" si="729"/>
        <v>101.38199835664345</v>
      </c>
      <c r="AK115" s="635">
        <f t="shared" si="730"/>
        <v>0.81915209520133048</v>
      </c>
      <c r="AL115" s="629">
        <f t="shared" si="731"/>
        <v>-0.57357636364066944</v>
      </c>
      <c r="AM115" s="634">
        <f t="shared" si="732"/>
        <v>-1.3008419209239779E-7</v>
      </c>
      <c r="AN115" s="581">
        <f t="shared" si="733"/>
        <v>-89.999987005609611</v>
      </c>
      <c r="AO115" s="582">
        <f t="shared" si="461"/>
        <v>34.999994914257044</v>
      </c>
      <c r="AP115" s="585">
        <f t="shared" si="734"/>
        <v>-34.999994914256362</v>
      </c>
      <c r="AQ115" s="586">
        <f t="shared" si="667"/>
        <v>0.38676096080327577</v>
      </c>
      <c r="AS115" s="52">
        <f t="shared" si="737"/>
        <v>-313.61800672910022</v>
      </c>
      <c r="AT115" s="73">
        <f t="shared" si="668"/>
        <v>-3.294270404174267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7.1609999999999996</v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>
        <f t="shared" si="542"/>
        <v>1613</v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>
        <v>-1.8685643382840942</v>
      </c>
      <c r="C116" s="708">
        <v>2.9540416672625951</v>
      </c>
      <c r="D116" s="709">
        <v>-0.12275046446540075</v>
      </c>
      <c r="E116" s="710">
        <v>-5.2444269832823451E-2</v>
      </c>
      <c r="F116" s="708">
        <v>8.2909516348960821E-2</v>
      </c>
      <c r="G116" s="711">
        <v>0.99517617066551767</v>
      </c>
      <c r="H116" s="710">
        <v>0.25700000000000001</v>
      </c>
      <c r="I116" s="708">
        <v>0.41499999999999992</v>
      </c>
      <c r="J116" s="570">
        <v>7.2190000000000003</v>
      </c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CPS-32193r1</v>
      </c>
      <c r="L116" s="320"/>
      <c r="M116" s="168">
        <f t="shared" si="660"/>
        <v>7.2190000000000003</v>
      </c>
      <c r="N116" s="632">
        <f t="shared" si="661"/>
        <v>-1.8685643382840942</v>
      </c>
      <c r="O116" s="629">
        <f t="shared" si="662"/>
        <v>2.9540416672625951</v>
      </c>
      <c r="P116" s="633">
        <f t="shared" si="663"/>
        <v>-0.12275046446540075</v>
      </c>
      <c r="Q116" s="585">
        <f t="shared" si="520"/>
        <v>122.31519533426305</v>
      </c>
      <c r="R116" s="629">
        <f t="shared" si="716"/>
        <v>3.4954105421581949</v>
      </c>
      <c r="S116" s="634">
        <f t="shared" si="717"/>
        <v>-0.12275046446540075</v>
      </c>
      <c r="T116" s="635">
        <f t="shared" si="718"/>
        <v>2.9540416672625951</v>
      </c>
      <c r="U116" s="629">
        <f t="shared" si="719"/>
        <v>1.8685643382840937</v>
      </c>
      <c r="V116" s="636">
        <f t="shared" si="720"/>
        <v>-0.12275046446540075</v>
      </c>
      <c r="W116" s="585">
        <f t="shared" si="645"/>
        <v>32.315195334263052</v>
      </c>
      <c r="X116" s="629">
        <f t="shared" si="721"/>
        <v>3.4954105421581949</v>
      </c>
      <c r="Y116" s="630">
        <f t="shared" si="644"/>
        <v>-0.12275046446540075</v>
      </c>
      <c r="Z116" s="632">
        <f t="shared" si="664"/>
        <v>5.2444269832823451E-2</v>
      </c>
      <c r="AA116" s="629">
        <f t="shared" si="665"/>
        <v>-8.2909516348960821E-2</v>
      </c>
      <c r="AB116" s="629">
        <f t="shared" si="666"/>
        <v>-0.99517617066551767</v>
      </c>
      <c r="AC116" s="636">
        <f t="shared" si="722"/>
        <v>1</v>
      </c>
      <c r="AD116" s="637">
        <f t="shared" si="723"/>
        <v>5.2444269832823451E-2</v>
      </c>
      <c r="AE116" s="629">
        <f t="shared" si="724"/>
        <v>-8.2909516348960821E-2</v>
      </c>
      <c r="AF116" s="633">
        <f t="shared" si="725"/>
        <v>-0.99517617066551767</v>
      </c>
      <c r="AG116" s="602">
        <f t="shared" si="726"/>
        <v>-4.7623934576689892</v>
      </c>
      <c r="AH116" s="603">
        <f t="shared" si="727"/>
        <v>86.993785554103582</v>
      </c>
      <c r="AI116" s="585">
        <f t="shared" si="728"/>
        <v>-5.6299991871435981</v>
      </c>
      <c r="AJ116" s="586">
        <f t="shared" si="729"/>
        <v>32.315327789556363</v>
      </c>
      <c r="AK116" s="635">
        <f t="shared" si="730"/>
        <v>2.2679489674465314E-7</v>
      </c>
      <c r="AL116" s="629">
        <f t="shared" si="731"/>
        <v>-9.8103972088112529E-2</v>
      </c>
      <c r="AM116" s="634">
        <f t="shared" si="732"/>
        <v>-0.99517617066551767</v>
      </c>
      <c r="AN116" s="581">
        <f t="shared" si="733"/>
        <v>-5.6299991871286927</v>
      </c>
      <c r="AO116" s="582">
        <f t="shared" si="461"/>
        <v>0</v>
      </c>
      <c r="AP116" s="585">
        <f t="shared" si="734"/>
        <v>-89.999867544706689</v>
      </c>
      <c r="AQ116" s="586">
        <f t="shared" si="667"/>
        <v>0.65217751858106876</v>
      </c>
      <c r="AS116" s="52">
        <f t="shared" si="737"/>
        <v>-327.68480466573692</v>
      </c>
      <c r="AT116" s="73">
        <f t="shared" si="668"/>
        <v>0.10480842766358323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Nose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7.2190000000000003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0.11899999999999999</v>
      </c>
      <c r="II116" s="734" cm="1">
        <f t="array" ref="II116">IFERROR(IF($IH116&lt;1,$IH116+LARGE((IF($M$9:$M$150="",0,$M$9:$M$150)-MOD(IF($M$9:$M$150="",0,$M$9:$M$150),1)),1),$IH116),"")</f>
        <v>7.1189999999999998</v>
      </c>
      <c r="IJ116" s="533">
        <f t="shared" si="542"/>
        <v>1613</v>
      </c>
      <c r="IK116" s="533" t="str">
        <f t="shared" si="713"/>
        <v>CPS-32193r1</v>
      </c>
      <c r="IL116" s="727">
        <f t="shared" si="647"/>
        <v>16.37579763562735</v>
      </c>
      <c r="IM116" s="759">
        <v>3.7113307020939901E-2</v>
      </c>
      <c r="IN116" s="5">
        <f t="shared" si="648"/>
        <v>0.8</v>
      </c>
      <c r="IO116" s="771">
        <v>400</v>
      </c>
      <c r="IP116" s="9">
        <f t="shared" si="649"/>
        <v>-3.4908105282845536</v>
      </c>
      <c r="IQ116" s="5">
        <f t="shared" si="650"/>
        <v>-0.13075048859347352</v>
      </c>
      <c r="IR116" s="5">
        <f t="shared" si="714"/>
        <v>0.314</v>
      </c>
      <c r="IS116" s="5">
        <f t="shared" si="651"/>
        <v>0.30308039414797999</v>
      </c>
      <c r="IT116" s="727">
        <f t="shared" si="652"/>
        <v>14.012101278165934</v>
      </c>
      <c r="IU116" s="9">
        <f t="shared" si="653"/>
        <v>-3.4954105421581949</v>
      </c>
      <c r="IV116" s="5">
        <f t="shared" si="654"/>
        <v>-0.12275046446540075</v>
      </c>
      <c r="IW116" s="5">
        <f t="shared" si="715"/>
        <v>0.25700000000000001</v>
      </c>
      <c r="IX116" s="5">
        <f t="shared" si="655"/>
        <v>0.25700000000000001</v>
      </c>
      <c r="IY116" s="762">
        <f t="shared" si="656"/>
        <v>5.6299991871286927</v>
      </c>
    </row>
    <row r="117" spans="1:259" ht="15" customHeight="1" x14ac:dyDescent="0.25">
      <c r="A117" s="79"/>
      <c r="B117" s="707">
        <v>-2.4103287117133796</v>
      </c>
      <c r="C117" s="708">
        <v>3.478297681887859</v>
      </c>
      <c r="D117" s="709">
        <v>-0.3039510109662491</v>
      </c>
      <c r="E117" s="710">
        <v>-0.87077023514487051</v>
      </c>
      <c r="F117" s="708">
        <v>-0.40487576198484565</v>
      </c>
      <c r="G117" s="711">
        <v>0.27898891544815485</v>
      </c>
      <c r="H117" s="710">
        <v>0.26600000000000001</v>
      </c>
      <c r="I117" s="708">
        <v>0.52</v>
      </c>
      <c r="J117" s="570">
        <v>7.226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1313</v>
      </c>
      <c r="L117" s="320"/>
      <c r="M117" s="168">
        <f t="shared" si="660"/>
        <v>7.226</v>
      </c>
      <c r="N117" s="632">
        <f t="shared" si="661"/>
        <v>-2.4103287117133796</v>
      </c>
      <c r="O117" s="629">
        <f t="shared" si="662"/>
        <v>3.478297681887859</v>
      </c>
      <c r="P117" s="633">
        <f t="shared" si="663"/>
        <v>-0.3039510109662491</v>
      </c>
      <c r="Q117" s="585">
        <f t="shared" si="520"/>
        <v>124.72049498698077</v>
      </c>
      <c r="R117" s="629">
        <f t="shared" si="716"/>
        <v>4.2318127631472935</v>
      </c>
      <c r="S117" s="634">
        <f t="shared" si="717"/>
        <v>-0.3039510109662491</v>
      </c>
      <c r="T117" s="635">
        <f t="shared" si="718"/>
        <v>3.4782976818878582</v>
      </c>
      <c r="U117" s="629">
        <f t="shared" si="719"/>
        <v>2.41032871171338</v>
      </c>
      <c r="V117" s="636">
        <f t="shared" si="720"/>
        <v>-0.3039510109662491</v>
      </c>
      <c r="W117" s="585">
        <f t="shared" si="645"/>
        <v>34.720494986980768</v>
      </c>
      <c r="X117" s="629">
        <f t="shared" si="721"/>
        <v>4.2318127631472935</v>
      </c>
      <c r="Y117" s="630">
        <f t="shared" si="644"/>
        <v>-0.3039510109662491</v>
      </c>
      <c r="Z117" s="632">
        <f t="shared" si="664"/>
        <v>0.87077023514487051</v>
      </c>
      <c r="AA117" s="629">
        <f t="shared" si="665"/>
        <v>0.40487576198484565</v>
      </c>
      <c r="AB117" s="629">
        <f t="shared" si="666"/>
        <v>-0.27898891544815485</v>
      </c>
      <c r="AC117" s="636">
        <f t="shared" si="722"/>
        <v>1</v>
      </c>
      <c r="AD117" s="637">
        <f t="shared" si="723"/>
        <v>0.87077023514487051</v>
      </c>
      <c r="AE117" s="629">
        <f t="shared" si="724"/>
        <v>0.40487576198484565</v>
      </c>
      <c r="AF117" s="633">
        <f t="shared" si="725"/>
        <v>-0.27898891544815485</v>
      </c>
      <c r="AG117" s="602">
        <f t="shared" si="726"/>
        <v>55.430326034108617</v>
      </c>
      <c r="AH117" s="603">
        <f t="shared" si="727"/>
        <v>29.451730485234183</v>
      </c>
      <c r="AI117" s="585">
        <f t="shared" si="728"/>
        <v>-73.800130701246374</v>
      </c>
      <c r="AJ117" s="586">
        <f t="shared" si="729"/>
        <v>114.93667490173988</v>
      </c>
      <c r="AK117" s="635">
        <f t="shared" si="730"/>
        <v>0.94632772957844269</v>
      </c>
      <c r="AL117" s="629">
        <f t="shared" si="731"/>
        <v>-0.16318398600344408</v>
      </c>
      <c r="AM117" s="634">
        <f t="shared" si="732"/>
        <v>-0.27898891544815485</v>
      </c>
      <c r="AN117" s="581">
        <f t="shared" si="733"/>
        <v>-30.323880793064774</v>
      </c>
      <c r="AO117" s="582">
        <f t="shared" si="461"/>
        <v>18.857081560322435</v>
      </c>
      <c r="AP117" s="585">
        <f t="shared" si="734"/>
        <v>-9.783820085240885</v>
      </c>
      <c r="AQ117" s="586">
        <f t="shared" si="667"/>
        <v>0.53869572800652721</v>
      </c>
      <c r="AS117" s="52">
        <f t="shared" si="737"/>
        <v>-325.27950501301922</v>
      </c>
      <c r="AT117" s="73">
        <f t="shared" si="668"/>
        <v>-7.8062465818319077E-2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Nose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7.226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0.126</v>
      </c>
      <c r="II117" s="734" cm="1">
        <f t="array" ref="II117">IFERROR(IF($IH117&lt;1,$IH117+LARGE((IF($M$9:$M$150="",0,$M$9:$M$150)-MOD(IF($M$9:$M$150="",0,$M$9:$M$150),1)),1),$IH117),"")</f>
        <v>7.1260000000000003</v>
      </c>
      <c r="IJ117" s="533">
        <f t="shared" si="542"/>
        <v>1613</v>
      </c>
      <c r="IK117" s="533">
        <f t="shared" si="713"/>
        <v>1313</v>
      </c>
      <c r="IL117" s="727">
        <f t="shared" si="647"/>
        <v>13.414498063186088</v>
      </c>
      <c r="IM117" s="759">
        <v>1.0388574150129899E-2</v>
      </c>
      <c r="IN117" s="5">
        <f t="shared" si="648"/>
        <v>0.26</v>
      </c>
      <c r="IO117" s="771">
        <v>130</v>
      </c>
      <c r="IP117" s="9">
        <f t="shared" si="649"/>
        <v>-4.2159127151927498</v>
      </c>
      <c r="IQ117" s="5">
        <f t="shared" si="650"/>
        <v>-0.3397511189393746</v>
      </c>
      <c r="IR117" s="5">
        <f t="shared" si="714"/>
        <v>0.314</v>
      </c>
      <c r="IS117" s="5">
        <f t="shared" si="651"/>
        <v>0.30120090027134711</v>
      </c>
      <c r="IT117" s="727">
        <f t="shared" si="652"/>
        <v>32.015475633279578</v>
      </c>
      <c r="IU117" s="9">
        <f t="shared" si="653"/>
        <v>-4.2318127631472935</v>
      </c>
      <c r="IV117" s="5">
        <f t="shared" si="654"/>
        <v>-0.3039510109662491</v>
      </c>
      <c r="IW117" s="5">
        <f t="shared" si="715"/>
        <v>0.26600000000000001</v>
      </c>
      <c r="IX117" s="5">
        <f t="shared" si="655"/>
        <v>0.25172317606786576</v>
      </c>
      <c r="IY117" s="762">
        <f t="shared" si="656"/>
        <v>30.323880793064774</v>
      </c>
    </row>
    <row r="118" spans="1:259" ht="15" customHeight="1" x14ac:dyDescent="0.25">
      <c r="A118" s="79"/>
      <c r="B118" s="707">
        <v>-2.8028478935013141</v>
      </c>
      <c r="C118" s="708">
        <v>3.9984842767826367</v>
      </c>
      <c r="D118" s="709">
        <v>-0.70635222460830949</v>
      </c>
      <c r="E118" s="710">
        <v>-0.91191158360461755</v>
      </c>
      <c r="F118" s="708">
        <v>-0.33518525860291204</v>
      </c>
      <c r="G118" s="711">
        <v>0.23678704800520187</v>
      </c>
      <c r="H118" s="710">
        <v>0.26600000000000001</v>
      </c>
      <c r="I118" s="708">
        <v>0.52</v>
      </c>
      <c r="J118" s="570">
        <v>7.2329999999999997</v>
      </c>
      <c r="K118" s="865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1313</v>
      </c>
      <c r="L118" s="320"/>
      <c r="M118" s="168">
        <f t="shared" si="660"/>
        <v>7.2329999999999997</v>
      </c>
      <c r="N118" s="632">
        <f t="shared" si="661"/>
        <v>-2.8028478935013141</v>
      </c>
      <c r="O118" s="629">
        <f t="shared" si="662"/>
        <v>3.9984842767826367</v>
      </c>
      <c r="P118" s="633">
        <f t="shared" si="663"/>
        <v>-0.70635222460830949</v>
      </c>
      <c r="Q118" s="585">
        <f t="shared" si="520"/>
        <v>125.02959494235223</v>
      </c>
      <c r="R118" s="629">
        <f t="shared" si="716"/>
        <v>4.8830147271724176</v>
      </c>
      <c r="S118" s="634">
        <f t="shared" si="717"/>
        <v>-0.70635222460830949</v>
      </c>
      <c r="T118" s="635">
        <f t="shared" si="718"/>
        <v>3.9984842767826372</v>
      </c>
      <c r="U118" s="629">
        <f t="shared" si="719"/>
        <v>2.8028478935013137</v>
      </c>
      <c r="V118" s="636">
        <f t="shared" si="720"/>
        <v>-0.70635222460830949</v>
      </c>
      <c r="W118" s="585">
        <f t="shared" si="645"/>
        <v>35.029594942352233</v>
      </c>
      <c r="X118" s="629">
        <f t="shared" si="721"/>
        <v>4.8830147271724176</v>
      </c>
      <c r="Y118" s="630">
        <f t="shared" si="644"/>
        <v>-0.70635222460830949</v>
      </c>
      <c r="Z118" s="632">
        <f t="shared" si="664"/>
        <v>0.91191158360461755</v>
      </c>
      <c r="AA118" s="629">
        <f t="shared" si="665"/>
        <v>0.33518525860291204</v>
      </c>
      <c r="AB118" s="629">
        <f t="shared" si="666"/>
        <v>-0.23678704800520187</v>
      </c>
      <c r="AC118" s="636">
        <f t="shared" si="722"/>
        <v>1</v>
      </c>
      <c r="AD118" s="637">
        <f t="shared" si="723"/>
        <v>0.91191158360461755</v>
      </c>
      <c r="AE118" s="629">
        <f t="shared" si="724"/>
        <v>0.33518525860291204</v>
      </c>
      <c r="AF118" s="633">
        <f t="shared" si="725"/>
        <v>-0.23678704800520187</v>
      </c>
      <c r="AG118" s="602">
        <f t="shared" si="726"/>
        <v>54.761227299376479</v>
      </c>
      <c r="AH118" s="603">
        <f t="shared" si="727"/>
        <v>24.229130546450452</v>
      </c>
      <c r="AI118" s="585">
        <f t="shared" si="728"/>
        <v>-76.303013418854775</v>
      </c>
      <c r="AJ118" s="586">
        <f t="shared" si="729"/>
        <v>110.18157681839448</v>
      </c>
      <c r="AK118" s="635">
        <f t="shared" si="730"/>
        <v>0.93912012989613136</v>
      </c>
      <c r="AL118" s="629">
        <f t="shared" si="731"/>
        <v>-0.24896842273841802</v>
      </c>
      <c r="AM118" s="634">
        <f t="shared" si="732"/>
        <v>-0.23678704800520187</v>
      </c>
      <c r="AN118" s="581">
        <f t="shared" si="733"/>
        <v>-46.43651519031355</v>
      </c>
      <c r="AO118" s="582">
        <f t="shared" si="461"/>
        <v>20.095685146072629</v>
      </c>
      <c r="AP118" s="585">
        <f t="shared" si="734"/>
        <v>-14.848018123957754</v>
      </c>
      <c r="AQ118" s="586">
        <f t="shared" si="667"/>
        <v>0.46685834595179138</v>
      </c>
      <c r="AS118" s="52">
        <f t="shared" si="737"/>
        <v>-324.97040505764778</v>
      </c>
      <c r="AT118" s="73">
        <f t="shared" si="668"/>
        <v>-0.48067833220716516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7.2329999999999997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0.13300000000000001</v>
      </c>
      <c r="II118" s="734" cm="1">
        <f t="array" ref="II118">IFERROR(IF($IH118&lt;1,$IH118+LARGE((IF($M$9:$M$150="",0,$M$9:$M$150)-MOD(IF($M$9:$M$150="",0,$M$9:$M$150),1)),1),$IH118),"")</f>
        <v>7.133</v>
      </c>
      <c r="IJ118" s="533">
        <f t="shared" si="542"/>
        <v>1613</v>
      </c>
      <c r="IK118" s="533">
        <f t="shared" si="713"/>
        <v>1313</v>
      </c>
      <c r="IL118" s="727">
        <f t="shared" si="647"/>
        <v>12.491398196465255</v>
      </c>
      <c r="IM118" s="759">
        <v>8.4158544110399403E-3</v>
      </c>
      <c r="IN118" s="5">
        <f t="shared" si="648"/>
        <v>0.26</v>
      </c>
      <c r="IO118" s="771">
        <v>130</v>
      </c>
      <c r="IP118" s="9">
        <f t="shared" si="649"/>
        <v>-4.8568146481529784</v>
      </c>
      <c r="IQ118" s="5">
        <f t="shared" si="650"/>
        <v>-0.73795231991419674</v>
      </c>
      <c r="IR118" s="5">
        <f t="shared" si="714"/>
        <v>0.314</v>
      </c>
      <c r="IS118" s="5">
        <f t="shared" si="651"/>
        <v>0.29915795781984528</v>
      </c>
      <c r="IT118" s="727">
        <f t="shared" si="652"/>
        <v>48.393556720596493</v>
      </c>
      <c r="IU118" s="9">
        <f t="shared" si="653"/>
        <v>-4.8830147271724176</v>
      </c>
      <c r="IV118" s="5">
        <f t="shared" si="654"/>
        <v>-0.70635222460830949</v>
      </c>
      <c r="IW118" s="5">
        <f t="shared" si="715"/>
        <v>0.26600000000000001</v>
      </c>
      <c r="IX118" s="5">
        <f t="shared" si="655"/>
        <v>0.24980595455237095</v>
      </c>
      <c r="IY118" s="762">
        <f t="shared" si="656"/>
        <v>46.43651519031355</v>
      </c>
    </row>
    <row r="119" spans="1:259" ht="15" customHeight="1" x14ac:dyDescent="0.25">
      <c r="A119" s="79"/>
      <c r="B119" s="707">
        <v>-3.1501402575156701</v>
      </c>
      <c r="C119" s="708">
        <v>4.3864692450710487</v>
      </c>
      <c r="D119" s="709">
        <v>-1.2697539238278341</v>
      </c>
      <c r="E119" s="710">
        <v>-0.94277160166253715</v>
      </c>
      <c r="F119" s="708">
        <v>-0.28453680614420607</v>
      </c>
      <c r="G119" s="711">
        <v>0.17384048161434973</v>
      </c>
      <c r="H119" s="710">
        <v>0.26600000000000001</v>
      </c>
      <c r="I119" s="708">
        <v>0.52</v>
      </c>
      <c r="J119" s="570">
        <v>7.24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1313</v>
      </c>
      <c r="L119" s="320"/>
      <c r="M119" s="168">
        <f t="shared" si="660"/>
        <v>7.24</v>
      </c>
      <c r="N119" s="632">
        <f t="shared" si="661"/>
        <v>-3.1501402575156701</v>
      </c>
      <c r="O119" s="629">
        <f t="shared" si="662"/>
        <v>4.3864692450710487</v>
      </c>
      <c r="P119" s="633">
        <f t="shared" si="663"/>
        <v>-1.2697539238278341</v>
      </c>
      <c r="Q119" s="585">
        <f t="shared" si="520"/>
        <v>125.68399484786859</v>
      </c>
      <c r="R119" s="629">
        <f t="shared" si="716"/>
        <v>5.4004162876555233</v>
      </c>
      <c r="S119" s="634">
        <f t="shared" si="717"/>
        <v>-1.2697539238278341</v>
      </c>
      <c r="T119" s="635">
        <f t="shared" si="718"/>
        <v>4.3864692450710487</v>
      </c>
      <c r="U119" s="629">
        <f t="shared" si="719"/>
        <v>3.1501402575156696</v>
      </c>
      <c r="V119" s="636">
        <f t="shared" si="720"/>
        <v>-1.2697539238278341</v>
      </c>
      <c r="W119" s="585">
        <f t="shared" si="645"/>
        <v>35.68399484786859</v>
      </c>
      <c r="X119" s="629">
        <f t="shared" si="721"/>
        <v>5.4004162876555233</v>
      </c>
      <c r="Y119" s="630">
        <f t="shared" si="644"/>
        <v>-1.2697539238278341</v>
      </c>
      <c r="Z119" s="632">
        <f t="shared" si="664"/>
        <v>0.94277160166253715</v>
      </c>
      <c r="AA119" s="629">
        <f t="shared" si="665"/>
        <v>0.28453680614420607</v>
      </c>
      <c r="AB119" s="629">
        <f t="shared" si="666"/>
        <v>-0.17384048161434973</v>
      </c>
      <c r="AC119" s="636">
        <f t="shared" si="722"/>
        <v>1</v>
      </c>
      <c r="AD119" s="637">
        <f t="shared" si="723"/>
        <v>0.94277160166253715</v>
      </c>
      <c r="AE119" s="629">
        <f t="shared" si="724"/>
        <v>0.28453680614420607</v>
      </c>
      <c r="AF119" s="633">
        <f t="shared" si="725"/>
        <v>-0.17384048161434973</v>
      </c>
      <c r="AG119" s="602">
        <f t="shared" si="726"/>
        <v>58.576757029806281</v>
      </c>
      <c r="AH119" s="603">
        <f t="shared" si="727"/>
        <v>19.477655060718188</v>
      </c>
      <c r="AI119" s="585">
        <f t="shared" si="728"/>
        <v>-79.988811629173142</v>
      </c>
      <c r="AJ119" s="586">
        <f t="shared" si="729"/>
        <v>106.79427854030926</v>
      </c>
      <c r="AK119" s="635">
        <f t="shared" si="730"/>
        <v>0.93173733571256312</v>
      </c>
      <c r="AL119" s="629">
        <f t="shared" si="731"/>
        <v>-0.31881816791291179</v>
      </c>
      <c r="AM119" s="634">
        <f t="shared" si="732"/>
        <v>-0.17384048161434973</v>
      </c>
      <c r="AN119" s="581">
        <f t="shared" si="733"/>
        <v>-61.397898006190168</v>
      </c>
      <c r="AO119" s="582">
        <f t="shared" si="461"/>
        <v>21.292726160185381</v>
      </c>
      <c r="AP119" s="585">
        <f t="shared" si="734"/>
        <v>-18.889716307559318</v>
      </c>
      <c r="AQ119" s="586">
        <f t="shared" si="667"/>
        <v>0.42213141756998923</v>
      </c>
      <c r="AS119" s="52">
        <f t="shared" si="737"/>
        <v>-324.31600515213142</v>
      </c>
      <c r="AT119" s="73">
        <f t="shared" si="668"/>
        <v>-1.0445344758055206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>Taper</v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7.24</v>
      </c>
      <c r="IH119" s="731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0.14000000000000001</v>
      </c>
      <c r="II119" s="734" cm="1">
        <f t="array" ref="II119">IFERROR(IF($IH119&lt;1,$IH119+LARGE((IF($M$9:$M$150="",0,$M$9:$M$150)-MOD(IF($M$9:$M$150="",0,$M$9:$M$150),1)),1),$IH119),"")</f>
        <v>7.14</v>
      </c>
      <c r="IJ119" s="533">
        <f t="shared" si="542"/>
        <v>1613</v>
      </c>
      <c r="IK119" s="533">
        <f t="shared" si="713"/>
        <v>1313</v>
      </c>
      <c r="IL119" s="727">
        <f t="shared" si="647"/>
        <v>11.296998368915226</v>
      </c>
      <c r="IM119" s="759">
        <v>6.0075969776210297E-3</v>
      </c>
      <c r="IN119" s="5">
        <f t="shared" si="648"/>
        <v>0.24</v>
      </c>
      <c r="IO119" s="771">
        <v>120</v>
      </c>
      <c r="IP119" s="9">
        <f t="shared" si="649"/>
        <v>-5.3654161820952053</v>
      </c>
      <c r="IQ119" s="5">
        <f t="shared" si="650"/>
        <v>-1.2953540010376674</v>
      </c>
      <c r="IR119" s="5">
        <f t="shared" si="714"/>
        <v>0.314</v>
      </c>
      <c r="IS119" s="5">
        <f t="shared" si="651"/>
        <v>0.2970584046440426</v>
      </c>
      <c r="IT119" s="727">
        <f t="shared" si="652"/>
        <v>63.443628440702483</v>
      </c>
      <c r="IU119" s="9">
        <f t="shared" si="653"/>
        <v>-5.4004162876555233</v>
      </c>
      <c r="IV119" s="5">
        <f t="shared" si="654"/>
        <v>-1.2697539238278341</v>
      </c>
      <c r="IW119" s="5">
        <f t="shared" si="715"/>
        <v>0.26600000000000001</v>
      </c>
      <c r="IX119" s="5">
        <f t="shared" si="655"/>
        <v>0.2478421312995418</v>
      </c>
      <c r="IY119" s="762">
        <f t="shared" si="656"/>
        <v>61.397898006190168</v>
      </c>
    </row>
    <row r="120" spans="1:259" ht="15" customHeight="1" x14ac:dyDescent="0.25">
      <c r="A120" s="79"/>
      <c r="B120" s="707">
        <v>-3.3627495541496835</v>
      </c>
      <c r="C120" s="708">
        <v>4.6582655116619769</v>
      </c>
      <c r="D120" s="709">
        <v>-1.9530559846668498</v>
      </c>
      <c r="E120" s="710">
        <v>-0.97063892023379739</v>
      </c>
      <c r="F120" s="708">
        <v>-0.21218484075285482</v>
      </c>
      <c r="G120" s="711">
        <v>0.11330348574538165</v>
      </c>
      <c r="H120" s="710">
        <v>0.26600000000000001</v>
      </c>
      <c r="I120" s="708">
        <v>0.52</v>
      </c>
      <c r="J120" s="570">
        <v>7.2469999999999999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1313</v>
      </c>
      <c r="L120" s="320"/>
      <c r="M120" s="168">
        <f t="shared" si="660"/>
        <v>7.2469999999999999</v>
      </c>
      <c r="N120" s="632">
        <f t="shared" si="661"/>
        <v>-3.3627495541496835</v>
      </c>
      <c r="O120" s="629">
        <f t="shared" si="662"/>
        <v>4.6582655116619769</v>
      </c>
      <c r="P120" s="633">
        <f t="shared" si="663"/>
        <v>-1.9530559846668498</v>
      </c>
      <c r="Q120" s="585">
        <f t="shared" si="520"/>
        <v>125.82509482749626</v>
      </c>
      <c r="R120" s="629">
        <f t="shared" si="716"/>
        <v>5.7452173275754603</v>
      </c>
      <c r="S120" s="634">
        <f t="shared" si="717"/>
        <v>-1.9530559846668498</v>
      </c>
      <c r="T120" s="635">
        <f t="shared" si="718"/>
        <v>4.6582655116619778</v>
      </c>
      <c r="U120" s="629">
        <f t="shared" si="719"/>
        <v>3.3627495541496826</v>
      </c>
      <c r="V120" s="636">
        <f t="shared" si="720"/>
        <v>-1.9530559846668498</v>
      </c>
      <c r="W120" s="585">
        <f t="shared" si="645"/>
        <v>35.825094827496258</v>
      </c>
      <c r="X120" s="629">
        <f t="shared" si="721"/>
        <v>5.7452173275754603</v>
      </c>
      <c r="Y120" s="630">
        <f t="shared" si="644"/>
        <v>-1.9530559846668498</v>
      </c>
      <c r="Z120" s="632">
        <f t="shared" si="664"/>
        <v>0.97063892023379739</v>
      </c>
      <c r="AA120" s="629">
        <f t="shared" si="665"/>
        <v>0.21218484075285482</v>
      </c>
      <c r="AB120" s="629">
        <f t="shared" si="666"/>
        <v>-0.11330348574538165</v>
      </c>
      <c r="AC120" s="636">
        <f t="shared" si="722"/>
        <v>1</v>
      </c>
      <c r="AD120" s="637">
        <f t="shared" si="723"/>
        <v>0.97063892023379739</v>
      </c>
      <c r="AE120" s="629">
        <f t="shared" si="724"/>
        <v>0.21218484075285482</v>
      </c>
      <c r="AF120" s="633">
        <f t="shared" si="725"/>
        <v>-0.11330348574538165</v>
      </c>
      <c r="AG120" s="602">
        <f t="shared" si="726"/>
        <v>61.898459405489291</v>
      </c>
      <c r="AH120" s="603">
        <f t="shared" si="727"/>
        <v>13.918486778758602</v>
      </c>
      <c r="AI120" s="585">
        <f t="shared" si="728"/>
        <v>-83.494217635976398</v>
      </c>
      <c r="AJ120" s="586">
        <f t="shared" si="729"/>
        <v>102.33106387280642</v>
      </c>
      <c r="AK120" s="635">
        <f t="shared" si="730"/>
        <v>0.91119586719796619</v>
      </c>
      <c r="AL120" s="629">
        <f t="shared" si="731"/>
        <v>-0.39608636901475514</v>
      </c>
      <c r="AM120" s="634">
        <f t="shared" si="732"/>
        <v>-0.11330348574538165</v>
      </c>
      <c r="AN120" s="581">
        <f t="shared" si="733"/>
        <v>-74.036423912691035</v>
      </c>
      <c r="AO120" s="582">
        <f t="shared" ref="AO120:AO150" si="742">IF(ROUND(IF(M120="",0,DEGREES(ACOS(AK120))),4)=90,0,IF(M120="","",DEGREES(ACOS(AK120))))</f>
        <v>24.328861837618081</v>
      </c>
      <c r="AP120" s="585">
        <f t="shared" si="734"/>
        <v>-23.494030954689826</v>
      </c>
      <c r="AQ120" s="586">
        <f t="shared" si="667"/>
        <v>0.39679790257274844</v>
      </c>
      <c r="AS120" s="52">
        <f t="shared" si="737"/>
        <v>-324.17490517250371</v>
      </c>
      <c r="AT120" s="73">
        <f t="shared" si="668"/>
        <v>-1.7279345227414999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>Taper</v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7.2469999999999999</v>
      </c>
      <c r="IH120" s="731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0.14699999999999999</v>
      </c>
      <c r="II120" s="734" cm="1">
        <f t="array" ref="II120">IFERROR(IF($IH120&lt;1,$IH120+LARGE((IF($M$9:$M$150="",0,$M$9:$M$150)-MOD(IF($M$9:$M$150="",0,$M$9:$M$150),1)),1),$IH120),"")</f>
        <v>7.1470000000000002</v>
      </c>
      <c r="IJ120" s="533">
        <f t="shared" si="542"/>
        <v>1613</v>
      </c>
      <c r="IK120" s="533">
        <f t="shared" si="713"/>
        <v>1313</v>
      </c>
      <c r="IL120" s="727">
        <f t="shared" si="647"/>
        <v>10.776898444008367</v>
      </c>
      <c r="IM120" s="759">
        <v>3.91960343024759E-3</v>
      </c>
      <c r="IN120" s="5">
        <f t="shared" si="648"/>
        <v>0.2</v>
      </c>
      <c r="IO120" s="771">
        <v>100</v>
      </c>
      <c r="IP120" s="9">
        <f t="shared" si="649"/>
        <v>-5.7034172015062801</v>
      </c>
      <c r="IQ120" s="5">
        <f t="shared" si="650"/>
        <v>-1.9700560359390051</v>
      </c>
      <c r="IR120" s="5">
        <f t="shared" si="714"/>
        <v>0.314</v>
      </c>
      <c r="IS120" s="5">
        <f t="shared" si="651"/>
        <v>0.29126972013484054</v>
      </c>
      <c r="IT120" s="727">
        <f t="shared" si="652"/>
        <v>75.723316563309098</v>
      </c>
      <c r="IU120" s="9">
        <f t="shared" si="653"/>
        <v>-5.7452173275754603</v>
      </c>
      <c r="IV120" s="5">
        <f t="shared" si="654"/>
        <v>-1.9530559846668498</v>
      </c>
      <c r="IW120" s="5">
        <f t="shared" si="715"/>
        <v>0.26600000000000001</v>
      </c>
      <c r="IX120" s="5">
        <f t="shared" si="655"/>
        <v>0.24237810067465901</v>
      </c>
      <c r="IY120" s="762">
        <f t="shared" si="656"/>
        <v>74.036423912691035</v>
      </c>
    </row>
    <row r="121" spans="1:259" ht="15" customHeight="1" x14ac:dyDescent="0.25">
      <c r="A121" s="79"/>
      <c r="B121" s="707">
        <v>-3.412616115962007</v>
      </c>
      <c r="C121" s="708">
        <v>4.8015213264665775</v>
      </c>
      <c r="D121" s="709">
        <v>-2.70495825240409</v>
      </c>
      <c r="E121" s="710">
        <v>-0.99580335265150666</v>
      </c>
      <c r="F121" s="708">
        <v>-7.5970784390196069E-2</v>
      </c>
      <c r="G121" s="711">
        <v>5.1030606180578988E-2</v>
      </c>
      <c r="H121" s="710">
        <v>0.26600000000000001</v>
      </c>
      <c r="I121" s="708">
        <v>0.52</v>
      </c>
      <c r="J121" s="570">
        <v>7.2539999999999996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1313</v>
      </c>
      <c r="L121" s="320"/>
      <c r="M121" s="168">
        <f t="shared" si="660"/>
        <v>7.2539999999999996</v>
      </c>
      <c r="N121" s="632">
        <f t="shared" si="661"/>
        <v>-3.412616115962007</v>
      </c>
      <c r="O121" s="629">
        <f t="shared" si="662"/>
        <v>4.8015213264665775</v>
      </c>
      <c r="P121" s="633">
        <f t="shared" si="663"/>
        <v>-2.70495825240409</v>
      </c>
      <c r="Q121" s="585">
        <f t="shared" si="520"/>
        <v>125.40279488846883</v>
      </c>
      <c r="R121" s="629">
        <f t="shared" si="716"/>
        <v>5.8907177664047845</v>
      </c>
      <c r="S121" s="634">
        <f t="shared" si="717"/>
        <v>-2.70495825240409</v>
      </c>
      <c r="T121" s="635">
        <f t="shared" si="718"/>
        <v>4.8015213264665775</v>
      </c>
      <c r="U121" s="629">
        <f t="shared" si="719"/>
        <v>3.412616115962007</v>
      </c>
      <c r="V121" s="636">
        <f t="shared" si="720"/>
        <v>-2.70495825240409</v>
      </c>
      <c r="W121" s="585">
        <f t="shared" si="645"/>
        <v>35.402794888468833</v>
      </c>
      <c r="X121" s="629">
        <f t="shared" si="721"/>
        <v>5.8907177664047845</v>
      </c>
      <c r="Y121" s="630">
        <f t="shared" si="644"/>
        <v>-2.70495825240409</v>
      </c>
      <c r="Z121" s="632">
        <f t="shared" si="664"/>
        <v>0.99580335265150666</v>
      </c>
      <c r="AA121" s="629">
        <f t="shared" si="665"/>
        <v>7.5970784390196069E-2</v>
      </c>
      <c r="AB121" s="629">
        <f t="shared" si="666"/>
        <v>-5.1030606180578988E-2</v>
      </c>
      <c r="AC121" s="636">
        <f t="shared" si="722"/>
        <v>1</v>
      </c>
      <c r="AD121" s="637">
        <f t="shared" si="723"/>
        <v>0.99580335265150666</v>
      </c>
      <c r="AE121" s="629">
        <f t="shared" si="724"/>
        <v>7.5970784390196069E-2</v>
      </c>
      <c r="AF121" s="633">
        <f t="shared" si="725"/>
        <v>-5.1030606180578988E-2</v>
      </c>
      <c r="AG121" s="602">
        <f t="shared" si="726"/>
        <v>56.110206809138184</v>
      </c>
      <c r="AH121" s="603">
        <f t="shared" si="727"/>
        <v>5.2509860809170235</v>
      </c>
      <c r="AI121" s="585">
        <f t="shared" si="728"/>
        <v>-87.074891144784942</v>
      </c>
      <c r="AJ121" s="586">
        <f t="shared" si="729"/>
        <v>94.362698497155918</v>
      </c>
      <c r="AK121" s="635">
        <f t="shared" si="730"/>
        <v>0.85569031784589755</v>
      </c>
      <c r="AL121" s="629">
        <f t="shared" si="731"/>
        <v>-0.5149659767184912</v>
      </c>
      <c r="AM121" s="634">
        <f t="shared" si="732"/>
        <v>-5.1030606180578988E-2</v>
      </c>
      <c r="AN121" s="581">
        <f t="shared" si="733"/>
        <v>-84.340744928558564</v>
      </c>
      <c r="AO121" s="582">
        <f t="shared" si="742"/>
        <v>31.163918003872777</v>
      </c>
      <c r="AP121" s="585">
        <f t="shared" si="734"/>
        <v>-31.040096391312904</v>
      </c>
      <c r="AQ121" s="586">
        <f t="shared" si="667"/>
        <v>0.38699731577352736</v>
      </c>
      <c r="AS121" s="52">
        <f t="shared" si="737"/>
        <v>-324.59720511153114</v>
      </c>
      <c r="AT121" s="73">
        <f t="shared" si="668"/>
        <v>-2.4795435266321935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>Taper</v>
      </c>
      <c r="IF121" s="533" t="str">
        <f>IFERROR(IF((((($IW121*COS(RADIANS(180-$IY121)))*COS(RADIANS($IY121)))-(($IX121*SIN(RADIANS(180-$IY121)))*SIN(RADIANS($IY121))))+$IU121)&lt;(((Settings!$C$19+$IF$8)/2)*-1),"Gage",""),"")</f>
        <v>Gage</v>
      </c>
      <c r="IG121" s="847">
        <f t="shared" si="643"/>
        <v>7.2539999999999996</v>
      </c>
      <c r="IH121" s="731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0.154</v>
      </c>
      <c r="II121" s="734" cm="1">
        <f t="array" ref="II121">IFERROR(IF($IH121&lt;1,$IH121+LARGE((IF($M$9:$M$150="",0,$M$9:$M$150)-MOD(IF($M$9:$M$150="",0,$M$9:$M$150),1)),1),$IH121),"")</f>
        <v>7.1539999999999999</v>
      </c>
      <c r="IJ121" s="533">
        <f t="shared" si="542"/>
        <v>1613</v>
      </c>
      <c r="IK121" s="533">
        <f t="shared" si="713"/>
        <v>1313</v>
      </c>
      <c r="IL121" s="727">
        <f t="shared" si="647"/>
        <v>11.035198406714471</v>
      </c>
      <c r="IM121" s="759">
        <v>1.85347079428246E-3</v>
      </c>
      <c r="IN121" s="5">
        <f t="shared" si="648"/>
        <v>0.06</v>
      </c>
      <c r="IO121" s="771">
        <v>30</v>
      </c>
      <c r="IP121" s="9">
        <f t="shared" si="649"/>
        <v>-5.8452176291763704</v>
      </c>
      <c r="IQ121" s="5">
        <f t="shared" si="650"/>
        <v>-2.7111582711033462</v>
      </c>
      <c r="IR121" s="5">
        <f t="shared" si="714"/>
        <v>0.314</v>
      </c>
      <c r="IS121" s="5">
        <f t="shared" si="651"/>
        <v>0.27533460664213705</v>
      </c>
      <c r="IT121" s="727">
        <f t="shared" si="652"/>
        <v>85.361290931779706</v>
      </c>
      <c r="IU121" s="9">
        <f t="shared" si="653"/>
        <v>-5.8907177664047845</v>
      </c>
      <c r="IV121" s="5">
        <f t="shared" si="654"/>
        <v>-2.70495825240409</v>
      </c>
      <c r="IW121" s="5">
        <f t="shared" si="715"/>
        <v>0.26600000000000001</v>
      </c>
      <c r="IX121" s="5">
        <f t="shared" si="655"/>
        <v>0.22761362454700876</v>
      </c>
      <c r="IY121" s="762">
        <f t="shared" si="656"/>
        <v>84.340744928558564</v>
      </c>
    </row>
    <row r="122" spans="1:259" ht="15" customHeight="1" x14ac:dyDescent="0.25">
      <c r="A122" s="79"/>
      <c r="B122" s="707">
        <v>-3.0031654760943836</v>
      </c>
      <c r="C122" s="708">
        <v>5.0730433439994869</v>
      </c>
      <c r="D122" s="709">
        <v>-3.5251607261347511</v>
      </c>
      <c r="E122" s="710">
        <v>-0.50941556370234198</v>
      </c>
      <c r="F122" s="708">
        <v>0.86052064673532036</v>
      </c>
      <c r="G122" s="711">
        <v>2.2679489729586595E-7</v>
      </c>
      <c r="H122" s="710">
        <v>0.25700000000000001</v>
      </c>
      <c r="I122" s="708">
        <v>0.41499999999999992</v>
      </c>
      <c r="J122" s="570">
        <v>7.2610000000000001</v>
      </c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CPS-32193r1</v>
      </c>
      <c r="L122" s="320"/>
      <c r="M122" s="168">
        <f t="shared" si="660"/>
        <v>7.2610000000000001</v>
      </c>
      <c r="N122" s="632">
        <f t="shared" si="661"/>
        <v>-3.0031654760943836</v>
      </c>
      <c r="O122" s="629">
        <f t="shared" si="662"/>
        <v>5.0730433439994869</v>
      </c>
      <c r="P122" s="633">
        <f t="shared" si="663"/>
        <v>-3.5251607261347511</v>
      </c>
      <c r="Q122" s="585">
        <f t="shared" si="520"/>
        <v>120.62489557831213</v>
      </c>
      <c r="R122" s="629">
        <f t="shared" si="716"/>
        <v>5.8953177731910857</v>
      </c>
      <c r="S122" s="634">
        <f t="shared" si="717"/>
        <v>-3.5251607261347511</v>
      </c>
      <c r="T122" s="635">
        <f t="shared" si="718"/>
        <v>5.073043343999486</v>
      </c>
      <c r="U122" s="629">
        <f t="shared" si="719"/>
        <v>3.0031654760943844</v>
      </c>
      <c r="V122" s="636">
        <f t="shared" si="720"/>
        <v>-3.5251607261347511</v>
      </c>
      <c r="W122" s="585">
        <f t="shared" si="645"/>
        <v>30.624895578312135</v>
      </c>
      <c r="X122" s="629">
        <f t="shared" si="721"/>
        <v>5.8953177731910857</v>
      </c>
      <c r="Y122" s="630">
        <f t="shared" si="644"/>
        <v>-3.5251607261347511</v>
      </c>
      <c r="Z122" s="632">
        <f t="shared" si="664"/>
        <v>0.50941556370234198</v>
      </c>
      <c r="AA122" s="629">
        <f t="shared" si="665"/>
        <v>-0.86052064673532036</v>
      </c>
      <c r="AB122" s="629">
        <f t="shared" si="666"/>
        <v>-2.2679489729586595E-7</v>
      </c>
      <c r="AC122" s="636">
        <f t="shared" si="722"/>
        <v>1</v>
      </c>
      <c r="AD122" s="637">
        <f t="shared" si="723"/>
        <v>0.50941556370234198</v>
      </c>
      <c r="AE122" s="629">
        <f t="shared" si="724"/>
        <v>-0.86052064673532036</v>
      </c>
      <c r="AF122" s="633">
        <f t="shared" si="725"/>
        <v>-2.2679489729586595E-7</v>
      </c>
      <c r="AG122" s="602">
        <f t="shared" si="726"/>
        <v>-89.999984899385652</v>
      </c>
      <c r="AH122" s="603">
        <f t="shared" si="727"/>
        <v>59.375091427298322</v>
      </c>
      <c r="AI122" s="585">
        <f t="shared" si="728"/>
        <v>-89.999987005609569</v>
      </c>
      <c r="AJ122" s="586">
        <f t="shared" si="729"/>
        <v>30.624908572702541</v>
      </c>
      <c r="AK122" s="635">
        <f t="shared" si="730"/>
        <v>2.2679489680710319E-7</v>
      </c>
      <c r="AL122" s="629">
        <f t="shared" si="731"/>
        <v>-0.99999999999994871</v>
      </c>
      <c r="AM122" s="634">
        <f t="shared" si="732"/>
        <v>-2.2679489729586595E-7</v>
      </c>
      <c r="AN122" s="581">
        <f t="shared" si="733"/>
        <v>-89.999987005609569</v>
      </c>
      <c r="AO122" s="582">
        <f t="shared" si="742"/>
        <v>0</v>
      </c>
      <c r="AP122" s="585">
        <f t="shared" si="734"/>
        <v>-89.999987005609611</v>
      </c>
      <c r="AQ122" s="586">
        <f t="shared" si="667"/>
        <v>0.38669535814075245</v>
      </c>
      <c r="AS122" s="52">
        <f t="shared" si="737"/>
        <v>-329.37510442168787</v>
      </c>
      <c r="AT122" s="73">
        <f t="shared" si="668"/>
        <v>-3.2964280147308012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>Taper</v>
      </c>
      <c r="IF122" s="533" t="str">
        <f>IFERROR(IF((((($IW122*COS(RADIANS(180-$IY122)))*COS(RADIANS($IY122)))-(($IX122*SIN(RADIANS(180-$IY122)))*SIN(RADIANS($IY122))))+$IU122)&lt;(((Settings!$C$19+$IF$8)/2)*-1),"Gage",""),"")</f>
        <v>Gage</v>
      </c>
      <c r="IG122" s="847">
        <f t="shared" si="643"/>
        <v>7.2610000000000001</v>
      </c>
      <c r="IH122" s="731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0.161</v>
      </c>
      <c r="II122" s="734" cm="1">
        <f t="array" ref="II122">IFERROR(IF($IH122&lt;1,$IH122+LARGE((IF($M$9:$M$150="",0,$M$9:$M$150)-MOD(IF($M$9:$M$150="",0,$M$9:$M$150),1)),1),$IH122),"")</f>
        <v>7.1609999999999996</v>
      </c>
      <c r="IJ122" s="533">
        <f t="shared" si="542"/>
        <v>1613</v>
      </c>
      <c r="IK122" s="533" t="str">
        <f t="shared" si="713"/>
        <v>CPS-32193r1</v>
      </c>
      <c r="IL122" s="727">
        <f t="shared" si="647"/>
        <v>15.757097692587678</v>
      </c>
      <c r="IM122" s="759">
        <v>1.8705542897650901E-4</v>
      </c>
      <c r="IN122" s="5">
        <f t="shared" si="648"/>
        <v>0</v>
      </c>
      <c r="IO122" s="771">
        <v>0</v>
      </c>
      <c r="IP122" s="9">
        <f t="shared" si="649"/>
        <v>-5.8943177749307534</v>
      </c>
      <c r="IQ122" s="5">
        <f t="shared" si="650"/>
        <v>-3.512060686625031</v>
      </c>
      <c r="IR122" s="5">
        <f t="shared" si="714"/>
        <v>0.314</v>
      </c>
      <c r="IS122" s="5">
        <f t="shared" si="651"/>
        <v>0.25721375789321782</v>
      </c>
      <c r="IT122" s="727">
        <f t="shared" si="652"/>
        <v>89.999987005609611</v>
      </c>
      <c r="IU122" s="9">
        <f t="shared" si="653"/>
        <v>-5.8953177731910857</v>
      </c>
      <c r="IV122" s="5">
        <f t="shared" si="654"/>
        <v>-3.5251607261347511</v>
      </c>
      <c r="IW122" s="5">
        <f t="shared" si="715"/>
        <v>0.25700000000000001</v>
      </c>
      <c r="IX122" s="5">
        <f t="shared" si="655"/>
        <v>0.25700000000000001</v>
      </c>
      <c r="IY122" s="762">
        <f t="shared" si="656"/>
        <v>89.999987005609569</v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6.6987279208207198E-2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4.7721098814973988E-2</v>
      </c>
      <c r="G157" s="170">
        <f t="shared" si="929"/>
        <v>-0.25438155580957267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0.96514722346915183</v>
      </c>
      <c r="F158" s="170">
        <f t="shared" si="929"/>
        <v>-5.4808415938357537E-2</v>
      </c>
      <c r="G158" s="170">
        <f t="shared" si="929"/>
        <v>-0.255904033911377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0.95748108559575174</v>
      </c>
      <c r="F159" s="170">
        <f t="shared" si="929"/>
        <v>-0.1516020911623249</v>
      </c>
      <c r="G159" s="170">
        <f t="shared" si="929"/>
        <v>-0.24545218817845352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0.94737327467980514</v>
      </c>
      <c r="F160" s="170">
        <f t="shared" si="929"/>
        <v>-0.24118281256584095</v>
      </c>
      <c r="G160" s="170">
        <f t="shared" si="929"/>
        <v>-0.2105106395061615</v>
      </c>
      <c r="H160" s="139"/>
      <c r="I160" s="86"/>
      <c r="J160" s="79">
        <f t="shared" si="930"/>
        <v>1.1319999999999999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0.93603907484108473</v>
      </c>
      <c r="F161" s="170">
        <f t="shared" si="929"/>
        <v>-0.31560805331068698</v>
      </c>
      <c r="G161" s="170">
        <f t="shared" si="929"/>
        <v>-0.15563549420387618</v>
      </c>
      <c r="H161" s="139"/>
      <c r="I161" s="86"/>
      <c r="J161" s="79">
        <f t="shared" si="930"/>
        <v>1.139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0.91221094259728752</v>
      </c>
      <c r="F162" s="170">
        <f t="shared" si="929"/>
        <v>-0.39606637137015155</v>
      </c>
      <c r="G162" s="170">
        <f t="shared" si="929"/>
        <v>-0.10489340148669764</v>
      </c>
      <c r="H162" s="139"/>
      <c r="I162" s="86"/>
      <c r="J162" s="79">
        <f t="shared" si="930"/>
        <v>1.1459999999999999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0.86337860872282424</v>
      </c>
      <c r="F163" s="170">
        <f t="shared" si="929"/>
        <v>-0.50214279143332952</v>
      </c>
      <c r="G163" s="170">
        <f t="shared" si="929"/>
        <v>-4.9294979575858371E-2</v>
      </c>
      <c r="H163" s="139"/>
      <c r="I163" s="86"/>
      <c r="J163" s="79">
        <f t="shared" si="930"/>
        <v>1.153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0.79209797936640236</v>
      </c>
      <c r="F164" s="170">
        <f t="shared" si="929"/>
        <v>-0.61039396383290501</v>
      </c>
      <c r="G164" s="170">
        <f t="shared" si="929"/>
        <v>-1.3008419213592557E-7</v>
      </c>
      <c r="H164" s="139"/>
      <c r="I164" s="86"/>
      <c r="J164" s="79">
        <f t="shared" si="930"/>
        <v>1.1599999999999999</v>
      </c>
    </row>
    <row r="165" spans="5:16" x14ac:dyDescent="0.25">
      <c r="E165" s="170">
        <f t="shared" si="929"/>
        <v>2.1073028619124886E-7</v>
      </c>
      <c r="F165" s="170">
        <f t="shared" si="929"/>
        <v>-8.3837173430445379E-8</v>
      </c>
      <c r="G165" s="170">
        <f t="shared" si="929"/>
        <v>-0.99999999999997435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-1.9300095210472025E-2</v>
      </c>
      <c r="F166" s="170">
        <f t="shared" si="929"/>
        <v>-6.2490594528841384E-2</v>
      </c>
      <c r="G166" s="170">
        <f t="shared" si="929"/>
        <v>-0.99785892385662345</v>
      </c>
      <c r="H166" s="139"/>
      <c r="I166" s="86"/>
      <c r="J166" s="79">
        <f t="shared" si="930"/>
        <v>1.218</v>
      </c>
    </row>
    <row r="167" spans="5:16" x14ac:dyDescent="0.25">
      <c r="E167" s="170">
        <f t="shared" si="929"/>
        <v>0.87342484314622992</v>
      </c>
      <c r="F167" s="170">
        <f t="shared" si="929"/>
        <v>-0.39466690123007259</v>
      </c>
      <c r="G167" s="170">
        <f t="shared" si="929"/>
        <v>-0.28524915503544612</v>
      </c>
      <c r="H167" s="139"/>
      <c r="I167" s="86"/>
      <c r="J167" s="79">
        <f t="shared" si="930"/>
        <v>1.2250000000000001</v>
      </c>
    </row>
    <row r="168" spans="5:16" x14ac:dyDescent="0.25">
      <c r="E168" s="170">
        <f t="shared" si="929"/>
        <v>0.85270334134488035</v>
      </c>
      <c r="F168" s="170">
        <f t="shared" si="929"/>
        <v>-0.4607045085675463</v>
      </c>
      <c r="G168" s="170">
        <f t="shared" si="929"/>
        <v>-0.24626889256422974</v>
      </c>
      <c r="H168" s="139"/>
      <c r="I168" s="86"/>
      <c r="J168" s="79">
        <f t="shared" si="930"/>
        <v>1.232</v>
      </c>
    </row>
    <row r="169" spans="5:16" x14ac:dyDescent="0.25">
      <c r="E169" s="170">
        <f t="shared" si="929"/>
        <v>0.83446021072699694</v>
      </c>
      <c r="F169" s="170">
        <f t="shared" si="929"/>
        <v>-0.51889262614222043</v>
      </c>
      <c r="G169" s="170">
        <f t="shared" si="929"/>
        <v>-0.1855440628225164</v>
      </c>
      <c r="H169" s="139"/>
      <c r="I169" s="86"/>
      <c r="J169" s="79">
        <f t="shared" si="930"/>
        <v>1.2390000000000001</v>
      </c>
    </row>
    <row r="170" spans="5:16" x14ac:dyDescent="0.25">
      <c r="E170" s="170">
        <f t="shared" si="929"/>
        <v>0.79776177725920949</v>
      </c>
      <c r="F170" s="170">
        <f t="shared" si="929"/>
        <v>-0.58940608723936183</v>
      </c>
      <c r="G170" s="170">
        <f t="shared" si="929"/>
        <v>-0.12718730702948802</v>
      </c>
      <c r="H170" s="139"/>
      <c r="I170" s="86"/>
      <c r="J170" s="79">
        <f t="shared" si="930"/>
        <v>1.246</v>
      </c>
    </row>
    <row r="171" spans="5:16" x14ac:dyDescent="0.25">
      <c r="E171" s="170">
        <f t="shared" si="929"/>
        <v>0.7238319985210212</v>
      </c>
      <c r="F171" s="170">
        <f t="shared" si="929"/>
        <v>-0.68711812055406551</v>
      </c>
      <c r="G171" s="170">
        <f t="shared" si="929"/>
        <v>-6.2736961380936179E-2</v>
      </c>
      <c r="H171" s="139"/>
      <c r="I171" s="86"/>
      <c r="J171" s="79">
        <f t="shared" si="930"/>
        <v>1.2529999999999999</v>
      </c>
    </row>
    <row r="172" spans="5:16" x14ac:dyDescent="0.25">
      <c r="E172" s="170">
        <f t="shared" si="929"/>
        <v>-0.31523637881392252</v>
      </c>
      <c r="F172" s="170">
        <f t="shared" si="929"/>
        <v>-0.94901318508871824</v>
      </c>
      <c r="G172" s="170">
        <f t="shared" si="929"/>
        <v>-2.2679489631103913E-7</v>
      </c>
      <c r="H172" s="139"/>
      <c r="I172" s="86"/>
      <c r="J172" s="79">
        <f t="shared" si="930"/>
        <v>1.26</v>
      </c>
    </row>
    <row r="173" spans="5:16" x14ac:dyDescent="0.25">
      <c r="E173" s="170">
        <f t="shared" si="929"/>
        <v>0.58749347638478377</v>
      </c>
      <c r="F173" s="170">
        <f t="shared" si="929"/>
        <v>-0.76884777976441332</v>
      </c>
      <c r="G173" s="170">
        <f t="shared" si="929"/>
        <v>-0.25243713426644238</v>
      </c>
      <c r="H173" s="139"/>
      <c r="I173" s="86"/>
      <c r="J173" s="79">
        <f t="shared" si="930"/>
        <v>2.11</v>
      </c>
    </row>
    <row r="174" spans="5:16" x14ac:dyDescent="0.25">
      <c r="E174" s="170">
        <f t="shared" ref="E174:G193" si="933">E29*-1</f>
        <v>0.50580466084320186</v>
      </c>
      <c r="F174" s="170">
        <f t="shared" si="933"/>
        <v>-0.82328790299032095</v>
      </c>
      <c r="G174" s="170">
        <f t="shared" si="933"/>
        <v>-0.25760177378871718</v>
      </c>
      <c r="H174" s="139"/>
      <c r="I174" s="86"/>
      <c r="J174" s="79">
        <f t="shared" si="930"/>
        <v>2.117</v>
      </c>
    </row>
    <row r="175" spans="5:16" x14ac:dyDescent="0.25">
      <c r="E175" s="170">
        <f t="shared" si="933"/>
        <v>0.42702788454142493</v>
      </c>
      <c r="F175" s="170">
        <f t="shared" si="933"/>
        <v>-0.87326494074343841</v>
      </c>
      <c r="G175" s="170">
        <f t="shared" si="933"/>
        <v>-0.23463914654727724</v>
      </c>
      <c r="H175" s="139"/>
      <c r="I175" s="86"/>
      <c r="J175" s="79">
        <f t="shared" si="930"/>
        <v>2.1240000000000001</v>
      </c>
    </row>
    <row r="176" spans="5:16" x14ac:dyDescent="0.25">
      <c r="E176" s="170">
        <f t="shared" si="933"/>
        <v>0.34860157387694013</v>
      </c>
      <c r="F176" s="170">
        <f t="shared" si="933"/>
        <v>-0.91475204766571983</v>
      </c>
      <c r="G176" s="170">
        <f t="shared" si="933"/>
        <v>-0.20421957296472051</v>
      </c>
      <c r="H176" s="139"/>
      <c r="I176" s="86"/>
      <c r="J176" s="79">
        <f t="shared" si="930"/>
        <v>2.1309999999999998</v>
      </c>
    </row>
    <row r="177" spans="5:21" x14ac:dyDescent="0.25">
      <c r="E177" s="170">
        <f t="shared" si="933"/>
        <v>0.26882138086934598</v>
      </c>
      <c r="F177" s="170">
        <f t="shared" si="933"/>
        <v>-0.94872912044797275</v>
      </c>
      <c r="G177" s="170">
        <f t="shared" si="933"/>
        <v>-0.16627724198312396</v>
      </c>
      <c r="H177" s="139"/>
      <c r="I177" s="86"/>
      <c r="J177" s="79">
        <f t="shared" si="930"/>
        <v>2.1379999999999999</v>
      </c>
    </row>
    <row r="178" spans="5:21" x14ac:dyDescent="0.25">
      <c r="E178" s="170">
        <f t="shared" si="933"/>
        <v>0.20086745151806315</v>
      </c>
      <c r="F178" s="170">
        <f t="shared" si="933"/>
        <v>-0.97356866552115751</v>
      </c>
      <c r="G178" s="170">
        <f t="shared" si="933"/>
        <v>-0.10870289985088355</v>
      </c>
      <c r="H178" s="139"/>
      <c r="I178" s="86"/>
      <c r="J178" s="79">
        <f t="shared" si="930"/>
        <v>2.145</v>
      </c>
    </row>
    <row r="179" spans="5:21" x14ac:dyDescent="0.25">
      <c r="E179" s="170">
        <f t="shared" si="933"/>
        <v>8.4720022727669236E-2</v>
      </c>
      <c r="F179" s="170">
        <f t="shared" si="933"/>
        <v>-0.99466411789510567</v>
      </c>
      <c r="G179" s="170">
        <f t="shared" si="933"/>
        <v>-5.8871133172163179E-2</v>
      </c>
      <c r="H179" s="139"/>
      <c r="I179" s="86"/>
      <c r="J179" s="79">
        <f t="shared" si="930"/>
        <v>2.1520000000000001</v>
      </c>
      <c r="M179" t="s">
        <v>392</v>
      </c>
    </row>
    <row r="180" spans="5:21" x14ac:dyDescent="0.25">
      <c r="E180" s="170">
        <f t="shared" si="933"/>
        <v>-6.3104725699020661E-2</v>
      </c>
      <c r="F180" s="170">
        <f t="shared" si="933"/>
        <v>-0.99800691059452817</v>
      </c>
      <c r="G180" s="170">
        <f t="shared" si="933"/>
        <v>-1.3008419234010204E-7</v>
      </c>
      <c r="H180" s="139"/>
      <c r="I180" s="86"/>
      <c r="J180" s="79">
        <f t="shared" si="930"/>
        <v>2.1589999999999998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-3.1486765327263647E-2</v>
      </c>
      <c r="F181" s="170">
        <f t="shared" si="933"/>
        <v>-9.2106882552636018E-3</v>
      </c>
      <c r="G181" s="170">
        <f t="shared" si="933"/>
        <v>-0.99946172854746684</v>
      </c>
      <c r="H181" s="139"/>
      <c r="I181" s="86"/>
      <c r="J181" s="79">
        <f t="shared" si="930"/>
        <v>2.2170000000000001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0.19141478893795066</v>
      </c>
      <c r="F182" s="170">
        <f t="shared" si="933"/>
        <v>-0.94218801143647157</v>
      </c>
      <c r="G182" s="170">
        <f t="shared" si="933"/>
        <v>-0.27503114311151572</v>
      </c>
      <c r="H182" s="139"/>
      <c r="I182" s="86"/>
      <c r="J182" s="79">
        <f t="shared" si="930"/>
        <v>2.2240000000000002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0.11242534191595033</v>
      </c>
      <c r="F183" s="170">
        <f t="shared" si="933"/>
        <v>-0.96403015803135528</v>
      </c>
      <c r="G183" s="170">
        <f t="shared" si="933"/>
        <v>-0.24084517205275696</v>
      </c>
      <c r="H183" s="139"/>
      <c r="I183" s="86"/>
      <c r="J183" s="79">
        <f t="shared" si="930"/>
        <v>2.2309999999999999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4.2417250526559508E-2</v>
      </c>
      <c r="F184" s="170">
        <f t="shared" si="933"/>
        <v>-0.97946629107869709</v>
      </c>
      <c r="G184" s="170">
        <f t="shared" si="933"/>
        <v>-0.19709531069588715</v>
      </c>
      <c r="H184" s="139"/>
      <c r="I184" s="86"/>
      <c r="J184" s="79">
        <f t="shared" si="930"/>
        <v>2.238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-2.2544998035156111E-2</v>
      </c>
      <c r="F185" s="170">
        <f t="shared" si="933"/>
        <v>-0.99095361303303742</v>
      </c>
      <c r="G185" s="170">
        <f t="shared" si="933"/>
        <v>-0.13229761857404768</v>
      </c>
      <c r="H185" s="139"/>
      <c r="I185" s="86"/>
      <c r="J185" s="79">
        <f t="shared" si="930"/>
        <v>2.2450000000000001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-0.14525008798373645</v>
      </c>
      <c r="F186" s="170">
        <f t="shared" si="933"/>
        <v>-0.98665267628093445</v>
      </c>
      <c r="G186" s="170">
        <f t="shared" si="933"/>
        <v>-7.3613234736605665E-2</v>
      </c>
      <c r="H186" s="139"/>
      <c r="I186" s="86"/>
      <c r="J186" s="79">
        <f t="shared" si="930"/>
        <v>2.2519999999999998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-0.96304573956725803</v>
      </c>
      <c r="F187" s="170">
        <f t="shared" si="933"/>
        <v>-0.26933789837544519</v>
      </c>
      <c r="G187" s="170">
        <f t="shared" si="933"/>
        <v>-2.2679489758251439E-7</v>
      </c>
      <c r="H187" s="139"/>
      <c r="I187" s="86"/>
      <c r="J187" s="79">
        <f t="shared" si="930"/>
        <v>2.2589999999999999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-0.20185354387626059</v>
      </c>
      <c r="F188" s="170">
        <f t="shared" si="933"/>
        <v>-0.94697157464841886</v>
      </c>
      <c r="G188" s="170">
        <f t="shared" si="933"/>
        <v>-0.2499999672649757</v>
      </c>
      <c r="H188" s="139"/>
      <c r="I188" s="86"/>
      <c r="J188" s="79">
        <f t="shared" si="930"/>
        <v>3.1030000000000002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-0.20185354387626064</v>
      </c>
      <c r="F189" s="170">
        <f t="shared" si="933"/>
        <v>-0.94697157464841875</v>
      </c>
      <c r="G189" s="170">
        <f t="shared" si="933"/>
        <v>-0.2499999672649757</v>
      </c>
      <c r="H189" s="139"/>
      <c r="I189" s="86"/>
      <c r="J189" s="79">
        <f t="shared" si="930"/>
        <v>3.1059999999999999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-0.20185354387626064</v>
      </c>
      <c r="F190" s="170">
        <f t="shared" si="933"/>
        <v>-0.94697157464841886</v>
      </c>
      <c r="G190" s="170">
        <f t="shared" si="933"/>
        <v>-0.2499999672649757</v>
      </c>
      <c r="H190" s="139"/>
      <c r="I190" s="86"/>
      <c r="J190" s="79">
        <f t="shared" si="930"/>
        <v>3.109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-0.29228912415496788</v>
      </c>
      <c r="F191" s="170">
        <f t="shared" si="933"/>
        <v>-0.92066359159732514</v>
      </c>
      <c r="G191" s="170">
        <f t="shared" si="933"/>
        <v>-0.25873851473608594</v>
      </c>
      <c r="H191" s="139"/>
      <c r="I191" s="86"/>
      <c r="J191" s="79">
        <f t="shared" si="930"/>
        <v>3.1160000000000001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-0.38238936054341199</v>
      </c>
      <c r="F192" s="170">
        <f t="shared" si="933"/>
        <v>-0.89244625739030392</v>
      </c>
      <c r="G192" s="170">
        <f t="shared" si="933"/>
        <v>-0.23941189321593842</v>
      </c>
      <c r="H192" s="139"/>
      <c r="I192" s="86"/>
      <c r="J192" s="79">
        <f t="shared" si="930"/>
        <v>3.1230000000000002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-0.46640786901042641</v>
      </c>
      <c r="F193" s="170">
        <f t="shared" si="933"/>
        <v>-0.8587745479469292</v>
      </c>
      <c r="G193" s="170">
        <f t="shared" si="933"/>
        <v>-0.2120612541783633</v>
      </c>
      <c r="H193" s="139"/>
      <c r="I193" s="86"/>
      <c r="J193" s="79">
        <f t="shared" si="930"/>
        <v>3.13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-0.54607828978561801</v>
      </c>
      <c r="F194" s="170">
        <f t="shared" si="934"/>
        <v>-0.81889283139111324</v>
      </c>
      <c r="G194" s="170">
        <f t="shared" si="934"/>
        <v>-0.1766721034036228</v>
      </c>
      <c r="H194" s="139"/>
      <c r="I194" s="86"/>
      <c r="J194" s="79">
        <f t="shared" si="930"/>
        <v>3.137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-0.61192986796482574</v>
      </c>
      <c r="F195" s="170">
        <f t="shared" si="934"/>
        <v>-0.78170236157891604</v>
      </c>
      <c r="G195" s="170">
        <f t="shared" si="934"/>
        <v>-0.12034639418984139</v>
      </c>
      <c r="H195" s="139"/>
      <c r="I195" s="86"/>
      <c r="J195" s="79">
        <f t="shared" si="930"/>
        <v>3.1440000000000001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-0.69392325519498077</v>
      </c>
      <c r="F196" s="170">
        <f t="shared" si="934"/>
        <v>-0.71688583724572152</v>
      </c>
      <c r="G196" s="170">
        <f t="shared" si="934"/>
        <v>-6.7418189356452954E-2</v>
      </c>
      <c r="H196" s="139"/>
      <c r="I196" s="86"/>
      <c r="J196" s="79">
        <f t="shared" si="930"/>
        <v>3.1509999999999998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-0.80508050911010354</v>
      </c>
      <c r="F197" s="170">
        <f t="shared" si="934"/>
        <v>-0.59316555349328892</v>
      </c>
      <c r="G197" s="170">
        <f t="shared" si="934"/>
        <v>-1.3008419227988973E-7</v>
      </c>
      <c r="H197" s="139"/>
      <c r="I197" s="86"/>
      <c r="J197" s="79">
        <f t="shared" si="930"/>
        <v>3.1579999999999999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-1.4792839746803172E-7</v>
      </c>
      <c r="F198" s="170">
        <f t="shared" si="934"/>
        <v>-1.7191019286555678E-7</v>
      </c>
      <c r="G198" s="170">
        <f t="shared" si="934"/>
        <v>-0.99999999999997435</v>
      </c>
      <c r="H198" s="139"/>
      <c r="I198" s="86"/>
      <c r="J198" s="79">
        <f t="shared" si="930"/>
        <v>3.2090000000000001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-1.2777256886067945E-7</v>
      </c>
      <c r="F199" s="170">
        <f t="shared" si="934"/>
        <v>-1.8737688173148835E-7</v>
      </c>
      <c r="G199" s="170">
        <f t="shared" si="934"/>
        <v>-0.99999999999997435</v>
      </c>
      <c r="H199" s="139"/>
      <c r="I199" s="86"/>
      <c r="J199" s="79">
        <f t="shared" si="930"/>
        <v>3.2160000000000002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-0.58688807839744983</v>
      </c>
      <c r="F200" s="170">
        <f t="shared" si="934"/>
        <v>-0.75965894141540535</v>
      </c>
      <c r="G200" s="170">
        <f t="shared" si="934"/>
        <v>-0.28014402753329304</v>
      </c>
      <c r="H200" s="139"/>
      <c r="I200" s="86"/>
      <c r="J200" s="79">
        <f t="shared" si="930"/>
        <v>3.2229999999999999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-0.65944198466870951</v>
      </c>
      <c r="F201" s="170">
        <f t="shared" si="934"/>
        <v>-0.70920846883910393</v>
      </c>
      <c r="G201" s="170">
        <f t="shared" si="934"/>
        <v>-0.24931830374661124</v>
      </c>
      <c r="H201" s="139"/>
      <c r="I201" s="86"/>
      <c r="J201" s="79">
        <f t="shared" si="930"/>
        <v>3.23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-0.71701823623161776</v>
      </c>
      <c r="F202" s="170">
        <f t="shared" si="934"/>
        <v>-0.66518410332855915</v>
      </c>
      <c r="G202" s="170">
        <f t="shared" si="934"/>
        <v>-0.20836256283286825</v>
      </c>
      <c r="H202" s="139"/>
      <c r="I202" s="86"/>
      <c r="J202" s="79">
        <f t="shared" si="930"/>
        <v>3.2370000000000001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-0.76967068530190619</v>
      </c>
      <c r="F203" s="170">
        <f t="shared" si="934"/>
        <v>-0.62176825499989086</v>
      </c>
      <c r="G203" s="170">
        <f t="shared" si="934"/>
        <v>-0.14495265868994911</v>
      </c>
      <c r="H203" s="139"/>
      <c r="I203" s="86"/>
      <c r="J203" s="79">
        <f t="shared" si="930"/>
        <v>3.2440000000000002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-0.83791594485802168</v>
      </c>
      <c r="F204" s="170">
        <f t="shared" si="934"/>
        <v>-0.53938121817451667</v>
      </c>
      <c r="G204" s="170">
        <f t="shared" si="934"/>
        <v>-8.3455202553606445E-2</v>
      </c>
      <c r="H204" s="139"/>
      <c r="I204" s="86"/>
      <c r="J204" s="79">
        <f t="shared" si="930"/>
        <v>3.2509999999999999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-0.82535874046619517</v>
      </c>
      <c r="F205" s="170">
        <f t="shared" si="934"/>
        <v>0.56460866937729937</v>
      </c>
      <c r="G205" s="170">
        <f t="shared" si="934"/>
        <v>-2.267948963863144E-7</v>
      </c>
      <c r="H205" s="139"/>
      <c r="I205" s="86"/>
      <c r="J205" s="79">
        <f t="shared" si="930"/>
        <v>3.258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-0.93165428320762678</v>
      </c>
      <c r="F206" s="170">
        <f t="shared" si="934"/>
        <v>-0.25448609488210688</v>
      </c>
      <c r="G206" s="170">
        <f t="shared" si="934"/>
        <v>-0.25933978501675875</v>
      </c>
      <c r="H206" s="139"/>
      <c r="I206" s="86"/>
      <c r="J206" s="79">
        <f t="shared" si="930"/>
        <v>4.1150000000000002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-0.95634293167886364</v>
      </c>
      <c r="F207" s="170">
        <f t="shared" si="934"/>
        <v>-0.16125670584190641</v>
      </c>
      <c r="G207" s="170">
        <f t="shared" si="934"/>
        <v>-0.24373032607554934</v>
      </c>
      <c r="H207" s="139"/>
      <c r="I207" s="86"/>
      <c r="J207" s="79">
        <f t="shared" si="930"/>
        <v>4.1219999999999999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-0.97305174775539272</v>
      </c>
      <c r="F208" s="170">
        <f t="shared" si="934"/>
        <v>-7.0573599700861578E-2</v>
      </c>
      <c r="G208" s="170">
        <f t="shared" si="934"/>
        <v>-0.21952144135696225</v>
      </c>
      <c r="H208" s="139"/>
      <c r="I208" s="86"/>
      <c r="J208" s="79">
        <f t="shared" si="930"/>
        <v>4.1289999999999996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-0.98474965384212654</v>
      </c>
      <c r="F209" s="170">
        <f t="shared" si="934"/>
        <v>9.2031940964640152E-3</v>
      </c>
      <c r="G209" s="170">
        <f t="shared" si="934"/>
        <v>-0.17373376320172973</v>
      </c>
      <c r="H209" s="139"/>
      <c r="I209" s="86"/>
      <c r="J209" s="79">
        <f t="shared" si="930"/>
        <v>4.1360000000000001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-0.98885714390629886</v>
      </c>
      <c r="F210" s="170">
        <f t="shared" si="934"/>
        <v>8.5213760839120495E-2</v>
      </c>
      <c r="G210" s="170">
        <f t="shared" si="934"/>
        <v>-0.12206622755345081</v>
      </c>
      <c r="H210" s="139"/>
      <c r="I210" s="86"/>
      <c r="J210" s="79">
        <f t="shared" si="930"/>
        <v>4.1429999999999998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-0.97888315803710846</v>
      </c>
      <c r="F211" s="170">
        <f t="shared" si="934"/>
        <v>0.19012806851106162</v>
      </c>
      <c r="G211" s="170">
        <f t="shared" si="934"/>
        <v>-7.5093811166770608E-2</v>
      </c>
      <c r="H211" s="139"/>
      <c r="I211" s="86"/>
      <c r="J211" s="79">
        <f t="shared" si="930"/>
        <v>4.1500000000000004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-0.929660643228304</v>
      </c>
      <c r="F212" s="170">
        <f t="shared" si="934"/>
        <v>0.36841700345168565</v>
      </c>
      <c r="G212" s="170">
        <f t="shared" si="934"/>
        <v>-1.3008419249321492E-7</v>
      </c>
      <c r="H212" s="139"/>
      <c r="I212" s="86"/>
      <c r="J212" s="79">
        <f t="shared" si="930"/>
        <v>4.157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-1.8139383437217444E-3</v>
      </c>
      <c r="F213" s="170">
        <f t="shared" si="934"/>
        <v>0.19508186108211301</v>
      </c>
      <c r="G213" s="170">
        <f t="shared" si="934"/>
        <v>-0.98078528593389103</v>
      </c>
      <c r="H213" s="139"/>
      <c r="I213" s="86"/>
      <c r="J213" s="79">
        <f t="shared" si="930"/>
        <v>4.2220000000000004</v>
      </c>
    </row>
    <row r="214" spans="5:21" x14ac:dyDescent="0.25">
      <c r="E214" s="170">
        <f t="shared" ref="E214:G233" si="935">E69*-1</f>
        <v>-0.95019279970645032</v>
      </c>
      <c r="F214" s="170">
        <f t="shared" si="935"/>
        <v>0.1757720111216772</v>
      </c>
      <c r="G214" s="170">
        <f t="shared" si="935"/>
        <v>-0.25736713755306567</v>
      </c>
      <c r="H214" s="139"/>
      <c r="I214" s="86"/>
      <c r="J214" s="79">
        <f t="shared" si="930"/>
        <v>4.2290000000000001</v>
      </c>
    </row>
    <row r="215" spans="5:21" x14ac:dyDescent="0.25">
      <c r="E215" s="170">
        <f t="shared" si="935"/>
        <v>-0.94924676230981064</v>
      </c>
      <c r="F215" s="170">
        <f t="shared" si="935"/>
        <v>0.23728550062238429</v>
      </c>
      <c r="G215" s="170">
        <f t="shared" si="935"/>
        <v>-0.2064610748754509</v>
      </c>
      <c r="H215" s="139"/>
      <c r="I215" s="86"/>
      <c r="J215" s="79">
        <f t="shared" si="930"/>
        <v>4.2359999999999998</v>
      </c>
    </row>
    <row r="216" spans="5:21" x14ac:dyDescent="0.25">
      <c r="E216" s="170">
        <f t="shared" si="935"/>
        <v>-0.94098308223551119</v>
      </c>
      <c r="F216" s="170">
        <f t="shared" si="935"/>
        <v>0.30443768196153509</v>
      </c>
      <c r="G216" s="170">
        <f t="shared" si="935"/>
        <v>-0.14788014318509535</v>
      </c>
      <c r="H216" s="139"/>
      <c r="I216" s="86"/>
      <c r="J216" s="79">
        <f t="shared" si="930"/>
        <v>4.2430000000000003</v>
      </c>
      <c r="M216" t="s">
        <v>391</v>
      </c>
    </row>
    <row r="217" spans="5:21" x14ac:dyDescent="0.25">
      <c r="E217" s="170">
        <f t="shared" si="935"/>
        <v>-0.90900565945683776</v>
      </c>
      <c r="F217" s="170">
        <f t="shared" si="935"/>
        <v>0.40640542031265686</v>
      </c>
      <c r="G217" s="170">
        <f t="shared" si="935"/>
        <v>-9.2430219170639039E-2</v>
      </c>
      <c r="H217" s="139"/>
      <c r="I217" s="86"/>
      <c r="J217" s="79">
        <f t="shared" si="930"/>
        <v>4.25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4.1441664631389125E-2</v>
      </c>
      <c r="F218" s="170">
        <f t="shared" si="935"/>
        <v>0.99914092521151798</v>
      </c>
      <c r="G218" s="170">
        <f t="shared" si="935"/>
        <v>-2.2679489611301554E-7</v>
      </c>
      <c r="H218" s="139"/>
      <c r="I218" s="86"/>
      <c r="J218" s="79">
        <f t="shared" si="930"/>
        <v>4.2569999999999997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-0.80240123924886197</v>
      </c>
      <c r="F219" s="170">
        <f t="shared" si="935"/>
        <v>0.54189691604529522</v>
      </c>
      <c r="G219" s="170">
        <f t="shared" si="935"/>
        <v>-0.24999996726497561</v>
      </c>
      <c r="H219" s="139"/>
      <c r="I219" s="86"/>
      <c r="J219" s="79">
        <f t="shared" ref="J219:J282" si="936">J74</f>
        <v>5.1020000000000003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-0.80240123924886197</v>
      </c>
      <c r="F220" s="170">
        <f t="shared" si="935"/>
        <v>0.54189691604529522</v>
      </c>
      <c r="G220" s="170">
        <f t="shared" si="935"/>
        <v>-0.24999996726497561</v>
      </c>
      <c r="H220" s="139"/>
      <c r="I220" s="86"/>
      <c r="J220" s="79">
        <f t="shared" si="936"/>
        <v>5.1050000000000004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-0.80240123924886197</v>
      </c>
      <c r="F221" s="170">
        <f t="shared" si="935"/>
        <v>0.54189691604529533</v>
      </c>
      <c r="G221" s="170">
        <f t="shared" si="935"/>
        <v>-0.24999996726497567</v>
      </c>
      <c r="H221" s="139"/>
      <c r="I221" s="86"/>
      <c r="J221" s="79">
        <f t="shared" si="936"/>
        <v>5.1079999999999997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-0.76282318085733836</v>
      </c>
      <c r="F222" s="170">
        <f t="shared" si="935"/>
        <v>0.59237089848528013</v>
      </c>
      <c r="G222" s="170">
        <f t="shared" si="935"/>
        <v>-0.25922483170875937</v>
      </c>
      <c r="H222" s="139"/>
      <c r="I222" s="86"/>
      <c r="J222" s="79">
        <f t="shared" si="936"/>
        <v>5.1139999999999999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-0.7010311960899398</v>
      </c>
      <c r="F223" s="170">
        <f t="shared" si="935"/>
        <v>0.6687890882029689</v>
      </c>
      <c r="G223" s="170">
        <f t="shared" si="935"/>
        <v>-0.24754073929224241</v>
      </c>
      <c r="H223" s="139"/>
      <c r="I223" s="86"/>
      <c r="J223" s="79">
        <f t="shared" si="936"/>
        <v>5.1210000000000004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-0.63680864316234043</v>
      </c>
      <c r="F224" s="170">
        <f t="shared" si="935"/>
        <v>0.7369605340578127</v>
      </c>
      <c r="G224" s="170">
        <f t="shared" si="935"/>
        <v>-0.22663610311458032</v>
      </c>
      <c r="H224" s="139"/>
      <c r="I224" s="86"/>
      <c r="J224" s="79">
        <f t="shared" si="936"/>
        <v>5.1280000000000001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-0.57759185431400961</v>
      </c>
      <c r="F225" s="170">
        <f t="shared" si="935"/>
        <v>0.79547641790066503</v>
      </c>
      <c r="G225" s="170">
        <f t="shared" si="935"/>
        <v>-0.18331644332691691</v>
      </c>
      <c r="H225" s="139"/>
      <c r="I225" s="86"/>
      <c r="J225" s="79">
        <f t="shared" si="936"/>
        <v>5.1349999999999998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-0.5166396181637104</v>
      </c>
      <c r="F226" s="170">
        <f t="shared" si="935"/>
        <v>0.84570157844420901</v>
      </c>
      <c r="G226" s="170">
        <f t="shared" si="935"/>
        <v>-0.13368749066621471</v>
      </c>
      <c r="H226" s="139"/>
      <c r="I226" s="86"/>
      <c r="J226" s="79">
        <f t="shared" si="936"/>
        <v>5.1420000000000003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-0.43836013071517421</v>
      </c>
      <c r="F227" s="170">
        <f t="shared" si="935"/>
        <v>0.89507618621759544</v>
      </c>
      <c r="G227" s="170">
        <f t="shared" si="935"/>
        <v>-8.1725251088876211E-2</v>
      </c>
      <c r="H227" s="139"/>
      <c r="I227" s="86"/>
      <c r="J227" s="79">
        <f t="shared" si="936"/>
        <v>5.149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-0.32156913987964991</v>
      </c>
      <c r="F228" s="170">
        <f t="shared" si="935"/>
        <v>0.94676624720411962</v>
      </c>
      <c r="G228" s="170">
        <f t="shared" si="935"/>
        <v>-1.5065239197905422E-2</v>
      </c>
      <c r="H228" s="139"/>
      <c r="I228" s="86"/>
      <c r="J228" s="79">
        <f t="shared" si="936"/>
        <v>5.1559999999999997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-0.24838533072969099</v>
      </c>
      <c r="F229" s="170">
        <f t="shared" si="935"/>
        <v>0.9686613068964226</v>
      </c>
      <c r="G229" s="170">
        <f t="shared" si="935"/>
        <v>-1.3008419230815257E-7</v>
      </c>
      <c r="H229" s="139"/>
      <c r="I229" s="86"/>
      <c r="J229" s="79">
        <f t="shared" si="936"/>
        <v>5.1630000000000003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-1.2333267363039402E-7</v>
      </c>
      <c r="F230" s="170">
        <f t="shared" si="935"/>
        <v>1.9032860204484621E-7</v>
      </c>
      <c r="G230" s="170">
        <f t="shared" si="935"/>
        <v>-0.99999999999997435</v>
      </c>
      <c r="H230" s="139"/>
      <c r="I230" s="86"/>
      <c r="J230" s="79">
        <f t="shared" si="936"/>
        <v>5.2140000000000004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0.13157714044581123</v>
      </c>
      <c r="F231" s="170">
        <f t="shared" si="935"/>
        <v>9.6179217396628713E-2</v>
      </c>
      <c r="G231" s="170">
        <f t="shared" si="935"/>
        <v>-0.98662911686868204</v>
      </c>
      <c r="H231" s="139"/>
      <c r="I231" s="86"/>
      <c r="J231" s="79">
        <f t="shared" si="936"/>
        <v>5.2210000000000001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-0.42214553649177639</v>
      </c>
      <c r="F232" s="170">
        <f t="shared" si="935"/>
        <v>0.86692018239125435</v>
      </c>
      <c r="G232" s="170">
        <f t="shared" si="935"/>
        <v>-0.26503309865521479</v>
      </c>
      <c r="H232" s="139"/>
      <c r="I232" s="86"/>
      <c r="J232" s="79">
        <f t="shared" si="936"/>
        <v>5.2279999999999998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-0.37126527311071483</v>
      </c>
      <c r="F233" s="170">
        <f t="shared" si="935"/>
        <v>0.90284921881720681</v>
      </c>
      <c r="G233" s="170">
        <f t="shared" si="935"/>
        <v>-0.21685337226611398</v>
      </c>
      <c r="H233" s="139"/>
      <c r="I233" s="86"/>
      <c r="J233" s="79">
        <f t="shared" si="936"/>
        <v>5.2350000000000003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-0.31080308096432102</v>
      </c>
      <c r="F234" s="170">
        <f t="shared" si="937"/>
        <v>0.936820909888742</v>
      </c>
      <c r="G234" s="170">
        <f t="shared" si="937"/>
        <v>-0.16052422763656327</v>
      </c>
      <c r="H234" s="139"/>
      <c r="I234" s="86"/>
      <c r="J234" s="79">
        <f t="shared" si="936"/>
        <v>5.242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-0.22471162690377436</v>
      </c>
      <c r="F235" s="170">
        <f t="shared" si="937"/>
        <v>0.96924427759935516</v>
      </c>
      <c r="G235" s="170">
        <f t="shared" si="937"/>
        <v>-0.10035046126034103</v>
      </c>
      <c r="H235" s="139"/>
      <c r="I235" s="86"/>
      <c r="J235" s="79">
        <f t="shared" si="936"/>
        <v>5.2489999999999997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-8.9467348221575524E-2</v>
      </c>
      <c r="F236" s="170">
        <f t="shared" si="937"/>
        <v>0.99568461816068643</v>
      </c>
      <c r="G236" s="170">
        <f t="shared" si="937"/>
        <v>-2.4652276982209141E-2</v>
      </c>
      <c r="H236" s="139"/>
      <c r="I236" s="86"/>
      <c r="J236" s="79">
        <f t="shared" si="936"/>
        <v>5.2560000000000002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0.83268071221934781</v>
      </c>
      <c r="F237" s="170">
        <f t="shared" si="937"/>
        <v>0.55375340314785271</v>
      </c>
      <c r="G237" s="170">
        <f t="shared" si="937"/>
        <v>-2.2679489648887492E-7</v>
      </c>
      <c r="H237" s="139"/>
      <c r="I237" s="86"/>
      <c r="J237" s="79">
        <f t="shared" si="936"/>
        <v>5.2629999999999999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-0.1187020587241394</v>
      </c>
      <c r="F238" s="170">
        <f t="shared" si="937"/>
        <v>0.95872379391542528</v>
      </c>
      <c r="G238" s="170">
        <f t="shared" si="937"/>
        <v>-0.25837667896902827</v>
      </c>
      <c r="H238" s="139"/>
      <c r="I238" s="86"/>
      <c r="J238" s="79">
        <f t="shared" si="936"/>
        <v>6.1130000000000004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-1.9238964498132879E-2</v>
      </c>
      <c r="F239" s="170">
        <f t="shared" si="937"/>
        <v>0.96783227959369178</v>
      </c>
      <c r="G239" s="170">
        <f t="shared" si="937"/>
        <v>-0.25085960380562983</v>
      </c>
      <c r="H239" s="139"/>
      <c r="I239" s="86"/>
      <c r="J239" s="79">
        <f t="shared" si="936"/>
        <v>6.12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7.5747931847437042E-2</v>
      </c>
      <c r="F240" s="170">
        <f t="shared" si="937"/>
        <v>0.96944436894583297</v>
      </c>
      <c r="G240" s="170">
        <f t="shared" si="937"/>
        <v>-0.23332352290339664</v>
      </c>
      <c r="H240" s="139"/>
      <c r="I240" s="86"/>
      <c r="J240" s="79">
        <f t="shared" si="936"/>
        <v>6.1269999999999998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0.16139268779654792</v>
      </c>
      <c r="F241" s="170">
        <f t="shared" si="937"/>
        <v>0.96789644558032228</v>
      </c>
      <c r="G241" s="170">
        <f t="shared" si="937"/>
        <v>-0.19268853354256565</v>
      </c>
      <c r="H241" s="139"/>
      <c r="I241" s="86"/>
      <c r="J241" s="79">
        <f t="shared" si="936"/>
        <v>6.1340000000000003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0.2427499689443226</v>
      </c>
      <c r="F242" s="170">
        <f t="shared" si="937"/>
        <v>0.95916849812632832</v>
      </c>
      <c r="G242" s="170">
        <f t="shared" si="937"/>
        <v>-0.14514904333000031</v>
      </c>
      <c r="H242" s="139"/>
      <c r="I242" s="86"/>
      <c r="J242" s="79">
        <f t="shared" si="936"/>
        <v>6.141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0.32126092162764436</v>
      </c>
      <c r="F243" s="170">
        <f t="shared" si="937"/>
        <v>0.9429445656881067</v>
      </c>
      <c r="G243" s="170">
        <f t="shared" si="937"/>
        <v>-8.7446934047023916E-2</v>
      </c>
      <c r="H243" s="139"/>
      <c r="I243" s="86"/>
      <c r="J243" s="79">
        <f t="shared" si="936"/>
        <v>6.1479999999999997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0.44185596686917411</v>
      </c>
      <c r="F244" s="170">
        <f t="shared" si="937"/>
        <v>0.89666571278583307</v>
      </c>
      <c r="G244" s="170">
        <f t="shared" si="937"/>
        <v>-2.7457313349658868E-2</v>
      </c>
      <c r="H244" s="139"/>
      <c r="I244" s="86"/>
      <c r="J244" s="79">
        <f t="shared" si="936"/>
        <v>6.1550000000000002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0.52425358329717764</v>
      </c>
      <c r="F245" s="170">
        <f t="shared" si="937"/>
        <v>0.85156219995961091</v>
      </c>
      <c r="G245" s="170">
        <f t="shared" si="937"/>
        <v>-1.3008419226882965E-7</v>
      </c>
      <c r="H245" s="139"/>
      <c r="I245" s="86"/>
      <c r="J245" s="79">
        <f t="shared" si="936"/>
        <v>6.1619999999999999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0.1284445615882325</v>
      </c>
      <c r="F246" s="170">
        <f t="shared" si="937"/>
        <v>-2.321802236095067E-2</v>
      </c>
      <c r="G246" s="170">
        <f t="shared" si="937"/>
        <v>-0.99144486384067432</v>
      </c>
      <c r="H246" s="139"/>
      <c r="I246" s="86"/>
      <c r="J246" s="79">
        <f t="shared" si="936"/>
        <v>6.22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0.32268710509887372</v>
      </c>
      <c r="F247" s="170">
        <f t="shared" si="937"/>
        <v>0.90651250388375781</v>
      </c>
      <c r="G247" s="170">
        <f t="shared" si="937"/>
        <v>-0.27222805238496001</v>
      </c>
      <c r="H247" s="139"/>
      <c r="I247" s="86"/>
      <c r="J247" s="79">
        <f t="shared" si="936"/>
        <v>6.2270000000000003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0.3842669367816644</v>
      </c>
      <c r="F248" s="170">
        <f t="shared" si="937"/>
        <v>0.89487884983248289</v>
      </c>
      <c r="G248" s="170">
        <f t="shared" si="937"/>
        <v>-0.22700388855464371</v>
      </c>
      <c r="H248" s="139"/>
      <c r="I248" s="86"/>
      <c r="J248" s="79">
        <f t="shared" si="936"/>
        <v>6.234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0.45237654094079061</v>
      </c>
      <c r="F249" s="170">
        <f t="shared" si="937"/>
        <v>0.87489144623781212</v>
      </c>
      <c r="G249" s="170">
        <f t="shared" si="937"/>
        <v>-0.17297520777948175</v>
      </c>
      <c r="H249" s="139"/>
      <c r="I249" s="86"/>
      <c r="J249" s="79">
        <f t="shared" si="936"/>
        <v>6.2409999999999997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0.52399655111715626</v>
      </c>
      <c r="F250" s="170">
        <f t="shared" si="937"/>
        <v>0.84492690870086773</v>
      </c>
      <c r="G250" s="170">
        <f t="shared" si="937"/>
        <v>-0.1073598312709233</v>
      </c>
      <c r="H250" s="139"/>
      <c r="I250" s="86"/>
      <c r="J250" s="79">
        <f t="shared" si="936"/>
        <v>6.2480000000000002</v>
      </c>
    </row>
    <row r="251" spans="5:21" x14ac:dyDescent="0.25">
      <c r="E251" s="170">
        <f t="shared" si="937"/>
        <v>0.63905513276586778</v>
      </c>
      <c r="F251" s="170">
        <f t="shared" si="937"/>
        <v>0.76820581764265605</v>
      </c>
      <c r="G251" s="170">
        <f t="shared" si="937"/>
        <v>-3.8319173080554159E-2</v>
      </c>
      <c r="H251" s="139"/>
      <c r="I251" s="86"/>
      <c r="J251" s="79">
        <f t="shared" si="936"/>
        <v>6.2549999999999999</v>
      </c>
    </row>
    <row r="252" spans="5:21" x14ac:dyDescent="0.25">
      <c r="E252" s="170">
        <f t="shared" si="937"/>
        <v>0.9767655139625131</v>
      </c>
      <c r="F252" s="170">
        <f t="shared" si="937"/>
        <v>-0.21431082738279059</v>
      </c>
      <c r="G252" s="170">
        <f t="shared" si="937"/>
        <v>-2.2679489620620168E-7</v>
      </c>
      <c r="H252" s="139"/>
      <c r="I252" s="86"/>
      <c r="J252" s="79">
        <f t="shared" si="936"/>
        <v>6.2619999999999996</v>
      </c>
    </row>
    <row r="253" spans="5:21" x14ac:dyDescent="0.25">
      <c r="E253" s="170">
        <f t="shared" si="937"/>
        <v>0.60900559467952842</v>
      </c>
      <c r="F253" s="170">
        <f t="shared" si="937"/>
        <v>0.75044988818074421</v>
      </c>
      <c r="G253" s="170">
        <f t="shared" si="937"/>
        <v>-0.25678230269732905</v>
      </c>
      <c r="H253" s="139"/>
      <c r="I253" s="86"/>
      <c r="J253" s="79">
        <f t="shared" si="936"/>
        <v>7.1120000000000001</v>
      </c>
    </row>
    <row r="254" spans="5:21" x14ac:dyDescent="0.25">
      <c r="E254" s="170">
        <f t="shared" ref="E254:G273" si="938">E109*-1</f>
        <v>0.68471024673933945</v>
      </c>
      <c r="F254" s="170">
        <f t="shared" si="938"/>
        <v>0.68325412449504741</v>
      </c>
      <c r="G254" s="170">
        <f t="shared" si="938"/>
        <v>-0.25364478975657945</v>
      </c>
      <c r="H254" s="139"/>
      <c r="I254" s="86"/>
      <c r="J254" s="79">
        <f t="shared" si="936"/>
        <v>7.1189999999999998</v>
      </c>
    </row>
    <row r="255" spans="5:21" x14ac:dyDescent="0.25">
      <c r="E255" s="170">
        <f t="shared" si="938"/>
        <v>0.75174739704138516</v>
      </c>
      <c r="F255" s="170">
        <f t="shared" si="938"/>
        <v>0.61437777622880696</v>
      </c>
      <c r="G255" s="170">
        <f t="shared" si="938"/>
        <v>-0.23961594086714708</v>
      </c>
      <c r="H255" s="139"/>
      <c r="I255" s="86"/>
      <c r="J255" s="79">
        <f t="shared" si="936"/>
        <v>7.1260000000000003</v>
      </c>
    </row>
    <row r="256" spans="5:21" x14ac:dyDescent="0.25">
      <c r="E256" s="170">
        <f t="shared" si="938"/>
        <v>0.81094019173088472</v>
      </c>
      <c r="F256" s="170">
        <f t="shared" si="938"/>
        <v>0.54925364819753986</v>
      </c>
      <c r="G256" s="170">
        <f t="shared" si="938"/>
        <v>-0.2017335752351827</v>
      </c>
      <c r="H256" s="139"/>
      <c r="I256" s="86"/>
      <c r="J256" s="79">
        <f t="shared" si="936"/>
        <v>7.133</v>
      </c>
    </row>
    <row r="257" spans="5:10" x14ac:dyDescent="0.25">
      <c r="E257" s="170">
        <f t="shared" si="938"/>
        <v>0.85734530578831425</v>
      </c>
      <c r="F257" s="170">
        <f t="shared" si="938"/>
        <v>0.49393553145663333</v>
      </c>
      <c r="G257" s="170">
        <f t="shared" si="938"/>
        <v>-0.14486793091431663</v>
      </c>
      <c r="H257" s="139"/>
      <c r="I257" s="86"/>
      <c r="J257" s="79">
        <f t="shared" si="936"/>
        <v>7.14</v>
      </c>
    </row>
    <row r="258" spans="5:10" x14ac:dyDescent="0.25">
      <c r="E258" s="170">
        <f t="shared" si="938"/>
        <v>0.90036364962605153</v>
      </c>
      <c r="F258" s="170">
        <f t="shared" si="938"/>
        <v>0.42527569527824716</v>
      </c>
      <c r="G258" s="170">
        <f t="shared" si="938"/>
        <v>-9.2118844096419683E-2</v>
      </c>
      <c r="H258" s="139"/>
      <c r="I258" s="86"/>
      <c r="J258" s="79">
        <f t="shared" si="936"/>
        <v>7.1470000000000002</v>
      </c>
    </row>
    <row r="259" spans="5:10" x14ac:dyDescent="0.25">
      <c r="E259" s="170">
        <f t="shared" si="938"/>
        <v>0.95149874061891404</v>
      </c>
      <c r="F259" s="170">
        <f t="shared" si="938"/>
        <v>0.30518615297859347</v>
      </c>
      <c r="G259" s="170">
        <f t="shared" si="938"/>
        <v>-3.887876838002053E-2</v>
      </c>
      <c r="H259" s="139"/>
      <c r="I259" s="86"/>
      <c r="J259" s="79">
        <f t="shared" si="936"/>
        <v>7.1539999999999999</v>
      </c>
    </row>
    <row r="260" spans="5:10" x14ac:dyDescent="0.25">
      <c r="E260" s="170">
        <f t="shared" si="938"/>
        <v>0.98033322779146614</v>
      </c>
      <c r="F260" s="170">
        <f t="shared" si="938"/>
        <v>0.19734934124021941</v>
      </c>
      <c r="G260" s="170">
        <f t="shared" si="938"/>
        <v>-1.3008419209239779E-7</v>
      </c>
      <c r="H260" s="139"/>
      <c r="I260" s="86"/>
      <c r="J260" s="79">
        <f t="shared" si="936"/>
        <v>7.1609999999999996</v>
      </c>
    </row>
    <row r="261" spans="5:10" x14ac:dyDescent="0.25">
      <c r="E261" s="170">
        <f t="shared" si="938"/>
        <v>5.2444269832823451E-2</v>
      </c>
      <c r="F261" s="170">
        <f t="shared" si="938"/>
        <v>-8.2909516348960821E-2</v>
      </c>
      <c r="G261" s="170">
        <f t="shared" si="938"/>
        <v>-0.99517617066551767</v>
      </c>
      <c r="H261" s="139"/>
      <c r="I261" s="86"/>
      <c r="J261" s="79">
        <f t="shared" si="936"/>
        <v>7.2190000000000003</v>
      </c>
    </row>
    <row r="262" spans="5:10" x14ac:dyDescent="0.25">
      <c r="E262" s="170">
        <f t="shared" si="938"/>
        <v>0.87077023514487051</v>
      </c>
      <c r="F262" s="170">
        <f t="shared" si="938"/>
        <v>0.40487576198484565</v>
      </c>
      <c r="G262" s="170">
        <f t="shared" si="938"/>
        <v>-0.27898891544815485</v>
      </c>
      <c r="H262" s="139"/>
      <c r="I262" s="86"/>
      <c r="J262" s="79">
        <f t="shared" si="936"/>
        <v>7.226</v>
      </c>
    </row>
    <row r="263" spans="5:10" x14ac:dyDescent="0.25">
      <c r="E263" s="170">
        <f t="shared" si="938"/>
        <v>0.91191158360461755</v>
      </c>
      <c r="F263" s="170">
        <f t="shared" si="938"/>
        <v>0.33518525860291204</v>
      </c>
      <c r="G263" s="170">
        <f t="shared" si="938"/>
        <v>-0.23678704800520187</v>
      </c>
      <c r="H263" s="139"/>
      <c r="I263" s="86"/>
      <c r="J263" s="79">
        <f t="shared" si="936"/>
        <v>7.2329999999999997</v>
      </c>
    </row>
    <row r="264" spans="5:10" x14ac:dyDescent="0.25">
      <c r="E264" s="170">
        <f t="shared" si="938"/>
        <v>0.94277160166253715</v>
      </c>
      <c r="F264" s="170">
        <f t="shared" si="938"/>
        <v>0.28453680614420607</v>
      </c>
      <c r="G264" s="170">
        <f t="shared" si="938"/>
        <v>-0.17384048161434973</v>
      </c>
      <c r="H264" s="139"/>
      <c r="I264" s="86"/>
      <c r="J264" s="79">
        <f t="shared" si="936"/>
        <v>7.24</v>
      </c>
    </row>
    <row r="265" spans="5:10" x14ac:dyDescent="0.25">
      <c r="E265" s="170">
        <f t="shared" si="938"/>
        <v>0.97063892023379739</v>
      </c>
      <c r="F265" s="170">
        <f t="shared" si="938"/>
        <v>0.21218484075285482</v>
      </c>
      <c r="G265" s="170">
        <f t="shared" si="938"/>
        <v>-0.11330348574538165</v>
      </c>
      <c r="H265" s="139"/>
      <c r="I265" s="86"/>
      <c r="J265" s="79">
        <f t="shared" si="936"/>
        <v>7.2469999999999999</v>
      </c>
    </row>
    <row r="266" spans="5:10" x14ac:dyDescent="0.25">
      <c r="E266" s="170">
        <f t="shared" si="938"/>
        <v>0.99580335265150666</v>
      </c>
      <c r="F266" s="170">
        <f t="shared" si="938"/>
        <v>7.5970784390196069E-2</v>
      </c>
      <c r="G266" s="170">
        <f t="shared" si="938"/>
        <v>-5.1030606180578988E-2</v>
      </c>
      <c r="H266" s="139"/>
      <c r="I266" s="86"/>
      <c r="J266" s="79">
        <f t="shared" si="936"/>
        <v>7.2539999999999996</v>
      </c>
    </row>
    <row r="267" spans="5:10" x14ac:dyDescent="0.25">
      <c r="E267" s="170">
        <f t="shared" si="938"/>
        <v>0.50941556370234198</v>
      </c>
      <c r="F267" s="170">
        <f t="shared" si="938"/>
        <v>-0.86052064673532036</v>
      </c>
      <c r="G267" s="170">
        <f t="shared" si="938"/>
        <v>-2.2679489729586595E-7</v>
      </c>
      <c r="H267" s="139"/>
      <c r="I267" s="86"/>
      <c r="J267" s="79">
        <f t="shared" si="936"/>
        <v>7.2610000000000001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1.1459999999999999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1.153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1.1599999999999999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1.218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1.2250000000000001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1.2390000000000001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1.246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1.2529999999999999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1.26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2.117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2.1240000000000001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2.1309999999999998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2.145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2.1520000000000001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2.1589999999999998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2.2170000000000001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2.2240000000000002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2.2309999999999999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2.238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2.2450000000000001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2.2519999999999998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2.2589999999999999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3.1030000000000002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3.1059999999999999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3.109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3.1160000000000001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3.1230000000000002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3.137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3.1440000000000001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3.1509999999999998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3.1579999999999999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3.2090000000000001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3.2160000000000002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3.23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3.2370000000000001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3.2440000000000002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3.2509999999999999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3.258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4.1150000000000002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4.1219999999999999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4.1289999999999996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4.1360000000000001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4.1429999999999998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4.1500000000000004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4.157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4.2220000000000004</v>
      </c>
      <c r="N223" s="869" t="str">
        <f>Assy.Model!K68</f>
        <v>CPS-32193r1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4.2290000000000001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4.2359999999999998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4.2430000000000003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4.25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4.2569999999999997</v>
      </c>
      <c r="N228" s="869" t="str">
        <f>Assy.Model!K73</f>
        <v>CPS-32193r1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5.1020000000000003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5.1050000000000004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5.1079999999999997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5.1139999999999999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5.1210000000000004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5.1280000000000001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5.1349999999999998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5.1420000000000003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5.149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5.1559999999999997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5.1630000000000003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5.2140000000000004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5.2210000000000001</v>
      </c>
      <c r="N241" s="869" t="str">
        <f>Assy.Model!K86</f>
        <v>CPS-32193r1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5.2279999999999998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5.2350000000000003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5.242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5.2489999999999997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5.2560000000000002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5.2629999999999999</v>
      </c>
      <c r="N247" s="869" t="str">
        <f>Assy.Model!K92</f>
        <v>CPS-32193r1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6.1130000000000004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6.12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6.1269999999999998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6.1340000000000003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6.141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6.1479999999999997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6.1550000000000002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6.1619999999999999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6.22</v>
      </c>
      <c r="N256" s="869" t="str">
        <f>Assy.Model!K101</f>
        <v>CPS-32193r1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6.2270000000000003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6.234</v>
      </c>
      <c r="N258" s="869">
        <f>Assy.Model!K103</f>
        <v>1313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6.2409999999999997</v>
      </c>
      <c r="N259" s="869">
        <f>Assy.Model!K104</f>
        <v>1313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6.2480000000000002</v>
      </c>
      <c r="N260" s="869">
        <f>Assy.Model!K105</f>
        <v>1313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6.2549999999999999</v>
      </c>
      <c r="N261" s="869">
        <f>Assy.Model!K106</f>
        <v>1313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6.2619999999999996</v>
      </c>
      <c r="N262" s="869" t="str">
        <f>Assy.Model!K107</f>
        <v>CPS-32193r1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7.1120000000000001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7.1189999999999998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7.1260000000000003</v>
      </c>
      <c r="N265" s="869">
        <f>Assy.Model!K110</f>
        <v>1613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7.133</v>
      </c>
      <c r="N266" s="869">
        <f>Assy.Model!K111</f>
        <v>1613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7.14</v>
      </c>
      <c r="N267" s="869">
        <f>Assy.Model!K112</f>
        <v>1613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7.1470000000000002</v>
      </c>
      <c r="N268" s="869">
        <f>Assy.Model!K113</f>
        <v>1613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7.1539999999999999</v>
      </c>
      <c r="N269" s="869">
        <f>Assy.Model!K114</f>
        <v>1613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7.1609999999999996</v>
      </c>
      <c r="N270" s="869">
        <f>Assy.Model!K115</f>
        <v>1613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7.2190000000000003</v>
      </c>
      <c r="N271" s="869" t="str">
        <f>Assy.Model!K116</f>
        <v>CPS-32193r1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7.226</v>
      </c>
      <c r="N272" s="869">
        <f>Assy.Model!K117</f>
        <v>1313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7.2329999999999997</v>
      </c>
      <c r="N273" s="869">
        <f>Assy.Model!K118</f>
        <v>1313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7.24</v>
      </c>
      <c r="N274" s="869">
        <f>Assy.Model!K119</f>
        <v>1313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7.2469999999999999</v>
      </c>
      <c r="N275" s="869">
        <f>Assy.Model!K120</f>
        <v>1313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7.2539999999999996</v>
      </c>
      <c r="N276" s="869">
        <f>Assy.Model!K121</f>
        <v>1313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7.2610000000000001</v>
      </c>
      <c r="N277" s="869" t="str">
        <f>Assy.Model!K122</f>
        <v>CPS-32193r1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2023-03-28T19:30:56Z</dcterms:modified>
</cp:coreProperties>
</file>