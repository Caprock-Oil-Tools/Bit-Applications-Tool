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140\"/>
    </mc:Choice>
  </mc:AlternateContent>
  <xr:revisionPtr revIDLastSave="0" documentId="13_ncr:1_{0105384C-454D-448A-857B-627EF4D8C008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9" i="1" l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L6" i="1" l="1" a="1"/>
  <c r="L6" i="1" s="1"/>
  <c r="L2" i="1" a="1"/>
  <c r="L2" i="1" s="1"/>
  <c r="Q8" i="7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IK21" i="1"/>
  <c r="IK59" i="1"/>
  <c r="IR16" i="1"/>
  <c r="IK16" i="1"/>
  <c r="IW16" i="1"/>
  <c r="IN16" i="1"/>
  <c r="Q16" i="1"/>
  <c r="IR47" i="1"/>
  <c r="IW47" i="1"/>
  <c r="IN47" i="1"/>
  <c r="IK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Q68" i="1"/>
  <c r="IP68" i="1"/>
  <c r="IK68" i="1"/>
  <c r="IN68" i="1"/>
  <c r="IR68" i="1"/>
  <c r="IW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S69" i="1"/>
  <c r="IQ69" i="1"/>
  <c r="IN69" i="1"/>
  <c r="IR69" i="1"/>
  <c r="IW69" i="1"/>
  <c r="IV69" i="1"/>
  <c r="IX69" i="1"/>
  <c r="IU69" i="1"/>
  <c r="IE69" i="1" s="1"/>
  <c r="IP69" i="1"/>
  <c r="IK69" i="1"/>
  <c r="IT69" i="1"/>
  <c r="IY69" i="1"/>
  <c r="IL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S57" i="1"/>
  <c r="IR57" i="1"/>
  <c r="IK57" i="1"/>
  <c r="IT57" i="1"/>
  <c r="IW57" i="1"/>
  <c r="IQ57" i="1"/>
  <c r="IN57" i="1"/>
  <c r="IP57" i="1"/>
  <c r="IV57" i="1"/>
  <c r="IL57" i="1"/>
  <c r="IU57" i="1"/>
  <c r="IE57" i="1" s="1"/>
  <c r="IX57" i="1"/>
  <c r="IY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W38" i="1"/>
  <c r="IK38" i="1"/>
  <c r="IY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Q20" i="1"/>
  <c r="IP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L90" i="1"/>
  <c r="IT90" i="1"/>
  <c r="IK93" i="1"/>
  <c r="IN93" i="1"/>
  <c r="IW93" i="1"/>
  <c r="IR93" i="1"/>
  <c r="IK58" i="1"/>
  <c r="IW58" i="1"/>
  <c r="IN58" i="1"/>
  <c r="IR58" i="1"/>
  <c r="IX56" i="1"/>
  <c r="IY56" i="1"/>
  <c r="IS56" i="1"/>
  <c r="IL56" i="1"/>
  <c r="IT56" i="1"/>
  <c r="IQ56" i="1"/>
  <c r="IP56" i="1"/>
  <c r="IW56" i="1"/>
  <c r="IV56" i="1"/>
  <c r="IR56" i="1"/>
  <c r="IN56" i="1"/>
  <c r="IU56" i="1"/>
  <c r="IE56" i="1" s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W85" i="1"/>
  <c r="IP85" i="1"/>
  <c r="IV85" i="1"/>
  <c r="IL85" i="1"/>
  <c r="IY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Q37" i="1"/>
  <c r="IP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L49" i="1"/>
  <c r="IK49" i="1"/>
  <c r="IT49" i="1"/>
  <c r="IS49" i="1"/>
  <c r="IR49" i="1"/>
  <c r="IQ49" i="1"/>
  <c r="IW49" i="1"/>
  <c r="IP49" i="1"/>
  <c r="IY49" i="1"/>
  <c r="IU49" i="1"/>
  <c r="IE49" i="1" s="1"/>
  <c r="IN49" i="1"/>
  <c r="IV49" i="1"/>
  <c r="IX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R31" i="1"/>
  <c r="IQ31" i="1"/>
  <c r="IP31" i="1"/>
  <c r="IK31" i="1"/>
  <c r="IN31" i="1"/>
  <c r="IW31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W55" i="1"/>
  <c r="IQ55" i="1"/>
  <c r="IN55" i="1"/>
  <c r="IV55" i="1"/>
  <c r="IP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Q74" i="1"/>
  <c r="IN74" i="1"/>
  <c r="IP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P86" i="1"/>
  <c r="IX86" i="1"/>
  <c r="IY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W11" i="1" l="1"/>
  <c r="IU11" i="1"/>
  <c r="IE11" i="1" s="1"/>
  <c r="IX11" i="1"/>
  <c r="IR11" i="1"/>
  <c r="IV11" i="1"/>
  <c r="IT11" i="1"/>
  <c r="IL11" i="1"/>
  <c r="IS11" i="1"/>
  <c r="IP11" i="1"/>
  <c r="IY11" i="1"/>
  <c r="IQ11" i="1"/>
  <c r="IN11" i="1"/>
  <c r="IK11" i="1"/>
  <c r="JA23" i="1" s="1" a="1"/>
  <c r="JA23" i="1" s="1"/>
  <c r="JA9" i="1" a="1"/>
  <c r="JA9" i="1" s="1"/>
  <c r="IF85" i="1"/>
  <c r="IF129" i="1"/>
  <c r="IF73" i="1"/>
  <c r="IF49" i="1"/>
  <c r="IF138" i="1"/>
  <c r="IF10" i="1"/>
  <c r="IF150" i="1"/>
  <c r="IF48" i="1"/>
  <c r="IF148" i="1"/>
  <c r="IF127" i="1"/>
  <c r="IF15" i="1"/>
  <c r="IF128" i="1"/>
  <c r="IF86" i="1"/>
  <c r="IF9" i="1"/>
  <c r="IF122" i="1"/>
  <c r="IF147" i="1"/>
  <c r="IF142" i="1"/>
  <c r="IF143" i="1"/>
  <c r="IF137" i="1"/>
  <c r="IF105" i="1"/>
  <c r="IF91" i="1"/>
  <c r="IF135" i="1"/>
  <c r="IF109" i="1"/>
  <c r="IF145" i="1"/>
  <c r="IF106" i="1"/>
  <c r="IF69" i="1"/>
  <c r="IF88" i="1"/>
  <c r="IF103" i="1"/>
  <c r="IF13" i="1"/>
  <c r="IF108" i="1"/>
  <c r="IF92" i="1"/>
  <c r="IF131" i="1"/>
  <c r="IF123" i="1"/>
  <c r="IF141" i="1"/>
  <c r="IF89" i="1"/>
  <c r="IF124" i="1"/>
  <c r="IF107" i="1"/>
  <c r="IF146" i="1"/>
  <c r="IF134" i="1"/>
  <c r="IF84" i="1"/>
  <c r="IF12" i="1"/>
  <c r="IF50" i="1"/>
  <c r="IF71" i="1"/>
  <c r="IF56" i="1"/>
  <c r="IF133" i="1"/>
  <c r="IF149" i="1"/>
  <c r="IF87" i="1"/>
  <c r="IF104" i="1"/>
  <c r="IF130" i="1"/>
  <c r="IF90" i="1"/>
  <c r="IF132" i="1"/>
  <c r="IF119" i="1"/>
  <c r="IF32" i="1"/>
  <c r="IF110" i="1"/>
  <c r="IF125" i="1"/>
  <c r="IF55" i="1"/>
  <c r="IF72" i="1"/>
  <c r="IF144" i="1"/>
  <c r="IF120" i="1"/>
  <c r="IF70" i="1"/>
  <c r="IF139" i="1"/>
  <c r="IF126" i="1"/>
  <c r="IF38" i="1"/>
  <c r="IF57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IQ75" i="1" s="1"/>
  <c r="O70" i="1"/>
  <c r="P71" i="1"/>
  <c r="S71" i="1" s="1"/>
  <c r="Y71" i="1" s="1"/>
  <c r="IQ77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IQ99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F11" i="1" l="1"/>
  <c r="JB10" i="1" a="1"/>
  <c r="JB10" i="1" s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Q76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IQ95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IV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GY21" i="1"/>
  <c r="EA21" i="1"/>
  <c r="AB40" i="1"/>
  <c r="O94" i="1"/>
  <c r="P66" i="1"/>
  <c r="S66" i="1" s="1"/>
  <c r="Y66" i="1" s="1"/>
  <c r="AA86" i="1"/>
  <c r="AD86" i="1" s="1"/>
  <c r="AH86" i="1" s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Q98" i="1" s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IQ96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94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IQ64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2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7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IQ98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Q78" i="1" s="1"/>
  <c r="O72" i="1"/>
  <c r="M199" i="7"/>
  <c r="P44" i="1"/>
  <c r="S44" i="1" s="1"/>
  <c r="Y44" i="1" s="1"/>
  <c r="IQ47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102" i="1" l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21" i="1"/>
  <c r="AQ9" i="1"/>
  <c r="IQ33" i="1"/>
  <c r="IQ45" i="1"/>
  <c r="IV29" i="1"/>
  <c r="IV118" i="1"/>
  <c r="IQ30" i="1"/>
  <c r="IV80" i="1"/>
  <c r="IQ101" i="1"/>
  <c r="IQ80" i="1"/>
  <c r="IV66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IQ16" i="1" s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AQ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IP47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IU47" i="1" s="1"/>
  <c r="IE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Q17" i="1" l="1"/>
  <c r="AQ37" i="1"/>
  <c r="IU37" i="1"/>
  <c r="IE37" i="1" s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L22" i="1" l="1"/>
  <c r="L15" i="1"/>
  <c r="JA9" i="7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IL23" i="1" s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47" i="1" l="1"/>
  <c r="IL16" i="1"/>
  <c r="IL46" i="1"/>
  <c r="IL37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IS37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S98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4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X47" i="1" s="1"/>
  <c r="AW47" i="7"/>
  <c r="AK55" i="1"/>
  <c r="AO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T99" i="1" s="1"/>
  <c r="U90" i="1"/>
  <c r="U89" i="1"/>
  <c r="AL89" i="1"/>
  <c r="AN89" i="1" s="1"/>
  <c r="IT98" i="1" s="1"/>
  <c r="T89" i="1"/>
  <c r="T88" i="1"/>
  <c r="AL88" i="1"/>
  <c r="AN88" i="1" s="1"/>
  <c r="IT97" i="1" s="1"/>
  <c r="AK88" i="1"/>
  <c r="U88" i="1"/>
  <c r="T87" i="1"/>
  <c r="AK87" i="1"/>
  <c r="AL87" i="1"/>
  <c r="AN87" i="1" s="1"/>
  <c r="IT96" i="1" s="1"/>
  <c r="U85" i="1"/>
  <c r="AL86" i="1"/>
  <c r="AN86" i="1" s="1"/>
  <c r="IT95" i="1" s="1"/>
  <c r="U86" i="1"/>
  <c r="AK86" i="1"/>
  <c r="T86" i="1"/>
  <c r="T85" i="1"/>
  <c r="AL85" i="1"/>
  <c r="AN85" i="1" s="1"/>
  <c r="IT94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IS77" i="1" s="1"/>
  <c r="AL71" i="1"/>
  <c r="AN71" i="1" s="1"/>
  <c r="IT77" i="1" s="1"/>
  <c r="AK72" i="1"/>
  <c r="T72" i="1"/>
  <c r="U72" i="1"/>
  <c r="AL72" i="1"/>
  <c r="AN72" i="1" s="1"/>
  <c r="IT78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IT47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IT37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IT20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Y78" i="1" l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T19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AP103" i="1"/>
  <c r="AP91" i="1"/>
  <c r="AO91" i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IS99" i="1" s="1"/>
  <c r="AP90" i="1"/>
  <c r="AO87" i="1"/>
  <c r="IS96" i="1" s="1"/>
  <c r="AP87" i="1"/>
  <c r="AO88" i="1"/>
  <c r="IS97" i="1" s="1"/>
  <c r="AP88" i="1"/>
  <c r="AP86" i="1"/>
  <c r="AO86" i="1"/>
  <c r="IS95" i="1" s="1"/>
  <c r="AP85" i="1"/>
  <c r="AP84" i="1"/>
  <c r="AO84" i="1"/>
  <c r="IS93" i="1" s="1"/>
  <c r="AP83" i="1"/>
  <c r="AO83" i="1"/>
  <c r="IX83" i="1" s="1"/>
  <c r="IF83" i="1" s="1"/>
  <c r="AO81" i="1"/>
  <c r="IX81" i="1" s="1"/>
  <c r="IF81" i="1" s="1"/>
  <c r="AP81" i="1"/>
  <c r="AO82" i="1"/>
  <c r="IX82" i="1" s="1"/>
  <c r="IF82" i="1" s="1"/>
  <c r="AP82" i="1"/>
  <c r="AO79" i="1"/>
  <c r="AP79" i="1"/>
  <c r="AP80" i="1"/>
  <c r="AO80" i="1"/>
  <c r="AO77" i="1"/>
  <c r="IX77" i="1" s="1"/>
  <c r="IF77" i="1" s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AP74" i="1"/>
  <c r="AO74" i="1"/>
  <c r="IX74" i="1" s="1"/>
  <c r="IF74" i="1" s="1"/>
  <c r="AP71" i="1"/>
  <c r="AO72" i="1"/>
  <c r="IS78" i="1" s="1"/>
  <c r="AP72" i="1"/>
  <c r="AO69" i="1"/>
  <c r="IS75" i="1" s="1"/>
  <c r="AP69" i="1"/>
  <c r="AP70" i="1"/>
  <c r="AO70" i="1"/>
  <c r="AO67" i="1"/>
  <c r="AP67" i="1"/>
  <c r="AO68" i="1"/>
  <c r="IX68" i="1" s="1"/>
  <c r="IF68" i="1" s="1"/>
  <c r="AP68" i="1"/>
  <c r="AO65" i="1"/>
  <c r="AP65" i="1"/>
  <c r="AP66" i="1"/>
  <c r="AO66" i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IT60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4" i="1" s="1"/>
  <c r="AN47" i="1"/>
  <c r="AP47" i="1"/>
  <c r="AO48" i="1"/>
  <c r="IS52" i="1" s="1"/>
  <c r="AP48" i="1"/>
  <c r="AP45" i="1"/>
  <c r="AO45" i="1"/>
  <c r="IX45" i="1" s="1"/>
  <c r="IF45" i="1" s="1"/>
  <c r="AP46" i="1"/>
  <c r="AO46" i="1"/>
  <c r="AP43" i="1"/>
  <c r="AO44" i="1"/>
  <c r="IS47" i="1" s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IX37" i="1" s="1"/>
  <c r="IF37" i="1" s="1"/>
  <c r="AO38" i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AP31" i="1"/>
  <c r="AO32" i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IS20" i="1" s="1"/>
  <c r="AP14" i="1"/>
  <c r="AP11" i="1"/>
  <c r="AO12" i="1"/>
  <c r="AP12" i="1"/>
  <c r="AO10" i="1"/>
  <c r="AP10" i="1"/>
  <c r="AN10" i="1"/>
  <c r="IT17" i="1" s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T29" i="1" l="1"/>
  <c r="IY47" i="1"/>
  <c r="IF47" i="1" s="1"/>
  <c r="IS51" i="1"/>
  <c r="IS46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JI30" i="1" a="1"/>
  <c r="JI30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<sst xmlns="http://schemas.openxmlformats.org/spreadsheetml/2006/main" count="734" uniqueCount="391">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</sst>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3" fontId="26" fillId="63" borderId="0" xfId="0" applyNumberFormat="1" applyFont="1" applyFill="1" applyAlignment="1">
      <alignment horizontal="center"/>
    </xf>
    <xf numFmtId="0" fontId="0" fillId="0" borderId="193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5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/>
    </xf>
    <xf numFmtId="0" fontId="0" fillId="0" borderId="22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0"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913" t="s">
        <v>77</v>
      </c>
      <c r="D1" s="913"/>
      <c r="E1" s="913"/>
      <c r="F1" s="913"/>
      <c r="G1" s="913"/>
      <c r="H1" s="913"/>
      <c r="I1" s="913"/>
      <c r="J1" s="913"/>
      <c r="K1" s="913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900" t="s">
        <v>80</v>
      </c>
      <c r="B6" s="900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9" t="s">
        <v>379</v>
      </c>
      <c r="AQ7" s="899"/>
      <c r="AR7" s="899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905">
        <v>9</v>
      </c>
      <c r="D9" s="875"/>
      <c r="E9" s="875"/>
      <c r="F9" s="875"/>
      <c r="G9" s="875"/>
      <c r="H9" s="875"/>
      <c r="I9" s="875"/>
      <c r="J9" s="875"/>
      <c r="K9" s="906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894"/>
      <c r="C10" s="895"/>
      <c r="D10" s="895"/>
      <c r="E10" s="895"/>
      <c r="F10" s="895"/>
      <c r="G10" s="895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911"/>
      <c r="B11" s="901" t="s">
        <v>33</v>
      </c>
      <c r="C11" s="910" t="s">
        <v>34</v>
      </c>
      <c r="D11" s="910"/>
      <c r="E11" s="907" t="s">
        <v>39</v>
      </c>
      <c r="F11" s="901" t="s">
        <v>35</v>
      </c>
      <c r="G11" s="901" t="s">
        <v>36</v>
      </c>
      <c r="H11" s="901" t="s">
        <v>43</v>
      </c>
      <c r="I11" s="908" t="s">
        <v>67</v>
      </c>
      <c r="J11" s="910" t="s">
        <v>56</v>
      </c>
      <c r="K11" s="910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874" t="s">
        <v>347</v>
      </c>
      <c r="AN11" s="875"/>
      <c r="AO11" s="875"/>
      <c r="AP11" s="875"/>
      <c r="AQ11" s="875"/>
      <c r="AR11" s="876"/>
      <c r="AS11" s="885" t="s">
        <v>354</v>
      </c>
      <c r="AT11" s="886"/>
      <c r="AU11" s="886"/>
      <c r="AV11" s="887"/>
      <c r="BC11" s="470"/>
    </row>
    <row r="12" spans="1:55" ht="15.75" thickBot="1" x14ac:dyDescent="0.3">
      <c r="A12" s="912"/>
      <c r="B12" s="902"/>
      <c r="C12" s="48" t="s">
        <v>8</v>
      </c>
      <c r="D12" s="49" t="s">
        <v>10</v>
      </c>
      <c r="E12" s="902"/>
      <c r="F12" s="902"/>
      <c r="G12" s="902"/>
      <c r="H12" s="902"/>
      <c r="I12" s="909"/>
      <c r="J12" s="53" t="s">
        <v>8</v>
      </c>
      <c r="K12" s="54" t="s">
        <v>10</v>
      </c>
      <c r="M12" s="31"/>
      <c r="N12" s="31"/>
      <c r="O12" s="922" t="s">
        <v>46</v>
      </c>
      <c r="P12" s="923"/>
      <c r="Q12" s="903" t="s">
        <v>45</v>
      </c>
      <c r="R12" s="904"/>
      <c r="S12" s="904"/>
      <c r="T12" s="904"/>
      <c r="U12" s="904"/>
      <c r="V12" s="904"/>
      <c r="W12" s="904"/>
      <c r="X12" s="904"/>
      <c r="Y12" s="904"/>
      <c r="Z12" s="904"/>
      <c r="AA12" s="904"/>
      <c r="AB12" s="904"/>
      <c r="AC12" s="904"/>
      <c r="AD12" s="904"/>
      <c r="AE12" s="905"/>
      <c r="AF12" s="916" t="s">
        <v>56</v>
      </c>
      <c r="AG12" s="917"/>
      <c r="AH12" s="31"/>
      <c r="AK12" s="880" t="s">
        <v>355</v>
      </c>
      <c r="AL12" s="896"/>
      <c r="AM12" s="877" t="s">
        <v>352</v>
      </c>
      <c r="AN12" s="878"/>
      <c r="AO12" s="879"/>
      <c r="AP12" s="880" t="s">
        <v>380</v>
      </c>
      <c r="AQ12" s="879"/>
      <c r="AR12" s="802" t="s">
        <v>378</v>
      </c>
      <c r="AS12" s="882" t="s">
        <v>352</v>
      </c>
      <c r="AT12" s="879"/>
      <c r="AU12" s="883" t="s">
        <v>353</v>
      </c>
      <c r="AV12" s="884"/>
      <c r="AW12" s="888" t="s">
        <v>351</v>
      </c>
      <c r="AX12" s="889"/>
      <c r="AZ12" s="880" t="s">
        <v>60</v>
      </c>
      <c r="BA12" s="879"/>
      <c r="BC12" s="881" t="s">
        <v>383</v>
      </c>
    </row>
    <row r="13" spans="1:55" ht="15.75" thickBot="1" x14ac:dyDescent="0.3">
      <c r="A13" s="64" t="s">
        <v>57</v>
      </c>
      <c r="B13" s="890" t="s">
        <v>97</v>
      </c>
      <c r="C13" s="892" t="str">
        <f>SUBSTITUTE(ADDRESS(1,COLUMN(Assy.Model!X9),4),"1","")</f>
        <v>X</v>
      </c>
      <c r="D13" s="101" t="str">
        <f>SUBSTITUTE(ADDRESS(1,COLUMN(Assy.Model!Y9),4),"1","")</f>
        <v>Y</v>
      </c>
      <c r="E13" s="897" t="str">
        <f>SUBSTITUTE(ADDRESS(1,COLUMN(Assy.Model!H9),4),"1","")</f>
        <v>H</v>
      </c>
      <c r="F13" s="897" t="str">
        <f>SUBSTITUTE(ADDRESS(1,COLUMN(Assy.Model!AN9),4),"1","")</f>
        <v>AN</v>
      </c>
      <c r="G13" s="897" t="str">
        <f>SUBSTITUTE(ADDRESS(1,COLUMN(Assy.Model!AO9),4),"1","")</f>
        <v>AO</v>
      </c>
      <c r="H13" s="897" t="str">
        <f>SUBSTITUTE(ADDRESS(1,COLUMN(Assy.Model!AO9),4),"1","")</f>
        <v>AO</v>
      </c>
      <c r="I13" s="897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924"/>
      <c r="P13" s="925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881"/>
    </row>
    <row r="14" spans="1:55" x14ac:dyDescent="0.25">
      <c r="A14" s="62" t="s">
        <v>58</v>
      </c>
      <c r="B14" s="891"/>
      <c r="C14" s="893"/>
      <c r="D14" s="102" t="str">
        <f>SUBSTITUTE(ADDRESS(1,COLUMN(Assy.Model!AT9),4),"1","")</f>
        <v>AT</v>
      </c>
      <c r="E14" s="898"/>
      <c r="F14" s="898"/>
      <c r="G14" s="898"/>
      <c r="H14" s="898"/>
      <c r="I14" s="898"/>
      <c r="J14" s="91">
        <v>0</v>
      </c>
      <c r="K14" s="92">
        <v>0</v>
      </c>
      <c r="L14" s="31"/>
      <c r="M14" s="190">
        <v>6.25E-2</v>
      </c>
      <c r="N14" s="31">
        <v>32</v>
      </c>
      <c r="O14" s="920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920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920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920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920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7.875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920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921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905" t="s">
        <v>64</v>
      </c>
      <c r="C21" s="875"/>
      <c r="D21" s="875"/>
      <c r="E21" s="875"/>
      <c r="F21" s="906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911"/>
      <c r="C22" s="905" t="s">
        <v>63</v>
      </c>
      <c r="D22" s="906"/>
      <c r="E22" s="908" t="s">
        <v>60</v>
      </c>
      <c r="F22" s="908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926"/>
      <c r="C23" s="57" t="s">
        <v>8</v>
      </c>
      <c r="D23" s="57" t="s">
        <v>9</v>
      </c>
      <c r="E23" s="909"/>
      <c r="F23" s="909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918">
        <v>0</v>
      </c>
      <c r="E24" s="918">
        <v>2</v>
      </c>
      <c r="F24" s="918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3.9375</v>
      </c>
      <c r="D25" s="919"/>
      <c r="E25" s="919"/>
      <c r="F25" s="919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914" t="s">
        <v>311</v>
      </c>
      <c r="C27" s="914"/>
      <c r="D27" s="914"/>
      <c r="E27" s="914"/>
      <c r="F27" s="914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915" t="s">
        <v>390</v>
      </c>
      <c r="C28" s="915"/>
      <c r="D28" s="915"/>
      <c r="E28" s="915"/>
      <c r="F28" s="915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75" t="s">
        <v>95</v>
      </c>
      <c r="D3" s="875"/>
      <c r="E3" s="875"/>
      <c r="F3" s="875"/>
      <c r="G3" s="875"/>
      <c r="H3" s="875"/>
      <c r="I3" s="875"/>
      <c r="J3" s="875"/>
      <c r="K3" s="876"/>
      <c r="L3" s="932"/>
      <c r="M3" s="875"/>
      <c r="N3" s="875"/>
      <c r="O3" s="875"/>
      <c r="P3" s="875"/>
      <c r="Q3" s="875"/>
      <c r="R3" s="906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54" t="s">
        <v>86</v>
      </c>
      <c r="C4" s="971" t="s">
        <v>82</v>
      </c>
      <c r="D4" s="875" t="s">
        <v>83</v>
      </c>
      <c r="E4" s="875"/>
      <c r="F4" s="875"/>
      <c r="G4" s="875"/>
      <c r="H4" s="875"/>
      <c r="I4" s="875"/>
      <c r="J4" s="875"/>
      <c r="K4" s="875"/>
      <c r="L4" s="150" t="s">
        <v>91</v>
      </c>
      <c r="M4" s="905" t="s">
        <v>94</v>
      </c>
      <c r="N4" s="875"/>
      <c r="O4" s="875"/>
      <c r="P4" s="876"/>
      <c r="Q4" s="875" t="s">
        <v>52</v>
      </c>
      <c r="R4" s="906"/>
      <c r="S4" s="107"/>
      <c r="T4" s="905">
        <v>350</v>
      </c>
      <c r="U4" s="875"/>
      <c r="V4" s="875" t="s">
        <v>76</v>
      </c>
      <c r="W4" s="875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55"/>
      <c r="C5" s="972"/>
      <c r="D5" s="960" t="s">
        <v>85</v>
      </c>
      <c r="E5" s="974" t="s">
        <v>89</v>
      </c>
      <c r="F5" s="910" t="s">
        <v>34</v>
      </c>
      <c r="G5" s="910"/>
      <c r="H5" s="907" t="s">
        <v>39</v>
      </c>
      <c r="I5" s="901" t="s">
        <v>35</v>
      </c>
      <c r="J5" s="901" t="s">
        <v>36</v>
      </c>
      <c r="K5" s="944" t="s">
        <v>67</v>
      </c>
      <c r="L5" s="151" t="s">
        <v>92</v>
      </c>
      <c r="M5" s="908" t="s">
        <v>90</v>
      </c>
      <c r="N5" s="908" t="s">
        <v>47</v>
      </c>
      <c r="O5" s="927" t="s">
        <v>84</v>
      </c>
      <c r="P5" s="928"/>
      <c r="Q5" s="929" t="s">
        <v>84</v>
      </c>
      <c r="R5" s="930"/>
      <c r="S5" s="107"/>
      <c r="T5" s="922" t="s">
        <v>46</v>
      </c>
      <c r="U5" s="933"/>
      <c r="V5" s="889" t="s">
        <v>45</v>
      </c>
      <c r="W5" s="917"/>
      <c r="X5" s="917"/>
      <c r="Y5" s="917"/>
      <c r="Z5" s="917"/>
      <c r="AA5" s="917"/>
      <c r="AB5" s="917"/>
      <c r="AC5" s="917"/>
      <c r="AD5" s="917"/>
      <c r="AE5" s="917"/>
      <c r="AF5" s="917"/>
      <c r="AG5" s="917"/>
      <c r="AH5" s="917"/>
      <c r="AI5" s="917"/>
      <c r="AJ5" s="917"/>
      <c r="AK5" s="31"/>
      <c r="AL5" s="31"/>
    </row>
    <row r="6" spans="2:38" ht="15" customHeight="1" thickBot="1" x14ac:dyDescent="0.3">
      <c r="B6" s="956"/>
      <c r="C6" s="973"/>
      <c r="D6" s="961"/>
      <c r="E6" s="975"/>
      <c r="F6" s="108" t="s">
        <v>8</v>
      </c>
      <c r="G6" s="109" t="s">
        <v>10</v>
      </c>
      <c r="H6" s="945"/>
      <c r="I6" s="945"/>
      <c r="J6" s="945"/>
      <c r="K6" s="934"/>
      <c r="L6" s="152" t="s">
        <v>93</v>
      </c>
      <c r="M6" s="931"/>
      <c r="N6" s="931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34"/>
      <c r="U6" s="935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62">
        <f>ROW(Assy.Model!B9)</f>
        <v>9</v>
      </c>
      <c r="D7" s="951" t="str">
        <f>SUBSTITUTE(ADDRESS(1,COLUMN(Assy.Model!B9),4),"1","")</f>
        <v>B</v>
      </c>
      <c r="E7" s="965" t="str">
        <f>SUBSTITUTE(ADDRESS(1,COLUMN(Assy.Model!M9),4),"1","")</f>
        <v>M</v>
      </c>
      <c r="F7" s="968" t="str">
        <f>SUBSTITUTE(ADDRESS(1,COLUMN(Assy.Model!X9),4),"1","")</f>
        <v>X</v>
      </c>
      <c r="G7" s="957" t="str">
        <f>SUBSTITUTE(ADDRESS(1,COLUMN(Assy.Model!AT9),4),"1","")</f>
        <v>AT</v>
      </c>
      <c r="H7" s="936" t="str">
        <f>SUBSTITUTE(ADDRESS(1,COLUMN(Assy.Model!H9),4),"1","")</f>
        <v>H</v>
      </c>
      <c r="I7" s="936" t="str">
        <f>SUBSTITUTE(ADDRESS(1,COLUMN(Assy.Model!AN9),4),"1","")</f>
        <v>AN</v>
      </c>
      <c r="J7" s="936" t="str">
        <f>SUBSTITUTE(ADDRESS(1,COLUMN(Assy.Model!AO9),4),"1","")</f>
        <v>AO</v>
      </c>
      <c r="K7" s="939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48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46" t="s">
        <v>81</v>
      </c>
      <c r="C8" s="963"/>
      <c r="D8" s="952"/>
      <c r="E8" s="966"/>
      <c r="F8" s="969"/>
      <c r="G8" s="958"/>
      <c r="H8" s="937"/>
      <c r="I8" s="937"/>
      <c r="J8" s="937"/>
      <c r="K8" s="940"/>
      <c r="L8" s="153" t="s">
        <v>93</v>
      </c>
      <c r="M8" s="942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49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46"/>
      <c r="C9" s="963"/>
      <c r="D9" s="952"/>
      <c r="E9" s="966"/>
      <c r="F9" s="969"/>
      <c r="G9" s="958"/>
      <c r="H9" s="937"/>
      <c r="I9" s="937"/>
      <c r="J9" s="937"/>
      <c r="K9" s="940"/>
      <c r="L9" s="153" t="s">
        <v>92</v>
      </c>
      <c r="M9" s="942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49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46"/>
      <c r="C10" s="963"/>
      <c r="D10" s="952"/>
      <c r="E10" s="966"/>
      <c r="F10" s="969"/>
      <c r="G10" s="958"/>
      <c r="H10" s="937"/>
      <c r="I10" s="937"/>
      <c r="J10" s="937"/>
      <c r="K10" s="940"/>
      <c r="L10" s="153" t="s">
        <v>92</v>
      </c>
      <c r="M10" s="942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49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46"/>
      <c r="C11" s="963"/>
      <c r="D11" s="952"/>
      <c r="E11" s="966"/>
      <c r="F11" s="969"/>
      <c r="G11" s="958"/>
      <c r="H11" s="937"/>
      <c r="I11" s="937"/>
      <c r="J11" s="937"/>
      <c r="K11" s="940"/>
      <c r="L11" s="153" t="s">
        <v>92</v>
      </c>
      <c r="M11" s="942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49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46"/>
      <c r="C12" s="963"/>
      <c r="D12" s="952"/>
      <c r="E12" s="966"/>
      <c r="F12" s="969"/>
      <c r="G12" s="958"/>
      <c r="H12" s="937"/>
      <c r="I12" s="937"/>
      <c r="J12" s="937"/>
      <c r="K12" s="940"/>
      <c r="L12" s="153" t="s">
        <v>92</v>
      </c>
      <c r="M12" s="942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49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46"/>
      <c r="C13" s="963"/>
      <c r="D13" s="952"/>
      <c r="E13" s="966"/>
      <c r="F13" s="969"/>
      <c r="G13" s="958"/>
      <c r="H13" s="937"/>
      <c r="I13" s="937"/>
      <c r="J13" s="937"/>
      <c r="K13" s="940"/>
      <c r="L13" s="153" t="s">
        <v>92</v>
      </c>
      <c r="M13" s="942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49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47"/>
      <c r="C14" s="964"/>
      <c r="D14" s="953"/>
      <c r="E14" s="967"/>
      <c r="F14" s="970"/>
      <c r="G14" s="959"/>
      <c r="H14" s="938"/>
      <c r="I14" s="938"/>
      <c r="J14" s="938"/>
      <c r="K14" s="941"/>
      <c r="L14" s="154" t="s">
        <v>93</v>
      </c>
      <c r="M14" s="943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50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1229" t="str">
        <f>CONCATENATE(Settings!$C$19," ",Settings!$B$28)</f>
        <v>7.875  Job# --- Assy# --- Post Braze --- yy.mm.dd</v>
      </c>
      <c r="D1" s="1229"/>
      <c r="E1" s="1229"/>
      <c r="F1" s="1229"/>
      <c r="G1" s="1229"/>
      <c r="H1" s="1229"/>
      <c r="I1" s="1229"/>
      <c r="J1" s="1229"/>
      <c r="K1" s="1229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240" t="s">
        <v>315</v>
      </c>
      <c r="C2" s="1241"/>
      <c r="D2" s="1241"/>
      <c r="E2" s="1241"/>
      <c r="F2" s="1241"/>
      <c r="G2" s="1241"/>
      <c r="H2" s="1241"/>
      <c r="I2" s="1241"/>
      <c r="J2" s="1241"/>
      <c r="K2" s="1242"/>
      <c r="L2" s="984" t="str" cm="1">
        <f t="array" ref="L2">IF(OR($K$9:$K$150="Undefined"),"Undefined Element","")</f>
        <v/>
      </c>
      <c r="M2" s="1248" t="s">
        <v>0</v>
      </c>
      <c r="N2" s="1142" t="s">
        <v>1</v>
      </c>
      <c r="O2" s="1143"/>
      <c r="P2" s="1143"/>
      <c r="Q2" s="1143"/>
      <c r="R2" s="1143"/>
      <c r="S2" s="1143"/>
      <c r="T2" s="1143"/>
      <c r="U2" s="1143"/>
      <c r="V2" s="1143"/>
      <c r="W2" s="1143"/>
      <c r="X2" s="1143"/>
      <c r="Y2" s="1155"/>
      <c r="Z2" s="1142" t="s">
        <v>2</v>
      </c>
      <c r="AA2" s="1143"/>
      <c r="AB2" s="1143"/>
      <c r="AC2" s="1143"/>
      <c r="AD2" s="1143"/>
      <c r="AE2" s="1143"/>
      <c r="AF2" s="1143"/>
      <c r="AG2" s="1143"/>
      <c r="AH2" s="1143"/>
      <c r="AI2" s="1143"/>
      <c r="AJ2" s="1143"/>
      <c r="AK2" s="1143"/>
      <c r="AL2" s="1143"/>
      <c r="AM2" s="1143"/>
      <c r="AN2" s="1143"/>
      <c r="AO2" s="1143"/>
      <c r="AP2" s="1143"/>
      <c r="AQ2" s="1144"/>
      <c r="AS2" s="1205" t="s">
        <v>44</v>
      </c>
      <c r="AT2" s="1206"/>
      <c r="AV2" s="1200" t="s">
        <v>0</v>
      </c>
      <c r="AW2" s="1142" t="s">
        <v>109</v>
      </c>
      <c r="AX2" s="1143"/>
      <c r="AY2" s="1143"/>
      <c r="AZ2" s="1143"/>
      <c r="BA2" s="1143"/>
      <c r="BB2" s="1143"/>
      <c r="BC2" s="1143"/>
      <c r="BD2" s="1143"/>
      <c r="BE2" s="1144"/>
      <c r="BF2" s="1154" t="s">
        <v>115</v>
      </c>
      <c r="BG2" s="1143"/>
      <c r="BH2" s="1143"/>
      <c r="BI2" s="1143"/>
      <c r="BJ2" s="1143"/>
      <c r="BK2" s="1143"/>
      <c r="BL2" s="1143"/>
      <c r="BM2" s="1143"/>
      <c r="BN2" s="1143"/>
      <c r="BO2" s="1143"/>
      <c r="BP2" s="1143"/>
      <c r="BQ2" s="1143"/>
      <c r="BR2" s="1143"/>
      <c r="BS2" s="1143"/>
      <c r="BT2" s="1143"/>
      <c r="BU2" s="1143"/>
      <c r="BV2" s="1143"/>
      <c r="BW2" s="1143"/>
      <c r="BX2" s="1143"/>
      <c r="BY2" s="1143"/>
      <c r="BZ2" s="1143"/>
      <c r="CA2" s="1143"/>
      <c r="CB2" s="1143"/>
      <c r="CC2" s="1143"/>
      <c r="CD2" s="1143"/>
      <c r="CE2" s="1143"/>
      <c r="CF2" s="1143"/>
      <c r="CG2" s="1143"/>
      <c r="CH2" s="1143"/>
      <c r="CI2" s="1143"/>
      <c r="CJ2" s="1143"/>
      <c r="CK2" s="1143"/>
      <c r="CL2" s="1143"/>
      <c r="CM2" s="1143"/>
      <c r="CN2" s="1143"/>
      <c r="CO2" s="1143"/>
      <c r="CP2" s="1143"/>
      <c r="CQ2" s="1143"/>
      <c r="CR2" s="1143"/>
      <c r="CS2" s="1143"/>
      <c r="CT2" s="1143"/>
      <c r="CU2" s="1143"/>
      <c r="CV2" s="1143"/>
      <c r="CW2" s="1143"/>
      <c r="CX2" s="1143"/>
      <c r="CY2" s="1143"/>
      <c r="CZ2" s="1143"/>
      <c r="DA2" s="1143"/>
      <c r="DB2" s="1143"/>
      <c r="DC2" s="1143"/>
      <c r="DD2" s="1143"/>
      <c r="DE2" s="1143"/>
      <c r="DF2" s="1143"/>
      <c r="DG2" s="1143"/>
      <c r="DH2" s="1143"/>
      <c r="DI2" s="1143"/>
      <c r="DJ2" s="1143"/>
      <c r="DK2" s="1143"/>
      <c r="DL2" s="1143"/>
      <c r="DM2" s="1143"/>
      <c r="DN2" s="1143"/>
      <c r="DO2" s="1143"/>
      <c r="DP2" s="1143"/>
      <c r="DQ2" s="1143"/>
      <c r="DR2" s="1143"/>
      <c r="DS2" s="1143"/>
      <c r="DT2" s="1143"/>
      <c r="DU2" s="1143"/>
      <c r="DV2" s="1143"/>
      <c r="DW2" s="1143"/>
      <c r="DX2" s="1143"/>
      <c r="DY2" s="1143"/>
      <c r="DZ2" s="1143"/>
      <c r="EA2" s="1143"/>
      <c r="EB2" s="1143"/>
      <c r="EC2" s="1143"/>
      <c r="ED2" s="1143"/>
      <c r="EE2" s="1143"/>
      <c r="EF2" s="1143"/>
      <c r="EG2" s="1143"/>
      <c r="EH2" s="1143"/>
      <c r="EI2" s="1143"/>
      <c r="EJ2" s="1143"/>
      <c r="EK2" s="1143"/>
      <c r="EL2" s="1143"/>
      <c r="EM2" s="1143"/>
      <c r="EN2" s="1143"/>
      <c r="EO2" s="1143"/>
      <c r="EP2" s="1143"/>
      <c r="EQ2" s="1143"/>
      <c r="ER2" s="1155"/>
      <c r="ES2" s="1045" t="s">
        <v>197</v>
      </c>
      <c r="ET2" s="1046"/>
      <c r="EU2" s="1046"/>
      <c r="EV2" s="1046"/>
      <c r="EW2" s="1046"/>
      <c r="EX2" s="1046"/>
      <c r="EY2" s="1046"/>
      <c r="EZ2" s="1046"/>
      <c r="FA2" s="1046"/>
      <c r="FB2" s="1046"/>
      <c r="FC2" s="1046"/>
      <c r="FD2" s="1046"/>
      <c r="FE2" s="1046"/>
      <c r="FF2" s="1047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032" t="s">
        <v>266</v>
      </c>
      <c r="HQ2" s="1073" t="str">
        <f>IFERROR(CONCATENATE("Sum of Lateral Forces = ",ROUND(HE3,0)," lbs @ ",ROUND(HF3,1),"° Relative to Blade 1"),"")</f>
        <v/>
      </c>
      <c r="HR2" s="1074"/>
      <c r="HS2" s="1074"/>
      <c r="HT2" s="1074"/>
      <c r="HU2" s="1074"/>
      <c r="HV2" s="1075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243"/>
      <c r="C3" s="1198"/>
      <c r="D3" s="1198"/>
      <c r="E3" s="1198"/>
      <c r="F3" s="1198"/>
      <c r="G3" s="1198"/>
      <c r="H3" s="1198"/>
      <c r="I3" s="1198"/>
      <c r="J3" s="1198"/>
      <c r="K3" s="1244"/>
      <c r="L3" s="984"/>
      <c r="M3" s="1243"/>
      <c r="N3" s="1145"/>
      <c r="O3" s="1146"/>
      <c r="P3" s="1146"/>
      <c r="Q3" s="1146"/>
      <c r="R3" s="1146"/>
      <c r="S3" s="1146"/>
      <c r="T3" s="1146"/>
      <c r="U3" s="1146"/>
      <c r="V3" s="1146"/>
      <c r="W3" s="1146"/>
      <c r="X3" s="1146"/>
      <c r="Y3" s="1202"/>
      <c r="Z3" s="1145"/>
      <c r="AA3" s="1146"/>
      <c r="AB3" s="1146"/>
      <c r="AC3" s="1146"/>
      <c r="AD3" s="1146"/>
      <c r="AE3" s="1146"/>
      <c r="AF3" s="1146"/>
      <c r="AG3" s="1146"/>
      <c r="AH3" s="1146"/>
      <c r="AI3" s="1146"/>
      <c r="AJ3" s="1146"/>
      <c r="AK3" s="1146"/>
      <c r="AL3" s="1146"/>
      <c r="AM3" s="1146"/>
      <c r="AN3" s="1146"/>
      <c r="AO3" s="1146"/>
      <c r="AP3" s="1146"/>
      <c r="AQ3" s="1147"/>
      <c r="AS3" s="466">
        <v>100</v>
      </c>
      <c r="AT3" s="463" t="s">
        <v>45</v>
      </c>
      <c r="AV3" s="1201"/>
      <c r="AW3" s="1048"/>
      <c r="AX3" s="1049"/>
      <c r="AY3" s="1049"/>
      <c r="AZ3" s="1049"/>
      <c r="BA3" s="1049"/>
      <c r="BB3" s="1049"/>
      <c r="BC3" s="1049"/>
      <c r="BD3" s="1049"/>
      <c r="BE3" s="1163"/>
      <c r="BF3" s="1156"/>
      <c r="BG3" s="1049"/>
      <c r="BH3" s="1049"/>
      <c r="BI3" s="1049"/>
      <c r="BJ3" s="1049"/>
      <c r="BK3" s="1049"/>
      <c r="BL3" s="1049"/>
      <c r="BM3" s="1049"/>
      <c r="BN3" s="1049"/>
      <c r="BO3" s="1049"/>
      <c r="BP3" s="1049"/>
      <c r="BQ3" s="1049"/>
      <c r="BR3" s="1049"/>
      <c r="BS3" s="1049"/>
      <c r="BT3" s="1049"/>
      <c r="BU3" s="1049"/>
      <c r="BV3" s="1049"/>
      <c r="BW3" s="1049"/>
      <c r="BX3" s="1049"/>
      <c r="BY3" s="1049"/>
      <c r="BZ3" s="1049"/>
      <c r="CA3" s="1049"/>
      <c r="CB3" s="1049"/>
      <c r="CC3" s="1049"/>
      <c r="CD3" s="1049"/>
      <c r="CE3" s="1049"/>
      <c r="CF3" s="1049"/>
      <c r="CG3" s="1049"/>
      <c r="CH3" s="1049"/>
      <c r="CI3" s="1049"/>
      <c r="CJ3" s="1049"/>
      <c r="CK3" s="1049"/>
      <c r="CL3" s="1049"/>
      <c r="CM3" s="1049"/>
      <c r="CN3" s="1049"/>
      <c r="CO3" s="1049"/>
      <c r="CP3" s="1049"/>
      <c r="CQ3" s="1049"/>
      <c r="CR3" s="1049"/>
      <c r="CS3" s="1049"/>
      <c r="CT3" s="1049"/>
      <c r="CU3" s="1049"/>
      <c r="CV3" s="1049"/>
      <c r="CW3" s="1049"/>
      <c r="CX3" s="1049"/>
      <c r="CY3" s="1049"/>
      <c r="CZ3" s="1049"/>
      <c r="DA3" s="1049"/>
      <c r="DB3" s="1049"/>
      <c r="DC3" s="1049"/>
      <c r="DD3" s="1049"/>
      <c r="DE3" s="1049"/>
      <c r="DF3" s="1049"/>
      <c r="DG3" s="1049"/>
      <c r="DH3" s="1049"/>
      <c r="DI3" s="1049"/>
      <c r="DJ3" s="1049"/>
      <c r="DK3" s="1049"/>
      <c r="DL3" s="1049"/>
      <c r="DM3" s="1049"/>
      <c r="DN3" s="1049"/>
      <c r="DO3" s="1049"/>
      <c r="DP3" s="1049"/>
      <c r="DQ3" s="1049"/>
      <c r="DR3" s="1049"/>
      <c r="DS3" s="1049"/>
      <c r="DT3" s="1049"/>
      <c r="DU3" s="1049"/>
      <c r="DV3" s="1049"/>
      <c r="DW3" s="1049"/>
      <c r="DX3" s="1049"/>
      <c r="DY3" s="1049"/>
      <c r="DZ3" s="1049"/>
      <c r="EA3" s="1049"/>
      <c r="EB3" s="1049"/>
      <c r="EC3" s="1049"/>
      <c r="ED3" s="1049"/>
      <c r="EE3" s="1049"/>
      <c r="EF3" s="1049"/>
      <c r="EG3" s="1049"/>
      <c r="EH3" s="1049"/>
      <c r="EI3" s="1049"/>
      <c r="EJ3" s="1049"/>
      <c r="EK3" s="1049"/>
      <c r="EL3" s="1049"/>
      <c r="EM3" s="1049"/>
      <c r="EN3" s="1049"/>
      <c r="EO3" s="1049"/>
      <c r="EP3" s="1049"/>
      <c r="EQ3" s="1049"/>
      <c r="ER3" s="1050"/>
      <c r="ES3" s="1048"/>
      <c r="ET3" s="1049"/>
      <c r="EU3" s="1049"/>
      <c r="EV3" s="1049"/>
      <c r="EW3" s="1049"/>
      <c r="EX3" s="1049"/>
      <c r="EY3" s="1049"/>
      <c r="EZ3" s="1049"/>
      <c r="FA3" s="1049"/>
      <c r="FB3" s="1049"/>
      <c r="FC3" s="1049"/>
      <c r="FD3" s="1049"/>
      <c r="FE3" s="1049"/>
      <c r="FF3" s="1050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033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245"/>
      <c r="C4" s="1246"/>
      <c r="D4" s="1246"/>
      <c r="E4" s="1246"/>
      <c r="F4" s="1246"/>
      <c r="G4" s="1246"/>
      <c r="H4" s="1246"/>
      <c r="I4" s="1246"/>
      <c r="J4" s="1246"/>
      <c r="K4" s="1247"/>
      <c r="L4" s="984"/>
      <c r="M4" s="1243"/>
      <c r="N4" s="1186" t="s">
        <v>3</v>
      </c>
      <c r="O4" s="1184"/>
      <c r="P4" s="1184"/>
      <c r="Q4" s="1183" t="s">
        <v>4</v>
      </c>
      <c r="R4" s="1184"/>
      <c r="S4" s="1185"/>
      <c r="T4" s="1258" t="str">
        <f>N4</f>
        <v>Cartesian Coordinates</v>
      </c>
      <c r="U4" s="1167"/>
      <c r="V4" s="1259"/>
      <c r="W4" s="1167" t="str">
        <f>$Q$4</f>
        <v>Polar XY; Cartesian Z</v>
      </c>
      <c r="X4" s="1167"/>
      <c r="Y4" s="1233"/>
      <c r="Z4" s="1186" t="s">
        <v>3</v>
      </c>
      <c r="AA4" s="1184"/>
      <c r="AB4" s="1184"/>
      <c r="AC4" s="1184"/>
      <c r="AD4" s="1184"/>
      <c r="AE4" s="1184"/>
      <c r="AF4" s="1184"/>
      <c r="AG4" s="1196" t="s">
        <v>31</v>
      </c>
      <c r="AH4" s="1184"/>
      <c r="AI4" s="1184"/>
      <c r="AJ4" s="1185"/>
      <c r="AK4" s="1148" t="s">
        <v>32</v>
      </c>
      <c r="AL4" s="1149"/>
      <c r="AM4" s="1149"/>
      <c r="AN4" s="1149"/>
      <c r="AO4" s="1149"/>
      <c r="AP4" s="1149"/>
      <c r="AQ4" s="1150"/>
      <c r="AS4" s="467">
        <v>125</v>
      </c>
      <c r="AT4" s="464" t="s">
        <v>46</v>
      </c>
      <c r="AV4" s="1201"/>
      <c r="AW4" s="1096" t="s">
        <v>112</v>
      </c>
      <c r="AX4" s="1000"/>
      <c r="AY4" s="923"/>
      <c r="AZ4" s="1161"/>
      <c r="BA4" s="1162"/>
      <c r="BB4" s="1164" t="s">
        <v>113</v>
      </c>
      <c r="BC4" s="1167" t="str">
        <f>$Q$4</f>
        <v>Polar XY; Cartesian Z</v>
      </c>
      <c r="BD4" s="1167"/>
      <c r="BE4" s="1168"/>
      <c r="BF4" s="1119" t="s">
        <v>129</v>
      </c>
      <c r="BG4" s="1120"/>
      <c r="BH4" s="1120"/>
      <c r="BI4" s="1120"/>
      <c r="BJ4" s="1120"/>
      <c r="BK4" s="1120"/>
      <c r="BL4" s="1120"/>
      <c r="BM4" s="1120"/>
      <c r="BN4" s="1120"/>
      <c r="BO4" s="1120"/>
      <c r="BP4" s="1120"/>
      <c r="BQ4" s="1120"/>
      <c r="BR4" s="1120"/>
      <c r="BS4" s="1120"/>
      <c r="BT4" s="1120"/>
      <c r="BU4" s="1120"/>
      <c r="BV4" s="1120"/>
      <c r="BW4" s="1120"/>
      <c r="BX4" s="1120"/>
      <c r="BY4" s="1120"/>
      <c r="BZ4" s="1120"/>
      <c r="CA4" s="1120"/>
      <c r="CB4" s="1120"/>
      <c r="CC4" s="1120"/>
      <c r="CD4" s="1120"/>
      <c r="CE4" s="1120"/>
      <c r="CF4" s="1120"/>
      <c r="CG4" s="1120"/>
      <c r="CH4" s="1120"/>
      <c r="CI4" s="1120"/>
      <c r="CJ4" s="1120"/>
      <c r="CK4" s="1120"/>
      <c r="CL4" s="1120"/>
      <c r="CM4" s="1120"/>
      <c r="CN4" s="1121"/>
      <c r="CO4" s="1157" t="s">
        <v>193</v>
      </c>
      <c r="CP4" s="1158"/>
      <c r="CQ4" s="1158"/>
      <c r="CR4" s="1158"/>
      <c r="CS4" s="1158"/>
      <c r="CT4" s="1158"/>
      <c r="CU4" s="1158"/>
      <c r="CV4" s="1158"/>
      <c r="CW4" s="1158"/>
      <c r="CX4" s="1158"/>
      <c r="CY4" s="1158"/>
      <c r="CZ4" s="1158"/>
      <c r="DA4" s="1159"/>
      <c r="DB4" s="1042" t="s">
        <v>162</v>
      </c>
      <c r="DC4" s="1043"/>
      <c r="DD4" s="1043"/>
      <c r="DE4" s="1043"/>
      <c r="DF4" s="1043"/>
      <c r="DG4" s="1043"/>
      <c r="DH4" s="1043"/>
      <c r="DI4" s="1043"/>
      <c r="DJ4" s="1043"/>
      <c r="DK4" s="1043"/>
      <c r="DL4" s="1043"/>
      <c r="DM4" s="1043"/>
      <c r="DN4" s="1043"/>
      <c r="DO4" s="1043"/>
      <c r="DP4" s="1043"/>
      <c r="DQ4" s="1043"/>
      <c r="DR4" s="1043"/>
      <c r="DS4" s="1043"/>
      <c r="DT4" s="1043"/>
      <c r="DU4" s="1043"/>
      <c r="DV4" s="1043"/>
      <c r="DW4" s="1043"/>
      <c r="DX4" s="1043"/>
      <c r="DY4" s="1043"/>
      <c r="DZ4" s="1043"/>
      <c r="EA4" s="1043"/>
      <c r="EB4" s="1043"/>
      <c r="EC4" s="1043"/>
      <c r="ED4" s="1043"/>
      <c r="EE4" s="1043"/>
      <c r="EF4" s="1043"/>
      <c r="EG4" s="1043"/>
      <c r="EH4" s="1043"/>
      <c r="EI4" s="1043"/>
      <c r="EJ4" s="1043"/>
      <c r="EK4" s="1043"/>
      <c r="EL4" s="1043"/>
      <c r="EM4" s="1043"/>
      <c r="EN4" s="1043"/>
      <c r="EO4" s="1043"/>
      <c r="EP4" s="1043"/>
      <c r="EQ4" s="1043"/>
      <c r="ER4" s="1044"/>
      <c r="ES4" s="1065" t="s">
        <v>196</v>
      </c>
      <c r="ET4" s="1066"/>
      <c r="EU4" s="1066"/>
      <c r="EV4" s="1066"/>
      <c r="EW4" s="1066"/>
      <c r="EX4" s="1066"/>
      <c r="EY4" s="1067"/>
      <c r="EZ4" s="1100" t="s">
        <v>201</v>
      </c>
      <c r="FA4" s="1101"/>
      <c r="FB4" s="1101"/>
      <c r="FC4" s="1101"/>
      <c r="FD4" s="1101"/>
      <c r="FE4" s="1101"/>
      <c r="FF4" s="1102"/>
      <c r="FG4" s="343"/>
      <c r="FP4" s="1032" t="s">
        <v>229</v>
      </c>
      <c r="FZ4" s="1032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3" t="s">
        <v>236</v>
      </c>
      <c r="GK4" s="904"/>
      <c r="GL4" s="904"/>
      <c r="GM4" s="904"/>
      <c r="GN4" s="990"/>
      <c r="GO4" s="992" t="s">
        <v>229</v>
      </c>
      <c r="GP4" s="996" t="s">
        <v>228</v>
      </c>
      <c r="GR4" s="1002" t="s">
        <v>261</v>
      </c>
      <c r="GS4" s="932" t="s">
        <v>259</v>
      </c>
      <c r="GT4" s="875"/>
      <c r="GU4" s="875"/>
      <c r="GV4" s="875"/>
      <c r="GW4" s="875"/>
      <c r="GX4" s="875"/>
      <c r="GY4" s="875"/>
      <c r="GZ4" s="875"/>
      <c r="HA4" s="1079" t="str">
        <f>IFERROR(CONCATENATE("Lateral Forces = ",ROUND(HE3,0)," lbs @ ",ROUND(HF3,1),"° Relative to Blade 1"),"")</f>
        <v/>
      </c>
      <c r="HB4" s="1080"/>
      <c r="HC4" s="1080"/>
      <c r="HD4" s="1080"/>
      <c r="HE4" s="1080"/>
      <c r="HF4" s="1080"/>
      <c r="HG4" s="1080"/>
      <c r="HH4" s="1081"/>
      <c r="HI4" s="1087" t="s">
        <v>0</v>
      </c>
      <c r="HO4" s="1034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900" t="s">
        <v>381</v>
      </c>
      <c r="IF4" s="900"/>
      <c r="IG4" s="767" cm="1">
        <f t="array" ref="IG4">MAX(MOD(IF($IG$9:$IG$150="",0,($IG$9:$IG$150*1000)),100))</f>
        <v>7</v>
      </c>
      <c r="IL4" s="31"/>
      <c r="IM4" s="767"/>
    </row>
    <row r="5" spans="1:283" ht="15" customHeight="1" x14ac:dyDescent="0.25">
      <c r="B5" s="1234" t="str">
        <f>CONCATENATE(B7," ; ",E7," ; ",H7)</f>
        <v>Absolute-Point ; Incremental-Vector Point ; Pocket Info.</v>
      </c>
      <c r="C5" s="1235"/>
      <c r="D5" s="1235"/>
      <c r="E5" s="1235"/>
      <c r="F5" s="1235"/>
      <c r="G5" s="1235"/>
      <c r="H5" s="1235"/>
      <c r="I5" s="1235"/>
      <c r="J5" s="1235"/>
      <c r="K5" s="1236"/>
      <c r="L5" s="843"/>
      <c r="M5" s="1243"/>
      <c r="N5" s="1191" t="s">
        <v>5</v>
      </c>
      <c r="O5" s="1152"/>
      <c r="P5" s="1152"/>
      <c r="Q5" s="1219" t="s">
        <v>6</v>
      </c>
      <c r="R5" s="1152"/>
      <c r="S5" s="1153"/>
      <c r="T5" s="1136" t="str">
        <f>CONCATENATE("Relative to ",M8,"'s θ about Z Axis")</f>
        <v>Relative to 1.104's θ about Z Axis</v>
      </c>
      <c r="U5" s="1137"/>
      <c r="V5" s="1138"/>
      <c r="W5" s="1137" t="str">
        <f>CONCATENATE("Relative to ",M8,"'s θ about Z Axis")</f>
        <v>Relative to 1.104's θ about Z Axis</v>
      </c>
      <c r="X5" s="1137"/>
      <c r="Y5" s="1260"/>
      <c r="Z5" s="1250" t="str">
        <f>N5</f>
        <v>Relative to World_CS</v>
      </c>
      <c r="AA5" s="1137"/>
      <c r="AB5" s="1137"/>
      <c r="AC5" s="1137"/>
      <c r="AD5" s="1137"/>
      <c r="AE5" s="1137"/>
      <c r="AF5" s="1137"/>
      <c r="AG5" s="1136" t="str">
        <f>N5</f>
        <v>Relative to World_CS</v>
      </c>
      <c r="AH5" s="1137"/>
      <c r="AI5" s="1137"/>
      <c r="AJ5" s="1174"/>
      <c r="AK5" s="1151" t="s">
        <v>7</v>
      </c>
      <c r="AL5" s="1152"/>
      <c r="AM5" s="1152"/>
      <c r="AN5" s="1152"/>
      <c r="AO5" s="1152"/>
      <c r="AP5" s="1152"/>
      <c r="AQ5" s="1153"/>
      <c r="AS5" s="171">
        <f>(((AS4*12)/60)/AS3)</f>
        <v>0.25</v>
      </c>
      <c r="AT5" s="464" t="s">
        <v>47</v>
      </c>
      <c r="AV5" s="1201"/>
      <c r="AW5" s="1177"/>
      <c r="AX5" s="1178"/>
      <c r="AY5" s="1179"/>
      <c r="AZ5" s="1008"/>
      <c r="BA5" s="913"/>
      <c r="BB5" s="1165"/>
      <c r="BC5" s="1173" t="str">
        <f>$W$5</f>
        <v>Relative to 1.104's θ about Z Axis</v>
      </c>
      <c r="BD5" s="1137"/>
      <c r="BE5" s="1174"/>
      <c r="BF5" s="932" t="s">
        <v>128</v>
      </c>
      <c r="BG5" s="875"/>
      <c r="BH5" s="875"/>
      <c r="BI5" s="875"/>
      <c r="BJ5" s="875"/>
      <c r="BK5" s="875"/>
      <c r="BL5" s="875"/>
      <c r="BM5" s="875"/>
      <c r="BN5" s="875"/>
      <c r="BO5" s="875"/>
      <c r="BP5" s="875"/>
      <c r="BQ5" s="875"/>
      <c r="BR5" s="876"/>
      <c r="BS5" s="932" t="s">
        <v>130</v>
      </c>
      <c r="BT5" s="875"/>
      <c r="BU5" s="875"/>
      <c r="BV5" s="875"/>
      <c r="BW5" s="875"/>
      <c r="BX5" s="875"/>
      <c r="BY5" s="875"/>
      <c r="BZ5" s="875"/>
      <c r="CA5" s="875"/>
      <c r="CB5" s="875"/>
      <c r="CC5" s="875"/>
      <c r="CD5" s="875"/>
      <c r="CE5" s="876"/>
      <c r="CF5" s="932" t="s">
        <v>138</v>
      </c>
      <c r="CG5" s="875"/>
      <c r="CH5" s="876"/>
      <c r="CI5" s="932" t="s">
        <v>139</v>
      </c>
      <c r="CJ5" s="875"/>
      <c r="CK5" s="875"/>
      <c r="CL5" s="875"/>
      <c r="CM5" s="875"/>
      <c r="CN5" s="876"/>
      <c r="CO5" s="1014" t="s">
        <v>275</v>
      </c>
      <c r="CP5" s="1014" t="s">
        <v>149</v>
      </c>
      <c r="CQ5" s="1000"/>
      <c r="CR5" s="1000"/>
      <c r="CS5" s="933"/>
      <c r="CT5" s="1000" t="s">
        <v>150</v>
      </c>
      <c r="CU5" s="923"/>
      <c r="CV5" s="932" t="s">
        <v>161</v>
      </c>
      <c r="CW5" s="875"/>
      <c r="CX5" s="875"/>
      <c r="CY5" s="875"/>
      <c r="CZ5" s="875"/>
      <c r="DA5" s="876"/>
      <c r="DB5" s="932" t="s">
        <v>163</v>
      </c>
      <c r="DC5" s="875"/>
      <c r="DD5" s="875"/>
      <c r="DE5" s="875"/>
      <c r="DF5" s="875"/>
      <c r="DG5" s="875"/>
      <c r="DH5" s="876"/>
      <c r="DI5" s="1021" t="s">
        <v>173</v>
      </c>
      <c r="DJ5" s="1021"/>
      <c r="DK5" s="1129"/>
      <c r="DL5" s="1020" t="s">
        <v>174</v>
      </c>
      <c r="DM5" s="1021"/>
      <c r="DN5" s="1022"/>
      <c r="DO5" s="1131" t="s">
        <v>175</v>
      </c>
      <c r="DP5" s="1132"/>
      <c r="DQ5" s="1132"/>
      <c r="DR5" s="1013" t="s">
        <v>187</v>
      </c>
      <c r="DS5" s="1013"/>
      <c r="DT5" s="1013"/>
      <c r="DU5" s="1013"/>
      <c r="DV5" s="1013"/>
      <c r="DW5" s="1013"/>
      <c r="DX5" s="1014" t="s">
        <v>190</v>
      </c>
      <c r="DY5" s="954" t="s">
        <v>149</v>
      </c>
      <c r="DZ5" s="1013"/>
      <c r="EA5" s="1013"/>
      <c r="EB5" s="1013"/>
      <c r="EC5" s="1013" t="s">
        <v>150</v>
      </c>
      <c r="ED5" s="1013"/>
      <c r="EE5" s="1002" t="s">
        <v>194</v>
      </c>
      <c r="EF5" s="1002"/>
      <c r="EG5" s="1010"/>
      <c r="EH5" s="1026" t="s">
        <v>195</v>
      </c>
      <c r="EI5" s="1027"/>
      <c r="EJ5" s="1028"/>
      <c r="EK5" s="1013" t="s">
        <v>188</v>
      </c>
      <c r="EL5" s="1014"/>
      <c r="EM5" s="932" t="s">
        <v>189</v>
      </c>
      <c r="EN5" s="875"/>
      <c r="EO5" s="875"/>
      <c r="EP5" s="875"/>
      <c r="EQ5" s="875"/>
      <c r="ER5" s="1122"/>
      <c r="ES5" s="1096" t="s">
        <v>202</v>
      </c>
      <c r="ET5" s="1000"/>
      <c r="EU5" s="933"/>
      <c r="EV5" s="1068" t="s">
        <v>222</v>
      </c>
      <c r="EW5" s="1069"/>
      <c r="EX5" s="1069"/>
      <c r="EY5" s="1070"/>
      <c r="EZ5" s="1057" t="s">
        <v>200</v>
      </c>
      <c r="FA5" s="927" t="s">
        <v>202</v>
      </c>
      <c r="FB5" s="1110"/>
      <c r="FC5" s="928"/>
      <c r="FD5" s="1114" t="s">
        <v>222</v>
      </c>
      <c r="FE5" s="1115"/>
      <c r="FF5" s="1116"/>
      <c r="FP5" s="1034"/>
      <c r="FQ5" s="31"/>
      <c r="FR5" s="31"/>
      <c r="FS5" s="31"/>
      <c r="FT5" s="31"/>
      <c r="FZ5" s="1034"/>
      <c r="GJ5" s="988" t="s">
        <v>269</v>
      </c>
      <c r="GK5" s="1036" t="s">
        <v>267</v>
      </c>
      <c r="GL5" s="1038" t="s">
        <v>110</v>
      </c>
      <c r="GM5" s="1038" t="s">
        <v>111</v>
      </c>
      <c r="GN5" s="1039"/>
      <c r="GO5" s="993"/>
      <c r="GP5" s="997"/>
      <c r="GQ5" s="31"/>
      <c r="GR5" s="984"/>
      <c r="GS5" s="1008" t="s">
        <v>248</v>
      </c>
      <c r="GT5" s="1009"/>
      <c r="GU5" s="1004" t="s">
        <v>249</v>
      </c>
      <c r="GV5" s="1005"/>
      <c r="GW5" s="1006"/>
      <c r="GX5" s="1007"/>
      <c r="GY5" s="991" t="s">
        <v>107</v>
      </c>
      <c r="GZ5" s="915"/>
      <c r="HA5" s="1076" t="s">
        <v>248</v>
      </c>
      <c r="HB5" s="1077"/>
      <c r="HC5" s="1077"/>
      <c r="HD5" s="1078"/>
      <c r="HE5" s="1093" t="s">
        <v>249</v>
      </c>
      <c r="HF5" s="1077"/>
      <c r="HG5" s="1077"/>
      <c r="HH5" s="1094"/>
      <c r="HI5" s="1088"/>
      <c r="HN5" s="386" t="s">
        <v>263</v>
      </c>
      <c r="HO5" s="58" t="s">
        <v>264</v>
      </c>
      <c r="HS5" s="1082" t="s">
        <v>274</v>
      </c>
      <c r="HZ5" s="383"/>
    </row>
    <row r="6" spans="1:283" ht="15" customHeight="1" thickBot="1" x14ac:dyDescent="0.4">
      <c r="B6" s="1237"/>
      <c r="C6" s="1238"/>
      <c r="D6" s="1238"/>
      <c r="E6" s="1238"/>
      <c r="F6" s="1238"/>
      <c r="G6" s="1238"/>
      <c r="H6" s="1238"/>
      <c r="I6" s="1238"/>
      <c r="J6" s="1238"/>
      <c r="K6" s="1239"/>
      <c r="L6" s="984" t="str" cm="1">
        <f t="array" ref="L6">IF(OR($K$9:$K$150="Inactive"),"Inactive Element","")</f>
        <v>Inactive Element</v>
      </c>
      <c r="M6" s="1243"/>
      <c r="N6" s="1187" t="s">
        <v>8</v>
      </c>
      <c r="O6" s="1189" t="s">
        <v>9</v>
      </c>
      <c r="P6" s="1217" t="s">
        <v>10</v>
      </c>
      <c r="Q6" s="1192" t="s">
        <v>11</v>
      </c>
      <c r="R6" s="1193"/>
      <c r="S6" s="1180" t="s">
        <v>10</v>
      </c>
      <c r="T6" s="1213" t="str">
        <f>N6</f>
        <v>X</v>
      </c>
      <c r="U6" s="1215" t="str">
        <f>O6</f>
        <v>Y</v>
      </c>
      <c r="V6" s="1256" t="str">
        <f>P6</f>
        <v>Z</v>
      </c>
      <c r="W6" s="1169" t="str">
        <f>$Q$6</f>
        <v>Projected XY</v>
      </c>
      <c r="X6" s="1170"/>
      <c r="Y6" s="1211" t="str">
        <f>$S$6</f>
        <v>Z</v>
      </c>
      <c r="Z6" s="1197" t="s">
        <v>12</v>
      </c>
      <c r="AA6" s="1198"/>
      <c r="AB6" s="1198"/>
      <c r="AC6" s="1199"/>
      <c r="AD6" s="1183" t="s">
        <v>13</v>
      </c>
      <c r="AE6" s="1184"/>
      <c r="AF6" s="1184"/>
      <c r="AG6" s="1196" t="s">
        <v>7</v>
      </c>
      <c r="AH6" s="1184"/>
      <c r="AI6" s="1183" t="s">
        <v>14</v>
      </c>
      <c r="AJ6" s="1185"/>
      <c r="AK6" s="1139" t="str">
        <f>AD6</f>
        <v>Unit Vector</v>
      </c>
      <c r="AL6" s="1140"/>
      <c r="AM6" s="1141"/>
      <c r="AN6" s="34" t="s">
        <v>15</v>
      </c>
      <c r="AO6" s="35" t="s">
        <v>16</v>
      </c>
      <c r="AP6" s="737" t="s">
        <v>17</v>
      </c>
      <c r="AQ6" s="1203" t="s">
        <v>108</v>
      </c>
      <c r="AS6" s="172">
        <f>(AS5/360)</f>
        <v>6.9444444444444447E-4</v>
      </c>
      <c r="AT6" s="465" t="s">
        <v>48</v>
      </c>
      <c r="AV6" s="1201"/>
      <c r="AW6" s="1194" t="s">
        <v>105</v>
      </c>
      <c r="AX6" s="1195"/>
      <c r="AY6" s="195" t="s">
        <v>110</v>
      </c>
      <c r="AZ6" s="1175" t="s">
        <v>111</v>
      </c>
      <c r="BA6" s="1176"/>
      <c r="BB6" s="1166"/>
      <c r="BC6" s="1169" t="str">
        <f>$Q$6</f>
        <v>Projected XY</v>
      </c>
      <c r="BD6" s="1170"/>
      <c r="BE6" s="1171" t="str">
        <f>$S$6</f>
        <v>Z</v>
      </c>
      <c r="BF6" s="882" t="s">
        <v>125</v>
      </c>
      <c r="BG6" s="878"/>
      <c r="BH6" s="987"/>
      <c r="BI6" s="880" t="s">
        <v>126</v>
      </c>
      <c r="BJ6" s="878"/>
      <c r="BK6" s="879"/>
      <c r="BL6" s="883" t="s">
        <v>127</v>
      </c>
      <c r="BM6" s="878"/>
      <c r="BN6" s="884"/>
      <c r="BO6" s="882" t="s">
        <v>135</v>
      </c>
      <c r="BP6" s="878"/>
      <c r="BQ6" s="878"/>
      <c r="BR6" s="884"/>
      <c r="BS6" s="882" t="s">
        <v>125</v>
      </c>
      <c r="BT6" s="878"/>
      <c r="BU6" s="987"/>
      <c r="BV6" s="880" t="s">
        <v>126</v>
      </c>
      <c r="BW6" s="878"/>
      <c r="BX6" s="879"/>
      <c r="BY6" s="883" t="s">
        <v>127</v>
      </c>
      <c r="BZ6" s="878"/>
      <c r="CA6" s="884"/>
      <c r="CB6" s="882" t="s">
        <v>135</v>
      </c>
      <c r="CC6" s="878"/>
      <c r="CD6" s="878"/>
      <c r="CE6" s="884"/>
      <c r="CF6" s="888" t="s">
        <v>136</v>
      </c>
      <c r="CG6" s="1124"/>
      <c r="CH6" s="1124"/>
      <c r="CI6" s="1126" t="s">
        <v>137</v>
      </c>
      <c r="CJ6" s="1124"/>
      <c r="CK6" s="889"/>
      <c r="CL6" s="1123" t="s">
        <v>140</v>
      </c>
      <c r="CM6" s="1124"/>
      <c r="CN6" s="1125"/>
      <c r="CO6" s="1016"/>
      <c r="CP6" s="1016"/>
      <c r="CQ6" s="1098"/>
      <c r="CR6" s="1098"/>
      <c r="CS6" s="1099"/>
      <c r="CT6" s="1098"/>
      <c r="CU6" s="1160"/>
      <c r="CV6" s="1182" t="s">
        <v>147</v>
      </c>
      <c r="CW6" s="878"/>
      <c r="CX6" s="879"/>
      <c r="CY6" s="1117" t="s">
        <v>148</v>
      </c>
      <c r="CZ6" s="1072"/>
      <c r="DA6" s="1118"/>
      <c r="DB6" s="1127" t="s">
        <v>176</v>
      </c>
      <c r="DC6" s="1063"/>
      <c r="DD6" s="1064"/>
      <c r="DE6" s="1128" t="s">
        <v>177</v>
      </c>
      <c r="DF6" s="1063"/>
      <c r="DG6" s="1064"/>
      <c r="DH6" s="253" t="s">
        <v>29</v>
      </c>
      <c r="DI6" s="1024"/>
      <c r="DJ6" s="1024"/>
      <c r="DK6" s="1130"/>
      <c r="DL6" s="1023"/>
      <c r="DM6" s="1024"/>
      <c r="DN6" s="1025"/>
      <c r="DO6" s="1133"/>
      <c r="DP6" s="1134"/>
      <c r="DQ6" s="1134"/>
      <c r="DR6" s="1015"/>
      <c r="DS6" s="1015"/>
      <c r="DT6" s="1015"/>
      <c r="DU6" s="1015"/>
      <c r="DV6" s="1015"/>
      <c r="DW6" s="1015"/>
      <c r="DX6" s="1016"/>
      <c r="DY6" s="1135"/>
      <c r="DZ6" s="1015"/>
      <c r="EA6" s="1015"/>
      <c r="EB6" s="1015"/>
      <c r="EC6" s="1015"/>
      <c r="ED6" s="1015"/>
      <c r="EE6" s="1011"/>
      <c r="EF6" s="1011"/>
      <c r="EG6" s="1012"/>
      <c r="EH6" s="1029"/>
      <c r="EI6" s="1030"/>
      <c r="EJ6" s="1031"/>
      <c r="EK6" s="1015"/>
      <c r="EL6" s="1016"/>
      <c r="EM6" s="1017" t="s">
        <v>199</v>
      </c>
      <c r="EN6" s="1018"/>
      <c r="EO6" s="1019"/>
      <c r="EP6" s="1103" t="s">
        <v>198</v>
      </c>
      <c r="EQ6" s="1018"/>
      <c r="ER6" s="1105"/>
      <c r="ES6" s="1097"/>
      <c r="ET6" s="1098"/>
      <c r="EU6" s="1099"/>
      <c r="EV6" s="274" t="s">
        <v>221</v>
      </c>
      <c r="EW6" s="1103" t="s">
        <v>202</v>
      </c>
      <c r="EX6" s="1018"/>
      <c r="EY6" s="1104"/>
      <c r="EZ6" s="1058"/>
      <c r="FA6" s="1111"/>
      <c r="FB6" s="1112"/>
      <c r="FC6" s="1113"/>
      <c r="FD6" s="1017" t="s">
        <v>202</v>
      </c>
      <c r="FE6" s="1018"/>
      <c r="FF6" s="1105"/>
      <c r="FG6" s="1107" t="s">
        <v>224</v>
      </c>
      <c r="FH6" s="1108"/>
      <c r="FI6" s="1109"/>
      <c r="FJ6" s="1013" t="s">
        <v>203</v>
      </c>
      <c r="FK6" s="1014" t="s">
        <v>214</v>
      </c>
      <c r="FL6" s="1000"/>
      <c r="FM6" s="933"/>
      <c r="FN6" s="1053" t="s">
        <v>204</v>
      </c>
      <c r="FO6" s="1060" t="s">
        <v>227</v>
      </c>
      <c r="FP6" s="1051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14" t="s">
        <v>218</v>
      </c>
      <c r="FV6" s="1000"/>
      <c r="FW6" s="933"/>
      <c r="FX6" s="1053" t="s">
        <v>219</v>
      </c>
      <c r="FY6" s="1060" t="s">
        <v>227</v>
      </c>
      <c r="FZ6" s="1051" t="s">
        <v>225</v>
      </c>
      <c r="GA6" s="1055" t="s">
        <v>239</v>
      </c>
      <c r="GB6" s="336" t="s">
        <v>207</v>
      </c>
      <c r="GC6" s="337" t="s">
        <v>240</v>
      </c>
      <c r="GD6" s="338" t="s">
        <v>226</v>
      </c>
      <c r="GE6" s="985"/>
      <c r="GF6" s="1010" t="s">
        <v>260</v>
      </c>
      <c r="GG6" s="336" t="s">
        <v>207</v>
      </c>
      <c r="GH6" s="337" t="s">
        <v>240</v>
      </c>
      <c r="GI6" s="338" t="s">
        <v>226</v>
      </c>
      <c r="GJ6" s="989"/>
      <c r="GK6" s="1037"/>
      <c r="GL6" s="1040"/>
      <c r="GM6" s="1040"/>
      <c r="GN6" s="1041"/>
      <c r="GO6" s="994" t="s">
        <v>238</v>
      </c>
      <c r="GP6" s="998" t="s">
        <v>225</v>
      </c>
      <c r="GQ6" s="1000" t="s">
        <v>203</v>
      </c>
      <c r="GR6" s="984"/>
      <c r="GS6" s="1085" t="s">
        <v>252</v>
      </c>
      <c r="GT6" s="1086"/>
      <c r="GU6" s="1071" t="s">
        <v>251</v>
      </c>
      <c r="GV6" s="1072"/>
      <c r="GW6" s="1072"/>
      <c r="GX6" s="361" t="s">
        <v>106</v>
      </c>
      <c r="GY6" s="880" t="s">
        <v>250</v>
      </c>
      <c r="GZ6" s="987"/>
      <c r="HA6" s="1062" t="s">
        <v>252</v>
      </c>
      <c r="HB6" s="1063"/>
      <c r="HC6" s="1063"/>
      <c r="HD6" s="1064"/>
      <c r="HE6" s="880" t="s">
        <v>251</v>
      </c>
      <c r="HF6" s="878"/>
      <c r="HG6" s="878"/>
      <c r="HH6" s="884"/>
      <c r="HI6" s="1088"/>
      <c r="HN6" s="971" t="s">
        <v>238</v>
      </c>
      <c r="HO6" s="974" t="s">
        <v>265</v>
      </c>
      <c r="HP6" s="954" t="s">
        <v>203</v>
      </c>
      <c r="HQ6" s="391"/>
      <c r="HS6" s="1083"/>
      <c r="HT6" s="906" t="s">
        <v>270</v>
      </c>
      <c r="HU6" s="904"/>
      <c r="HV6" s="990"/>
      <c r="HW6" s="932" t="s">
        <v>258</v>
      </c>
      <c r="HX6" s="875"/>
      <c r="HY6" s="876"/>
      <c r="HZ6" s="932" t="s">
        <v>249</v>
      </c>
      <c r="IA6" s="906"/>
      <c r="IE6" s="853"/>
      <c r="IF6" s="853"/>
    </row>
    <row r="7" spans="1:283" ht="15" customHeight="1" thickBot="1" x14ac:dyDescent="0.4">
      <c r="A7" s="143"/>
      <c r="B7" s="1251" t="s">
        <v>40</v>
      </c>
      <c r="C7" s="1252"/>
      <c r="D7" s="1253"/>
      <c r="E7" s="1254" t="s">
        <v>41</v>
      </c>
      <c r="F7" s="1252"/>
      <c r="G7" s="1255"/>
      <c r="H7" s="1230" t="s">
        <v>98</v>
      </c>
      <c r="I7" s="1231"/>
      <c r="J7" s="1232"/>
      <c r="K7" s="173"/>
      <c r="L7" s="984"/>
      <c r="M7" s="1249"/>
      <c r="N7" s="1188"/>
      <c r="O7" s="1190"/>
      <c r="P7" s="1218"/>
      <c r="Q7" s="36" t="s">
        <v>18</v>
      </c>
      <c r="R7" s="2" t="s">
        <v>19</v>
      </c>
      <c r="S7" s="1181"/>
      <c r="T7" s="1214"/>
      <c r="U7" s="1216"/>
      <c r="V7" s="1257"/>
      <c r="W7" s="37" t="str">
        <f>$Q$7</f>
        <v>&lt; θ°</v>
      </c>
      <c r="X7" s="27" t="str">
        <f>$R$7</f>
        <v>r</v>
      </c>
      <c r="Y7" s="1212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04"/>
      <c r="AS7" s="1209" t="s">
        <v>54</v>
      </c>
      <c r="AT7" s="1207" t="s">
        <v>53</v>
      </c>
      <c r="AV7" s="1201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66"/>
      <c r="BC7" s="37" t="str">
        <f>$Q$7</f>
        <v>&lt; θ°</v>
      </c>
      <c r="BD7" s="27" t="str">
        <f>$R$7</f>
        <v>r</v>
      </c>
      <c r="BE7" s="1172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059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06"/>
      <c r="FK7" s="350" t="s">
        <v>211</v>
      </c>
      <c r="FL7" s="351" t="s">
        <v>212</v>
      </c>
      <c r="FM7" s="352" t="s">
        <v>213</v>
      </c>
      <c r="FN7" s="1054"/>
      <c r="FO7" s="1061"/>
      <c r="FP7" s="1052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054"/>
      <c r="FY7" s="1061"/>
      <c r="FZ7" s="1052"/>
      <c r="GA7" s="1056"/>
      <c r="GB7" s="223" t="s">
        <v>232</v>
      </c>
      <c r="GC7" s="131" t="s">
        <v>233</v>
      </c>
      <c r="GD7" s="224" t="s">
        <v>234</v>
      </c>
      <c r="GE7" s="986"/>
      <c r="GF7" s="1035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995"/>
      <c r="GP7" s="999"/>
      <c r="GQ7" s="1001"/>
      <c r="GR7" s="1003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089"/>
      <c r="HJ7" s="31"/>
      <c r="HK7" s="1032" t="s">
        <v>246</v>
      </c>
      <c r="HL7" s="1032" t="s">
        <v>237</v>
      </c>
      <c r="HM7" s="922" t="s">
        <v>245</v>
      </c>
      <c r="HN7" s="972"/>
      <c r="HO7" s="1095"/>
      <c r="HP7" s="1090"/>
      <c r="HQ7" s="392"/>
      <c r="HR7" s="412"/>
      <c r="HS7" s="1083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886" t="s">
        <v>33</v>
      </c>
      <c r="IH7" s="976" t="s">
        <v>385</v>
      </c>
      <c r="II7" s="882" t="s">
        <v>333</v>
      </c>
      <c r="IJ7" s="883"/>
      <c r="IK7" s="883"/>
      <c r="IL7" s="878"/>
      <c r="IM7" s="878"/>
      <c r="IN7" s="878"/>
      <c r="IO7" s="879"/>
      <c r="IP7" s="880" t="s">
        <v>329</v>
      </c>
      <c r="IQ7" s="878"/>
      <c r="IR7" s="878"/>
      <c r="IS7" s="878"/>
      <c r="IT7" s="878"/>
      <c r="IU7" s="880" t="s">
        <v>328</v>
      </c>
      <c r="IV7" s="878"/>
      <c r="IW7" s="878"/>
      <c r="IX7" s="878"/>
      <c r="IY7" s="879"/>
      <c r="JA7" s="784"/>
      <c r="JB7" s="1220" t="s">
        <v>364</v>
      </c>
      <c r="JC7" s="1220"/>
      <c r="JD7" s="1220"/>
      <c r="JE7" s="1221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84"/>
      <c r="M8" s="462" cm="1">
        <f t="array" ref="M8">IF(AND(ISNUMBER('SN#.Run#'!$P$1),COUNT($M$9:$M$150)&gt;='SN#.Run#'!$P$1),INDEX($M$9:$M$150,'SN#.Run#'!$P$1),"")</f>
        <v>1.1040000000000001</v>
      </c>
      <c r="N8" s="608"/>
      <c r="O8" s="609"/>
      <c r="P8" s="619"/>
      <c r="Q8" s="611">
        <f>IFERROR(INDEX(Q$9:Q$150,MATCH($M$8,$M$9:$M$150,0)),"")</f>
        <v>88.970000148713581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-0.11780035528587143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10"/>
      <c r="AT8" s="1208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092"/>
      <c r="HL8" s="1092"/>
      <c r="HM8" s="934"/>
      <c r="HN8" s="973"/>
      <c r="HO8" s="975"/>
      <c r="HP8" s="1091"/>
      <c r="HQ8" s="393" t="s">
        <v>49</v>
      </c>
      <c r="HR8" s="413" t="s">
        <v>51</v>
      </c>
      <c r="HS8" s="1084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978"/>
      <c r="IH8" s="977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0.41130124048454136</v>
      </c>
      <c r="D9" s="704">
        <v>-0.50390151976698372</v>
      </c>
      <c r="E9" s="705">
        <v>-0.93969263802333458</v>
      </c>
      <c r="F9" s="703">
        <v>-8.8521302156295611E-2</v>
      </c>
      <c r="G9" s="706">
        <v>0.33036604714967333</v>
      </c>
      <c r="H9" s="705">
        <v>0.314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1613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0.41130124048454136</v>
      </c>
      <c r="P9" s="625">
        <f t="shared" ref="P9:P40" si="4">IF(M9="","",D9)</f>
        <v>-0.50390151976698372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0.41130124048454136</v>
      </c>
      <c r="S9" s="626">
        <f>IF(M9="","",P9)</f>
        <v>-0.50390151976698372</v>
      </c>
      <c r="T9" s="627">
        <f>IF(M9="","",X9*COS(RADIANS(W9)))</f>
        <v>0.41123478246624329</v>
      </c>
      <c r="U9" s="624">
        <f>IF(M9="","",X9*SIN(RADIANS(W9)))</f>
        <v>7.3935183819398365E-3</v>
      </c>
      <c r="V9" s="628">
        <f>IF(M9="","",Y9)</f>
        <v>-0.50390151976698372</v>
      </c>
      <c r="W9" s="583">
        <f t="shared" ref="W9:W14" si="5">IF(M9="","",IF(Q9-$Q$8&lt;0,360+Q9-$Q$8,Q9-$Q$8))</f>
        <v>1.0299998512864192</v>
      </c>
      <c r="X9" s="629">
        <f>IF(M9="","",R9)</f>
        <v>0.41130124048454136</v>
      </c>
      <c r="Y9" s="630">
        <f>IF(M9="","",S9)</f>
        <v>-0.50390151976698372</v>
      </c>
      <c r="Z9" s="623">
        <f t="shared" ref="Z9:Z40" si="6">IF(M9="","",-E9)</f>
        <v>0.93969263802333458</v>
      </c>
      <c r="AA9" s="624">
        <f t="shared" ref="AA9:AA40" si="7">IF(M9="","",-F9)</f>
        <v>8.8521302156295611E-2</v>
      </c>
      <c r="AB9" s="624">
        <f t="shared" ref="AB9:AB40" si="8">IF(M9="","",-G9)</f>
        <v>-0.33036604714967333</v>
      </c>
      <c r="AC9" s="628">
        <f>IF(M9="","",SQRT(Z9^2+AA9^2+AB9^2))</f>
        <v>1</v>
      </c>
      <c r="AD9" s="631">
        <f>IF(M9="","",Z9*(1/SQRT(Z9^2+AA9^2+AB9^2)))</f>
        <v>0.93969263802333458</v>
      </c>
      <c r="AE9" s="624">
        <f>IF(M9="","",AA9*(1/SQRT(Z9^2+AA9^2+AB9^2)))</f>
        <v>8.8521302156295611E-2</v>
      </c>
      <c r="AF9" s="625">
        <f>IF(M9="","",AB9*(1/SQRT(Z9^2+AA9^2+AB9^2)))</f>
        <v>-0.33036604714967333</v>
      </c>
      <c r="AG9" s="599">
        <f>IF(M9="","",DEGREES(ATAN2(-AF9,AE9)))</f>
        <v>14.999997834268274</v>
      </c>
      <c r="AH9" s="600">
        <f>IF(M9="","",DEGREES(ACOS(AD9)))</f>
        <v>19.999997112357679</v>
      </c>
      <c r="AI9" s="583">
        <f>IF(M9="","",DEGREES(-ACOS(-AF9)))</f>
        <v>-70.709005437865216</v>
      </c>
      <c r="AJ9" s="601">
        <f>IF(M9="","",DEGREES(ATAN2(-AE9,AD9)))</f>
        <v>95.38151876223948</v>
      </c>
      <c r="AK9" s="627">
        <f>IF(M9="","",(COS(RADIANS((90-$Q$8)-W9))*AD9)+(-SIN(RADIANS((90-$Q$8)-W9))*AE9))</f>
        <v>0.93969263802333458</v>
      </c>
      <c r="AL9" s="624">
        <f>IF(M9="","",(SIN(RADIANS((90-$Q$8)-W9))*AD9)+(COS(RADIANS((90-$Q$8)-W9))*AE9))</f>
        <v>8.8521302156295611E-2</v>
      </c>
      <c r="AM9" s="626">
        <f>IF(M9="","",AF9)</f>
        <v>-0.33036604714967333</v>
      </c>
      <c r="AN9" s="581">
        <f>IF(M9="","",DEGREES(ATAN2(-AM9,AL9)))</f>
        <v>14.999997834268274</v>
      </c>
      <c r="AO9" s="582">
        <f>IF(ROUND(IF(M9="",0,DEGREES(ACOS(AK9))),4)=90,0,IF(M9="","",DEGREES(ACOS(AK9))))</f>
        <v>19.999997112357679</v>
      </c>
      <c r="AP9" s="781">
        <f>IF(M9="","",DEGREES(ATAN2(AK9,AL9)))</f>
        <v>5.3815187622394811</v>
      </c>
      <c r="AQ9" s="584">
        <f t="shared" ref="AQ9:AQ40" si="9">IF(M9="","",DEGREES(ATAN(($AS$5*SIN(RADIANS(90)))/(($X9*2*PI())-($AS$5*COS(RADIANS(90)))))))</f>
        <v>5.5255237903706487</v>
      </c>
      <c r="AS9" s="51">
        <f>IF(M9="","",W9)</f>
        <v>1.0299998512864192</v>
      </c>
      <c r="AT9" s="71">
        <f t="shared" ref="AT9:AT40" si="10">IF(M9="","",Y9+(((AS9-$AS$9)*$AS$6)*-1))</f>
        <v>-0.50390151976698372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1613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30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0</v>
      </c>
      <c r="C10" s="708">
        <v>1.1810035619067427</v>
      </c>
      <c r="D10" s="709">
        <v>-0.29770089786590803</v>
      </c>
      <c r="E10" s="710">
        <v>-0.96592583607220739</v>
      </c>
      <c r="F10" s="708">
        <v>-6.6987279208207198E-2</v>
      </c>
      <c r="G10" s="711">
        <v>0.24999996726497561</v>
      </c>
      <c r="H10" s="710">
        <v>0.314</v>
      </c>
      <c r="I10" s="708">
        <v>0.52</v>
      </c>
      <c r="J10" s="570">
        <v>1.1020000000000001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1.1020000000000001</v>
      </c>
      <c r="N10" s="632">
        <f t="shared" si="2"/>
        <v>0</v>
      </c>
      <c r="O10" s="629">
        <f t="shared" si="3"/>
        <v>1.1810035619067427</v>
      </c>
      <c r="P10" s="633">
        <f t="shared" si="4"/>
        <v>-0.29770089786590803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1.1810035619067427</v>
      </c>
      <c r="S10" s="634">
        <f t="shared" ref="S10:S105" si="80">IF(M10="","",P10)</f>
        <v>-0.29770089786590803</v>
      </c>
      <c r="T10" s="635">
        <f t="shared" ref="T10:T105" si="81">IF(M10="","",X10*COS(RADIANS(W10)))</f>
        <v>1.18081273545498</v>
      </c>
      <c r="U10" s="629">
        <f t="shared" ref="U10:U105" si="82">IF(M10="","",X10*SIN(RADIANS(W10)))</f>
        <v>2.1229626085754794E-2</v>
      </c>
      <c r="V10" s="636">
        <f>IF(M10="","",Y10)</f>
        <v>-0.29770089786590803</v>
      </c>
      <c r="W10" s="585">
        <f t="shared" si="5"/>
        <v>1.0299998512864192</v>
      </c>
      <c r="X10" s="629">
        <f t="shared" ref="X10:X105" si="83">IF(M10="","",R10)</f>
        <v>1.1810035619067427</v>
      </c>
      <c r="Y10" s="630">
        <f>IF(M10="","",S10)</f>
        <v>-0.29770089786590803</v>
      </c>
      <c r="Z10" s="632">
        <f t="shared" si="6"/>
        <v>0.96592583607220739</v>
      </c>
      <c r="AA10" s="629">
        <f t="shared" si="7"/>
        <v>6.6987279208207198E-2</v>
      </c>
      <c r="AB10" s="629">
        <f t="shared" si="8"/>
        <v>-0.24999996726497561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0.96592583607220739</v>
      </c>
      <c r="AE10" s="629">
        <f t="shared" ref="AE10:AE105" si="85">IF(M10="","",AA10*(1/SQRT(Z10^2+AA10^2+AB10^2)))</f>
        <v>6.6987279208207198E-2</v>
      </c>
      <c r="AF10" s="633">
        <f t="shared" ref="AF10:AF105" si="86">IF(M10="","",AB10*(1/SQRT(Z10^2+AA10^2+AB10^2)))</f>
        <v>-0.24999996726497561</v>
      </c>
      <c r="AG10" s="602">
        <f t="shared" ref="AG10:AG105" si="87">IF(M10="","",DEGREES(ATAN2(-AF10,AE10)))</f>
        <v>14.999997834268267</v>
      </c>
      <c r="AH10" s="603">
        <f t="shared" ref="AH10:AH105" si="88">IF(M10="","",DEGREES(ACOS(AD10)))</f>
        <v>14.999997834268255</v>
      </c>
      <c r="AI10" s="585">
        <f t="shared" ref="AI10:AI105" si="89">IF(M10="","",DEGREES(-ACOS(-AF10)))</f>
        <v>-75.522489751159469</v>
      </c>
      <c r="AJ10" s="586">
        <f t="shared" ref="AJ10:AJ105" si="90">IF(M10="","",DEGREES(ATAN2(-AE10,AD10)))</f>
        <v>93.967129645086573</v>
      </c>
      <c r="AK10" s="635">
        <f>IF(M10="","",(COS(RADIANS((90-$Q$8)-W10))*AD10)+(-SIN(RADIANS((90-$Q$8)-W10))*AE10))</f>
        <v>0.96592583607220739</v>
      </c>
      <c r="AL10" s="629">
        <f t="shared" ref="AL10:AL105" si="91">IF(M10="","",(SIN(RADIANS((90-$Q$8)-W10))*AD10)+(COS(RADIANS((90-$Q$8)-W10))*AE10))</f>
        <v>6.6987279208207198E-2</v>
      </c>
      <c r="AM10" s="634">
        <f t="shared" ref="AM10:AM105" si="92">IF(M10="","",AF10)</f>
        <v>-0.24999996726497561</v>
      </c>
      <c r="AN10" s="581">
        <f t="shared" ref="AN10:AN105" si="93">IF(M10="","",DEGREES(ATAN2(-AM10,AL10)))</f>
        <v>14.999997834268267</v>
      </c>
      <c r="AO10" s="582">
        <f t="shared" ref="AO10:AO54" si="94">IF(ROUND(IF(M10="",0,DEGREES(ACOS(AK10))),4)=90,0,IF(M10="","",DEGREES(ACOS(AK10))))</f>
        <v>14.999997834268255</v>
      </c>
      <c r="AP10" s="585">
        <f t="shared" ref="AP10:AP105" si="95">IF(M10="","",DEGREES(ATAN2(AK10,AL10)))</f>
        <v>3.9671296450865712</v>
      </c>
      <c r="AQ10" s="586">
        <f t="shared" si="9"/>
        <v>1.9296001740592692</v>
      </c>
      <c r="AS10" s="52">
        <f>IF($M10="","",IF(AND($W10&lt;($AS$9+180),$W10&gt;($AS$9-180)),$W10,IF($W10&gt;($AS$9+180),$W10-360,IF($W10&lt;($AS$9-180),$W10+360,"Error"))))</f>
        <v>1.0299998512864192</v>
      </c>
      <c r="AT10" s="72">
        <f t="shared" si="10"/>
        <v>-0.29770089786590803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1.1020000000000001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/>
      <c r="JB10" s="787" t="str" cm="1">
        <f t="array" ref="JB10">IF($JA10="","",COUNT(IF(IF($II$9:$II$150="",$IJ$9:$IJ$150,"")=$JA10,$IG$9:$IG$150,"")))</f>
        <v/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5.3909814677529323E-3</v>
      </c>
      <c r="C11" s="708">
        <v>1.9304982951716338</v>
      </c>
      <c r="D11" s="709">
        <v>-9.6400290743276884E-2</v>
      </c>
      <c r="E11" s="710">
        <v>-0.96559414075354888</v>
      </c>
      <c r="F11" s="708">
        <v>-1.4732087394821057E-2</v>
      </c>
      <c r="G11" s="711">
        <v>0.25963613181413547</v>
      </c>
      <c r="H11" s="710">
        <v>0.314</v>
      </c>
      <c r="I11" s="708">
        <v>0.52</v>
      </c>
      <c r="J11" s="570">
        <v>1.103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1.103</v>
      </c>
      <c r="N11" s="632">
        <f t="shared" si="2"/>
        <v>5.3909814677529323E-3</v>
      </c>
      <c r="O11" s="629">
        <f t="shared" si="3"/>
        <v>1.9304982951716338</v>
      </c>
      <c r="P11" s="633">
        <f t="shared" si="4"/>
        <v>-9.6400290743276884E-2</v>
      </c>
      <c r="Q11" s="585">
        <f t="shared" ref="Q11:Q73" si="113">IF(M11="","",IF(DEGREES(ATAN2(N11,O11))&lt;0,DEGREES(ATAN2(N11,O11))+360,IF(DEGREES(ATAN2(N11,O11))&gt;360,DEGREES(ATAN2(N11,O11))-360,DEGREES(ATAN2(N11,O11)))))</f>
        <v>89.84000002310114</v>
      </c>
      <c r="R11" s="629">
        <f t="shared" si="79"/>
        <v>1.9305058224055607</v>
      </c>
      <c r="S11" s="634">
        <f t="shared" si="80"/>
        <v>-9.6400290743276884E-2</v>
      </c>
      <c r="T11" s="635">
        <f t="shared" si="81"/>
        <v>1.9302832732807633</v>
      </c>
      <c r="U11" s="629">
        <f t="shared" si="82"/>
        <v>2.9312373398828154E-2</v>
      </c>
      <c r="V11" s="636">
        <f t="shared" ref="V11:V105" si="114">IF(M11="","",Y11)</f>
        <v>-9.6400290743276884E-2</v>
      </c>
      <c r="W11" s="585">
        <f t="shared" si="5"/>
        <v>0.86999987438755966</v>
      </c>
      <c r="X11" s="629">
        <f>IF(M11="","",R11)</f>
        <v>1.9305058224055607</v>
      </c>
      <c r="Y11" s="630">
        <f>IF(M11="","",S11)</f>
        <v>-9.6400290743276884E-2</v>
      </c>
      <c r="Z11" s="632">
        <f t="shared" si="6"/>
        <v>0.96559414075354888</v>
      </c>
      <c r="AA11" s="629">
        <f t="shared" si="7"/>
        <v>1.4732087394821057E-2</v>
      </c>
      <c r="AB11" s="629">
        <f t="shared" si="8"/>
        <v>-0.25963613181413547</v>
      </c>
      <c r="AC11" s="636">
        <f t="shared" si="84"/>
        <v>1</v>
      </c>
      <c r="AD11" s="637">
        <f t="shared" ref="AD11:AD105" si="115">IF(M11="","",Z11*(1/SQRT(Z11^2+AA11^2+AB11^2)))</f>
        <v>0.96559414075354888</v>
      </c>
      <c r="AE11" s="629">
        <f t="shared" si="85"/>
        <v>1.4732087394821057E-2</v>
      </c>
      <c r="AF11" s="633">
        <f t="shared" si="86"/>
        <v>-0.25963613181413547</v>
      </c>
      <c r="AG11" s="602">
        <f>IF(M11="","",DEGREES(ATAN2(-AF11,AE11)))</f>
        <v>3.2475538173376943</v>
      </c>
      <c r="AH11" s="603">
        <f t="shared" si="88"/>
        <v>15.073251782436245</v>
      </c>
      <c r="AI11" s="585">
        <f t="shared" si="89"/>
        <v>-74.951527403839535</v>
      </c>
      <c r="AJ11" s="586">
        <f t="shared" si="90"/>
        <v>90.874094932995078</v>
      </c>
      <c r="AK11" s="635">
        <f>IF(M11="","",(COS(RADIANS((90-$Q$8)-W11))*AD11)+(-SIN(RADIANS((90-$Q$8)-W11))*AE11))</f>
        <v>0.96554923611658972</v>
      </c>
      <c r="AL11" s="629">
        <f t="shared" si="91"/>
        <v>1.7428473578116149E-2</v>
      </c>
      <c r="AM11" s="634">
        <f t="shared" si="92"/>
        <v>-0.25963613181413547</v>
      </c>
      <c r="AN11" s="581">
        <f>IF(M11="","",DEGREES(ATAN2(-AM11,AL11)))</f>
        <v>3.8403058917047961</v>
      </c>
      <c r="AO11" s="582">
        <f>IF(ROUND(IF(M11="",0,DEGREES(ACOS(AK11))),4)=90,0,IF(M11="","",DEGREES(ACOS(AK11))))</f>
        <v>15.083142129654252</v>
      </c>
      <c r="AP11" s="585">
        <f t="shared" si="95"/>
        <v>1.0340949098939405</v>
      </c>
      <c r="AQ11" s="586">
        <f t="shared" si="9"/>
        <v>1.1807288448746387</v>
      </c>
      <c r="AS11" s="52">
        <f t="shared" ref="AS11:AS42" si="116">IF(G11="","",IF(AND(W11&lt;(AS10+180),W11&gt;(AS10-180)),W11,IF(W11&gt;(AS10+180),W11-360,IF(W11&lt;(AS10-180),W11+360,"Error"))))</f>
        <v>0.86999987438755966</v>
      </c>
      <c r="AT11" s="72">
        <f t="shared" si="10"/>
        <v>-9.6289179648208226E-2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1.103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4.8651975445466053E-2</v>
      </c>
      <c r="C12" s="708">
        <v>2.7060708454774796</v>
      </c>
      <c r="D12" s="709">
        <v>-0.11780035528587143</v>
      </c>
      <c r="E12" s="710">
        <v>-0.95997932590606116</v>
      </c>
      <c r="F12" s="708">
        <v>0.15176290568465062</v>
      </c>
      <c r="G12" s="711">
        <v>0.23538843278949861</v>
      </c>
      <c r="H12" s="710">
        <v>0.314</v>
      </c>
      <c r="I12" s="708">
        <v>0.52</v>
      </c>
      <c r="J12" s="570">
        <v>1.1040000000000001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1.1040000000000001</v>
      </c>
      <c r="N12" s="632">
        <f t="shared" si="2"/>
        <v>4.8651975445466053E-2</v>
      </c>
      <c r="O12" s="629">
        <f t="shared" si="3"/>
        <v>2.7060708454774796</v>
      </c>
      <c r="P12" s="633">
        <f t="shared" si="4"/>
        <v>-0.11780035528587143</v>
      </c>
      <c r="Q12" s="585">
        <f>IF(M12="","",IF(DEGREES(ATAN2(N12,O12))&lt;0,DEGREES(ATAN2(N12,O12))+360,IF(DEGREES(ATAN2(N12,O12))&gt;360,DEGREES(ATAN2(N12,O12))-360,DEGREES(ATAN2(N12,O12)))))</f>
        <v>88.970000148713581</v>
      </c>
      <c r="R12" s="629">
        <f t="shared" si="79"/>
        <v>2.7065081628286194</v>
      </c>
      <c r="S12" s="634">
        <f t="shared" si="80"/>
        <v>-0.11780035528587143</v>
      </c>
      <c r="T12" s="635">
        <f>IF(M12="","",X12*COS(RADIANS(W12)))</f>
        <v>2.7065081628286194</v>
      </c>
      <c r="U12" s="629">
        <f t="shared" si="82"/>
        <v>0</v>
      </c>
      <c r="V12" s="636">
        <f t="shared" si="114"/>
        <v>-0.11780035528587143</v>
      </c>
      <c r="W12" s="585">
        <f>IF(M12="","",IF(Q12-$Q$8&lt;0,360+Q12-$Q$8,Q12-$Q$8))</f>
        <v>0</v>
      </c>
      <c r="X12" s="629">
        <f t="shared" si="83"/>
        <v>2.7065081628286194</v>
      </c>
      <c r="Y12" s="630">
        <f>IF(M12="","",S12)</f>
        <v>-0.11780035528587143</v>
      </c>
      <c r="Z12" s="632">
        <f t="shared" si="6"/>
        <v>0.95997932590606116</v>
      </c>
      <c r="AA12" s="629">
        <f t="shared" si="7"/>
        <v>-0.15176290568465062</v>
      </c>
      <c r="AB12" s="629">
        <f t="shared" si="8"/>
        <v>-0.23538843278949861</v>
      </c>
      <c r="AC12" s="636">
        <f t="shared" si="84"/>
        <v>1</v>
      </c>
      <c r="AD12" s="637">
        <f t="shared" si="115"/>
        <v>0.95997932590606116</v>
      </c>
      <c r="AE12" s="629">
        <f t="shared" si="85"/>
        <v>-0.15176290568465062</v>
      </c>
      <c r="AF12" s="633">
        <f t="shared" si="86"/>
        <v>-0.23538843278949861</v>
      </c>
      <c r="AG12" s="602">
        <f t="shared" si="87"/>
        <v>-32.811248308848597</v>
      </c>
      <c r="AH12" s="603">
        <f t="shared" si="88"/>
        <v>16.264434667000337</v>
      </c>
      <c r="AI12" s="585">
        <f t="shared" si="89"/>
        <v>-76.385479344050822</v>
      </c>
      <c r="AJ12" s="586">
        <f t="shared" si="90"/>
        <v>81.016471250054948</v>
      </c>
      <c r="AK12" s="635">
        <f t="shared" ref="AK12:AK105" si="211">IF(M12="","",(COS(RADIANS((90-$Q$8)-W12))*AD12)+(-SIN(RADIANS((90-$Q$8)-W12))*AE12))</f>
        <v>0.96255229045151824</v>
      </c>
      <c r="AL12" s="629">
        <f>IF(M12="","",(SIN(RADIANS((90-$Q$8)-W12))*AD12)+(COS(RADIANS((90-$Q$8)-W12))*AE12))</f>
        <v>-0.13448187184687696</v>
      </c>
      <c r="AM12" s="634">
        <f t="shared" si="92"/>
        <v>-0.23538843278949861</v>
      </c>
      <c r="AN12" s="581">
        <f>IF(M12="","",DEGREES(ATAN2(-AM12,AL12)))</f>
        <v>-29.740146205916297</v>
      </c>
      <c r="AO12" s="582">
        <f t="shared" si="94"/>
        <v>15.729500792922698</v>
      </c>
      <c r="AP12" s="585">
        <f t="shared" si="95"/>
        <v>-7.9535288986586377</v>
      </c>
      <c r="AQ12" s="586">
        <f t="shared" si="9"/>
        <v>0.84225218698269932</v>
      </c>
      <c r="AS12" s="52">
        <f t="shared" si="116"/>
        <v>0</v>
      </c>
      <c r="AT12" s="72">
        <f>IF(M12="","",Y12+(((AS12-$AS$9)*$AS$6)*-1))</f>
        <v>-0.11708507761136698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1.1040000000000001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0.1174769342968594</v>
      </c>
      <c r="C13" s="708">
        <v>3.347349279667104</v>
      </c>
      <c r="D13" s="709">
        <v>-0.55700167991706662</v>
      </c>
      <c r="E13" s="710">
        <v>-0.94348503188001442</v>
      </c>
      <c r="F13" s="708">
        <v>0.29264802537863099</v>
      </c>
      <c r="G13" s="711">
        <v>0.1555414023993501</v>
      </c>
      <c r="H13" s="710">
        <v>0.314</v>
      </c>
      <c r="I13" s="708">
        <v>0.52</v>
      </c>
      <c r="J13" s="570">
        <v>1.105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 t="str">
        <f>IF($L12=$JH$22,$JH$29,IF($L12=$JI$22,$JI$29,""))</f>
        <v/>
      </c>
      <c r="M13" s="168">
        <f t="shared" si="1"/>
        <v>1.105</v>
      </c>
      <c r="N13" s="632">
        <f t="shared" si="2"/>
        <v>0.1174769342968594</v>
      </c>
      <c r="O13" s="629">
        <f t="shared" si="3"/>
        <v>3.347349279667104</v>
      </c>
      <c r="P13" s="633">
        <f t="shared" si="4"/>
        <v>-0.55700167991706662</v>
      </c>
      <c r="Q13" s="585">
        <f t="shared" si="113"/>
        <v>87.990000290208059</v>
      </c>
      <c r="R13" s="629">
        <f t="shared" si="79"/>
        <v>3.3494101018208666</v>
      </c>
      <c r="S13" s="634">
        <f t="shared" si="80"/>
        <v>-0.55700167991706662</v>
      </c>
      <c r="T13" s="635">
        <f>IF(M13="","",X13*COS(RADIANS(W13)))</f>
        <v>3.3489201712908159</v>
      </c>
      <c r="U13" s="629">
        <f t="shared" si="82"/>
        <v>-5.7286267998172588E-2</v>
      </c>
      <c r="V13" s="636">
        <f t="shared" si="114"/>
        <v>-0.55700167991706662</v>
      </c>
      <c r="W13" s="585">
        <f t="shared" si="5"/>
        <v>359.02000014149451</v>
      </c>
      <c r="X13" s="629">
        <f t="shared" si="83"/>
        <v>3.3494101018208666</v>
      </c>
      <c r="Y13" s="630">
        <f>IF(M13="","",S13)</f>
        <v>-0.55700167991706662</v>
      </c>
      <c r="Z13" s="632">
        <f t="shared" si="6"/>
        <v>0.94348503188001442</v>
      </c>
      <c r="AA13" s="629">
        <f t="shared" si="7"/>
        <v>-0.29264802537863099</v>
      </c>
      <c r="AB13" s="629">
        <f t="shared" si="8"/>
        <v>-0.1555414023993501</v>
      </c>
      <c r="AC13" s="636">
        <f t="shared" si="84"/>
        <v>1</v>
      </c>
      <c r="AD13" s="637">
        <f>IF(M13="","",Z13*(1/SQRT(Z13^2+AA13^2+AB13^2)))</f>
        <v>0.94348503188001442</v>
      </c>
      <c r="AE13" s="629">
        <f t="shared" si="85"/>
        <v>-0.29264802537863099</v>
      </c>
      <c r="AF13" s="633">
        <f t="shared" si="86"/>
        <v>-0.1555414023993501</v>
      </c>
      <c r="AG13" s="602">
        <f>IF(M13="","",DEGREES(ATAN2(-AF13,AE13)))</f>
        <v>-62.009511802928891</v>
      </c>
      <c r="AH13" s="603">
        <f t="shared" si="88"/>
        <v>19.354691212302576</v>
      </c>
      <c r="AI13" s="585">
        <f t="shared" si="89"/>
        <v>-81.051802842667058</v>
      </c>
      <c r="AJ13" s="586">
        <f t="shared" si="90"/>
        <v>72.767275015395953</v>
      </c>
      <c r="AK13" s="635">
        <f t="shared" si="211"/>
        <v>0.95316883798558394</v>
      </c>
      <c r="AL13" s="629">
        <f t="shared" si="91"/>
        <v>-0.25937624878322102</v>
      </c>
      <c r="AM13" s="634">
        <f t="shared" si="92"/>
        <v>-0.1555414023993501</v>
      </c>
      <c r="AN13" s="581">
        <f t="shared" si="93"/>
        <v>-59.049945494206952</v>
      </c>
      <c r="AO13" s="582">
        <f t="shared" si="94"/>
        <v>17.604136038579369</v>
      </c>
      <c r="AP13" s="585">
        <f t="shared" si="95"/>
        <v>-15.222725274812122</v>
      </c>
      <c r="AQ13" s="586">
        <f t="shared" si="9"/>
        <v>0.68060325090409668</v>
      </c>
      <c r="AS13" s="52">
        <f t="shared" si="116"/>
        <v>-0.97999985850549365</v>
      </c>
      <c r="AT13" s="72">
        <f t="shared" si="10"/>
        <v>-0.5556058467852667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1.105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0.15989583260988227</v>
      </c>
      <c r="C14" s="708">
        <v>3.647608112563907</v>
      </c>
      <c r="D14" s="709">
        <v>-1.2666038200771212</v>
      </c>
      <c r="E14" s="710">
        <v>-0.86817284090769886</v>
      </c>
      <c r="F14" s="708">
        <v>0.48263110375385698</v>
      </c>
      <c r="G14" s="711">
        <v>0.11551249282908445</v>
      </c>
      <c r="H14" s="710">
        <v>0.314</v>
      </c>
      <c r="I14" s="708">
        <v>0.52</v>
      </c>
      <c r="J14" s="570">
        <v>1.1060000000000001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1.1060000000000001</v>
      </c>
      <c r="N14" s="632">
        <f t="shared" si="2"/>
        <v>0.15989583260988227</v>
      </c>
      <c r="O14" s="629">
        <f t="shared" si="3"/>
        <v>3.647608112563907</v>
      </c>
      <c r="P14" s="633">
        <f t="shared" si="4"/>
        <v>-1.2666038200771212</v>
      </c>
      <c r="Q14" s="585">
        <f t="shared" si="113"/>
        <v>87.490000362399101</v>
      </c>
      <c r="R14" s="629">
        <f t="shared" si="79"/>
        <v>3.6511110117508121</v>
      </c>
      <c r="S14" s="634">
        <f t="shared" si="80"/>
        <v>-1.2666038200771212</v>
      </c>
      <c r="T14" s="635">
        <f t="shared" si="81"/>
        <v>3.6498930071336408</v>
      </c>
      <c r="U14" s="629">
        <f t="shared" si="82"/>
        <v>-9.4300883373308844E-2</v>
      </c>
      <c r="V14" s="636">
        <f t="shared" si="114"/>
        <v>-1.2666038200771212</v>
      </c>
      <c r="W14" s="585">
        <f t="shared" si="5"/>
        <v>358.52000021368553</v>
      </c>
      <c r="X14" s="629">
        <f t="shared" si="83"/>
        <v>3.6511110117508121</v>
      </c>
      <c r="Y14" s="630">
        <f t="shared" ref="Y14:Y75" si="223">IF(M14="","",S14)</f>
        <v>-1.2666038200771212</v>
      </c>
      <c r="Z14" s="632">
        <f t="shared" si="6"/>
        <v>0.86817284090769886</v>
      </c>
      <c r="AA14" s="629">
        <f t="shared" si="7"/>
        <v>-0.48263110375385698</v>
      </c>
      <c r="AB14" s="629">
        <f t="shared" si="8"/>
        <v>-0.11551249282908445</v>
      </c>
      <c r="AC14" s="636">
        <f t="shared" si="84"/>
        <v>1</v>
      </c>
      <c r="AD14" s="637">
        <f>IF(M14="","",Z14*(1/SQRT(Z14^2+AA14^2+AB14^2)))</f>
        <v>0.86817284090769886</v>
      </c>
      <c r="AE14" s="629">
        <f t="shared" si="85"/>
        <v>-0.48263110375385698</v>
      </c>
      <c r="AF14" s="633">
        <f t="shared" si="86"/>
        <v>-0.11551249282908445</v>
      </c>
      <c r="AG14" s="602">
        <f t="shared" si="87"/>
        <v>-76.540076661843202</v>
      </c>
      <c r="AH14" s="603">
        <f t="shared" si="88"/>
        <v>29.752998909642432</v>
      </c>
      <c r="AI14" s="585">
        <f t="shared" si="89"/>
        <v>-83.366814276333315</v>
      </c>
      <c r="AJ14" s="586">
        <f t="shared" si="90"/>
        <v>60.929620604582546</v>
      </c>
      <c r="AK14" s="635">
        <f>IF(M14="","",(COS(RADIANS((90-$Q$8)-W14))*AD14)+(-SIN(RADIANS((90-$Q$8)-W14))*AE14))</f>
        <v>0.88847613489165678</v>
      </c>
      <c r="AL14" s="629">
        <f t="shared" si="91"/>
        <v>-0.44414752248368267</v>
      </c>
      <c r="AM14" s="634">
        <f t="shared" si="92"/>
        <v>-0.11551249282908445</v>
      </c>
      <c r="AN14" s="581">
        <f t="shared" si="93"/>
        <v>-75.421658993053455</v>
      </c>
      <c r="AO14" s="582">
        <f t="shared" si="94"/>
        <v>27.317621075933733</v>
      </c>
      <c r="AP14" s="585">
        <f>IF(M14="","",DEGREES(ATAN2(AK14,AL14)))</f>
        <v>-26.560379757816513</v>
      </c>
      <c r="AQ14" s="586">
        <f t="shared" si="9"/>
        <v>0.62436786618217044</v>
      </c>
      <c r="AS14" s="52">
        <f t="shared" si="116"/>
        <v>-1.4799997863144654</v>
      </c>
      <c r="AT14" s="72">
        <f t="shared" si="10"/>
        <v>-1.2648607647732317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1.1060000000000001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0.16612567320298272</v>
      </c>
      <c r="C15" s="708">
        <v>3.6867702214335671</v>
      </c>
      <c r="D15" s="709">
        <v>-2.0462061713578126</v>
      </c>
      <c r="E15" s="710">
        <v>-0.8317652532255333</v>
      </c>
      <c r="F15" s="708">
        <v>0.55077745248487975</v>
      </c>
      <c r="G15" s="711">
        <v>6.9359652254973148E-2</v>
      </c>
      <c r="H15" s="710">
        <v>0.314</v>
      </c>
      <c r="I15" s="708">
        <v>0.52</v>
      </c>
      <c r="J15" s="570">
        <v>1.107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873" t="str">
        <f>IF($L14=$JH$22,$JH$29,IF($L14=$JI$22,$JI$29,""))</f>
        <v/>
      </c>
      <c r="M15" s="168">
        <f t="shared" si="1"/>
        <v>1.107</v>
      </c>
      <c r="N15" s="632">
        <f t="shared" si="2"/>
        <v>0.16612567320298272</v>
      </c>
      <c r="O15" s="629">
        <f t="shared" si="3"/>
        <v>3.6867702214335671</v>
      </c>
      <c r="P15" s="633">
        <f t="shared" si="4"/>
        <v>-2.0462061713578126</v>
      </c>
      <c r="Q15" s="585">
        <f t="shared" si="113"/>
        <v>87.420000372505854</v>
      </c>
      <c r="R15" s="629">
        <f t="shared" si="79"/>
        <v>3.6905111305815699</v>
      </c>
      <c r="S15" s="634">
        <f t="shared" si="80"/>
        <v>-2.0462061713578126</v>
      </c>
      <c r="T15" s="635">
        <f t="shared" si="81"/>
        <v>3.6891607753121383</v>
      </c>
      <c r="U15" s="629">
        <f t="shared" si="82"/>
        <v>-9.9825742395428227E-2</v>
      </c>
      <c r="V15" s="636">
        <f t="shared" si="114"/>
        <v>-2.0462061713578126</v>
      </c>
      <c r="W15" s="585">
        <f t="shared" ref="W15:W78" si="224">IF(M15="","",IF(Q15-$Q$8&lt;0,360+Q15-$Q$8,Q15-$Q$8))</f>
        <v>358.45000022379224</v>
      </c>
      <c r="X15" s="629">
        <f>IF(M15="","",R15)</f>
        <v>3.6905111305815699</v>
      </c>
      <c r="Y15" s="630">
        <f>IF(M15="","",S15)</f>
        <v>-2.0462061713578126</v>
      </c>
      <c r="Z15" s="632">
        <f t="shared" si="6"/>
        <v>0.8317652532255333</v>
      </c>
      <c r="AA15" s="629">
        <f t="shared" si="7"/>
        <v>-0.55077745248487975</v>
      </c>
      <c r="AB15" s="629">
        <f t="shared" si="8"/>
        <v>-6.9359652254973148E-2</v>
      </c>
      <c r="AC15" s="636">
        <f t="shared" si="84"/>
        <v>1</v>
      </c>
      <c r="AD15" s="637">
        <f t="shared" si="115"/>
        <v>0.8317652532255333</v>
      </c>
      <c r="AE15" s="629">
        <f t="shared" si="85"/>
        <v>-0.55077745248487975</v>
      </c>
      <c r="AF15" s="633">
        <f t="shared" si="86"/>
        <v>-6.9359652254973148E-2</v>
      </c>
      <c r="AG15" s="602">
        <f t="shared" si="87"/>
        <v>-82.82249900423929</v>
      </c>
      <c r="AH15" s="603">
        <f t="shared" si="88"/>
        <v>33.719498494632624</v>
      </c>
      <c r="AI15" s="585">
        <f t="shared" si="89"/>
        <v>-86.022791399643395</v>
      </c>
      <c r="AJ15" s="586">
        <f t="shared" si="90"/>
        <v>56.48831202399473</v>
      </c>
      <c r="AK15" s="635">
        <f t="shared" si="211"/>
        <v>0.85571497555582898</v>
      </c>
      <c r="AL15" s="629">
        <f t="shared" si="91"/>
        <v>-0.51277784590264475</v>
      </c>
      <c r="AM15" s="634">
        <f t="shared" si="92"/>
        <v>-6.9359652254973148E-2</v>
      </c>
      <c r="AN15" s="581">
        <f>IF(M15="","",DEGREES(ATAN2(-AM15,AL15)))</f>
        <v>-82.296777537235755</v>
      </c>
      <c r="AO15" s="582">
        <f t="shared" si="94"/>
        <v>31.16118781937822</v>
      </c>
      <c r="AP15" s="585">
        <f t="shared" si="95"/>
        <v>-30.931688348511067</v>
      </c>
      <c r="AQ15" s="586">
        <f t="shared" si="9"/>
        <v>0.61770259656298487</v>
      </c>
      <c r="AS15" s="52">
        <f t="shared" si="116"/>
        <v>-1.5499997762077555</v>
      </c>
      <c r="AT15" s="72">
        <f t="shared" si="10"/>
        <v>-2.0444145049498306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1.107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30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0.88392559313328523</v>
      </c>
      <c r="C16" s="708">
        <v>1.7162475916382138</v>
      </c>
      <c r="D16" s="709">
        <v>-2.7100000000000093E-2</v>
      </c>
      <c r="E16" s="710">
        <v>-7.9508970961282288E-2</v>
      </c>
      <c r="F16" s="708">
        <v>-0.15437620653366163</v>
      </c>
      <c r="G16" s="711">
        <v>0.98480775301220813</v>
      </c>
      <c r="H16" s="710">
        <v>0.22499999999999998</v>
      </c>
      <c r="I16" s="708">
        <v>0.33200000000000002</v>
      </c>
      <c r="J16" s="570">
        <v>1.2010000000000001</v>
      </c>
      <c r="K16" s="865" t="str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Inactive</v>
      </c>
      <c r="L16" s="320"/>
      <c r="M16" s="168">
        <f t="shared" si="1"/>
        <v>1.2010000000000001</v>
      </c>
      <c r="N16" s="632">
        <f t="shared" si="2"/>
        <v>0.88392559313328523</v>
      </c>
      <c r="O16" s="629">
        <f t="shared" si="3"/>
        <v>1.7162475916382138</v>
      </c>
      <c r="P16" s="633">
        <f t="shared" si="4"/>
        <v>-2.7100000000000093E-2</v>
      </c>
      <c r="Q16" s="585">
        <f>IF(M16="","",IF(DEGREES(ATAN2(N16,O16))&lt;0,DEGREES(ATAN2(N16,O16))+360,IF(DEGREES(ATAN2(N16,O16))&gt;360,DEGREES(ATAN2(N16,O16))-360,DEGREES(ATAN2(N16,O16)))))</f>
        <v>62.749999999999993</v>
      </c>
      <c r="R16" s="629">
        <f t="shared" si="79"/>
        <v>1.9304999999999999</v>
      </c>
      <c r="S16" s="634">
        <f t="shared" si="80"/>
        <v>-2.7100000000000093E-2</v>
      </c>
      <c r="T16" s="635">
        <f t="shared" si="81"/>
        <v>1.7318596566533462</v>
      </c>
      <c r="U16" s="629">
        <f t="shared" si="82"/>
        <v>-0.85293163832545993</v>
      </c>
      <c r="V16" s="636">
        <f t="shared" si="114"/>
        <v>-2.7100000000000093E-2</v>
      </c>
      <c r="W16" s="585">
        <f>IF(M16="","",IF(Q16-$Q$8&lt;0,360+Q16-$Q$8,Q16-$Q$8))</f>
        <v>333.77999985128645</v>
      </c>
      <c r="X16" s="629">
        <f t="shared" si="83"/>
        <v>1.9304999999999999</v>
      </c>
      <c r="Y16" s="630">
        <f t="shared" si="223"/>
        <v>-2.7100000000000093E-2</v>
      </c>
      <c r="Z16" s="632">
        <f t="shared" si="6"/>
        <v>7.9508970961282288E-2</v>
      </c>
      <c r="AA16" s="629">
        <f t="shared" si="7"/>
        <v>0.15437620653366163</v>
      </c>
      <c r="AB16" s="629">
        <f t="shared" si="8"/>
        <v>-0.98480775301220813</v>
      </c>
      <c r="AC16" s="636">
        <f t="shared" si="84"/>
        <v>1</v>
      </c>
      <c r="AD16" s="637">
        <f t="shared" si="115"/>
        <v>7.9508970961282288E-2</v>
      </c>
      <c r="AE16" s="629">
        <f t="shared" si="85"/>
        <v>0.15437620653366163</v>
      </c>
      <c r="AF16" s="633">
        <f t="shared" si="86"/>
        <v>-0.98480775301220813</v>
      </c>
      <c r="AG16" s="602">
        <f t="shared" si="87"/>
        <v>8.9090532269334357</v>
      </c>
      <c r="AH16" s="603">
        <f t="shared" si="88"/>
        <v>85.439658061891848</v>
      </c>
      <c r="AI16" s="585">
        <f t="shared" si="89"/>
        <v>-9.9999999999999751</v>
      </c>
      <c r="AJ16" s="586">
        <f t="shared" si="90"/>
        <v>152.75</v>
      </c>
      <c r="AK16" s="635">
        <f t="shared" si="211"/>
        <v>4.163336342344337E-17</v>
      </c>
      <c r="AL16" s="629">
        <f t="shared" si="91"/>
        <v>0.17364817766693028</v>
      </c>
      <c r="AM16" s="634">
        <f t="shared" si="92"/>
        <v>-0.98480775301220813</v>
      </c>
      <c r="AN16" s="581">
        <f t="shared" si="93"/>
        <v>9.9999999999999964</v>
      </c>
      <c r="AO16" s="582">
        <f t="shared" si="94"/>
        <v>0</v>
      </c>
      <c r="AP16" s="585">
        <f t="shared" si="95"/>
        <v>89.999999999999986</v>
      </c>
      <c r="AQ16" s="586">
        <f t="shared" si="9"/>
        <v>1.1807324049554564</v>
      </c>
      <c r="AS16" s="52">
        <f t="shared" si="116"/>
        <v>-26.220000148713552</v>
      </c>
      <c r="AT16" s="72">
        <f t="shared" si="10"/>
        <v>-8.1763888888890003E-3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>Nose</v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1.2010000000000001</v>
      </c>
      <c r="IH16" s="731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>1.101</v>
      </c>
      <c r="II16" s="734" cm="1">
        <f t="array" ref="II16">IFERROR(ROUND(VALUE(IF($IH16&lt;1,$IH16+LARGE((IF($M$9:$M$150="",0,$M$9:$M$150)-MOD(IF($M$9:$M$150="",0,$M$9:$M$150),1)),1),$IH16)),4),"")</f>
        <v>1.101</v>
      </c>
      <c r="IJ16" s="533">
        <f t="shared" si="112"/>
        <v>1613</v>
      </c>
      <c r="IK16" s="533" t="str">
        <f t="shared" si="66"/>
        <v>Inactive</v>
      </c>
      <c r="IL16" s="727">
        <f>IF(ISNUMBER($II16),IFERROR(IF(INDEX($W$9:$W$150,MATCH($II16,$M$9:$M$150,0))&lt;$W16,((INDEX($W$9:$W$150,MATCH($II16,$M$9:$M$150,0))+360)-$W16),INDEX($W$9:$W$150,MATCH($II16,$M$9:$M$150,0))-$W16),""),"")</f>
        <v>27.25</v>
      </c>
      <c r="IM16" s="759">
        <v>1.1369355648416399</v>
      </c>
      <c r="IN16" s="5">
        <f>IF(ISNUMBER($II16),(($IO16*12)/60)/$AS$3,"")</f>
        <v>0</v>
      </c>
      <c r="IO16" s="771">
        <v>0</v>
      </c>
      <c r="IP16" s="9">
        <f>IF(ISNUMBER($II16),(INDEX($X$9:$X$150,MATCH($II16,$M$9:$M$150,0))*-1),"")</f>
        <v>-0.41130124048454136</v>
      </c>
      <c r="IQ16" s="5">
        <f>IF(ISNUMBER($II16),INDEX($Y$9:$Y$150,MATCH($II16,$M$9:$M$150,0)),"")</f>
        <v>-0.50390151976698372</v>
      </c>
      <c r="IR16" s="5">
        <f t="shared" si="71"/>
        <v>0.314</v>
      </c>
      <c r="IS16" s="5">
        <f>IF(ISNUMBER($II16),$IR16*COS(RADIANS(INDEX($AO$9:$AO$150,MATCH($II16,$M$9:$M$150,0)))),"")</f>
        <v>0.29506348833932705</v>
      </c>
      <c r="IT16" s="727">
        <f>IF(ISNUMBER($II16),(-1*INDEX($AN$9:$AN$150,MATCH($II16,$M$9:$M$150,0))),"")</f>
        <v>-14.999997834268274</v>
      </c>
      <c r="IU16" s="9">
        <f>IF(ISNUMBER($II16),-$X16,"")</f>
        <v>-1.9304999999999999</v>
      </c>
      <c r="IV16" s="5">
        <f>IF(ISNUMBER($II16),$Y16,"")</f>
        <v>-2.7100000000000093E-2</v>
      </c>
      <c r="IW16" s="5">
        <f t="shared" si="76"/>
        <v>0.22499999999999998</v>
      </c>
      <c r="IX16" s="5">
        <f>IF(ISNUMBER($II16),$IW16*COS(RADIANS($AO16)),"")</f>
        <v>0.22499999999999998</v>
      </c>
      <c r="IY16" s="762">
        <f>IF(ISNUMBER($II16),(-1*$AN16),"")</f>
        <v>-9.9999999999999964</v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1.0138758029295878</v>
      </c>
      <c r="C17" s="708">
        <v>2.5094306708279142</v>
      </c>
      <c r="D17" s="709">
        <v>-9.0100355285871597E-2</v>
      </c>
      <c r="E17" s="710">
        <v>7.6605348163234513E-2</v>
      </c>
      <c r="F17" s="708">
        <v>0.18960549556172931</v>
      </c>
      <c r="G17" s="711">
        <v>0.97886739484241725</v>
      </c>
      <c r="H17" s="710">
        <v>0.26250000000000001</v>
      </c>
      <c r="I17" s="708">
        <v>0.40699999999999997</v>
      </c>
      <c r="J17" s="570">
        <v>1.202</v>
      </c>
      <c r="K17" s="865" t="str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Inactive</v>
      </c>
      <c r="M17" s="168">
        <f t="shared" si="1"/>
        <v>1.202</v>
      </c>
      <c r="N17" s="632">
        <f t="shared" si="2"/>
        <v>1.0138758029295878</v>
      </c>
      <c r="O17" s="629">
        <f t="shared" si="3"/>
        <v>2.5094306708279142</v>
      </c>
      <c r="P17" s="633">
        <f t="shared" si="4"/>
        <v>-9.0100355285871597E-2</v>
      </c>
      <c r="Q17" s="585">
        <f>IF(M17="","",IF(DEGREES(ATAN2(N17,O17))&lt;0,DEGREES(ATAN2(N17,O17))+360,IF(DEGREES(ATAN2(N17,O17))&gt;360,DEGREES(ATAN2(N17,O17))-360,DEGREES(ATAN2(N17,O17)))))</f>
        <v>68</v>
      </c>
      <c r="R17" s="629">
        <f>IF(M17="","",SQRT(N17^2+O17^2))</f>
        <v>2.7065081628286198</v>
      </c>
      <c r="S17" s="634">
        <f>IF(M17="","",P17)</f>
        <v>-9.0100355285871597E-2</v>
      </c>
      <c r="T17" s="635">
        <f>IF(M17="","",X17*COS(RADIANS(W17)))</f>
        <v>2.5272505480251963</v>
      </c>
      <c r="U17" s="629">
        <f>IF(M17="","",X17*SIN(RADIANS(W17)))</f>
        <v>-0.96860265484061892</v>
      </c>
      <c r="V17" s="636">
        <f>IF(M17="","",Y17)</f>
        <v>-9.0100355285871597E-2</v>
      </c>
      <c r="W17" s="585">
        <f t="shared" si="224"/>
        <v>339.02999985128645</v>
      </c>
      <c r="X17" s="629">
        <f>IF(M17="","",R17)</f>
        <v>2.7065081628286198</v>
      </c>
      <c r="Y17" s="630">
        <f t="shared" si="223"/>
        <v>-9.0100355285871597E-2</v>
      </c>
      <c r="Z17" s="632">
        <f t="shared" si="6"/>
        <v>-7.6605348163234513E-2</v>
      </c>
      <c r="AA17" s="629">
        <f t="shared" si="7"/>
        <v>-0.18960549556172931</v>
      </c>
      <c r="AB17" s="629">
        <f t="shared" si="8"/>
        <v>-0.97886739484241725</v>
      </c>
      <c r="AC17" s="636">
        <f>IF(M17="","",SQRT(Z17^2+AA17^2+AB17^2))</f>
        <v>1</v>
      </c>
      <c r="AD17" s="637">
        <f>IF(M17="","",Z17*(1/SQRT(Z17^2+AA17^2+AB17^2)))</f>
        <v>-7.6605348163234513E-2</v>
      </c>
      <c r="AE17" s="629">
        <f>IF(M17="","",AA17*(1/SQRT(Z17^2+AA17^2+AB17^2)))</f>
        <v>-0.18960549556172931</v>
      </c>
      <c r="AF17" s="633">
        <f>IF(M17="","",AB17*(1/SQRT(Z17^2+AA17^2+AB17^2)))</f>
        <v>-0.97886739484241725</v>
      </c>
      <c r="AG17" s="602">
        <f>IF(M17="","",DEGREES(ATAN2(-AF17,AE17)))</f>
        <v>-10.962372401592205</v>
      </c>
      <c r="AH17" s="603">
        <f>IF(M17="","",DEGREES(ACOS(AD17)))</f>
        <v>94.393467393217392</v>
      </c>
      <c r="AI17" s="585">
        <f>IF(M17="","",DEGREES(-ACOS(-AF17)))</f>
        <v>-11.799998296298066</v>
      </c>
      <c r="AJ17" s="586">
        <f>IF(M17="","",DEGREES(ATAN2(-AE17,AD17)))</f>
        <v>-21.999936456512835</v>
      </c>
      <c r="AK17" s="635">
        <f>IF(M17="","",(COS(RADIANS((90-$Q$8)-W17))*AD17)+(-SIN(RADIANS((90-$Q$8)-W17))*AE17))</f>
        <v>2.2679489677934761E-7</v>
      </c>
      <c r="AL17" s="629">
        <f>IF(M17="","",(SIN(RADIANS((90-$Q$8)-W17))*AD17)+(COS(RADIANS((90-$Q$8)-W17))*AE17))</f>
        <v>-0.20449602273483927</v>
      </c>
      <c r="AM17" s="634">
        <f>IF(M17="","",AF17)</f>
        <v>-0.97886739484241725</v>
      </c>
      <c r="AN17" s="581">
        <f>IF(M17="","",DEGREES(ATAN2(-AM17,AL17)))</f>
        <v>-11.799998296291037</v>
      </c>
      <c r="AO17" s="582">
        <f t="shared" si="94"/>
        <v>0</v>
      </c>
      <c r="AP17" s="585">
        <f>IF(M17="","",DEGREES(ATAN2(AK17,AL17)))</f>
        <v>-89.999936456512813</v>
      </c>
      <c r="AQ17" s="586">
        <f t="shared" si="9"/>
        <v>0.8422521869826991</v>
      </c>
      <c r="AS17" s="52">
        <f t="shared" si="116"/>
        <v>-20.970000148713552</v>
      </c>
      <c r="AT17" s="72">
        <f t="shared" si="10"/>
        <v>-7.4822577508093846E-2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>Nose</v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1.202</v>
      </c>
      <c r="IH17" s="731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>1.1020000000000001</v>
      </c>
      <c r="II17" s="734" cm="1">
        <f t="array" ref="II17">IFERROR(ROUND(VALUE(IF($IH17&lt;1,$IH17+LARGE((IF($M$9:$M$150="",0,$M$9:$M$150)-MOD(IF($M$9:$M$150="",0,$M$9:$M$150),1)),1),$IH17)),4),"")</f>
        <v>1.1020000000000001</v>
      </c>
      <c r="IJ17" s="533">
        <f t="shared" si="112"/>
        <v>1613</v>
      </c>
      <c r="IK17" s="533" t="str">
        <f t="shared" si="66"/>
        <v>Inactive</v>
      </c>
      <c r="IL17" s="727">
        <f t="shared" ref="IL17:IL80" si="225">IF(ISNUMBER($II17),IFERROR(IF(INDEX($W$9:$W$150,MATCH($II17,$M$9:$M$150,0))&lt;$W17,((INDEX($W$9:$W$150,MATCH($II17,$M$9:$M$150,0))+360)-$W17),INDEX($W$9:$W$150,MATCH($II17,$M$9:$M$150,0))-$W17),""),"")</f>
        <v>22</v>
      </c>
      <c r="IM17" s="759">
        <v>1.12037212090025</v>
      </c>
      <c r="IN17" s="5">
        <f t="shared" ref="IN17:IN80" si="226">IF(ISNUMBER($II17),(($IO17*12)/60)/$AS$3,"")</f>
        <v>0</v>
      </c>
      <c r="IO17" s="771">
        <v>0</v>
      </c>
      <c r="IP17" s="9">
        <f t="shared" ref="IP17:IP80" si="227">IF(ISNUMBER($II17),(INDEX($X$9:$X$150,MATCH($II17,$M$9:$M$150,0))*-1),"")</f>
        <v>-1.1810035619067427</v>
      </c>
      <c r="IQ17" s="5">
        <f t="shared" ref="IQ17:IQ80" si="228">IF(ISNUMBER($II17),INDEX($Y$9:$Y$150,MATCH($II17,$M$9:$M$150,0)),"")</f>
        <v>-0.29770089786590803</v>
      </c>
      <c r="IR17" s="5">
        <f t="shared" si="71"/>
        <v>0.314</v>
      </c>
      <c r="IS17" s="5">
        <f t="shared" ref="IS17:IS80" si="229">IF(ISNUMBER($II17),$IR17*COS(RADIANS(INDEX($AO$9:$AO$150,MATCH($II17,$M$9:$M$150,0)))),"")</f>
        <v>0.30330071252667312</v>
      </c>
      <c r="IT17" s="727">
        <f t="shared" ref="IT17:IT80" si="230">IF(ISNUMBER($II17),(-1*INDEX($AN$9:$AN$150,MATCH($II17,$M$9:$M$150,0))),"")</f>
        <v>-14.999997834268267</v>
      </c>
      <c r="IU17" s="9">
        <f t="shared" ref="IU17:IU80" si="231">IF(ISNUMBER($II17),-$X17,"")</f>
        <v>-2.7065081628286198</v>
      </c>
      <c r="IV17" s="5">
        <f t="shared" ref="IV17:IV80" si="232">IF(ISNUMBER($II17),$Y17,"")</f>
        <v>-9.0100355285871597E-2</v>
      </c>
      <c r="IW17" s="5">
        <f t="shared" si="76"/>
        <v>0.26250000000000001</v>
      </c>
      <c r="IX17" s="5">
        <f t="shared" ref="IX17:IX80" si="233">IF(ISNUMBER($II17),$IW17*COS(RADIANS($AO17)),"")</f>
        <v>0.26250000000000001</v>
      </c>
      <c r="IY17" s="762">
        <f t="shared" ref="IY17:IY80" si="234">IF(ISNUMBER($II17),(-1*$AN17),"")</f>
        <v>11.799998296291037</v>
      </c>
    </row>
    <row r="18" spans="1:269" ht="15" customHeight="1" x14ac:dyDescent="0.25">
      <c r="A18" s="79"/>
      <c r="B18" s="707">
        <v>2.1339858394028908</v>
      </c>
      <c r="C18" s="708">
        <v>1.446988398681508</v>
      </c>
      <c r="D18" s="709">
        <v>-8.2900250027154093E-2</v>
      </c>
      <c r="E18" s="710">
        <v>-0.4492738110781147</v>
      </c>
      <c r="F18" s="708">
        <v>0.85918075461195087</v>
      </c>
      <c r="G18" s="711">
        <v>0.24487031993237804</v>
      </c>
      <c r="H18" s="710">
        <v>0.314</v>
      </c>
      <c r="I18" s="708">
        <v>0.52</v>
      </c>
      <c r="J18" s="570">
        <v>2.101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1613</v>
      </c>
      <c r="L18" s="779" t="s">
        <v>331</v>
      </c>
      <c r="M18" s="168">
        <f t="shared" si="1"/>
        <v>2.101</v>
      </c>
      <c r="N18" s="632">
        <f t="shared" si="2"/>
        <v>2.1339858394028908</v>
      </c>
      <c r="O18" s="629">
        <f t="shared" si="3"/>
        <v>1.446988398681508</v>
      </c>
      <c r="P18" s="633">
        <f t="shared" si="4"/>
        <v>-8.2900250027154093E-2</v>
      </c>
      <c r="Q18" s="585">
        <f t="shared" si="113"/>
        <v>34.139956087623418</v>
      </c>
      <c r="R18" s="629">
        <f>IF(M18="","",SQRT(N18^2+O18^2))</f>
        <v>2.5783077761762532</v>
      </c>
      <c r="S18" s="634">
        <f>IF(M18="","",P18)</f>
        <v>-8.2900250027154093E-2</v>
      </c>
      <c r="T18" s="635">
        <f>IF(M18="","",X18*COS(RADIANS(W18)))</f>
        <v>1.4851149541241182</v>
      </c>
      <c r="U18" s="629">
        <f>IF(M18="","",X18*SIN(RADIANS(W18)))</f>
        <v>-2.1076300818046447</v>
      </c>
      <c r="V18" s="636">
        <f>IF(M18="","",Y18)</f>
        <v>-8.2900250027154093E-2</v>
      </c>
      <c r="W18" s="585">
        <f t="shared" si="224"/>
        <v>305.16995593890988</v>
      </c>
      <c r="X18" s="629">
        <f>IF(M18="","",R18)</f>
        <v>2.5783077761762532</v>
      </c>
      <c r="Y18" s="630">
        <f t="shared" si="223"/>
        <v>-8.2900250027154093E-2</v>
      </c>
      <c r="Z18" s="632">
        <f t="shared" si="6"/>
        <v>0.4492738110781147</v>
      </c>
      <c r="AA18" s="629">
        <f t="shared" si="7"/>
        <v>-0.85918075461195087</v>
      </c>
      <c r="AB18" s="629">
        <f t="shared" si="8"/>
        <v>-0.24487031993237804</v>
      </c>
      <c r="AC18" s="636">
        <f>IF(M18="","",SQRT(Z18^2+AA18^2+AB18^2))</f>
        <v>1</v>
      </c>
      <c r="AD18" s="637">
        <f>IF(M18="","",Z18*(1/SQRT(Z18^2+AA18^2+AB18^2)))</f>
        <v>0.4492738110781147</v>
      </c>
      <c r="AE18" s="629">
        <f>IF(M18="","",AA18*(1/SQRT(Z18^2+AA18^2+AB18^2)))</f>
        <v>-0.85918075461195087</v>
      </c>
      <c r="AF18" s="633">
        <f>IF(M18="","",AB18*(1/SQRT(Z18^2+AA18^2+AB18^2)))</f>
        <v>-0.24487031993237804</v>
      </c>
      <c r="AG18" s="602">
        <f>IF(M18="","",DEGREES(ATAN2(-AF18,AE18)))</f>
        <v>-74.092213397569793</v>
      </c>
      <c r="AH18" s="603">
        <f>IF(M18="","",DEGREES(ACOS(AD18)))</f>
        <v>63.302898035805782</v>
      </c>
      <c r="AI18" s="585">
        <f>IF(M18="","",DEGREES(-ACOS(-AF18)))</f>
        <v>-75.825829828066603</v>
      </c>
      <c r="AJ18" s="586">
        <f>IF(M18="","",DEGREES(ATAN2(-AE18,AD18)))</f>
        <v>27.605497145134773</v>
      </c>
      <c r="AK18" s="635">
        <f>IF(M18="","",(COS(RADIANS((90-$Q$8)-W18))*AD18)+(-SIN(RADIANS((90-$Q$8)-W18))*AE18))</f>
        <v>0.96325721050033219</v>
      </c>
      <c r="AL18" s="629">
        <f>IF(M18="","",(SIN(RADIANS((90-$Q$8)-W18))*AD18)+(COS(RADIANS((90-$Q$8)-W18))*AE18))</f>
        <v>-0.11033618098943526</v>
      </c>
      <c r="AM18" s="634">
        <f>IF(M18="","",AF18)</f>
        <v>-0.24487031993237804</v>
      </c>
      <c r="AN18" s="581">
        <f>IF(M18="","",DEGREES(ATAN2(-AM18,AL18)))</f>
        <v>-24.255863325319723</v>
      </c>
      <c r="AO18" s="582">
        <f t="shared" si="94"/>
        <v>15.579822585018933</v>
      </c>
      <c r="AP18" s="585">
        <f>IF(M18="","",DEGREES(ATAN2(AK18,AL18)))</f>
        <v>-6.5344589424886799</v>
      </c>
      <c r="AQ18" s="586">
        <f t="shared" si="9"/>
        <v>0.88412473735574149</v>
      </c>
      <c r="AS18" s="52">
        <f t="shared" si="116"/>
        <v>-54.830044061090121</v>
      </c>
      <c r="AT18" s="72">
        <f t="shared" si="10"/>
        <v>-4.4108552865781497E-2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2.101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IFERROR(ROUND(VALUE(IF($IH18&lt;1,$IH18+LARGE((IF($M$9:$M$150="",0,$M$9:$M$150)-MOD(IF($M$9:$M$150="",0,$M$9:$M$150),1)),1),$IH18)),4),"")</f>
        <v/>
      </c>
      <c r="IJ18" s="533">
        <f t="shared" si="112"/>
        <v>1613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2.7319661796537962</v>
      </c>
      <c r="C19" s="708">
        <v>1.7829824114918389</v>
      </c>
      <c r="D19" s="709">
        <v>-0.46020138796738613</v>
      </c>
      <c r="E19" s="710">
        <v>-0.32672213074033307</v>
      </c>
      <c r="F19" s="708">
        <v>0.93141054317061944</v>
      </c>
      <c r="G19" s="711">
        <v>0.16039653785262409</v>
      </c>
      <c r="H19" s="710">
        <v>0.314</v>
      </c>
      <c r="I19" s="708">
        <v>0.52</v>
      </c>
      <c r="J19" s="570">
        <v>2.1019999999999999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1613</v>
      </c>
      <c r="L19" s="775" t="s">
        <v>366</v>
      </c>
      <c r="M19" s="168">
        <f t="shared" si="1"/>
        <v>2.1019999999999999</v>
      </c>
      <c r="N19" s="632">
        <f t="shared" si="2"/>
        <v>2.7319661796537962</v>
      </c>
      <c r="O19" s="629">
        <f t="shared" si="3"/>
        <v>1.7829824114918389</v>
      </c>
      <c r="P19" s="633">
        <f t="shared" si="4"/>
        <v>-0.46020138796738613</v>
      </c>
      <c r="Q19" s="585">
        <f t="shared" si="113"/>
        <v>33.129956233449349</v>
      </c>
      <c r="R19" s="629">
        <f>IF(M19="","",SQRT(N19^2+O19^2))</f>
        <v>3.2623098391264755</v>
      </c>
      <c r="S19" s="634">
        <f>IF(M19="","",P19)</f>
        <v>-0.46020138796738613</v>
      </c>
      <c r="T19" s="635">
        <f>IF(M19="","",X19*COS(RADIANS(W19)))</f>
        <v>1.8318039240813075</v>
      </c>
      <c r="U19" s="629">
        <f>IF(M19="","",X19*SIN(RADIANS(W19)))</f>
        <v>-2.6994739987971239</v>
      </c>
      <c r="V19" s="636">
        <f>IF(M19="","",Y19)</f>
        <v>-0.46020138796738613</v>
      </c>
      <c r="W19" s="585">
        <f t="shared" si="224"/>
        <v>304.15995608473577</v>
      </c>
      <c r="X19" s="629">
        <f>IF(M19="","",R19)</f>
        <v>3.2623098391264755</v>
      </c>
      <c r="Y19" s="630">
        <f t="shared" si="223"/>
        <v>-0.46020138796738613</v>
      </c>
      <c r="Z19" s="632">
        <f t="shared" si="6"/>
        <v>0.32672213074033307</v>
      </c>
      <c r="AA19" s="629">
        <f t="shared" si="7"/>
        <v>-0.93141054317061944</v>
      </c>
      <c r="AB19" s="629">
        <f t="shared" si="8"/>
        <v>-0.16039653785262409</v>
      </c>
      <c r="AC19" s="636">
        <f>IF(M19="","",SQRT(Z19^2+AA19^2+AB19^2))</f>
        <v>1</v>
      </c>
      <c r="AD19" s="637">
        <f>IF(M19="","",Z19*(1/SQRT(Z19^2+AA19^2+AB19^2)))</f>
        <v>0.32672213074033307</v>
      </c>
      <c r="AE19" s="629">
        <f>IF(M19="","",AA19*(1/SQRT(Z19^2+AA19^2+AB19^2)))</f>
        <v>-0.93141054317061944</v>
      </c>
      <c r="AF19" s="633">
        <f>IF(M19="","",AB19*(1/SQRT(Z19^2+AA19^2+AB19^2)))</f>
        <v>-0.16039653785262409</v>
      </c>
      <c r="AG19" s="602">
        <f>IF(M19="","",DEGREES(ATAN2(-AF19,AE19)))</f>
        <v>-80.229032636829047</v>
      </c>
      <c r="AH19" s="603">
        <f>IF(M19="","",DEGREES(ACOS(AD19)))</f>
        <v>70.930057549993137</v>
      </c>
      <c r="AI19" s="585">
        <f>IF(M19="","",DEGREES(-ACOS(-AF19)))</f>
        <v>-80.770086562474958</v>
      </c>
      <c r="AJ19" s="586">
        <f>IF(M19="","",DEGREES(ATAN2(-AE19,AD19)))</f>
        <v>19.329956366591851</v>
      </c>
      <c r="AK19" s="635">
        <f>IF(M19="","",(COS(RADIANS((90-$Q$8)-W19))*AD19)+(-SIN(RADIANS((90-$Q$8)-W19))*AE19))</f>
        <v>0.95856067328895467</v>
      </c>
      <c r="AL19" s="629">
        <f>IF(M19="","",(SIN(RADIANS((90-$Q$8)-W19))*AD19)+(COS(RADIANS((90-$Q$8)-W19))*AE19))</f>
        <v>-0.23544508121580604</v>
      </c>
      <c r="AM19" s="634">
        <f>IF(M19="","",AF19)</f>
        <v>-0.16039653785262409</v>
      </c>
      <c r="AN19" s="581">
        <f>IF(M19="","",DEGREES(ATAN2(-AM19,AL19)))</f>
        <v>-55.735422656335764</v>
      </c>
      <c r="AO19" s="582">
        <f t="shared" si="94"/>
        <v>16.552181524998296</v>
      </c>
      <c r="AP19" s="585">
        <f>IF(M19="","",DEGREES(ATAN2(AK19,AL19)))</f>
        <v>-13.799999866857446</v>
      </c>
      <c r="AQ19" s="586">
        <f t="shared" si="9"/>
        <v>0.69877286789209114</v>
      </c>
      <c r="AS19" s="52">
        <f t="shared" si="116"/>
        <v>-55.840043915264232</v>
      </c>
      <c r="AT19" s="72">
        <f t="shared" si="10"/>
        <v>-0.4207083020183926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2.1019999999999999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IFERROR(ROUND(VALUE(IF($IH19&lt;1,$IH19+LARGE((IF($M$9:$M$150="",0,$M$9:$M$150)-MOD(IF($M$9:$M$150="",0,$M$9:$M$150),1)),1),$IH19)),4),"")</f>
        <v/>
      </c>
      <c r="IJ19" s="533">
        <f t="shared" si="112"/>
        <v>1613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1222" t="s">
        <v>365</v>
      </c>
      <c r="JC19" s="1223"/>
      <c r="JD19" s="1223"/>
      <c r="JE19" s="1223"/>
      <c r="JF19" s="1223"/>
      <c r="JG19" s="1223"/>
      <c r="JH19" s="1223"/>
      <c r="JI19" s="1224"/>
    </row>
    <row r="20" spans="1:269" ht="15" customHeight="1" x14ac:dyDescent="0.25">
      <c r="A20" s="79"/>
      <c r="B20" s="707">
        <v>3.0602470876032428</v>
      </c>
      <c r="C20" s="708">
        <v>1.9518425456729462</v>
      </c>
      <c r="D20" s="709">
        <v>-1.1382034328215536</v>
      </c>
      <c r="E20" s="710">
        <v>-0.14016281481780624</v>
      </c>
      <c r="F20" s="708">
        <v>0.98196234947845895</v>
      </c>
      <c r="G20" s="711">
        <v>0.12690283507114519</v>
      </c>
      <c r="H20" s="710">
        <v>0.314</v>
      </c>
      <c r="I20" s="708">
        <v>0.52</v>
      </c>
      <c r="J20" s="570">
        <v>2.1030000000000002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1613</v>
      </c>
      <c r="L20" s="774">
        <f>IF($L19=$JH$22,$JH$30,IF($L19=$JI$22,$JI$30,""))</f>
        <v>0</v>
      </c>
      <c r="M20" s="168">
        <f t="shared" si="1"/>
        <v>2.1030000000000002</v>
      </c>
      <c r="N20" s="632">
        <f t="shared" si="2"/>
        <v>3.0602470876032428</v>
      </c>
      <c r="O20" s="629">
        <f t="shared" si="3"/>
        <v>1.9518425456729462</v>
      </c>
      <c r="P20" s="633">
        <f t="shared" si="4"/>
        <v>-1.1382034328215536</v>
      </c>
      <c r="Q20" s="585">
        <f t="shared" si="113"/>
        <v>32.529956320078611</v>
      </c>
      <c r="R20" s="629">
        <f>IF(M20="","",SQRT(N20^2+O20^2))</f>
        <v>3.6297109472082179</v>
      </c>
      <c r="S20" s="634">
        <f>IF(M20="","",P20)</f>
        <v>-1.1382034328215536</v>
      </c>
      <c r="T20" s="635">
        <f>IF(M20="","",X20*COS(RADIANS(W20)))</f>
        <v>2.0065379253449218</v>
      </c>
      <c r="U20" s="629">
        <f>IF(M20="","",X20*SIN(RADIANS(W20)))</f>
        <v>-3.0246664468062714</v>
      </c>
      <c r="V20" s="636">
        <f>IF(M20="","",Y20)</f>
        <v>-1.1382034328215536</v>
      </c>
      <c r="W20" s="585">
        <f t="shared" si="224"/>
        <v>303.559956171365</v>
      </c>
      <c r="X20" s="629">
        <f>IF(M20="","",R20)</f>
        <v>3.6297109472082179</v>
      </c>
      <c r="Y20" s="630">
        <f t="shared" si="223"/>
        <v>-1.1382034328215536</v>
      </c>
      <c r="Z20" s="632">
        <f t="shared" si="6"/>
        <v>0.14016281481780624</v>
      </c>
      <c r="AA20" s="629">
        <f t="shared" si="7"/>
        <v>-0.98196234947845895</v>
      </c>
      <c r="AB20" s="629">
        <f t="shared" si="8"/>
        <v>-0.12690283507114519</v>
      </c>
      <c r="AC20" s="636">
        <f>IF(M20="","",SQRT(Z20^2+AA20^2+AB20^2))</f>
        <v>1</v>
      </c>
      <c r="AD20" s="637">
        <f>IF(M20="","",Z20*(1/SQRT(Z20^2+AA20^2+AB20^2)))</f>
        <v>0.14016281481780624</v>
      </c>
      <c r="AE20" s="629">
        <f>IF(M20="","",AA20*(1/SQRT(Z20^2+AA20^2+AB20^2)))</f>
        <v>-0.98196234947845895</v>
      </c>
      <c r="AF20" s="633">
        <f>IF(M20="","",AB20*(1/SQRT(Z20^2+AA20^2+AB20^2)))</f>
        <v>-0.12690283507114519</v>
      </c>
      <c r="AG20" s="602">
        <f>IF(M20="","",DEGREES(ATAN2(-AF20,AE20)))</f>
        <v>-82.63625627159827</v>
      </c>
      <c r="AH20" s="603">
        <f>IF(M20="","",DEGREES(ACOS(AD20)))</f>
        <v>81.942732254708176</v>
      </c>
      <c r="AI20" s="585">
        <f>IF(M20="","",DEGREES(-ACOS(-AF20)))</f>
        <v>-82.709344586817664</v>
      </c>
      <c r="AJ20" s="586">
        <f>IF(M20="","",DEGREES(ATAN2(-AE20,AD20)))</f>
        <v>8.1233822505792421</v>
      </c>
      <c r="AK20" s="635">
        <f>IF(M20="","",(COS(RADIANS((90-$Q$8)-W20))*AD20)+(-SIN(RADIANS((90-$Q$8)-W20))*AE20))</f>
        <v>0.9032739006206294</v>
      </c>
      <c r="AL20" s="629">
        <f>IF(M20="","",(SIN(RADIANS((90-$Q$8)-W20))*AD20)+(COS(RADIANS((90-$Q$8)-W20))*AE20))</f>
        <v>-0.40986818723645668</v>
      </c>
      <c r="AM20" s="634">
        <f>IF(M20="","",AF20)</f>
        <v>-0.12690283507114519</v>
      </c>
      <c r="AN20" s="581">
        <f>IF(M20="","",DEGREES(ATAN2(-AM20,AL20)))</f>
        <v>-72.796500005353337</v>
      </c>
      <c r="AO20" s="582">
        <f t="shared" si="94"/>
        <v>25.408199343360138</v>
      </c>
      <c r="AP20" s="585">
        <f>IF(M20="","",DEGREES(ATAN2(AK20,AL20)))</f>
        <v>-24.406574069499296</v>
      </c>
      <c r="AQ20" s="586">
        <f t="shared" si="9"/>
        <v>0.62804872278210744</v>
      </c>
      <c r="AS20" s="52">
        <f t="shared" si="116"/>
        <v>-56.440043828634998</v>
      </c>
      <c r="AT20" s="72">
        <f t="shared" si="10"/>
        <v>-1.0982936802660526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2.1030000000000002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IFERROR(ROUND(VALUE(IF($IH20&lt;1,$IH20+LARGE((IF($M$9:$M$150="",0,$M$9:$M$150)-MOD(IF($M$9:$M$150="",0,$M$9:$M$150),1)),1),$IH20)),4),"")</f>
        <v/>
      </c>
      <c r="IJ20" s="533">
        <f t="shared" si="112"/>
        <v>1613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1225" t="s">
        <v>369</v>
      </c>
      <c r="JC20" s="1226"/>
      <c r="JD20" s="1226"/>
      <c r="JE20" s="1226"/>
      <c r="JF20" s="979" t="s">
        <v>370</v>
      </c>
      <c r="JG20" s="980"/>
      <c r="JH20" s="980"/>
      <c r="JI20" s="981"/>
    </row>
    <row r="21" spans="1:269" ht="15" customHeight="1" x14ac:dyDescent="0.25">
      <c r="A21" s="79"/>
      <c r="B21" s="707">
        <v>3.115312656021147</v>
      </c>
      <c r="C21" s="708">
        <v>1.97855994606707</v>
      </c>
      <c r="D21" s="709">
        <v>-1.9160057786734286</v>
      </c>
      <c r="E21" s="710">
        <v>-2.5909707201365876E-2</v>
      </c>
      <c r="F21" s="708">
        <v>0.9972551958810788</v>
      </c>
      <c r="G21" s="711">
        <v>6.9359652254972995E-2</v>
      </c>
      <c r="H21" s="710">
        <v>0.314</v>
      </c>
      <c r="I21" s="708">
        <v>0.52</v>
      </c>
      <c r="J21" s="570">
        <v>2.1040000000000001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1613</v>
      </c>
      <c r="L21" s="776" t="s">
        <v>367</v>
      </c>
      <c r="M21" s="168">
        <f t="shared" si="1"/>
        <v>2.1040000000000001</v>
      </c>
      <c r="N21" s="632">
        <f t="shared" si="2"/>
        <v>3.115312656021147</v>
      </c>
      <c r="O21" s="629">
        <f t="shared" si="3"/>
        <v>1.97855994606707</v>
      </c>
      <c r="P21" s="633">
        <f t="shared" si="4"/>
        <v>-1.9160057786734286</v>
      </c>
      <c r="Q21" s="585">
        <f t="shared" si="113"/>
        <v>32.419956335960642</v>
      </c>
      <c r="R21" s="629">
        <f>IF(M21="","",SQRT(N21^2+O21^2))</f>
        <v>3.6905111305815703</v>
      </c>
      <c r="S21" s="634">
        <f>IF(M21="","",P21)</f>
        <v>-1.9160057786734286</v>
      </c>
      <c r="T21" s="635">
        <f>IF(M21="","",X21*COS(RADIANS(W21)))</f>
        <v>2.0342408630215187</v>
      </c>
      <c r="U21" s="629">
        <f>IF(M21="","",X21*SIN(RADIANS(W21)))</f>
        <v>-3.0792428478702241</v>
      </c>
      <c r="V21" s="636">
        <f>IF(M21="","",Y21)</f>
        <v>-1.9160057786734286</v>
      </c>
      <c r="W21" s="585">
        <f t="shared" si="224"/>
        <v>303.44995618724704</v>
      </c>
      <c r="X21" s="629">
        <f>IF(M21="","",R21)</f>
        <v>3.6905111305815703</v>
      </c>
      <c r="Y21" s="630">
        <f t="shared" si="223"/>
        <v>-1.9160057786734286</v>
      </c>
      <c r="Z21" s="632">
        <f t="shared" si="6"/>
        <v>2.5909707201365876E-2</v>
      </c>
      <c r="AA21" s="629">
        <f t="shared" si="7"/>
        <v>-0.9972551958810788</v>
      </c>
      <c r="AB21" s="629">
        <f t="shared" si="8"/>
        <v>-6.9359652254972995E-2</v>
      </c>
      <c r="AC21" s="636">
        <f>IF(M21="","",SQRT(Z21^2+AA21^2+AB21^2))</f>
        <v>1</v>
      </c>
      <c r="AD21" s="637">
        <f>IF(M21="","",Z21*(1/SQRT(Z21^2+AA21^2+AB21^2)))</f>
        <v>2.5909707201365876E-2</v>
      </c>
      <c r="AE21" s="629">
        <f>IF(M21="","",AA21*(1/SQRT(Z21^2+AA21^2+AB21^2)))</f>
        <v>-0.9972551958810788</v>
      </c>
      <c r="AF21" s="633">
        <f>IF(M21="","",AB21*(1/SQRT(Z21^2+AA21^2+AB21^2)))</f>
        <v>-6.9359652254972995E-2</v>
      </c>
      <c r="AG21" s="602">
        <f>IF(M21="","",DEGREES(ATAN2(-AF21,AE21)))</f>
        <v>-86.021453600852666</v>
      </c>
      <c r="AH21" s="603">
        <f>IF(M21="","",DEGREES(ACOS(AD21)))</f>
        <v>88.515316982851544</v>
      </c>
      <c r="AI21" s="585">
        <f>IF(M21="","",DEGREES(-ACOS(-AF21)))</f>
        <v>-86.02279139964341</v>
      </c>
      <c r="AJ21" s="586">
        <f>IF(M21="","",DEGREES(ATAN2(-AE21,AD21)))</f>
        <v>1.4882679874495091</v>
      </c>
      <c r="AK21" s="635">
        <f>IF(M21="","",(COS(RADIANS((90-$Q$8)-W21))*AD21)+(-SIN(RADIANS((90-$Q$8)-W21))*AE21))</f>
        <v>0.85571497555582876</v>
      </c>
      <c r="AL21" s="629">
        <f>IF(M21="","",(SIN(RADIANS((90-$Q$8)-W21))*AD21)+(COS(RADIANS((90-$Q$8)-W21))*AE21))</f>
        <v>-0.51277784590264519</v>
      </c>
      <c r="AM21" s="634">
        <f>IF(M21="","",AF21)</f>
        <v>-6.9359652254972995E-2</v>
      </c>
      <c r="AN21" s="581">
        <f>IF(M21="","",DEGREES(ATAN2(-AM21,AL21)))</f>
        <v>-82.296777537235783</v>
      </c>
      <c r="AO21" s="582">
        <f>IF(ROUND(IF(M21="",0,DEGREES(ACOS(AK21))),4)=90,0,IF(M21="","",DEGREES(ACOS(AK21))))</f>
        <v>31.161187819378231</v>
      </c>
      <c r="AP21" s="585">
        <f>IF(M21="","",DEGREES(ATAN2(AK21,AL21)))</f>
        <v>-30.931688348511098</v>
      </c>
      <c r="AQ21" s="586">
        <f t="shared" si="9"/>
        <v>0.61770259656298476</v>
      </c>
      <c r="AS21" s="52">
        <f t="shared" si="116"/>
        <v>-56.550043812752961</v>
      </c>
      <c r="AT21" s="72">
        <f t="shared" si="10"/>
        <v>-1.8760196372400679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2.1040000000000001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IFERROR(ROUND(VALUE(IF($IH21&lt;1,$IH21+LARGE((IF($M$9:$M$150="",0,$M$9:$M$150)-MOD(IF($M$9:$M$150="",0,$M$9:$M$150),1)),1),$IH21)),4),"")</f>
        <v/>
      </c>
      <c r="IJ21" s="533">
        <f t="shared" si="112"/>
        <v>1613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1097"/>
      <c r="JC21" s="1098"/>
      <c r="JD21" s="1098"/>
      <c r="JE21" s="1098"/>
      <c r="JF21" s="982" t="s">
        <v>358</v>
      </c>
      <c r="JG21" s="983"/>
      <c r="JH21" s="1227" t="s">
        <v>371</v>
      </c>
      <c r="JI21" s="1228"/>
    </row>
    <row r="22" spans="1:269" ht="15" customHeight="1" thickBot="1" x14ac:dyDescent="0.3">
      <c r="A22" s="79"/>
      <c r="B22" s="707">
        <v>2.5265402609979715</v>
      </c>
      <c r="C22" s="708">
        <v>0.51402840345286316</v>
      </c>
      <c r="D22" s="709">
        <v>-5.6399999999999943E-2</v>
      </c>
      <c r="E22" s="710">
        <v>0.13976563758685409</v>
      </c>
      <c r="F22" s="708">
        <v>2.8435528479551865E-2</v>
      </c>
      <c r="G22" s="711">
        <v>0.9897762309077891</v>
      </c>
      <c r="H22" s="710">
        <v>0.26250000000000001</v>
      </c>
      <c r="I22" s="708">
        <v>0.40699999999999997</v>
      </c>
      <c r="J22" s="570">
        <v>2.2010000000000001</v>
      </c>
      <c r="K22" s="865" t="str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Inactive</v>
      </c>
      <c r="L22" s="873" t="str">
        <f>IF($L21=$JH$22,$JH$30,IF($L21=$JI$22,$JI$30,""))</f>
        <v/>
      </c>
      <c r="M22" s="168">
        <f t="shared" si="1"/>
        <v>2.2010000000000001</v>
      </c>
      <c r="N22" s="632">
        <f t="shared" si="2"/>
        <v>2.5265402609979715</v>
      </c>
      <c r="O22" s="629">
        <f t="shared" si="3"/>
        <v>0.51402840345286316</v>
      </c>
      <c r="P22" s="633">
        <f t="shared" si="4"/>
        <v>-5.6399999999999943E-2</v>
      </c>
      <c r="Q22" s="585">
        <f t="shared" si="113"/>
        <v>11.499955963454799</v>
      </c>
      <c r="R22" s="629">
        <f t="shared" si="79"/>
        <v>2.5782999999999991</v>
      </c>
      <c r="S22" s="634">
        <f t="shared" si="80"/>
        <v>-5.6399999999999943E-2</v>
      </c>
      <c r="T22" s="635">
        <f t="shared" si="81"/>
        <v>0.55936223354632819</v>
      </c>
      <c r="U22" s="629">
        <f t="shared" si="82"/>
        <v>-2.5168918891525829</v>
      </c>
      <c r="V22" s="636">
        <f t="shared" si="114"/>
        <v>-5.6399999999999943E-2</v>
      </c>
      <c r="W22" s="585">
        <f t="shared" si="224"/>
        <v>282.52995581474124</v>
      </c>
      <c r="X22" s="629">
        <f t="shared" si="83"/>
        <v>2.5782999999999991</v>
      </c>
      <c r="Y22" s="630">
        <f t="shared" si="223"/>
        <v>-5.6399999999999943E-2</v>
      </c>
      <c r="Z22" s="632">
        <f t="shared" si="6"/>
        <v>-0.13976563758685409</v>
      </c>
      <c r="AA22" s="629">
        <f t="shared" si="7"/>
        <v>-2.8435528479551865E-2</v>
      </c>
      <c r="AB22" s="629">
        <f t="shared" si="8"/>
        <v>-0.9897762309077891</v>
      </c>
      <c r="AC22" s="636">
        <f t="shared" si="84"/>
        <v>1</v>
      </c>
      <c r="AD22" s="637">
        <f t="shared" si="115"/>
        <v>-0.13976563758685409</v>
      </c>
      <c r="AE22" s="629">
        <f t="shared" si="85"/>
        <v>-2.8435528479551865E-2</v>
      </c>
      <c r="AF22" s="633">
        <f t="shared" si="86"/>
        <v>-0.9897762309077891</v>
      </c>
      <c r="AG22" s="602">
        <f t="shared" si="87"/>
        <v>-1.6456121095124414</v>
      </c>
      <c r="AH22" s="603">
        <f t="shared" si="88"/>
        <v>98.034284936199583</v>
      </c>
      <c r="AI22" s="585">
        <f t="shared" si="89"/>
        <v>-8.1999999999999353</v>
      </c>
      <c r="AJ22" s="586">
        <f t="shared" si="90"/>
        <v>-78.500044036545177</v>
      </c>
      <c r="AK22" s="635">
        <f t="shared" si="211"/>
        <v>9.0205620750793969E-17</v>
      </c>
      <c r="AL22" s="629">
        <f t="shared" si="91"/>
        <v>-0.14262893370551169</v>
      </c>
      <c r="AM22" s="634">
        <f t="shared" si="92"/>
        <v>-0.9897762309077891</v>
      </c>
      <c r="AN22" s="581">
        <f t="shared" si="93"/>
        <v>-8.2000000000000028</v>
      </c>
      <c r="AO22" s="582">
        <f t="shared" si="94"/>
        <v>0</v>
      </c>
      <c r="AP22" s="585">
        <f t="shared" si="95"/>
        <v>-89.999999999999957</v>
      </c>
      <c r="AQ22" s="586">
        <f t="shared" si="9"/>
        <v>0.88412740346072138</v>
      </c>
      <c r="AS22" s="52">
        <f t="shared" si="116"/>
        <v>-77.470044185258757</v>
      </c>
      <c r="AT22" s="72">
        <f t="shared" si="10"/>
        <v>-1.8860805301769007E-3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>Nose</v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2.2010000000000001</v>
      </c>
      <c r="IH22" s="731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2.101</v>
      </c>
      <c r="II22" s="734" cm="1">
        <f t="array" ref="II22">IFERROR(ROUND(VALUE(IF($IH22&lt;1,$IH22+LARGE((IF($M$9:$M$150="",0,$M$9:$M$150)-MOD(IF($M$9:$M$150="",0,$M$9:$M$150),1)),1),$IH22)),4),"")</f>
        <v>2.101</v>
      </c>
      <c r="IJ22" s="533">
        <f t="shared" si="112"/>
        <v>1613</v>
      </c>
      <c r="IK22" s="533" t="str">
        <f t="shared" si="66"/>
        <v>Inactive</v>
      </c>
      <c r="IL22" s="727">
        <f t="shared" si="225"/>
        <v>22.640000124168637</v>
      </c>
      <c r="IM22" s="759">
        <v>1.45692481661297E-2</v>
      </c>
      <c r="IN22" s="5">
        <f t="shared" si="226"/>
        <v>0.22</v>
      </c>
      <c r="IO22" s="771">
        <v>110</v>
      </c>
      <c r="IP22" s="9">
        <f t="shared" si="227"/>
        <v>-2.5783077761762532</v>
      </c>
      <c r="IQ22" s="5">
        <f t="shared" si="228"/>
        <v>-8.2900250027154093E-2</v>
      </c>
      <c r="IR22" s="5">
        <f t="shared" si="71"/>
        <v>0.314</v>
      </c>
      <c r="IS22" s="5">
        <f t="shared" si="229"/>
        <v>0.30246276409710432</v>
      </c>
      <c r="IT22" s="727">
        <f t="shared" si="230"/>
        <v>24.255863325319723</v>
      </c>
      <c r="IU22" s="9">
        <f t="shared" si="231"/>
        <v>-2.5782999999999991</v>
      </c>
      <c r="IV22" s="5">
        <f t="shared" si="232"/>
        <v>-5.6399999999999943E-2</v>
      </c>
      <c r="IW22" s="5">
        <f t="shared" si="76"/>
        <v>0.26250000000000001</v>
      </c>
      <c r="IX22" s="5">
        <f t="shared" si="233"/>
        <v>0.26250000000000001</v>
      </c>
      <c r="IY22" s="762">
        <f t="shared" si="234"/>
        <v>8.2000000000000028</v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">IFERROR(TRANSPOSE(_xlfn._xlws.SORT(_xlfn.UNIQUE(_xlfn._xlws.FILTER($IE$9:$IE$150,$IE$9:$IE$150&lt;&gt;"")),,1)),"")</f>
        <v>Nose</v>
      </c>
      <c r="JG22" s="862"/>
      <c r="JH22" s="863" t="str" cm="1">
        <f t="array" ref="JH22">IFERROR(TRANSPOSE(_xlfn._xlws.SORT(_xlfn.UNIQUE(_xlfn._xlws.FILTER($IE$9:$IE$150,$IE$9:$IE$150&lt;&gt;"")),,1)),"")</f>
        <v>Nose</v>
      </c>
      <c r="JI22" s="862"/>
    </row>
    <row r="23" spans="1:269" ht="15" customHeight="1" thickTop="1" x14ac:dyDescent="0.25">
      <c r="A23" s="79"/>
      <c r="B23" s="707">
        <v>0.8005562977361288</v>
      </c>
      <c r="C23" s="708">
        <v>-0.46220139399940469</v>
      </c>
      <c r="D23" s="709">
        <v>-0.36640110506573292</v>
      </c>
      <c r="E23" s="710">
        <v>0.42495023251139558</v>
      </c>
      <c r="F23" s="708">
        <v>0.87000995181435825</v>
      </c>
      <c r="G23" s="711">
        <v>0.24999996726497561</v>
      </c>
      <c r="H23" s="710">
        <v>0.314</v>
      </c>
      <c r="I23" s="708">
        <v>0.52</v>
      </c>
      <c r="J23" s="570">
        <v>3.101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1613</v>
      </c>
      <c r="M23" s="168">
        <f t="shared" si="1"/>
        <v>3.101</v>
      </c>
      <c r="N23" s="632">
        <f t="shared" si="2"/>
        <v>0.8005562977361288</v>
      </c>
      <c r="O23" s="629">
        <f t="shared" si="3"/>
        <v>-0.46220139399940469</v>
      </c>
      <c r="P23" s="633">
        <f t="shared" si="4"/>
        <v>-0.36640110506573292</v>
      </c>
      <c r="Q23" s="585">
        <f t="shared" si="113"/>
        <v>330</v>
      </c>
      <c r="R23" s="629">
        <f t="shared" si="79"/>
        <v>0.92440278799880848</v>
      </c>
      <c r="S23" s="634">
        <f t="shared" si="80"/>
        <v>-0.36640110506573292</v>
      </c>
      <c r="T23" s="635">
        <f t="shared" si="81"/>
        <v>-0.44773597521102282</v>
      </c>
      <c r="U23" s="629">
        <f t="shared" si="82"/>
        <v>-0.80873543941254633</v>
      </c>
      <c r="V23" s="636">
        <f t="shared" si="114"/>
        <v>-0.36640110506573292</v>
      </c>
      <c r="W23" s="585">
        <f t="shared" si="224"/>
        <v>241.02999985128642</v>
      </c>
      <c r="X23" s="629">
        <f t="shared" si="83"/>
        <v>0.92440278799880848</v>
      </c>
      <c r="Y23" s="630">
        <f t="shared" si="223"/>
        <v>-0.36640110506573292</v>
      </c>
      <c r="Z23" s="632">
        <f t="shared" si="6"/>
        <v>-0.42495023251139558</v>
      </c>
      <c r="AA23" s="629">
        <f t="shared" si="7"/>
        <v>-0.87000995181435825</v>
      </c>
      <c r="AB23" s="629">
        <f t="shared" si="8"/>
        <v>-0.24999996726497561</v>
      </c>
      <c r="AC23" s="636">
        <f t="shared" si="84"/>
        <v>1</v>
      </c>
      <c r="AD23" s="637">
        <f t="shared" si="115"/>
        <v>-0.42495023251139558</v>
      </c>
      <c r="AE23" s="629">
        <f t="shared" si="85"/>
        <v>-0.87000995181435825</v>
      </c>
      <c r="AF23" s="633">
        <f t="shared" si="86"/>
        <v>-0.24999996726497561</v>
      </c>
      <c r="AG23" s="602">
        <f t="shared" si="87"/>
        <v>-73.967836603437476</v>
      </c>
      <c r="AH23" s="603">
        <f t="shared" si="88"/>
        <v>115.14751333388448</v>
      </c>
      <c r="AI23" s="585">
        <f t="shared" si="89"/>
        <v>-75.522489751159469</v>
      </c>
      <c r="AJ23" s="586">
        <f t="shared" si="90"/>
        <v>-26.032870354913463</v>
      </c>
      <c r="AK23" s="635">
        <f t="shared" si="211"/>
        <v>0.96592583607220739</v>
      </c>
      <c r="AL23" s="629">
        <f t="shared" si="91"/>
        <v>6.6987279208207184E-2</v>
      </c>
      <c r="AM23" s="634">
        <f t="shared" si="92"/>
        <v>-0.24999996726497561</v>
      </c>
      <c r="AN23" s="581">
        <f t="shared" si="93"/>
        <v>14.999997834268264</v>
      </c>
      <c r="AO23" s="582">
        <f t="shared" si="94"/>
        <v>14.999997834268255</v>
      </c>
      <c r="AP23" s="585">
        <f t="shared" si="95"/>
        <v>3.9671296450865703</v>
      </c>
      <c r="AQ23" s="586">
        <f t="shared" si="9"/>
        <v>2.4646402682631905</v>
      </c>
      <c r="AS23" s="52">
        <f t="shared" si="116"/>
        <v>-118.97000014871358</v>
      </c>
      <c r="AT23" s="72">
        <f t="shared" si="10"/>
        <v>-0.28306777173239961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3.101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IFERROR(ROUND(VALUE(IF($IH23&lt;1,$IH23+LARGE((IF($M$9:$M$150="",0,$M$9:$M$150)-MOD(IF($M$9:$M$150="",0,$M$9:$M$150),1)),1),$IH23)),4),"")</f>
        <v/>
      </c>
      <c r="IJ23" s="533">
        <f t="shared" si="112"/>
        <v>1613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t="str" cm="1">
        <f t="array" ref="JA23">IFERROR(_xlfn._xlws.SORT(_xlfn.UNIQUE(_xlfn._xlws.FILTER($IK$9:$IK$150,$IK$9:$IK$150&lt;&gt;"")),,1),"")</f>
        <v>Inactive</v>
      </c>
      <c r="JB23" s="859" cm="1">
        <f t="array" ref="JB23">IF($JA23="","",COUNT(IF(IF($II$9:$II$150&lt;&gt;"",$IK$9:$IK$150,"")=$JA23,$IG$9:$IG$150,"")))</f>
        <v>9</v>
      </c>
      <c r="JC23" s="199"/>
      <c r="JD23" s="199"/>
      <c r="JE23" s="871"/>
      <c r="JF23" s="796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9</v>
      </c>
      <c r="JG23" s="801"/>
      <c r="JH23" s="800" cm="1">
        <f t="array" ref="JH23">IF(_xlfn.ANCHORARRAY($JF$23)="","",_xlfn.MINIFS($IO$9:$IO$150,$IK$9:$IK$150,_xlfn.ANCHORARRAY($JA$23),$IE$9:$IE$150,_xlfn.ANCHORARRAY($JH$22),$II$9:$II$150,"&lt;&gt;"&amp;"",$IF$9:$IF$150,"&lt;&gt;"&amp;"Gage"))</f>
        <v>0</v>
      </c>
      <c r="JI23" s="801"/>
    </row>
    <row r="24" spans="1:269" ht="15" customHeight="1" x14ac:dyDescent="0.25">
      <c r="A24" s="79"/>
      <c r="B24" s="707">
        <v>1.4585643840839335</v>
      </c>
      <c r="C24" s="708">
        <v>-0.84210253978126071</v>
      </c>
      <c r="D24" s="709">
        <v>-0.16320049221268462</v>
      </c>
      <c r="E24" s="710">
        <v>0.42495023251139574</v>
      </c>
      <c r="F24" s="708">
        <v>0.87000995181435825</v>
      </c>
      <c r="G24" s="711">
        <v>0.24999996726497567</v>
      </c>
      <c r="H24" s="710">
        <v>0.314</v>
      </c>
      <c r="I24" s="708">
        <v>0.52</v>
      </c>
      <c r="J24" s="570">
        <v>3.1019999999999999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1613</v>
      </c>
      <c r="M24" s="168">
        <f t="shared" si="1"/>
        <v>3.1019999999999999</v>
      </c>
      <c r="N24" s="632">
        <f t="shared" si="2"/>
        <v>1.4585643840839335</v>
      </c>
      <c r="O24" s="629">
        <f t="shared" si="3"/>
        <v>-0.84210253978126071</v>
      </c>
      <c r="P24" s="633">
        <f t="shared" si="4"/>
        <v>-0.16320049221268462</v>
      </c>
      <c r="Q24" s="585">
        <f t="shared" si="113"/>
        <v>330</v>
      </c>
      <c r="R24" s="629">
        <f t="shared" si="79"/>
        <v>1.6842050795625199</v>
      </c>
      <c r="S24" s="634">
        <f t="shared" si="80"/>
        <v>-0.16320049221268462</v>
      </c>
      <c r="T24" s="635">
        <f t="shared" si="81"/>
        <v>-0.81574743558027341</v>
      </c>
      <c r="U24" s="629">
        <f t="shared" si="82"/>
        <v>-1.4734662776488647</v>
      </c>
      <c r="V24" s="636">
        <f t="shared" si="114"/>
        <v>-0.16320049221268462</v>
      </c>
      <c r="W24" s="585">
        <f t="shared" si="224"/>
        <v>241.02999985128642</v>
      </c>
      <c r="X24" s="629">
        <f t="shared" si="83"/>
        <v>1.6842050795625199</v>
      </c>
      <c r="Y24" s="630">
        <f t="shared" si="223"/>
        <v>-0.16320049221268462</v>
      </c>
      <c r="Z24" s="632">
        <f t="shared" si="6"/>
        <v>-0.42495023251139574</v>
      </c>
      <c r="AA24" s="629">
        <f t="shared" si="7"/>
        <v>-0.87000995181435825</v>
      </c>
      <c r="AB24" s="629">
        <f t="shared" si="8"/>
        <v>-0.24999996726497567</v>
      </c>
      <c r="AC24" s="636">
        <f t="shared" si="84"/>
        <v>1</v>
      </c>
      <c r="AD24" s="637">
        <f t="shared" si="115"/>
        <v>-0.42495023251139574</v>
      </c>
      <c r="AE24" s="629">
        <f t="shared" si="85"/>
        <v>-0.87000995181435825</v>
      </c>
      <c r="AF24" s="633">
        <f t="shared" si="86"/>
        <v>-0.24999996726497567</v>
      </c>
      <c r="AG24" s="602">
        <f t="shared" si="87"/>
        <v>-73.967836603437462</v>
      </c>
      <c r="AH24" s="603">
        <f t="shared" si="88"/>
        <v>115.14751333388448</v>
      </c>
      <c r="AI24" s="585">
        <f t="shared" si="89"/>
        <v>-75.522489751159455</v>
      </c>
      <c r="AJ24" s="586">
        <f t="shared" si="90"/>
        <v>-26.03287035491347</v>
      </c>
      <c r="AK24" s="635">
        <f>IF(M24="","",(COS(RADIANS((90-$Q$8)-W24))*AD24)+(-SIN(RADIANS((90-$Q$8)-W24))*AE24))</f>
        <v>0.96592583607220739</v>
      </c>
      <c r="AL24" s="629">
        <f t="shared" si="91"/>
        <v>6.6987279208207018E-2</v>
      </c>
      <c r="AM24" s="634">
        <f t="shared" si="92"/>
        <v>-0.24999996726497567</v>
      </c>
      <c r="AN24" s="581">
        <f t="shared" si="93"/>
        <v>14.999997834268227</v>
      </c>
      <c r="AO24" s="582">
        <f t="shared" si="94"/>
        <v>14.999997834268255</v>
      </c>
      <c r="AP24" s="585">
        <f t="shared" si="95"/>
        <v>3.967129645086561</v>
      </c>
      <c r="AQ24" s="586">
        <f t="shared" si="9"/>
        <v>1.3533403256854661</v>
      </c>
      <c r="AS24" s="52">
        <f t="shared" si="116"/>
        <v>-118.97000014871358</v>
      </c>
      <c r="AT24" s="72">
        <f t="shared" si="10"/>
        <v>-7.986715887935128E-2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3.1019999999999999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IFERROR(ROUND(VALUE(IF($IH24&lt;1,$IH24+LARGE((IF($M$9:$M$150="",0,$M$9:$M$150)-MOD(IF($M$9:$M$150="",0,$M$9:$M$150),1)),1),$IH24)),4),"")</f>
        <v/>
      </c>
      <c r="IJ24" s="533">
        <f t="shared" si="112"/>
        <v>1613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/>
      <c r="JB24" s="856" t="str" cm="1">
        <f t="array" ref="JB24">IF($JA24="","",COUNT(IF(IF($II$9:$II$150&lt;&gt;"",$IK$9:$IK$150,"")=$JA24,$IG$9:$IG$150,"")))</f>
        <v/>
      </c>
      <c r="JC24" s="5"/>
      <c r="JD24" s="5"/>
      <c r="JE24" s="10"/>
      <c r="JF24" s="247"/>
      <c r="JG24" s="803"/>
      <c r="JH24" s="787"/>
      <c r="JI24" s="803"/>
    </row>
    <row r="25" spans="1:269" ht="15" customHeight="1" x14ac:dyDescent="0.25">
      <c r="A25" s="79"/>
      <c r="B25" s="707">
        <v>2.1046268465475002</v>
      </c>
      <c r="C25" s="708">
        <v>-1.2491391944967845</v>
      </c>
      <c r="D25" s="709">
        <v>-6.0600182770151022E-2</v>
      </c>
      <c r="E25" s="710">
        <v>0.56538891528868818</v>
      </c>
      <c r="F25" s="708">
        <v>0.78530959840599435</v>
      </c>
      <c r="G25" s="711">
        <v>0.2522383973944024</v>
      </c>
      <c r="H25" s="710">
        <v>0.314</v>
      </c>
      <c r="I25" s="708">
        <v>0.52</v>
      </c>
      <c r="J25" s="570">
        <v>3.1030000000000002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1613</v>
      </c>
      <c r="L25" s="320"/>
      <c r="M25" s="168">
        <f t="shared" si="1"/>
        <v>3.1030000000000002</v>
      </c>
      <c r="N25" s="632">
        <f t="shared" si="2"/>
        <v>2.1046268465475002</v>
      </c>
      <c r="O25" s="629">
        <f t="shared" si="3"/>
        <v>-1.2491391944967845</v>
      </c>
      <c r="P25" s="633">
        <f t="shared" si="4"/>
        <v>-6.0600182770151022E-2</v>
      </c>
      <c r="Q25" s="585">
        <f t="shared" si="113"/>
        <v>329.31000009962361</v>
      </c>
      <c r="R25" s="629">
        <f>IF(M25="","",SQRT(N25^2+O25^2))</f>
        <v>2.4474073813806623</v>
      </c>
      <c r="S25" s="634">
        <f>IF(M25="","",P25)</f>
        <v>-6.0600182770151022E-2</v>
      </c>
      <c r="T25" s="635">
        <f>IF(M25="","",X25*COS(RADIANS(W25)))</f>
        <v>-1.2111047539147728</v>
      </c>
      <c r="U25" s="629">
        <f>IF(M25="","",X25*SIN(RADIANS(W25)))</f>
        <v>-2.126741207923895</v>
      </c>
      <c r="V25" s="636">
        <f>IF(M25="","",Y25)</f>
        <v>-6.0600182770151022E-2</v>
      </c>
      <c r="W25" s="585">
        <f t="shared" si="224"/>
        <v>240.33999995091003</v>
      </c>
      <c r="X25" s="629">
        <f>IF(M25="","",R25)</f>
        <v>2.4474073813806623</v>
      </c>
      <c r="Y25" s="630">
        <f t="shared" si="223"/>
        <v>-6.0600182770151022E-2</v>
      </c>
      <c r="Z25" s="632">
        <f t="shared" si="6"/>
        <v>-0.56538891528868818</v>
      </c>
      <c r="AA25" s="629">
        <f t="shared" si="7"/>
        <v>-0.78530959840599435</v>
      </c>
      <c r="AB25" s="629">
        <f t="shared" si="8"/>
        <v>-0.2522383973944024</v>
      </c>
      <c r="AC25" s="636">
        <f>IF(M25="","",SQRT(Z25^2+AA25^2+AB25^2))</f>
        <v>1</v>
      </c>
      <c r="AD25" s="637">
        <f>IF(M25="","",Z25*(1/SQRT(Z25^2+AA25^2+AB25^2)))</f>
        <v>-0.56538891528868818</v>
      </c>
      <c r="AE25" s="629">
        <f>IF(M25="","",AA25*(1/SQRT(Z25^2+AA25^2+AB25^2)))</f>
        <v>-0.78530959840599435</v>
      </c>
      <c r="AF25" s="633">
        <f>IF(M25="","",AB25*(1/SQRT(Z25^2+AA25^2+AB25^2)))</f>
        <v>-0.2522383973944024</v>
      </c>
      <c r="AG25" s="602">
        <f>IF(M25="","",DEGREES(ATAN2(-AF25,AE25)))</f>
        <v>-72.193183132282613</v>
      </c>
      <c r="AH25" s="603">
        <f>IF(M25="","",DEGREES(ACOS(AD25)))</f>
        <v>124.42930263966289</v>
      </c>
      <c r="AI25" s="585">
        <f>IF(M25="","",DEGREES(-ACOS(-AF25)))</f>
        <v>-75.389991362448356</v>
      </c>
      <c r="AJ25" s="586">
        <f>IF(M25="","",DEGREES(ATAN2(-AE25,AD25)))</f>
        <v>-35.752253726025344</v>
      </c>
      <c r="AK25" s="635">
        <f>IF(M25="","",(COS(RADIANS((90-$Q$8)-W25))*AD25)+(-SIN(RADIANS((90-$Q$8)-W25))*AE25))</f>
        <v>0.96389066071501639</v>
      </c>
      <c r="AL25" s="629">
        <f>IF(M25="","",(SIN(RADIANS((90-$Q$8)-W25))*AD25)+(COS(RADIANS((90-$Q$8)-W25))*AE25))</f>
        <v>-8.5384922944702846E-2</v>
      </c>
      <c r="AM25" s="634">
        <f>IF(M25="","",AF25)</f>
        <v>-0.2522383973944024</v>
      </c>
      <c r="AN25" s="581">
        <f>IF(M25="","",DEGREES(ATAN2(-AM25,AL25)))</f>
        <v>-18.701413501750579</v>
      </c>
      <c r="AO25" s="582">
        <f>IF(ROUND(IF(M25="",0,DEGREES(ACOS(AK25))),4)=90,0,IF(M25="","",DEGREES(ACOS(AK25))))</f>
        <v>15.44411334441841</v>
      </c>
      <c r="AP25" s="585">
        <f>IF(M25="","",DEGREES(ATAN2(AK25,AL25)))</f>
        <v>-5.0622538256489324</v>
      </c>
      <c r="AQ25" s="586">
        <f t="shared" si="9"/>
        <v>0.93140432292881215</v>
      </c>
      <c r="AS25" s="52">
        <f t="shared" si="116"/>
        <v>-119.66000004908997</v>
      </c>
      <c r="AT25" s="72">
        <f t="shared" si="10"/>
        <v>2.3212317160665914E-2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3.1030000000000002</v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IFERROR(ROUND(VALUE(IF($IH25&lt;1,$IH25+LARGE((IF($M$9:$M$150="",0,$M$9:$M$150)-MOD(IF($M$9:$M$150="",0,$M$9:$M$150),1)),1),$IH25)),4),"")</f>
        <v/>
      </c>
      <c r="IJ25" s="533">
        <f t="shared" si="112"/>
        <v>1613</v>
      </c>
      <c r="IK25" s="533" t="str">
        <f t="shared" si="66"/>
        <v/>
      </c>
      <c r="IL25" s="727" t="str">
        <f t="shared" si="225"/>
        <v/>
      </c>
      <c r="IM25" s="759"/>
      <c r="IN25" s="5" t="str">
        <f t="shared" si="226"/>
        <v/>
      </c>
      <c r="IO25" s="771"/>
      <c r="IP25" s="9" t="str">
        <f t="shared" si="227"/>
        <v/>
      </c>
      <c r="IQ25" s="5" t="str">
        <f t="shared" si="228"/>
        <v/>
      </c>
      <c r="IR25" s="5" t="str">
        <f t="shared" si="71"/>
        <v/>
      </c>
      <c r="IS25" s="5" t="str">
        <f t="shared" si="229"/>
        <v/>
      </c>
      <c r="IT25" s="727" t="str">
        <f t="shared" si="230"/>
        <v/>
      </c>
      <c r="IU25" s="9" t="str">
        <f t="shared" si="231"/>
        <v/>
      </c>
      <c r="IV25" s="5" t="str">
        <f t="shared" si="232"/>
        <v/>
      </c>
      <c r="IW25" s="5" t="str">
        <f t="shared" si="76"/>
        <v/>
      </c>
      <c r="IX25" s="5" t="str">
        <f t="shared" si="233"/>
        <v/>
      </c>
      <c r="IY25" s="762" t="str">
        <f t="shared" si="234"/>
        <v/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2.6955525205597515</v>
      </c>
      <c r="C26" s="708">
        <v>-1.6615593099152979</v>
      </c>
      <c r="D26" s="709">
        <v>-0.37200112195538343</v>
      </c>
      <c r="E26" s="710">
        <v>0.68978836977836078</v>
      </c>
      <c r="F26" s="708">
        <v>0.70177189121362726</v>
      </c>
      <c r="G26" s="711">
        <v>0.17806801403104508</v>
      </c>
      <c r="H26" s="710">
        <v>0.314</v>
      </c>
      <c r="I26" s="708">
        <v>0.52</v>
      </c>
      <c r="J26" s="570">
        <v>3.1040000000000001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1613</v>
      </c>
      <c r="L26" s="320"/>
      <c r="M26" s="168">
        <f t="shared" si="1"/>
        <v>3.1040000000000001</v>
      </c>
      <c r="N26" s="632">
        <f t="shared" si="2"/>
        <v>2.6955525205597515</v>
      </c>
      <c r="O26" s="629">
        <f t="shared" si="3"/>
        <v>-1.6615593099152979</v>
      </c>
      <c r="P26" s="633">
        <f t="shared" si="4"/>
        <v>-0.37200112195538343</v>
      </c>
      <c r="Q26" s="585">
        <f t="shared" si="113"/>
        <v>328.35000023823045</v>
      </c>
      <c r="R26" s="629">
        <f>IF(M26="","",SQRT(N26^2+O26^2))</f>
        <v>3.1665095501928033</v>
      </c>
      <c r="S26" s="634">
        <f>IF(M26="","",P26)</f>
        <v>-0.37200112195538343</v>
      </c>
      <c r="T26" s="635">
        <f>IF(M26="","",X26*COS(RADIANS(W26)))</f>
        <v>-1.6128357976164891</v>
      </c>
      <c r="U26" s="629">
        <f>IF(M26="","",X26*SIN(RADIANS(W26)))</f>
        <v>-2.7249850314064137</v>
      </c>
      <c r="V26" s="636">
        <f>IF(M26="","",Y26)</f>
        <v>-0.37200112195538343</v>
      </c>
      <c r="W26" s="585">
        <f t="shared" si="224"/>
        <v>239.38000008951687</v>
      </c>
      <c r="X26" s="629">
        <f>IF(M26="","",R26)</f>
        <v>3.1665095501928033</v>
      </c>
      <c r="Y26" s="630">
        <f t="shared" si="223"/>
        <v>-0.37200112195538343</v>
      </c>
      <c r="Z26" s="632">
        <f t="shared" si="6"/>
        <v>-0.68978836977836078</v>
      </c>
      <c r="AA26" s="629">
        <f t="shared" si="7"/>
        <v>-0.70177189121362726</v>
      </c>
      <c r="AB26" s="629">
        <f t="shared" si="8"/>
        <v>-0.17806801403104508</v>
      </c>
      <c r="AC26" s="636">
        <f>IF(M26="","",SQRT(Z26^2+AA26^2+AB26^2))</f>
        <v>1</v>
      </c>
      <c r="AD26" s="637">
        <f>IF(M26="","",Z26*(1/SQRT(Z26^2+AA26^2+AB26^2)))</f>
        <v>-0.68978836977836078</v>
      </c>
      <c r="AE26" s="629">
        <f>IF(M26="","",AA26*(1/SQRT(Z26^2+AA26^2+AB26^2)))</f>
        <v>-0.70177189121362726</v>
      </c>
      <c r="AF26" s="633">
        <f>IF(M26="","",AB26*(1/SQRT(Z26^2+AA26^2+AB26^2)))</f>
        <v>-0.17806801403104508</v>
      </c>
      <c r="AG26" s="602">
        <f>IF(M26="","",DEGREES(ATAN2(-AF26,AE26)))</f>
        <v>-75.76222175892002</v>
      </c>
      <c r="AH26" s="603">
        <f>IF(M26="","",DEGREES(ACOS(AD26)))</f>
        <v>133.61335883689497</v>
      </c>
      <c r="AI26" s="585">
        <f>IF(M26="","",DEGREES(-ACOS(-AF26)))</f>
        <v>-79.74275273410332</v>
      </c>
      <c r="AJ26" s="586">
        <f>IF(M26="","",DEGREES(ATAN2(-AE26,AD26)))</f>
        <v>-44.506605463481883</v>
      </c>
      <c r="AK26" s="635">
        <f>IF(M26="","",(COS(RADIANS((90-$Q$8)-W26))*AD26)+(-SIN(RADIANS((90-$Q$8)-W26))*AE26))</f>
        <v>0.95934884444306912</v>
      </c>
      <c r="AL26" s="629">
        <f>IF(M26="","",(SIN(RADIANS((90-$Q$8)-W26))*AD26)+(COS(RADIANS((90-$Q$8)-W26))*AE26))</f>
        <v>-0.21895565086288088</v>
      </c>
      <c r="AM26" s="634">
        <f>IF(M26="","",AF26)</f>
        <v>-0.17806801403104508</v>
      </c>
      <c r="AN26" s="581">
        <f>IF(M26="","",DEGREES(ATAN2(-AM26,AL26)))</f>
        <v>-50.879899261432968</v>
      </c>
      <c r="AO26" s="582">
        <f t="shared" si="94"/>
        <v>16.39292233714853</v>
      </c>
      <c r="AP26" s="585">
        <f>IF(M26="","",DEGREES(ATAN2(AK26,AL26)))</f>
        <v>-12.856605701712322</v>
      </c>
      <c r="AQ26" s="586">
        <f t="shared" si="9"/>
        <v>0.71991150636105239</v>
      </c>
      <c r="AS26" s="52">
        <f t="shared" si="116"/>
        <v>-120.61999991048313</v>
      </c>
      <c r="AT26" s="72">
        <f t="shared" si="10"/>
        <v>-0.2875219554541546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3.1040000000000001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IFERROR(ROUND(VALUE(IF($IH26&lt;1,$IH26+LARGE((IF($M$9:$M$150="",0,$M$9:$M$150)-MOD(IF($M$9:$M$150="",0,$M$9:$M$150),1)),1),$IH26)),4),"")</f>
        <v/>
      </c>
      <c r="IJ26" s="533">
        <f t="shared" si="112"/>
        <v>1613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3.0357084391102407</v>
      </c>
      <c r="C27" s="708">
        <v>-1.9280058928435295</v>
      </c>
      <c r="D27" s="709">
        <v>-1.0124030534076092</v>
      </c>
      <c r="E27" s="710">
        <v>0.80842166800241833</v>
      </c>
      <c r="F27" s="708">
        <v>0.5729882356934014</v>
      </c>
      <c r="G27" s="711">
        <v>0.13468069075094252</v>
      </c>
      <c r="H27" s="710">
        <v>0.314</v>
      </c>
      <c r="I27" s="708">
        <v>0.52</v>
      </c>
      <c r="J27" s="570">
        <v>3.105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1613</v>
      </c>
      <c r="L27" s="320"/>
      <c r="M27" s="168">
        <f t="shared" si="1"/>
        <v>3.105</v>
      </c>
      <c r="N27" s="632">
        <f t="shared" si="2"/>
        <v>3.0357084391102407</v>
      </c>
      <c r="O27" s="629">
        <f t="shared" si="3"/>
        <v>-1.9280058928435295</v>
      </c>
      <c r="P27" s="633">
        <f t="shared" si="4"/>
        <v>-1.0124030534076092</v>
      </c>
      <c r="Q27" s="585">
        <f t="shared" si="113"/>
        <v>327.58000034940471</v>
      </c>
      <c r="R27" s="629">
        <f t="shared" si="79"/>
        <v>3.5962108461719136</v>
      </c>
      <c r="S27" s="634">
        <f t="shared" si="80"/>
        <v>-1.0124030534076092</v>
      </c>
      <c r="T27" s="635">
        <f t="shared" si="81"/>
        <v>-1.8731247123951429</v>
      </c>
      <c r="U27" s="629">
        <f t="shared" si="82"/>
        <v>-3.0698756101736637</v>
      </c>
      <c r="V27" s="636">
        <f t="shared" si="114"/>
        <v>-1.0124030534076092</v>
      </c>
      <c r="W27" s="585">
        <f t="shared" si="224"/>
        <v>238.61000020069113</v>
      </c>
      <c r="X27" s="629">
        <f t="shared" si="83"/>
        <v>3.5962108461719136</v>
      </c>
      <c r="Y27" s="630">
        <f t="shared" si="223"/>
        <v>-1.0124030534076092</v>
      </c>
      <c r="Z27" s="632">
        <f t="shared" si="6"/>
        <v>-0.80842166800241833</v>
      </c>
      <c r="AA27" s="629">
        <f t="shared" si="7"/>
        <v>-0.5729882356934014</v>
      </c>
      <c r="AB27" s="629">
        <f t="shared" si="8"/>
        <v>-0.13468069075094252</v>
      </c>
      <c r="AC27" s="636">
        <f t="shared" si="84"/>
        <v>1</v>
      </c>
      <c r="AD27" s="637">
        <f t="shared" si="115"/>
        <v>-0.80842166800241833</v>
      </c>
      <c r="AE27" s="629">
        <f t="shared" si="85"/>
        <v>-0.5729882356934014</v>
      </c>
      <c r="AF27" s="633">
        <f t="shared" si="86"/>
        <v>-0.13468069075094252</v>
      </c>
      <c r="AG27" s="602">
        <f t="shared" si="87"/>
        <v>-76.772752365173091</v>
      </c>
      <c r="AH27" s="603">
        <f t="shared" si="88"/>
        <v>143.94200951418691</v>
      </c>
      <c r="AI27" s="585">
        <f t="shared" si="89"/>
        <v>-82.259843806516258</v>
      </c>
      <c r="AJ27" s="586">
        <f t="shared" si="90"/>
        <v>-54.671978401558626</v>
      </c>
      <c r="AK27" s="635">
        <f t="shared" si="211"/>
        <v>0.91709499345043199</v>
      </c>
      <c r="AL27" s="629">
        <f t="shared" si="91"/>
        <v>-0.37523044189804394</v>
      </c>
      <c r="AM27" s="634">
        <f t="shared" si="92"/>
        <v>-0.13468069075094252</v>
      </c>
      <c r="AN27" s="581">
        <f t="shared" si="93"/>
        <v>-70.255519274768702</v>
      </c>
      <c r="AO27" s="582">
        <f t="shared" si="94"/>
        <v>23.494982015662227</v>
      </c>
      <c r="AP27" s="585">
        <f t="shared" si="95"/>
        <v>-22.251978750963346</v>
      </c>
      <c r="AQ27" s="586">
        <f t="shared" si="9"/>
        <v>0.63389876540794732</v>
      </c>
      <c r="AS27" s="52">
        <f t="shared" si="116"/>
        <v>-121.38999979930887</v>
      </c>
      <c r="AT27" s="72">
        <f t="shared" si="10"/>
        <v>-0.92738916476136246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3.105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IFERROR(ROUND(VALUE(IF($IH27&lt;1,$IH27+LARGE((IF($M$9:$M$150="",0,$M$9:$M$150)-MOD(IF($M$9:$M$150="",0,$M$9:$M$150),1)),1),$IH27)),4),"")</f>
        <v/>
      </c>
      <c r="IJ27" s="533">
        <f t="shared" si="112"/>
        <v>1613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3.1097738854432917</v>
      </c>
      <c r="C28" s="708">
        <v>-1.9872542347978184</v>
      </c>
      <c r="D28" s="709">
        <v>-1.7858056055088338</v>
      </c>
      <c r="E28" s="710">
        <v>0.89286989229634917</v>
      </c>
      <c r="F28" s="708">
        <v>0.44494111303606798</v>
      </c>
      <c r="G28" s="711">
        <v>6.9359652254973217E-2</v>
      </c>
      <c r="H28" s="710">
        <v>0.314</v>
      </c>
      <c r="I28" s="708">
        <v>0.52</v>
      </c>
      <c r="J28" s="570">
        <v>3.1059999999999999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1613</v>
      </c>
      <c r="L28" s="320"/>
      <c r="M28" s="168">
        <f t="shared" si="1"/>
        <v>3.1059999999999999</v>
      </c>
      <c r="N28" s="632">
        <f t="shared" si="2"/>
        <v>3.1097738854432917</v>
      </c>
      <c r="O28" s="629">
        <f t="shared" si="3"/>
        <v>-1.9872542347978184</v>
      </c>
      <c r="P28" s="633">
        <f t="shared" si="4"/>
        <v>-1.7858056055088338</v>
      </c>
      <c r="Q28" s="585">
        <f t="shared" si="113"/>
        <v>327.41999988320936</v>
      </c>
      <c r="R28" s="629">
        <f t="shared" si="79"/>
        <v>3.6905112128683379</v>
      </c>
      <c r="S28" s="634">
        <f t="shared" si="80"/>
        <v>-1.7858056055088338</v>
      </c>
      <c r="T28" s="635">
        <f t="shared" si="81"/>
        <v>-1.9310320864358104</v>
      </c>
      <c r="U28" s="629">
        <f t="shared" si="82"/>
        <v>-3.1449941325004556</v>
      </c>
      <c r="V28" s="636">
        <f t="shared" si="114"/>
        <v>-1.7858056055088338</v>
      </c>
      <c r="W28" s="585">
        <f t="shared" si="224"/>
        <v>238.44999973449578</v>
      </c>
      <c r="X28" s="629">
        <f t="shared" si="83"/>
        <v>3.6905112128683379</v>
      </c>
      <c r="Y28" s="630">
        <f t="shared" si="223"/>
        <v>-1.7858056055088338</v>
      </c>
      <c r="Z28" s="632">
        <f t="shared" si="6"/>
        <v>-0.89286989229634917</v>
      </c>
      <c r="AA28" s="629">
        <f t="shared" si="7"/>
        <v>-0.44494111303606798</v>
      </c>
      <c r="AB28" s="629">
        <f t="shared" si="8"/>
        <v>-6.9359652254973217E-2</v>
      </c>
      <c r="AC28" s="636">
        <f t="shared" si="84"/>
        <v>1</v>
      </c>
      <c r="AD28" s="637">
        <f t="shared" si="115"/>
        <v>-0.89286989229634917</v>
      </c>
      <c r="AE28" s="629">
        <f t="shared" si="85"/>
        <v>-0.44494111303606798</v>
      </c>
      <c r="AF28" s="633">
        <f t="shared" si="86"/>
        <v>-6.9359652254973217E-2</v>
      </c>
      <c r="AG28" s="602">
        <f t="shared" si="87"/>
        <v>-81.13975568136847</v>
      </c>
      <c r="AH28" s="603">
        <f t="shared" si="88"/>
        <v>153.23612155218566</v>
      </c>
      <c r="AI28" s="585">
        <f t="shared" si="89"/>
        <v>-86.022791399643395</v>
      </c>
      <c r="AJ28" s="586">
        <f t="shared" si="90"/>
        <v>-63.511687976005298</v>
      </c>
      <c r="AK28" s="635">
        <f t="shared" si="211"/>
        <v>0.85571497993486623</v>
      </c>
      <c r="AL28" s="629">
        <f t="shared" si="91"/>
        <v>-0.51277783859498127</v>
      </c>
      <c r="AM28" s="634">
        <f t="shared" si="92"/>
        <v>-6.9359652254973217E-2</v>
      </c>
      <c r="AN28" s="581">
        <f t="shared" si="93"/>
        <v>-82.296777428774263</v>
      </c>
      <c r="AO28" s="582">
        <f t="shared" si="94"/>
        <v>31.161187334497392</v>
      </c>
      <c r="AP28" s="585">
        <f t="shared" si="95"/>
        <v>-30.931687859214655</v>
      </c>
      <c r="AQ28" s="586">
        <f t="shared" si="9"/>
        <v>0.61770258279123103</v>
      </c>
      <c r="AS28" s="52">
        <f t="shared" si="116"/>
        <v>-121.55000026550422</v>
      </c>
      <c r="AT28" s="72">
        <f t="shared" si="10"/>
        <v>-1.7006806054277293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3.1059999999999999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IFERROR(ROUND(VALUE(IF($IH28&lt;1,$IH28+LARGE((IF($M$9:$M$150="",0,$M$9:$M$150)-MOD(IF($M$9:$M$150="",0,$M$9:$M$150),1)),1),$IH28)),4),"")</f>
        <v/>
      </c>
      <c r="IJ28" s="533">
        <f t="shared" si="112"/>
        <v>1613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0.79068400604399647</v>
      </c>
      <c r="C29" s="708">
        <v>-1.4870603358930055</v>
      </c>
      <c r="D29" s="709">
        <v>-9.7200000000000022E-2</v>
      </c>
      <c r="E29" s="710">
        <v>-0.12150818158303218</v>
      </c>
      <c r="F29" s="708">
        <v>0.22852365285931683</v>
      </c>
      <c r="G29" s="711">
        <v>0.96592582628906831</v>
      </c>
      <c r="H29" s="710">
        <v>0.22499999999999998</v>
      </c>
      <c r="I29" s="708">
        <v>0.33200000000000002</v>
      </c>
      <c r="J29" s="570">
        <v>3.2010000000000001</v>
      </c>
      <c r="K29" s="865" t="str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Inactive</v>
      </c>
      <c r="L29" s="320"/>
      <c r="M29" s="168">
        <f t="shared" si="1"/>
        <v>3.2010000000000001</v>
      </c>
      <c r="N29" s="632">
        <f t="shared" si="2"/>
        <v>0.79068400604399647</v>
      </c>
      <c r="O29" s="629">
        <f t="shared" si="3"/>
        <v>-1.4870603358930055</v>
      </c>
      <c r="P29" s="633">
        <f t="shared" si="4"/>
        <v>-9.7200000000000022E-2</v>
      </c>
      <c r="Q29" s="585">
        <f t="shared" si="113"/>
        <v>297.99999999999994</v>
      </c>
      <c r="R29" s="629">
        <f>IF(M29="","",SQRT(N29^2+O29^2))</f>
        <v>1.6842000000000004</v>
      </c>
      <c r="S29" s="634">
        <f>IF(M29="","",P29)</f>
        <v>-9.7200000000000022E-2</v>
      </c>
      <c r="T29" s="635">
        <f>IF(M29="","",X29*COS(RADIANS(W29)))</f>
        <v>-1.472606784017009</v>
      </c>
      <c r="U29" s="629">
        <f>IF(M29="","",X29*SIN(RADIANS(W29)))</f>
        <v>-0.81728752570137997</v>
      </c>
      <c r="V29" s="636">
        <f>IF(M29="","",Y29)</f>
        <v>-9.7200000000000022E-2</v>
      </c>
      <c r="W29" s="585">
        <f t="shared" si="224"/>
        <v>209.02999985128636</v>
      </c>
      <c r="X29" s="629">
        <f>IF(M29="","",R29)</f>
        <v>1.6842000000000004</v>
      </c>
      <c r="Y29" s="630">
        <f t="shared" si="223"/>
        <v>-9.7200000000000022E-2</v>
      </c>
      <c r="Z29" s="632">
        <f t="shared" si="6"/>
        <v>0.12150818158303218</v>
      </c>
      <c r="AA29" s="629">
        <f t="shared" si="7"/>
        <v>-0.22852365285931683</v>
      </c>
      <c r="AB29" s="629">
        <f t="shared" si="8"/>
        <v>-0.96592582628906831</v>
      </c>
      <c r="AC29" s="636">
        <f>IF(M29="","",SQRT(Z29^2+AA29^2+AB29^2))</f>
        <v>1</v>
      </c>
      <c r="AD29" s="637">
        <f>IF(M29="","",Z29*(1/SQRT(Z29^2+AA29^2+AB29^2)))</f>
        <v>0.12150818158303218</v>
      </c>
      <c r="AE29" s="629">
        <f>IF(M29="","",AA29*(1/SQRT(Z29^2+AA29^2+AB29^2)))</f>
        <v>-0.22852365285931683</v>
      </c>
      <c r="AF29" s="633">
        <f>IF(M29="","",AB29*(1/SQRT(Z29^2+AA29^2+AB29^2)))</f>
        <v>-0.96592582628906831</v>
      </c>
      <c r="AG29" s="602">
        <f>IF(M29="","",DEGREES(ATAN2(-AF29,AE29)))</f>
        <v>-13.310586972883897</v>
      </c>
      <c r="AH29" s="603">
        <f>IF(M29="","",DEGREES(ACOS(AD29)))</f>
        <v>83.0208479840542</v>
      </c>
      <c r="AI29" s="585">
        <f>IF(M29="","",DEGREES(-ACOS(-AF29)))</f>
        <v>-14.999999999999982</v>
      </c>
      <c r="AJ29" s="586">
        <f>IF(M29="","",DEGREES(ATAN2(-AE29,AD29)))</f>
        <v>27.999999999999957</v>
      </c>
      <c r="AK29" s="635">
        <f>IF(M29="","",(COS(RADIANS((90-$Q$8)-W29))*AD29)+(-SIN(RADIANS((90-$Q$8)-W29))*AE29))</f>
        <v>-1.2490009027033011E-16</v>
      </c>
      <c r="AL29" s="629">
        <f>IF(M29="","",(SIN(RADIANS((90-$Q$8)-W29))*AD29)+(COS(RADIANS((90-$Q$8)-W29))*AE29))</f>
        <v>0.25881904510252074</v>
      </c>
      <c r="AM29" s="634">
        <f>IF(M29="","",AF29)</f>
        <v>-0.96592582628906831</v>
      </c>
      <c r="AN29" s="581">
        <f>IF(M29="","",DEGREES(ATAN2(-AM29,AL29)))</f>
        <v>14.999999999999998</v>
      </c>
      <c r="AO29" s="582">
        <f t="shared" si="94"/>
        <v>0</v>
      </c>
      <c r="AP29" s="585">
        <f>IF(M29="","",DEGREES(ATAN2(AK29,AL29)))</f>
        <v>90.000000000000028</v>
      </c>
      <c r="AQ29" s="586">
        <f t="shared" si="9"/>
        <v>1.3533444058542019</v>
      </c>
      <c r="AS29" s="52">
        <f t="shared" si="116"/>
        <v>-150.97000014871364</v>
      </c>
      <c r="AT29" s="72">
        <f t="shared" si="10"/>
        <v>8.3555555555555744E-3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>Nose</v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3.2010000000000001</v>
      </c>
      <c r="IH29" s="731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>3.101</v>
      </c>
      <c r="II29" s="734" cm="1">
        <f t="array" ref="II29">IFERROR(ROUND(VALUE(IF($IH29&lt;1,$IH29+LARGE((IF($M$9:$M$150="",0,$M$9:$M$150)-MOD(IF($M$9:$M$150="",0,$M$9:$M$150),1)),1),$IH29)),4),"")</f>
        <v>3.101</v>
      </c>
      <c r="IJ29" s="533">
        <f t="shared" si="112"/>
        <v>1613</v>
      </c>
      <c r="IK29" s="533" t="str">
        <f t="shared" si="66"/>
        <v>Inactive</v>
      </c>
      <c r="IL29" s="727">
        <f t="shared" si="225"/>
        <v>32.000000000000057</v>
      </c>
      <c r="IM29" s="759">
        <v>0.33888590745804797</v>
      </c>
      <c r="IN29" s="5">
        <f t="shared" si="226"/>
        <v>0</v>
      </c>
      <c r="IO29" s="771">
        <v>0</v>
      </c>
      <c r="IP29" s="9">
        <f t="shared" si="227"/>
        <v>-0.92440278799880848</v>
      </c>
      <c r="IQ29" s="5">
        <f t="shared" si="228"/>
        <v>-0.36640110506573292</v>
      </c>
      <c r="IR29" s="5">
        <f t="shared" si="71"/>
        <v>0.314</v>
      </c>
      <c r="IS29" s="5">
        <f t="shared" si="229"/>
        <v>0.30330071252667312</v>
      </c>
      <c r="IT29" s="727">
        <f t="shared" si="230"/>
        <v>-14.999997834268264</v>
      </c>
      <c r="IU29" s="9">
        <f t="shared" si="231"/>
        <v>-1.6842000000000004</v>
      </c>
      <c r="IV29" s="5">
        <f t="shared" si="232"/>
        <v>-9.7200000000000022E-2</v>
      </c>
      <c r="IW29" s="5">
        <f t="shared" si="76"/>
        <v>0.22499999999999998</v>
      </c>
      <c r="IX29" s="5">
        <f t="shared" si="233"/>
        <v>0.22499999999999998</v>
      </c>
      <c r="IY29" s="762">
        <f t="shared" si="234"/>
        <v>-14.999999999999998</v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707">
        <v>1.4557736789086475</v>
      </c>
      <c r="C30" s="708">
        <v>-1.9673652142480649</v>
      </c>
      <c r="D30" s="709">
        <v>-3.4400182770151229E-2</v>
      </c>
      <c r="E30" s="710">
        <v>4.7704323101563355E-2</v>
      </c>
      <c r="F30" s="708">
        <v>-6.4468311345015961E-2</v>
      </c>
      <c r="G30" s="711">
        <v>0.99677887938586651</v>
      </c>
      <c r="H30" s="710">
        <v>0.26250000000000001</v>
      </c>
      <c r="I30" s="708">
        <v>0.40699999999999997</v>
      </c>
      <c r="J30" s="570">
        <v>3.202</v>
      </c>
      <c r="K30" s="865" t="str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Inactive</v>
      </c>
      <c r="L30" s="320"/>
      <c r="M30" s="168">
        <f t="shared" si="1"/>
        <v>3.202</v>
      </c>
      <c r="N30" s="632">
        <f t="shared" si="2"/>
        <v>1.4557736789086475</v>
      </c>
      <c r="O30" s="629">
        <f t="shared" si="3"/>
        <v>-1.9673652142480649</v>
      </c>
      <c r="P30" s="633">
        <f t="shared" si="4"/>
        <v>-3.4400182770151229E-2</v>
      </c>
      <c r="Q30" s="585">
        <f t="shared" si="113"/>
        <v>306.5</v>
      </c>
      <c r="R30" s="629">
        <f>IF(M30="","",SQRT(N30^2+O30^2))</f>
        <v>2.4474073813806627</v>
      </c>
      <c r="S30" s="634">
        <f>IF(M30="","",P30)</f>
        <v>-3.4400182770151229E-2</v>
      </c>
      <c r="T30" s="635">
        <f>IF(M30="","",X30*COS(RADIANS(W30)))</f>
        <v>-1.940878455697254</v>
      </c>
      <c r="U30" s="629">
        <f>IF(M30="","",X30*SIN(RADIANS(W30)))</f>
        <v>-1.490903655722527</v>
      </c>
      <c r="V30" s="636">
        <f>IF(M30="","",Y30)</f>
        <v>-3.4400182770151229E-2</v>
      </c>
      <c r="W30" s="585">
        <f t="shared" si="224"/>
        <v>217.52999985128642</v>
      </c>
      <c r="X30" s="629">
        <f>IF(M30="","",R30)</f>
        <v>2.4474073813806627</v>
      </c>
      <c r="Y30" s="630">
        <f t="shared" si="223"/>
        <v>-3.4400182770151229E-2</v>
      </c>
      <c r="Z30" s="632">
        <f t="shared" si="6"/>
        <v>-4.7704323101563355E-2</v>
      </c>
      <c r="AA30" s="629">
        <f t="shared" si="7"/>
        <v>6.4468311345015961E-2</v>
      </c>
      <c r="AB30" s="629">
        <f t="shared" si="8"/>
        <v>-0.99677887938586651</v>
      </c>
      <c r="AC30" s="636">
        <f>IF(M30="","",SQRT(Z30^2+AA30^2+AB30^2))</f>
        <v>1</v>
      </c>
      <c r="AD30" s="637">
        <f>IF(M30="","",Z30*(1/SQRT(Z30^2+AA30^2+AB30^2)))</f>
        <v>-4.7704323101563355E-2</v>
      </c>
      <c r="AE30" s="629">
        <f>IF(M30="","",AA30*(1/SQRT(Z30^2+AA30^2+AB30^2)))</f>
        <v>6.4468311345015961E-2</v>
      </c>
      <c r="AF30" s="633">
        <f>IF(M30="","",AB30*(1/SQRT(Z30^2+AA30^2+AB30^2)))</f>
        <v>-0.99677887938586651</v>
      </c>
      <c r="AG30" s="602">
        <f>IF(M30="","",DEGREES(ATAN2(-AF30,AE30)))</f>
        <v>3.7005445213384363</v>
      </c>
      <c r="AH30" s="603">
        <f>IF(M30="","",DEGREES(ACOS(AD30)))</f>
        <v>92.734294121019545</v>
      </c>
      <c r="AI30" s="585">
        <f>IF(M30="","",DEGREES(-ACOS(-AF30)))</f>
        <v>-4.5999993358605593</v>
      </c>
      <c r="AJ30" s="586">
        <f>IF(M30="","",DEGREES(ATAN2(-AE30,AD30)))</f>
        <v>-143.49983797298563</v>
      </c>
      <c r="AK30" s="635">
        <f>IF(M30="","",(COS(RADIANS((90-$Q$8)-W30))*AD30)+(-SIN(RADIANS((90-$Q$8)-W30))*AE30))</f>
        <v>2.2679489662669194E-7</v>
      </c>
      <c r="AL30" s="629">
        <f>IF(M30="","",(SIN(RADIANS((90-$Q$8)-W30))*AD30)+(COS(RADIANS((90-$Q$8)-W30))*AE30))</f>
        <v>-8.0198912774456177E-2</v>
      </c>
      <c r="AM30" s="634">
        <f>IF(M30="","",AF30)</f>
        <v>-0.99677887938586651</v>
      </c>
      <c r="AN30" s="581">
        <f>IF(M30="","",DEGREES(ATAN2(-AM30,AL30)))</f>
        <v>-4.5999993358422735</v>
      </c>
      <c r="AO30" s="582">
        <f>IF(ROUND(IF(M30="",0,DEGREES(ACOS(AK30))),4)=90,0,IF(M30="","",DEGREES(ACOS(AK30))))</f>
        <v>0</v>
      </c>
      <c r="AP30" s="585">
        <f>IF(M30="","",DEGREES(ATAN2(AK30,AL30)))</f>
        <v>-89.999837972985645</v>
      </c>
      <c r="AQ30" s="586">
        <f t="shared" si="9"/>
        <v>0.93140432292881215</v>
      </c>
      <c r="AS30" s="52">
        <f t="shared" si="116"/>
        <v>-142.47000014871358</v>
      </c>
      <c r="AT30" s="72">
        <f t="shared" si="10"/>
        <v>6.5252595007626563E-2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>Nose</v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3.202</v>
      </c>
      <c r="IH30" s="731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>3.1019999999999999</v>
      </c>
      <c r="II30" s="734" cm="1">
        <f t="array" ref="II30">IFERROR(ROUND(VALUE(IF($IH30&lt;1,$IH30+LARGE((IF($M$9:$M$150="",0,$M$9:$M$150)-MOD(IF($M$9:$M$150="",0,$M$9:$M$150),1)),1),$IH30)),4),"")</f>
        <v>3.1019999999999999</v>
      </c>
      <c r="IJ30" s="533">
        <f t="shared" si="112"/>
        <v>1613</v>
      </c>
      <c r="IK30" s="533" t="str">
        <f t="shared" si="66"/>
        <v>Inactive</v>
      </c>
      <c r="IL30" s="727">
        <f t="shared" si="225"/>
        <v>23.5</v>
      </c>
      <c r="IM30" s="759">
        <v>0.33096544320154703</v>
      </c>
      <c r="IN30" s="5">
        <f t="shared" si="226"/>
        <v>0</v>
      </c>
      <c r="IO30" s="771">
        <v>0</v>
      </c>
      <c r="IP30" s="9">
        <f t="shared" si="227"/>
        <v>-1.6842050795625199</v>
      </c>
      <c r="IQ30" s="5">
        <f t="shared" si="228"/>
        <v>-0.16320049221268462</v>
      </c>
      <c r="IR30" s="5">
        <f t="shared" si="71"/>
        <v>0.314</v>
      </c>
      <c r="IS30" s="5">
        <f t="shared" si="229"/>
        <v>0.30330071252667312</v>
      </c>
      <c r="IT30" s="727">
        <f t="shared" si="230"/>
        <v>-14.999997834268227</v>
      </c>
      <c r="IU30" s="9">
        <f t="shared" si="231"/>
        <v>-2.4474073813806627</v>
      </c>
      <c r="IV30" s="5">
        <f t="shared" si="232"/>
        <v>-3.4400182770151229E-2</v>
      </c>
      <c r="IW30" s="5">
        <f t="shared" si="76"/>
        <v>0.26250000000000001</v>
      </c>
      <c r="IX30" s="5">
        <f t="shared" si="233"/>
        <v>0.26250000000000001</v>
      </c>
      <c r="IY30" s="762">
        <f t="shared" si="234"/>
        <v>4.5999993358422735</v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9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0</v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-2.1415123377129544E-2</v>
      </c>
      <c r="C31" s="708">
        <v>-2.3149079289427887</v>
      </c>
      <c r="D31" s="709">
        <v>-5.1000153816463917E-2</v>
      </c>
      <c r="E31" s="710">
        <v>0.96384658476269958</v>
      </c>
      <c r="F31" s="708">
        <v>-6.8444282669968229E-2</v>
      </c>
      <c r="G31" s="711">
        <v>0.25751726390879848</v>
      </c>
      <c r="H31" s="710">
        <v>0.314</v>
      </c>
      <c r="I31" s="708">
        <v>0.52</v>
      </c>
      <c r="J31" s="570">
        <v>4.101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1613</v>
      </c>
      <c r="L31" s="320"/>
      <c r="M31" s="168">
        <f t="shared" si="1"/>
        <v>4.101</v>
      </c>
      <c r="N31" s="632">
        <f t="shared" si="2"/>
        <v>-2.1415123377129544E-2</v>
      </c>
      <c r="O31" s="629">
        <f t="shared" si="3"/>
        <v>-2.3149079289427887</v>
      </c>
      <c r="P31" s="633">
        <f t="shared" si="4"/>
        <v>-5.1000153816463917E-2</v>
      </c>
      <c r="Q31" s="585">
        <f t="shared" si="113"/>
        <v>269.46997408774172</v>
      </c>
      <c r="R31" s="629">
        <f>IF(M31="","",SQRT(N31^2+O31^2))</f>
        <v>2.3150069820610581</v>
      </c>
      <c r="S31" s="634">
        <f>IF(M31="","",P31)</f>
        <v>-5.1000153816463917E-2</v>
      </c>
      <c r="T31" s="635">
        <f>IF(M31="","",X31*COS(RADIANS(W31)))</f>
        <v>-2.3149188428773901</v>
      </c>
      <c r="U31" s="629">
        <f>IF(M31="","",X31*SIN(RADIANS(W31)))</f>
        <v>-2.0200937667649316E-2</v>
      </c>
      <c r="V31" s="636">
        <f>IF(M31="","",Y31)</f>
        <v>-5.1000153816463917E-2</v>
      </c>
      <c r="W31" s="585">
        <f t="shared" si="224"/>
        <v>180.49997393902814</v>
      </c>
      <c r="X31" s="629">
        <f>IF(M31="","",R31)</f>
        <v>2.3150069820610581</v>
      </c>
      <c r="Y31" s="630">
        <f t="shared" si="223"/>
        <v>-5.1000153816463917E-2</v>
      </c>
      <c r="Z31" s="632">
        <f t="shared" si="6"/>
        <v>-0.96384658476269958</v>
      </c>
      <c r="AA31" s="629">
        <f t="shared" si="7"/>
        <v>6.8444282669968229E-2</v>
      </c>
      <c r="AB31" s="629">
        <f t="shared" si="8"/>
        <v>-0.25751726390879848</v>
      </c>
      <c r="AC31" s="636">
        <f>IF(M31="","",SQRT(Z31^2+AA31^2+AB31^2))</f>
        <v>1</v>
      </c>
      <c r="AD31" s="637">
        <f>IF(M31="","",Z31*(1/SQRT(Z31^2+AA31^2+AB31^2)))</f>
        <v>-0.96384658476269958</v>
      </c>
      <c r="AE31" s="629">
        <f>IF(M31="","",AA31*(1/SQRT(Z31^2+AA31^2+AB31^2)))</f>
        <v>6.8444282669968229E-2</v>
      </c>
      <c r="AF31" s="633">
        <f>IF(M31="","",AB31*(1/SQRT(Z31^2+AA31^2+AB31^2)))</f>
        <v>-0.25751726390879848</v>
      </c>
      <c r="AG31" s="602">
        <f>IF(M31="","",DEGREES(ATAN2(-AF31,AE31)))</f>
        <v>14.884256579315023</v>
      </c>
      <c r="AH31" s="603">
        <f>IF(M31="","",DEGREES(ACOS(AD31)))</f>
        <v>164.54640627257712</v>
      </c>
      <c r="AI31" s="585">
        <f>IF(M31="","",DEGREES(-ACOS(-AF31)))</f>
        <v>-75.077203783605242</v>
      </c>
      <c r="AJ31" s="586">
        <f>IF(M31="","",DEGREES(ATAN2(-AE31,AD31)))</f>
        <v>-94.061846323092482</v>
      </c>
      <c r="AK31" s="635">
        <f>IF(M31="","",(COS(RADIANS((90-$Q$8)-W31))*AD31)+(-SIN(RADIANS((90-$Q$8)-W31))*AE31))</f>
        <v>0.96443849258790293</v>
      </c>
      <c r="AL31" s="629">
        <f>IF(M31="","",(SIN(RADIANS((90-$Q$8)-W31))*AD31)+(COS(RADIANS((90-$Q$8)-W31))*AE31))</f>
        <v>-5.9525228296074928E-2</v>
      </c>
      <c r="AM31" s="634">
        <f>IF(M31="","",AF31)</f>
        <v>-0.25751726390879848</v>
      </c>
      <c r="AN31" s="581">
        <f>IF(M31="","",DEGREES(ATAN2(-AM31,AL31)))</f>
        <v>-13.015352265400821</v>
      </c>
      <c r="AO31" s="582">
        <f t="shared" si="94"/>
        <v>15.325801600542539</v>
      </c>
      <c r="AP31" s="585">
        <f>IF(M31="","",DEGREES(ATAN2(AK31,AL31)))</f>
        <v>-3.5318204108341908</v>
      </c>
      <c r="AQ31" s="586">
        <f t="shared" si="9"/>
        <v>0.98466320388485329</v>
      </c>
      <c r="AS31" s="52">
        <f t="shared" si="116"/>
        <v>-179.50002606097186</v>
      </c>
      <c r="AT31" s="72">
        <f t="shared" si="10"/>
        <v>7.4367919733715454E-2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4.101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IFERROR(ROUND(VALUE(IF($IH31&lt;1,$IH31+LARGE((IF($M$9:$M$150="",0,$M$9:$M$150)-MOD(IF($M$9:$M$150="",0,$M$9:$M$150),1)),1),$IH31)),4),"")</f>
        <v/>
      </c>
      <c r="IJ31" s="533">
        <f t="shared" si="112"/>
        <v>1613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-8.2848234383706157E-2</v>
      </c>
      <c r="C32" s="708">
        <v>-3.061688520238846</v>
      </c>
      <c r="D32" s="709">
        <v>-0.29330088459546794</v>
      </c>
      <c r="E32" s="710">
        <v>0.95439913049683767</v>
      </c>
      <c r="F32" s="708">
        <v>-0.22611765169256115</v>
      </c>
      <c r="G32" s="711">
        <v>0.19491820669173526</v>
      </c>
      <c r="H32" s="710">
        <v>0.314</v>
      </c>
      <c r="I32" s="708">
        <v>0.52</v>
      </c>
      <c r="J32" s="570">
        <v>4.1020000000000003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1613</v>
      </c>
      <c r="L32" s="320"/>
      <c r="M32" s="168">
        <f t="shared" si="1"/>
        <v>4.1020000000000003</v>
      </c>
      <c r="N32" s="632">
        <f t="shared" si="2"/>
        <v>-8.2848234383706157E-2</v>
      </c>
      <c r="O32" s="629">
        <f t="shared" si="3"/>
        <v>-3.061688520238846</v>
      </c>
      <c r="P32" s="633">
        <f t="shared" si="4"/>
        <v>-0.29330088459546794</v>
      </c>
      <c r="Q32" s="585">
        <f t="shared" si="113"/>
        <v>268.4499742350115</v>
      </c>
      <c r="R32" s="629">
        <f t="shared" si="79"/>
        <v>3.0628092374326599</v>
      </c>
      <c r="S32" s="634">
        <f t="shared" si="80"/>
        <v>-0.29330088459546794</v>
      </c>
      <c r="T32" s="635">
        <f t="shared" si="81"/>
        <v>-3.0626830861478722</v>
      </c>
      <c r="U32" s="629">
        <f t="shared" si="82"/>
        <v>2.7798178475868771E-2</v>
      </c>
      <c r="V32" s="636">
        <f t="shared" si="114"/>
        <v>-0.29330088459546794</v>
      </c>
      <c r="W32" s="585">
        <f t="shared" si="224"/>
        <v>179.47997408629791</v>
      </c>
      <c r="X32" s="629">
        <f t="shared" si="83"/>
        <v>3.0628092374326599</v>
      </c>
      <c r="Y32" s="630">
        <f t="shared" si="223"/>
        <v>-0.29330088459546794</v>
      </c>
      <c r="Z32" s="632">
        <f t="shared" si="6"/>
        <v>-0.95439913049683767</v>
      </c>
      <c r="AA32" s="629">
        <f t="shared" si="7"/>
        <v>0.22611765169256115</v>
      </c>
      <c r="AB32" s="629">
        <f t="shared" si="8"/>
        <v>-0.19491820669173526</v>
      </c>
      <c r="AC32" s="636">
        <f t="shared" si="84"/>
        <v>1</v>
      </c>
      <c r="AD32" s="637">
        <f t="shared" si="115"/>
        <v>-0.95439913049683767</v>
      </c>
      <c r="AE32" s="629">
        <f t="shared" si="85"/>
        <v>0.22611765169256115</v>
      </c>
      <c r="AF32" s="633">
        <f t="shared" si="86"/>
        <v>-0.19491820669173526</v>
      </c>
      <c r="AG32" s="602">
        <f t="shared" si="87"/>
        <v>49.237965235734883</v>
      </c>
      <c r="AH32" s="603">
        <f t="shared" si="88"/>
        <v>162.63045205229363</v>
      </c>
      <c r="AI32" s="585">
        <f t="shared" si="89"/>
        <v>-78.760054504095407</v>
      </c>
      <c r="AJ32" s="586">
        <f t="shared" si="90"/>
        <v>-103.32883730534526</v>
      </c>
      <c r="AK32" s="635">
        <f t="shared" si="211"/>
        <v>0.96016633156000797</v>
      </c>
      <c r="AL32" s="629">
        <f t="shared" si="91"/>
        <v>-0.20021865157540897</v>
      </c>
      <c r="AM32" s="634">
        <f t="shared" si="92"/>
        <v>-0.19491820669173526</v>
      </c>
      <c r="AN32" s="581">
        <f t="shared" si="93"/>
        <v>-45.768530956802053</v>
      </c>
      <c r="AO32" s="582">
        <f t="shared" si="94"/>
        <v>16.226133916155835</v>
      </c>
      <c r="AP32" s="585">
        <f t="shared" si="95"/>
        <v>-11.778811540356772</v>
      </c>
      <c r="AQ32" s="586">
        <f t="shared" si="9"/>
        <v>0.7442835066726553</v>
      </c>
      <c r="AS32" s="52">
        <f t="shared" si="116"/>
        <v>-180.52002591370209</v>
      </c>
      <c r="AT32" s="72">
        <f t="shared" si="10"/>
        <v>-0.16722447781422592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4.1020000000000003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IFERROR(ROUND(VALUE(IF($IH32&lt;1,$IH32+LARGE((IF($M$9:$M$150="",0,$M$9:$M$150)-MOD(IF($M$9:$M$150="",0,$M$9:$M$150),1)),1),$IH32)),4),"")</f>
        <v/>
      </c>
      <c r="IJ32" s="533">
        <f t="shared" si="112"/>
        <v>1613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-0.14498297159703283</v>
      </c>
      <c r="C33" s="708">
        <v>-3.5479496621457782</v>
      </c>
      <c r="D33" s="709">
        <v>-0.89030268515289845</v>
      </c>
      <c r="E33" s="710">
        <v>0.91523082008592249</v>
      </c>
      <c r="F33" s="708">
        <v>-0.37848232105669177</v>
      </c>
      <c r="G33" s="711">
        <v>0.13821605772264378</v>
      </c>
      <c r="H33" s="710">
        <v>0.314</v>
      </c>
      <c r="I33" s="708">
        <v>0.52</v>
      </c>
      <c r="J33" s="570">
        <v>4.1029999999999998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1613</v>
      </c>
      <c r="L33" s="320"/>
      <c r="M33" s="168">
        <f t="shared" si="1"/>
        <v>4.1029999999999998</v>
      </c>
      <c r="N33" s="632">
        <f t="shared" si="2"/>
        <v>-0.14498297159703283</v>
      </c>
      <c r="O33" s="629">
        <f t="shared" si="3"/>
        <v>-3.5479496621457782</v>
      </c>
      <c r="P33" s="633">
        <f t="shared" si="4"/>
        <v>-0.89030268515289845</v>
      </c>
      <c r="Q33" s="585">
        <f t="shared" si="113"/>
        <v>267.65997434907337</v>
      </c>
      <c r="R33" s="629">
        <f t="shared" si="79"/>
        <v>3.5509107095467001</v>
      </c>
      <c r="S33" s="634">
        <f t="shared" si="80"/>
        <v>-0.89030268515289845</v>
      </c>
      <c r="T33" s="635">
        <f t="shared" si="81"/>
        <v>-3.5499825871158524</v>
      </c>
      <c r="U33" s="629">
        <f t="shared" si="82"/>
        <v>8.1181884356602785E-2</v>
      </c>
      <c r="V33" s="636">
        <f t="shared" si="114"/>
        <v>-0.89030268515289845</v>
      </c>
      <c r="W33" s="585">
        <f t="shared" si="224"/>
        <v>178.68997420035979</v>
      </c>
      <c r="X33" s="629">
        <f t="shared" si="83"/>
        <v>3.5509107095467001</v>
      </c>
      <c r="Y33" s="630">
        <f t="shared" si="223"/>
        <v>-0.89030268515289845</v>
      </c>
      <c r="Z33" s="632">
        <f t="shared" si="6"/>
        <v>-0.91523082008592249</v>
      </c>
      <c r="AA33" s="629">
        <f t="shared" si="7"/>
        <v>0.37848232105669177</v>
      </c>
      <c r="AB33" s="629">
        <f t="shared" si="8"/>
        <v>-0.13821605772264378</v>
      </c>
      <c r="AC33" s="636">
        <f t="shared" si="84"/>
        <v>1</v>
      </c>
      <c r="AD33" s="637">
        <f t="shared" si="115"/>
        <v>-0.91523082008592249</v>
      </c>
      <c r="AE33" s="629">
        <f t="shared" si="85"/>
        <v>0.37848232105669177</v>
      </c>
      <c r="AF33" s="633">
        <f t="shared" si="86"/>
        <v>-0.13821605772264378</v>
      </c>
      <c r="AG33" s="602">
        <f t="shared" si="87"/>
        <v>69.938565984836472</v>
      </c>
      <c r="AH33" s="603">
        <f t="shared" si="88"/>
        <v>156.23852784865088</v>
      </c>
      <c r="AI33" s="585">
        <f t="shared" si="89"/>
        <v>-82.055369677283878</v>
      </c>
      <c r="AJ33" s="586">
        <f t="shared" si="90"/>
        <v>-112.46693224679741</v>
      </c>
      <c r="AK33" s="635">
        <f t="shared" si="211"/>
        <v>0.92992098101349518</v>
      </c>
      <c r="AL33" s="629">
        <f t="shared" si="91"/>
        <v>-0.34079802003314169</v>
      </c>
      <c r="AM33" s="634">
        <f t="shared" si="92"/>
        <v>-0.13821605772264378</v>
      </c>
      <c r="AN33" s="581">
        <f t="shared" si="93"/>
        <v>-67.92420293351627</v>
      </c>
      <c r="AO33" s="582">
        <f t="shared" si="94"/>
        <v>21.577499276046233</v>
      </c>
      <c r="AP33" s="585">
        <f t="shared" si="95"/>
        <v>-20.126906595870786</v>
      </c>
      <c r="AQ33" s="586">
        <f t="shared" si="9"/>
        <v>0.6419849480206985</v>
      </c>
      <c r="AS33" s="52">
        <f t="shared" si="116"/>
        <v>-181.31002579964021</v>
      </c>
      <c r="AT33" s="72">
        <f t="shared" si="10"/>
        <v>-0.76367766733975495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4.1029999999999998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IFERROR(ROUND(VALUE(IF($IH33&lt;1,$IH33+LARGE((IF($M$9:$M$150="",0,$M$9:$M$150)-MOD(IF($M$9:$M$150="",0,$M$9:$M$150),1)),1),$IH33)),4),"")</f>
        <v/>
      </c>
      <c r="IJ33" s="533">
        <f t="shared" si="112"/>
        <v>1613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-0.16612734548430833</v>
      </c>
      <c r="C34" s="708">
        <v>-3.6867701460802778</v>
      </c>
      <c r="D34" s="709">
        <v>-1.6555049930030588</v>
      </c>
      <c r="E34" s="710">
        <v>0.83176500339841664</v>
      </c>
      <c r="F34" s="708">
        <v>-0.55077782976505252</v>
      </c>
      <c r="G34" s="711">
        <v>6.9359652254973203E-2</v>
      </c>
      <c r="H34" s="710">
        <v>0.314</v>
      </c>
      <c r="I34" s="708">
        <v>0.52</v>
      </c>
      <c r="J34" s="570">
        <v>4.1040000000000001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1613</v>
      </c>
      <c r="L34" s="320"/>
      <c r="M34" s="168">
        <f t="shared" si="1"/>
        <v>4.1040000000000001</v>
      </c>
      <c r="N34" s="632">
        <f t="shared" si="2"/>
        <v>-0.16612734548430833</v>
      </c>
      <c r="O34" s="629">
        <f t="shared" si="3"/>
        <v>-3.6867701460802778</v>
      </c>
      <c r="P34" s="633">
        <f t="shared" si="4"/>
        <v>-1.6555049930030588</v>
      </c>
      <c r="Q34" s="585">
        <f t="shared" si="113"/>
        <v>267.41997438372505</v>
      </c>
      <c r="R34" s="629">
        <f>IF(M34="","",SQRT(N34^2+O34^2))</f>
        <v>3.6905111305815699</v>
      </c>
      <c r="S34" s="634">
        <f>IF(M34="","",P34)</f>
        <v>-1.6555049930030588</v>
      </c>
      <c r="T34" s="635">
        <f>IF(M34="","",X34*COS(RADIANS(W34)))</f>
        <v>-3.689160730031821</v>
      </c>
      <c r="U34" s="629">
        <f>IF(M34="","",X34*SIN(RADIANS(W34)))</f>
        <v>9.9827415761092594E-2</v>
      </c>
      <c r="V34" s="636">
        <f>IF(M34="","",Y34)</f>
        <v>-1.6555049930030588</v>
      </c>
      <c r="W34" s="585">
        <f t="shared" si="224"/>
        <v>178.44997423501147</v>
      </c>
      <c r="X34" s="629">
        <f>IF(M34="","",R34)</f>
        <v>3.6905111305815699</v>
      </c>
      <c r="Y34" s="630">
        <f t="shared" si="223"/>
        <v>-1.6555049930030588</v>
      </c>
      <c r="Z34" s="632">
        <f t="shared" si="6"/>
        <v>-0.83176500339841664</v>
      </c>
      <c r="AA34" s="629">
        <f t="shared" si="7"/>
        <v>0.55077782976505252</v>
      </c>
      <c r="AB34" s="629">
        <f t="shared" si="8"/>
        <v>-6.9359652254973203E-2</v>
      </c>
      <c r="AC34" s="636">
        <f>IF(M34="","",SQRT(Z34^2+AA34^2+AB34^2))</f>
        <v>1</v>
      </c>
      <c r="AD34" s="637">
        <f>IF(M34="","",Z34*(1/SQRT(Z34^2+AA34^2+AB34^2)))</f>
        <v>-0.83176500339841664</v>
      </c>
      <c r="AE34" s="629">
        <f>IF(M34="","",AA34*(1/SQRT(Z34^2+AA34^2+AB34^2)))</f>
        <v>0.55077782976505252</v>
      </c>
      <c r="AF34" s="633">
        <f>IF(M34="","",AB34*(1/SQRT(Z34^2+AA34^2+AB34^2)))</f>
        <v>-6.9359652254973203E-2</v>
      </c>
      <c r="AG34" s="602">
        <f>IF(M34="","",DEGREES(ATAN2(-AF34,AE34)))</f>
        <v>82.822503869517874</v>
      </c>
      <c r="AH34" s="603">
        <f>IF(M34="","",DEGREES(ACOS(AD34)))</f>
        <v>146.28047572023866</v>
      </c>
      <c r="AI34" s="585">
        <f>IF(M34="","",DEGREES(-ACOS(-AF34)))</f>
        <v>-86.022791399643395</v>
      </c>
      <c r="AJ34" s="586">
        <f>IF(M34="","",DEGREES(ATAN2(-AE34,AD34)))</f>
        <v>-123.51171396478608</v>
      </c>
      <c r="AK34" s="635">
        <f>IF(M34="","",(COS(RADIANS((90-$Q$8)-W34))*AD34)+(-SIN(RADIANS((90-$Q$8)-W34))*AE34))</f>
        <v>0.85571497555582843</v>
      </c>
      <c r="AL34" s="629">
        <f>IF(M34="","",(SIN(RADIANS((90-$Q$8)-W34))*AD34)+(COS(RADIANS((90-$Q$8)-W34))*AE34))</f>
        <v>-0.51277784590264541</v>
      </c>
      <c r="AM34" s="634">
        <f>IF(M34="","",AF34)</f>
        <v>-6.9359652254973203E-2</v>
      </c>
      <c r="AN34" s="581">
        <f>IF(M34="","",DEGREES(ATAN2(-AM34,AL34)))</f>
        <v>-82.296777537235769</v>
      </c>
      <c r="AO34" s="582">
        <f t="shared" si="94"/>
        <v>31.16118781937827</v>
      </c>
      <c r="AP34" s="585">
        <f>IF(M34="","",DEGREES(ATAN2(AK34,AL34)))</f>
        <v>-30.931688348511116</v>
      </c>
      <c r="AQ34" s="586">
        <f t="shared" si="9"/>
        <v>0.61770259656298487</v>
      </c>
      <c r="AS34" s="52">
        <f t="shared" si="116"/>
        <v>-181.55002576498853</v>
      </c>
      <c r="AT34" s="72">
        <f t="shared" si="10"/>
        <v>-1.5287133085473124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4.1040000000000001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IFERROR(ROUND(VALUE(IF($IH34&lt;1,$IH34+LARGE((IF($M$9:$M$150="",0,$M$9:$M$150)-MOD(IF($M$9:$M$150="",0,$M$9:$M$150),1)),1),$IH34)),4),"")</f>
        <v/>
      </c>
      <c r="IJ34" s="533">
        <f t="shared" si="112"/>
        <v>1613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-0.97836222760751024</v>
      </c>
      <c r="C35" s="708">
        <v>-2.0981020832149397</v>
      </c>
      <c r="D35" s="709">
        <v>-2.5599999999999987E-2</v>
      </c>
      <c r="E35" s="710">
        <v>-6.6382055960824129E-3</v>
      </c>
      <c r="F35" s="708">
        <v>-1.4235660982137854E-2</v>
      </c>
      <c r="G35" s="711">
        <v>0.99987663248166059</v>
      </c>
      <c r="H35" s="710">
        <v>0.26250000000000001</v>
      </c>
      <c r="I35" s="708">
        <v>0.40699999999999997</v>
      </c>
      <c r="J35" s="570">
        <v>4.2009999999999996</v>
      </c>
      <c r="K35" s="865" t="str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Inactive</v>
      </c>
      <c r="L35" s="320"/>
      <c r="M35" s="168">
        <f t="shared" si="1"/>
        <v>4.2009999999999996</v>
      </c>
      <c r="N35" s="632">
        <f t="shared" si="2"/>
        <v>-0.97836222760751024</v>
      </c>
      <c r="O35" s="629">
        <f t="shared" si="3"/>
        <v>-2.0981020832149397</v>
      </c>
      <c r="P35" s="633">
        <f t="shared" si="4"/>
        <v>-2.5599999999999987E-2</v>
      </c>
      <c r="Q35" s="585">
        <f t="shared" si="113"/>
        <v>244.99997401121919</v>
      </c>
      <c r="R35" s="629">
        <f>IF(M35="","",SQRT(N35^2+O35^2))</f>
        <v>2.3149999999999999</v>
      </c>
      <c r="S35" s="634">
        <f>IF(M35="","",P35)</f>
        <v>-2.5599999999999987E-2</v>
      </c>
      <c r="T35" s="635">
        <f>IF(M35="","",X35*COS(RADIANS(W35)))</f>
        <v>-2.1153500336442086</v>
      </c>
      <c r="U35" s="629">
        <f>IF(M35="","",X35*SIN(RADIANS(W35)))</f>
        <v>0.94048882777066778</v>
      </c>
      <c r="V35" s="636">
        <f>IF(M35="","",Y35)</f>
        <v>-2.5599999999999987E-2</v>
      </c>
      <c r="W35" s="585">
        <f t="shared" si="224"/>
        <v>156.02997386250561</v>
      </c>
      <c r="X35" s="629">
        <f>IF(M35="","",R35)</f>
        <v>2.3149999999999999</v>
      </c>
      <c r="Y35" s="630">
        <f t="shared" si="223"/>
        <v>-2.5599999999999987E-2</v>
      </c>
      <c r="Z35" s="632">
        <f t="shared" si="6"/>
        <v>6.6382055960824129E-3</v>
      </c>
      <c r="AA35" s="629">
        <f t="shared" si="7"/>
        <v>1.4235660982137854E-2</v>
      </c>
      <c r="AB35" s="629">
        <f t="shared" si="8"/>
        <v>-0.99987663248166059</v>
      </c>
      <c r="AC35" s="636">
        <f>IF(M35="","",SQRT(Z35^2+AA35^2+AB35^2))</f>
        <v>1</v>
      </c>
      <c r="AD35" s="637">
        <f>IF(M35="","",Z35*(1/SQRT(Z35^2+AA35^2+AB35^2)))</f>
        <v>6.6382055960824129E-3</v>
      </c>
      <c r="AE35" s="629">
        <f>IF(M35="","",AA35*(1/SQRT(Z35^2+AA35^2+AB35^2)))</f>
        <v>1.4235660982137854E-2</v>
      </c>
      <c r="AF35" s="633">
        <f>IF(M35="","",AB35*(1/SQRT(Z35^2+AA35^2+AB35^2)))</f>
        <v>-0.99987663248166059</v>
      </c>
      <c r="AG35" s="602">
        <f>IF(M35="","",DEGREES(ATAN2(-AF35,AE35)))</f>
        <v>0.81568881766165879</v>
      </c>
      <c r="AH35" s="603">
        <f>IF(M35="","",DEGREES(ACOS(AD35)))</f>
        <v>89.619656042411023</v>
      </c>
      <c r="AI35" s="585">
        <f>IF(M35="","",DEGREES(-ACOS(-AF35)))</f>
        <v>-0.90000000000003311</v>
      </c>
      <c r="AJ35" s="586">
        <f>IF(M35="","",DEGREES(ATAN2(-AE35,AD35)))</f>
        <v>154.99997401121939</v>
      </c>
      <c r="AK35" s="635">
        <f>IF(M35="","",(COS(RADIANS((90-$Q$8)-W35))*AD35)+(-SIN(RADIANS((90-$Q$8)-W35))*AE35))</f>
        <v>6.0715321659188248E-17</v>
      </c>
      <c r="AL35" s="629">
        <f>IF(M35="","",(SIN(RADIANS((90-$Q$8)-W35))*AD35)+(COS(RADIANS((90-$Q$8)-W35))*AE35))</f>
        <v>-1.5707317311820693E-2</v>
      </c>
      <c r="AM35" s="634">
        <f>IF(M35="","",AF35)</f>
        <v>-0.99987663248166059</v>
      </c>
      <c r="AN35" s="581">
        <f>IF(M35="","",DEGREES(ATAN2(-AM35,AL35)))</f>
        <v>-0.90000000000000102</v>
      </c>
      <c r="AO35" s="582">
        <f t="shared" si="94"/>
        <v>0</v>
      </c>
      <c r="AP35" s="585">
        <f>IF(M35="","",DEGREES(ATAN2(AK35,AL35)))</f>
        <v>-89.999999999999787</v>
      </c>
      <c r="AQ35" s="586">
        <f t="shared" si="9"/>
        <v>0.98466617305332982</v>
      </c>
      <c r="AS35" s="52">
        <f t="shared" si="116"/>
        <v>-203.97002613749439</v>
      </c>
      <c r="AT35" s="72">
        <f t="shared" si="10"/>
        <v>0.11676112915887557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>Nose</v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4.2009999999999996</v>
      </c>
      <c r="IH35" s="731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>4.101</v>
      </c>
      <c r="II35" s="734" cm="1">
        <f t="array" ref="II35">IFERROR(ROUND(VALUE(IF($IH35&lt;1,$IH35+LARGE((IF($M$9:$M$150="",0,$M$9:$M$150)-MOD(IF($M$9:$M$150="",0,$M$9:$M$150),1)),1),$IH35)),4),"")</f>
        <v>4.101</v>
      </c>
      <c r="IJ35" s="533">
        <f t="shared" si="112"/>
        <v>1613</v>
      </c>
      <c r="IK35" s="533" t="str">
        <f t="shared" si="66"/>
        <v>Inactive</v>
      </c>
      <c r="IL35" s="727">
        <f t="shared" si="225"/>
        <v>24.470000076522524</v>
      </c>
      <c r="IM35" s="759">
        <v>1.5247930169197101E-2</v>
      </c>
      <c r="IN35" s="5">
        <f t="shared" si="226"/>
        <v>0.22</v>
      </c>
      <c r="IO35" s="771">
        <v>110</v>
      </c>
      <c r="IP35" s="9">
        <f t="shared" si="227"/>
        <v>-2.3150069820610581</v>
      </c>
      <c r="IQ35" s="5">
        <f t="shared" si="228"/>
        <v>-5.1000153816463917E-2</v>
      </c>
      <c r="IR35" s="5">
        <f t="shared" si="71"/>
        <v>0.314</v>
      </c>
      <c r="IS35" s="5">
        <f t="shared" si="229"/>
        <v>0.30283368667260152</v>
      </c>
      <c r="IT35" s="727">
        <f t="shared" si="230"/>
        <v>13.015352265400821</v>
      </c>
      <c r="IU35" s="9">
        <f t="shared" si="231"/>
        <v>-2.3149999999999999</v>
      </c>
      <c r="IV35" s="5">
        <f t="shared" si="232"/>
        <v>-2.5599999999999987E-2</v>
      </c>
      <c r="IW35" s="5">
        <f t="shared" si="76"/>
        <v>0.26250000000000001</v>
      </c>
      <c r="IX35" s="5">
        <f t="shared" si="233"/>
        <v>0.26250000000000001</v>
      </c>
      <c r="IY35" s="762">
        <f t="shared" si="234"/>
        <v>0.90000000000000102</v>
      </c>
    </row>
    <row r="36" spans="1:267" ht="15" customHeight="1" x14ac:dyDescent="0.25">
      <c r="A36" s="79"/>
      <c r="B36" s="707">
        <v>-0.5784201117026837</v>
      </c>
      <c r="C36" s="708">
        <v>-0.33395100719623777</v>
      </c>
      <c r="D36" s="709">
        <v>-0.43520131256715872</v>
      </c>
      <c r="E36" s="710">
        <v>0.54368569061935235</v>
      </c>
      <c r="F36" s="708">
        <v>-0.79034855119405834</v>
      </c>
      <c r="G36" s="711">
        <v>0.28240934375691407</v>
      </c>
      <c r="H36" s="710">
        <v>0.314</v>
      </c>
      <c r="I36" s="708">
        <v>0.52</v>
      </c>
      <c r="J36" s="570">
        <v>5.101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1613</v>
      </c>
      <c r="L36" s="320"/>
      <c r="M36" s="168">
        <f t="shared" si="1"/>
        <v>5.101</v>
      </c>
      <c r="N36" s="632">
        <f t="shared" si="2"/>
        <v>-0.5784201117026837</v>
      </c>
      <c r="O36" s="629">
        <f t="shared" si="3"/>
        <v>-0.33395100719623777</v>
      </c>
      <c r="P36" s="633">
        <f t="shared" si="4"/>
        <v>-0.43520131256715872</v>
      </c>
      <c r="Q36" s="585">
        <f t="shared" si="113"/>
        <v>210</v>
      </c>
      <c r="R36" s="629">
        <f>IF(M36="","",SQRT(N36^2+O36^2))</f>
        <v>0.66790201439247565</v>
      </c>
      <c r="S36" s="634">
        <f>IF(M36="","",P36)</f>
        <v>-0.43520131256715872</v>
      </c>
      <c r="T36" s="635">
        <f>IF(M36="","",X36*COS(RADIANS(W36)))</f>
        <v>-0.34429468133930297</v>
      </c>
      <c r="U36" s="629">
        <f>IF(M36="","",X36*SIN(RADIANS(W36)))</f>
        <v>0.57232357389067468</v>
      </c>
      <c r="V36" s="636">
        <f>IF(M36="","",Y36)</f>
        <v>-0.43520131256715872</v>
      </c>
      <c r="W36" s="585">
        <f t="shared" si="224"/>
        <v>121.02999985128642</v>
      </c>
      <c r="X36" s="629">
        <f>IF(M36="","",R36)</f>
        <v>0.66790201439247565</v>
      </c>
      <c r="Y36" s="630">
        <f t="shared" si="223"/>
        <v>-0.43520131256715872</v>
      </c>
      <c r="Z36" s="632">
        <f t="shared" si="6"/>
        <v>-0.54368569061935235</v>
      </c>
      <c r="AA36" s="629">
        <f t="shared" si="7"/>
        <v>0.79034855119405834</v>
      </c>
      <c r="AB36" s="629">
        <f t="shared" si="8"/>
        <v>-0.28240934375691407</v>
      </c>
      <c r="AC36" s="636">
        <f>IF(M36="","",SQRT(Z36^2+AA36^2+AB36^2))</f>
        <v>1</v>
      </c>
      <c r="AD36" s="637">
        <f>IF(M36="","",Z36*(1/SQRT(Z36^2+AA36^2+AB36^2)))</f>
        <v>-0.54368569061935235</v>
      </c>
      <c r="AE36" s="629">
        <f>IF(M36="","",AA36*(1/SQRT(Z36^2+AA36^2+AB36^2)))</f>
        <v>0.79034855119405834</v>
      </c>
      <c r="AF36" s="633">
        <f>IF(M36="","",AB36*(1/SQRT(Z36^2+AA36^2+AB36^2)))</f>
        <v>-0.28240934375691407</v>
      </c>
      <c r="AG36" s="602">
        <f>IF(M36="","",DEGREES(ATAN2(-AF36,AE36)))</f>
        <v>70.33704650980998</v>
      </c>
      <c r="AH36" s="603">
        <f>IF(M36="","",DEGREES(ACOS(AD36)))</f>
        <v>122.93489401237042</v>
      </c>
      <c r="AI36" s="585">
        <f>IF(M36="","",DEGREES(-ACOS(-AF36)))</f>
        <v>-73.595945358587798</v>
      </c>
      <c r="AJ36" s="586">
        <f>IF(M36="","",DEGREES(ATAN2(-AE36,AD36)))</f>
        <v>-145.47567513500078</v>
      </c>
      <c r="AK36" s="635">
        <f>IF(M36="","",(COS(RADIANS((90-$Q$8)-W36))*AD36)+(-SIN(RADIANS((90-$Q$8)-W36))*AE36))</f>
        <v>0.95630476848795654</v>
      </c>
      <c r="AL36" s="629">
        <f>IF(M36="","",(SIN(RADIANS((90-$Q$8)-W36))*AD36)+(COS(RADIANS((90-$Q$8)-W36))*AE36))</f>
        <v>7.5671344153417031E-2</v>
      </c>
      <c r="AM36" s="634">
        <f>IF(M36="","",AF36)</f>
        <v>-0.28240934375691407</v>
      </c>
      <c r="AN36" s="581">
        <f>IF(M36="","",DEGREES(ATAN2(-AM36,AL36)))</f>
        <v>14.999997834268264</v>
      </c>
      <c r="AO36" s="582">
        <f t="shared" si="94"/>
        <v>16.999997545504044</v>
      </c>
      <c r="AP36" s="585">
        <f>IF(M36="","",DEGREES(ATAN2(AK36,AL36)))</f>
        <v>4.5243248649992216</v>
      </c>
      <c r="AQ36" s="586">
        <f t="shared" si="9"/>
        <v>3.4092358818915711</v>
      </c>
      <c r="AS36" s="52">
        <f t="shared" si="116"/>
        <v>-238.97000014871358</v>
      </c>
      <c r="AT36" s="72">
        <f t="shared" si="10"/>
        <v>-0.26853464590049203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5.101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IFERROR(ROUND(VALUE(IF($IH36&lt;1,$IH36+LARGE((IF($M$9:$M$150="",0,$M$9:$M$150)-MOD(IF($M$9:$M$150="",0,$M$9:$M$150),1)),1),$IH36)),4),"")</f>
        <v/>
      </c>
      <c r="IJ36" s="533">
        <f t="shared" si="112"/>
        <v>1613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-1.2405851325259685</v>
      </c>
      <c r="C37" s="708">
        <v>-0.71625216021651528</v>
      </c>
      <c r="D37" s="709">
        <v>-0.23020069428529408</v>
      </c>
      <c r="E37" s="710">
        <v>0.54097560356081209</v>
      </c>
      <c r="F37" s="708">
        <v>-0.80302267260615146</v>
      </c>
      <c r="G37" s="711">
        <v>0.2499999672649757</v>
      </c>
      <c r="H37" s="710">
        <v>0.314</v>
      </c>
      <c r="I37" s="708">
        <v>0.52</v>
      </c>
      <c r="J37" s="570">
        <v>5.1020000000000003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1613</v>
      </c>
      <c r="L37" s="320"/>
      <c r="M37" s="168">
        <f t="shared" si="1"/>
        <v>5.1020000000000003</v>
      </c>
      <c r="N37" s="632">
        <f t="shared" si="2"/>
        <v>-1.2405851325259685</v>
      </c>
      <c r="O37" s="629">
        <f t="shared" si="3"/>
        <v>-0.71625216021651528</v>
      </c>
      <c r="P37" s="633">
        <f t="shared" si="4"/>
        <v>-0.23020069428529408</v>
      </c>
      <c r="Q37" s="585">
        <f t="shared" si="113"/>
        <v>210</v>
      </c>
      <c r="R37" s="629">
        <f t="shared" si="79"/>
        <v>1.4325043204330308</v>
      </c>
      <c r="S37" s="634">
        <f t="shared" si="80"/>
        <v>-0.23020069428529408</v>
      </c>
      <c r="T37" s="635">
        <f t="shared" si="81"/>
        <v>-0.73843708791518414</v>
      </c>
      <c r="U37" s="629">
        <f t="shared" si="82"/>
        <v>1.2275093870315785</v>
      </c>
      <c r="V37" s="636">
        <f t="shared" si="114"/>
        <v>-0.23020069428529408</v>
      </c>
      <c r="W37" s="585">
        <f t="shared" si="224"/>
        <v>121.02999985128642</v>
      </c>
      <c r="X37" s="629">
        <f t="shared" si="83"/>
        <v>1.4325043204330308</v>
      </c>
      <c r="Y37" s="630">
        <f t="shared" si="223"/>
        <v>-0.23020069428529408</v>
      </c>
      <c r="Z37" s="632">
        <f t="shared" si="6"/>
        <v>-0.54097560356081209</v>
      </c>
      <c r="AA37" s="629">
        <f t="shared" si="7"/>
        <v>0.80302267260615146</v>
      </c>
      <c r="AB37" s="629">
        <f t="shared" si="8"/>
        <v>-0.2499999672649757</v>
      </c>
      <c r="AC37" s="636">
        <f t="shared" si="84"/>
        <v>1</v>
      </c>
      <c r="AD37" s="637">
        <f t="shared" si="115"/>
        <v>-0.54097560356081209</v>
      </c>
      <c r="AE37" s="629">
        <f t="shared" si="85"/>
        <v>0.80302267260615146</v>
      </c>
      <c r="AF37" s="633">
        <f t="shared" si="86"/>
        <v>-0.2499999672649757</v>
      </c>
      <c r="AG37" s="602">
        <f t="shared" si="87"/>
        <v>72.707398212485458</v>
      </c>
      <c r="AH37" s="603">
        <f t="shared" si="88"/>
        <v>122.75007713066476</v>
      </c>
      <c r="AI37" s="585">
        <f t="shared" si="89"/>
        <v>-75.522489751159455</v>
      </c>
      <c r="AJ37" s="586">
        <f t="shared" si="90"/>
        <v>-146.03287035491343</v>
      </c>
      <c r="AK37" s="635">
        <f t="shared" si="211"/>
        <v>0.96592583607220739</v>
      </c>
      <c r="AL37" s="629">
        <f t="shared" si="91"/>
        <v>6.6987279208207184E-2</v>
      </c>
      <c r="AM37" s="634">
        <f t="shared" si="92"/>
        <v>-0.2499999672649757</v>
      </c>
      <c r="AN37" s="581">
        <f t="shared" si="93"/>
        <v>14.999997834268262</v>
      </c>
      <c r="AO37" s="582">
        <f t="shared" si="94"/>
        <v>14.999997834268255</v>
      </c>
      <c r="AP37" s="585">
        <f t="shared" si="95"/>
        <v>3.9671296450865703</v>
      </c>
      <c r="AQ37" s="586">
        <f t="shared" si="9"/>
        <v>1.5910183383991929</v>
      </c>
      <c r="AS37" s="52">
        <f t="shared" si="116"/>
        <v>-238.97000014871358</v>
      </c>
      <c r="AT37" s="72">
        <f t="shared" si="10"/>
        <v>-6.3534027618627392E-2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5.1020000000000003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IFERROR(ROUND(VALUE(IF($IH37&lt;1,$IH37+LARGE((IF($M$9:$M$150="",0,$M$9:$M$150)-MOD(IF($M$9:$M$150="",0,$M$9:$M$150),1)),1),$IH37)),4),"")</f>
        <v/>
      </c>
      <c r="IJ37" s="533">
        <f t="shared" si="112"/>
        <v>1613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-1.8972294017130811</v>
      </c>
      <c r="C38" s="708">
        <v>-1.0782143394382739</v>
      </c>
      <c r="D38" s="709">
        <v>-5.4200163467693213E-2</v>
      </c>
      <c r="E38" s="710">
        <v>0.45184627694403606</v>
      </c>
      <c r="F38" s="708">
        <v>-0.85305569363167266</v>
      </c>
      <c r="G38" s="711">
        <v>0.26101901381776682</v>
      </c>
      <c r="H38" s="710">
        <v>0.314</v>
      </c>
      <c r="I38" s="708">
        <v>0.52</v>
      </c>
      <c r="J38" s="570">
        <v>5.1029999999999998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1613</v>
      </c>
      <c r="L38" s="320"/>
      <c r="M38" s="168">
        <f t="shared" si="1"/>
        <v>5.1029999999999998</v>
      </c>
      <c r="N38" s="632">
        <f t="shared" si="2"/>
        <v>-1.8972294017130811</v>
      </c>
      <c r="O38" s="629">
        <f t="shared" si="3"/>
        <v>-1.0782143394382739</v>
      </c>
      <c r="P38" s="633">
        <f t="shared" si="4"/>
        <v>-5.4200163467693213E-2</v>
      </c>
      <c r="Q38" s="585">
        <f t="shared" si="113"/>
        <v>209.61000005630902</v>
      </c>
      <c r="R38" s="629">
        <f t="shared" si="79"/>
        <v>2.1822065815350502</v>
      </c>
      <c r="S38" s="634">
        <f t="shared" si="80"/>
        <v>-5.4200163467693213E-2</v>
      </c>
      <c r="T38" s="635">
        <f t="shared" si="81"/>
        <v>-1.1121445664698828</v>
      </c>
      <c r="U38" s="629">
        <f t="shared" si="82"/>
        <v>1.877540952354011</v>
      </c>
      <c r="V38" s="636">
        <f t="shared" si="114"/>
        <v>-5.4200163467693213E-2</v>
      </c>
      <c r="W38" s="585">
        <f t="shared" si="224"/>
        <v>120.63999990759544</v>
      </c>
      <c r="X38" s="629">
        <f t="shared" si="83"/>
        <v>2.1822065815350502</v>
      </c>
      <c r="Y38" s="630">
        <f t="shared" si="223"/>
        <v>-5.4200163467693213E-2</v>
      </c>
      <c r="Z38" s="632">
        <f t="shared" si="6"/>
        <v>-0.45184627694403606</v>
      </c>
      <c r="AA38" s="629">
        <f t="shared" si="7"/>
        <v>0.85305569363167266</v>
      </c>
      <c r="AB38" s="629">
        <f t="shared" si="8"/>
        <v>-0.26101901381776682</v>
      </c>
      <c r="AC38" s="636">
        <f t="shared" si="84"/>
        <v>1</v>
      </c>
      <c r="AD38" s="637">
        <f t="shared" si="115"/>
        <v>-0.45184627694403606</v>
      </c>
      <c r="AE38" s="629">
        <f t="shared" si="85"/>
        <v>0.85305569363167266</v>
      </c>
      <c r="AF38" s="633">
        <f t="shared" si="86"/>
        <v>-0.26101901381776682</v>
      </c>
      <c r="AG38" s="602">
        <f t="shared" si="87"/>
        <v>72.986873678795348</v>
      </c>
      <c r="AH38" s="603">
        <f t="shared" si="88"/>
        <v>116.86220100255221</v>
      </c>
      <c r="AI38" s="585">
        <f t="shared" si="89"/>
        <v>-74.869464596713811</v>
      </c>
      <c r="AJ38" s="586">
        <f t="shared" si="90"/>
        <v>-152.09073984743219</v>
      </c>
      <c r="AK38" s="635">
        <f t="shared" si="211"/>
        <v>0.96490840789162602</v>
      </c>
      <c r="AL38" s="629">
        <f t="shared" si="91"/>
        <v>-2.8650284564871897E-2</v>
      </c>
      <c r="AM38" s="634">
        <f t="shared" si="92"/>
        <v>-0.26101901381776682</v>
      </c>
      <c r="AN38" s="581">
        <f t="shared" si="93"/>
        <v>-6.2638932191327674</v>
      </c>
      <c r="AO38" s="582">
        <f t="shared" si="94"/>
        <v>15.22360209490863</v>
      </c>
      <c r="AP38" s="585">
        <f t="shared" si="95"/>
        <v>-1.7007399037411848</v>
      </c>
      <c r="AQ38" s="586">
        <f t="shared" si="9"/>
        <v>1.0445729880128989</v>
      </c>
      <c r="AS38" s="52">
        <f t="shared" si="116"/>
        <v>-239.36000009240456</v>
      </c>
      <c r="AT38" s="72">
        <f t="shared" si="10"/>
        <v>0.11273733649320331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5.1029999999999998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IFERROR(ROUND(VALUE(IF($IH38&lt;1,$IH38+LARGE((IF($M$9:$M$150="",0,$M$9:$M$150)-MOD(IF($M$9:$M$150="",0,$M$9:$M$150),1)),1),$IH38)),4),"")</f>
        <v/>
      </c>
      <c r="IJ38" s="533">
        <f t="shared" si="112"/>
        <v>1613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-2.5894767129006522</v>
      </c>
      <c r="C39" s="708">
        <v>-1.4130013635888268</v>
      </c>
      <c r="D39" s="709">
        <v>-0.2234006737764323</v>
      </c>
      <c r="E39" s="710">
        <v>0.30235004464090615</v>
      </c>
      <c r="F39" s="708">
        <v>-0.92977686191594944</v>
      </c>
      <c r="G39" s="711">
        <v>0.20999866083232899</v>
      </c>
      <c r="H39" s="710">
        <v>0.314</v>
      </c>
      <c r="I39" s="708">
        <v>0.52</v>
      </c>
      <c r="J39" s="570">
        <v>5.1040000000000001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1613</v>
      </c>
      <c r="L39" s="320"/>
      <c r="M39" s="168">
        <f t="shared" si="1"/>
        <v>5.1040000000000001</v>
      </c>
      <c r="N39" s="632">
        <f t="shared" si="2"/>
        <v>-2.5894767129006522</v>
      </c>
      <c r="O39" s="629">
        <f t="shared" si="3"/>
        <v>-1.4130013635888268</v>
      </c>
      <c r="P39" s="633">
        <f t="shared" si="4"/>
        <v>-0.2234006737764323</v>
      </c>
      <c r="Q39" s="585">
        <f t="shared" si="113"/>
        <v>208.6200001992473</v>
      </c>
      <c r="R39" s="629">
        <f t="shared" si="79"/>
        <v>2.9499088969252338</v>
      </c>
      <c r="S39" s="634">
        <f t="shared" si="80"/>
        <v>-0.2234006737764323</v>
      </c>
      <c r="T39" s="635">
        <f t="shared" si="81"/>
        <v>-1.4593212783634963</v>
      </c>
      <c r="U39" s="629">
        <f t="shared" si="82"/>
        <v>2.5636583053664115</v>
      </c>
      <c r="V39" s="636">
        <f t="shared" si="114"/>
        <v>-0.2234006737764323</v>
      </c>
      <c r="W39" s="585">
        <f t="shared" si="224"/>
        <v>119.65000005053372</v>
      </c>
      <c r="X39" s="629">
        <f t="shared" si="83"/>
        <v>2.9499088969252338</v>
      </c>
      <c r="Y39" s="630">
        <f t="shared" si="223"/>
        <v>-0.2234006737764323</v>
      </c>
      <c r="Z39" s="632">
        <f t="shared" si="6"/>
        <v>-0.30235004464090615</v>
      </c>
      <c r="AA39" s="629">
        <f t="shared" si="7"/>
        <v>0.92977686191594944</v>
      </c>
      <c r="AB39" s="629">
        <f t="shared" si="8"/>
        <v>-0.20999866083232899</v>
      </c>
      <c r="AC39" s="636">
        <f t="shared" si="84"/>
        <v>1</v>
      </c>
      <c r="AD39" s="637">
        <f t="shared" si="115"/>
        <v>-0.30235004464090615</v>
      </c>
      <c r="AE39" s="629">
        <f t="shared" si="85"/>
        <v>0.92977686191594944</v>
      </c>
      <c r="AF39" s="633">
        <f t="shared" si="86"/>
        <v>-0.20999866083232899</v>
      </c>
      <c r="AG39" s="602">
        <f t="shared" si="87"/>
        <v>77.272768558002426</v>
      </c>
      <c r="AH39" s="603">
        <f t="shared" si="88"/>
        <v>107.59880706494543</v>
      </c>
      <c r="AI39" s="585">
        <f t="shared" si="89"/>
        <v>-77.877726233819416</v>
      </c>
      <c r="AJ39" s="586">
        <f t="shared" si="90"/>
        <v>-161.98622085734647</v>
      </c>
      <c r="AK39" s="635">
        <f t="shared" si="211"/>
        <v>0.96099800249383405</v>
      </c>
      <c r="AL39" s="629">
        <f t="shared" si="91"/>
        <v>-0.17995388756981406</v>
      </c>
      <c r="AM39" s="634">
        <f t="shared" si="92"/>
        <v>-0.20999866083232899</v>
      </c>
      <c r="AN39" s="581">
        <f t="shared" si="93"/>
        <v>-40.59422170986398</v>
      </c>
      <c r="AO39" s="582">
        <f t="shared" si="94"/>
        <v>16.054721915937037</v>
      </c>
      <c r="AP39" s="585">
        <f t="shared" si="95"/>
        <v>-10.606221056593762</v>
      </c>
      <c r="AQ39" s="586">
        <f t="shared" si="9"/>
        <v>0.77276569442277954</v>
      </c>
      <c r="AS39" s="52">
        <f t="shared" si="116"/>
        <v>-240.34999994946628</v>
      </c>
      <c r="AT39" s="72">
        <f t="shared" si="10"/>
        <v>-5.5775673914798485E-2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5.1040000000000001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IFERROR(ROUND(VALUE(IF($IH39&lt;1,$IH39+LARGE((IF($M$9:$M$150="",0,$M$9:$M$150)-MOD(IF($M$9:$M$150="",0,$M$9:$M$150),1)),1),$IH39)),4),"")</f>
        <v/>
      </c>
      <c r="IJ39" s="533">
        <f t="shared" si="112"/>
        <v>1613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-3.0925101181362429</v>
      </c>
      <c r="C40" s="708">
        <v>-1.6270483045358408</v>
      </c>
      <c r="D40" s="709">
        <v>-0.77300233137503216</v>
      </c>
      <c r="E40" s="710">
        <v>0.16718887382191552</v>
      </c>
      <c r="F40" s="708">
        <v>-0.9761296794267712</v>
      </c>
      <c r="G40" s="711">
        <v>0.13863163207705756</v>
      </c>
      <c r="H40" s="710">
        <v>0.314</v>
      </c>
      <c r="I40" s="708">
        <v>0.52</v>
      </c>
      <c r="J40" s="570">
        <v>5.1050000000000004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1613</v>
      </c>
      <c r="L40" s="320"/>
      <c r="M40" s="168">
        <f t="shared" si="1"/>
        <v>5.1050000000000004</v>
      </c>
      <c r="N40" s="632">
        <f t="shared" si="2"/>
        <v>-3.0925101181362429</v>
      </c>
      <c r="O40" s="629">
        <f t="shared" si="3"/>
        <v>-1.6270483045358408</v>
      </c>
      <c r="P40" s="633">
        <f t="shared" si="4"/>
        <v>-0.77300233137503216</v>
      </c>
      <c r="Q40" s="585">
        <f t="shared" si="113"/>
        <v>207.75000032485974</v>
      </c>
      <c r="R40" s="629">
        <f t="shared" si="79"/>
        <v>3.4944105391421871</v>
      </c>
      <c r="S40" s="634">
        <f t="shared" si="80"/>
        <v>-0.77300233137503216</v>
      </c>
      <c r="T40" s="635">
        <f t="shared" si="81"/>
        <v>-1.6823761221032556</v>
      </c>
      <c r="U40" s="629">
        <f t="shared" si="82"/>
        <v>3.0627627397245125</v>
      </c>
      <c r="V40" s="636">
        <f t="shared" si="114"/>
        <v>-0.77300233137503216</v>
      </c>
      <c r="W40" s="585">
        <f t="shared" si="224"/>
        <v>118.78000017614616</v>
      </c>
      <c r="X40" s="629">
        <f t="shared" si="83"/>
        <v>3.4944105391421871</v>
      </c>
      <c r="Y40" s="630">
        <f t="shared" si="223"/>
        <v>-0.77300233137503216</v>
      </c>
      <c r="Z40" s="632">
        <f t="shared" si="6"/>
        <v>-0.16718887382191552</v>
      </c>
      <c r="AA40" s="629">
        <f t="shared" si="7"/>
        <v>0.9761296794267712</v>
      </c>
      <c r="AB40" s="629">
        <f t="shared" si="8"/>
        <v>-0.13863163207705756</v>
      </c>
      <c r="AC40" s="636">
        <f t="shared" si="84"/>
        <v>1</v>
      </c>
      <c r="AD40" s="637">
        <f t="shared" si="115"/>
        <v>-0.16718887382191552</v>
      </c>
      <c r="AE40" s="629">
        <f t="shared" si="85"/>
        <v>0.9761296794267712</v>
      </c>
      <c r="AF40" s="633">
        <f t="shared" si="86"/>
        <v>-0.13863163207705756</v>
      </c>
      <c r="AG40" s="602">
        <f t="shared" si="87"/>
        <v>81.916811078034016</v>
      </c>
      <c r="AH40" s="603">
        <f t="shared" si="88"/>
        <v>99.624414274810462</v>
      </c>
      <c r="AI40" s="585">
        <f t="shared" si="89"/>
        <v>-82.031327569084013</v>
      </c>
      <c r="AJ40" s="586">
        <f t="shared" si="90"/>
        <v>-170.2808404171731</v>
      </c>
      <c r="AK40" s="635">
        <f t="shared" si="211"/>
        <v>0.94170826440369848</v>
      </c>
      <c r="AL40" s="629">
        <f t="shared" si="91"/>
        <v>-0.30654007134700267</v>
      </c>
      <c r="AM40" s="634">
        <f t="shared" si="92"/>
        <v>-0.13863163207705756</v>
      </c>
      <c r="AN40" s="581">
        <f t="shared" si="93"/>
        <v>-65.665311806040023</v>
      </c>
      <c r="AO40" s="582">
        <f t="shared" si="94"/>
        <v>19.659555141974423</v>
      </c>
      <c r="AP40" s="585">
        <f t="shared" si="95"/>
        <v>-18.030840742032836</v>
      </c>
      <c r="AQ40" s="586">
        <f t="shared" si="9"/>
        <v>0.65236413750366207</v>
      </c>
      <c r="AS40" s="52">
        <f t="shared" si="116"/>
        <v>-241.21999982385384</v>
      </c>
      <c r="AT40" s="72">
        <f t="shared" si="10"/>
        <v>-0.60477316493396249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5.1050000000000004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IFERROR(ROUND(VALUE(IF($IH40&lt;1,$IH40+LARGE((IF($M$9:$M$150="",0,$M$9:$M$150)-MOD(IF($M$9:$M$150="",0,$M$9:$M$150),1)),1),$IH40)),4),"")</f>
        <v/>
      </c>
      <c r="IJ40" s="533">
        <f t="shared" si="112"/>
        <v>1613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-3.263679858811313</v>
      </c>
      <c r="C41" s="708">
        <v>-1.6946227048896856</v>
      </c>
      <c r="D41" s="709">
        <v>-1.5260046024298817</v>
      </c>
      <c r="E41" s="710">
        <v>-5.9154772323995297E-2</v>
      </c>
      <c r="F41" s="708">
        <v>-0.99503846647565886</v>
      </c>
      <c r="G41" s="711">
        <v>7.9994769485670095E-2</v>
      </c>
      <c r="H41" s="710">
        <v>0.314</v>
      </c>
      <c r="I41" s="708">
        <v>0.52</v>
      </c>
      <c r="J41" s="570">
        <v>5.1059999999999999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1613</v>
      </c>
      <c r="L41" s="320"/>
      <c r="M41" s="168">
        <f t="shared" ref="M41:M72" si="239">IF(J41="","",VALUE(J41))</f>
        <v>5.1059999999999999</v>
      </c>
      <c r="N41" s="632">
        <f t="shared" ref="N41:N72" si="240">IF(M41="","",B41)</f>
        <v>-3.263679858811313</v>
      </c>
      <c r="O41" s="629">
        <f t="shared" ref="O41:O72" si="241">IF(M41="","",C41)</f>
        <v>-1.6946227048896856</v>
      </c>
      <c r="P41" s="633">
        <f t="shared" ref="P41:P72" si="242">IF(M41="","",D41)</f>
        <v>-1.5260046024298817</v>
      </c>
      <c r="Q41" s="585">
        <f t="shared" si="113"/>
        <v>207.44000036961819</v>
      </c>
      <c r="R41" s="629">
        <f t="shared" si="79"/>
        <v>3.6774110910718516</v>
      </c>
      <c r="S41" s="634">
        <f t="shared" si="80"/>
        <v>-1.5260046024298817</v>
      </c>
      <c r="T41" s="635">
        <f t="shared" si="81"/>
        <v>-1.7530165374340865</v>
      </c>
      <c r="U41" s="629">
        <f t="shared" si="82"/>
        <v>3.2326901107623778</v>
      </c>
      <c r="V41" s="636">
        <f t="shared" si="114"/>
        <v>-1.5260046024298817</v>
      </c>
      <c r="W41" s="585">
        <f t="shared" si="224"/>
        <v>118.47000022090461</v>
      </c>
      <c r="X41" s="629">
        <f t="shared" si="83"/>
        <v>3.6774110910718516</v>
      </c>
      <c r="Y41" s="630">
        <f t="shared" si="223"/>
        <v>-1.5260046024298817</v>
      </c>
      <c r="Z41" s="632">
        <f t="shared" ref="Z41:Z72" si="243">IF(M41="","",-E41)</f>
        <v>5.9154772323995297E-2</v>
      </c>
      <c r="AA41" s="629">
        <f t="shared" ref="AA41:AA72" si="244">IF(M41="","",-F41)</f>
        <v>0.99503846647565886</v>
      </c>
      <c r="AB41" s="629">
        <f t="shared" ref="AB41:AB72" si="245">IF(M41="","",-G41)</f>
        <v>-7.9994769485670095E-2</v>
      </c>
      <c r="AC41" s="636">
        <f t="shared" si="84"/>
        <v>1</v>
      </c>
      <c r="AD41" s="637">
        <f t="shared" si="115"/>
        <v>5.9154772323995297E-2</v>
      </c>
      <c r="AE41" s="629">
        <f t="shared" si="85"/>
        <v>0.99503846647565886</v>
      </c>
      <c r="AF41" s="633">
        <f t="shared" si="86"/>
        <v>-7.9994769485670095E-2</v>
      </c>
      <c r="AG41" s="602">
        <f t="shared" si="87"/>
        <v>85.403668659942483</v>
      </c>
      <c r="AH41" s="603">
        <f t="shared" si="88"/>
        <v>86.60870138869582</v>
      </c>
      <c r="AI41" s="585">
        <f t="shared" si="89"/>
        <v>-85.411734914170978</v>
      </c>
      <c r="AJ41" s="586">
        <f t="shared" si="90"/>
        <v>176.59778548405765</v>
      </c>
      <c r="AK41" s="635">
        <f t="shared" si="211"/>
        <v>0.85583088307349342</v>
      </c>
      <c r="AL41" s="629">
        <f t="shared" si="91"/>
        <v>-0.5110326177775536</v>
      </c>
      <c r="AM41" s="634">
        <f t="shared" si="92"/>
        <v>-7.9994769485670095E-2</v>
      </c>
      <c r="AN41" s="581">
        <f t="shared" si="93"/>
        <v>-81.103370913367669</v>
      </c>
      <c r="AO41" s="582">
        <f t="shared" si="94"/>
        <v>31.148351265838052</v>
      </c>
      <c r="AP41" s="585">
        <f t="shared" si="95"/>
        <v>-30.842214885560516</v>
      </c>
      <c r="AQ41" s="586">
        <f t="shared" ref="AQ41:AQ72" si="246">IF(M41="","",DEGREES(ATAN(($AS$5*SIN(RADIANS(90)))/(($X41*2*PI())-($AS$5*COS(RADIANS(90)))))))</f>
        <v>0.61990286677226858</v>
      </c>
      <c r="AS41" s="52">
        <f t="shared" si="116"/>
        <v>-241.52999977909539</v>
      </c>
      <c r="AT41" s="72">
        <f t="shared" ref="AT41:AT72" si="247">IF(M41="","",Y41+(((AS41-$AS$9)*$AS$6)*-1))</f>
        <v>-1.3575601582421166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5.1059999999999999</v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IFERROR(ROUND(VALUE(IF($IH41&lt;1,$IH41+LARGE((IF($M$9:$M$150="",0,$M$9:$M$150)-MOD(IF($M$9:$M$150="",0,$M$9:$M$150),1)),1),$IH41)),4),"")</f>
        <v/>
      </c>
      <c r="IJ41" s="533">
        <f t="shared" si="112"/>
        <v>1613</v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>
        <v>-1.4202447639179832</v>
      </c>
      <c r="C42" s="708">
        <v>0.18697877035522423</v>
      </c>
      <c r="D42" s="709">
        <v>-0.16710000000000011</v>
      </c>
      <c r="E42" s="710">
        <v>0.25660481229257065</v>
      </c>
      <c r="F42" s="708">
        <v>-3.3782664431261961E-2</v>
      </c>
      <c r="G42" s="711">
        <v>0.96592582628906831</v>
      </c>
      <c r="H42" s="710">
        <v>0.22499999999999998</v>
      </c>
      <c r="I42" s="708">
        <v>0.33200000000000002</v>
      </c>
      <c r="J42" s="570">
        <v>5.2009999999999996</v>
      </c>
      <c r="K42" s="865" t="str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Inactive</v>
      </c>
      <c r="L42" s="320"/>
      <c r="M42" s="168">
        <f t="shared" si="239"/>
        <v>5.2009999999999996</v>
      </c>
      <c r="N42" s="632">
        <f t="shared" si="240"/>
        <v>-1.4202447639179832</v>
      </c>
      <c r="O42" s="629">
        <f t="shared" si="241"/>
        <v>0.18697877035522423</v>
      </c>
      <c r="P42" s="633">
        <f t="shared" si="242"/>
        <v>-0.16710000000000011</v>
      </c>
      <c r="Q42" s="585">
        <f t="shared" si="113"/>
        <v>172.49999999999997</v>
      </c>
      <c r="R42" s="629">
        <f t="shared" ref="R42:R47" si="385">IF(M42="","",SQRT(N42^2+O42^2))</f>
        <v>1.4324999999999997</v>
      </c>
      <c r="S42" s="634">
        <f t="shared" ref="S42:S47" si="386">IF(M42="","",P42)</f>
        <v>-0.16710000000000011</v>
      </c>
      <c r="T42" s="635">
        <f t="shared" ref="T42:T47" si="387">IF(M42="","",X42*COS(RADIANS(W42)))</f>
        <v>0.16141835143930314</v>
      </c>
      <c r="U42" s="629">
        <f t="shared" ref="U42:U47" si="388">IF(M42="","",X42*SIN(RADIANS(W42)))</f>
        <v>1.4233763963964756</v>
      </c>
      <c r="V42" s="636">
        <f t="shared" ref="V42:V47" si="389">IF(M42="","",Y42)</f>
        <v>-0.16710000000000011</v>
      </c>
      <c r="W42" s="585">
        <f t="shared" si="224"/>
        <v>83.529999851286391</v>
      </c>
      <c r="X42" s="629">
        <f t="shared" ref="X42:X47" si="390">IF(M42="","",R42)</f>
        <v>1.4324999999999997</v>
      </c>
      <c r="Y42" s="630">
        <f t="shared" si="223"/>
        <v>-0.16710000000000011</v>
      </c>
      <c r="Z42" s="632">
        <f t="shared" si="243"/>
        <v>-0.25660481229257065</v>
      </c>
      <c r="AA42" s="629">
        <f t="shared" si="244"/>
        <v>3.3782664431261961E-2</v>
      </c>
      <c r="AB42" s="629">
        <f t="shared" si="245"/>
        <v>-0.96592582628906831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-0.25660481229257065</v>
      </c>
      <c r="AE42" s="629">
        <f t="shared" ref="AE42:AE47" si="393">IF(M42="","",AA42*(1/SQRT(Z42^2+AA42^2+AB42^2)))</f>
        <v>3.3782664431261961E-2</v>
      </c>
      <c r="AF42" s="633">
        <f t="shared" ref="AF42:AF47" si="394">IF(M42="","",AB42*(1/SQRT(Z42^2+AA42^2+AB42^2)))</f>
        <v>-0.96592582628906831</v>
      </c>
      <c r="AG42" s="602">
        <f t="shared" ref="AG42:AG47" si="395">IF(M42="","",DEGREES(ATAN2(-AF42,AE42)))</f>
        <v>2.0030683550805493</v>
      </c>
      <c r="AH42" s="603">
        <f t="shared" ref="AH42:AH47" si="396">IF(M42="","",DEGREES(ACOS(AD42)))</f>
        <v>104.86869864777044</v>
      </c>
      <c r="AI42" s="585">
        <f t="shared" ref="AI42:AI47" si="397">IF(M42="","",DEGREES(-ACOS(-AF42)))</f>
        <v>-14.999999999999982</v>
      </c>
      <c r="AJ42" s="586">
        <f t="shared" ref="AJ42:AJ47" si="398">IF(M42="","",DEGREES(ATAN2(-AE42,AD42)))</f>
        <v>-97.500000000000028</v>
      </c>
      <c r="AK42" s="635">
        <f t="shared" ref="AK42:AK47" si="399">IF(M42="","",(COS(RADIANS((90-$Q$8)-W42))*AD42)+(-SIN(RADIANS((90-$Q$8)-W42))*AE42))</f>
        <v>-6.9388939039072284E-18</v>
      </c>
      <c r="AL42" s="629">
        <f t="shared" ref="AL42:AL47" si="400">IF(M42="","",(SIN(RADIANS((90-$Q$8)-W42))*AD42)+(COS(RADIANS((90-$Q$8)-W42))*AE42))</f>
        <v>0.25881904510252079</v>
      </c>
      <c r="AM42" s="634">
        <f t="shared" ref="AM42:AM47" si="401">IF(M42="","",AF42)</f>
        <v>-0.96592582628906831</v>
      </c>
      <c r="AN42" s="581">
        <f t="shared" ref="AN42:AN47" si="402">IF(M42="","",DEGREES(ATAN2(-AM42,AL42)))</f>
        <v>15.000000000000002</v>
      </c>
      <c r="AO42" s="582">
        <f t="shared" si="94"/>
        <v>0</v>
      </c>
      <c r="AP42" s="585">
        <f t="shared" ref="AP42:AP47" si="403">IF(M42="","",DEGREES(ATAN2(AK42,AL42)))</f>
        <v>90</v>
      </c>
      <c r="AQ42" s="586">
        <f t="shared" si="246"/>
        <v>1.5910231344586137</v>
      </c>
      <c r="AS42" s="52">
        <f t="shared" si="116"/>
        <v>-276.47000014871361</v>
      </c>
      <c r="AT42" s="72">
        <f t="shared" si="247"/>
        <v>2.5608333333333233E-2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>Nose</v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5.2009999999999996</v>
      </c>
      <c r="IH42" s="731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5.101</v>
      </c>
      <c r="II42" s="734" cm="1">
        <f t="array" ref="II42">IFERROR(ROUND(VALUE(IF($IH42&lt;1,$IH42+LARGE((IF($M$9:$M$150="",0,$M$9:$M$150)-MOD(IF($M$9:$M$150="",0,$M$9:$M$150),1)),1),$IH42)),4),"")</f>
        <v>5.101</v>
      </c>
      <c r="IJ42" s="533">
        <f t="shared" si="112"/>
        <v>1613</v>
      </c>
      <c r="IK42" s="533" t="str">
        <f t="shared" si="382"/>
        <v>Inactive</v>
      </c>
      <c r="IL42" s="727">
        <f t="shared" si="225"/>
        <v>37.500000000000028</v>
      </c>
      <c r="IM42" s="759">
        <v>0.34318097438052703</v>
      </c>
      <c r="IN42" s="5">
        <f t="shared" si="226"/>
        <v>0</v>
      </c>
      <c r="IO42" s="771">
        <v>0</v>
      </c>
      <c r="IP42" s="9">
        <f t="shared" si="227"/>
        <v>-0.66790201439247565</v>
      </c>
      <c r="IQ42" s="5">
        <f t="shared" si="228"/>
        <v>-0.43520131256715872</v>
      </c>
      <c r="IR42" s="5">
        <f t="shared" si="383"/>
        <v>0.314</v>
      </c>
      <c r="IS42" s="5">
        <f t="shared" si="229"/>
        <v>0.30027969730521836</v>
      </c>
      <c r="IT42" s="727">
        <f t="shared" si="230"/>
        <v>-14.999997834268264</v>
      </c>
      <c r="IU42" s="9">
        <f t="shared" si="231"/>
        <v>-1.4324999999999997</v>
      </c>
      <c r="IV42" s="5">
        <f t="shared" si="232"/>
        <v>-0.16710000000000011</v>
      </c>
      <c r="IW42" s="5">
        <f t="shared" si="384"/>
        <v>0.22499999999999998</v>
      </c>
      <c r="IX42" s="5">
        <f t="shared" si="233"/>
        <v>0.22499999999999998</v>
      </c>
      <c r="IY42" s="762">
        <f t="shared" si="234"/>
        <v>-15.000000000000002</v>
      </c>
    </row>
    <row r="43" spans="1:267" ht="15" customHeight="1" x14ac:dyDescent="0.25">
      <c r="A43" s="79"/>
      <c r="B43" s="707">
        <v>-2.1754795669188054</v>
      </c>
      <c r="C43" s="708">
        <v>-0.1712139550785913</v>
      </c>
      <c r="D43" s="709">
        <v>-2.8700163467693055E-2</v>
      </c>
      <c r="E43" s="710">
        <v>6.6069608351706083E-2</v>
      </c>
      <c r="F43" s="708">
        <v>5.1995634503217807E-3</v>
      </c>
      <c r="G43" s="711">
        <v>0.997801468926649</v>
      </c>
      <c r="H43" s="710">
        <v>0.26250000000000001</v>
      </c>
      <c r="I43" s="708">
        <v>0.40699999999999997</v>
      </c>
      <c r="J43" s="570">
        <v>5.202</v>
      </c>
      <c r="K43" s="865" t="str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Inactive</v>
      </c>
      <c r="L43" s="320"/>
      <c r="M43" s="168">
        <f t="shared" si="239"/>
        <v>5.202</v>
      </c>
      <c r="N43" s="632">
        <f t="shared" si="240"/>
        <v>-2.1754795669188054</v>
      </c>
      <c r="O43" s="629">
        <f t="shared" si="241"/>
        <v>-0.1712139550785913</v>
      </c>
      <c r="P43" s="633">
        <f t="shared" si="242"/>
        <v>-2.8700163467693055E-2</v>
      </c>
      <c r="Q43" s="585">
        <f t="shared" si="113"/>
        <v>184.5</v>
      </c>
      <c r="R43" s="629">
        <f t="shared" si="385"/>
        <v>2.1822065815350493</v>
      </c>
      <c r="S43" s="634">
        <f t="shared" si="386"/>
        <v>-2.8700163467693055E-2</v>
      </c>
      <c r="T43" s="635">
        <f t="shared" si="387"/>
        <v>-0.21029253798890341</v>
      </c>
      <c r="U43" s="629">
        <f t="shared" si="388"/>
        <v>2.1720503246842768</v>
      </c>
      <c r="V43" s="636">
        <f t="shared" si="389"/>
        <v>-2.8700163467693055E-2</v>
      </c>
      <c r="W43" s="585">
        <f t="shared" si="224"/>
        <v>95.529999851286419</v>
      </c>
      <c r="X43" s="629">
        <f t="shared" si="390"/>
        <v>2.1822065815350493</v>
      </c>
      <c r="Y43" s="630">
        <f t="shared" si="223"/>
        <v>-2.8700163467693055E-2</v>
      </c>
      <c r="Z43" s="632">
        <f t="shared" si="243"/>
        <v>-6.6069608351706083E-2</v>
      </c>
      <c r="AA43" s="629">
        <f t="shared" si="244"/>
        <v>-5.1995634503217807E-3</v>
      </c>
      <c r="AB43" s="629">
        <f t="shared" si="245"/>
        <v>-0.997801468926649</v>
      </c>
      <c r="AC43" s="636">
        <f t="shared" si="391"/>
        <v>1</v>
      </c>
      <c r="AD43" s="637">
        <f t="shared" si="392"/>
        <v>-6.6069608351706083E-2</v>
      </c>
      <c r="AE43" s="629">
        <f t="shared" si="393"/>
        <v>-5.1995634503217807E-3</v>
      </c>
      <c r="AF43" s="633">
        <f t="shared" si="394"/>
        <v>-0.997801468926649</v>
      </c>
      <c r="AG43" s="602">
        <f t="shared" si="395"/>
        <v>-0.29856675275854527</v>
      </c>
      <c r="AH43" s="603">
        <f t="shared" si="396"/>
        <v>93.788269216851504</v>
      </c>
      <c r="AI43" s="585">
        <f t="shared" si="397"/>
        <v>-3.7999994513700348</v>
      </c>
      <c r="AJ43" s="586">
        <f t="shared" si="398"/>
        <v>-85.50019607103539</v>
      </c>
      <c r="AK43" s="635">
        <f t="shared" si="399"/>
        <v>2.2679489671342812E-7</v>
      </c>
      <c r="AL43" s="629">
        <f t="shared" si="400"/>
        <v>6.6273890845266636E-2</v>
      </c>
      <c r="AM43" s="634">
        <f t="shared" si="401"/>
        <v>-0.997801468926649</v>
      </c>
      <c r="AN43" s="581">
        <f t="shared" si="402"/>
        <v>3.7999994513479649</v>
      </c>
      <c r="AO43" s="582">
        <f t="shared" si="94"/>
        <v>0</v>
      </c>
      <c r="AP43" s="585">
        <f t="shared" si="403"/>
        <v>89.999803928964624</v>
      </c>
      <c r="AQ43" s="586">
        <f t="shared" si="246"/>
        <v>1.0445729880128993</v>
      </c>
      <c r="AS43" s="52">
        <f t="shared" ref="AS43:AS74" si="406">IF(G43="","",IF(AND(W43&lt;(AS42+180),W43&gt;(AS42-180)),W43,IF(W43&gt;(AS42+180),W43-360,IF(W43&lt;(AS42-180),W43+360,"Error"))))</f>
        <v>-264.47000014871355</v>
      </c>
      <c r="AT43" s="72">
        <f t="shared" si="247"/>
        <v>0.15567483653230696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>Nose</v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5.202</v>
      </c>
      <c r="IH43" s="731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5.1020000000000003</v>
      </c>
      <c r="II43" s="734" cm="1">
        <f t="array" ref="II43">IFERROR(ROUND(VALUE(IF($IH43&lt;1,$IH43+LARGE((IF($M$9:$M$150="",0,$M$9:$M$150)-MOD(IF($M$9:$M$150="",0,$M$9:$M$150),1)),1),$IH43)),4),"")</f>
        <v>5.1020000000000003</v>
      </c>
      <c r="IJ43" s="533">
        <f t="shared" si="112"/>
        <v>1613</v>
      </c>
      <c r="IK43" s="533" t="str">
        <f t="shared" si="382"/>
        <v>Inactive</v>
      </c>
      <c r="IL43" s="727">
        <f t="shared" si="225"/>
        <v>25.5</v>
      </c>
      <c r="IM43" s="759">
        <v>0.30886886376630202</v>
      </c>
      <c r="IN43" s="5">
        <f t="shared" si="226"/>
        <v>0</v>
      </c>
      <c r="IO43" s="771">
        <v>0</v>
      </c>
      <c r="IP43" s="9">
        <f t="shared" si="227"/>
        <v>-1.4325043204330308</v>
      </c>
      <c r="IQ43" s="5">
        <f t="shared" si="228"/>
        <v>-0.23020069428529408</v>
      </c>
      <c r="IR43" s="5">
        <f t="shared" si="383"/>
        <v>0.314</v>
      </c>
      <c r="IS43" s="5">
        <f t="shared" si="229"/>
        <v>0.30330071252667312</v>
      </c>
      <c r="IT43" s="727">
        <f t="shared" si="230"/>
        <v>-14.999997834268262</v>
      </c>
      <c r="IU43" s="9">
        <f t="shared" si="231"/>
        <v>-2.1822065815350493</v>
      </c>
      <c r="IV43" s="5">
        <f t="shared" si="232"/>
        <v>-2.8700163467693055E-2</v>
      </c>
      <c r="IW43" s="5">
        <f t="shared" si="384"/>
        <v>0.26250000000000001</v>
      </c>
      <c r="IX43" s="5">
        <f t="shared" si="233"/>
        <v>0.26250000000000001</v>
      </c>
      <c r="IY43" s="762">
        <f t="shared" si="234"/>
        <v>-3.7999994513479649</v>
      </c>
    </row>
    <row r="44" spans="1:267" ht="15" customHeight="1" x14ac:dyDescent="0.25">
      <c r="A44" s="79"/>
      <c r="B44" s="707">
        <v>-2.5396587534571498</v>
      </c>
      <c r="C44" s="708">
        <v>1.2502176446939148</v>
      </c>
      <c r="D44" s="709">
        <v>-0.16470049241312285</v>
      </c>
      <c r="E44" s="710">
        <v>-0.5664378346281862</v>
      </c>
      <c r="F44" s="708">
        <v>-0.79317512845876292</v>
      </c>
      <c r="G44" s="711">
        <v>0.22365463352266302</v>
      </c>
      <c r="H44" s="710">
        <v>0.314</v>
      </c>
      <c r="I44" s="708">
        <v>0.52</v>
      </c>
      <c r="J44" s="570">
        <v>6.101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1613</v>
      </c>
      <c r="L44" s="320"/>
      <c r="M44" s="168">
        <f t="shared" si="239"/>
        <v>6.101</v>
      </c>
      <c r="N44" s="632">
        <f t="shared" si="240"/>
        <v>-2.5396587534571498</v>
      </c>
      <c r="O44" s="629">
        <f t="shared" si="241"/>
        <v>1.2502176446939148</v>
      </c>
      <c r="P44" s="633">
        <f t="shared" si="242"/>
        <v>-0.16470049241312285</v>
      </c>
      <c r="Q44" s="585">
        <f t="shared" si="113"/>
        <v>153.79000020170767</v>
      </c>
      <c r="R44" s="629">
        <f t="shared" si="385"/>
        <v>2.83070852316439</v>
      </c>
      <c r="S44" s="634">
        <f t="shared" si="386"/>
        <v>-0.16470049241312285</v>
      </c>
      <c r="T44" s="635">
        <f t="shared" si="387"/>
        <v>1.2043629309020756</v>
      </c>
      <c r="U44" s="629">
        <f t="shared" si="388"/>
        <v>2.5617222085512092</v>
      </c>
      <c r="V44" s="636">
        <f t="shared" si="389"/>
        <v>-0.16470049241312285</v>
      </c>
      <c r="W44" s="585">
        <f t="shared" si="224"/>
        <v>64.820000052994089</v>
      </c>
      <c r="X44" s="629">
        <f t="shared" si="390"/>
        <v>2.83070852316439</v>
      </c>
      <c r="Y44" s="630">
        <f t="shared" si="223"/>
        <v>-0.16470049241312285</v>
      </c>
      <c r="Z44" s="632">
        <f t="shared" si="243"/>
        <v>0.5664378346281862</v>
      </c>
      <c r="AA44" s="629">
        <f t="shared" si="244"/>
        <v>0.79317512845876292</v>
      </c>
      <c r="AB44" s="629">
        <f t="shared" si="245"/>
        <v>-0.22365463352266302</v>
      </c>
      <c r="AC44" s="636">
        <f t="shared" si="391"/>
        <v>1</v>
      </c>
      <c r="AD44" s="637">
        <f t="shared" si="392"/>
        <v>0.5664378346281862</v>
      </c>
      <c r="AE44" s="629">
        <f t="shared" si="393"/>
        <v>0.79317512845876292</v>
      </c>
      <c r="AF44" s="633">
        <f t="shared" si="394"/>
        <v>-0.22365463352266302</v>
      </c>
      <c r="AG44" s="602">
        <f t="shared" si="395"/>
        <v>74.252936766440016</v>
      </c>
      <c r="AH44" s="603">
        <f t="shared" si="396"/>
        <v>55.49780320183536</v>
      </c>
      <c r="AI44" s="585">
        <f t="shared" si="397"/>
        <v>-77.076221613547318</v>
      </c>
      <c r="AJ44" s="586">
        <f t="shared" si="398"/>
        <v>144.46786289411452</v>
      </c>
      <c r="AK44" s="635">
        <f t="shared" si="399"/>
        <v>0.96179621151727424</v>
      </c>
      <c r="AL44" s="629">
        <f t="shared" si="400"/>
        <v>-0.15788176720211322</v>
      </c>
      <c r="AM44" s="634">
        <f t="shared" si="401"/>
        <v>-0.22365463352266302</v>
      </c>
      <c r="AN44" s="581">
        <f t="shared" si="402"/>
        <v>-35.218945126547808</v>
      </c>
      <c r="AO44" s="582">
        <f t="shared" si="94"/>
        <v>15.888513770841282</v>
      </c>
      <c r="AP44" s="585">
        <f t="shared" si="403"/>
        <v>-9.3221373075931595</v>
      </c>
      <c r="AQ44" s="586">
        <f t="shared" si="246"/>
        <v>0.80530245088606067</v>
      </c>
      <c r="AS44" s="52">
        <f t="shared" si="406"/>
        <v>-295.17999994700591</v>
      </c>
      <c r="AT44" s="72">
        <f t="shared" si="247"/>
        <v>4.1000896335691261E-2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6.101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IFERROR(ROUND(VALUE(IF($IH44&lt;1,$IH44+LARGE((IF($M$9:$M$150="",0,$M$9:$M$150)-MOD(IF($M$9:$M$150="",0,$M$9:$M$150),1)),1),$IH44)),4),"")</f>
        <v/>
      </c>
      <c r="IJ44" s="533">
        <f t="shared" si="112"/>
        <v>1613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-3.0496778543198584</v>
      </c>
      <c r="C45" s="708">
        <v>1.5632865466650847</v>
      </c>
      <c r="D45" s="709">
        <v>-0.6616019953916179</v>
      </c>
      <c r="E45" s="710">
        <v>-0.68427345216918778</v>
      </c>
      <c r="F45" s="708">
        <v>-0.71402254121389452</v>
      </c>
      <c r="G45" s="711">
        <v>0.14812715245664662</v>
      </c>
      <c r="H45" s="710">
        <v>0.314</v>
      </c>
      <c r="I45" s="708">
        <v>0.52</v>
      </c>
      <c r="J45" s="570">
        <v>6.1020000000000003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1613</v>
      </c>
      <c r="L45" s="320"/>
      <c r="M45" s="168">
        <f t="shared" si="239"/>
        <v>6.1020000000000003</v>
      </c>
      <c r="N45" s="632">
        <f t="shared" si="240"/>
        <v>-3.0496778543198584</v>
      </c>
      <c r="O45" s="629">
        <f t="shared" si="241"/>
        <v>1.5632865466650847</v>
      </c>
      <c r="P45" s="633">
        <f t="shared" si="242"/>
        <v>-0.6616019953916179</v>
      </c>
      <c r="Q45" s="585">
        <f t="shared" si="113"/>
        <v>152.8600003089777</v>
      </c>
      <c r="R45" s="629">
        <f t="shared" si="385"/>
        <v>3.4270103358631738</v>
      </c>
      <c r="S45" s="634">
        <f t="shared" si="386"/>
        <v>-0.6616019953916179</v>
      </c>
      <c r="T45" s="635">
        <f t="shared" si="387"/>
        <v>1.50821318444</v>
      </c>
      <c r="U45" s="629">
        <f t="shared" si="388"/>
        <v>3.0772866022511418</v>
      </c>
      <c r="V45" s="636">
        <f t="shared" si="389"/>
        <v>-0.6616019953916179</v>
      </c>
      <c r="W45" s="585">
        <f t="shared" si="224"/>
        <v>63.890000160264123</v>
      </c>
      <c r="X45" s="629">
        <f t="shared" si="390"/>
        <v>3.4270103358631738</v>
      </c>
      <c r="Y45" s="630">
        <f t="shared" si="223"/>
        <v>-0.6616019953916179</v>
      </c>
      <c r="Z45" s="632">
        <f t="shared" si="243"/>
        <v>0.68427345216918778</v>
      </c>
      <c r="AA45" s="629">
        <f t="shared" si="244"/>
        <v>0.71402254121389452</v>
      </c>
      <c r="AB45" s="629">
        <f t="shared" si="245"/>
        <v>-0.14812715245664662</v>
      </c>
      <c r="AC45" s="636">
        <f t="shared" si="391"/>
        <v>1</v>
      </c>
      <c r="AD45" s="637">
        <f t="shared" si="392"/>
        <v>0.68427345216918778</v>
      </c>
      <c r="AE45" s="629">
        <f t="shared" si="393"/>
        <v>0.71402254121389452</v>
      </c>
      <c r="AF45" s="633">
        <f t="shared" si="394"/>
        <v>-0.14812715245664662</v>
      </c>
      <c r="AG45" s="602">
        <f t="shared" si="395"/>
        <v>78.279981230672718</v>
      </c>
      <c r="AH45" s="603">
        <f t="shared" si="396"/>
        <v>46.821504962739816</v>
      </c>
      <c r="AI45" s="585">
        <f t="shared" si="397"/>
        <v>-81.481592131047449</v>
      </c>
      <c r="AJ45" s="586">
        <f t="shared" si="398"/>
        <v>136.21879784553451</v>
      </c>
      <c r="AK45" s="635">
        <f t="shared" si="399"/>
        <v>0.94754724824121972</v>
      </c>
      <c r="AL45" s="629">
        <f t="shared" si="400"/>
        <v>-0.28321821808559161</v>
      </c>
      <c r="AM45" s="634">
        <f t="shared" si="401"/>
        <v>-0.14812715245664662</v>
      </c>
      <c r="AN45" s="581">
        <f t="shared" si="402"/>
        <v>-62.389793539487414</v>
      </c>
      <c r="AO45" s="582">
        <f t="shared" si="94"/>
        <v>18.639687224550169</v>
      </c>
      <c r="AP45" s="585">
        <f t="shared" si="403"/>
        <v>-16.641202463443193</v>
      </c>
      <c r="AQ45" s="586">
        <f t="shared" si="246"/>
        <v>0.66519326795369915</v>
      </c>
      <c r="AS45" s="52">
        <f t="shared" si="406"/>
        <v>-296.10999983973591</v>
      </c>
      <c r="AT45" s="72">
        <f t="shared" si="247"/>
        <v>-0.45525477338396347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6.1020000000000003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IFERROR(ROUND(VALUE(IF($IH45&lt;1,$IH45+LARGE((IF($M$9:$M$150="",0,$M$9:$M$150)-MOD(IF($M$9:$M$150="",0,$M$9:$M$150),1)),1),$IH45)),4),"")</f>
        <v/>
      </c>
      <c r="IJ45" s="533">
        <f t="shared" si="112"/>
        <v>1613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-3.2493972399885092</v>
      </c>
      <c r="C46" s="708">
        <v>1.693692138304784</v>
      </c>
      <c r="D46" s="709">
        <v>-1.3964042115551025</v>
      </c>
      <c r="E46" s="710">
        <v>-0.82724922314912541</v>
      </c>
      <c r="F46" s="708">
        <v>-0.5529394316605879</v>
      </c>
      <c r="G46" s="711">
        <v>9.9582667739094063E-2</v>
      </c>
      <c r="H46" s="710">
        <v>0.314</v>
      </c>
      <c r="I46" s="708">
        <v>0.52</v>
      </c>
      <c r="J46" s="570">
        <v>6.1029999999999998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1613</v>
      </c>
      <c r="L46" s="320"/>
      <c r="M46" s="168">
        <f t="shared" si="239"/>
        <v>6.1029999999999998</v>
      </c>
      <c r="N46" s="632">
        <f t="shared" si="240"/>
        <v>-3.2493972399885092</v>
      </c>
      <c r="O46" s="629">
        <f t="shared" si="241"/>
        <v>1.693692138304784</v>
      </c>
      <c r="P46" s="633">
        <f t="shared" si="242"/>
        <v>-1.3964042115551025</v>
      </c>
      <c r="Q46" s="585">
        <f t="shared" si="113"/>
        <v>152.47000036528675</v>
      </c>
      <c r="R46" s="629">
        <f t="shared" si="385"/>
        <v>3.6643110515621311</v>
      </c>
      <c r="S46" s="634">
        <f t="shared" si="386"/>
        <v>-1.3964042115551025</v>
      </c>
      <c r="T46" s="635">
        <f t="shared" si="387"/>
        <v>1.6350075653655842</v>
      </c>
      <c r="U46" s="629">
        <f t="shared" si="388"/>
        <v>3.2793178778211907</v>
      </c>
      <c r="V46" s="636">
        <f t="shared" si="389"/>
        <v>-1.3964042115551025</v>
      </c>
      <c r="W46" s="585">
        <f t="shared" si="224"/>
        <v>63.50000021657317</v>
      </c>
      <c r="X46" s="629">
        <f t="shared" si="390"/>
        <v>3.6643110515621311</v>
      </c>
      <c r="Y46" s="630">
        <f t="shared" si="223"/>
        <v>-1.3964042115551025</v>
      </c>
      <c r="Z46" s="632">
        <f t="shared" si="243"/>
        <v>0.82724922314912541</v>
      </c>
      <c r="AA46" s="629">
        <f t="shared" si="244"/>
        <v>0.5529394316605879</v>
      </c>
      <c r="AB46" s="629">
        <f t="shared" si="245"/>
        <v>-9.9582667739094063E-2</v>
      </c>
      <c r="AC46" s="636">
        <f t="shared" si="391"/>
        <v>1</v>
      </c>
      <c r="AD46" s="637">
        <f t="shared" si="392"/>
        <v>0.82724922314912541</v>
      </c>
      <c r="AE46" s="629">
        <f t="shared" si="393"/>
        <v>0.5529394316605879</v>
      </c>
      <c r="AF46" s="633">
        <f t="shared" si="394"/>
        <v>-9.9582667739094063E-2</v>
      </c>
      <c r="AG46" s="602">
        <f t="shared" si="395"/>
        <v>79.790649628969362</v>
      </c>
      <c r="AH46" s="603">
        <f t="shared" si="396"/>
        <v>34.182805036985457</v>
      </c>
      <c r="AI46" s="585">
        <f t="shared" si="397"/>
        <v>-84.284860855236289</v>
      </c>
      <c r="AJ46" s="586">
        <f t="shared" si="398"/>
        <v>123.75905714232445</v>
      </c>
      <c r="AK46" s="635">
        <f t="shared" si="399"/>
        <v>0.87269484598527169</v>
      </c>
      <c r="AL46" s="629">
        <f t="shared" si="400"/>
        <v>-0.47800313605321509</v>
      </c>
      <c r="AM46" s="634">
        <f t="shared" si="401"/>
        <v>-9.9582667739094063E-2</v>
      </c>
      <c r="AN46" s="581">
        <f t="shared" si="402"/>
        <v>-78.231862586155898</v>
      </c>
      <c r="AO46" s="582">
        <f t="shared" si="94"/>
        <v>29.226675649718477</v>
      </c>
      <c r="AP46" s="585">
        <f t="shared" si="403"/>
        <v>-28.7109432229623</v>
      </c>
      <c r="AQ46" s="586">
        <f t="shared" si="246"/>
        <v>0.62211886721857013</v>
      </c>
      <c r="AS46" s="52">
        <f t="shared" si="406"/>
        <v>-296.4999997834268</v>
      </c>
      <c r="AT46" s="72">
        <f t="shared" si="247"/>
        <v>-1.1897861562532184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6.1029999999999998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IFERROR(ROUND(VALUE(IF($IH46&lt;1,$IH46+LARGE((IF($M$9:$M$150="",0,$M$9:$M$150)-MOD(IF($M$9:$M$150="",0,$M$9:$M$150),1)),1),$IH46)),4),"")</f>
        <v/>
      </c>
      <c r="IJ46" s="533">
        <f t="shared" si="112"/>
        <v>1613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-1.9305327578289144</v>
      </c>
      <c r="C47" s="708">
        <v>2.0702429231733861</v>
      </c>
      <c r="D47" s="709">
        <v>-0.13689999999999997</v>
      </c>
      <c r="E47" s="710">
        <v>-0.1822561342311364</v>
      </c>
      <c r="F47" s="708">
        <v>0.19544577555952908</v>
      </c>
      <c r="G47" s="711">
        <v>0.96363045320862306</v>
      </c>
      <c r="H47" s="710">
        <v>0.26250000000000001</v>
      </c>
      <c r="I47" s="708">
        <v>0.40699999999999997</v>
      </c>
      <c r="J47" s="570">
        <v>6.2009999999999996</v>
      </c>
      <c r="K47" s="865" t="str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Inactive</v>
      </c>
      <c r="L47" s="320"/>
      <c r="M47" s="168">
        <f t="shared" si="239"/>
        <v>6.2009999999999996</v>
      </c>
      <c r="N47" s="632">
        <f t="shared" si="240"/>
        <v>-1.9305327578289144</v>
      </c>
      <c r="O47" s="629">
        <f t="shared" si="241"/>
        <v>2.0702429231733861</v>
      </c>
      <c r="P47" s="633">
        <f t="shared" si="242"/>
        <v>-0.13689999999999997</v>
      </c>
      <c r="Q47" s="585">
        <f t="shared" si="113"/>
        <v>133</v>
      </c>
      <c r="R47" s="629">
        <f t="shared" si="385"/>
        <v>2.8306999999999998</v>
      </c>
      <c r="S47" s="634">
        <f t="shared" si="386"/>
        <v>-0.13689999999999997</v>
      </c>
      <c r="T47" s="635">
        <f t="shared" si="387"/>
        <v>2.0352053102135086</v>
      </c>
      <c r="U47" s="629">
        <f t="shared" si="388"/>
        <v>1.9674353446247568</v>
      </c>
      <c r="V47" s="636">
        <f t="shared" si="389"/>
        <v>-0.13689999999999997</v>
      </c>
      <c r="W47" s="585">
        <f t="shared" si="224"/>
        <v>44.029999851286419</v>
      </c>
      <c r="X47" s="629">
        <f t="shared" si="390"/>
        <v>2.8306999999999998</v>
      </c>
      <c r="Y47" s="630">
        <f t="shared" si="223"/>
        <v>-0.13689999999999997</v>
      </c>
      <c r="Z47" s="632">
        <f t="shared" si="243"/>
        <v>0.1822561342311364</v>
      </c>
      <c r="AA47" s="629">
        <f t="shared" si="244"/>
        <v>-0.19544577555952908</v>
      </c>
      <c r="AB47" s="629">
        <f t="shared" si="245"/>
        <v>-0.96363045320862306</v>
      </c>
      <c r="AC47" s="636">
        <f t="shared" si="391"/>
        <v>1</v>
      </c>
      <c r="AD47" s="637">
        <f t="shared" si="392"/>
        <v>0.1822561342311364</v>
      </c>
      <c r="AE47" s="629">
        <f t="shared" si="393"/>
        <v>-0.19544577555952908</v>
      </c>
      <c r="AF47" s="633">
        <f t="shared" si="394"/>
        <v>-0.96363045320862306</v>
      </c>
      <c r="AG47" s="602">
        <f t="shared" si="395"/>
        <v>-11.465335922786609</v>
      </c>
      <c r="AH47" s="603">
        <f t="shared" si="396"/>
        <v>79.498799094670503</v>
      </c>
      <c r="AI47" s="585">
        <f t="shared" si="397"/>
        <v>-15.499999999999977</v>
      </c>
      <c r="AJ47" s="586">
        <f t="shared" si="398"/>
        <v>43.000000000000007</v>
      </c>
      <c r="AK47" s="635">
        <f t="shared" si="399"/>
        <v>5.5511151231257827E-17</v>
      </c>
      <c r="AL47" s="629">
        <f t="shared" si="400"/>
        <v>-0.26723837607825679</v>
      </c>
      <c r="AM47" s="634">
        <f t="shared" si="401"/>
        <v>-0.96363045320862306</v>
      </c>
      <c r="AN47" s="581">
        <f t="shared" si="402"/>
        <v>-15.499999999999996</v>
      </c>
      <c r="AO47" s="582">
        <f t="shared" si="94"/>
        <v>0</v>
      </c>
      <c r="AP47" s="585">
        <f t="shared" si="403"/>
        <v>-89.999999999999986</v>
      </c>
      <c r="AQ47" s="586">
        <f t="shared" si="246"/>
        <v>0.80530487531155981</v>
      </c>
      <c r="AS47" s="52">
        <f t="shared" si="406"/>
        <v>-315.97000014871355</v>
      </c>
      <c r="AT47" s="72">
        <f t="shared" si="247"/>
        <v>8.3238888888888918E-2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>Nose</v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6.2009999999999996</v>
      </c>
      <c r="IH47" s="731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>0.10100000000000001</v>
      </c>
      <c r="II47" s="734" cm="1">
        <f t="array" ref="II47">IFERROR(ROUND(VALUE(IF($IH47&lt;1,$IH47+LARGE((IF($M$9:$M$150="",0,$M$9:$M$150)-MOD(IF($M$9:$M$150="",0,$M$9:$M$150),1)),1),$IH47)),4),"")</f>
        <v>6.101</v>
      </c>
      <c r="IJ47" s="533">
        <f t="shared" si="112"/>
        <v>1613</v>
      </c>
      <c r="IK47" s="533" t="str">
        <f t="shared" si="382"/>
        <v>Inactive</v>
      </c>
      <c r="IL47" s="727">
        <f t="shared" si="225"/>
        <v>20.79000020170767</v>
      </c>
      <c r="IM47" s="759">
        <v>1.41078096562051E-2</v>
      </c>
      <c r="IN47" s="5">
        <f t="shared" si="226"/>
        <v>0.24</v>
      </c>
      <c r="IO47" s="771">
        <v>120</v>
      </c>
      <c r="IP47" s="9">
        <f t="shared" si="227"/>
        <v>-2.83070852316439</v>
      </c>
      <c r="IQ47" s="5">
        <f t="shared" si="228"/>
        <v>-0.16470049241312285</v>
      </c>
      <c r="IR47" s="5">
        <f t="shared" si="383"/>
        <v>0.314</v>
      </c>
      <c r="IS47" s="5">
        <f t="shared" si="229"/>
        <v>0.30200401041642411</v>
      </c>
      <c r="IT47" s="727">
        <f t="shared" si="230"/>
        <v>35.218945126547808</v>
      </c>
      <c r="IU47" s="9">
        <f t="shared" si="231"/>
        <v>-2.8306999999999998</v>
      </c>
      <c r="IV47" s="5">
        <f t="shared" si="232"/>
        <v>-0.13689999999999997</v>
      </c>
      <c r="IW47" s="5">
        <f t="shared" si="384"/>
        <v>0.26250000000000001</v>
      </c>
      <c r="IX47" s="5">
        <f t="shared" si="233"/>
        <v>0.26250000000000001</v>
      </c>
      <c r="IY47" s="762">
        <f t="shared" si="234"/>
        <v>15.499999999999996</v>
      </c>
    </row>
    <row r="48" spans="1:267" ht="15" customHeight="1" x14ac:dyDescent="0.25">
      <c r="A48" s="79"/>
      <c r="B48" s="707"/>
      <c r="C48" s="708"/>
      <c r="D48" s="709"/>
      <c r="E48" s="710"/>
      <c r="F48" s="708"/>
      <c r="G48" s="711"/>
      <c r="H48" s="710"/>
      <c r="I48" s="708"/>
      <c r="J48" s="570"/>
      <c r="K48" s="865" t="str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/>
      </c>
      <c r="L48" s="320"/>
      <c r="M48" s="168" t="str">
        <f t="shared" si="239"/>
        <v/>
      </c>
      <c r="N48" s="632" t="str">
        <f t="shared" si="240"/>
        <v/>
      </c>
      <c r="O48" s="629" t="str">
        <f t="shared" si="241"/>
        <v/>
      </c>
      <c r="P48" s="633" t="str">
        <f t="shared" si="242"/>
        <v/>
      </c>
      <c r="Q48" s="585" t="str">
        <f t="shared" si="113"/>
        <v/>
      </c>
      <c r="R48" s="629" t="str">
        <f t="shared" si="79"/>
        <v/>
      </c>
      <c r="S48" s="634" t="str">
        <f t="shared" si="80"/>
        <v/>
      </c>
      <c r="T48" s="635" t="str">
        <f t="shared" si="81"/>
        <v/>
      </c>
      <c r="U48" s="629" t="str">
        <f t="shared" si="82"/>
        <v/>
      </c>
      <c r="V48" s="636" t="str">
        <f t="shared" si="114"/>
        <v/>
      </c>
      <c r="W48" s="585" t="str">
        <f t="shared" si="224"/>
        <v/>
      </c>
      <c r="X48" s="629" t="str">
        <f t="shared" si="83"/>
        <v/>
      </c>
      <c r="Y48" s="630" t="str">
        <f t="shared" si="223"/>
        <v/>
      </c>
      <c r="Z48" s="632" t="str">
        <f t="shared" si="243"/>
        <v/>
      </c>
      <c r="AA48" s="629" t="str">
        <f t="shared" si="244"/>
        <v/>
      </c>
      <c r="AB48" s="629" t="str">
        <f t="shared" si="245"/>
        <v/>
      </c>
      <c r="AC48" s="636" t="str">
        <f t="shared" si="84"/>
        <v/>
      </c>
      <c r="AD48" s="637" t="str">
        <f t="shared" si="115"/>
        <v/>
      </c>
      <c r="AE48" s="629" t="str">
        <f t="shared" si="85"/>
        <v/>
      </c>
      <c r="AF48" s="633" t="str">
        <f t="shared" si="86"/>
        <v/>
      </c>
      <c r="AG48" s="602" t="str">
        <f t="shared" si="87"/>
        <v/>
      </c>
      <c r="AH48" s="603" t="str">
        <f t="shared" si="88"/>
        <v/>
      </c>
      <c r="AI48" s="585" t="str">
        <f t="shared" si="89"/>
        <v/>
      </c>
      <c r="AJ48" s="586" t="str">
        <f t="shared" si="90"/>
        <v/>
      </c>
      <c r="AK48" s="635" t="str">
        <f t="shared" si="211"/>
        <v/>
      </c>
      <c r="AL48" s="629" t="str">
        <f t="shared" si="91"/>
        <v/>
      </c>
      <c r="AM48" s="634" t="str">
        <f t="shared" si="92"/>
        <v/>
      </c>
      <c r="AN48" s="581" t="str">
        <f t="shared" si="93"/>
        <v/>
      </c>
      <c r="AO48" s="582" t="str">
        <f t="shared" si="94"/>
        <v/>
      </c>
      <c r="AP48" s="585" t="str">
        <f t="shared" si="95"/>
        <v/>
      </c>
      <c r="AQ48" s="586" t="str">
        <f t="shared" si="246"/>
        <v/>
      </c>
      <c r="AS48" s="52" t="str">
        <f t="shared" si="406"/>
        <v/>
      </c>
      <c r="AT48" s="72" t="str">
        <f t="shared" si="247"/>
        <v/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210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IFERROR(ROUND(VALUE(IF($IH48&lt;1,$IH48+LARGE((IF($M$9:$M$150="",0,$M$9:$M$150)-MOD(IF($M$9:$M$150="",0,$M$9:$M$150),1)),1),$IH48)),4),"")</f>
        <v/>
      </c>
      <c r="IJ48" s="533" t="str">
        <f t="shared" si="112"/>
        <v/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/>
      <c r="C49" s="708"/>
      <c r="D49" s="709"/>
      <c r="E49" s="710"/>
      <c r="F49" s="708"/>
      <c r="G49" s="711"/>
      <c r="H49" s="710"/>
      <c r="I49" s="708"/>
      <c r="J49" s="570"/>
      <c r="K49" s="865" t="str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/>
      </c>
      <c r="L49" s="320"/>
      <c r="M49" s="168" t="str">
        <f t="shared" si="239"/>
        <v/>
      </c>
      <c r="N49" s="632" t="str">
        <f t="shared" si="240"/>
        <v/>
      </c>
      <c r="O49" s="629" t="str">
        <f t="shared" si="241"/>
        <v/>
      </c>
      <c r="P49" s="633" t="str">
        <f t="shared" si="242"/>
        <v/>
      </c>
      <c r="Q49" s="585" t="str">
        <f t="shared" si="113"/>
        <v/>
      </c>
      <c r="R49" s="629" t="str">
        <f t="shared" si="79"/>
        <v/>
      </c>
      <c r="S49" s="634" t="str">
        <f t="shared" si="80"/>
        <v/>
      </c>
      <c r="T49" s="635" t="str">
        <f t="shared" si="81"/>
        <v/>
      </c>
      <c r="U49" s="629" t="str">
        <f t="shared" si="82"/>
        <v/>
      </c>
      <c r="V49" s="636" t="str">
        <f t="shared" si="114"/>
        <v/>
      </c>
      <c r="W49" s="585" t="str">
        <f t="shared" si="224"/>
        <v/>
      </c>
      <c r="X49" s="629" t="str">
        <f t="shared" si="83"/>
        <v/>
      </c>
      <c r="Y49" s="630" t="str">
        <f t="shared" si="223"/>
        <v/>
      </c>
      <c r="Z49" s="632" t="str">
        <f t="shared" si="243"/>
        <v/>
      </c>
      <c r="AA49" s="629" t="str">
        <f t="shared" si="244"/>
        <v/>
      </c>
      <c r="AB49" s="629" t="str">
        <f t="shared" si="245"/>
        <v/>
      </c>
      <c r="AC49" s="636" t="str">
        <f t="shared" si="84"/>
        <v/>
      </c>
      <c r="AD49" s="637" t="str">
        <f t="shared" si="115"/>
        <v/>
      </c>
      <c r="AE49" s="629" t="str">
        <f t="shared" si="85"/>
        <v/>
      </c>
      <c r="AF49" s="633" t="str">
        <f t="shared" si="86"/>
        <v/>
      </c>
      <c r="AG49" s="602" t="str">
        <f t="shared" si="87"/>
        <v/>
      </c>
      <c r="AH49" s="603" t="str">
        <f t="shared" si="88"/>
        <v/>
      </c>
      <c r="AI49" s="585" t="str">
        <f t="shared" si="89"/>
        <v/>
      </c>
      <c r="AJ49" s="586" t="str">
        <f t="shared" si="90"/>
        <v/>
      </c>
      <c r="AK49" s="635" t="str">
        <f t="shared" si="211"/>
        <v/>
      </c>
      <c r="AL49" s="629" t="str">
        <f t="shared" si="91"/>
        <v/>
      </c>
      <c r="AM49" s="634" t="str">
        <f t="shared" si="92"/>
        <v/>
      </c>
      <c r="AN49" s="581" t="str">
        <f t="shared" si="93"/>
        <v/>
      </c>
      <c r="AO49" s="582" t="str">
        <f t="shared" si="94"/>
        <v/>
      </c>
      <c r="AP49" s="585" t="str">
        <f t="shared" si="95"/>
        <v/>
      </c>
      <c r="AQ49" s="586" t="str">
        <f t="shared" si="246"/>
        <v/>
      </c>
      <c r="AS49" s="52" t="str">
        <f t="shared" si="406"/>
        <v/>
      </c>
      <c r="AT49" s="72" t="str">
        <f t="shared" si="247"/>
        <v/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210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IFERROR(ROUND(VALUE(IF($IH49&lt;1,$IH49+LARGE((IF($M$9:$M$150="",0,$M$9:$M$150)-MOD(IF($M$9:$M$150="",0,$M$9:$M$150),1)),1),$IH49)),4),"")</f>
        <v/>
      </c>
      <c r="IJ49" s="533" t="str">
        <f t="shared" si="112"/>
        <v/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/>
      <c r="C50" s="708"/>
      <c r="D50" s="709"/>
      <c r="E50" s="710"/>
      <c r="F50" s="708"/>
      <c r="G50" s="711"/>
      <c r="H50" s="710"/>
      <c r="I50" s="708"/>
      <c r="J50" s="570"/>
      <c r="K50" s="865" t="str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/>
      </c>
      <c r="L50" s="320"/>
      <c r="M50" s="168" t="str">
        <f t="shared" si="239"/>
        <v/>
      </c>
      <c r="N50" s="632" t="str">
        <f t="shared" si="240"/>
        <v/>
      </c>
      <c r="O50" s="629" t="str">
        <f t="shared" si="241"/>
        <v/>
      </c>
      <c r="P50" s="633" t="str">
        <f t="shared" si="242"/>
        <v/>
      </c>
      <c r="Q50" s="585" t="str">
        <f t="shared" si="113"/>
        <v/>
      </c>
      <c r="R50" s="629" t="str">
        <f t="shared" si="79"/>
        <v/>
      </c>
      <c r="S50" s="634" t="str">
        <f t="shared" si="80"/>
        <v/>
      </c>
      <c r="T50" s="635" t="str">
        <f t="shared" si="81"/>
        <v/>
      </c>
      <c r="U50" s="629" t="str">
        <f t="shared" si="82"/>
        <v/>
      </c>
      <c r="V50" s="636" t="str">
        <f t="shared" si="114"/>
        <v/>
      </c>
      <c r="W50" s="585" t="str">
        <f t="shared" si="224"/>
        <v/>
      </c>
      <c r="X50" s="629" t="str">
        <f t="shared" si="83"/>
        <v/>
      </c>
      <c r="Y50" s="630" t="str">
        <f t="shared" si="223"/>
        <v/>
      </c>
      <c r="Z50" s="632" t="str">
        <f t="shared" si="243"/>
        <v/>
      </c>
      <c r="AA50" s="629" t="str">
        <f t="shared" si="244"/>
        <v/>
      </c>
      <c r="AB50" s="629" t="str">
        <f t="shared" si="245"/>
        <v/>
      </c>
      <c r="AC50" s="636" t="str">
        <f t="shared" si="84"/>
        <v/>
      </c>
      <c r="AD50" s="637" t="str">
        <f t="shared" si="115"/>
        <v/>
      </c>
      <c r="AE50" s="629" t="str">
        <f t="shared" si="85"/>
        <v/>
      </c>
      <c r="AF50" s="633" t="str">
        <f t="shared" si="86"/>
        <v/>
      </c>
      <c r="AG50" s="602" t="str">
        <f t="shared" si="87"/>
        <v/>
      </c>
      <c r="AH50" s="603" t="str">
        <f t="shared" si="88"/>
        <v/>
      </c>
      <c r="AI50" s="585" t="str">
        <f t="shared" si="89"/>
        <v/>
      </c>
      <c r="AJ50" s="586" t="str">
        <f t="shared" si="90"/>
        <v/>
      </c>
      <c r="AK50" s="635" t="str">
        <f t="shared" si="211"/>
        <v/>
      </c>
      <c r="AL50" s="629" t="str">
        <f t="shared" si="91"/>
        <v/>
      </c>
      <c r="AM50" s="634" t="str">
        <f t="shared" si="92"/>
        <v/>
      </c>
      <c r="AN50" s="581" t="str">
        <f t="shared" si="93"/>
        <v/>
      </c>
      <c r="AO50" s="582" t="str">
        <f t="shared" si="94"/>
        <v/>
      </c>
      <c r="AP50" s="585" t="str">
        <f t="shared" si="95"/>
        <v/>
      </c>
      <c r="AQ50" s="586" t="str">
        <f t="shared" si="246"/>
        <v/>
      </c>
      <c r="AS50" s="52" t="str">
        <f t="shared" si="406"/>
        <v/>
      </c>
      <c r="AT50" s="72" t="str">
        <f t="shared" si="247"/>
        <v/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210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IFERROR(ROUND(VALUE(IF($IH50&lt;1,$IH50+LARGE((IF($M$9:$M$150="",0,$M$9:$M$150)-MOD(IF($M$9:$M$150="",0,$M$9:$M$150),1)),1),$IH50)),4),"")</f>
        <v/>
      </c>
      <c r="IJ50" s="533" t="str">
        <f t="shared" si="112"/>
        <v/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/>
      <c r="C51" s="708"/>
      <c r="D51" s="709"/>
      <c r="E51" s="710"/>
      <c r="F51" s="708"/>
      <c r="G51" s="711"/>
      <c r="H51" s="710"/>
      <c r="I51" s="708"/>
      <c r="J51" s="570"/>
      <c r="K51" s="865" t="str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/>
      </c>
      <c r="L51" s="320"/>
      <c r="M51" s="168" t="str">
        <f t="shared" si="239"/>
        <v/>
      </c>
      <c r="N51" s="632" t="str">
        <f t="shared" si="240"/>
        <v/>
      </c>
      <c r="O51" s="629" t="str">
        <f t="shared" si="241"/>
        <v/>
      </c>
      <c r="P51" s="633" t="str">
        <f t="shared" si="242"/>
        <v/>
      </c>
      <c r="Q51" s="585" t="str">
        <f t="shared" si="113"/>
        <v/>
      </c>
      <c r="R51" s="629" t="str">
        <f t="shared" si="79"/>
        <v/>
      </c>
      <c r="S51" s="634" t="str">
        <f t="shared" si="80"/>
        <v/>
      </c>
      <c r="T51" s="635" t="str">
        <f t="shared" si="81"/>
        <v/>
      </c>
      <c r="U51" s="629" t="str">
        <f t="shared" si="82"/>
        <v/>
      </c>
      <c r="V51" s="636" t="str">
        <f t="shared" si="114"/>
        <v/>
      </c>
      <c r="W51" s="585" t="str">
        <f t="shared" si="224"/>
        <v/>
      </c>
      <c r="X51" s="629" t="str">
        <f t="shared" si="83"/>
        <v/>
      </c>
      <c r="Y51" s="630" t="str">
        <f t="shared" si="223"/>
        <v/>
      </c>
      <c r="Z51" s="632" t="str">
        <f t="shared" si="243"/>
        <v/>
      </c>
      <c r="AA51" s="629" t="str">
        <f t="shared" si="244"/>
        <v/>
      </c>
      <c r="AB51" s="629" t="str">
        <f t="shared" si="245"/>
        <v/>
      </c>
      <c r="AC51" s="636" t="str">
        <f t="shared" si="84"/>
        <v/>
      </c>
      <c r="AD51" s="637" t="str">
        <f t="shared" si="115"/>
        <v/>
      </c>
      <c r="AE51" s="629" t="str">
        <f t="shared" si="85"/>
        <v/>
      </c>
      <c r="AF51" s="633" t="str">
        <f t="shared" si="86"/>
        <v/>
      </c>
      <c r="AG51" s="602" t="str">
        <f t="shared" si="87"/>
        <v/>
      </c>
      <c r="AH51" s="603" t="str">
        <f t="shared" si="88"/>
        <v/>
      </c>
      <c r="AI51" s="585" t="str">
        <f t="shared" si="89"/>
        <v/>
      </c>
      <c r="AJ51" s="586" t="str">
        <f t="shared" si="90"/>
        <v/>
      </c>
      <c r="AK51" s="635" t="str">
        <f t="shared" si="211"/>
        <v/>
      </c>
      <c r="AL51" s="629" t="str">
        <f t="shared" si="91"/>
        <v/>
      </c>
      <c r="AM51" s="634" t="str">
        <f t="shared" si="92"/>
        <v/>
      </c>
      <c r="AN51" s="581" t="str">
        <f t="shared" si="93"/>
        <v/>
      </c>
      <c r="AO51" s="582" t="str">
        <f t="shared" si="94"/>
        <v/>
      </c>
      <c r="AP51" s="585" t="str">
        <f t="shared" si="95"/>
        <v/>
      </c>
      <c r="AQ51" s="586" t="str">
        <f t="shared" si="246"/>
        <v/>
      </c>
      <c r="AS51" s="52" t="str">
        <f t="shared" si="406"/>
        <v/>
      </c>
      <c r="AT51" s="72" t="str">
        <f t="shared" si="247"/>
        <v/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210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IFERROR(ROUND(VALUE(IF($IH51&lt;1,$IH51+LARGE((IF($M$9:$M$150="",0,$M$9:$M$150)-MOD(IF($M$9:$M$150="",0,$M$9:$M$150),1)),1),$IH51)),4),"")</f>
        <v/>
      </c>
      <c r="IJ51" s="533" t="str">
        <f t="shared" si="112"/>
        <v/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/>
      <c r="C52" s="708"/>
      <c r="D52" s="709"/>
      <c r="E52" s="710"/>
      <c r="F52" s="708"/>
      <c r="G52" s="711"/>
      <c r="H52" s="710"/>
      <c r="I52" s="708"/>
      <c r="J52" s="570"/>
      <c r="K52" s="865" t="str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/>
      </c>
      <c r="L52" s="320"/>
      <c r="M52" s="168" t="str">
        <f t="shared" si="239"/>
        <v/>
      </c>
      <c r="N52" s="632" t="str">
        <f t="shared" si="240"/>
        <v/>
      </c>
      <c r="O52" s="629" t="str">
        <f t="shared" si="241"/>
        <v/>
      </c>
      <c r="P52" s="633" t="str">
        <f t="shared" si="242"/>
        <v/>
      </c>
      <c r="Q52" s="585" t="str">
        <f t="shared" si="113"/>
        <v/>
      </c>
      <c r="R52" s="629" t="str">
        <f t="shared" si="79"/>
        <v/>
      </c>
      <c r="S52" s="634" t="str">
        <f t="shared" si="80"/>
        <v/>
      </c>
      <c r="T52" s="635" t="str">
        <f t="shared" si="81"/>
        <v/>
      </c>
      <c r="U52" s="629" t="str">
        <f t="shared" si="82"/>
        <v/>
      </c>
      <c r="V52" s="636" t="str">
        <f t="shared" si="114"/>
        <v/>
      </c>
      <c r="W52" s="585" t="str">
        <f t="shared" si="224"/>
        <v/>
      </c>
      <c r="X52" s="629" t="str">
        <f t="shared" si="83"/>
        <v/>
      </c>
      <c r="Y52" s="630" t="str">
        <f t="shared" si="223"/>
        <v/>
      </c>
      <c r="Z52" s="632" t="str">
        <f t="shared" si="243"/>
        <v/>
      </c>
      <c r="AA52" s="629" t="str">
        <f t="shared" si="244"/>
        <v/>
      </c>
      <c r="AB52" s="629" t="str">
        <f t="shared" si="245"/>
        <v/>
      </c>
      <c r="AC52" s="636" t="str">
        <f t="shared" si="84"/>
        <v/>
      </c>
      <c r="AD52" s="637" t="str">
        <f t="shared" si="115"/>
        <v/>
      </c>
      <c r="AE52" s="629" t="str">
        <f t="shared" si="85"/>
        <v/>
      </c>
      <c r="AF52" s="633" t="str">
        <f t="shared" si="86"/>
        <v/>
      </c>
      <c r="AG52" s="602" t="str">
        <f t="shared" si="87"/>
        <v/>
      </c>
      <c r="AH52" s="603" t="str">
        <f t="shared" si="88"/>
        <v/>
      </c>
      <c r="AI52" s="585" t="str">
        <f t="shared" si="89"/>
        <v/>
      </c>
      <c r="AJ52" s="586" t="str">
        <f t="shared" si="90"/>
        <v/>
      </c>
      <c r="AK52" s="635" t="str">
        <f t="shared" si="211"/>
        <v/>
      </c>
      <c r="AL52" s="629" t="str">
        <f t="shared" si="91"/>
        <v/>
      </c>
      <c r="AM52" s="634" t="str">
        <f t="shared" si="92"/>
        <v/>
      </c>
      <c r="AN52" s="581" t="str">
        <f t="shared" si="93"/>
        <v/>
      </c>
      <c r="AO52" s="582" t="str">
        <f t="shared" si="94"/>
        <v/>
      </c>
      <c r="AP52" s="585" t="str">
        <f t="shared" si="95"/>
        <v/>
      </c>
      <c r="AQ52" s="586" t="str">
        <f t="shared" si="246"/>
        <v/>
      </c>
      <c r="AS52" s="52" t="str">
        <f t="shared" si="406"/>
        <v/>
      </c>
      <c r="AT52" s="72" t="str">
        <f t="shared" si="247"/>
        <v/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210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IFERROR(ROUND(VALUE(IF($IH52&lt;1,$IH52+LARGE((IF($M$9:$M$150="",0,$M$9:$M$150)-MOD(IF($M$9:$M$150="",0,$M$9:$M$150),1)),1),$IH52)),4),"")</f>
        <v/>
      </c>
      <c r="IJ52" s="533" t="str">
        <f t="shared" si="112"/>
        <v/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/>
      <c r="C53" s="708"/>
      <c r="D53" s="709"/>
      <c r="E53" s="710"/>
      <c r="F53" s="708"/>
      <c r="G53" s="711"/>
      <c r="H53" s="710"/>
      <c r="I53" s="708"/>
      <c r="J53" s="570"/>
      <c r="K53" s="865" t="str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/>
      </c>
      <c r="L53" s="320"/>
      <c r="M53" s="168" t="str">
        <f t="shared" si="239"/>
        <v/>
      </c>
      <c r="N53" s="632" t="str">
        <f t="shared" si="240"/>
        <v/>
      </c>
      <c r="O53" s="629" t="str">
        <f t="shared" si="241"/>
        <v/>
      </c>
      <c r="P53" s="633" t="str">
        <f t="shared" si="242"/>
        <v/>
      </c>
      <c r="Q53" s="585" t="str">
        <f t="shared" si="113"/>
        <v/>
      </c>
      <c r="R53" s="629" t="str">
        <f t="shared" ref="R53:R58" si="410">IF(M53="","",SQRT(N53^2+O53^2))</f>
        <v/>
      </c>
      <c r="S53" s="634" t="str">
        <f t="shared" ref="S53:S58" si="411">IF(M53="","",P53)</f>
        <v/>
      </c>
      <c r="T53" s="635" t="str">
        <f t="shared" ref="T53:T58" si="412">IF(M53="","",X53*COS(RADIANS(W53)))</f>
        <v/>
      </c>
      <c r="U53" s="629" t="str">
        <f t="shared" ref="U53:U58" si="413">IF(M53="","",X53*SIN(RADIANS(W53)))</f>
        <v/>
      </c>
      <c r="V53" s="636" t="str">
        <f t="shared" ref="V53:V58" si="414">IF(M53="","",Y53)</f>
        <v/>
      </c>
      <c r="W53" s="585" t="str">
        <f t="shared" si="224"/>
        <v/>
      </c>
      <c r="X53" s="629" t="str">
        <f t="shared" ref="X53:X58" si="415">IF(M53="","",R53)</f>
        <v/>
      </c>
      <c r="Y53" s="630" t="str">
        <f t="shared" si="223"/>
        <v/>
      </c>
      <c r="Z53" s="632" t="str">
        <f t="shared" si="243"/>
        <v/>
      </c>
      <c r="AA53" s="629" t="str">
        <f t="shared" si="244"/>
        <v/>
      </c>
      <c r="AB53" s="629" t="str">
        <f t="shared" si="245"/>
        <v/>
      </c>
      <c r="AC53" s="636" t="str">
        <f t="shared" ref="AC53:AC58" si="416">IF(M53="","",SQRT(Z53^2+AA53^2+AB53^2))</f>
        <v/>
      </c>
      <c r="AD53" s="637" t="str">
        <f t="shared" ref="AD53:AD58" si="417">IF(M53="","",Z53*(1/SQRT(Z53^2+AA53^2+AB53^2)))</f>
        <v/>
      </c>
      <c r="AE53" s="629" t="str">
        <f t="shared" ref="AE53:AE58" si="418">IF(M53="","",AA53*(1/SQRT(Z53^2+AA53^2+AB53^2)))</f>
        <v/>
      </c>
      <c r="AF53" s="633" t="str">
        <f t="shared" ref="AF53:AF58" si="419">IF(M53="","",AB53*(1/SQRT(Z53^2+AA53^2+AB53^2)))</f>
        <v/>
      </c>
      <c r="AG53" s="602" t="str">
        <f t="shared" ref="AG53:AG58" si="420">IF(M53="","",DEGREES(ATAN2(-AF53,AE53)))</f>
        <v/>
      </c>
      <c r="AH53" s="603" t="str">
        <f t="shared" ref="AH53:AH58" si="421">IF(M53="","",DEGREES(ACOS(AD53)))</f>
        <v/>
      </c>
      <c r="AI53" s="585" t="str">
        <f t="shared" ref="AI53:AI58" si="422">IF(M53="","",DEGREES(-ACOS(-AF53)))</f>
        <v/>
      </c>
      <c r="AJ53" s="586" t="str">
        <f t="shared" ref="AJ53:AJ58" si="423">IF(M53="","",DEGREES(ATAN2(-AE53,AD53)))</f>
        <v/>
      </c>
      <c r="AK53" s="635" t="str">
        <f t="shared" ref="AK53:AK58" si="424">IF(M53="","",(COS(RADIANS((90-$Q$8)-W53))*AD53)+(-SIN(RADIANS((90-$Q$8)-W53))*AE53))</f>
        <v/>
      </c>
      <c r="AL53" s="629" t="str">
        <f t="shared" ref="AL53:AL58" si="425">IF(M53="","",(SIN(RADIANS((90-$Q$8)-W53))*AD53)+(COS(RADIANS((90-$Q$8)-W53))*AE53))</f>
        <v/>
      </c>
      <c r="AM53" s="634" t="str">
        <f t="shared" ref="AM53:AM58" si="426">IF(M53="","",AF53)</f>
        <v/>
      </c>
      <c r="AN53" s="581" t="str">
        <f t="shared" ref="AN53:AN58" si="427">IF(M53="","",DEGREES(ATAN2(-AM53,AL53)))</f>
        <v/>
      </c>
      <c r="AO53" s="582" t="str">
        <f t="shared" si="94"/>
        <v/>
      </c>
      <c r="AP53" s="585" t="str">
        <f t="shared" ref="AP53:AP58" si="428">IF(M53="","",DEGREES(ATAN2(AK53,AL53)))</f>
        <v/>
      </c>
      <c r="AQ53" s="586" t="str">
        <f t="shared" si="246"/>
        <v/>
      </c>
      <c r="AS53" s="52" t="str">
        <f t="shared" si="406"/>
        <v/>
      </c>
      <c r="AT53" s="72" t="str">
        <f t="shared" si="247"/>
        <v/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210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IFERROR(ROUND(VALUE(IF($IH53&lt;1,$IH53+LARGE((IF($M$9:$M$150="",0,$M$9:$M$150)-MOD(IF($M$9:$M$150="",0,$M$9:$M$150),1)),1),$IH53)),4),"")</f>
        <v/>
      </c>
      <c r="IJ53" s="533" t="str">
        <f t="shared" si="112"/>
        <v/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/>
      <c r="C54" s="708"/>
      <c r="D54" s="709"/>
      <c r="E54" s="710"/>
      <c r="F54" s="708"/>
      <c r="G54" s="711"/>
      <c r="H54" s="710"/>
      <c r="I54" s="708"/>
      <c r="J54" s="570"/>
      <c r="K54" s="865" t="str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/>
      </c>
      <c r="L54" s="320"/>
      <c r="M54" s="168" t="str">
        <f t="shared" si="239"/>
        <v/>
      </c>
      <c r="N54" s="632" t="str">
        <f t="shared" si="240"/>
        <v/>
      </c>
      <c r="O54" s="629" t="str">
        <f t="shared" si="241"/>
        <v/>
      </c>
      <c r="P54" s="633" t="str">
        <f t="shared" si="242"/>
        <v/>
      </c>
      <c r="Q54" s="585" t="str">
        <f t="shared" si="113"/>
        <v/>
      </c>
      <c r="R54" s="629" t="str">
        <f t="shared" si="410"/>
        <v/>
      </c>
      <c r="S54" s="634" t="str">
        <f t="shared" si="411"/>
        <v/>
      </c>
      <c r="T54" s="635" t="str">
        <f t="shared" si="412"/>
        <v/>
      </c>
      <c r="U54" s="629" t="str">
        <f t="shared" si="413"/>
        <v/>
      </c>
      <c r="V54" s="636" t="str">
        <f t="shared" si="414"/>
        <v/>
      </c>
      <c r="W54" s="585" t="str">
        <f t="shared" si="224"/>
        <v/>
      </c>
      <c r="X54" s="629" t="str">
        <f t="shared" si="415"/>
        <v/>
      </c>
      <c r="Y54" s="630" t="str">
        <f t="shared" si="223"/>
        <v/>
      </c>
      <c r="Z54" s="632" t="str">
        <f t="shared" si="243"/>
        <v/>
      </c>
      <c r="AA54" s="629" t="str">
        <f t="shared" si="244"/>
        <v/>
      </c>
      <c r="AB54" s="629" t="str">
        <f t="shared" si="245"/>
        <v/>
      </c>
      <c r="AC54" s="636" t="str">
        <f t="shared" si="416"/>
        <v/>
      </c>
      <c r="AD54" s="637" t="str">
        <f t="shared" si="417"/>
        <v/>
      </c>
      <c r="AE54" s="629" t="str">
        <f t="shared" si="418"/>
        <v/>
      </c>
      <c r="AF54" s="633" t="str">
        <f t="shared" si="419"/>
        <v/>
      </c>
      <c r="AG54" s="602" t="str">
        <f t="shared" si="420"/>
        <v/>
      </c>
      <c r="AH54" s="603" t="str">
        <f t="shared" si="421"/>
        <v/>
      </c>
      <c r="AI54" s="585" t="str">
        <f t="shared" si="422"/>
        <v/>
      </c>
      <c r="AJ54" s="586" t="str">
        <f t="shared" si="423"/>
        <v/>
      </c>
      <c r="AK54" s="635" t="str">
        <f t="shared" si="424"/>
        <v/>
      </c>
      <c r="AL54" s="629" t="str">
        <f t="shared" si="425"/>
        <v/>
      </c>
      <c r="AM54" s="634" t="str">
        <f t="shared" si="426"/>
        <v/>
      </c>
      <c r="AN54" s="581" t="str">
        <f t="shared" si="427"/>
        <v/>
      </c>
      <c r="AO54" s="582" t="str">
        <f t="shared" si="94"/>
        <v/>
      </c>
      <c r="AP54" s="585" t="str">
        <f t="shared" si="428"/>
        <v/>
      </c>
      <c r="AQ54" s="586" t="str">
        <f t="shared" si="246"/>
        <v/>
      </c>
      <c r="AS54" s="52" t="str">
        <f t="shared" si="406"/>
        <v/>
      </c>
      <c r="AT54" s="72" t="str">
        <f t="shared" si="247"/>
        <v/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210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IFERROR(ROUND(VALUE(IF($IH54&lt;1,$IH54+LARGE((IF($M$9:$M$150="",0,$M$9:$M$150)-MOD(IF($M$9:$M$150="",0,$M$9:$M$150),1)),1),$IH54)),4),"")</f>
        <v/>
      </c>
      <c r="IJ54" s="533" t="str">
        <f t="shared" si="112"/>
        <v/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/>
      <c r="C55" s="708"/>
      <c r="D55" s="709"/>
      <c r="E55" s="710"/>
      <c r="F55" s="708"/>
      <c r="G55" s="711"/>
      <c r="H55" s="710"/>
      <c r="I55" s="708"/>
      <c r="J55" s="570"/>
      <c r="K55" s="865" t="str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/>
      </c>
      <c r="L55" s="320"/>
      <c r="M55" s="168" t="str">
        <f t="shared" si="239"/>
        <v/>
      </c>
      <c r="N55" s="632" t="str">
        <f t="shared" si="240"/>
        <v/>
      </c>
      <c r="O55" s="629" t="str">
        <f t="shared" si="241"/>
        <v/>
      </c>
      <c r="P55" s="633" t="str">
        <f t="shared" si="242"/>
        <v/>
      </c>
      <c r="Q55" s="585" t="str">
        <f t="shared" si="113"/>
        <v/>
      </c>
      <c r="R55" s="629" t="str">
        <f t="shared" si="410"/>
        <v/>
      </c>
      <c r="S55" s="634" t="str">
        <f t="shared" si="411"/>
        <v/>
      </c>
      <c r="T55" s="635" t="str">
        <f t="shared" si="412"/>
        <v/>
      </c>
      <c r="U55" s="629" t="str">
        <f t="shared" si="413"/>
        <v/>
      </c>
      <c r="V55" s="636" t="str">
        <f t="shared" si="414"/>
        <v/>
      </c>
      <c r="W55" s="585" t="str">
        <f t="shared" si="224"/>
        <v/>
      </c>
      <c r="X55" s="629" t="str">
        <f t="shared" si="415"/>
        <v/>
      </c>
      <c r="Y55" s="630" t="str">
        <f t="shared" si="223"/>
        <v/>
      </c>
      <c r="Z55" s="632" t="str">
        <f t="shared" si="243"/>
        <v/>
      </c>
      <c r="AA55" s="629" t="str">
        <f t="shared" si="244"/>
        <v/>
      </c>
      <c r="AB55" s="629" t="str">
        <f t="shared" si="245"/>
        <v/>
      </c>
      <c r="AC55" s="636" t="str">
        <f t="shared" si="416"/>
        <v/>
      </c>
      <c r="AD55" s="637" t="str">
        <f t="shared" si="417"/>
        <v/>
      </c>
      <c r="AE55" s="629" t="str">
        <f t="shared" si="418"/>
        <v/>
      </c>
      <c r="AF55" s="633" t="str">
        <f t="shared" si="419"/>
        <v/>
      </c>
      <c r="AG55" s="602" t="str">
        <f t="shared" si="420"/>
        <v/>
      </c>
      <c r="AH55" s="603" t="str">
        <f t="shared" si="421"/>
        <v/>
      </c>
      <c r="AI55" s="585" t="str">
        <f t="shared" si="422"/>
        <v/>
      </c>
      <c r="AJ55" s="586" t="str">
        <f t="shared" si="423"/>
        <v/>
      </c>
      <c r="AK55" s="635" t="str">
        <f t="shared" si="424"/>
        <v/>
      </c>
      <c r="AL55" s="629" t="str">
        <f t="shared" si="425"/>
        <v/>
      </c>
      <c r="AM55" s="634" t="str">
        <f t="shared" si="426"/>
        <v/>
      </c>
      <c r="AN55" s="581" t="str">
        <f t="shared" si="427"/>
        <v/>
      </c>
      <c r="AO55" s="582" t="str">
        <f>IF(ROUND(IF(M55="",0,DEGREES(ACOS(AK55))),4)=90,0,IF(M55="","",DEGREES(ACOS(AK55))))</f>
        <v/>
      </c>
      <c r="AP55" s="585" t="str">
        <f t="shared" si="428"/>
        <v/>
      </c>
      <c r="AQ55" s="586" t="str">
        <f t="shared" si="246"/>
        <v/>
      </c>
      <c r="AS55" s="52" t="str">
        <f t="shared" si="406"/>
        <v/>
      </c>
      <c r="AT55" s="72" t="str">
        <f t="shared" si="247"/>
        <v/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210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IFERROR(ROUND(VALUE(IF($IH55&lt;1,$IH55+LARGE((IF($M$9:$M$150="",0,$M$9:$M$150)-MOD(IF($M$9:$M$150="",0,$M$9:$M$150),1)),1),$IH55)),4),"")</f>
        <v/>
      </c>
      <c r="IJ55" s="533" t="str">
        <f t="shared" si="112"/>
        <v/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/>
      <c r="C56" s="708"/>
      <c r="D56" s="709"/>
      <c r="E56" s="710"/>
      <c r="F56" s="708"/>
      <c r="G56" s="711"/>
      <c r="H56" s="710"/>
      <c r="I56" s="708"/>
      <c r="J56" s="570"/>
      <c r="K56" s="865" t="str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/>
      </c>
      <c r="L56" s="320"/>
      <c r="M56" s="168" t="str">
        <f t="shared" si="239"/>
        <v/>
      </c>
      <c r="N56" s="632" t="str">
        <f t="shared" si="240"/>
        <v/>
      </c>
      <c r="O56" s="629" t="str">
        <f t="shared" si="241"/>
        <v/>
      </c>
      <c r="P56" s="633" t="str">
        <f t="shared" si="242"/>
        <v/>
      </c>
      <c r="Q56" s="585" t="str">
        <f t="shared" si="113"/>
        <v/>
      </c>
      <c r="R56" s="629" t="str">
        <f t="shared" si="410"/>
        <v/>
      </c>
      <c r="S56" s="634" t="str">
        <f t="shared" si="411"/>
        <v/>
      </c>
      <c r="T56" s="635" t="str">
        <f t="shared" si="412"/>
        <v/>
      </c>
      <c r="U56" s="629" t="str">
        <f t="shared" si="413"/>
        <v/>
      </c>
      <c r="V56" s="636" t="str">
        <f t="shared" si="414"/>
        <v/>
      </c>
      <c r="W56" s="585" t="str">
        <f t="shared" si="224"/>
        <v/>
      </c>
      <c r="X56" s="629" t="str">
        <f t="shared" si="415"/>
        <v/>
      </c>
      <c r="Y56" s="630" t="str">
        <f t="shared" si="223"/>
        <v/>
      </c>
      <c r="Z56" s="632" t="str">
        <f t="shared" si="243"/>
        <v/>
      </c>
      <c r="AA56" s="629" t="str">
        <f t="shared" si="244"/>
        <v/>
      </c>
      <c r="AB56" s="629" t="str">
        <f t="shared" si="245"/>
        <v/>
      </c>
      <c r="AC56" s="636" t="str">
        <f t="shared" si="416"/>
        <v/>
      </c>
      <c r="AD56" s="637" t="str">
        <f t="shared" si="417"/>
        <v/>
      </c>
      <c r="AE56" s="629" t="str">
        <f t="shared" si="418"/>
        <v/>
      </c>
      <c r="AF56" s="633" t="str">
        <f t="shared" si="419"/>
        <v/>
      </c>
      <c r="AG56" s="602" t="str">
        <f t="shared" si="420"/>
        <v/>
      </c>
      <c r="AH56" s="603" t="str">
        <f t="shared" si="421"/>
        <v/>
      </c>
      <c r="AI56" s="585" t="str">
        <f t="shared" si="422"/>
        <v/>
      </c>
      <c r="AJ56" s="586" t="str">
        <f t="shared" si="423"/>
        <v/>
      </c>
      <c r="AK56" s="635" t="str">
        <f t="shared" si="424"/>
        <v/>
      </c>
      <c r="AL56" s="629" t="str">
        <f t="shared" si="425"/>
        <v/>
      </c>
      <c r="AM56" s="634" t="str">
        <f t="shared" si="426"/>
        <v/>
      </c>
      <c r="AN56" s="581" t="str">
        <f t="shared" si="427"/>
        <v/>
      </c>
      <c r="AO56" s="582" t="str">
        <f t="shared" ref="AO56:AO119" si="461">IF(ROUND(IF(M56="",0,DEGREES(ACOS(AK56))),4)=90,0,IF(M56="","",DEGREES(ACOS(AK56))))</f>
        <v/>
      </c>
      <c r="AP56" s="585" t="str">
        <f t="shared" si="428"/>
        <v/>
      </c>
      <c r="AQ56" s="586" t="str">
        <f t="shared" si="246"/>
        <v/>
      </c>
      <c r="AS56" s="52" t="str">
        <f t="shared" si="406"/>
        <v/>
      </c>
      <c r="AT56" s="72" t="str">
        <f t="shared" si="247"/>
        <v/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210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IFERROR(ROUND(VALUE(IF($IH56&lt;1,$IH56+LARGE((IF($M$9:$M$150="",0,$M$9:$M$150)-MOD(IF($M$9:$M$150="",0,$M$9:$M$150),1)),1),$IH56)),4),"")</f>
        <v/>
      </c>
      <c r="IJ56" s="533" t="str">
        <f t="shared" si="112"/>
        <v/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/>
      <c r="C57" s="708"/>
      <c r="D57" s="709"/>
      <c r="E57" s="710"/>
      <c r="F57" s="708"/>
      <c r="G57" s="711"/>
      <c r="H57" s="710"/>
      <c r="I57" s="708"/>
      <c r="J57" s="570"/>
      <c r="K57" s="865" t="str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/>
      </c>
      <c r="L57" s="320"/>
      <c r="M57" s="168" t="str">
        <f t="shared" si="239"/>
        <v/>
      </c>
      <c r="N57" s="632" t="str">
        <f t="shared" si="240"/>
        <v/>
      </c>
      <c r="O57" s="629" t="str">
        <f t="shared" si="241"/>
        <v/>
      </c>
      <c r="P57" s="633" t="str">
        <f t="shared" si="242"/>
        <v/>
      </c>
      <c r="Q57" s="585" t="str">
        <f t="shared" si="113"/>
        <v/>
      </c>
      <c r="R57" s="629" t="str">
        <f t="shared" si="410"/>
        <v/>
      </c>
      <c r="S57" s="634" t="str">
        <f t="shared" si="411"/>
        <v/>
      </c>
      <c r="T57" s="635" t="str">
        <f t="shared" si="412"/>
        <v/>
      </c>
      <c r="U57" s="629" t="str">
        <f t="shared" si="413"/>
        <v/>
      </c>
      <c r="V57" s="636" t="str">
        <f t="shared" si="414"/>
        <v/>
      </c>
      <c r="W57" s="585" t="str">
        <f t="shared" si="224"/>
        <v/>
      </c>
      <c r="X57" s="629" t="str">
        <f t="shared" si="415"/>
        <v/>
      </c>
      <c r="Y57" s="630" t="str">
        <f t="shared" si="223"/>
        <v/>
      </c>
      <c r="Z57" s="632" t="str">
        <f t="shared" si="243"/>
        <v/>
      </c>
      <c r="AA57" s="629" t="str">
        <f t="shared" si="244"/>
        <v/>
      </c>
      <c r="AB57" s="629" t="str">
        <f t="shared" si="245"/>
        <v/>
      </c>
      <c r="AC57" s="636" t="str">
        <f t="shared" si="416"/>
        <v/>
      </c>
      <c r="AD57" s="637" t="str">
        <f t="shared" si="417"/>
        <v/>
      </c>
      <c r="AE57" s="629" t="str">
        <f t="shared" si="418"/>
        <v/>
      </c>
      <c r="AF57" s="633" t="str">
        <f t="shared" si="419"/>
        <v/>
      </c>
      <c r="AG57" s="602" t="str">
        <f t="shared" si="420"/>
        <v/>
      </c>
      <c r="AH57" s="603" t="str">
        <f t="shared" si="421"/>
        <v/>
      </c>
      <c r="AI57" s="585" t="str">
        <f t="shared" si="422"/>
        <v/>
      </c>
      <c r="AJ57" s="586" t="str">
        <f t="shared" si="423"/>
        <v/>
      </c>
      <c r="AK57" s="635" t="str">
        <f t="shared" si="424"/>
        <v/>
      </c>
      <c r="AL57" s="629" t="str">
        <f t="shared" si="425"/>
        <v/>
      </c>
      <c r="AM57" s="634" t="str">
        <f t="shared" si="426"/>
        <v/>
      </c>
      <c r="AN57" s="581" t="str">
        <f t="shared" si="427"/>
        <v/>
      </c>
      <c r="AO57" s="582" t="str">
        <f t="shared" si="461"/>
        <v/>
      </c>
      <c r="AP57" s="585" t="str">
        <f t="shared" si="428"/>
        <v/>
      </c>
      <c r="AQ57" s="586" t="str">
        <f t="shared" si="246"/>
        <v/>
      </c>
      <c r="AS57" s="52" t="str">
        <f t="shared" si="406"/>
        <v/>
      </c>
      <c r="AT57" s="72" t="str">
        <f t="shared" si="247"/>
        <v/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210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IFERROR(ROUND(VALUE(IF($IH57&lt;1,$IH57+LARGE((IF($M$9:$M$150="",0,$M$9:$M$150)-MOD(IF($M$9:$M$150="",0,$M$9:$M$150),1)),1),$IH57)),4),"")</f>
        <v/>
      </c>
      <c r="IJ57" s="533" t="str">
        <f t="shared" si="112"/>
        <v/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/>
      <c r="C58" s="708"/>
      <c r="D58" s="709"/>
      <c r="E58" s="710"/>
      <c r="F58" s="708"/>
      <c r="G58" s="711"/>
      <c r="H58" s="710"/>
      <c r="I58" s="708"/>
      <c r="J58" s="570"/>
      <c r="K58" s="865" t="str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/>
      </c>
      <c r="L58" s="320"/>
      <c r="M58" s="168" t="str">
        <f t="shared" si="239"/>
        <v/>
      </c>
      <c r="N58" s="632" t="str">
        <f t="shared" si="240"/>
        <v/>
      </c>
      <c r="O58" s="629" t="str">
        <f t="shared" si="241"/>
        <v/>
      </c>
      <c r="P58" s="633" t="str">
        <f t="shared" si="242"/>
        <v/>
      </c>
      <c r="Q58" s="585" t="str">
        <f t="shared" si="113"/>
        <v/>
      </c>
      <c r="R58" s="629" t="str">
        <f t="shared" si="410"/>
        <v/>
      </c>
      <c r="S58" s="634" t="str">
        <f t="shared" si="411"/>
        <v/>
      </c>
      <c r="T58" s="635" t="str">
        <f t="shared" si="412"/>
        <v/>
      </c>
      <c r="U58" s="629" t="str">
        <f t="shared" si="413"/>
        <v/>
      </c>
      <c r="V58" s="636" t="str">
        <f t="shared" si="414"/>
        <v/>
      </c>
      <c r="W58" s="585" t="str">
        <f t="shared" si="224"/>
        <v/>
      </c>
      <c r="X58" s="629" t="str">
        <f t="shared" si="415"/>
        <v/>
      </c>
      <c r="Y58" s="630" t="str">
        <f t="shared" si="223"/>
        <v/>
      </c>
      <c r="Z58" s="632" t="str">
        <f t="shared" si="243"/>
        <v/>
      </c>
      <c r="AA58" s="629" t="str">
        <f t="shared" si="244"/>
        <v/>
      </c>
      <c r="AB58" s="629" t="str">
        <f t="shared" si="245"/>
        <v/>
      </c>
      <c r="AC58" s="636" t="str">
        <f t="shared" si="416"/>
        <v/>
      </c>
      <c r="AD58" s="637" t="str">
        <f t="shared" si="417"/>
        <v/>
      </c>
      <c r="AE58" s="629" t="str">
        <f t="shared" si="418"/>
        <v/>
      </c>
      <c r="AF58" s="633" t="str">
        <f t="shared" si="419"/>
        <v/>
      </c>
      <c r="AG58" s="602" t="str">
        <f t="shared" si="420"/>
        <v/>
      </c>
      <c r="AH58" s="603" t="str">
        <f t="shared" si="421"/>
        <v/>
      </c>
      <c r="AI58" s="585" t="str">
        <f t="shared" si="422"/>
        <v/>
      </c>
      <c r="AJ58" s="586" t="str">
        <f t="shared" si="423"/>
        <v/>
      </c>
      <c r="AK58" s="635" t="str">
        <f t="shared" si="424"/>
        <v/>
      </c>
      <c r="AL58" s="629" t="str">
        <f t="shared" si="425"/>
        <v/>
      </c>
      <c r="AM58" s="634" t="str">
        <f t="shared" si="426"/>
        <v/>
      </c>
      <c r="AN58" s="581" t="str">
        <f t="shared" si="427"/>
        <v/>
      </c>
      <c r="AO58" s="582" t="str">
        <f t="shared" si="461"/>
        <v/>
      </c>
      <c r="AP58" s="585" t="str">
        <f t="shared" si="428"/>
        <v/>
      </c>
      <c r="AQ58" s="586" t="str">
        <f t="shared" si="246"/>
        <v/>
      </c>
      <c r="AS58" s="52" t="str">
        <f t="shared" si="406"/>
        <v/>
      </c>
      <c r="AT58" s="72" t="str">
        <f t="shared" si="247"/>
        <v/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210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IFERROR(ROUND(VALUE(IF($IH58&lt;1,$IH58+LARGE((IF($M$9:$M$150="",0,$M$9:$M$150)-MOD(IF($M$9:$M$150="",0,$M$9:$M$150),1)),1),$IH58)),4),"")</f>
        <v/>
      </c>
      <c r="IJ58" s="533" t="str">
        <f t="shared" si="112"/>
        <v/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/>
      <c r="C59" s="708"/>
      <c r="D59" s="709"/>
      <c r="E59" s="710"/>
      <c r="F59" s="708"/>
      <c r="G59" s="711"/>
      <c r="H59" s="710"/>
      <c r="I59" s="708"/>
      <c r="J59" s="570"/>
      <c r="K59" s="865" t="str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/>
      </c>
      <c r="L59" s="320"/>
      <c r="M59" s="168" t="str">
        <f t="shared" si="239"/>
        <v/>
      </c>
      <c r="N59" s="632" t="str">
        <f t="shared" si="240"/>
        <v/>
      </c>
      <c r="O59" s="629" t="str">
        <f t="shared" si="241"/>
        <v/>
      </c>
      <c r="P59" s="633" t="str">
        <f t="shared" si="242"/>
        <v/>
      </c>
      <c r="Q59" s="585" t="str">
        <f t="shared" si="113"/>
        <v/>
      </c>
      <c r="R59" s="629" t="str">
        <f t="shared" si="79"/>
        <v/>
      </c>
      <c r="S59" s="634" t="str">
        <f t="shared" si="80"/>
        <v/>
      </c>
      <c r="T59" s="635" t="str">
        <f t="shared" si="81"/>
        <v/>
      </c>
      <c r="U59" s="629" t="str">
        <f t="shared" si="82"/>
        <v/>
      </c>
      <c r="V59" s="636" t="str">
        <f t="shared" si="114"/>
        <v/>
      </c>
      <c r="W59" s="585" t="str">
        <f t="shared" si="224"/>
        <v/>
      </c>
      <c r="X59" s="629" t="str">
        <f t="shared" si="83"/>
        <v/>
      </c>
      <c r="Y59" s="630" t="str">
        <f t="shared" si="223"/>
        <v/>
      </c>
      <c r="Z59" s="632" t="str">
        <f t="shared" si="243"/>
        <v/>
      </c>
      <c r="AA59" s="629" t="str">
        <f t="shared" si="244"/>
        <v/>
      </c>
      <c r="AB59" s="629" t="str">
        <f t="shared" si="245"/>
        <v/>
      </c>
      <c r="AC59" s="636" t="str">
        <f t="shared" si="84"/>
        <v/>
      </c>
      <c r="AD59" s="637" t="str">
        <f t="shared" si="115"/>
        <v/>
      </c>
      <c r="AE59" s="629" t="str">
        <f t="shared" si="85"/>
        <v/>
      </c>
      <c r="AF59" s="633" t="str">
        <f t="shared" si="86"/>
        <v/>
      </c>
      <c r="AG59" s="602" t="str">
        <f t="shared" si="87"/>
        <v/>
      </c>
      <c r="AH59" s="603" t="str">
        <f t="shared" si="88"/>
        <v/>
      </c>
      <c r="AI59" s="585" t="str">
        <f t="shared" si="89"/>
        <v/>
      </c>
      <c r="AJ59" s="586" t="str">
        <f t="shared" si="90"/>
        <v/>
      </c>
      <c r="AK59" s="635" t="str">
        <f t="shared" si="211"/>
        <v/>
      </c>
      <c r="AL59" s="629" t="str">
        <f t="shared" si="91"/>
        <v/>
      </c>
      <c r="AM59" s="634" t="str">
        <f t="shared" si="92"/>
        <v/>
      </c>
      <c r="AN59" s="581" t="str">
        <f t="shared" si="93"/>
        <v/>
      </c>
      <c r="AO59" s="582" t="str">
        <f t="shared" si="461"/>
        <v/>
      </c>
      <c r="AP59" s="585" t="str">
        <f t="shared" si="95"/>
        <v/>
      </c>
      <c r="AQ59" s="586" t="str">
        <f t="shared" si="246"/>
        <v/>
      </c>
      <c r="AS59" s="52" t="str">
        <f t="shared" si="406"/>
        <v/>
      </c>
      <c r="AT59" s="72" t="str">
        <f t="shared" si="247"/>
        <v/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210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IFERROR(ROUND(VALUE(IF($IH59&lt;1,$IH59+LARGE((IF($M$9:$M$150="",0,$M$9:$M$150)-MOD(IF($M$9:$M$150="",0,$M$9:$M$150),1)),1),$IH59)),4),"")</f>
        <v/>
      </c>
      <c r="IJ59" s="533" t="str">
        <f t="shared" si="112"/>
        <v/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/>
      <c r="C60" s="708"/>
      <c r="D60" s="709"/>
      <c r="E60" s="710"/>
      <c r="F60" s="708"/>
      <c r="G60" s="711"/>
      <c r="H60" s="710"/>
      <c r="I60" s="708"/>
      <c r="J60" s="570"/>
      <c r="K60" s="865" t="str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/>
      </c>
      <c r="L60" s="320"/>
      <c r="M60" s="168" t="str">
        <f t="shared" si="239"/>
        <v/>
      </c>
      <c r="N60" s="632" t="str">
        <f t="shared" si="240"/>
        <v/>
      </c>
      <c r="O60" s="629" t="str">
        <f t="shared" si="241"/>
        <v/>
      </c>
      <c r="P60" s="633" t="str">
        <f t="shared" si="242"/>
        <v/>
      </c>
      <c r="Q60" s="585" t="str">
        <f t="shared" si="113"/>
        <v/>
      </c>
      <c r="R60" s="629" t="str">
        <f t="shared" si="79"/>
        <v/>
      </c>
      <c r="S60" s="634" t="str">
        <f t="shared" si="80"/>
        <v/>
      </c>
      <c r="T60" s="635" t="str">
        <f t="shared" si="81"/>
        <v/>
      </c>
      <c r="U60" s="629" t="str">
        <f t="shared" si="82"/>
        <v/>
      </c>
      <c r="V60" s="636" t="str">
        <f t="shared" si="114"/>
        <v/>
      </c>
      <c r="W60" s="585" t="str">
        <f t="shared" si="224"/>
        <v/>
      </c>
      <c r="X60" s="629" t="str">
        <f t="shared" si="83"/>
        <v/>
      </c>
      <c r="Y60" s="630" t="str">
        <f t="shared" si="223"/>
        <v/>
      </c>
      <c r="Z60" s="632" t="str">
        <f t="shared" si="243"/>
        <v/>
      </c>
      <c r="AA60" s="629" t="str">
        <f t="shared" si="244"/>
        <v/>
      </c>
      <c r="AB60" s="629" t="str">
        <f t="shared" si="245"/>
        <v/>
      </c>
      <c r="AC60" s="636" t="str">
        <f t="shared" si="84"/>
        <v/>
      </c>
      <c r="AD60" s="637" t="str">
        <f t="shared" si="115"/>
        <v/>
      </c>
      <c r="AE60" s="629" t="str">
        <f t="shared" si="85"/>
        <v/>
      </c>
      <c r="AF60" s="633" t="str">
        <f t="shared" si="86"/>
        <v/>
      </c>
      <c r="AG60" s="602" t="str">
        <f t="shared" si="87"/>
        <v/>
      </c>
      <c r="AH60" s="603" t="str">
        <f t="shared" si="88"/>
        <v/>
      </c>
      <c r="AI60" s="585" t="str">
        <f t="shared" si="89"/>
        <v/>
      </c>
      <c r="AJ60" s="586" t="str">
        <f t="shared" si="90"/>
        <v/>
      </c>
      <c r="AK60" s="635" t="str">
        <f t="shared" si="211"/>
        <v/>
      </c>
      <c r="AL60" s="629" t="str">
        <f t="shared" si="91"/>
        <v/>
      </c>
      <c r="AM60" s="634" t="str">
        <f t="shared" si="92"/>
        <v/>
      </c>
      <c r="AN60" s="581" t="str">
        <f t="shared" si="93"/>
        <v/>
      </c>
      <c r="AO60" s="582" t="str">
        <f t="shared" si="461"/>
        <v/>
      </c>
      <c r="AP60" s="585" t="str">
        <f t="shared" si="95"/>
        <v/>
      </c>
      <c r="AQ60" s="586" t="str">
        <f t="shared" si="246"/>
        <v/>
      </c>
      <c r="AS60" s="52" t="str">
        <f t="shared" si="406"/>
        <v/>
      </c>
      <c r="AT60" s="72" t="str">
        <f t="shared" si="247"/>
        <v/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210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IFERROR(ROUND(VALUE(IF($IH60&lt;1,$IH60+LARGE((IF($M$9:$M$150="",0,$M$9:$M$150)-MOD(IF($M$9:$M$150="",0,$M$9:$M$150),1)),1),$IH60)),4),"")</f>
        <v/>
      </c>
      <c r="IJ60" s="533" t="str">
        <f t="shared" si="112"/>
        <v/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/>
      <c r="C61" s="708"/>
      <c r="D61" s="709"/>
      <c r="E61" s="710"/>
      <c r="F61" s="708"/>
      <c r="G61" s="711"/>
      <c r="H61" s="710"/>
      <c r="I61" s="708"/>
      <c r="J61" s="570"/>
      <c r="K61" s="865" t="str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/>
      </c>
      <c r="L61" s="320"/>
      <c r="M61" s="168" t="str">
        <f t="shared" si="239"/>
        <v/>
      </c>
      <c r="N61" s="632" t="str">
        <f t="shared" si="240"/>
        <v/>
      </c>
      <c r="O61" s="629" t="str">
        <f t="shared" si="241"/>
        <v/>
      </c>
      <c r="P61" s="633" t="str">
        <f t="shared" si="242"/>
        <v/>
      </c>
      <c r="Q61" s="585" t="str">
        <f t="shared" si="113"/>
        <v/>
      </c>
      <c r="R61" s="629" t="str">
        <f t="shared" si="79"/>
        <v/>
      </c>
      <c r="S61" s="634" t="str">
        <f t="shared" si="80"/>
        <v/>
      </c>
      <c r="T61" s="635" t="str">
        <f t="shared" si="81"/>
        <v/>
      </c>
      <c r="U61" s="629" t="str">
        <f t="shared" si="82"/>
        <v/>
      </c>
      <c r="V61" s="636" t="str">
        <f t="shared" si="114"/>
        <v/>
      </c>
      <c r="W61" s="585" t="str">
        <f t="shared" si="224"/>
        <v/>
      </c>
      <c r="X61" s="629" t="str">
        <f t="shared" si="83"/>
        <v/>
      </c>
      <c r="Y61" s="630" t="str">
        <f t="shared" si="223"/>
        <v/>
      </c>
      <c r="Z61" s="632" t="str">
        <f t="shared" si="243"/>
        <v/>
      </c>
      <c r="AA61" s="629" t="str">
        <f t="shared" si="244"/>
        <v/>
      </c>
      <c r="AB61" s="629" t="str">
        <f t="shared" si="245"/>
        <v/>
      </c>
      <c r="AC61" s="636" t="str">
        <f t="shared" si="84"/>
        <v/>
      </c>
      <c r="AD61" s="637" t="str">
        <f t="shared" si="115"/>
        <v/>
      </c>
      <c r="AE61" s="629" t="str">
        <f t="shared" si="85"/>
        <v/>
      </c>
      <c r="AF61" s="633" t="str">
        <f t="shared" si="86"/>
        <v/>
      </c>
      <c r="AG61" s="602" t="str">
        <f t="shared" si="87"/>
        <v/>
      </c>
      <c r="AH61" s="603" t="str">
        <f t="shared" si="88"/>
        <v/>
      </c>
      <c r="AI61" s="585" t="str">
        <f t="shared" si="89"/>
        <v/>
      </c>
      <c r="AJ61" s="586" t="str">
        <f t="shared" si="90"/>
        <v/>
      </c>
      <c r="AK61" s="635" t="str">
        <f t="shared" si="211"/>
        <v/>
      </c>
      <c r="AL61" s="629" t="str">
        <f t="shared" si="91"/>
        <v/>
      </c>
      <c r="AM61" s="634" t="str">
        <f t="shared" si="92"/>
        <v/>
      </c>
      <c r="AN61" s="581" t="str">
        <f t="shared" si="93"/>
        <v/>
      </c>
      <c r="AO61" s="582" t="str">
        <f t="shared" si="461"/>
        <v/>
      </c>
      <c r="AP61" s="585" t="str">
        <f t="shared" si="95"/>
        <v/>
      </c>
      <c r="AQ61" s="586" t="str">
        <f t="shared" si="246"/>
        <v/>
      </c>
      <c r="AS61" s="52" t="str">
        <f t="shared" si="406"/>
        <v/>
      </c>
      <c r="AT61" s="72" t="str">
        <f t="shared" si="247"/>
        <v/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210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IFERROR(ROUND(VALUE(IF($IH61&lt;1,$IH61+LARGE((IF($M$9:$M$150="",0,$M$9:$M$150)-MOD(IF($M$9:$M$150="",0,$M$9:$M$150),1)),1),$IH61)),4),"")</f>
        <v/>
      </c>
      <c r="IJ61" s="533" t="str">
        <f t="shared" si="112"/>
        <v/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/>
      <c r="C62" s="708"/>
      <c r="D62" s="709"/>
      <c r="E62" s="710"/>
      <c r="F62" s="708"/>
      <c r="G62" s="711"/>
      <c r="H62" s="710"/>
      <c r="I62" s="708"/>
      <c r="J62" s="570"/>
      <c r="K62" s="865" t="str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/>
      </c>
      <c r="L62" s="320"/>
      <c r="M62" s="168" t="str">
        <f t="shared" si="239"/>
        <v/>
      </c>
      <c r="N62" s="632" t="str">
        <f t="shared" si="240"/>
        <v/>
      </c>
      <c r="O62" s="629" t="str">
        <f t="shared" si="241"/>
        <v/>
      </c>
      <c r="P62" s="633" t="str">
        <f t="shared" si="242"/>
        <v/>
      </c>
      <c r="Q62" s="585" t="str">
        <f t="shared" si="113"/>
        <v/>
      </c>
      <c r="R62" s="629" t="str">
        <f t="shared" si="79"/>
        <v/>
      </c>
      <c r="S62" s="634" t="str">
        <f t="shared" si="80"/>
        <v/>
      </c>
      <c r="T62" s="635" t="str">
        <f t="shared" si="81"/>
        <v/>
      </c>
      <c r="U62" s="629" t="str">
        <f t="shared" si="82"/>
        <v/>
      </c>
      <c r="V62" s="636" t="str">
        <f t="shared" si="114"/>
        <v/>
      </c>
      <c r="W62" s="585" t="str">
        <f t="shared" si="224"/>
        <v/>
      </c>
      <c r="X62" s="629" t="str">
        <f t="shared" si="83"/>
        <v/>
      </c>
      <c r="Y62" s="630" t="str">
        <f t="shared" si="223"/>
        <v/>
      </c>
      <c r="Z62" s="632" t="str">
        <f t="shared" si="243"/>
        <v/>
      </c>
      <c r="AA62" s="629" t="str">
        <f t="shared" si="244"/>
        <v/>
      </c>
      <c r="AB62" s="629" t="str">
        <f t="shared" si="245"/>
        <v/>
      </c>
      <c r="AC62" s="636" t="str">
        <f t="shared" si="84"/>
        <v/>
      </c>
      <c r="AD62" s="637" t="str">
        <f t="shared" si="115"/>
        <v/>
      </c>
      <c r="AE62" s="629" t="str">
        <f t="shared" si="85"/>
        <v/>
      </c>
      <c r="AF62" s="633" t="str">
        <f t="shared" si="86"/>
        <v/>
      </c>
      <c r="AG62" s="602" t="str">
        <f t="shared" si="87"/>
        <v/>
      </c>
      <c r="AH62" s="603" t="str">
        <f t="shared" si="88"/>
        <v/>
      </c>
      <c r="AI62" s="585" t="str">
        <f t="shared" si="89"/>
        <v/>
      </c>
      <c r="AJ62" s="586" t="str">
        <f t="shared" si="90"/>
        <v/>
      </c>
      <c r="AK62" s="635" t="str">
        <f t="shared" si="211"/>
        <v/>
      </c>
      <c r="AL62" s="629" t="str">
        <f t="shared" si="91"/>
        <v/>
      </c>
      <c r="AM62" s="634" t="str">
        <f t="shared" si="92"/>
        <v/>
      </c>
      <c r="AN62" s="581" t="str">
        <f t="shared" si="93"/>
        <v/>
      </c>
      <c r="AO62" s="582" t="str">
        <f t="shared" si="461"/>
        <v/>
      </c>
      <c r="AP62" s="585" t="str">
        <f t="shared" si="95"/>
        <v/>
      </c>
      <c r="AQ62" s="586" t="str">
        <f t="shared" si="246"/>
        <v/>
      </c>
      <c r="AS62" s="52" t="str">
        <f t="shared" si="406"/>
        <v/>
      </c>
      <c r="AT62" s="72" t="str">
        <f t="shared" si="247"/>
        <v/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210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IFERROR(ROUND(VALUE(IF($IH62&lt;1,$IH62+LARGE((IF($M$9:$M$150="",0,$M$9:$M$150)-MOD(IF($M$9:$M$150="",0,$M$9:$M$150),1)),1),$IH62)),4),"")</f>
        <v/>
      </c>
      <c r="IJ62" s="533" t="str">
        <f t="shared" si="112"/>
        <v/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/>
      <c r="C63" s="708"/>
      <c r="D63" s="709"/>
      <c r="E63" s="710"/>
      <c r="F63" s="708"/>
      <c r="G63" s="711"/>
      <c r="H63" s="710"/>
      <c r="I63" s="708"/>
      <c r="J63" s="570"/>
      <c r="K63" s="865" t="str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/>
      </c>
      <c r="L63" s="320"/>
      <c r="M63" s="168" t="str">
        <f t="shared" si="239"/>
        <v/>
      </c>
      <c r="N63" s="632" t="str">
        <f t="shared" si="240"/>
        <v/>
      </c>
      <c r="O63" s="629" t="str">
        <f t="shared" si="241"/>
        <v/>
      </c>
      <c r="P63" s="633" t="str">
        <f t="shared" si="242"/>
        <v/>
      </c>
      <c r="Q63" s="585" t="str">
        <f t="shared" si="113"/>
        <v/>
      </c>
      <c r="R63" s="629" t="str">
        <f t="shared" si="79"/>
        <v/>
      </c>
      <c r="S63" s="634" t="str">
        <f t="shared" si="80"/>
        <v/>
      </c>
      <c r="T63" s="635" t="str">
        <f t="shared" si="81"/>
        <v/>
      </c>
      <c r="U63" s="629" t="str">
        <f t="shared" si="82"/>
        <v/>
      </c>
      <c r="V63" s="636" t="str">
        <f t="shared" si="114"/>
        <v/>
      </c>
      <c r="W63" s="585" t="str">
        <f t="shared" si="224"/>
        <v/>
      </c>
      <c r="X63" s="629" t="str">
        <f t="shared" si="83"/>
        <v/>
      </c>
      <c r="Y63" s="630" t="str">
        <f t="shared" si="223"/>
        <v/>
      </c>
      <c r="Z63" s="632" t="str">
        <f t="shared" si="243"/>
        <v/>
      </c>
      <c r="AA63" s="629" t="str">
        <f t="shared" si="244"/>
        <v/>
      </c>
      <c r="AB63" s="629" t="str">
        <f t="shared" si="245"/>
        <v/>
      </c>
      <c r="AC63" s="636" t="str">
        <f t="shared" si="84"/>
        <v/>
      </c>
      <c r="AD63" s="637" t="str">
        <f t="shared" si="115"/>
        <v/>
      </c>
      <c r="AE63" s="629" t="str">
        <f t="shared" si="85"/>
        <v/>
      </c>
      <c r="AF63" s="633" t="str">
        <f t="shared" si="86"/>
        <v/>
      </c>
      <c r="AG63" s="602" t="str">
        <f t="shared" si="87"/>
        <v/>
      </c>
      <c r="AH63" s="603" t="str">
        <f t="shared" si="88"/>
        <v/>
      </c>
      <c r="AI63" s="585" t="str">
        <f t="shared" si="89"/>
        <v/>
      </c>
      <c r="AJ63" s="586" t="str">
        <f t="shared" si="90"/>
        <v/>
      </c>
      <c r="AK63" s="635" t="str">
        <f t="shared" si="211"/>
        <v/>
      </c>
      <c r="AL63" s="629" t="str">
        <f t="shared" si="91"/>
        <v/>
      </c>
      <c r="AM63" s="634" t="str">
        <f t="shared" si="92"/>
        <v/>
      </c>
      <c r="AN63" s="581" t="str">
        <f t="shared" si="93"/>
        <v/>
      </c>
      <c r="AO63" s="582" t="str">
        <f t="shared" si="461"/>
        <v/>
      </c>
      <c r="AP63" s="585" t="str">
        <f t="shared" si="95"/>
        <v/>
      </c>
      <c r="AQ63" s="586" t="str">
        <f t="shared" si="246"/>
        <v/>
      </c>
      <c r="AS63" s="52" t="str">
        <f t="shared" si="406"/>
        <v/>
      </c>
      <c r="AT63" s="72" t="str">
        <f t="shared" si="247"/>
        <v/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210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IFERROR(ROUND(VALUE(IF($IH63&lt;1,$IH63+LARGE((IF($M$9:$M$150="",0,$M$9:$M$150)-MOD(IF($M$9:$M$150="",0,$M$9:$M$150),1)),1),$IH63)),4),"")</f>
        <v/>
      </c>
      <c r="IJ63" s="533" t="str">
        <f t="shared" si="112"/>
        <v/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/>
      <c r="C64" s="708"/>
      <c r="D64" s="709"/>
      <c r="E64" s="710"/>
      <c r="F64" s="708"/>
      <c r="G64" s="711"/>
      <c r="H64" s="710"/>
      <c r="I64" s="708"/>
      <c r="J64" s="570"/>
      <c r="K64" s="865" t="str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/>
      </c>
      <c r="L64" s="320"/>
      <c r="M64" s="168" t="str">
        <f t="shared" si="239"/>
        <v/>
      </c>
      <c r="N64" s="632" t="str">
        <f t="shared" si="240"/>
        <v/>
      </c>
      <c r="O64" s="629" t="str">
        <f t="shared" si="241"/>
        <v/>
      </c>
      <c r="P64" s="633" t="str">
        <f t="shared" si="242"/>
        <v/>
      </c>
      <c r="Q64" s="585" t="str">
        <f t="shared" si="113"/>
        <v/>
      </c>
      <c r="R64" s="629" t="str">
        <f t="shared" si="79"/>
        <v/>
      </c>
      <c r="S64" s="634" t="str">
        <f t="shared" si="80"/>
        <v/>
      </c>
      <c r="T64" s="635" t="str">
        <f t="shared" si="81"/>
        <v/>
      </c>
      <c r="U64" s="629" t="str">
        <f t="shared" si="82"/>
        <v/>
      </c>
      <c r="V64" s="636" t="str">
        <f t="shared" si="114"/>
        <v/>
      </c>
      <c r="W64" s="585" t="str">
        <f t="shared" si="224"/>
        <v/>
      </c>
      <c r="X64" s="629" t="str">
        <f t="shared" si="83"/>
        <v/>
      </c>
      <c r="Y64" s="630" t="str">
        <f t="shared" si="223"/>
        <v/>
      </c>
      <c r="Z64" s="632" t="str">
        <f t="shared" si="243"/>
        <v/>
      </c>
      <c r="AA64" s="629" t="str">
        <f t="shared" si="244"/>
        <v/>
      </c>
      <c r="AB64" s="629" t="str">
        <f t="shared" si="245"/>
        <v/>
      </c>
      <c r="AC64" s="636" t="str">
        <f t="shared" si="84"/>
        <v/>
      </c>
      <c r="AD64" s="637" t="str">
        <f t="shared" si="115"/>
        <v/>
      </c>
      <c r="AE64" s="629" t="str">
        <f t="shared" si="85"/>
        <v/>
      </c>
      <c r="AF64" s="633" t="str">
        <f t="shared" si="86"/>
        <v/>
      </c>
      <c r="AG64" s="602" t="str">
        <f t="shared" si="87"/>
        <v/>
      </c>
      <c r="AH64" s="603" t="str">
        <f t="shared" si="88"/>
        <v/>
      </c>
      <c r="AI64" s="585" t="str">
        <f t="shared" si="89"/>
        <v/>
      </c>
      <c r="AJ64" s="586" t="str">
        <f t="shared" si="90"/>
        <v/>
      </c>
      <c r="AK64" s="635" t="str">
        <f t="shared" si="211"/>
        <v/>
      </c>
      <c r="AL64" s="629" t="str">
        <f t="shared" si="91"/>
        <v/>
      </c>
      <c r="AM64" s="634" t="str">
        <f t="shared" si="92"/>
        <v/>
      </c>
      <c r="AN64" s="581" t="str">
        <f t="shared" si="93"/>
        <v/>
      </c>
      <c r="AO64" s="582" t="str">
        <f t="shared" si="461"/>
        <v/>
      </c>
      <c r="AP64" s="585" t="str">
        <f t="shared" si="95"/>
        <v/>
      </c>
      <c r="AQ64" s="586" t="str">
        <f t="shared" si="246"/>
        <v/>
      </c>
      <c r="AS64" s="52" t="str">
        <f t="shared" si="406"/>
        <v/>
      </c>
      <c r="AT64" s="72" t="str">
        <f t="shared" si="247"/>
        <v/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210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IFERROR(ROUND(VALUE(IF($IH64&lt;1,$IH64+LARGE((IF($M$9:$M$150="",0,$M$9:$M$150)-MOD(IF($M$9:$M$150="",0,$M$9:$M$150),1)),1),$IH64)),4),"")</f>
        <v/>
      </c>
      <c r="IJ64" s="533" t="str">
        <f t="shared" si="112"/>
        <v/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/>
      <c r="C65" s="708"/>
      <c r="D65" s="709"/>
      <c r="E65" s="710"/>
      <c r="F65" s="708"/>
      <c r="G65" s="711"/>
      <c r="H65" s="710"/>
      <c r="I65" s="708"/>
      <c r="J65" s="570"/>
      <c r="K65" s="865" t="str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/>
      </c>
      <c r="L65" s="320"/>
      <c r="M65" s="168" t="str">
        <f t="shared" si="239"/>
        <v/>
      </c>
      <c r="N65" s="632" t="str">
        <f t="shared" si="240"/>
        <v/>
      </c>
      <c r="O65" s="629" t="str">
        <f t="shared" si="241"/>
        <v/>
      </c>
      <c r="P65" s="633" t="str">
        <f t="shared" si="242"/>
        <v/>
      </c>
      <c r="Q65" s="585" t="str">
        <f t="shared" si="113"/>
        <v/>
      </c>
      <c r="R65" s="629" t="str">
        <f t="shared" si="79"/>
        <v/>
      </c>
      <c r="S65" s="634" t="str">
        <f t="shared" si="80"/>
        <v/>
      </c>
      <c r="T65" s="635" t="str">
        <f t="shared" si="81"/>
        <v/>
      </c>
      <c r="U65" s="629" t="str">
        <f t="shared" si="82"/>
        <v/>
      </c>
      <c r="V65" s="636" t="str">
        <f t="shared" si="114"/>
        <v/>
      </c>
      <c r="W65" s="585" t="str">
        <f t="shared" si="224"/>
        <v/>
      </c>
      <c r="X65" s="629" t="str">
        <f t="shared" si="83"/>
        <v/>
      </c>
      <c r="Y65" s="630" t="str">
        <f t="shared" si="223"/>
        <v/>
      </c>
      <c r="Z65" s="632" t="str">
        <f t="shared" si="243"/>
        <v/>
      </c>
      <c r="AA65" s="629" t="str">
        <f t="shared" si="244"/>
        <v/>
      </c>
      <c r="AB65" s="629" t="str">
        <f t="shared" si="245"/>
        <v/>
      </c>
      <c r="AC65" s="636" t="str">
        <f t="shared" si="84"/>
        <v/>
      </c>
      <c r="AD65" s="637" t="str">
        <f t="shared" si="115"/>
        <v/>
      </c>
      <c r="AE65" s="629" t="str">
        <f t="shared" si="85"/>
        <v/>
      </c>
      <c r="AF65" s="633" t="str">
        <f t="shared" si="86"/>
        <v/>
      </c>
      <c r="AG65" s="602" t="str">
        <f t="shared" si="87"/>
        <v/>
      </c>
      <c r="AH65" s="603" t="str">
        <f t="shared" si="88"/>
        <v/>
      </c>
      <c r="AI65" s="585" t="str">
        <f t="shared" si="89"/>
        <v/>
      </c>
      <c r="AJ65" s="586" t="str">
        <f t="shared" si="90"/>
        <v/>
      </c>
      <c r="AK65" s="635" t="str">
        <f t="shared" si="211"/>
        <v/>
      </c>
      <c r="AL65" s="629" t="str">
        <f t="shared" si="91"/>
        <v/>
      </c>
      <c r="AM65" s="634" t="str">
        <f t="shared" si="92"/>
        <v/>
      </c>
      <c r="AN65" s="581" t="str">
        <f t="shared" si="93"/>
        <v/>
      </c>
      <c r="AO65" s="582" t="str">
        <f t="shared" si="461"/>
        <v/>
      </c>
      <c r="AP65" s="585" t="str">
        <f t="shared" si="95"/>
        <v/>
      </c>
      <c r="AQ65" s="586" t="str">
        <f t="shared" si="246"/>
        <v/>
      </c>
      <c r="AS65" s="52" t="str">
        <f t="shared" si="406"/>
        <v/>
      </c>
      <c r="AT65" s="72" t="str">
        <f t="shared" si="247"/>
        <v/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210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IFERROR(ROUND(VALUE(IF($IH65&lt;1,$IH65+LARGE((IF($M$9:$M$150="",0,$M$9:$M$150)-MOD(IF($M$9:$M$150="",0,$M$9:$M$150),1)),1),$IH65)),4),"")</f>
        <v/>
      </c>
      <c r="IJ65" s="533" t="str">
        <f t="shared" si="112"/>
        <v/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/>
      <c r="C66" s="708"/>
      <c r="D66" s="709"/>
      <c r="E66" s="710"/>
      <c r="F66" s="708"/>
      <c r="G66" s="711"/>
      <c r="H66" s="710"/>
      <c r="I66" s="708"/>
      <c r="J66" s="570"/>
      <c r="K66" s="865" t="str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/>
      </c>
      <c r="L66" s="320"/>
      <c r="M66" s="168" t="str">
        <f t="shared" si="239"/>
        <v/>
      </c>
      <c r="N66" s="632" t="str">
        <f t="shared" si="240"/>
        <v/>
      </c>
      <c r="O66" s="629" t="str">
        <f t="shared" si="241"/>
        <v/>
      </c>
      <c r="P66" s="633" t="str">
        <f t="shared" si="242"/>
        <v/>
      </c>
      <c r="Q66" s="585" t="str">
        <f t="shared" si="113"/>
        <v/>
      </c>
      <c r="R66" s="629" t="str">
        <f t="shared" si="79"/>
        <v/>
      </c>
      <c r="S66" s="634" t="str">
        <f t="shared" si="80"/>
        <v/>
      </c>
      <c r="T66" s="635" t="str">
        <f t="shared" si="81"/>
        <v/>
      </c>
      <c r="U66" s="629" t="str">
        <f t="shared" si="82"/>
        <v/>
      </c>
      <c r="V66" s="636" t="str">
        <f t="shared" si="114"/>
        <v/>
      </c>
      <c r="W66" s="585" t="str">
        <f t="shared" si="224"/>
        <v/>
      </c>
      <c r="X66" s="629" t="str">
        <f t="shared" si="83"/>
        <v/>
      </c>
      <c r="Y66" s="630" t="str">
        <f t="shared" si="223"/>
        <v/>
      </c>
      <c r="Z66" s="632" t="str">
        <f t="shared" si="243"/>
        <v/>
      </c>
      <c r="AA66" s="629" t="str">
        <f t="shared" si="244"/>
        <v/>
      </c>
      <c r="AB66" s="629" t="str">
        <f t="shared" si="245"/>
        <v/>
      </c>
      <c r="AC66" s="636" t="str">
        <f t="shared" si="84"/>
        <v/>
      </c>
      <c r="AD66" s="637" t="str">
        <f t="shared" si="115"/>
        <v/>
      </c>
      <c r="AE66" s="629" t="str">
        <f t="shared" si="85"/>
        <v/>
      </c>
      <c r="AF66" s="633" t="str">
        <f t="shared" si="86"/>
        <v/>
      </c>
      <c r="AG66" s="602" t="str">
        <f t="shared" si="87"/>
        <v/>
      </c>
      <c r="AH66" s="603" t="str">
        <f t="shared" si="88"/>
        <v/>
      </c>
      <c r="AI66" s="585" t="str">
        <f t="shared" si="89"/>
        <v/>
      </c>
      <c r="AJ66" s="586" t="str">
        <f t="shared" si="90"/>
        <v/>
      </c>
      <c r="AK66" s="635" t="str">
        <f t="shared" si="211"/>
        <v/>
      </c>
      <c r="AL66" s="629" t="str">
        <f t="shared" si="91"/>
        <v/>
      </c>
      <c r="AM66" s="634" t="str">
        <f t="shared" si="92"/>
        <v/>
      </c>
      <c r="AN66" s="581" t="str">
        <f t="shared" si="93"/>
        <v/>
      </c>
      <c r="AO66" s="582" t="str">
        <f t="shared" si="461"/>
        <v/>
      </c>
      <c r="AP66" s="585" t="str">
        <f t="shared" si="95"/>
        <v/>
      </c>
      <c r="AQ66" s="586" t="str">
        <f t="shared" si="246"/>
        <v/>
      </c>
      <c r="AS66" s="52" t="str">
        <f t="shared" si="406"/>
        <v/>
      </c>
      <c r="AT66" s="72" t="str">
        <f t="shared" si="247"/>
        <v/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210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IFERROR(ROUND(VALUE(IF($IH66&lt;1,$IH66+LARGE((IF($M$9:$M$150="",0,$M$9:$M$150)-MOD(IF($M$9:$M$150="",0,$M$9:$M$150),1)),1),$IH66)),4),"")</f>
        <v/>
      </c>
      <c r="IJ66" s="533" t="str">
        <f t="shared" si="112"/>
        <v/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/>
      <c r="C67" s="708"/>
      <c r="D67" s="709"/>
      <c r="E67" s="710"/>
      <c r="F67" s="708"/>
      <c r="G67" s="711"/>
      <c r="H67" s="710"/>
      <c r="I67" s="708"/>
      <c r="J67" s="570"/>
      <c r="K67" s="865" t="str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/>
      </c>
      <c r="L67" s="320"/>
      <c r="M67" s="168" t="str">
        <f t="shared" si="239"/>
        <v/>
      </c>
      <c r="N67" s="632" t="str">
        <f t="shared" si="240"/>
        <v/>
      </c>
      <c r="O67" s="629" t="str">
        <f t="shared" si="241"/>
        <v/>
      </c>
      <c r="P67" s="633" t="str">
        <f t="shared" si="242"/>
        <v/>
      </c>
      <c r="Q67" s="585" t="str">
        <f t="shared" si="113"/>
        <v/>
      </c>
      <c r="R67" s="629" t="str">
        <f>IF(M67="","",SQRT(N67^2+O67^2))</f>
        <v/>
      </c>
      <c r="S67" s="634" t="str">
        <f>IF(M67="","",P67)</f>
        <v/>
      </c>
      <c r="T67" s="635" t="str">
        <f>IF(M67="","",X67*COS(RADIANS(W67)))</f>
        <v/>
      </c>
      <c r="U67" s="629" t="str">
        <f>IF(M67="","",X67*SIN(RADIANS(W67)))</f>
        <v/>
      </c>
      <c r="V67" s="636" t="str">
        <f>IF(M67="","",Y67)</f>
        <v/>
      </c>
      <c r="W67" s="585" t="str">
        <f t="shared" si="224"/>
        <v/>
      </c>
      <c r="X67" s="629" t="str">
        <f>IF(M67="","",R67)</f>
        <v/>
      </c>
      <c r="Y67" s="630" t="str">
        <f t="shared" si="223"/>
        <v/>
      </c>
      <c r="Z67" s="632" t="str">
        <f t="shared" si="243"/>
        <v/>
      </c>
      <c r="AA67" s="629" t="str">
        <f t="shared" si="244"/>
        <v/>
      </c>
      <c r="AB67" s="629" t="str">
        <f t="shared" si="245"/>
        <v/>
      </c>
      <c r="AC67" s="636" t="str">
        <f>IF(M67="","",SQRT(Z67^2+AA67^2+AB67^2))</f>
        <v/>
      </c>
      <c r="AD67" s="637" t="str">
        <f>IF(M67="","",Z67*(1/SQRT(Z67^2+AA67^2+AB67^2)))</f>
        <v/>
      </c>
      <c r="AE67" s="629" t="str">
        <f>IF(M67="","",AA67*(1/SQRT(Z67^2+AA67^2+AB67^2)))</f>
        <v/>
      </c>
      <c r="AF67" s="633" t="str">
        <f>IF(M67="","",AB67*(1/SQRT(Z67^2+AA67^2+AB67^2)))</f>
        <v/>
      </c>
      <c r="AG67" s="602" t="str">
        <f>IF(M67="","",DEGREES(ATAN2(-AF67,AE67)))</f>
        <v/>
      </c>
      <c r="AH67" s="603" t="str">
        <f>IF(M67="","",DEGREES(ACOS(AD67)))</f>
        <v/>
      </c>
      <c r="AI67" s="585" t="str">
        <f>IF(M67="","",DEGREES(-ACOS(-AF67)))</f>
        <v/>
      </c>
      <c r="AJ67" s="586" t="str">
        <f>IF(M67="","",DEGREES(ATAN2(-AE67,AD67)))</f>
        <v/>
      </c>
      <c r="AK67" s="635" t="str">
        <f>IF(M67="","",(COS(RADIANS((90-$Q$8)-W67))*AD67)+(-SIN(RADIANS((90-$Q$8)-W67))*AE67))</f>
        <v/>
      </c>
      <c r="AL67" s="629" t="str">
        <f>IF(M67="","",(SIN(RADIANS((90-$Q$8)-W67))*AD67)+(COS(RADIANS((90-$Q$8)-W67))*AE67))</f>
        <v/>
      </c>
      <c r="AM67" s="634" t="str">
        <f>IF(M67="","",AF67)</f>
        <v/>
      </c>
      <c r="AN67" s="581" t="str">
        <f>IF(M67="","",DEGREES(ATAN2(-AM67,AL67)))</f>
        <v/>
      </c>
      <c r="AO67" s="582" t="str">
        <f t="shared" si="461"/>
        <v/>
      </c>
      <c r="AP67" s="585" t="str">
        <f>IF(M67="","",DEGREES(ATAN2(AK67,AL67)))</f>
        <v/>
      </c>
      <c r="AQ67" s="586" t="str">
        <f t="shared" si="246"/>
        <v/>
      </c>
      <c r="AS67" s="52" t="str">
        <f t="shared" si="406"/>
        <v/>
      </c>
      <c r="AT67" s="72" t="str">
        <f t="shared" si="247"/>
        <v/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210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IFERROR(ROUND(VALUE(IF($IH67&lt;1,$IH67+LARGE((IF($M$9:$M$150="",0,$M$9:$M$150)-MOD(IF($M$9:$M$150="",0,$M$9:$M$150),1)),1),$IH67)),4),"")</f>
        <v/>
      </c>
      <c r="IJ67" s="533" t="str">
        <f t="shared" si="112"/>
        <v/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/>
      <c r="C68" s="708"/>
      <c r="D68" s="709"/>
      <c r="E68" s="710"/>
      <c r="F68" s="708"/>
      <c r="G68" s="711"/>
      <c r="H68" s="710"/>
      <c r="I68" s="708"/>
      <c r="J68" s="570"/>
      <c r="K68" s="865" t="str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/>
      </c>
      <c r="L68" s="320"/>
      <c r="M68" s="168" t="str">
        <f t="shared" si="239"/>
        <v/>
      </c>
      <c r="N68" s="632" t="str">
        <f t="shared" si="240"/>
        <v/>
      </c>
      <c r="O68" s="629" t="str">
        <f t="shared" si="241"/>
        <v/>
      </c>
      <c r="P68" s="633" t="str">
        <f t="shared" si="242"/>
        <v/>
      </c>
      <c r="Q68" s="585" t="str">
        <f t="shared" si="113"/>
        <v/>
      </c>
      <c r="R68" s="629" t="str">
        <f>IF(M68="","",SQRT(N68^2+O68^2))</f>
        <v/>
      </c>
      <c r="S68" s="634" t="str">
        <f>IF(M68="","",P68)</f>
        <v/>
      </c>
      <c r="T68" s="635" t="str">
        <f>IF(M68="","",X68*COS(RADIANS(W68)))</f>
        <v/>
      </c>
      <c r="U68" s="629" t="str">
        <f>IF(M68="","",X68*SIN(RADIANS(W68)))</f>
        <v/>
      </c>
      <c r="V68" s="636" t="str">
        <f>IF(M68="","",Y68)</f>
        <v/>
      </c>
      <c r="W68" s="585" t="str">
        <f t="shared" si="224"/>
        <v/>
      </c>
      <c r="X68" s="629" t="str">
        <f>IF(M68="","",R68)</f>
        <v/>
      </c>
      <c r="Y68" s="630" t="str">
        <f t="shared" si="223"/>
        <v/>
      </c>
      <c r="Z68" s="632" t="str">
        <f t="shared" si="243"/>
        <v/>
      </c>
      <c r="AA68" s="629" t="str">
        <f t="shared" si="244"/>
        <v/>
      </c>
      <c r="AB68" s="629" t="str">
        <f t="shared" si="245"/>
        <v/>
      </c>
      <c r="AC68" s="636" t="str">
        <f>IF(M68="","",SQRT(Z68^2+AA68^2+AB68^2))</f>
        <v/>
      </c>
      <c r="AD68" s="637" t="str">
        <f>IF(M68="","",Z68*(1/SQRT(Z68^2+AA68^2+AB68^2)))</f>
        <v/>
      </c>
      <c r="AE68" s="629" t="str">
        <f>IF(M68="","",AA68*(1/SQRT(Z68^2+AA68^2+AB68^2)))</f>
        <v/>
      </c>
      <c r="AF68" s="633" t="str">
        <f>IF(M68="","",AB68*(1/SQRT(Z68^2+AA68^2+AB68^2)))</f>
        <v/>
      </c>
      <c r="AG68" s="602" t="str">
        <f>IF(M68="","",DEGREES(ATAN2(-AF68,AE68)))</f>
        <v/>
      </c>
      <c r="AH68" s="603" t="str">
        <f>IF(M68="","",DEGREES(ACOS(AD68)))</f>
        <v/>
      </c>
      <c r="AI68" s="585" t="str">
        <f>IF(M68="","",DEGREES(-ACOS(-AF68)))</f>
        <v/>
      </c>
      <c r="AJ68" s="586" t="str">
        <f>IF(M68="","",DEGREES(ATAN2(-AE68,AD68)))</f>
        <v/>
      </c>
      <c r="AK68" s="635" t="str">
        <f>IF(M68="","",(COS(RADIANS((90-$Q$8)-W68))*AD68)+(-SIN(RADIANS((90-$Q$8)-W68))*AE68))</f>
        <v/>
      </c>
      <c r="AL68" s="629" t="str">
        <f>IF(M68="","",(SIN(RADIANS((90-$Q$8)-W68))*AD68)+(COS(RADIANS((90-$Q$8)-W68))*AE68))</f>
        <v/>
      </c>
      <c r="AM68" s="634" t="str">
        <f>IF(M68="","",AF68)</f>
        <v/>
      </c>
      <c r="AN68" s="581" t="str">
        <f>IF(M68="","",DEGREES(ATAN2(-AM68,AL68)))</f>
        <v/>
      </c>
      <c r="AO68" s="582" t="str">
        <f t="shared" si="461"/>
        <v/>
      </c>
      <c r="AP68" s="585" t="str">
        <f>IF(M68="","",DEGREES(ATAN2(AK68,AL68)))</f>
        <v/>
      </c>
      <c r="AQ68" s="586" t="str">
        <f t="shared" si="246"/>
        <v/>
      </c>
      <c r="AS68" s="52" t="str">
        <f t="shared" si="406"/>
        <v/>
      </c>
      <c r="AT68" s="72" t="str">
        <f t="shared" si="247"/>
        <v/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210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IFERROR(ROUND(VALUE(IF($IH68&lt;1,$IH68+LARGE((IF($M$9:$M$150="",0,$M$9:$M$150)-MOD(IF($M$9:$M$150="",0,$M$9:$M$150),1)),1),$IH68)),4),"")</f>
        <v/>
      </c>
      <c r="IJ68" s="533" t="str">
        <f t="shared" si="112"/>
        <v/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/>
      <c r="C69" s="708"/>
      <c r="D69" s="709"/>
      <c r="E69" s="710"/>
      <c r="F69" s="708"/>
      <c r="G69" s="711"/>
      <c r="H69" s="710"/>
      <c r="I69" s="708"/>
      <c r="J69" s="570"/>
      <c r="K69" s="865" t="str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/>
      </c>
      <c r="L69" s="320"/>
      <c r="M69" s="168" t="str">
        <f t="shared" si="239"/>
        <v/>
      </c>
      <c r="N69" s="632" t="str">
        <f t="shared" si="240"/>
        <v/>
      </c>
      <c r="O69" s="629" t="str">
        <f t="shared" si="241"/>
        <v/>
      </c>
      <c r="P69" s="633" t="str">
        <f t="shared" si="242"/>
        <v/>
      </c>
      <c r="Q69" s="585" t="str">
        <f t="shared" si="113"/>
        <v/>
      </c>
      <c r="R69" s="629" t="str">
        <f t="shared" si="79"/>
        <v/>
      </c>
      <c r="S69" s="634" t="str">
        <f t="shared" si="80"/>
        <v/>
      </c>
      <c r="T69" s="635" t="str">
        <f t="shared" si="81"/>
        <v/>
      </c>
      <c r="U69" s="629" t="str">
        <f t="shared" si="82"/>
        <v/>
      </c>
      <c r="V69" s="636" t="str">
        <f t="shared" si="114"/>
        <v/>
      </c>
      <c r="W69" s="585" t="str">
        <f t="shared" si="224"/>
        <v/>
      </c>
      <c r="X69" s="629" t="str">
        <f t="shared" si="83"/>
        <v/>
      </c>
      <c r="Y69" s="630" t="str">
        <f t="shared" si="223"/>
        <v/>
      </c>
      <c r="Z69" s="632" t="str">
        <f t="shared" si="243"/>
        <v/>
      </c>
      <c r="AA69" s="629" t="str">
        <f t="shared" si="244"/>
        <v/>
      </c>
      <c r="AB69" s="629" t="str">
        <f t="shared" si="245"/>
        <v/>
      </c>
      <c r="AC69" s="636" t="str">
        <f t="shared" si="84"/>
        <v/>
      </c>
      <c r="AD69" s="637" t="str">
        <f t="shared" si="115"/>
        <v/>
      </c>
      <c r="AE69" s="629" t="str">
        <f t="shared" si="85"/>
        <v/>
      </c>
      <c r="AF69" s="633" t="str">
        <f t="shared" si="86"/>
        <v/>
      </c>
      <c r="AG69" s="602" t="str">
        <f t="shared" si="87"/>
        <v/>
      </c>
      <c r="AH69" s="603" t="str">
        <f t="shared" si="88"/>
        <v/>
      </c>
      <c r="AI69" s="585" t="str">
        <f t="shared" si="89"/>
        <v/>
      </c>
      <c r="AJ69" s="586" t="str">
        <f t="shared" si="90"/>
        <v/>
      </c>
      <c r="AK69" s="635" t="str">
        <f t="shared" si="211"/>
        <v/>
      </c>
      <c r="AL69" s="629" t="str">
        <f t="shared" si="91"/>
        <v/>
      </c>
      <c r="AM69" s="634" t="str">
        <f t="shared" si="92"/>
        <v/>
      </c>
      <c r="AN69" s="581" t="str">
        <f t="shared" si="93"/>
        <v/>
      </c>
      <c r="AO69" s="582" t="str">
        <f t="shared" si="461"/>
        <v/>
      </c>
      <c r="AP69" s="585" t="str">
        <f t="shared" si="95"/>
        <v/>
      </c>
      <c r="AQ69" s="586" t="str">
        <f t="shared" si="246"/>
        <v/>
      </c>
      <c r="AS69" s="52" t="str">
        <f t="shared" si="406"/>
        <v/>
      </c>
      <c r="AT69" s="72" t="str">
        <f t="shared" si="247"/>
        <v/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210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IFERROR(ROUND(VALUE(IF($IH69&lt;1,$IH69+LARGE((IF($M$9:$M$150="",0,$M$9:$M$150)-MOD(IF($M$9:$M$150="",0,$M$9:$M$150),1)),1),$IH69)),4),"")</f>
        <v/>
      </c>
      <c r="IJ69" s="533" t="str">
        <f t="shared" si="112"/>
        <v/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/>
      <c r="C70" s="708"/>
      <c r="D70" s="709"/>
      <c r="E70" s="710"/>
      <c r="F70" s="708"/>
      <c r="G70" s="711"/>
      <c r="H70" s="710"/>
      <c r="I70" s="708"/>
      <c r="J70" s="570"/>
      <c r="K70" s="865" t="str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/>
      </c>
      <c r="L70" s="320"/>
      <c r="M70" s="168" t="str">
        <f t="shared" si="239"/>
        <v/>
      </c>
      <c r="N70" s="632" t="str">
        <f t="shared" si="240"/>
        <v/>
      </c>
      <c r="O70" s="629" t="str">
        <f t="shared" si="241"/>
        <v/>
      </c>
      <c r="P70" s="633" t="str">
        <f t="shared" si="242"/>
        <v/>
      </c>
      <c r="Q70" s="585" t="str">
        <f t="shared" si="113"/>
        <v/>
      </c>
      <c r="R70" s="629" t="str">
        <f t="shared" si="79"/>
        <v/>
      </c>
      <c r="S70" s="634" t="str">
        <f t="shared" si="80"/>
        <v/>
      </c>
      <c r="T70" s="635" t="str">
        <f t="shared" si="81"/>
        <v/>
      </c>
      <c r="U70" s="629" t="str">
        <f t="shared" si="82"/>
        <v/>
      </c>
      <c r="V70" s="636" t="str">
        <f t="shared" si="114"/>
        <v/>
      </c>
      <c r="W70" s="585" t="str">
        <f t="shared" si="224"/>
        <v/>
      </c>
      <c r="X70" s="629" t="str">
        <f t="shared" si="83"/>
        <v/>
      </c>
      <c r="Y70" s="630" t="str">
        <f t="shared" si="223"/>
        <v/>
      </c>
      <c r="Z70" s="632" t="str">
        <f t="shared" si="243"/>
        <v/>
      </c>
      <c r="AA70" s="629" t="str">
        <f t="shared" si="244"/>
        <v/>
      </c>
      <c r="AB70" s="629" t="str">
        <f t="shared" si="245"/>
        <v/>
      </c>
      <c r="AC70" s="636" t="str">
        <f t="shared" si="84"/>
        <v/>
      </c>
      <c r="AD70" s="637" t="str">
        <f t="shared" si="115"/>
        <v/>
      </c>
      <c r="AE70" s="629" t="str">
        <f t="shared" si="85"/>
        <v/>
      </c>
      <c r="AF70" s="633" t="str">
        <f t="shared" si="86"/>
        <v/>
      </c>
      <c r="AG70" s="602" t="str">
        <f t="shared" si="87"/>
        <v/>
      </c>
      <c r="AH70" s="603" t="str">
        <f t="shared" si="88"/>
        <v/>
      </c>
      <c r="AI70" s="585" t="str">
        <f t="shared" si="89"/>
        <v/>
      </c>
      <c r="AJ70" s="586" t="str">
        <f t="shared" si="90"/>
        <v/>
      </c>
      <c r="AK70" s="635" t="str">
        <f t="shared" si="211"/>
        <v/>
      </c>
      <c r="AL70" s="629" t="str">
        <f t="shared" si="91"/>
        <v/>
      </c>
      <c r="AM70" s="634" t="str">
        <f t="shared" si="92"/>
        <v/>
      </c>
      <c r="AN70" s="581" t="str">
        <f t="shared" si="93"/>
        <v/>
      </c>
      <c r="AO70" s="582" t="str">
        <f t="shared" si="461"/>
        <v/>
      </c>
      <c r="AP70" s="585" t="str">
        <f t="shared" si="95"/>
        <v/>
      </c>
      <c r="AQ70" s="586" t="str">
        <f t="shared" si="246"/>
        <v/>
      </c>
      <c r="AS70" s="52" t="str">
        <f t="shared" si="406"/>
        <v/>
      </c>
      <c r="AT70" s="72" t="str">
        <f t="shared" si="247"/>
        <v/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210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IFERROR(ROUND(VALUE(IF($IH70&lt;1,$IH70+LARGE((IF($M$9:$M$150="",0,$M$9:$M$150)-MOD(IF($M$9:$M$150="",0,$M$9:$M$150),1)),1),$IH70)),4),"")</f>
        <v/>
      </c>
      <c r="IJ70" s="533" t="str">
        <f t="shared" si="112"/>
        <v/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/>
      <c r="C71" s="708"/>
      <c r="D71" s="709"/>
      <c r="E71" s="710"/>
      <c r="F71" s="708"/>
      <c r="G71" s="711"/>
      <c r="H71" s="710"/>
      <c r="I71" s="708"/>
      <c r="J71" s="570"/>
      <c r="K71" s="865" t="str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/>
      </c>
      <c r="L71" s="320"/>
      <c r="M71" s="168" t="str">
        <f t="shared" si="239"/>
        <v/>
      </c>
      <c r="N71" s="632" t="str">
        <f t="shared" si="240"/>
        <v/>
      </c>
      <c r="O71" s="629" t="str">
        <f t="shared" si="241"/>
        <v/>
      </c>
      <c r="P71" s="633" t="str">
        <f t="shared" si="242"/>
        <v/>
      </c>
      <c r="Q71" s="585" t="str">
        <f t="shared" si="113"/>
        <v/>
      </c>
      <c r="R71" s="629" t="str">
        <f t="shared" si="79"/>
        <v/>
      </c>
      <c r="S71" s="634" t="str">
        <f t="shared" si="80"/>
        <v/>
      </c>
      <c r="T71" s="635" t="str">
        <f t="shared" si="81"/>
        <v/>
      </c>
      <c r="U71" s="629" t="str">
        <f t="shared" si="82"/>
        <v/>
      </c>
      <c r="V71" s="636" t="str">
        <f t="shared" si="114"/>
        <v/>
      </c>
      <c r="W71" s="585" t="str">
        <f t="shared" si="224"/>
        <v/>
      </c>
      <c r="X71" s="629" t="str">
        <f t="shared" si="83"/>
        <v/>
      </c>
      <c r="Y71" s="630" t="str">
        <f t="shared" si="223"/>
        <v/>
      </c>
      <c r="Z71" s="632" t="str">
        <f t="shared" si="243"/>
        <v/>
      </c>
      <c r="AA71" s="629" t="str">
        <f t="shared" si="244"/>
        <v/>
      </c>
      <c r="AB71" s="629" t="str">
        <f t="shared" si="245"/>
        <v/>
      </c>
      <c r="AC71" s="636" t="str">
        <f t="shared" si="84"/>
        <v/>
      </c>
      <c r="AD71" s="637" t="str">
        <f t="shared" si="115"/>
        <v/>
      </c>
      <c r="AE71" s="629" t="str">
        <f t="shared" si="85"/>
        <v/>
      </c>
      <c r="AF71" s="633" t="str">
        <f t="shared" si="86"/>
        <v/>
      </c>
      <c r="AG71" s="602" t="str">
        <f t="shared" si="87"/>
        <v/>
      </c>
      <c r="AH71" s="603" t="str">
        <f t="shared" si="88"/>
        <v/>
      </c>
      <c r="AI71" s="585" t="str">
        <f t="shared" si="89"/>
        <v/>
      </c>
      <c r="AJ71" s="586" t="str">
        <f t="shared" si="90"/>
        <v/>
      </c>
      <c r="AK71" s="635" t="str">
        <f t="shared" si="211"/>
        <v/>
      </c>
      <c r="AL71" s="629" t="str">
        <f t="shared" si="91"/>
        <v/>
      </c>
      <c r="AM71" s="634" t="str">
        <f t="shared" si="92"/>
        <v/>
      </c>
      <c r="AN71" s="581" t="str">
        <f t="shared" si="93"/>
        <v/>
      </c>
      <c r="AO71" s="582" t="str">
        <f t="shared" si="461"/>
        <v/>
      </c>
      <c r="AP71" s="585" t="str">
        <f t="shared" si="95"/>
        <v/>
      </c>
      <c r="AQ71" s="586" t="str">
        <f t="shared" si="246"/>
        <v/>
      </c>
      <c r="AS71" s="52" t="str">
        <f t="shared" si="406"/>
        <v/>
      </c>
      <c r="AT71" s="72" t="str">
        <f t="shared" si="247"/>
        <v/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210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IFERROR(ROUND(VALUE(IF($IH71&lt;1,$IH71+LARGE((IF($M$9:$M$150="",0,$M$9:$M$150)-MOD(IF($M$9:$M$150="",0,$M$9:$M$150),1)),1),$IH71)),4),"")</f>
        <v/>
      </c>
      <c r="IJ71" s="533" t="str">
        <f t="shared" si="112"/>
        <v/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/>
      <c r="C72" s="708"/>
      <c r="D72" s="709"/>
      <c r="E72" s="710"/>
      <c r="F72" s="708"/>
      <c r="G72" s="711"/>
      <c r="H72" s="710"/>
      <c r="I72" s="708"/>
      <c r="J72" s="570"/>
      <c r="K72" s="865" t="str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/>
      </c>
      <c r="L72" s="320"/>
      <c r="M72" s="168" t="str">
        <f t="shared" si="239"/>
        <v/>
      </c>
      <c r="N72" s="632" t="str">
        <f t="shared" si="240"/>
        <v/>
      </c>
      <c r="O72" s="629" t="str">
        <f t="shared" si="241"/>
        <v/>
      </c>
      <c r="P72" s="633" t="str">
        <f t="shared" si="242"/>
        <v/>
      </c>
      <c r="Q72" s="585" t="str">
        <f t="shared" si="113"/>
        <v/>
      </c>
      <c r="R72" s="629" t="str">
        <f t="shared" si="79"/>
        <v/>
      </c>
      <c r="S72" s="634" t="str">
        <f t="shared" si="80"/>
        <v/>
      </c>
      <c r="T72" s="635" t="str">
        <f t="shared" si="81"/>
        <v/>
      </c>
      <c r="U72" s="629" t="str">
        <f t="shared" si="82"/>
        <v/>
      </c>
      <c r="V72" s="636" t="str">
        <f t="shared" si="114"/>
        <v/>
      </c>
      <c r="W72" s="585" t="str">
        <f t="shared" si="224"/>
        <v/>
      </c>
      <c r="X72" s="629" t="str">
        <f t="shared" si="83"/>
        <v/>
      </c>
      <c r="Y72" s="630" t="str">
        <f t="shared" si="223"/>
        <v/>
      </c>
      <c r="Z72" s="632" t="str">
        <f t="shared" si="243"/>
        <v/>
      </c>
      <c r="AA72" s="629" t="str">
        <f t="shared" si="244"/>
        <v/>
      </c>
      <c r="AB72" s="629" t="str">
        <f t="shared" si="245"/>
        <v/>
      </c>
      <c r="AC72" s="636" t="str">
        <f t="shared" si="84"/>
        <v/>
      </c>
      <c r="AD72" s="637" t="str">
        <f t="shared" si="115"/>
        <v/>
      </c>
      <c r="AE72" s="629" t="str">
        <f t="shared" si="85"/>
        <v/>
      </c>
      <c r="AF72" s="633" t="str">
        <f t="shared" si="86"/>
        <v/>
      </c>
      <c r="AG72" s="602" t="str">
        <f t="shared" si="87"/>
        <v/>
      </c>
      <c r="AH72" s="603" t="str">
        <f t="shared" si="88"/>
        <v/>
      </c>
      <c r="AI72" s="585" t="str">
        <f t="shared" si="89"/>
        <v/>
      </c>
      <c r="AJ72" s="586" t="str">
        <f t="shared" si="90"/>
        <v/>
      </c>
      <c r="AK72" s="635" t="str">
        <f t="shared" si="211"/>
        <v/>
      </c>
      <c r="AL72" s="629" t="str">
        <f t="shared" si="91"/>
        <v/>
      </c>
      <c r="AM72" s="634" t="str">
        <f t="shared" si="92"/>
        <v/>
      </c>
      <c r="AN72" s="581" t="str">
        <f t="shared" si="93"/>
        <v/>
      </c>
      <c r="AO72" s="582" t="str">
        <f t="shared" si="461"/>
        <v/>
      </c>
      <c r="AP72" s="585" t="str">
        <f t="shared" si="95"/>
        <v/>
      </c>
      <c r="AQ72" s="586" t="str">
        <f t="shared" si="246"/>
        <v/>
      </c>
      <c r="AS72" s="52" t="str">
        <f t="shared" si="406"/>
        <v/>
      </c>
      <c r="AT72" s="72" t="str">
        <f t="shared" si="247"/>
        <v/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210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IFERROR(ROUND(VALUE(IF($IH72&lt;1,$IH72+LARGE((IF($M$9:$M$150="",0,$M$9:$M$150)-MOD(IF($M$9:$M$150="",0,$M$9:$M$150),1)),1),$IH72)),4),"")</f>
        <v/>
      </c>
      <c r="IJ72" s="533" t="str">
        <f t="shared" si="112"/>
        <v/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/>
      <c r="C73" s="708"/>
      <c r="D73" s="709"/>
      <c r="E73" s="710"/>
      <c r="F73" s="708"/>
      <c r="G73" s="711"/>
      <c r="H73" s="710"/>
      <c r="I73" s="708"/>
      <c r="J73" s="570"/>
      <c r="K73" s="865" t="str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/>
      </c>
      <c r="L73" s="320"/>
      <c r="M73" s="168" t="str">
        <f t="shared" ref="M73:M104" si="464">IF(J73="","",VALUE(J73))</f>
        <v/>
      </c>
      <c r="N73" s="632" t="str">
        <f t="shared" ref="N73:N104" si="465">IF(M73="","",B73)</f>
        <v/>
      </c>
      <c r="O73" s="629" t="str">
        <f t="shared" ref="O73:O104" si="466">IF(M73="","",C73)</f>
        <v/>
      </c>
      <c r="P73" s="633" t="str">
        <f t="shared" ref="P73:P104" si="467">IF(M73="","",D73)</f>
        <v/>
      </c>
      <c r="Q73" s="585" t="str">
        <f t="shared" si="113"/>
        <v/>
      </c>
      <c r="R73" s="629" t="str">
        <f>IF(M73="","",SQRT(N73^2+O73^2))</f>
        <v/>
      </c>
      <c r="S73" s="634" t="str">
        <f>IF(M73="","",P73)</f>
        <v/>
      </c>
      <c r="T73" s="635" t="str">
        <f>IF(M73="","",X73*COS(RADIANS(W73)))</f>
        <v/>
      </c>
      <c r="U73" s="629" t="str">
        <f>IF(M73="","",X73*SIN(RADIANS(W73)))</f>
        <v/>
      </c>
      <c r="V73" s="636" t="str">
        <f>IF(M73="","",Y73)</f>
        <v/>
      </c>
      <c r="W73" s="585" t="str">
        <f t="shared" si="224"/>
        <v/>
      </c>
      <c r="X73" s="629" t="str">
        <f>IF(M73="","",R73)</f>
        <v/>
      </c>
      <c r="Y73" s="630" t="str">
        <f t="shared" si="223"/>
        <v/>
      </c>
      <c r="Z73" s="632" t="str">
        <f t="shared" ref="Z73:Z104" si="468">IF(M73="","",-E73)</f>
        <v/>
      </c>
      <c r="AA73" s="629" t="str">
        <f t="shared" ref="AA73:AA104" si="469">IF(M73="","",-F73)</f>
        <v/>
      </c>
      <c r="AB73" s="629" t="str">
        <f t="shared" ref="AB73:AB104" si="470">IF(M73="","",-G73)</f>
        <v/>
      </c>
      <c r="AC73" s="636" t="str">
        <f>IF(M73="","",SQRT(Z73^2+AA73^2+AB73^2))</f>
        <v/>
      </c>
      <c r="AD73" s="637" t="str">
        <f>IF(M73="","",Z73*(1/SQRT(Z73^2+AA73^2+AB73^2)))</f>
        <v/>
      </c>
      <c r="AE73" s="629" t="str">
        <f>IF(M73="","",AA73*(1/SQRT(Z73^2+AA73^2+AB73^2)))</f>
        <v/>
      </c>
      <c r="AF73" s="633" t="str">
        <f>IF(M73="","",AB73*(1/SQRT(Z73^2+AA73^2+AB73^2)))</f>
        <v/>
      </c>
      <c r="AG73" s="602" t="str">
        <f>IF(M73="","",DEGREES(ATAN2(-AF73,AE73)))</f>
        <v/>
      </c>
      <c r="AH73" s="603" t="str">
        <f>IF(M73="","",DEGREES(ACOS(AD73)))</f>
        <v/>
      </c>
      <c r="AI73" s="585" t="str">
        <f>IF(M73="","",DEGREES(-ACOS(-AF73)))</f>
        <v/>
      </c>
      <c r="AJ73" s="586" t="str">
        <f>IF(M73="","",DEGREES(ATAN2(-AE73,AD73)))</f>
        <v/>
      </c>
      <c r="AK73" s="635" t="str">
        <f>IF(M73="","",(COS(RADIANS((90-$Q$8)-W73))*AD73)+(-SIN(RADIANS((90-$Q$8)-W73))*AE73))</f>
        <v/>
      </c>
      <c r="AL73" s="629" t="str">
        <f>IF(M73="","",(SIN(RADIANS((90-$Q$8)-W73))*AD73)+(COS(RADIANS((90-$Q$8)-W73))*AE73))</f>
        <v/>
      </c>
      <c r="AM73" s="634" t="str">
        <f>IF(M73="","",AF73)</f>
        <v/>
      </c>
      <c r="AN73" s="581" t="str">
        <f>IF(M73="","",DEGREES(ATAN2(-AM73,AL73)))</f>
        <v/>
      </c>
      <c r="AO73" s="582" t="str">
        <f t="shared" si="461"/>
        <v/>
      </c>
      <c r="AP73" s="585" t="str">
        <f>IF(M73="","",DEGREES(ATAN2(AK73,AL73)))</f>
        <v/>
      </c>
      <c r="AQ73" s="586" t="str">
        <f t="shared" ref="AQ73:AQ104" si="471">IF(M73="","",DEGREES(ATAN(($AS$5*SIN(RADIANS(90)))/(($X73*2*PI())-($AS$5*COS(RADIANS(90)))))))</f>
        <v/>
      </c>
      <c r="AS73" s="52" t="str">
        <f t="shared" si="406"/>
        <v/>
      </c>
      <c r="AT73" s="72" t="str">
        <f t="shared" ref="AT73:AT104" si="472">IF(M73="","",Y73+(((AS73-$AS$9)*$AS$6)*-1))</f>
        <v/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210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IFERROR(ROUND(VALUE(IF($IH73&lt;1,$IH73+LARGE((IF($M$9:$M$150="",0,$M$9:$M$150)-MOD(IF($M$9:$M$150="",0,$M$9:$M$150),1)),1),$IH73)),4),"")</f>
        <v/>
      </c>
      <c r="IJ73" s="533" t="str">
        <f t="shared" si="112"/>
        <v/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/>
      <c r="C74" s="708"/>
      <c r="D74" s="709"/>
      <c r="E74" s="710"/>
      <c r="F74" s="708"/>
      <c r="G74" s="711"/>
      <c r="H74" s="710"/>
      <c r="I74" s="708"/>
      <c r="J74" s="570"/>
      <c r="K74" s="865" t="str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/>
      </c>
      <c r="L74" s="320"/>
      <c r="M74" s="168" t="str">
        <f t="shared" si="464"/>
        <v/>
      </c>
      <c r="N74" s="632" t="str">
        <f t="shared" si="465"/>
        <v/>
      </c>
      <c r="O74" s="629" t="str">
        <f t="shared" si="466"/>
        <v/>
      </c>
      <c r="P74" s="633" t="str">
        <f t="shared" si="467"/>
        <v/>
      </c>
      <c r="Q74" s="585" t="str">
        <f t="shared" ref="Q74:Q129" si="520">IF(M74="","",IF(DEGREES(ATAN2(N74,O74))&lt;0,DEGREES(ATAN2(N74,O74))+360,IF(DEGREES(ATAN2(N74,O74))&gt;360,DEGREES(ATAN2(N74,O74))-360,DEGREES(ATAN2(N74,O74)))))</f>
        <v/>
      </c>
      <c r="R74" s="629" t="str">
        <f>IF(M74="","",SQRT(N74^2+O74^2))</f>
        <v/>
      </c>
      <c r="S74" s="634" t="str">
        <f>IF(M74="","",P74)</f>
        <v/>
      </c>
      <c r="T74" s="635" t="str">
        <f>IF(M74="","",X74*COS(RADIANS(W74)))</f>
        <v/>
      </c>
      <c r="U74" s="629" t="str">
        <f>IF(M74="","",X74*SIN(RADIANS(W74)))</f>
        <v/>
      </c>
      <c r="V74" s="636" t="str">
        <f>IF(M74="","",Y74)</f>
        <v/>
      </c>
      <c r="W74" s="585" t="str">
        <f t="shared" si="224"/>
        <v/>
      </c>
      <c r="X74" s="629" t="str">
        <f>IF(M74="","",R74)</f>
        <v/>
      </c>
      <c r="Y74" s="630" t="str">
        <f t="shared" si="223"/>
        <v/>
      </c>
      <c r="Z74" s="632" t="str">
        <f t="shared" si="468"/>
        <v/>
      </c>
      <c r="AA74" s="629" t="str">
        <f t="shared" si="469"/>
        <v/>
      </c>
      <c r="AB74" s="629" t="str">
        <f t="shared" si="470"/>
        <v/>
      </c>
      <c r="AC74" s="636" t="str">
        <f>IF(M74="","",SQRT(Z74^2+AA74^2+AB74^2))</f>
        <v/>
      </c>
      <c r="AD74" s="637" t="str">
        <f>IF(M74="","",Z74*(1/SQRT(Z74^2+AA74^2+AB74^2)))</f>
        <v/>
      </c>
      <c r="AE74" s="629" t="str">
        <f>IF(M74="","",AA74*(1/SQRT(Z74^2+AA74^2+AB74^2)))</f>
        <v/>
      </c>
      <c r="AF74" s="633" t="str">
        <f>IF(M74="","",AB74*(1/SQRT(Z74^2+AA74^2+AB74^2)))</f>
        <v/>
      </c>
      <c r="AG74" s="602" t="str">
        <f>IF(M74="","",DEGREES(ATAN2(-AF74,AE74)))</f>
        <v/>
      </c>
      <c r="AH74" s="603" t="str">
        <f>IF(M74="","",DEGREES(ACOS(AD74)))</f>
        <v/>
      </c>
      <c r="AI74" s="585" t="str">
        <f>IF(M74="","",DEGREES(-ACOS(-AF74)))</f>
        <v/>
      </c>
      <c r="AJ74" s="586" t="str">
        <f>IF(M74="","",DEGREES(ATAN2(-AE74,AD74)))</f>
        <v/>
      </c>
      <c r="AK74" s="635" t="str">
        <f>IF(M74="","",(COS(RADIANS((90-$Q$8)-W74))*AD74)+(-SIN(RADIANS((90-$Q$8)-W74))*AE74))</f>
        <v/>
      </c>
      <c r="AL74" s="629" t="str">
        <f>IF(M74="","",(SIN(RADIANS((90-$Q$8)-W74))*AD74)+(COS(RADIANS((90-$Q$8)-W74))*AE74))</f>
        <v/>
      </c>
      <c r="AM74" s="634" t="str">
        <f>IF(M74="","",AF74)</f>
        <v/>
      </c>
      <c r="AN74" s="581" t="str">
        <f>IF(M74="","",DEGREES(ATAN2(-AM74,AL74)))</f>
        <v/>
      </c>
      <c r="AO74" s="582" t="str">
        <f t="shared" si="461"/>
        <v/>
      </c>
      <c r="AP74" s="585" t="str">
        <f>IF(M74="","",DEGREES(ATAN2(AK74,AL74)))</f>
        <v/>
      </c>
      <c r="AQ74" s="586" t="str">
        <f t="shared" si="471"/>
        <v/>
      </c>
      <c r="AS74" s="52" t="str">
        <f t="shared" si="406"/>
        <v/>
      </c>
      <c r="AT74" s="72" t="str">
        <f t="shared" si="472"/>
        <v/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210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IFERROR(ROUND(VALUE(IF($IH74&lt;1,$IH74+LARGE((IF($M$9:$M$150="",0,$M$9:$M$150)-MOD(IF($M$9:$M$150="",0,$M$9:$M$150),1)),1),$IH74)),4),"")</f>
        <v/>
      </c>
      <c r="IJ74" s="533" t="str">
        <f t="shared" ref="IJ74:IJ137" si="542">IF(ISNUMBER($II74),INDEX($K$9:$K$150,MATCH($II74,$M$9:$M$150,0)),$K74)</f>
        <v/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/>
      <c r="C75" s="708"/>
      <c r="D75" s="709"/>
      <c r="E75" s="710"/>
      <c r="F75" s="708"/>
      <c r="G75" s="711"/>
      <c r="H75" s="710"/>
      <c r="I75" s="708"/>
      <c r="J75" s="570"/>
      <c r="K75" s="865" t="str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/>
      </c>
      <c r="L75" s="320"/>
      <c r="M75" s="168" t="str">
        <f t="shared" si="464"/>
        <v/>
      </c>
      <c r="N75" s="632" t="str">
        <f t="shared" si="465"/>
        <v/>
      </c>
      <c r="O75" s="629" t="str">
        <f t="shared" si="466"/>
        <v/>
      </c>
      <c r="P75" s="633" t="str">
        <f t="shared" si="467"/>
        <v/>
      </c>
      <c r="Q75" s="585" t="str">
        <f t="shared" si="520"/>
        <v/>
      </c>
      <c r="R75" s="629" t="str">
        <f>IF(M75="","",SQRT(N75^2+O75^2))</f>
        <v/>
      </c>
      <c r="S75" s="634" t="str">
        <f>IF(M75="","",P75)</f>
        <v/>
      </c>
      <c r="T75" s="635" t="str">
        <f>IF(M75="","",X75*COS(RADIANS(W75)))</f>
        <v/>
      </c>
      <c r="U75" s="629" t="str">
        <f>IF(M75="","",X75*SIN(RADIANS(W75)))</f>
        <v/>
      </c>
      <c r="V75" s="636" t="str">
        <f>IF(M75="","",Y75)</f>
        <v/>
      </c>
      <c r="W75" s="585" t="str">
        <f t="shared" si="224"/>
        <v/>
      </c>
      <c r="X75" s="629" t="str">
        <f>IF(M75="","",R75)</f>
        <v/>
      </c>
      <c r="Y75" s="630" t="str">
        <f t="shared" si="223"/>
        <v/>
      </c>
      <c r="Z75" s="632" t="str">
        <f t="shared" si="468"/>
        <v/>
      </c>
      <c r="AA75" s="629" t="str">
        <f t="shared" si="469"/>
        <v/>
      </c>
      <c r="AB75" s="629" t="str">
        <f t="shared" si="470"/>
        <v/>
      </c>
      <c r="AC75" s="636" t="str">
        <f>IF(M75="","",SQRT(Z75^2+AA75^2+AB75^2))</f>
        <v/>
      </c>
      <c r="AD75" s="637" t="str">
        <f>IF(M75="","",Z75*(1/SQRT(Z75^2+AA75^2+AB75^2)))</f>
        <v/>
      </c>
      <c r="AE75" s="629" t="str">
        <f>IF(M75="","",AA75*(1/SQRT(Z75^2+AA75^2+AB75^2)))</f>
        <v/>
      </c>
      <c r="AF75" s="633" t="str">
        <f>IF(M75="","",AB75*(1/SQRT(Z75^2+AA75^2+AB75^2)))</f>
        <v/>
      </c>
      <c r="AG75" s="602" t="str">
        <f>IF(M75="","",DEGREES(ATAN2(-AF75,AE75)))</f>
        <v/>
      </c>
      <c r="AH75" s="603" t="str">
        <f>IF(M75="","",DEGREES(ACOS(AD75)))</f>
        <v/>
      </c>
      <c r="AI75" s="585" t="str">
        <f>IF(M75="","",DEGREES(-ACOS(-AF75)))</f>
        <v/>
      </c>
      <c r="AJ75" s="586" t="str">
        <f>IF(M75="","",DEGREES(ATAN2(-AE75,AD75)))</f>
        <v/>
      </c>
      <c r="AK75" s="635" t="str">
        <f>IF(M75="","",(COS(RADIANS((90-$Q$8)-W75))*AD75)+(-SIN(RADIANS((90-$Q$8)-W75))*AE75))</f>
        <v/>
      </c>
      <c r="AL75" s="629" t="str">
        <f>IF(M75="","",(SIN(RADIANS((90-$Q$8)-W75))*AD75)+(COS(RADIANS((90-$Q$8)-W75))*AE75))</f>
        <v/>
      </c>
      <c r="AM75" s="634" t="str">
        <f>IF(M75="","",AF75)</f>
        <v/>
      </c>
      <c r="AN75" s="581" t="str">
        <f>IF(M75="","",DEGREES(ATAN2(-AM75,AL75)))</f>
        <v/>
      </c>
      <c r="AO75" s="582" t="str">
        <f t="shared" si="461"/>
        <v/>
      </c>
      <c r="AP75" s="585" t="str">
        <f>IF(M75="","",DEGREES(ATAN2(AK75,AL75)))</f>
        <v/>
      </c>
      <c r="AQ75" s="586" t="str">
        <f t="shared" si="471"/>
        <v/>
      </c>
      <c r="AS75" s="52" t="str">
        <f t="shared" ref="AS75:AS106" si="543">IF(G75="","",IF(AND(W75&lt;(AS74+180),W75&gt;(AS74-180)),W75,IF(W75&gt;(AS74+180),W75-360,IF(W75&lt;(AS74-180),W75+360,"Error"))))</f>
        <v/>
      </c>
      <c r="AT75" s="72" t="str">
        <f t="shared" si="472"/>
        <v/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643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IFERROR(ROUND(VALUE(IF($IH75&lt;1,$IH75+LARGE((IF($M$9:$M$150="",0,$M$9:$M$150)-MOD(IF($M$9:$M$150="",0,$M$9:$M$150),1)),1),$IH75)),4),"")</f>
        <v/>
      </c>
      <c r="IJ75" s="533" t="str">
        <f t="shared" si="542"/>
        <v/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/>
      <c r="C76" s="708"/>
      <c r="D76" s="709"/>
      <c r="E76" s="710"/>
      <c r="F76" s="708"/>
      <c r="G76" s="711"/>
      <c r="H76" s="710"/>
      <c r="I76" s="708"/>
      <c r="J76" s="570"/>
      <c r="K76" s="865" t="str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/>
      </c>
      <c r="L76" s="320"/>
      <c r="M76" s="168" t="str">
        <f t="shared" si="464"/>
        <v/>
      </c>
      <c r="N76" s="632" t="str">
        <f t="shared" si="465"/>
        <v/>
      </c>
      <c r="O76" s="629" t="str">
        <f t="shared" si="466"/>
        <v/>
      </c>
      <c r="P76" s="633" t="str">
        <f t="shared" si="467"/>
        <v/>
      </c>
      <c r="Q76" s="585" t="str">
        <f t="shared" si="520"/>
        <v/>
      </c>
      <c r="R76" s="629" t="str">
        <f t="shared" si="79"/>
        <v/>
      </c>
      <c r="S76" s="634" t="str">
        <f t="shared" si="80"/>
        <v/>
      </c>
      <c r="T76" s="635" t="str">
        <f t="shared" si="81"/>
        <v/>
      </c>
      <c r="U76" s="629" t="str">
        <f t="shared" si="82"/>
        <v/>
      </c>
      <c r="V76" s="636" t="str">
        <f t="shared" si="114"/>
        <v/>
      </c>
      <c r="W76" s="585" t="str">
        <f t="shared" si="224"/>
        <v/>
      </c>
      <c r="X76" s="629" t="str">
        <f t="shared" si="83"/>
        <v/>
      </c>
      <c r="Y76" s="630" t="str">
        <f t="shared" ref="Y76:Y129" si="644">IF(M76="","",S76)</f>
        <v/>
      </c>
      <c r="Z76" s="632" t="str">
        <f t="shared" si="468"/>
        <v/>
      </c>
      <c r="AA76" s="629" t="str">
        <f t="shared" si="469"/>
        <v/>
      </c>
      <c r="AB76" s="629" t="str">
        <f t="shared" si="470"/>
        <v/>
      </c>
      <c r="AC76" s="636" t="str">
        <f t="shared" si="84"/>
        <v/>
      </c>
      <c r="AD76" s="637" t="str">
        <f t="shared" si="115"/>
        <v/>
      </c>
      <c r="AE76" s="629" t="str">
        <f t="shared" si="85"/>
        <v/>
      </c>
      <c r="AF76" s="633" t="str">
        <f t="shared" si="86"/>
        <v/>
      </c>
      <c r="AG76" s="602" t="str">
        <f t="shared" si="87"/>
        <v/>
      </c>
      <c r="AH76" s="603" t="str">
        <f t="shared" si="88"/>
        <v/>
      </c>
      <c r="AI76" s="585" t="str">
        <f t="shared" si="89"/>
        <v/>
      </c>
      <c r="AJ76" s="586" t="str">
        <f t="shared" si="90"/>
        <v/>
      </c>
      <c r="AK76" s="635" t="str">
        <f t="shared" si="211"/>
        <v/>
      </c>
      <c r="AL76" s="629" t="str">
        <f t="shared" si="91"/>
        <v/>
      </c>
      <c r="AM76" s="634" t="str">
        <f t="shared" si="92"/>
        <v/>
      </c>
      <c r="AN76" s="581" t="str">
        <f t="shared" si="93"/>
        <v/>
      </c>
      <c r="AO76" s="582" t="str">
        <f t="shared" si="461"/>
        <v/>
      </c>
      <c r="AP76" s="585" t="str">
        <f t="shared" si="95"/>
        <v/>
      </c>
      <c r="AQ76" s="586" t="str">
        <f t="shared" si="471"/>
        <v/>
      </c>
      <c r="AS76" s="52" t="str">
        <f t="shared" si="543"/>
        <v/>
      </c>
      <c r="AT76" s="72" t="str">
        <f t="shared" si="472"/>
        <v/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643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IFERROR(ROUND(VALUE(IF($IH76&lt;1,$IH76+LARGE((IF($M$9:$M$150="",0,$M$9:$M$150)-MOD(IF($M$9:$M$150="",0,$M$9:$M$150),1)),1),$IH76)),4),"")</f>
        <v/>
      </c>
      <c r="IJ76" s="533" t="str">
        <f t="shared" si="542"/>
        <v/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/>
      <c r="C77" s="708"/>
      <c r="D77" s="709"/>
      <c r="E77" s="710"/>
      <c r="F77" s="708"/>
      <c r="G77" s="711"/>
      <c r="H77" s="710"/>
      <c r="I77" s="708"/>
      <c r="J77" s="570"/>
      <c r="K77" s="865" t="str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/>
      </c>
      <c r="L77" s="320"/>
      <c r="M77" s="168" t="str">
        <f t="shared" si="464"/>
        <v/>
      </c>
      <c r="N77" s="632" t="str">
        <f t="shared" si="465"/>
        <v/>
      </c>
      <c r="O77" s="629" t="str">
        <f t="shared" si="466"/>
        <v/>
      </c>
      <c r="P77" s="633" t="str">
        <f t="shared" si="467"/>
        <v/>
      </c>
      <c r="Q77" s="585" t="str">
        <f t="shared" si="520"/>
        <v/>
      </c>
      <c r="R77" s="629" t="str">
        <f t="shared" si="79"/>
        <v/>
      </c>
      <c r="S77" s="634" t="str">
        <f t="shared" si="80"/>
        <v/>
      </c>
      <c r="T77" s="635" t="str">
        <f t="shared" si="81"/>
        <v/>
      </c>
      <c r="U77" s="629" t="str">
        <f t="shared" si="82"/>
        <v/>
      </c>
      <c r="V77" s="636" t="str">
        <f t="shared" si="114"/>
        <v/>
      </c>
      <c r="W77" s="585" t="str">
        <f t="shared" si="224"/>
        <v/>
      </c>
      <c r="X77" s="629" t="str">
        <f t="shared" si="83"/>
        <v/>
      </c>
      <c r="Y77" s="630" t="str">
        <f t="shared" si="644"/>
        <v/>
      </c>
      <c r="Z77" s="632" t="str">
        <f t="shared" si="468"/>
        <v/>
      </c>
      <c r="AA77" s="629" t="str">
        <f t="shared" si="469"/>
        <v/>
      </c>
      <c r="AB77" s="629" t="str">
        <f t="shared" si="470"/>
        <v/>
      </c>
      <c r="AC77" s="636" t="str">
        <f t="shared" si="84"/>
        <v/>
      </c>
      <c r="AD77" s="637" t="str">
        <f t="shared" si="115"/>
        <v/>
      </c>
      <c r="AE77" s="629" t="str">
        <f t="shared" si="85"/>
        <v/>
      </c>
      <c r="AF77" s="633" t="str">
        <f t="shared" si="86"/>
        <v/>
      </c>
      <c r="AG77" s="602" t="str">
        <f t="shared" si="87"/>
        <v/>
      </c>
      <c r="AH77" s="603" t="str">
        <f t="shared" si="88"/>
        <v/>
      </c>
      <c r="AI77" s="585" t="str">
        <f t="shared" si="89"/>
        <v/>
      </c>
      <c r="AJ77" s="586" t="str">
        <f t="shared" si="90"/>
        <v/>
      </c>
      <c r="AK77" s="635" t="str">
        <f t="shared" si="211"/>
        <v/>
      </c>
      <c r="AL77" s="629" t="str">
        <f t="shared" si="91"/>
        <v/>
      </c>
      <c r="AM77" s="634" t="str">
        <f t="shared" si="92"/>
        <v/>
      </c>
      <c r="AN77" s="581" t="str">
        <f t="shared" si="93"/>
        <v/>
      </c>
      <c r="AO77" s="582" t="str">
        <f t="shared" si="461"/>
        <v/>
      </c>
      <c r="AP77" s="585" t="str">
        <f t="shared" si="95"/>
        <v/>
      </c>
      <c r="AQ77" s="586" t="str">
        <f t="shared" si="471"/>
        <v/>
      </c>
      <c r="AS77" s="52" t="str">
        <f t="shared" si="543"/>
        <v/>
      </c>
      <c r="AT77" s="72" t="str">
        <f t="shared" si="472"/>
        <v/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643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IFERROR(ROUND(VALUE(IF($IH77&lt;1,$IH77+LARGE((IF($M$9:$M$150="",0,$M$9:$M$150)-MOD(IF($M$9:$M$150="",0,$M$9:$M$150),1)),1),$IH77)),4),"")</f>
        <v/>
      </c>
      <c r="IJ77" s="533" t="str">
        <f t="shared" si="542"/>
        <v/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/>
      </c>
      <c r="L79" s="320"/>
      <c r="M79" s="168" t="str">
        <f>IF(J79="","",VALUE(J79))</f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 t="str">
        <f t="shared" si="542"/>
        <v/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IFERROR(ROUND(VALUE(IF($IH84&lt;1,$IH84+LARGE((IF($M$9:$M$150="",0,$M$9:$M$150)-MOD(IF($M$9:$M$150="",0,$M$9:$M$150),1)),1),$IH84)),4),"")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IFERROR(ROUND(VALUE(IF($IH85&lt;1,$IH85+LARGE((IF($M$9:$M$150="",0,$M$9:$M$150)-MOD(IF($M$9:$M$150="",0,$M$9:$M$150),1)),1),$IH85)),4),"")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IFERROR(ROUND(VALUE(IF($IH86&lt;1,$IH86+LARGE((IF($M$9:$M$150="",0,$M$9:$M$150)-MOD(IF($M$9:$M$150="",0,$M$9:$M$150),1)),1),$IH86)),4),"")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/>
      </c>
      <c r="L87" s="320"/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IFERROR(ROUND(VALUE(IF($IH87&lt;1,$IH87+LARGE((IF($M$9:$M$150="",0,$M$9:$M$150)-MOD(IF($M$9:$M$150="",0,$M$9:$M$150),1)),1),$IH87)),4),"")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IFERROR(ROUND(VALUE(IF($IH88&lt;1,$IH88+LARGE((IF($M$9:$M$150="",0,$M$9:$M$150)-MOD(IF($M$9:$M$150="",0,$M$9:$M$150),1)),1),$IH88)),4),"")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IFERROR(ROUND(VALUE(IF($IH89&lt;1,$IH89+LARGE((IF($M$9:$M$150="",0,$M$9:$M$150)-MOD(IF($M$9:$M$150="",0,$M$9:$M$150),1)),1),$IH89)),4),"")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IFERROR(ROUND(VALUE(IF($IH90&lt;1,$IH90+LARGE((IF($M$9:$M$150="",0,$M$9:$M$150)-MOD(IF($M$9:$M$150="",0,$M$9:$M$150),1)),1),$IH90)),4),"")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IFERROR(ROUND(VALUE(IF($IH91&lt;1,$IH91+LARGE((IF($M$9:$M$150="",0,$M$9:$M$150)-MOD(IF($M$9:$M$150="",0,$M$9:$M$150),1)),1),$IH91)),4),"")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IFERROR(ROUND(VALUE(IF($IH92&lt;1,$IH92+LARGE((IF($M$9:$M$150="",0,$M$9:$M$150)-MOD(IF($M$9:$M$150="",0,$M$9:$M$150),1)),1),$IH92)),4),"")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IFERROR(ROUND(VALUE(IF($IH98&lt;1,$IH98+LARGE((IF($M$9:$M$150="",0,$M$9:$M$150)-MOD(IF($M$9:$M$150="",0,$M$9:$M$150),1)),1),$IH98)),4),"")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IFERROR(ROUND(VALUE(IF($IH100&lt;1,$IH100+LARGE((IF($M$9:$M$150="",0,$M$9:$M$150)-MOD(IF($M$9:$M$150="",0,$M$9:$M$150),1)),1),$IH100)),4),"")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0.93969263802333458</v>
      </c>
      <c r="F154" s="170">
        <f t="shared" si="929"/>
        <v>8.8521302156295611E-2</v>
      </c>
      <c r="G154" s="170">
        <f t="shared" si="929"/>
        <v>-0.33036604714967333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0.96592583607220739</v>
      </c>
      <c r="F155" s="170">
        <f t="shared" si="929"/>
        <v>6.6987279208207198E-2</v>
      </c>
      <c r="G155" s="170">
        <f t="shared" si="929"/>
        <v>-0.24999996726497561</v>
      </c>
      <c r="H155" s="139"/>
      <c r="I155" s="86"/>
      <c r="J155" s="79">
        <f t="shared" ref="J155:J218" si="930">J10</f>
        <v>1.1020000000000001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0.96559414075354888</v>
      </c>
      <c r="F156" s="170">
        <f t="shared" si="929"/>
        <v>1.4732087394821057E-2</v>
      </c>
      <c r="G156" s="170">
        <f t="shared" si="929"/>
        <v>-0.25963613181413547</v>
      </c>
      <c r="H156" s="139"/>
      <c r="I156" s="86"/>
      <c r="J156" s="79">
        <f t="shared" si="930"/>
        <v>1.103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0.95997932590606116</v>
      </c>
      <c r="F157" s="170">
        <f t="shared" si="929"/>
        <v>-0.15176290568465062</v>
      </c>
      <c r="G157" s="170">
        <f t="shared" si="929"/>
        <v>-0.23538843278949861</v>
      </c>
      <c r="H157" s="139"/>
      <c r="I157" s="86"/>
      <c r="J157" s="79">
        <f t="shared" si="930"/>
        <v>1.1040000000000001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0.94348503188001442</v>
      </c>
      <c r="F158" s="170">
        <f t="shared" si="929"/>
        <v>-0.29264802537863099</v>
      </c>
      <c r="G158" s="170">
        <f t="shared" si="929"/>
        <v>-0.1555414023993501</v>
      </c>
      <c r="H158" s="139"/>
      <c r="I158" s="86"/>
      <c r="J158" s="79">
        <f t="shared" si="930"/>
        <v>1.105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0.86817284090769886</v>
      </c>
      <c r="F159" s="170">
        <f t="shared" si="929"/>
        <v>-0.48263110375385698</v>
      </c>
      <c r="G159" s="170">
        <f t="shared" si="929"/>
        <v>-0.11551249282908445</v>
      </c>
      <c r="H159" s="139"/>
      <c r="I159" s="86"/>
      <c r="J159" s="79">
        <f t="shared" si="930"/>
        <v>1.1060000000000001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0.8317652532255333</v>
      </c>
      <c r="F160" s="170">
        <f t="shared" si="929"/>
        <v>-0.55077745248487975</v>
      </c>
      <c r="G160" s="170">
        <f t="shared" si="929"/>
        <v>-6.9359652254973148E-2</v>
      </c>
      <c r="H160" s="139"/>
      <c r="I160" s="86"/>
      <c r="J160" s="79">
        <f t="shared" si="930"/>
        <v>1.107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7.9508970961282288E-2</v>
      </c>
      <c r="F161" s="170">
        <f t="shared" si="929"/>
        <v>0.15437620653366163</v>
      </c>
      <c r="G161" s="170">
        <f t="shared" si="929"/>
        <v>-0.98480775301220813</v>
      </c>
      <c r="H161" s="139"/>
      <c r="I161" s="86"/>
      <c r="J161" s="79">
        <f t="shared" si="930"/>
        <v>1.2010000000000001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-7.6605348163234513E-2</v>
      </c>
      <c r="F162" s="170">
        <f t="shared" si="929"/>
        <v>-0.18960549556172931</v>
      </c>
      <c r="G162" s="170">
        <f t="shared" si="929"/>
        <v>-0.97886739484241725</v>
      </c>
      <c r="H162" s="139"/>
      <c r="I162" s="86"/>
      <c r="J162" s="79">
        <f t="shared" si="930"/>
        <v>1.202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0.4492738110781147</v>
      </c>
      <c r="F163" s="170">
        <f t="shared" si="929"/>
        <v>-0.85918075461195087</v>
      </c>
      <c r="G163" s="170">
        <f t="shared" si="929"/>
        <v>-0.24487031993237804</v>
      </c>
      <c r="H163" s="139"/>
      <c r="I163" s="86"/>
      <c r="J163" s="79">
        <f t="shared" si="930"/>
        <v>2.101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0.32672213074033307</v>
      </c>
      <c r="F164" s="170">
        <f t="shared" si="929"/>
        <v>-0.93141054317061944</v>
      </c>
      <c r="G164" s="170">
        <f t="shared" si="929"/>
        <v>-0.16039653785262409</v>
      </c>
      <c r="H164" s="139"/>
      <c r="I164" s="86"/>
      <c r="J164" s="79">
        <f t="shared" si="930"/>
        <v>2.1019999999999999</v>
      </c>
    </row>
    <row r="165" spans="5:16" x14ac:dyDescent="0.25">
      <c r="E165" s="170">
        <f t="shared" si="929"/>
        <v>0.14016281481780624</v>
      </c>
      <c r="F165" s="170">
        <f t="shared" si="929"/>
        <v>-0.98196234947845895</v>
      </c>
      <c r="G165" s="170">
        <f t="shared" si="929"/>
        <v>-0.12690283507114519</v>
      </c>
      <c r="H165" s="139"/>
      <c r="I165" s="86"/>
      <c r="J165" s="79">
        <f t="shared" si="930"/>
        <v>2.1030000000000002</v>
      </c>
    </row>
    <row r="166" spans="5:16" x14ac:dyDescent="0.25">
      <c r="E166" s="170">
        <f t="shared" si="929"/>
        <v>2.5909707201365876E-2</v>
      </c>
      <c r="F166" s="170">
        <f t="shared" si="929"/>
        <v>-0.9972551958810788</v>
      </c>
      <c r="G166" s="170">
        <f t="shared" si="929"/>
        <v>-6.9359652254972995E-2</v>
      </c>
      <c r="H166" s="139"/>
      <c r="I166" s="86"/>
      <c r="J166" s="79">
        <f t="shared" si="930"/>
        <v>2.1040000000000001</v>
      </c>
    </row>
    <row r="167" spans="5:16" x14ac:dyDescent="0.25">
      <c r="E167" s="170">
        <f t="shared" si="929"/>
        <v>-0.13976563758685409</v>
      </c>
      <c r="F167" s="170">
        <f t="shared" si="929"/>
        <v>-2.8435528479551865E-2</v>
      </c>
      <c r="G167" s="170">
        <f t="shared" si="929"/>
        <v>-0.9897762309077891</v>
      </c>
      <c r="H167" s="139"/>
      <c r="I167" s="86"/>
      <c r="J167" s="79">
        <f t="shared" si="930"/>
        <v>2.2010000000000001</v>
      </c>
    </row>
    <row r="168" spans="5:16" x14ac:dyDescent="0.25">
      <c r="E168" s="170">
        <f t="shared" si="929"/>
        <v>-0.42495023251139558</v>
      </c>
      <c r="F168" s="170">
        <f t="shared" si="929"/>
        <v>-0.87000995181435825</v>
      </c>
      <c r="G168" s="170">
        <f t="shared" si="929"/>
        <v>-0.24999996726497561</v>
      </c>
      <c r="H168" s="139"/>
      <c r="I168" s="86"/>
      <c r="J168" s="79">
        <f t="shared" si="930"/>
        <v>3.101</v>
      </c>
    </row>
    <row r="169" spans="5:16" x14ac:dyDescent="0.25">
      <c r="E169" s="170">
        <f t="shared" si="929"/>
        <v>-0.42495023251139574</v>
      </c>
      <c r="F169" s="170">
        <f t="shared" si="929"/>
        <v>-0.87000995181435825</v>
      </c>
      <c r="G169" s="170">
        <f t="shared" si="929"/>
        <v>-0.24999996726497567</v>
      </c>
      <c r="H169" s="139"/>
      <c r="I169" s="86"/>
      <c r="J169" s="79">
        <f t="shared" si="930"/>
        <v>3.1019999999999999</v>
      </c>
    </row>
    <row r="170" spans="5:16" x14ac:dyDescent="0.25">
      <c r="E170" s="170">
        <f t="shared" si="929"/>
        <v>-0.56538891528868818</v>
      </c>
      <c r="F170" s="170">
        <f t="shared" si="929"/>
        <v>-0.78530959840599435</v>
      </c>
      <c r="G170" s="170">
        <f t="shared" si="929"/>
        <v>-0.2522383973944024</v>
      </c>
      <c r="H170" s="139"/>
      <c r="I170" s="86"/>
      <c r="J170" s="79">
        <f t="shared" si="930"/>
        <v>3.1030000000000002</v>
      </c>
    </row>
    <row r="171" spans="5:16" x14ac:dyDescent="0.25">
      <c r="E171" s="170">
        <f t="shared" si="929"/>
        <v>-0.68978836977836078</v>
      </c>
      <c r="F171" s="170">
        <f t="shared" si="929"/>
        <v>-0.70177189121362726</v>
      </c>
      <c r="G171" s="170">
        <f t="shared" si="929"/>
        <v>-0.17806801403104508</v>
      </c>
      <c r="H171" s="139"/>
      <c r="I171" s="86"/>
      <c r="J171" s="79">
        <f t="shared" si="930"/>
        <v>3.1040000000000001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1613</v>
      </c>
    </row>
    <row r="172" spans="5:16" x14ac:dyDescent="0.25">
      <c r="E172" s="170">
        <f t="shared" si="929"/>
        <v>-0.80842166800241833</v>
      </c>
      <c r="F172" s="170">
        <f t="shared" si="929"/>
        <v>-0.5729882356934014</v>
      </c>
      <c r="G172" s="170">
        <f t="shared" si="929"/>
        <v>-0.13468069075094252</v>
      </c>
      <c r="H172" s="139"/>
      <c r="I172" s="86"/>
      <c r="J172" s="79">
        <f t="shared" si="930"/>
        <v>3.105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</row>
    <row r="173" spans="5:16" x14ac:dyDescent="0.25">
      <c r="E173" s="170">
        <f t="shared" si="929"/>
        <v>-0.89286989229634917</v>
      </c>
      <c r="F173" s="170">
        <f t="shared" si="929"/>
        <v>-0.44494111303606798</v>
      </c>
      <c r="G173" s="170">
        <f t="shared" si="929"/>
        <v>-6.9359652254973217E-2</v>
      </c>
      <c r="H173" s="139"/>
      <c r="I173" s="86"/>
      <c r="J173" s="79">
        <f t="shared" si="930"/>
        <v>3.1059999999999999</v>
      </c>
      <c r="O173">
        <f>IF($J24="","",IFERROR(INDEX(Settings!$AK$14:$AK$32,MATCH((((ROUND($H24,6)*2)*1000000)+ROUND($I24,6)),Settings!$AI$14:$AI$32,0)),"Undefined"))</f>
        <v>1613</v>
      </c>
    </row>
    <row r="174" spans="5:16" x14ac:dyDescent="0.25">
      <c r="E174" s="170">
        <f t="shared" ref="E174:G193" si="933">E29*-1</f>
        <v>0.12150818158303218</v>
      </c>
      <c r="F174" s="170">
        <f t="shared" si="933"/>
        <v>-0.22852365285931683</v>
      </c>
      <c r="G174" s="170">
        <f t="shared" si="933"/>
        <v>-0.96592582628906831</v>
      </c>
      <c r="H174" s="139"/>
      <c r="I174" s="86"/>
      <c r="J174" s="79">
        <f t="shared" si="930"/>
        <v>3.2010000000000001</v>
      </c>
    </row>
    <row r="175" spans="5:16" x14ac:dyDescent="0.25">
      <c r="E175" s="170">
        <f t="shared" si="933"/>
        <v>-4.7704323101563355E-2</v>
      </c>
      <c r="F175" s="170">
        <f t="shared" si="933"/>
        <v>6.4468311345015961E-2</v>
      </c>
      <c r="G175" s="170">
        <f t="shared" si="933"/>
        <v>-0.99677887938586651</v>
      </c>
      <c r="H175" s="139"/>
      <c r="I175" s="86"/>
      <c r="J175" s="79">
        <f t="shared" si="930"/>
        <v>3.202</v>
      </c>
    </row>
    <row r="176" spans="5:16" x14ac:dyDescent="0.25">
      <c r="E176" s="170">
        <f t="shared" si="933"/>
        <v>-0.96384658476269958</v>
      </c>
      <c r="F176" s="170">
        <f t="shared" si="933"/>
        <v>6.8444282669968229E-2</v>
      </c>
      <c r="G176" s="170">
        <f t="shared" si="933"/>
        <v>-0.25751726390879848</v>
      </c>
      <c r="H176" s="139"/>
      <c r="I176" s="86"/>
      <c r="J176" s="79">
        <f t="shared" si="930"/>
        <v>4.101</v>
      </c>
    </row>
    <row r="177" spans="5:10" x14ac:dyDescent="0.25">
      <c r="E177" s="170">
        <f t="shared" si="933"/>
        <v>-0.95439913049683767</v>
      </c>
      <c r="F177" s="170">
        <f t="shared" si="933"/>
        <v>0.22611765169256115</v>
      </c>
      <c r="G177" s="170">
        <f t="shared" si="933"/>
        <v>-0.19491820669173526</v>
      </c>
      <c r="H177" s="139"/>
      <c r="I177" s="86"/>
      <c r="J177" s="79">
        <f t="shared" si="930"/>
        <v>4.1020000000000003</v>
      </c>
    </row>
    <row r="178" spans="5:10" x14ac:dyDescent="0.25">
      <c r="E178" s="170">
        <f t="shared" si="933"/>
        <v>-0.91523082008592249</v>
      </c>
      <c r="F178" s="170">
        <f t="shared" si="933"/>
        <v>0.37848232105669177</v>
      </c>
      <c r="G178" s="170">
        <f t="shared" si="933"/>
        <v>-0.13821605772264378</v>
      </c>
      <c r="H178" s="139"/>
      <c r="I178" s="86"/>
      <c r="J178" s="79">
        <f t="shared" si="930"/>
        <v>4.1029999999999998</v>
      </c>
    </row>
    <row r="179" spans="5:10" x14ac:dyDescent="0.25">
      <c r="E179" s="170">
        <f t="shared" si="933"/>
        <v>-0.83176500339841664</v>
      </c>
      <c r="F179" s="170">
        <f t="shared" si="933"/>
        <v>0.55077782976505252</v>
      </c>
      <c r="G179" s="170">
        <f t="shared" si="933"/>
        <v>-6.9359652254973203E-2</v>
      </c>
      <c r="H179" s="139"/>
      <c r="I179" s="86"/>
      <c r="J179" s="79">
        <f t="shared" si="930"/>
        <v>4.1040000000000001</v>
      </c>
    </row>
    <row r="180" spans="5:10" x14ac:dyDescent="0.25">
      <c r="E180" s="170">
        <f t="shared" si="933"/>
        <v>6.6382055960824129E-3</v>
      </c>
      <c r="F180" s="170">
        <f t="shared" si="933"/>
        <v>1.4235660982137854E-2</v>
      </c>
      <c r="G180" s="170">
        <f t="shared" si="933"/>
        <v>-0.99987663248166059</v>
      </c>
      <c r="H180" s="139"/>
      <c r="I180" s="86"/>
      <c r="J180" s="79">
        <f t="shared" si="930"/>
        <v>4.2009999999999996</v>
      </c>
    </row>
    <row r="181" spans="5:10" x14ac:dyDescent="0.25">
      <c r="E181" s="170">
        <f t="shared" si="933"/>
        <v>-0.54368569061935235</v>
      </c>
      <c r="F181" s="170">
        <f t="shared" si="933"/>
        <v>0.79034855119405834</v>
      </c>
      <c r="G181" s="170">
        <f t="shared" si="933"/>
        <v>-0.28240934375691407</v>
      </c>
      <c r="H181" s="139"/>
      <c r="I181" s="86"/>
      <c r="J181" s="79">
        <f t="shared" si="930"/>
        <v>5.101</v>
      </c>
    </row>
    <row r="182" spans="5:10" x14ac:dyDescent="0.25">
      <c r="E182" s="170">
        <f t="shared" si="933"/>
        <v>-0.54097560356081209</v>
      </c>
      <c r="F182" s="170">
        <f t="shared" si="933"/>
        <v>0.80302267260615146</v>
      </c>
      <c r="G182" s="170">
        <f t="shared" si="933"/>
        <v>-0.2499999672649757</v>
      </c>
      <c r="H182" s="139"/>
      <c r="I182" s="86"/>
      <c r="J182" s="79">
        <f t="shared" si="930"/>
        <v>5.1020000000000003</v>
      </c>
    </row>
    <row r="183" spans="5:10" x14ac:dyDescent="0.25">
      <c r="E183" s="170">
        <f t="shared" si="933"/>
        <v>-0.45184627694403606</v>
      </c>
      <c r="F183" s="170">
        <f t="shared" si="933"/>
        <v>0.85305569363167266</v>
      </c>
      <c r="G183" s="170">
        <f t="shared" si="933"/>
        <v>-0.26101901381776682</v>
      </c>
      <c r="H183" s="139"/>
      <c r="I183" s="86"/>
      <c r="J183" s="79">
        <f t="shared" si="930"/>
        <v>5.1029999999999998</v>
      </c>
    </row>
    <row r="184" spans="5:10" x14ac:dyDescent="0.25">
      <c r="E184" s="170">
        <f t="shared" si="933"/>
        <v>-0.30235004464090615</v>
      </c>
      <c r="F184" s="170">
        <f t="shared" si="933"/>
        <v>0.92977686191594944</v>
      </c>
      <c r="G184" s="170">
        <f t="shared" si="933"/>
        <v>-0.20999866083232899</v>
      </c>
      <c r="H184" s="139"/>
      <c r="I184" s="86"/>
      <c r="J184" s="79">
        <f t="shared" si="930"/>
        <v>5.1040000000000001</v>
      </c>
    </row>
    <row r="185" spans="5:10" x14ac:dyDescent="0.25">
      <c r="E185" s="170">
        <f t="shared" si="933"/>
        <v>-0.16718887382191552</v>
      </c>
      <c r="F185" s="170">
        <f t="shared" si="933"/>
        <v>0.9761296794267712</v>
      </c>
      <c r="G185" s="170">
        <f t="shared" si="933"/>
        <v>-0.13863163207705756</v>
      </c>
      <c r="H185" s="139"/>
      <c r="I185" s="86"/>
      <c r="J185" s="79">
        <f t="shared" si="930"/>
        <v>5.1050000000000004</v>
      </c>
    </row>
    <row r="186" spans="5:10" x14ac:dyDescent="0.25">
      <c r="E186" s="170">
        <f t="shared" si="933"/>
        <v>5.9154772323995297E-2</v>
      </c>
      <c r="F186" s="170">
        <f t="shared" si="933"/>
        <v>0.99503846647565886</v>
      </c>
      <c r="G186" s="170">
        <f t="shared" si="933"/>
        <v>-7.9994769485670095E-2</v>
      </c>
      <c r="H186" s="139"/>
      <c r="I186" s="86"/>
      <c r="J186" s="79">
        <f t="shared" si="930"/>
        <v>5.1059999999999999</v>
      </c>
    </row>
    <row r="187" spans="5:10" x14ac:dyDescent="0.25">
      <c r="E187" s="170">
        <f t="shared" si="933"/>
        <v>-0.25660481229257065</v>
      </c>
      <c r="F187" s="170">
        <f t="shared" si="933"/>
        <v>3.3782664431261961E-2</v>
      </c>
      <c r="G187" s="170">
        <f t="shared" si="933"/>
        <v>-0.96592582628906831</v>
      </c>
      <c r="H187" s="139"/>
      <c r="I187" s="86"/>
      <c r="J187" s="79">
        <f t="shared" si="930"/>
        <v>5.2009999999999996</v>
      </c>
    </row>
    <row r="188" spans="5:10" x14ac:dyDescent="0.25">
      <c r="E188" s="170">
        <f t="shared" si="933"/>
        <v>-6.6069608351706083E-2</v>
      </c>
      <c r="F188" s="170">
        <f t="shared" si="933"/>
        <v>-5.1995634503217807E-3</v>
      </c>
      <c r="G188" s="170">
        <f t="shared" si="933"/>
        <v>-0.997801468926649</v>
      </c>
      <c r="H188" s="139"/>
      <c r="I188" s="86"/>
      <c r="J188" s="79">
        <f t="shared" si="930"/>
        <v>5.202</v>
      </c>
    </row>
    <row r="189" spans="5:10" x14ac:dyDescent="0.25">
      <c r="E189" s="170">
        <f t="shared" si="933"/>
        <v>0.5664378346281862</v>
      </c>
      <c r="F189" s="170">
        <f t="shared" si="933"/>
        <v>0.79317512845876292</v>
      </c>
      <c r="G189" s="170">
        <f t="shared" si="933"/>
        <v>-0.22365463352266302</v>
      </c>
      <c r="H189" s="139"/>
      <c r="I189" s="86"/>
      <c r="J189" s="79">
        <f t="shared" si="930"/>
        <v>6.101</v>
      </c>
    </row>
    <row r="190" spans="5:10" x14ac:dyDescent="0.25">
      <c r="E190" s="170">
        <f t="shared" si="933"/>
        <v>0.68427345216918778</v>
      </c>
      <c r="F190" s="170">
        <f t="shared" si="933"/>
        <v>0.71402254121389452</v>
      </c>
      <c r="G190" s="170">
        <f t="shared" si="933"/>
        <v>-0.14812715245664662</v>
      </c>
      <c r="H190" s="139"/>
      <c r="I190" s="86"/>
      <c r="J190" s="79">
        <f t="shared" si="930"/>
        <v>6.1020000000000003</v>
      </c>
    </row>
    <row r="191" spans="5:10" x14ac:dyDescent="0.25">
      <c r="E191" s="170">
        <f t="shared" si="933"/>
        <v>0.82724922314912541</v>
      </c>
      <c r="F191" s="170">
        <f t="shared" si="933"/>
        <v>0.5529394316605879</v>
      </c>
      <c r="G191" s="170">
        <f t="shared" si="933"/>
        <v>-9.9582667739094063E-2</v>
      </c>
      <c r="H191" s="139"/>
      <c r="I191" s="86"/>
      <c r="J191" s="79">
        <f t="shared" si="930"/>
        <v>6.1029999999999998</v>
      </c>
    </row>
    <row r="192" spans="5:10" x14ac:dyDescent="0.25">
      <c r="E192" s="170">
        <f t="shared" si="933"/>
        <v>0.1822561342311364</v>
      </c>
      <c r="F192" s="170">
        <f t="shared" si="933"/>
        <v>-0.19544577555952908</v>
      </c>
      <c r="G192" s="170">
        <f t="shared" si="933"/>
        <v>-0.96363045320862306</v>
      </c>
      <c r="H192" s="139"/>
      <c r="I192" s="86"/>
      <c r="J192" s="79">
        <f t="shared" si="930"/>
        <v>6.2009999999999996</v>
      </c>
    </row>
    <row r="193" spans="5:10" x14ac:dyDescent="0.25">
      <c r="E193" s="170">
        <f t="shared" si="933"/>
        <v>0</v>
      </c>
      <c r="F193" s="170">
        <f t="shared" si="933"/>
        <v>0</v>
      </c>
      <c r="G193" s="170">
        <f t="shared" si="933"/>
        <v>0</v>
      </c>
      <c r="H193" s="139"/>
      <c r="I193" s="86"/>
      <c r="J193" s="79">
        <f t="shared" si="930"/>
        <v>0</v>
      </c>
    </row>
    <row r="194" spans="5:10" x14ac:dyDescent="0.25">
      <c r="E194" s="170">
        <f t="shared" ref="E194:G213" si="934">E49*-1</f>
        <v>0</v>
      </c>
      <c r="F194" s="170">
        <f t="shared" si="934"/>
        <v>0</v>
      </c>
      <c r="G194" s="170">
        <f t="shared" si="934"/>
        <v>0</v>
      </c>
      <c r="H194" s="139"/>
      <c r="I194" s="86"/>
      <c r="J194" s="79">
        <f t="shared" si="930"/>
        <v>0</v>
      </c>
    </row>
    <row r="195" spans="5:10" x14ac:dyDescent="0.25">
      <c r="E195" s="170">
        <f t="shared" si="934"/>
        <v>0</v>
      </c>
      <c r="F195" s="170">
        <f t="shared" si="934"/>
        <v>0</v>
      </c>
      <c r="G195" s="170">
        <f t="shared" si="934"/>
        <v>0</v>
      </c>
      <c r="H195" s="139"/>
      <c r="I195" s="86"/>
      <c r="J195" s="79">
        <f t="shared" si="930"/>
        <v>0</v>
      </c>
    </row>
    <row r="196" spans="5:10" x14ac:dyDescent="0.25">
      <c r="E196" s="170">
        <f t="shared" si="934"/>
        <v>0</v>
      </c>
      <c r="F196" s="170">
        <f t="shared" si="934"/>
        <v>0</v>
      </c>
      <c r="G196" s="170">
        <f t="shared" si="934"/>
        <v>0</v>
      </c>
      <c r="H196" s="139"/>
      <c r="I196" s="86"/>
      <c r="J196" s="79">
        <f t="shared" si="930"/>
        <v>0</v>
      </c>
    </row>
    <row r="197" spans="5:10" x14ac:dyDescent="0.25">
      <c r="E197" s="170">
        <f t="shared" si="934"/>
        <v>0</v>
      </c>
      <c r="F197" s="170">
        <f t="shared" si="934"/>
        <v>0</v>
      </c>
      <c r="G197" s="170">
        <f t="shared" si="934"/>
        <v>0</v>
      </c>
      <c r="H197" s="139"/>
      <c r="I197" s="86"/>
      <c r="J197" s="79">
        <f t="shared" si="930"/>
        <v>0</v>
      </c>
    </row>
    <row r="198" spans="5:10" x14ac:dyDescent="0.25">
      <c r="E198" s="170">
        <f t="shared" si="934"/>
        <v>0</v>
      </c>
      <c r="F198" s="170">
        <f t="shared" si="934"/>
        <v>0</v>
      </c>
      <c r="G198" s="170">
        <f t="shared" si="934"/>
        <v>0</v>
      </c>
      <c r="H198" s="139"/>
      <c r="I198" s="86"/>
      <c r="J198" s="79">
        <f t="shared" si="930"/>
        <v>0</v>
      </c>
    </row>
    <row r="199" spans="5:10" x14ac:dyDescent="0.25">
      <c r="E199" s="170">
        <f t="shared" si="934"/>
        <v>0</v>
      </c>
      <c r="F199" s="170">
        <f t="shared" si="934"/>
        <v>0</v>
      </c>
      <c r="G199" s="170">
        <f t="shared" si="934"/>
        <v>0</v>
      </c>
      <c r="H199" s="139"/>
      <c r="I199" s="86"/>
      <c r="J199" s="79">
        <f t="shared" si="930"/>
        <v>0</v>
      </c>
    </row>
    <row r="200" spans="5:10" x14ac:dyDescent="0.25">
      <c r="E200" s="170">
        <f t="shared" si="934"/>
        <v>0</v>
      </c>
      <c r="F200" s="170">
        <f t="shared" si="934"/>
        <v>0</v>
      </c>
      <c r="G200" s="170">
        <f t="shared" si="934"/>
        <v>0</v>
      </c>
      <c r="H200" s="139"/>
      <c r="I200" s="86"/>
      <c r="J200" s="79">
        <f t="shared" si="930"/>
        <v>0</v>
      </c>
    </row>
    <row r="201" spans="5:10" x14ac:dyDescent="0.25">
      <c r="E201" s="170">
        <f t="shared" si="934"/>
        <v>0</v>
      </c>
      <c r="F201" s="170">
        <f t="shared" si="934"/>
        <v>0</v>
      </c>
      <c r="G201" s="170">
        <f t="shared" si="934"/>
        <v>0</v>
      </c>
      <c r="H201" s="139"/>
      <c r="I201" s="86"/>
      <c r="J201" s="79">
        <f t="shared" si="930"/>
        <v>0</v>
      </c>
    </row>
    <row r="202" spans="5:10" x14ac:dyDescent="0.25">
      <c r="E202" s="170">
        <f t="shared" si="934"/>
        <v>0</v>
      </c>
      <c r="F202" s="170">
        <f t="shared" si="934"/>
        <v>0</v>
      </c>
      <c r="G202" s="170">
        <f t="shared" si="934"/>
        <v>0</v>
      </c>
      <c r="H202" s="139"/>
      <c r="I202" s="86"/>
      <c r="J202" s="79">
        <f t="shared" si="930"/>
        <v>0</v>
      </c>
    </row>
    <row r="203" spans="5:10" x14ac:dyDescent="0.25">
      <c r="E203" s="170">
        <f t="shared" si="934"/>
        <v>0</v>
      </c>
      <c r="F203" s="170">
        <f t="shared" si="934"/>
        <v>0</v>
      </c>
      <c r="G203" s="170">
        <f t="shared" si="934"/>
        <v>0</v>
      </c>
      <c r="H203" s="139"/>
      <c r="I203" s="86"/>
      <c r="J203" s="79">
        <f t="shared" si="930"/>
        <v>0</v>
      </c>
    </row>
    <row r="204" spans="5:10" x14ac:dyDescent="0.25">
      <c r="E204" s="170">
        <f t="shared" si="934"/>
        <v>0</v>
      </c>
      <c r="F204" s="170">
        <f t="shared" si="934"/>
        <v>0</v>
      </c>
      <c r="G204" s="170">
        <f t="shared" si="934"/>
        <v>0</v>
      </c>
      <c r="H204" s="139"/>
      <c r="I204" s="86"/>
      <c r="J204" s="79">
        <f t="shared" si="930"/>
        <v>0</v>
      </c>
    </row>
    <row r="205" spans="5:10" x14ac:dyDescent="0.25">
      <c r="E205" s="170">
        <f t="shared" si="934"/>
        <v>0</v>
      </c>
      <c r="F205" s="170">
        <f t="shared" si="934"/>
        <v>0</v>
      </c>
      <c r="G205" s="170">
        <f t="shared" si="934"/>
        <v>0</v>
      </c>
      <c r="H205" s="139"/>
      <c r="I205" s="86"/>
      <c r="J205" s="79">
        <f t="shared" si="930"/>
        <v>0</v>
      </c>
    </row>
    <row r="206" spans="5:10" x14ac:dyDescent="0.25">
      <c r="E206" s="170">
        <f t="shared" si="934"/>
        <v>0</v>
      </c>
      <c r="F206" s="170">
        <f t="shared" si="934"/>
        <v>0</v>
      </c>
      <c r="G206" s="170">
        <f t="shared" si="934"/>
        <v>0</v>
      </c>
      <c r="H206" s="139"/>
      <c r="I206" s="86"/>
      <c r="J206" s="79">
        <f t="shared" si="930"/>
        <v>0</v>
      </c>
    </row>
    <row r="207" spans="5:10" x14ac:dyDescent="0.25">
      <c r="E207" s="170">
        <f t="shared" si="934"/>
        <v>0</v>
      </c>
      <c r="F207" s="170">
        <f t="shared" si="934"/>
        <v>0</v>
      </c>
      <c r="G207" s="170">
        <f t="shared" si="934"/>
        <v>0</v>
      </c>
      <c r="H207" s="139"/>
      <c r="I207" s="86"/>
      <c r="J207" s="79">
        <f t="shared" si="930"/>
        <v>0</v>
      </c>
    </row>
    <row r="208" spans="5:10" x14ac:dyDescent="0.25">
      <c r="E208" s="170">
        <f t="shared" si="934"/>
        <v>0</v>
      </c>
      <c r="F208" s="170">
        <f t="shared" si="934"/>
        <v>0</v>
      </c>
      <c r="G208" s="170">
        <f t="shared" si="934"/>
        <v>0</v>
      </c>
      <c r="H208" s="139"/>
      <c r="I208" s="86"/>
      <c r="J208" s="79">
        <f t="shared" si="930"/>
        <v>0</v>
      </c>
    </row>
    <row r="209" spans="5:10" x14ac:dyDescent="0.25">
      <c r="E209" s="170">
        <f t="shared" si="934"/>
        <v>0</v>
      </c>
      <c r="F209" s="170">
        <f t="shared" si="934"/>
        <v>0</v>
      </c>
      <c r="G209" s="170">
        <f t="shared" si="934"/>
        <v>0</v>
      </c>
      <c r="H209" s="139"/>
      <c r="I209" s="86"/>
      <c r="J209" s="79">
        <f t="shared" si="930"/>
        <v>0</v>
      </c>
    </row>
    <row r="210" spans="5:10" x14ac:dyDescent="0.25">
      <c r="E210" s="170">
        <f t="shared" si="934"/>
        <v>0</v>
      </c>
      <c r="F210" s="170">
        <f t="shared" si="934"/>
        <v>0</v>
      </c>
      <c r="G210" s="170">
        <f t="shared" si="934"/>
        <v>0</v>
      </c>
      <c r="H210" s="139"/>
      <c r="I210" s="86"/>
      <c r="J210" s="79">
        <f t="shared" si="930"/>
        <v>0</v>
      </c>
    </row>
    <row r="211" spans="5:10" x14ac:dyDescent="0.25">
      <c r="E211" s="170">
        <f t="shared" si="934"/>
        <v>0</v>
      </c>
      <c r="F211" s="170">
        <f t="shared" si="934"/>
        <v>0</v>
      </c>
      <c r="G211" s="170">
        <f t="shared" si="934"/>
        <v>0</v>
      </c>
      <c r="H211" s="139"/>
      <c r="I211" s="86"/>
      <c r="J211" s="79">
        <f t="shared" si="930"/>
        <v>0</v>
      </c>
    </row>
    <row r="212" spans="5:10" x14ac:dyDescent="0.25">
      <c r="E212" s="170">
        <f t="shared" si="934"/>
        <v>0</v>
      </c>
      <c r="F212" s="170">
        <f t="shared" si="934"/>
        <v>0</v>
      </c>
      <c r="G212" s="170">
        <f t="shared" si="934"/>
        <v>0</v>
      </c>
      <c r="H212" s="139"/>
      <c r="I212" s="86"/>
      <c r="J212" s="79">
        <f t="shared" si="930"/>
        <v>0</v>
      </c>
    </row>
    <row r="213" spans="5:10" x14ac:dyDescent="0.25">
      <c r="E213" s="170">
        <f t="shared" si="934"/>
        <v>0</v>
      </c>
      <c r="F213" s="170">
        <f t="shared" si="934"/>
        <v>0</v>
      </c>
      <c r="G213" s="170">
        <f t="shared" si="934"/>
        <v>0</v>
      </c>
      <c r="H213" s="139"/>
      <c r="I213" s="86"/>
      <c r="J213" s="79">
        <f t="shared" si="930"/>
        <v>0</v>
      </c>
    </row>
    <row r="214" spans="5:10" x14ac:dyDescent="0.25">
      <c r="E214" s="170">
        <f t="shared" ref="E214:G233" si="935">E69*-1</f>
        <v>0</v>
      </c>
      <c r="F214" s="170">
        <f t="shared" si="935"/>
        <v>0</v>
      </c>
      <c r="G214" s="170">
        <f t="shared" si="935"/>
        <v>0</v>
      </c>
      <c r="H214" s="139"/>
      <c r="I214" s="86"/>
      <c r="J214" s="79">
        <f t="shared" si="930"/>
        <v>0</v>
      </c>
    </row>
    <row r="215" spans="5:10" x14ac:dyDescent="0.25">
      <c r="E215" s="170">
        <f t="shared" si="935"/>
        <v>0</v>
      </c>
      <c r="F215" s="170">
        <f t="shared" si="935"/>
        <v>0</v>
      </c>
      <c r="G215" s="170">
        <f t="shared" si="935"/>
        <v>0</v>
      </c>
      <c r="H215" s="139"/>
      <c r="I215" s="86"/>
      <c r="J215" s="79">
        <f t="shared" si="930"/>
        <v>0</v>
      </c>
    </row>
    <row r="216" spans="5:10" x14ac:dyDescent="0.25">
      <c r="E216" s="170">
        <f t="shared" si="935"/>
        <v>0</v>
      </c>
      <c r="F216" s="170">
        <f t="shared" si="935"/>
        <v>0</v>
      </c>
      <c r="G216" s="170">
        <f t="shared" si="935"/>
        <v>0</v>
      </c>
      <c r="H216" s="139"/>
      <c r="I216" s="86"/>
      <c r="J216" s="79">
        <f t="shared" si="930"/>
        <v>0</v>
      </c>
    </row>
    <row r="217" spans="5:10" x14ac:dyDescent="0.25">
      <c r="E217" s="170">
        <f t="shared" si="935"/>
        <v>0</v>
      </c>
      <c r="F217" s="170">
        <f t="shared" si="935"/>
        <v>0</v>
      </c>
      <c r="G217" s="170">
        <f t="shared" si="935"/>
        <v>0</v>
      </c>
      <c r="H217" s="139"/>
      <c r="I217" s="86"/>
      <c r="J217" s="79">
        <f t="shared" si="930"/>
        <v>0</v>
      </c>
    </row>
    <row r="218" spans="5:10" x14ac:dyDescent="0.25">
      <c r="E218" s="170">
        <f t="shared" si="935"/>
        <v>0</v>
      </c>
      <c r="F218" s="170">
        <f t="shared" si="935"/>
        <v>0</v>
      </c>
      <c r="G218" s="170">
        <f t="shared" si="935"/>
        <v>0</v>
      </c>
      <c r="H218" s="139"/>
      <c r="I218" s="86"/>
      <c r="J218" s="79">
        <f t="shared" si="930"/>
        <v>0</v>
      </c>
    </row>
    <row r="219" spans="5:10" x14ac:dyDescent="0.25">
      <c r="E219" s="170">
        <f t="shared" si="935"/>
        <v>0</v>
      </c>
      <c r="F219" s="170">
        <f t="shared" si="935"/>
        <v>0</v>
      </c>
      <c r="G219" s="170">
        <f t="shared" si="935"/>
        <v>0</v>
      </c>
      <c r="H219" s="139"/>
      <c r="I219" s="86"/>
      <c r="J219" s="79">
        <f t="shared" ref="J219:J282" si="936">J74</f>
        <v>0</v>
      </c>
    </row>
    <row r="220" spans="5:10" x14ac:dyDescent="0.25">
      <c r="E220" s="170">
        <f t="shared" si="935"/>
        <v>0</v>
      </c>
      <c r="F220" s="170">
        <f t="shared" si="935"/>
        <v>0</v>
      </c>
      <c r="G220" s="170">
        <f t="shared" si="935"/>
        <v>0</v>
      </c>
      <c r="H220" s="139"/>
      <c r="I220" s="86"/>
      <c r="J220" s="79">
        <f t="shared" si="936"/>
        <v>0</v>
      </c>
    </row>
    <row r="221" spans="5:10" x14ac:dyDescent="0.25">
      <c r="E221" s="170">
        <f t="shared" si="935"/>
        <v>0</v>
      </c>
      <c r="F221" s="170">
        <f t="shared" si="935"/>
        <v>0</v>
      </c>
      <c r="G221" s="170">
        <f t="shared" si="935"/>
        <v>0</v>
      </c>
      <c r="H221" s="139"/>
      <c r="I221" s="86"/>
      <c r="J221" s="79">
        <f t="shared" si="936"/>
        <v>0</v>
      </c>
    </row>
    <row r="222" spans="5:10" x14ac:dyDescent="0.25">
      <c r="E222" s="170">
        <f t="shared" si="935"/>
        <v>0</v>
      </c>
      <c r="F222" s="170">
        <f t="shared" si="935"/>
        <v>0</v>
      </c>
      <c r="G222" s="170">
        <f t="shared" si="935"/>
        <v>0</v>
      </c>
      <c r="H222" s="139"/>
      <c r="I222" s="86"/>
      <c r="J222" s="79">
        <f t="shared" si="936"/>
        <v>0</v>
      </c>
    </row>
    <row r="223" spans="5:10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</row>
    <row r="224" spans="5:10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</row>
    <row r="225" spans="5:10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</row>
    <row r="226" spans="5:10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</mergeCells>
  <conditionalFormatting sqref="HI9:HI40 HM9:HM40 AV9:AV40 AV54:AV150 HM54:HM150 HI54:HI150 M9:M150">
    <cfRule type="cellIs" dxfId="39" priority="136" stopIfTrue="1" operator="between">
      <formula>9</formula>
      <formula>9.99</formula>
    </cfRule>
    <cfRule type="cellIs" dxfId="38" priority="137" stopIfTrue="1" operator="between">
      <formula>8</formula>
      <formula>8.99</formula>
    </cfRule>
    <cfRule type="cellIs" dxfId="37" priority="138" stopIfTrue="1" operator="between">
      <formula>7</formula>
      <formula>7.99</formula>
    </cfRule>
    <cfRule type="cellIs" dxfId="36" priority="139" stopIfTrue="1" operator="between">
      <formula>6</formula>
      <formula>6.99</formula>
    </cfRule>
    <cfRule type="cellIs" dxfId="35" priority="140" stopIfTrue="1" operator="between">
      <formula>5</formula>
      <formula>5.99</formula>
    </cfRule>
    <cfRule type="cellIs" dxfId="34" priority="141" stopIfTrue="1" operator="between">
      <formula>4</formula>
      <formula>4.99</formula>
    </cfRule>
    <cfRule type="cellIs" dxfId="33" priority="142" stopIfTrue="1" operator="between">
      <formula>3</formula>
      <formula>3.99</formula>
    </cfRule>
    <cfRule type="cellIs" dxfId="32" priority="143" stopIfTrue="1" operator="between">
      <formula>2</formula>
      <formula>2.99</formula>
    </cfRule>
    <cfRule type="cellIs" dxfId="31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0" priority="22" stopIfTrue="1" operator="between">
      <formula>9</formula>
      <formula>9.99</formula>
    </cfRule>
    <cfRule type="cellIs" dxfId="29" priority="23" stopIfTrue="1" operator="between">
      <formula>8</formula>
      <formula>8.99</formula>
    </cfRule>
    <cfRule type="cellIs" dxfId="28" priority="24" stopIfTrue="1" operator="between">
      <formula>7</formula>
      <formula>7.99</formula>
    </cfRule>
    <cfRule type="cellIs" dxfId="27" priority="25" stopIfTrue="1" operator="between">
      <formula>6</formula>
      <formula>6.99</formula>
    </cfRule>
    <cfRule type="cellIs" dxfId="26" priority="26" stopIfTrue="1" operator="between">
      <formula>5</formula>
      <formula>5.99</formula>
    </cfRule>
    <cfRule type="cellIs" dxfId="25" priority="27" stopIfTrue="1" operator="between">
      <formula>4</formula>
      <formula>4.99</formula>
    </cfRule>
    <cfRule type="cellIs" dxfId="24" priority="28" stopIfTrue="1" operator="between">
      <formula>3</formula>
      <formula>3.99</formula>
    </cfRule>
    <cfRule type="cellIs" dxfId="23" priority="29" stopIfTrue="1" operator="between">
      <formula>2</formula>
      <formula>2.99</formula>
    </cfRule>
    <cfRule type="cellIs" dxfId="22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7E20D0DC-7C1F-4422-B41C-A2895B9315AE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431127A9-8047-494E-A1DF-72DEECBAC68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29" t="str">
        <f>CONCATENATE(Settings!$C$19," ",Settings!$B$28)</f>
        <v>7.875  Job# --- Assy# --- Post Braze --- yy.mm.dd</v>
      </c>
      <c r="D1" s="1229"/>
      <c r="E1" s="1229"/>
      <c r="F1" s="1229"/>
      <c r="G1" s="1229"/>
      <c r="H1" s="1229"/>
      <c r="I1" s="1229"/>
      <c r="J1" s="1229"/>
      <c r="K1" s="1229"/>
      <c r="M1" s="107" t="s">
        <v>319</v>
      </c>
      <c r="N1" s="1261" t="s">
        <v>321</v>
      </c>
      <c r="O1" s="1261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270" t="str">
        <f>Settings!B28</f>
        <v xml:space="preserve"> Job# --- Assy# --- Post Braze --- yy.mm.dd</v>
      </c>
      <c r="C2" s="1271"/>
      <c r="D2" s="1271"/>
      <c r="E2" s="1271"/>
      <c r="F2" s="1271"/>
      <c r="G2" s="1271"/>
      <c r="H2" s="1271"/>
      <c r="I2" s="1271"/>
      <c r="J2" s="1271"/>
      <c r="K2" s="1272"/>
      <c r="L2" s="984" t="str" cm="1">
        <f t="array" ref="L2">IF(OR($K$9:$K$150="Undefined"),"Undefined Element","")</f>
        <v/>
      </c>
      <c r="M2" s="1267" t="s">
        <v>0</v>
      </c>
      <c r="N2" s="1142" t="s">
        <v>1</v>
      </c>
      <c r="O2" s="1143"/>
      <c r="P2" s="1143"/>
      <c r="Q2" s="1143"/>
      <c r="R2" s="1143"/>
      <c r="S2" s="1143"/>
      <c r="T2" s="1143"/>
      <c r="U2" s="1143"/>
      <c r="V2" s="1143"/>
      <c r="W2" s="1143"/>
      <c r="X2" s="1143"/>
      <c r="Y2" s="1155"/>
      <c r="Z2" s="1142" t="s">
        <v>2</v>
      </c>
      <c r="AA2" s="1143"/>
      <c r="AB2" s="1143"/>
      <c r="AC2" s="1143"/>
      <c r="AD2" s="1143"/>
      <c r="AE2" s="1143"/>
      <c r="AF2" s="1143"/>
      <c r="AG2" s="1143"/>
      <c r="AH2" s="1143"/>
      <c r="AI2" s="1143"/>
      <c r="AJ2" s="1143"/>
      <c r="AK2" s="1143"/>
      <c r="AL2" s="1143"/>
      <c r="AM2" s="1143"/>
      <c r="AN2" s="1143"/>
      <c r="AO2" s="1143"/>
      <c r="AP2" s="1143"/>
      <c r="AQ2" s="1144"/>
      <c r="AS2" s="1205" t="s">
        <v>44</v>
      </c>
      <c r="AT2" s="1206"/>
      <c r="AV2" s="1283" t="str">
        <f>M2</f>
        <v>CS-Name</v>
      </c>
      <c r="AW2" s="1297"/>
      <c r="AX2" s="1297"/>
      <c r="AY2" s="1297"/>
      <c r="AZ2" s="1297"/>
      <c r="BA2" s="1297"/>
      <c r="BB2" s="1297"/>
      <c r="BC2" s="1298"/>
      <c r="BF2" s="1290" t="s">
        <v>322</v>
      </c>
      <c r="BG2" s="1291"/>
      <c r="BH2" s="1291"/>
      <c r="BI2" s="1291"/>
      <c r="BJ2" s="1291"/>
      <c r="BK2" s="1292"/>
      <c r="BM2" s="1307" t="s">
        <v>279</v>
      </c>
      <c r="BN2" s="1223"/>
      <c r="BO2" s="1223"/>
      <c r="BP2" s="1224"/>
      <c r="BR2" s="1307" t="s">
        <v>279</v>
      </c>
      <c r="BS2" s="1223"/>
      <c r="BT2" s="1223"/>
      <c r="BU2" s="1224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234"/>
      <c r="C3" s="1235"/>
      <c r="D3" s="1235"/>
      <c r="E3" s="1235"/>
      <c r="F3" s="1235"/>
      <c r="G3" s="1235"/>
      <c r="H3" s="1235"/>
      <c r="I3" s="1235"/>
      <c r="J3" s="1235"/>
      <c r="K3" s="1236"/>
      <c r="L3" s="984"/>
      <c r="M3" s="1268"/>
      <c r="N3" s="1145"/>
      <c r="O3" s="1146"/>
      <c r="P3" s="1146"/>
      <c r="Q3" s="1146"/>
      <c r="R3" s="1146"/>
      <c r="S3" s="1146"/>
      <c r="T3" s="1146"/>
      <c r="U3" s="1146"/>
      <c r="V3" s="1146"/>
      <c r="W3" s="1146"/>
      <c r="X3" s="1146"/>
      <c r="Y3" s="1202"/>
      <c r="Z3" s="1048"/>
      <c r="AA3" s="1049"/>
      <c r="AB3" s="1049"/>
      <c r="AC3" s="1049"/>
      <c r="AD3" s="1049"/>
      <c r="AE3" s="1049"/>
      <c r="AF3" s="1049"/>
      <c r="AG3" s="1049"/>
      <c r="AH3" s="1049"/>
      <c r="AI3" s="1049"/>
      <c r="AJ3" s="1049"/>
      <c r="AK3" s="1049"/>
      <c r="AL3" s="1049"/>
      <c r="AM3" s="1049"/>
      <c r="AN3" s="1049"/>
      <c r="AO3" s="1049"/>
      <c r="AP3" s="1049"/>
      <c r="AQ3" s="1163"/>
      <c r="AS3" s="466">
        <v>100</v>
      </c>
      <c r="AT3" s="463" t="s">
        <v>45</v>
      </c>
      <c r="AV3" s="1284"/>
      <c r="AW3" s="1299"/>
      <c r="AX3" s="1299"/>
      <c r="AY3" s="1299"/>
      <c r="AZ3" s="1299"/>
      <c r="BA3" s="1299"/>
      <c r="BB3" s="1299"/>
      <c r="BC3" s="1300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08" t="s">
        <v>316</v>
      </c>
      <c r="C4" s="913"/>
      <c r="D4" s="913"/>
      <c r="E4" s="913"/>
      <c r="F4" s="913"/>
      <c r="G4" s="913"/>
      <c r="H4" s="913"/>
      <c r="I4" s="913"/>
      <c r="J4" s="913"/>
      <c r="K4" s="1273"/>
      <c r="L4" s="984"/>
      <c r="M4" s="1268"/>
      <c r="N4" s="1186" t="s">
        <v>3</v>
      </c>
      <c r="O4" s="1184"/>
      <c r="P4" s="1184"/>
      <c r="Q4" s="1183" t="s">
        <v>4</v>
      </c>
      <c r="R4" s="1184"/>
      <c r="S4" s="1185"/>
      <c r="T4" s="1258" t="str">
        <f>N4</f>
        <v>Cartesian Coordinates</v>
      </c>
      <c r="U4" s="1167"/>
      <c r="V4" s="1259"/>
      <c r="W4" s="1167" t="str">
        <f>Q4</f>
        <v>Polar XY; Cartesian Z</v>
      </c>
      <c r="X4" s="1167"/>
      <c r="Y4" s="1233"/>
      <c r="Z4" s="1263" t="s">
        <v>3</v>
      </c>
      <c r="AA4" s="1264"/>
      <c r="AB4" s="1264"/>
      <c r="AC4" s="1264"/>
      <c r="AD4" s="1264"/>
      <c r="AE4" s="1264"/>
      <c r="AF4" s="1264"/>
      <c r="AG4" s="1303" t="s">
        <v>31</v>
      </c>
      <c r="AH4" s="1264"/>
      <c r="AI4" s="1264"/>
      <c r="AJ4" s="1304"/>
      <c r="AK4" s="1310" t="s">
        <v>32</v>
      </c>
      <c r="AL4" s="1311"/>
      <c r="AM4" s="1311"/>
      <c r="AN4" s="1311"/>
      <c r="AO4" s="1311"/>
      <c r="AP4" s="1311"/>
      <c r="AQ4" s="1312"/>
      <c r="AS4" s="467">
        <v>125</v>
      </c>
      <c r="AT4" s="464" t="s">
        <v>46</v>
      </c>
      <c r="AV4" s="1284"/>
      <c r="AW4" s="1301"/>
      <c r="AX4" s="1301"/>
      <c r="AY4" s="1301"/>
      <c r="AZ4" s="1302"/>
      <c r="BA4" s="1301" t="str">
        <f>Z2</f>
        <v>PDC Orientation</v>
      </c>
      <c r="BB4" s="1301"/>
      <c r="BC4" s="1302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900" t="s">
        <v>381</v>
      </c>
      <c r="IF4" s="900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234" t="str">
        <f>CONCATENATE(B7," ; ",E7," ; ",H8)</f>
        <v>Absolute-Point ; Incremental-Vector Point ; Radius</v>
      </c>
      <c r="C5" s="1235"/>
      <c r="D5" s="1235"/>
      <c r="E5" s="1235"/>
      <c r="F5" s="1235"/>
      <c r="G5" s="1235"/>
      <c r="H5" s="1235"/>
      <c r="I5" s="1235"/>
      <c r="J5" s="1235"/>
      <c r="K5" s="1236"/>
      <c r="L5" s="843"/>
      <c r="M5" s="1268"/>
      <c r="N5" s="1191" t="s">
        <v>5</v>
      </c>
      <c r="O5" s="1152"/>
      <c r="P5" s="1152"/>
      <c r="Q5" s="1219" t="s">
        <v>6</v>
      </c>
      <c r="R5" s="1152"/>
      <c r="S5" s="1153"/>
      <c r="T5" s="1136" t="str">
        <f>CONCATENATE("Relative to ",M8,"'s θ &amp; Z; Z Axis")</f>
        <v>Relative to 's θ &amp; Z; Z Axis</v>
      </c>
      <c r="U5" s="1137"/>
      <c r="V5" s="1138"/>
      <c r="W5" s="1137" t="str">
        <f>CONCATENATE("Relative to ",M8,"'s θ &amp; Z; Z Axis")</f>
        <v>Relative to 's θ &amp; Z; Z Axis</v>
      </c>
      <c r="X5" s="1137"/>
      <c r="Y5" s="1260"/>
      <c r="Z5" s="1250" t="str">
        <f>N5</f>
        <v>Relative to World_CS</v>
      </c>
      <c r="AA5" s="1137"/>
      <c r="AB5" s="1137"/>
      <c r="AC5" s="1137"/>
      <c r="AD5" s="1137"/>
      <c r="AE5" s="1137"/>
      <c r="AF5" s="1137"/>
      <c r="AG5" s="1136" t="str">
        <f>N5</f>
        <v>Relative to World_CS</v>
      </c>
      <c r="AH5" s="1137"/>
      <c r="AI5" s="1137"/>
      <c r="AJ5" s="1174"/>
      <c r="AK5" s="1151" t="s">
        <v>7</v>
      </c>
      <c r="AL5" s="1152"/>
      <c r="AM5" s="1152"/>
      <c r="AN5" s="1152"/>
      <c r="AO5" s="1152"/>
      <c r="AP5" s="1152"/>
      <c r="AQ5" s="1153"/>
      <c r="AS5" s="171">
        <f>(((AS4*12)/60)/AS3)</f>
        <v>0.25</v>
      </c>
      <c r="AT5" s="464" t="s">
        <v>47</v>
      </c>
      <c r="AV5" s="1284"/>
      <c r="AW5" s="1258" t="str">
        <f>W4</f>
        <v>Polar XY; Cartesian Z</v>
      </c>
      <c r="AX5" s="1167"/>
      <c r="AY5" s="1167"/>
      <c r="AZ5" s="985" t="s">
        <v>104</v>
      </c>
      <c r="BA5" s="1167" t="str">
        <f>AK4</f>
        <v>Polar Z Projection → XZ Plane</v>
      </c>
      <c r="BB5" s="1167"/>
      <c r="BC5" s="1168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37"/>
      <c r="C6" s="1238"/>
      <c r="D6" s="1238"/>
      <c r="E6" s="1238"/>
      <c r="F6" s="1238"/>
      <c r="G6" s="1238"/>
      <c r="H6" s="1238"/>
      <c r="I6" s="1238"/>
      <c r="J6" s="1238"/>
      <c r="K6" s="1239"/>
      <c r="L6" s="984" t="str" cm="1">
        <f t="array" ref="L6">IF(OR($K$9:$K$150="Inactive"),"Inactive Element","")</f>
        <v/>
      </c>
      <c r="M6" s="1268"/>
      <c r="N6" s="1187" t="s">
        <v>8</v>
      </c>
      <c r="O6" s="1189" t="s">
        <v>9</v>
      </c>
      <c r="P6" s="1217" t="s">
        <v>10</v>
      </c>
      <c r="Q6" s="1192" t="s">
        <v>11</v>
      </c>
      <c r="R6" s="1193"/>
      <c r="S6" s="1180" t="s">
        <v>10</v>
      </c>
      <c r="T6" s="1213" t="str">
        <f>N6</f>
        <v>X</v>
      </c>
      <c r="U6" s="1215" t="str">
        <f>O6</f>
        <v>Y</v>
      </c>
      <c r="V6" s="1256" t="str">
        <f>P6</f>
        <v>Z</v>
      </c>
      <c r="W6" s="1169" t="str">
        <f>Q6</f>
        <v>Projected XY</v>
      </c>
      <c r="X6" s="1170"/>
      <c r="Y6" s="1211" t="str">
        <f>S6</f>
        <v>Z</v>
      </c>
      <c r="Z6" s="1197" t="s">
        <v>12</v>
      </c>
      <c r="AA6" s="1198"/>
      <c r="AB6" s="1198"/>
      <c r="AC6" s="1199"/>
      <c r="AD6" s="1183" t="s">
        <v>13</v>
      </c>
      <c r="AE6" s="1184"/>
      <c r="AF6" s="1184"/>
      <c r="AG6" s="1196" t="s">
        <v>7</v>
      </c>
      <c r="AH6" s="1184"/>
      <c r="AI6" s="1183" t="s">
        <v>14</v>
      </c>
      <c r="AJ6" s="1185"/>
      <c r="AK6" s="1258" t="str">
        <f>AD6</f>
        <v>Unit Vector</v>
      </c>
      <c r="AL6" s="1167"/>
      <c r="AM6" s="1168"/>
      <c r="AN6" s="34" t="s">
        <v>15</v>
      </c>
      <c r="AO6" s="35" t="s">
        <v>16</v>
      </c>
      <c r="AP6" s="737" t="s">
        <v>17</v>
      </c>
      <c r="AQ6" s="1265" t="s">
        <v>108</v>
      </c>
      <c r="AS6" s="172">
        <f>(AS5/360)</f>
        <v>6.9444444444444447E-4</v>
      </c>
      <c r="AT6" s="465" t="s">
        <v>48</v>
      </c>
      <c r="AV6" s="1284"/>
      <c r="AW6" s="1136" t="str">
        <f>W5</f>
        <v>Relative to 's θ &amp; Z; Z Axis</v>
      </c>
      <c r="AX6" s="1137"/>
      <c r="AY6" s="1137"/>
      <c r="AZ6" s="1280"/>
      <c r="BA6" s="1137" t="str">
        <f>AK5</f>
        <v>Vector Along X Axis</v>
      </c>
      <c r="BB6" s="1137"/>
      <c r="BC6" s="1174"/>
      <c r="BD6" s="468"/>
      <c r="BF6" s="461">
        <f>SUM(AZ9:AZ150)</f>
        <v>0</v>
      </c>
      <c r="BG6" s="1262" t="s">
        <v>318</v>
      </c>
      <c r="BH6" s="1262"/>
      <c r="BI6" s="1262"/>
      <c r="BJ6" s="1262"/>
      <c r="BK6" s="1262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251" t="s">
        <v>40</v>
      </c>
      <c r="C7" s="1252"/>
      <c r="D7" s="1253"/>
      <c r="E7" s="1254" t="s">
        <v>41</v>
      </c>
      <c r="F7" s="1252"/>
      <c r="G7" s="1255"/>
      <c r="H7" s="880" t="s">
        <v>314</v>
      </c>
      <c r="I7" s="878"/>
      <c r="J7" s="879"/>
      <c r="K7" s="539"/>
      <c r="L7" s="984"/>
      <c r="M7" s="1269"/>
      <c r="N7" s="1188"/>
      <c r="O7" s="1190"/>
      <c r="P7" s="1218"/>
      <c r="Q7" s="36" t="s">
        <v>18</v>
      </c>
      <c r="R7" s="2" t="s">
        <v>19</v>
      </c>
      <c r="S7" s="1181"/>
      <c r="T7" s="1214"/>
      <c r="U7" s="1216"/>
      <c r="V7" s="1257"/>
      <c r="W7" s="37" t="str">
        <f>Q7</f>
        <v>&lt; θ°</v>
      </c>
      <c r="X7" s="27" t="str">
        <f>R7</f>
        <v>r</v>
      </c>
      <c r="Y7" s="1212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66"/>
      <c r="AS7" s="1305" t="s">
        <v>54</v>
      </c>
      <c r="AT7" s="1308" t="s">
        <v>53</v>
      </c>
      <c r="AV7" s="1284"/>
      <c r="AW7" s="1279" t="str">
        <f>$W$6</f>
        <v>Projected XY</v>
      </c>
      <c r="AX7" s="1170"/>
      <c r="AY7" s="1281" t="str">
        <f>$Y$6</f>
        <v>Z</v>
      </c>
      <c r="AZ7" s="1280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62"/>
      <c r="BH7" s="1262"/>
      <c r="BI7" s="1262"/>
      <c r="BJ7" s="1262"/>
      <c r="BK7" s="1262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886" t="s">
        <v>33</v>
      </c>
      <c r="IH7" s="976" t="s">
        <v>385</v>
      </c>
      <c r="II7" s="882" t="s">
        <v>333</v>
      </c>
      <c r="IJ7" s="883"/>
      <c r="IK7" s="883"/>
      <c r="IL7" s="878"/>
      <c r="IM7" s="878"/>
      <c r="IN7" s="878"/>
      <c r="IO7" s="879"/>
      <c r="IP7" s="880" t="s">
        <v>329</v>
      </c>
      <c r="IQ7" s="878"/>
      <c r="IR7" s="878"/>
      <c r="IS7" s="878"/>
      <c r="IT7" s="878"/>
      <c r="IU7" s="880" t="s">
        <v>328</v>
      </c>
      <c r="IV7" s="878"/>
      <c r="IW7" s="878"/>
      <c r="IX7" s="878"/>
      <c r="IY7" s="879"/>
      <c r="JA7" s="784"/>
      <c r="JB7" s="1313" t="s">
        <v>364</v>
      </c>
      <c r="JC7" s="1220"/>
      <c r="JD7" s="1220"/>
      <c r="JE7" s="1221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84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306"/>
      <c r="AT8" s="1309"/>
      <c r="AV8" s="1285"/>
      <c r="AW8" s="46" t="str">
        <f>$W$7</f>
        <v>&lt; θ°</v>
      </c>
      <c r="AX8" s="27" t="str">
        <f>$X$7</f>
        <v>r</v>
      </c>
      <c r="AY8" s="1282"/>
      <c r="AZ8" s="986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978"/>
      <c r="IH8" s="977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1222" t="s">
        <v>365</v>
      </c>
      <c r="JC19" s="1223"/>
      <c r="JD19" s="1223"/>
      <c r="JE19" s="1223"/>
      <c r="JF19" s="1223"/>
      <c r="JG19" s="1223"/>
      <c r="JH19" s="1223"/>
      <c r="JI19" s="1224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1225" t="s">
        <v>369</v>
      </c>
      <c r="JC20" s="1226"/>
      <c r="JD20" s="1226"/>
      <c r="JE20" s="1226"/>
      <c r="JF20" s="979" t="s">
        <v>370</v>
      </c>
      <c r="JG20" s="980"/>
      <c r="JH20" s="980"/>
      <c r="JI20" s="981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1097"/>
      <c r="JC21" s="1098"/>
      <c r="JD21" s="1098"/>
      <c r="JE21" s="1098"/>
      <c r="JF21" s="982" t="s">
        <v>358</v>
      </c>
      <c r="JG21" s="983"/>
      <c r="JH21" s="1227" t="s">
        <v>371</v>
      </c>
      <c r="JI21" s="1228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77" t="str">
        <f>$W$6</f>
        <v>Projected XY</v>
      </c>
      <c r="AX152" s="1278"/>
      <c r="AY152" s="1295" t="str">
        <f>$Y$6</f>
        <v>Z</v>
      </c>
      <c r="AZ152" s="1293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96"/>
      <c r="AZ153" s="1294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240" t="s">
        <v>42</v>
      </c>
      <c r="C157" s="1241"/>
      <c r="D157" s="1241"/>
      <c r="E157" s="1241"/>
      <c r="F157" s="1241"/>
      <c r="G157" s="1241"/>
      <c r="H157" s="1241"/>
      <c r="I157" s="1241"/>
      <c r="J157" s="1241"/>
      <c r="K157" s="1242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243"/>
      <c r="C158" s="1198"/>
      <c r="D158" s="1198"/>
      <c r="E158" s="1198"/>
      <c r="F158" s="1198"/>
      <c r="G158" s="1198"/>
      <c r="H158" s="1198"/>
      <c r="I158" s="1198"/>
      <c r="J158" s="1198"/>
      <c r="K158" s="1244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245"/>
      <c r="C159" s="1246"/>
      <c r="D159" s="1246"/>
      <c r="E159" s="1246"/>
      <c r="F159" s="1246"/>
      <c r="G159" s="1246"/>
      <c r="H159" s="1246"/>
      <c r="I159" s="1246"/>
      <c r="J159" s="1246"/>
      <c r="K159" s="1247"/>
      <c r="AQ159" s="166"/>
      <c r="BD159" s="468"/>
    </row>
    <row r="160" spans="1:259" ht="15" customHeight="1" x14ac:dyDescent="0.25">
      <c r="B160" s="1234" t="str">
        <f>CONCATENATE(B162," ; ",E162," ; ",H163)</f>
        <v>Absolute-Point ; Incremental-Vector Point ; Radius</v>
      </c>
      <c r="C160" s="1235"/>
      <c r="D160" s="1235"/>
      <c r="E160" s="1235"/>
      <c r="F160" s="1235"/>
      <c r="G160" s="1235"/>
      <c r="H160" s="1235"/>
      <c r="I160" s="1235"/>
      <c r="J160" s="1235"/>
      <c r="K160" s="1236"/>
      <c r="AQ160" s="166"/>
      <c r="BD160" s="468"/>
    </row>
    <row r="161" spans="2:56" ht="15" customHeight="1" x14ac:dyDescent="0.25">
      <c r="B161" s="1237"/>
      <c r="C161" s="1238"/>
      <c r="D161" s="1238"/>
      <c r="E161" s="1238"/>
      <c r="F161" s="1238"/>
      <c r="G161" s="1238"/>
      <c r="H161" s="1238"/>
      <c r="I161" s="1238"/>
      <c r="J161" s="1238"/>
      <c r="K161" s="1239"/>
      <c r="AQ161" s="166"/>
      <c r="BD161" s="468"/>
    </row>
    <row r="162" spans="2:56" ht="15" customHeight="1" x14ac:dyDescent="0.25">
      <c r="B162" s="1251" t="s">
        <v>40</v>
      </c>
      <c r="C162" s="1252"/>
      <c r="D162" s="1253"/>
      <c r="E162" s="1254" t="s">
        <v>41</v>
      </c>
      <c r="F162" s="1252"/>
      <c r="G162" s="1255"/>
      <c r="H162" s="880" t="s">
        <v>314</v>
      </c>
      <c r="I162" s="878"/>
      <c r="J162" s="879"/>
      <c r="K162" s="539"/>
      <c r="M162" s="1026" t="s">
        <v>313</v>
      </c>
      <c r="N162" s="1274"/>
      <c r="O162" s="1286" t="s">
        <v>292</v>
      </c>
      <c r="P162" s="1287"/>
      <c r="Q162" s="1288"/>
      <c r="R162" s="1289" t="s">
        <v>41</v>
      </c>
      <c r="S162" s="1287"/>
      <c r="T162" s="1288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75"/>
      <c r="N163" s="1276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1613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1.1020000000000001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1.103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1.1040000000000001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1.105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1.1060000000000001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1.107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1.2010000000000001</v>
      </c>
      <c r="N171" s="869" t="str">
        <f>Assy.Model!K16</f>
        <v>Inactive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1.202</v>
      </c>
      <c r="N172" s="869" t="str">
        <f>Assy.Model!K17</f>
        <v>Inactive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2.101</v>
      </c>
      <c r="N173" s="869">
        <f>Assy.Model!K18</f>
        <v>1613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2.1019999999999999</v>
      </c>
      <c r="N174" s="869">
        <f>Assy.Model!K19</f>
        <v>1613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2.1030000000000002</v>
      </c>
      <c r="N175" s="869">
        <f>Assy.Model!K20</f>
        <v>1613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2.1040000000000001</v>
      </c>
      <c r="N176" s="869">
        <f>Assy.Model!K21</f>
        <v>1613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2.2010000000000001</v>
      </c>
      <c r="N177" s="869" t="str">
        <f>Assy.Model!K22</f>
        <v>Inactive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3.101</v>
      </c>
      <c r="N178" s="869">
        <f>Assy.Model!K23</f>
        <v>1613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3.1019999999999999</v>
      </c>
      <c r="N179" s="869">
        <f>Assy.Model!K24</f>
        <v>1613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3.1030000000000002</v>
      </c>
      <c r="N180" s="869">
        <f>Assy.Model!K25</f>
        <v>1613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3.1040000000000001</v>
      </c>
      <c r="N181" s="869">
        <f>Assy.Model!K26</f>
        <v>1613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3.105</v>
      </c>
      <c r="N182" s="869">
        <f>Assy.Model!K27</f>
        <v>1613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3.1059999999999999</v>
      </c>
      <c r="N183" s="869">
        <f>Assy.Model!K28</f>
        <v>1613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3.2010000000000001</v>
      </c>
      <c r="N184" s="869" t="str">
        <f>Assy.Model!K29</f>
        <v>Inactive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3.202</v>
      </c>
      <c r="N185" s="869" t="str">
        <f>Assy.Model!K30</f>
        <v>Inactive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4.101</v>
      </c>
      <c r="N186" s="869">
        <f>Assy.Model!K31</f>
        <v>1613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4.1020000000000003</v>
      </c>
      <c r="N187" s="869">
        <f>Assy.Model!K32</f>
        <v>1613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4.1029999999999998</v>
      </c>
      <c r="N188" s="869">
        <f>Assy.Model!K33</f>
        <v>1613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4.1040000000000001</v>
      </c>
      <c r="N189" s="869">
        <f>Assy.Model!K34</f>
        <v>1613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4.2009999999999996</v>
      </c>
      <c r="N190" s="869" t="str">
        <f>Assy.Model!K35</f>
        <v>Inactive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5.101</v>
      </c>
      <c r="N191" s="869">
        <f>Assy.Model!K36</f>
        <v>1613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5.1020000000000003</v>
      </c>
      <c r="N192" s="869">
        <f>Assy.Model!K37</f>
        <v>1613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5.1029999999999998</v>
      </c>
      <c r="N193" s="869">
        <f>Assy.Model!K38</f>
        <v>1613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5.1040000000000001</v>
      </c>
      <c r="N194" s="869">
        <f>Assy.Model!K39</f>
        <v>1613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5.1050000000000004</v>
      </c>
      <c r="N195" s="869">
        <f>Assy.Model!K40</f>
        <v>1613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5.1059999999999999</v>
      </c>
      <c r="N196" s="869">
        <f>Assy.Model!K41</f>
        <v>1613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5.2009999999999996</v>
      </c>
      <c r="N197" s="869" t="str">
        <f>Assy.Model!K42</f>
        <v>Inactive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5.202</v>
      </c>
      <c r="N198" s="869" t="str">
        <f>Assy.Model!K43</f>
        <v>Inactive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6.101</v>
      </c>
      <c r="N199" s="869">
        <f>Assy.Model!K44</f>
        <v>1613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6.1020000000000003</v>
      </c>
      <c r="N200" s="869">
        <f>Assy.Model!K45</f>
        <v>1613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6.1029999999999998</v>
      </c>
      <c r="N201" s="869">
        <f>Assy.Model!K46</f>
        <v>1613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6.2009999999999996</v>
      </c>
      <c r="N202" s="869" t="str">
        <f>Assy.Model!K47</f>
        <v>Inactive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 t="str">
        <f>Assy.Model!$M48</f>
        <v/>
      </c>
      <c r="N203" s="869" t="str">
        <f>Assy.Model!K48</f>
        <v/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 t="str">
        <f>Assy.Model!$M49</f>
        <v/>
      </c>
      <c r="N204" s="869" t="str">
        <f>Assy.Model!K49</f>
        <v/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 t="str">
        <f>Assy.Model!$M50</f>
        <v/>
      </c>
      <c r="N205" s="869" t="str">
        <f>Assy.Model!K50</f>
        <v/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 t="str">
        <f>Assy.Model!$M51</f>
        <v/>
      </c>
      <c r="N206" s="869" t="str">
        <f>Assy.Model!K51</f>
        <v/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 t="str">
        <f>Assy.Model!$M52</f>
        <v/>
      </c>
      <c r="N207" s="869" t="str">
        <f>Assy.Model!K52</f>
        <v/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 t="str">
        <f>Assy.Model!$M53</f>
        <v/>
      </c>
      <c r="N208" s="869" t="str">
        <f>Assy.Model!K53</f>
        <v/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 t="str">
        <f>Assy.Model!$M54</f>
        <v/>
      </c>
      <c r="N209" s="869" t="str">
        <f>Assy.Model!K54</f>
        <v/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 t="str">
        <f>Assy.Model!$M55</f>
        <v/>
      </c>
      <c r="N210" s="869" t="str">
        <f>Assy.Model!K55</f>
        <v/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 t="str">
        <f>Assy.Model!$M56</f>
        <v/>
      </c>
      <c r="N211" s="869" t="str">
        <f>Assy.Model!K56</f>
        <v/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 t="str">
        <f>Assy.Model!$M57</f>
        <v/>
      </c>
      <c r="N212" s="869" t="str">
        <f>Assy.Model!K57</f>
        <v/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 t="str">
        <f>Assy.Model!$M58</f>
        <v/>
      </c>
      <c r="N213" s="869" t="str">
        <f>Assy.Model!K58</f>
        <v/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 t="str">
        <f>Assy.Model!$M59</f>
        <v/>
      </c>
      <c r="N214" s="869" t="str">
        <f>Assy.Model!K59</f>
        <v/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 t="str">
        <f>Assy.Model!$M60</f>
        <v/>
      </c>
      <c r="N215" s="869" t="str">
        <f>Assy.Model!K60</f>
        <v/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 t="str">
        <f>Assy.Model!$M61</f>
        <v/>
      </c>
      <c r="N216" s="869" t="str">
        <f>Assy.Model!K61</f>
        <v/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 t="str">
        <f>Assy.Model!$M62</f>
        <v/>
      </c>
      <c r="N217" s="869" t="str">
        <f>Assy.Model!K62</f>
        <v/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 t="str">
        <f>Assy.Model!$M63</f>
        <v/>
      </c>
      <c r="N218" s="869" t="str">
        <f>Assy.Model!K63</f>
        <v/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 t="str">
        <f>Assy.Model!$M64</f>
        <v/>
      </c>
      <c r="N219" s="869" t="str">
        <f>Assy.Model!K64</f>
        <v/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 t="str">
        <f>Assy.Model!$M65</f>
        <v/>
      </c>
      <c r="N220" s="869" t="str">
        <f>Assy.Model!K65</f>
        <v/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 t="str">
        <f>Assy.Model!$M66</f>
        <v/>
      </c>
      <c r="N221" s="869" t="str">
        <f>Assy.Model!K66</f>
        <v/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 t="str">
        <f>Assy.Model!$M67</f>
        <v/>
      </c>
      <c r="N222" s="869" t="str">
        <f>Assy.Model!K67</f>
        <v/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 t="str">
        <f>Assy.Model!$M68</f>
        <v/>
      </c>
      <c r="N223" s="869" t="str">
        <f>Assy.Model!K68</f>
        <v/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 t="str">
        <f>Assy.Model!$M69</f>
        <v/>
      </c>
      <c r="N224" s="869" t="str">
        <f>Assy.Model!K69</f>
        <v/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 t="str">
        <f>Assy.Model!$M70</f>
        <v/>
      </c>
      <c r="N225" s="869" t="str">
        <f>Assy.Model!K70</f>
        <v/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 t="str">
        <f>Assy.Model!$M71</f>
        <v/>
      </c>
      <c r="N226" s="869" t="str">
        <f>Assy.Model!K71</f>
        <v/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 t="str">
        <f>Assy.Model!$M72</f>
        <v/>
      </c>
      <c r="N227" s="869" t="str">
        <f>Assy.Model!K72</f>
        <v/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 t="str">
        <f>Assy.Model!$M73</f>
        <v/>
      </c>
      <c r="N228" s="869" t="str">
        <f>Assy.Model!K73</f>
        <v/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 t="str">
        <f>Assy.Model!$M74</f>
        <v/>
      </c>
      <c r="N229" s="869" t="str">
        <f>Assy.Model!K74</f>
        <v/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 t="str">
        <f>Assy.Model!$M75</f>
        <v/>
      </c>
      <c r="N230" s="869" t="str">
        <f>Assy.Model!K75</f>
        <v/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 t="str">
        <f>Assy.Model!$M76</f>
        <v/>
      </c>
      <c r="N231" s="869" t="str">
        <f>Assy.Model!K76</f>
        <v/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 t="str">
        <f>Assy.Model!$M77</f>
        <v/>
      </c>
      <c r="N232" s="869" t="str">
        <f>Assy.Model!K77</f>
        <v/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19" priority="14" stopIfTrue="1" operator="between">
      <formula>9</formula>
      <formula>9.99</formula>
    </cfRule>
    <cfRule type="cellIs" dxfId="18" priority="15" stopIfTrue="1" operator="between">
      <formula>8</formula>
      <formula>8.99</formula>
    </cfRule>
    <cfRule type="cellIs" dxfId="17" priority="16" stopIfTrue="1" operator="between">
      <formula>7</formula>
      <formula>7.99</formula>
    </cfRule>
    <cfRule type="cellIs" dxfId="16" priority="17" stopIfTrue="1" operator="between">
      <formula>6</formula>
      <formula>6.99</formula>
    </cfRule>
    <cfRule type="cellIs" dxfId="15" priority="18" stopIfTrue="1" operator="between">
      <formula>5</formula>
      <formula>5.99</formula>
    </cfRule>
    <cfRule type="cellIs" dxfId="14" priority="19" stopIfTrue="1" operator="between">
      <formula>4</formula>
      <formula>4.99</formula>
    </cfRule>
    <cfRule type="cellIs" dxfId="13" priority="20" stopIfTrue="1" operator="between">
      <formula>3</formula>
      <formula>3.99</formula>
    </cfRule>
    <cfRule type="cellIs" dxfId="12" priority="21" stopIfTrue="1" operator="between">
      <formula>2</formula>
      <formula>2.99</formula>
    </cfRule>
    <cfRule type="cellIs" dxfId="11" priority="22" stopIfTrue="1" operator="between">
      <formula>1</formula>
      <formula>1.99</formula>
    </cfRule>
  </conditionalFormatting>
  <conditionalFormatting sqref="AV9:AV150">
    <cfRule type="cellIs" dxfId="10" priority="5" stopIfTrue="1" operator="between">
      <formula>9</formula>
      <formula>9.99</formula>
    </cfRule>
    <cfRule type="cellIs" dxfId="9" priority="6" stopIfTrue="1" operator="between">
      <formula>8</formula>
      <formula>8.99</formula>
    </cfRule>
    <cfRule type="cellIs" dxfId="8" priority="7" stopIfTrue="1" operator="between">
      <formula>7</formula>
      <formula>7.99</formula>
    </cfRule>
    <cfRule type="cellIs" dxfId="7" priority="8" stopIfTrue="1" operator="between">
      <formula>6</formula>
      <formula>6.99</formula>
    </cfRule>
    <cfRule type="cellIs" dxfId="6" priority="9" stopIfTrue="1" operator="between">
      <formula>5</formula>
      <formula>5.99</formula>
    </cfRule>
    <cfRule type="cellIs" dxfId="5" priority="10" stopIfTrue="1" operator="between">
      <formula>4</formula>
      <formula>4.99</formula>
    </cfRule>
    <cfRule type="cellIs" dxfId="4" priority="11" stopIfTrue="1" operator="between">
      <formula>3</formula>
      <formula>3.99</formula>
    </cfRule>
    <cfRule type="cellIs" dxfId="3" priority="12" stopIfTrue="1" operator="between">
      <formula>2</formula>
      <formula>2.99</formula>
    </cfRule>
    <cfRule type="cellIs" dxfId="2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2023-03-30T12:47:25Z</dcterms:modified>
</cp:coreProperties>
</file>