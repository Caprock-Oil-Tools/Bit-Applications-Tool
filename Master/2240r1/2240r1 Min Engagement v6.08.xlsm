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40\"/>
    </mc:Choice>
  </mc:AlternateContent>
  <xr:revisionPtr revIDLastSave="0" documentId="13_ncr:1_{F7B43D58-35B6-4DC8-A3ED-4DAF001ED68B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82" i="1"/>
  <c r="IF84" i="1"/>
  <c r="IF12" i="1"/>
  <c r="IF83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90" i="1" l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Q62" i="1" s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89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1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1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F86" i="1" l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V19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IP31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90" i="1" l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P19" i="1"/>
  <c r="IU35" i="1"/>
  <c r="IE35" i="1" s="1"/>
  <c r="IP49" i="1"/>
  <c r="IP59" i="1"/>
  <c r="IP71" i="1"/>
  <c r="AQ11" i="1"/>
  <c r="IP20" i="1"/>
  <c r="AQ20" i="1"/>
  <c r="IU20" i="1"/>
  <c r="IE20" i="1" s="1"/>
  <c r="IQ19" i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IL105" i="1" s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6" i="1" l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Y50" i="1" s="1"/>
  <c r="U50" i="1"/>
  <c r="T50" i="1"/>
  <c r="T49" i="1"/>
  <c r="AK49" i="1"/>
  <c r="AO49" i="1" s="1"/>
  <c r="IS57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6" i="1" l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S94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S55" i="1"/>
  <c r="IX55" i="1"/>
  <c r="IT54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IS91" i="1" s="1"/>
  <c r="AO81" i="1"/>
  <c r="AP81" i="1"/>
  <c r="AO82" i="1"/>
  <c r="IS90" i="1" s="1"/>
  <c r="AP82" i="1"/>
  <c r="AO79" i="1"/>
  <c r="IS87" i="1" s="1"/>
  <c r="AP79" i="1"/>
  <c r="AP80" i="1"/>
  <c r="AO80" i="1"/>
  <c r="IS88" i="1" s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4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89" i="1" l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T19" i="1"/>
  <c r="IS32" i="1"/>
  <c r="IS46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<sst xmlns="http://schemas.openxmlformats.org/spreadsheetml/2006/main" count="742" uniqueCount="394">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</sst>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E20" sqref="E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5" t="s">
        <v>77</v>
      </c>
      <c r="D1" s="875"/>
      <c r="E1" s="875"/>
      <c r="F1" s="875"/>
      <c r="G1" s="875"/>
      <c r="H1" s="875"/>
      <c r="I1" s="875"/>
      <c r="J1" s="875"/>
      <c r="K1" s="875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7" t="s">
        <v>379</v>
      </c>
      <c r="AQ7" s="897"/>
      <c r="AR7" s="897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90">
        <v>9</v>
      </c>
      <c r="D9" s="894"/>
      <c r="E9" s="894"/>
      <c r="F9" s="894"/>
      <c r="G9" s="894"/>
      <c r="H9" s="894"/>
      <c r="I9" s="894"/>
      <c r="J9" s="894"/>
      <c r="K9" s="891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2"/>
      <c r="C10" s="913"/>
      <c r="D10" s="913"/>
      <c r="E10" s="913"/>
      <c r="F10" s="913"/>
      <c r="G10" s="913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8"/>
      <c r="B11" s="901" t="s">
        <v>33</v>
      </c>
      <c r="C11" s="906" t="s">
        <v>34</v>
      </c>
      <c r="D11" s="906"/>
      <c r="E11" s="905" t="s">
        <v>39</v>
      </c>
      <c r="F11" s="901" t="s">
        <v>35</v>
      </c>
      <c r="G11" s="901" t="s">
        <v>36</v>
      </c>
      <c r="H11" s="901" t="s">
        <v>43</v>
      </c>
      <c r="I11" s="892" t="s">
        <v>67</v>
      </c>
      <c r="J11" s="906" t="s">
        <v>56</v>
      </c>
      <c r="K11" s="906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5" t="s">
        <v>347</v>
      </c>
      <c r="AN11" s="894"/>
      <c r="AO11" s="894"/>
      <c r="AP11" s="894"/>
      <c r="AQ11" s="894"/>
      <c r="AR11" s="916"/>
      <c r="AS11" s="923" t="s">
        <v>354</v>
      </c>
      <c r="AT11" s="924"/>
      <c r="AU11" s="924"/>
      <c r="AV11" s="925"/>
      <c r="BC11" s="470"/>
    </row>
    <row r="12" spans="1:55" ht="15.75" thickBot="1" x14ac:dyDescent="0.3">
      <c r="A12" s="907"/>
      <c r="B12" s="902"/>
      <c r="C12" s="48" t="s">
        <v>8</v>
      </c>
      <c r="D12" s="49" t="s">
        <v>10</v>
      </c>
      <c r="E12" s="902"/>
      <c r="F12" s="902"/>
      <c r="G12" s="902"/>
      <c r="H12" s="902"/>
      <c r="I12" s="893"/>
      <c r="J12" s="53" t="s">
        <v>8</v>
      </c>
      <c r="K12" s="54" t="s">
        <v>10</v>
      </c>
      <c r="M12" s="31"/>
      <c r="N12" s="31"/>
      <c r="O12" s="884" t="s">
        <v>46</v>
      </c>
      <c r="P12" s="885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890"/>
      <c r="AF12" s="878" t="s">
        <v>56</v>
      </c>
      <c r="AG12" s="879"/>
      <c r="AH12" s="31"/>
      <c r="AK12" s="898" t="s">
        <v>355</v>
      </c>
      <c r="AL12" s="914"/>
      <c r="AM12" s="917" t="s">
        <v>352</v>
      </c>
      <c r="AN12" s="918"/>
      <c r="AO12" s="899"/>
      <c r="AP12" s="898" t="s">
        <v>380</v>
      </c>
      <c r="AQ12" s="899"/>
      <c r="AR12" s="802" t="s">
        <v>378</v>
      </c>
      <c r="AS12" s="920" t="s">
        <v>352</v>
      </c>
      <c r="AT12" s="899"/>
      <c r="AU12" s="921" t="s">
        <v>353</v>
      </c>
      <c r="AV12" s="922"/>
      <c r="AW12" s="926" t="s">
        <v>351</v>
      </c>
      <c r="AX12" s="927"/>
      <c r="AZ12" s="898" t="s">
        <v>60</v>
      </c>
      <c r="BA12" s="899"/>
      <c r="BC12" s="919" t="s">
        <v>383</v>
      </c>
    </row>
    <row r="13" spans="1:55" ht="15.75" thickBot="1" x14ac:dyDescent="0.3">
      <c r="A13" s="64" t="s">
        <v>57</v>
      </c>
      <c r="B13" s="908" t="s">
        <v>97</v>
      </c>
      <c r="C13" s="910" t="str">
        <f>SUBSTITUTE(ADDRESS(1,COLUMN(Assy.Model!X9),4),"1","")</f>
        <v>X</v>
      </c>
      <c r="D13" s="101" t="str">
        <f>SUBSTITUTE(ADDRESS(1,COLUMN(Assy.Model!Y9),4),"1","")</f>
        <v>Y</v>
      </c>
      <c r="E13" s="895" t="str">
        <f>SUBSTITUTE(ADDRESS(1,COLUMN(Assy.Model!H9),4),"1","")</f>
        <v>H</v>
      </c>
      <c r="F13" s="895" t="str">
        <f>SUBSTITUTE(ADDRESS(1,COLUMN(Assy.Model!AN9),4),"1","")</f>
        <v>AN</v>
      </c>
      <c r="G13" s="895" t="str">
        <f>SUBSTITUTE(ADDRESS(1,COLUMN(Assy.Model!AO9),4),"1","")</f>
        <v>AO</v>
      </c>
      <c r="H13" s="895" t="str">
        <f>SUBSTITUTE(ADDRESS(1,COLUMN(Assy.Model!AO9),4),"1","")</f>
        <v>AO</v>
      </c>
      <c r="I13" s="895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6"/>
      <c r="P13" s="887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9"/>
    </row>
    <row r="14" spans="1:55" x14ac:dyDescent="0.25">
      <c r="A14" s="62" t="s">
        <v>58</v>
      </c>
      <c r="B14" s="909"/>
      <c r="C14" s="911"/>
      <c r="D14" s="102" t="str">
        <f>SUBSTITUTE(ADDRESS(1,COLUMN(Assy.Model!AT9),4),"1","")</f>
        <v>AT</v>
      </c>
      <c r="E14" s="896"/>
      <c r="F14" s="896"/>
      <c r="G14" s="896"/>
      <c r="H14" s="896"/>
      <c r="I14" s="896"/>
      <c r="J14" s="91">
        <v>0</v>
      </c>
      <c r="K14" s="92">
        <v>0</v>
      </c>
      <c r="L14" s="31"/>
      <c r="M14" s="190">
        <v>6.25E-2</v>
      </c>
      <c r="N14" s="31">
        <v>32</v>
      </c>
      <c r="O14" s="882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2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2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2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2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2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3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90" t="s">
        <v>64</v>
      </c>
      <c r="C21" s="894"/>
      <c r="D21" s="894"/>
      <c r="E21" s="894"/>
      <c r="F21" s="891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8"/>
      <c r="C22" s="890" t="s">
        <v>63</v>
      </c>
      <c r="D22" s="891"/>
      <c r="E22" s="892" t="s">
        <v>60</v>
      </c>
      <c r="F22" s="892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9"/>
      <c r="C23" s="57" t="s">
        <v>8</v>
      </c>
      <c r="D23" s="57" t="s">
        <v>9</v>
      </c>
      <c r="E23" s="893"/>
      <c r="F23" s="893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80">
        <v>0</v>
      </c>
      <c r="E24" s="880">
        <v>2</v>
      </c>
      <c r="F24" s="880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881"/>
      <c r="E25" s="881"/>
      <c r="F25" s="881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6" t="s">
        <v>311</v>
      </c>
      <c r="C27" s="876"/>
      <c r="D27" s="876"/>
      <c r="E27" s="876"/>
      <c r="F27" s="876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7" t="s">
        <v>390</v>
      </c>
      <c r="C28" s="877"/>
      <c r="D28" s="877"/>
      <c r="E28" s="877"/>
      <c r="F28" s="877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4" t="s">
        <v>95</v>
      </c>
      <c r="D3" s="894"/>
      <c r="E3" s="894"/>
      <c r="F3" s="894"/>
      <c r="G3" s="894"/>
      <c r="H3" s="894"/>
      <c r="I3" s="894"/>
      <c r="J3" s="894"/>
      <c r="K3" s="916"/>
      <c r="L3" s="974"/>
      <c r="M3" s="894"/>
      <c r="N3" s="894"/>
      <c r="O3" s="894"/>
      <c r="P3" s="894"/>
      <c r="Q3" s="894"/>
      <c r="R3" s="891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6" t="s">
        <v>86</v>
      </c>
      <c r="C4" s="957" t="s">
        <v>82</v>
      </c>
      <c r="D4" s="894" t="s">
        <v>83</v>
      </c>
      <c r="E4" s="894"/>
      <c r="F4" s="894"/>
      <c r="G4" s="894"/>
      <c r="H4" s="894"/>
      <c r="I4" s="894"/>
      <c r="J4" s="894"/>
      <c r="K4" s="894"/>
      <c r="L4" s="150" t="s">
        <v>91</v>
      </c>
      <c r="M4" s="890" t="s">
        <v>94</v>
      </c>
      <c r="N4" s="894"/>
      <c r="O4" s="894"/>
      <c r="P4" s="916"/>
      <c r="Q4" s="894" t="s">
        <v>52</v>
      </c>
      <c r="R4" s="891"/>
      <c r="S4" s="107"/>
      <c r="T4" s="890">
        <v>350</v>
      </c>
      <c r="U4" s="894"/>
      <c r="V4" s="894" t="s">
        <v>76</v>
      </c>
      <c r="W4" s="89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7"/>
      <c r="C5" s="958"/>
      <c r="D5" s="942" t="s">
        <v>85</v>
      </c>
      <c r="E5" s="960" t="s">
        <v>89</v>
      </c>
      <c r="F5" s="906" t="s">
        <v>34</v>
      </c>
      <c r="G5" s="906"/>
      <c r="H5" s="905" t="s">
        <v>39</v>
      </c>
      <c r="I5" s="901" t="s">
        <v>35</v>
      </c>
      <c r="J5" s="901" t="s">
        <v>36</v>
      </c>
      <c r="K5" s="968" t="s">
        <v>67</v>
      </c>
      <c r="L5" s="151" t="s">
        <v>92</v>
      </c>
      <c r="M5" s="892" t="s">
        <v>90</v>
      </c>
      <c r="N5" s="892" t="s">
        <v>47</v>
      </c>
      <c r="O5" s="970" t="s">
        <v>84</v>
      </c>
      <c r="P5" s="971"/>
      <c r="Q5" s="972" t="s">
        <v>84</v>
      </c>
      <c r="R5" s="973"/>
      <c r="S5" s="107"/>
      <c r="T5" s="884" t="s">
        <v>46</v>
      </c>
      <c r="U5" s="975"/>
      <c r="V5" s="927" t="s">
        <v>45</v>
      </c>
      <c r="W5" s="879"/>
      <c r="X5" s="879"/>
      <c r="Y5" s="879"/>
      <c r="Z5" s="879"/>
      <c r="AA5" s="879"/>
      <c r="AB5" s="879"/>
      <c r="AC5" s="879"/>
      <c r="AD5" s="879"/>
      <c r="AE5" s="879"/>
      <c r="AF5" s="879"/>
      <c r="AG5" s="879"/>
      <c r="AH5" s="879"/>
      <c r="AI5" s="879"/>
      <c r="AJ5" s="879"/>
      <c r="AK5" s="31"/>
      <c r="AL5" s="31"/>
    </row>
    <row r="6" spans="2:38" ht="15" customHeight="1" thickBot="1" x14ac:dyDescent="0.3">
      <c r="B6" s="938"/>
      <c r="C6" s="959"/>
      <c r="D6" s="943"/>
      <c r="E6" s="961"/>
      <c r="F6" s="108" t="s">
        <v>8</v>
      </c>
      <c r="G6" s="109" t="s">
        <v>10</v>
      </c>
      <c r="H6" s="956"/>
      <c r="I6" s="956"/>
      <c r="J6" s="956"/>
      <c r="K6" s="969"/>
      <c r="L6" s="152" t="s">
        <v>93</v>
      </c>
      <c r="M6" s="967"/>
      <c r="N6" s="967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9"/>
      <c r="U6" s="97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4">
        <f>ROW(Assy.Model!B9)</f>
        <v>9</v>
      </c>
      <c r="D7" s="933" t="str">
        <f>SUBSTITUTE(ADDRESS(1,COLUMN(Assy.Model!B9),4),"1","")</f>
        <v>B</v>
      </c>
      <c r="E7" s="947" t="str">
        <f>SUBSTITUTE(ADDRESS(1,COLUMN(Assy.Model!M9),4),"1","")</f>
        <v>M</v>
      </c>
      <c r="F7" s="950" t="str">
        <f>SUBSTITUTE(ADDRESS(1,COLUMN(Assy.Model!X9),4),"1","")</f>
        <v>X</v>
      </c>
      <c r="G7" s="939" t="str">
        <f>SUBSTITUTE(ADDRESS(1,COLUMN(Assy.Model!AT9),4),"1","")</f>
        <v>AT</v>
      </c>
      <c r="H7" s="953" t="str">
        <f>SUBSTITUTE(ADDRESS(1,COLUMN(Assy.Model!H9),4),"1","")</f>
        <v>H</v>
      </c>
      <c r="I7" s="953" t="str">
        <f>SUBSTITUTE(ADDRESS(1,COLUMN(Assy.Model!AN9),4),"1","")</f>
        <v>AN</v>
      </c>
      <c r="J7" s="953" t="str">
        <f>SUBSTITUTE(ADDRESS(1,COLUMN(Assy.Model!AO9),4),"1","")</f>
        <v>AO</v>
      </c>
      <c r="K7" s="962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30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8" t="s">
        <v>81</v>
      </c>
      <c r="C8" s="945"/>
      <c r="D8" s="934"/>
      <c r="E8" s="948"/>
      <c r="F8" s="951"/>
      <c r="G8" s="940"/>
      <c r="H8" s="954"/>
      <c r="I8" s="954"/>
      <c r="J8" s="954"/>
      <c r="K8" s="963"/>
      <c r="L8" s="153" t="s">
        <v>93</v>
      </c>
      <c r="M8" s="965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31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8"/>
      <c r="C9" s="945"/>
      <c r="D9" s="934"/>
      <c r="E9" s="948"/>
      <c r="F9" s="951"/>
      <c r="G9" s="940"/>
      <c r="H9" s="954"/>
      <c r="I9" s="954"/>
      <c r="J9" s="954"/>
      <c r="K9" s="963"/>
      <c r="L9" s="153" t="s">
        <v>92</v>
      </c>
      <c r="M9" s="965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31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8"/>
      <c r="C10" s="945"/>
      <c r="D10" s="934"/>
      <c r="E10" s="948"/>
      <c r="F10" s="951"/>
      <c r="G10" s="940"/>
      <c r="H10" s="954"/>
      <c r="I10" s="954"/>
      <c r="J10" s="954"/>
      <c r="K10" s="963"/>
      <c r="L10" s="153" t="s">
        <v>92</v>
      </c>
      <c r="M10" s="965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31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8"/>
      <c r="C11" s="945"/>
      <c r="D11" s="934"/>
      <c r="E11" s="948"/>
      <c r="F11" s="951"/>
      <c r="G11" s="940"/>
      <c r="H11" s="954"/>
      <c r="I11" s="954"/>
      <c r="J11" s="954"/>
      <c r="K11" s="963"/>
      <c r="L11" s="153" t="s">
        <v>92</v>
      </c>
      <c r="M11" s="965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31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8"/>
      <c r="C12" s="945"/>
      <c r="D12" s="934"/>
      <c r="E12" s="948"/>
      <c r="F12" s="951"/>
      <c r="G12" s="940"/>
      <c r="H12" s="954"/>
      <c r="I12" s="954"/>
      <c r="J12" s="954"/>
      <c r="K12" s="963"/>
      <c r="L12" s="153" t="s">
        <v>92</v>
      </c>
      <c r="M12" s="965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31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8"/>
      <c r="C13" s="945"/>
      <c r="D13" s="934"/>
      <c r="E13" s="948"/>
      <c r="F13" s="951"/>
      <c r="G13" s="940"/>
      <c r="H13" s="954"/>
      <c r="I13" s="954"/>
      <c r="J13" s="954"/>
      <c r="K13" s="963"/>
      <c r="L13" s="153" t="s">
        <v>92</v>
      </c>
      <c r="M13" s="965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31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9"/>
      <c r="C14" s="946"/>
      <c r="D14" s="935"/>
      <c r="E14" s="949"/>
      <c r="F14" s="952"/>
      <c r="G14" s="941"/>
      <c r="H14" s="955"/>
      <c r="I14" s="955"/>
      <c r="J14" s="955"/>
      <c r="K14" s="964"/>
      <c r="L14" s="154" t="s">
        <v>93</v>
      </c>
      <c r="M14" s="966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2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4" t="str">
        <f>CONCATENATE(Settings!$C$19," ",Settings!$B$28)</f>
        <v>7.875  Job# --- Assy# --- Post Braze --- yy.mm.dd</v>
      </c>
      <c r="D1" s="994"/>
      <c r="E1" s="994"/>
      <c r="F1" s="994"/>
      <c r="G1" s="994"/>
      <c r="H1" s="994"/>
      <c r="I1" s="994"/>
      <c r="J1" s="994"/>
      <c r="K1" s="994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6" t="s">
        <v>315</v>
      </c>
      <c r="C2" s="1007"/>
      <c r="D2" s="1007"/>
      <c r="E2" s="1007"/>
      <c r="F2" s="1007"/>
      <c r="G2" s="1007"/>
      <c r="H2" s="1007"/>
      <c r="I2" s="1007"/>
      <c r="J2" s="1007"/>
      <c r="K2" s="1008"/>
      <c r="L2" s="993" t="str" cm="1">
        <f t="array" ref="L2">IF(OR($K$9:$K$150="Undefined"),"Undefined Element","")</f>
        <v/>
      </c>
      <c r="M2" s="1017" t="s">
        <v>0</v>
      </c>
      <c r="N2" s="1054" t="s">
        <v>1</v>
      </c>
      <c r="O2" s="1055"/>
      <c r="P2" s="1055"/>
      <c r="Q2" s="1055"/>
      <c r="R2" s="1055"/>
      <c r="S2" s="1055"/>
      <c r="T2" s="1055"/>
      <c r="U2" s="1055"/>
      <c r="V2" s="1055"/>
      <c r="W2" s="1055"/>
      <c r="X2" s="1055"/>
      <c r="Y2" s="1056"/>
      <c r="Z2" s="1054" t="s">
        <v>2</v>
      </c>
      <c r="AA2" s="1055"/>
      <c r="AB2" s="1055"/>
      <c r="AC2" s="1055"/>
      <c r="AD2" s="1055"/>
      <c r="AE2" s="1055"/>
      <c r="AF2" s="1055"/>
      <c r="AG2" s="1055"/>
      <c r="AH2" s="1055"/>
      <c r="AI2" s="1055"/>
      <c r="AJ2" s="1055"/>
      <c r="AK2" s="1055"/>
      <c r="AL2" s="1055"/>
      <c r="AM2" s="1055"/>
      <c r="AN2" s="1055"/>
      <c r="AO2" s="1055"/>
      <c r="AP2" s="1055"/>
      <c r="AQ2" s="1080"/>
      <c r="AS2" s="1062" t="s">
        <v>44</v>
      </c>
      <c r="AT2" s="1063"/>
      <c r="AV2" s="1052" t="s">
        <v>0</v>
      </c>
      <c r="AW2" s="1054" t="s">
        <v>109</v>
      </c>
      <c r="AX2" s="1055"/>
      <c r="AY2" s="1055"/>
      <c r="AZ2" s="1055"/>
      <c r="BA2" s="1055"/>
      <c r="BB2" s="1055"/>
      <c r="BC2" s="1055"/>
      <c r="BD2" s="1055"/>
      <c r="BE2" s="1080"/>
      <c r="BF2" s="1086" t="s">
        <v>115</v>
      </c>
      <c r="BG2" s="1055"/>
      <c r="BH2" s="1055"/>
      <c r="BI2" s="1055"/>
      <c r="BJ2" s="1055"/>
      <c r="BK2" s="1055"/>
      <c r="BL2" s="1055"/>
      <c r="BM2" s="1055"/>
      <c r="BN2" s="1055"/>
      <c r="BO2" s="1055"/>
      <c r="BP2" s="1055"/>
      <c r="BQ2" s="1055"/>
      <c r="BR2" s="1055"/>
      <c r="BS2" s="1055"/>
      <c r="BT2" s="1055"/>
      <c r="BU2" s="1055"/>
      <c r="BV2" s="1055"/>
      <c r="BW2" s="1055"/>
      <c r="BX2" s="1055"/>
      <c r="BY2" s="1055"/>
      <c r="BZ2" s="1055"/>
      <c r="CA2" s="1055"/>
      <c r="CB2" s="1055"/>
      <c r="CC2" s="1055"/>
      <c r="CD2" s="1055"/>
      <c r="CE2" s="1055"/>
      <c r="CF2" s="1055"/>
      <c r="CG2" s="1055"/>
      <c r="CH2" s="1055"/>
      <c r="CI2" s="1055"/>
      <c r="CJ2" s="1055"/>
      <c r="CK2" s="1055"/>
      <c r="CL2" s="1055"/>
      <c r="CM2" s="1055"/>
      <c r="CN2" s="1055"/>
      <c r="CO2" s="1055"/>
      <c r="CP2" s="1055"/>
      <c r="CQ2" s="1055"/>
      <c r="CR2" s="1055"/>
      <c r="CS2" s="1055"/>
      <c r="CT2" s="1055"/>
      <c r="CU2" s="1055"/>
      <c r="CV2" s="1055"/>
      <c r="CW2" s="1055"/>
      <c r="CX2" s="1055"/>
      <c r="CY2" s="1055"/>
      <c r="CZ2" s="1055"/>
      <c r="DA2" s="1055"/>
      <c r="DB2" s="1055"/>
      <c r="DC2" s="1055"/>
      <c r="DD2" s="1055"/>
      <c r="DE2" s="1055"/>
      <c r="DF2" s="1055"/>
      <c r="DG2" s="1055"/>
      <c r="DH2" s="1055"/>
      <c r="DI2" s="1055"/>
      <c r="DJ2" s="1055"/>
      <c r="DK2" s="1055"/>
      <c r="DL2" s="1055"/>
      <c r="DM2" s="1055"/>
      <c r="DN2" s="1055"/>
      <c r="DO2" s="1055"/>
      <c r="DP2" s="1055"/>
      <c r="DQ2" s="1055"/>
      <c r="DR2" s="1055"/>
      <c r="DS2" s="1055"/>
      <c r="DT2" s="1055"/>
      <c r="DU2" s="1055"/>
      <c r="DV2" s="1055"/>
      <c r="DW2" s="1055"/>
      <c r="DX2" s="1055"/>
      <c r="DY2" s="1055"/>
      <c r="DZ2" s="1055"/>
      <c r="EA2" s="1055"/>
      <c r="EB2" s="1055"/>
      <c r="EC2" s="1055"/>
      <c r="ED2" s="1055"/>
      <c r="EE2" s="1055"/>
      <c r="EF2" s="1055"/>
      <c r="EG2" s="1055"/>
      <c r="EH2" s="1055"/>
      <c r="EI2" s="1055"/>
      <c r="EJ2" s="1055"/>
      <c r="EK2" s="1055"/>
      <c r="EL2" s="1055"/>
      <c r="EM2" s="1055"/>
      <c r="EN2" s="1055"/>
      <c r="EO2" s="1055"/>
      <c r="EP2" s="1055"/>
      <c r="EQ2" s="1055"/>
      <c r="ER2" s="1056"/>
      <c r="ES2" s="1212" t="s">
        <v>197</v>
      </c>
      <c r="ET2" s="1213"/>
      <c r="EU2" s="1213"/>
      <c r="EV2" s="1213"/>
      <c r="EW2" s="1213"/>
      <c r="EX2" s="1213"/>
      <c r="EY2" s="1213"/>
      <c r="EZ2" s="1213"/>
      <c r="FA2" s="1213"/>
      <c r="FB2" s="1213"/>
      <c r="FC2" s="1213"/>
      <c r="FD2" s="1213"/>
      <c r="FE2" s="1213"/>
      <c r="FF2" s="1214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3" t="s">
        <v>266</v>
      </c>
      <c r="HQ2" s="1163" t="str">
        <f>IFERROR(CONCATENATE("Sum of Lateral Forces = ",ROUND(HE3,0)," lbs @ ",ROUND(HF3,1),"° Relative to Blade 1"),"")</f>
        <v/>
      </c>
      <c r="HR2" s="1164"/>
      <c r="HS2" s="1164"/>
      <c r="HT2" s="1164"/>
      <c r="HU2" s="1164"/>
      <c r="HV2" s="116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9"/>
      <c r="C3" s="1010"/>
      <c r="D3" s="1010"/>
      <c r="E3" s="1010"/>
      <c r="F3" s="1010"/>
      <c r="G3" s="1010"/>
      <c r="H3" s="1010"/>
      <c r="I3" s="1010"/>
      <c r="J3" s="1010"/>
      <c r="K3" s="1011"/>
      <c r="L3" s="993"/>
      <c r="M3" s="1009"/>
      <c r="N3" s="1057"/>
      <c r="O3" s="1058"/>
      <c r="P3" s="1058"/>
      <c r="Q3" s="1058"/>
      <c r="R3" s="1058"/>
      <c r="S3" s="1058"/>
      <c r="T3" s="1058"/>
      <c r="U3" s="1058"/>
      <c r="V3" s="1058"/>
      <c r="W3" s="1058"/>
      <c r="X3" s="1058"/>
      <c r="Y3" s="1059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081"/>
      <c r="AS3" s="466">
        <v>100</v>
      </c>
      <c r="AT3" s="463" t="s">
        <v>45</v>
      </c>
      <c r="AV3" s="1053"/>
      <c r="AW3" s="1102"/>
      <c r="AX3" s="1088"/>
      <c r="AY3" s="1088"/>
      <c r="AZ3" s="1088"/>
      <c r="BA3" s="1088"/>
      <c r="BB3" s="1088"/>
      <c r="BC3" s="1088"/>
      <c r="BD3" s="1088"/>
      <c r="BE3" s="1103"/>
      <c r="BF3" s="1087"/>
      <c r="BG3" s="1088"/>
      <c r="BH3" s="1088"/>
      <c r="BI3" s="1088"/>
      <c r="BJ3" s="1088"/>
      <c r="BK3" s="1088"/>
      <c r="BL3" s="1088"/>
      <c r="BM3" s="1088"/>
      <c r="BN3" s="1088"/>
      <c r="BO3" s="1088"/>
      <c r="BP3" s="1088"/>
      <c r="BQ3" s="1088"/>
      <c r="BR3" s="1088"/>
      <c r="BS3" s="1088"/>
      <c r="BT3" s="1088"/>
      <c r="BU3" s="1088"/>
      <c r="BV3" s="1088"/>
      <c r="BW3" s="1088"/>
      <c r="BX3" s="1088"/>
      <c r="BY3" s="1088"/>
      <c r="BZ3" s="1088"/>
      <c r="CA3" s="1088"/>
      <c r="CB3" s="1088"/>
      <c r="CC3" s="1088"/>
      <c r="CD3" s="1088"/>
      <c r="CE3" s="1088"/>
      <c r="CF3" s="1088"/>
      <c r="CG3" s="1088"/>
      <c r="CH3" s="1088"/>
      <c r="CI3" s="1088"/>
      <c r="CJ3" s="1088"/>
      <c r="CK3" s="1088"/>
      <c r="CL3" s="1088"/>
      <c r="CM3" s="1088"/>
      <c r="CN3" s="1088"/>
      <c r="CO3" s="1088"/>
      <c r="CP3" s="1088"/>
      <c r="CQ3" s="1088"/>
      <c r="CR3" s="1088"/>
      <c r="CS3" s="1088"/>
      <c r="CT3" s="1088"/>
      <c r="CU3" s="1088"/>
      <c r="CV3" s="1088"/>
      <c r="CW3" s="1088"/>
      <c r="CX3" s="1088"/>
      <c r="CY3" s="1088"/>
      <c r="CZ3" s="1088"/>
      <c r="DA3" s="1088"/>
      <c r="DB3" s="1088"/>
      <c r="DC3" s="1088"/>
      <c r="DD3" s="1088"/>
      <c r="DE3" s="1088"/>
      <c r="DF3" s="1088"/>
      <c r="DG3" s="1088"/>
      <c r="DH3" s="1088"/>
      <c r="DI3" s="1088"/>
      <c r="DJ3" s="1088"/>
      <c r="DK3" s="1088"/>
      <c r="DL3" s="1088"/>
      <c r="DM3" s="1088"/>
      <c r="DN3" s="1088"/>
      <c r="DO3" s="1088"/>
      <c r="DP3" s="1088"/>
      <c r="DQ3" s="1088"/>
      <c r="DR3" s="1088"/>
      <c r="DS3" s="1088"/>
      <c r="DT3" s="1088"/>
      <c r="DU3" s="1088"/>
      <c r="DV3" s="1088"/>
      <c r="DW3" s="1088"/>
      <c r="DX3" s="1088"/>
      <c r="DY3" s="1088"/>
      <c r="DZ3" s="1088"/>
      <c r="EA3" s="1088"/>
      <c r="EB3" s="1088"/>
      <c r="EC3" s="1088"/>
      <c r="ED3" s="1088"/>
      <c r="EE3" s="1088"/>
      <c r="EF3" s="1088"/>
      <c r="EG3" s="1088"/>
      <c r="EH3" s="1088"/>
      <c r="EI3" s="1088"/>
      <c r="EJ3" s="1088"/>
      <c r="EK3" s="1088"/>
      <c r="EL3" s="1088"/>
      <c r="EM3" s="1088"/>
      <c r="EN3" s="1088"/>
      <c r="EO3" s="1088"/>
      <c r="EP3" s="1088"/>
      <c r="EQ3" s="1088"/>
      <c r="ER3" s="1089"/>
      <c r="ES3" s="1102"/>
      <c r="ET3" s="1088"/>
      <c r="EU3" s="1088"/>
      <c r="EV3" s="1088"/>
      <c r="EW3" s="1088"/>
      <c r="EX3" s="1088"/>
      <c r="EY3" s="1088"/>
      <c r="EZ3" s="1088"/>
      <c r="FA3" s="1088"/>
      <c r="FB3" s="1088"/>
      <c r="FC3" s="1088"/>
      <c r="FD3" s="1088"/>
      <c r="FE3" s="1088"/>
      <c r="FF3" s="108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9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2"/>
      <c r="C4" s="1013"/>
      <c r="D4" s="1013"/>
      <c r="E4" s="1013"/>
      <c r="F4" s="1013"/>
      <c r="G4" s="1013"/>
      <c r="H4" s="1013"/>
      <c r="I4" s="1013"/>
      <c r="J4" s="1013"/>
      <c r="K4" s="1014"/>
      <c r="L4" s="993"/>
      <c r="M4" s="1009"/>
      <c r="N4" s="1021" t="s">
        <v>3</v>
      </c>
      <c r="O4" s="1016"/>
      <c r="P4" s="1016"/>
      <c r="Q4" s="1015" t="s">
        <v>4</v>
      </c>
      <c r="R4" s="1016"/>
      <c r="S4" s="1037"/>
      <c r="T4" s="1031" t="str">
        <f>N4</f>
        <v>Cartesian Coordinates</v>
      </c>
      <c r="U4" s="998"/>
      <c r="V4" s="1032"/>
      <c r="W4" s="998" t="str">
        <f>$Q$4</f>
        <v>Polar XY; Cartesian Z</v>
      </c>
      <c r="X4" s="998"/>
      <c r="Y4" s="999"/>
      <c r="Z4" s="1021" t="s">
        <v>3</v>
      </c>
      <c r="AA4" s="1016"/>
      <c r="AB4" s="1016"/>
      <c r="AC4" s="1016"/>
      <c r="AD4" s="1016"/>
      <c r="AE4" s="1016"/>
      <c r="AF4" s="1016"/>
      <c r="AG4" s="1049" t="s">
        <v>31</v>
      </c>
      <c r="AH4" s="1016"/>
      <c r="AI4" s="1016"/>
      <c r="AJ4" s="1037"/>
      <c r="AK4" s="1082" t="s">
        <v>32</v>
      </c>
      <c r="AL4" s="1083"/>
      <c r="AM4" s="1083"/>
      <c r="AN4" s="1083"/>
      <c r="AO4" s="1083"/>
      <c r="AP4" s="1083"/>
      <c r="AQ4" s="1084"/>
      <c r="AS4" s="467">
        <v>125</v>
      </c>
      <c r="AT4" s="464" t="s">
        <v>46</v>
      </c>
      <c r="AV4" s="1053"/>
      <c r="AW4" s="1113" t="s">
        <v>112</v>
      </c>
      <c r="AX4" s="1095"/>
      <c r="AY4" s="885"/>
      <c r="AZ4" s="1099"/>
      <c r="BA4" s="1100"/>
      <c r="BB4" s="1104" t="s">
        <v>113</v>
      </c>
      <c r="BC4" s="998" t="str">
        <f>$Q$4</f>
        <v>Polar XY; Cartesian Z</v>
      </c>
      <c r="BD4" s="998"/>
      <c r="BE4" s="1107"/>
      <c r="BF4" s="1122" t="s">
        <v>129</v>
      </c>
      <c r="BG4" s="1123"/>
      <c r="BH4" s="1123"/>
      <c r="BI4" s="1123"/>
      <c r="BJ4" s="1123"/>
      <c r="BK4" s="1123"/>
      <c r="BL4" s="1123"/>
      <c r="BM4" s="1123"/>
      <c r="BN4" s="1123"/>
      <c r="BO4" s="1123"/>
      <c r="BP4" s="1123"/>
      <c r="BQ4" s="1123"/>
      <c r="BR4" s="1123"/>
      <c r="BS4" s="1123"/>
      <c r="BT4" s="1123"/>
      <c r="BU4" s="1123"/>
      <c r="BV4" s="1123"/>
      <c r="BW4" s="1123"/>
      <c r="BX4" s="1123"/>
      <c r="BY4" s="1123"/>
      <c r="BZ4" s="1123"/>
      <c r="CA4" s="1123"/>
      <c r="CB4" s="1123"/>
      <c r="CC4" s="1123"/>
      <c r="CD4" s="1123"/>
      <c r="CE4" s="1123"/>
      <c r="CF4" s="1123"/>
      <c r="CG4" s="1123"/>
      <c r="CH4" s="1123"/>
      <c r="CI4" s="1123"/>
      <c r="CJ4" s="1123"/>
      <c r="CK4" s="1123"/>
      <c r="CL4" s="1123"/>
      <c r="CM4" s="1123"/>
      <c r="CN4" s="1124"/>
      <c r="CO4" s="1090" t="s">
        <v>193</v>
      </c>
      <c r="CP4" s="1091"/>
      <c r="CQ4" s="1091"/>
      <c r="CR4" s="1091"/>
      <c r="CS4" s="1091"/>
      <c r="CT4" s="1091"/>
      <c r="CU4" s="1091"/>
      <c r="CV4" s="1091"/>
      <c r="CW4" s="1091"/>
      <c r="CX4" s="1091"/>
      <c r="CY4" s="1091"/>
      <c r="CZ4" s="1091"/>
      <c r="DA4" s="1092"/>
      <c r="DB4" s="1209" t="s">
        <v>162</v>
      </c>
      <c r="DC4" s="1210"/>
      <c r="DD4" s="1210"/>
      <c r="DE4" s="1210"/>
      <c r="DF4" s="1210"/>
      <c r="DG4" s="1210"/>
      <c r="DH4" s="1210"/>
      <c r="DI4" s="1210"/>
      <c r="DJ4" s="1210"/>
      <c r="DK4" s="1210"/>
      <c r="DL4" s="1210"/>
      <c r="DM4" s="1210"/>
      <c r="DN4" s="1210"/>
      <c r="DO4" s="1210"/>
      <c r="DP4" s="1210"/>
      <c r="DQ4" s="1210"/>
      <c r="DR4" s="1210"/>
      <c r="DS4" s="1210"/>
      <c r="DT4" s="1210"/>
      <c r="DU4" s="1210"/>
      <c r="DV4" s="1210"/>
      <c r="DW4" s="1210"/>
      <c r="DX4" s="1210"/>
      <c r="DY4" s="1210"/>
      <c r="DZ4" s="1210"/>
      <c r="EA4" s="1210"/>
      <c r="EB4" s="1210"/>
      <c r="EC4" s="1210"/>
      <c r="ED4" s="1210"/>
      <c r="EE4" s="1210"/>
      <c r="EF4" s="1210"/>
      <c r="EG4" s="1210"/>
      <c r="EH4" s="1210"/>
      <c r="EI4" s="1210"/>
      <c r="EJ4" s="1210"/>
      <c r="EK4" s="1210"/>
      <c r="EL4" s="1210"/>
      <c r="EM4" s="1210"/>
      <c r="EN4" s="1210"/>
      <c r="EO4" s="1210"/>
      <c r="EP4" s="1210"/>
      <c r="EQ4" s="1210"/>
      <c r="ER4" s="1211"/>
      <c r="ES4" s="1225" t="s">
        <v>196</v>
      </c>
      <c r="ET4" s="1226"/>
      <c r="EU4" s="1226"/>
      <c r="EV4" s="1226"/>
      <c r="EW4" s="1226"/>
      <c r="EX4" s="1226"/>
      <c r="EY4" s="1227"/>
      <c r="EZ4" s="1146" t="s">
        <v>201</v>
      </c>
      <c r="FA4" s="1147"/>
      <c r="FB4" s="1147"/>
      <c r="FC4" s="1147"/>
      <c r="FD4" s="1147"/>
      <c r="FE4" s="1147"/>
      <c r="FF4" s="1148"/>
      <c r="FG4" s="343"/>
      <c r="FP4" s="1183" t="s">
        <v>229</v>
      </c>
      <c r="FZ4" s="118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1175"/>
      <c r="GO4" s="1244" t="s">
        <v>229</v>
      </c>
      <c r="GP4" s="1248" t="s">
        <v>228</v>
      </c>
      <c r="GR4" s="1253" t="s">
        <v>261</v>
      </c>
      <c r="GS4" s="974" t="s">
        <v>259</v>
      </c>
      <c r="GT4" s="894"/>
      <c r="GU4" s="894"/>
      <c r="GV4" s="894"/>
      <c r="GW4" s="894"/>
      <c r="GX4" s="894"/>
      <c r="GY4" s="894"/>
      <c r="GZ4" s="894"/>
      <c r="HA4" s="1169" t="str">
        <f>IFERROR(CONCATENATE("Lateral Forces = ",ROUND(HE3,0)," lbs @ ",ROUND(HF3,1),"° Relative to Blade 1"),"")</f>
        <v/>
      </c>
      <c r="HB4" s="1170"/>
      <c r="HC4" s="1170"/>
      <c r="HD4" s="1170"/>
      <c r="HE4" s="1170"/>
      <c r="HF4" s="1170"/>
      <c r="HG4" s="1170"/>
      <c r="HH4" s="1171"/>
      <c r="HI4" s="1178" t="s">
        <v>0</v>
      </c>
      <c r="HO4" s="1200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43</v>
      </c>
      <c r="IL4" s="31"/>
      <c r="IM4" s="767"/>
    </row>
    <row r="5" spans="1:283" ht="15" customHeight="1" x14ac:dyDescent="0.25">
      <c r="B5" s="1000" t="str">
        <f>CONCATENATE(B7," ; ",E7," ; ",H7)</f>
        <v>Absolute-Point ; Incremental-Vector Point ; Pocket Info.</v>
      </c>
      <c r="C5" s="1001"/>
      <c r="D5" s="1001"/>
      <c r="E5" s="1001"/>
      <c r="F5" s="1001"/>
      <c r="G5" s="1001"/>
      <c r="H5" s="1001"/>
      <c r="I5" s="1001"/>
      <c r="J5" s="1001"/>
      <c r="K5" s="1002"/>
      <c r="L5" s="872" t="str" cm="1">
        <f t="array" ref="L5">IF(OR(IF(LEFT($K$9:$K$150,4)="&lt;&gt;CS",TRUE,FALSE)),"Wrong CS","")</f>
        <v/>
      </c>
      <c r="M5" s="1009"/>
      <c r="N5" s="1042" t="s">
        <v>5</v>
      </c>
      <c r="O5" s="980"/>
      <c r="P5" s="980"/>
      <c r="Q5" s="979" t="s">
        <v>6</v>
      </c>
      <c r="R5" s="980"/>
      <c r="S5" s="981"/>
      <c r="T5" s="1047" t="str">
        <f>CONCATENATE("Relative to ",M8,"'s θ about Z Axis")</f>
        <v>Relative to 1.115's θ about Z Axis</v>
      </c>
      <c r="U5" s="1023"/>
      <c r="V5" s="1074"/>
      <c r="W5" s="1023" t="str">
        <f>CONCATENATE("Relative to ",M8,"'s θ about Z Axis")</f>
        <v>Relative to 1.115's θ about Z Axis</v>
      </c>
      <c r="X5" s="1023"/>
      <c r="Y5" s="1033"/>
      <c r="Z5" s="1022" t="str">
        <f>N5</f>
        <v>Relative to World_CS</v>
      </c>
      <c r="AA5" s="1023"/>
      <c r="AB5" s="1023"/>
      <c r="AC5" s="1023"/>
      <c r="AD5" s="1023"/>
      <c r="AE5" s="1023"/>
      <c r="AF5" s="1023"/>
      <c r="AG5" s="1047" t="str">
        <f>N5</f>
        <v>Relative to World_CS</v>
      </c>
      <c r="AH5" s="1023"/>
      <c r="AI5" s="1023"/>
      <c r="AJ5" s="1048"/>
      <c r="AK5" s="1085" t="s">
        <v>7</v>
      </c>
      <c r="AL5" s="980"/>
      <c r="AM5" s="980"/>
      <c r="AN5" s="980"/>
      <c r="AO5" s="980"/>
      <c r="AP5" s="980"/>
      <c r="AQ5" s="981"/>
      <c r="AS5" s="171">
        <f>(((AS4*12)/60)/AS3)</f>
        <v>0.25</v>
      </c>
      <c r="AT5" s="464" t="s">
        <v>47</v>
      </c>
      <c r="AV5" s="1053"/>
      <c r="AW5" s="1114"/>
      <c r="AX5" s="1115"/>
      <c r="AY5" s="1116"/>
      <c r="AZ5" s="1101"/>
      <c r="BA5" s="875"/>
      <c r="BB5" s="1105"/>
      <c r="BC5" s="1110" t="str">
        <f>$W$5</f>
        <v>Relative to 1.115's θ about Z Axis</v>
      </c>
      <c r="BD5" s="1023"/>
      <c r="BE5" s="1048"/>
      <c r="BF5" s="974" t="s">
        <v>128</v>
      </c>
      <c r="BG5" s="894"/>
      <c r="BH5" s="894"/>
      <c r="BI5" s="894"/>
      <c r="BJ5" s="894"/>
      <c r="BK5" s="894"/>
      <c r="BL5" s="894"/>
      <c r="BM5" s="894"/>
      <c r="BN5" s="894"/>
      <c r="BO5" s="894"/>
      <c r="BP5" s="894"/>
      <c r="BQ5" s="894"/>
      <c r="BR5" s="916"/>
      <c r="BS5" s="974" t="s">
        <v>130</v>
      </c>
      <c r="BT5" s="894"/>
      <c r="BU5" s="894"/>
      <c r="BV5" s="894"/>
      <c r="BW5" s="894"/>
      <c r="BX5" s="894"/>
      <c r="BY5" s="894"/>
      <c r="BZ5" s="894"/>
      <c r="CA5" s="894"/>
      <c r="CB5" s="894"/>
      <c r="CC5" s="894"/>
      <c r="CD5" s="894"/>
      <c r="CE5" s="916"/>
      <c r="CF5" s="974" t="s">
        <v>138</v>
      </c>
      <c r="CG5" s="894"/>
      <c r="CH5" s="916"/>
      <c r="CI5" s="974" t="s">
        <v>139</v>
      </c>
      <c r="CJ5" s="894"/>
      <c r="CK5" s="894"/>
      <c r="CL5" s="894"/>
      <c r="CM5" s="894"/>
      <c r="CN5" s="916"/>
      <c r="CO5" s="1093" t="s">
        <v>275</v>
      </c>
      <c r="CP5" s="1093" t="s">
        <v>149</v>
      </c>
      <c r="CQ5" s="1095"/>
      <c r="CR5" s="1095"/>
      <c r="CS5" s="975"/>
      <c r="CT5" s="1095" t="s">
        <v>150</v>
      </c>
      <c r="CU5" s="885"/>
      <c r="CV5" s="974" t="s">
        <v>161</v>
      </c>
      <c r="CW5" s="894"/>
      <c r="CX5" s="894"/>
      <c r="CY5" s="894"/>
      <c r="CZ5" s="894"/>
      <c r="DA5" s="916"/>
      <c r="DB5" s="974" t="s">
        <v>163</v>
      </c>
      <c r="DC5" s="894"/>
      <c r="DD5" s="894"/>
      <c r="DE5" s="894"/>
      <c r="DF5" s="894"/>
      <c r="DG5" s="894"/>
      <c r="DH5" s="916"/>
      <c r="DI5" s="1134" t="s">
        <v>173</v>
      </c>
      <c r="DJ5" s="1134"/>
      <c r="DK5" s="1135"/>
      <c r="DL5" s="1189" t="s">
        <v>174</v>
      </c>
      <c r="DM5" s="1134"/>
      <c r="DN5" s="1190"/>
      <c r="DO5" s="1138" t="s">
        <v>175</v>
      </c>
      <c r="DP5" s="1139"/>
      <c r="DQ5" s="1139"/>
      <c r="DR5" s="1075" t="s">
        <v>187</v>
      </c>
      <c r="DS5" s="1075"/>
      <c r="DT5" s="1075"/>
      <c r="DU5" s="1075"/>
      <c r="DV5" s="1075"/>
      <c r="DW5" s="1075"/>
      <c r="DX5" s="1093" t="s">
        <v>190</v>
      </c>
      <c r="DY5" s="936" t="s">
        <v>149</v>
      </c>
      <c r="DZ5" s="1075"/>
      <c r="EA5" s="1075"/>
      <c r="EB5" s="1075"/>
      <c r="EC5" s="1075" t="s">
        <v>150</v>
      </c>
      <c r="ED5" s="1075"/>
      <c r="EE5" s="1253" t="s">
        <v>194</v>
      </c>
      <c r="EF5" s="1253"/>
      <c r="EG5" s="1201"/>
      <c r="EH5" s="1193" t="s">
        <v>195</v>
      </c>
      <c r="EI5" s="1194"/>
      <c r="EJ5" s="1195"/>
      <c r="EK5" s="1075" t="s">
        <v>188</v>
      </c>
      <c r="EL5" s="1093"/>
      <c r="EM5" s="974" t="s">
        <v>189</v>
      </c>
      <c r="EN5" s="894"/>
      <c r="EO5" s="894"/>
      <c r="EP5" s="894"/>
      <c r="EQ5" s="894"/>
      <c r="ER5" s="1126"/>
      <c r="ES5" s="1113" t="s">
        <v>202</v>
      </c>
      <c r="ET5" s="1095"/>
      <c r="EU5" s="975"/>
      <c r="EV5" s="1228" t="s">
        <v>222</v>
      </c>
      <c r="EW5" s="1229"/>
      <c r="EX5" s="1229"/>
      <c r="EY5" s="1230"/>
      <c r="EZ5" s="1219" t="s">
        <v>200</v>
      </c>
      <c r="FA5" s="970" t="s">
        <v>202</v>
      </c>
      <c r="FB5" s="1155"/>
      <c r="FC5" s="971"/>
      <c r="FD5" s="1159" t="s">
        <v>222</v>
      </c>
      <c r="FE5" s="1160"/>
      <c r="FF5" s="1161"/>
      <c r="FP5" s="1200"/>
      <c r="FQ5" s="31"/>
      <c r="FR5" s="31"/>
      <c r="FS5" s="31"/>
      <c r="FT5" s="31"/>
      <c r="FZ5" s="1200"/>
      <c r="GJ5" s="1241" t="s">
        <v>269</v>
      </c>
      <c r="GK5" s="1203" t="s">
        <v>267</v>
      </c>
      <c r="GL5" s="1205" t="s">
        <v>110</v>
      </c>
      <c r="GM5" s="1205" t="s">
        <v>111</v>
      </c>
      <c r="GN5" s="1206"/>
      <c r="GO5" s="1245"/>
      <c r="GP5" s="1249"/>
      <c r="GQ5" s="31"/>
      <c r="GR5" s="993"/>
      <c r="GS5" s="1101" t="s">
        <v>248</v>
      </c>
      <c r="GT5" s="1259"/>
      <c r="GU5" s="1255" t="s">
        <v>249</v>
      </c>
      <c r="GV5" s="1256"/>
      <c r="GW5" s="1257"/>
      <c r="GX5" s="1258"/>
      <c r="GY5" s="1243" t="s">
        <v>107</v>
      </c>
      <c r="GZ5" s="877"/>
      <c r="HA5" s="1166" t="s">
        <v>248</v>
      </c>
      <c r="HB5" s="1167"/>
      <c r="HC5" s="1167"/>
      <c r="HD5" s="1168"/>
      <c r="HE5" s="1185" t="s">
        <v>249</v>
      </c>
      <c r="HF5" s="1167"/>
      <c r="HG5" s="1167"/>
      <c r="HH5" s="1186"/>
      <c r="HI5" s="1179"/>
      <c r="HN5" s="386" t="s">
        <v>263</v>
      </c>
      <c r="HO5" s="58" t="s">
        <v>264</v>
      </c>
      <c r="HS5" s="1172" t="s">
        <v>274</v>
      </c>
      <c r="HZ5" s="383"/>
    </row>
    <row r="6" spans="1:283" ht="15" customHeight="1" thickBot="1" x14ac:dyDescent="0.4">
      <c r="B6" s="1003"/>
      <c r="C6" s="1004"/>
      <c r="D6" s="1004"/>
      <c r="E6" s="1004"/>
      <c r="F6" s="1004"/>
      <c r="G6" s="1004"/>
      <c r="H6" s="1004"/>
      <c r="I6" s="1004"/>
      <c r="J6" s="1004"/>
      <c r="K6" s="1005"/>
      <c r="L6" s="993" t="str" cm="1">
        <f t="array" ref="L6">IF(OR($K$9:$K$150="Inactive"),"Inactive Element","")</f>
        <v/>
      </c>
      <c r="M6" s="1009"/>
      <c r="N6" s="1038" t="s">
        <v>8</v>
      </c>
      <c r="O6" s="1040" t="s">
        <v>9</v>
      </c>
      <c r="P6" s="977" t="s">
        <v>10</v>
      </c>
      <c r="Q6" s="1043" t="s">
        <v>11</v>
      </c>
      <c r="R6" s="1044"/>
      <c r="S6" s="1034" t="s">
        <v>10</v>
      </c>
      <c r="T6" s="1070" t="str">
        <f>N6</f>
        <v>X</v>
      </c>
      <c r="U6" s="1072" t="str">
        <f>O6</f>
        <v>Y</v>
      </c>
      <c r="V6" s="1029" t="str">
        <f>P6</f>
        <v>Z</v>
      </c>
      <c r="W6" s="1019" t="str">
        <f>$Q$6</f>
        <v>Projected XY</v>
      </c>
      <c r="X6" s="1020"/>
      <c r="Y6" s="1068" t="str">
        <f>$S$6</f>
        <v>Z</v>
      </c>
      <c r="Z6" s="1050" t="s">
        <v>12</v>
      </c>
      <c r="AA6" s="1010"/>
      <c r="AB6" s="1010"/>
      <c r="AC6" s="1051"/>
      <c r="AD6" s="1015" t="s">
        <v>13</v>
      </c>
      <c r="AE6" s="1016"/>
      <c r="AF6" s="1016"/>
      <c r="AG6" s="1049" t="s">
        <v>7</v>
      </c>
      <c r="AH6" s="1016"/>
      <c r="AI6" s="1015" t="s">
        <v>14</v>
      </c>
      <c r="AJ6" s="1037"/>
      <c r="AK6" s="1077" t="str">
        <f>AD6</f>
        <v>Unit Vector</v>
      </c>
      <c r="AL6" s="1078"/>
      <c r="AM6" s="1079"/>
      <c r="AN6" s="34" t="s">
        <v>15</v>
      </c>
      <c r="AO6" s="35" t="s">
        <v>16</v>
      </c>
      <c r="AP6" s="737" t="s">
        <v>17</v>
      </c>
      <c r="AQ6" s="1060" t="s">
        <v>108</v>
      </c>
      <c r="AS6" s="172">
        <f>(AS5/360)</f>
        <v>6.9444444444444447E-4</v>
      </c>
      <c r="AT6" s="465" t="s">
        <v>48</v>
      </c>
      <c r="AV6" s="1053"/>
      <c r="AW6" s="1045" t="s">
        <v>105</v>
      </c>
      <c r="AX6" s="1046"/>
      <c r="AY6" s="195" t="s">
        <v>110</v>
      </c>
      <c r="AZ6" s="1111" t="s">
        <v>111</v>
      </c>
      <c r="BA6" s="1112"/>
      <c r="BB6" s="1106"/>
      <c r="BC6" s="1019" t="str">
        <f>$Q$6</f>
        <v>Projected XY</v>
      </c>
      <c r="BD6" s="1020"/>
      <c r="BE6" s="1108" t="str">
        <f>$S$6</f>
        <v>Z</v>
      </c>
      <c r="BF6" s="920" t="s">
        <v>125</v>
      </c>
      <c r="BG6" s="918"/>
      <c r="BH6" s="1125"/>
      <c r="BI6" s="898" t="s">
        <v>126</v>
      </c>
      <c r="BJ6" s="918"/>
      <c r="BK6" s="899"/>
      <c r="BL6" s="921" t="s">
        <v>127</v>
      </c>
      <c r="BM6" s="918"/>
      <c r="BN6" s="922"/>
      <c r="BO6" s="920" t="s">
        <v>135</v>
      </c>
      <c r="BP6" s="918"/>
      <c r="BQ6" s="918"/>
      <c r="BR6" s="922"/>
      <c r="BS6" s="920" t="s">
        <v>125</v>
      </c>
      <c r="BT6" s="918"/>
      <c r="BU6" s="1125"/>
      <c r="BV6" s="898" t="s">
        <v>126</v>
      </c>
      <c r="BW6" s="918"/>
      <c r="BX6" s="899"/>
      <c r="BY6" s="921" t="s">
        <v>127</v>
      </c>
      <c r="BZ6" s="918"/>
      <c r="CA6" s="922"/>
      <c r="CB6" s="920" t="s">
        <v>135</v>
      </c>
      <c r="CC6" s="918"/>
      <c r="CD6" s="918"/>
      <c r="CE6" s="922"/>
      <c r="CF6" s="926" t="s">
        <v>136</v>
      </c>
      <c r="CG6" s="1098"/>
      <c r="CH6" s="1098"/>
      <c r="CI6" s="1129" t="s">
        <v>137</v>
      </c>
      <c r="CJ6" s="1098"/>
      <c r="CK6" s="927"/>
      <c r="CL6" s="1127" t="s">
        <v>140</v>
      </c>
      <c r="CM6" s="1098"/>
      <c r="CN6" s="1128"/>
      <c r="CO6" s="1094"/>
      <c r="CP6" s="1094"/>
      <c r="CQ6" s="990"/>
      <c r="CR6" s="990"/>
      <c r="CS6" s="1096"/>
      <c r="CT6" s="990"/>
      <c r="CU6" s="1097"/>
      <c r="CV6" s="1036" t="s">
        <v>147</v>
      </c>
      <c r="CW6" s="918"/>
      <c r="CX6" s="899"/>
      <c r="CY6" s="1117" t="s">
        <v>148</v>
      </c>
      <c r="CZ6" s="1118"/>
      <c r="DA6" s="1119"/>
      <c r="DB6" s="1130" t="s">
        <v>176</v>
      </c>
      <c r="DC6" s="1131"/>
      <c r="DD6" s="1132"/>
      <c r="DE6" s="1133" t="s">
        <v>177</v>
      </c>
      <c r="DF6" s="1131"/>
      <c r="DG6" s="1132"/>
      <c r="DH6" s="253" t="s">
        <v>29</v>
      </c>
      <c r="DI6" s="1136"/>
      <c r="DJ6" s="1136"/>
      <c r="DK6" s="1137"/>
      <c r="DL6" s="1191"/>
      <c r="DM6" s="1136"/>
      <c r="DN6" s="1192"/>
      <c r="DO6" s="1140"/>
      <c r="DP6" s="1141"/>
      <c r="DQ6" s="1141"/>
      <c r="DR6" s="1076"/>
      <c r="DS6" s="1076"/>
      <c r="DT6" s="1076"/>
      <c r="DU6" s="1076"/>
      <c r="DV6" s="1076"/>
      <c r="DW6" s="1076"/>
      <c r="DX6" s="1094"/>
      <c r="DY6" s="1142"/>
      <c r="DZ6" s="1076"/>
      <c r="EA6" s="1076"/>
      <c r="EB6" s="1076"/>
      <c r="EC6" s="1076"/>
      <c r="ED6" s="1076"/>
      <c r="EE6" s="1260"/>
      <c r="EF6" s="1260"/>
      <c r="EG6" s="1261"/>
      <c r="EH6" s="1196"/>
      <c r="EI6" s="1197"/>
      <c r="EJ6" s="1198"/>
      <c r="EK6" s="1076"/>
      <c r="EL6" s="1094"/>
      <c r="EM6" s="1150" t="s">
        <v>199</v>
      </c>
      <c r="EN6" s="1144"/>
      <c r="EO6" s="1188"/>
      <c r="EP6" s="1143" t="s">
        <v>198</v>
      </c>
      <c r="EQ6" s="1144"/>
      <c r="ER6" s="1145"/>
      <c r="ES6" s="989"/>
      <c r="ET6" s="990"/>
      <c r="EU6" s="1096"/>
      <c r="EV6" s="274" t="s">
        <v>221</v>
      </c>
      <c r="EW6" s="1143" t="s">
        <v>202</v>
      </c>
      <c r="EX6" s="1144"/>
      <c r="EY6" s="1149"/>
      <c r="EZ6" s="1220"/>
      <c r="FA6" s="1156"/>
      <c r="FB6" s="1157"/>
      <c r="FC6" s="1158"/>
      <c r="FD6" s="1150" t="s">
        <v>202</v>
      </c>
      <c r="FE6" s="1144"/>
      <c r="FF6" s="1145"/>
      <c r="FG6" s="1152" t="s">
        <v>224</v>
      </c>
      <c r="FH6" s="1153"/>
      <c r="FI6" s="1154"/>
      <c r="FJ6" s="1075" t="s">
        <v>203</v>
      </c>
      <c r="FK6" s="1093" t="s">
        <v>214</v>
      </c>
      <c r="FL6" s="1095"/>
      <c r="FM6" s="975"/>
      <c r="FN6" s="1120" t="s">
        <v>204</v>
      </c>
      <c r="FO6" s="1222" t="s">
        <v>227</v>
      </c>
      <c r="FP6" s="1215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3" t="s">
        <v>218</v>
      </c>
      <c r="FV6" s="1095"/>
      <c r="FW6" s="975"/>
      <c r="FX6" s="1120" t="s">
        <v>219</v>
      </c>
      <c r="FY6" s="1222" t="s">
        <v>227</v>
      </c>
      <c r="FZ6" s="1215" t="s">
        <v>225</v>
      </c>
      <c r="GA6" s="1217" t="s">
        <v>239</v>
      </c>
      <c r="GB6" s="336" t="s">
        <v>207</v>
      </c>
      <c r="GC6" s="337" t="s">
        <v>240</v>
      </c>
      <c r="GD6" s="338" t="s">
        <v>226</v>
      </c>
      <c r="GE6" s="1239"/>
      <c r="GF6" s="1201" t="s">
        <v>260</v>
      </c>
      <c r="GG6" s="336" t="s">
        <v>207</v>
      </c>
      <c r="GH6" s="337" t="s">
        <v>240</v>
      </c>
      <c r="GI6" s="338" t="s">
        <v>226</v>
      </c>
      <c r="GJ6" s="1242"/>
      <c r="GK6" s="1204"/>
      <c r="GL6" s="1207"/>
      <c r="GM6" s="1207"/>
      <c r="GN6" s="1208"/>
      <c r="GO6" s="1246" t="s">
        <v>238</v>
      </c>
      <c r="GP6" s="1250" t="s">
        <v>225</v>
      </c>
      <c r="GQ6" s="1095" t="s">
        <v>203</v>
      </c>
      <c r="GR6" s="993"/>
      <c r="GS6" s="1176" t="s">
        <v>252</v>
      </c>
      <c r="GT6" s="1177"/>
      <c r="GU6" s="1162" t="s">
        <v>251</v>
      </c>
      <c r="GV6" s="1118"/>
      <c r="GW6" s="1118"/>
      <c r="GX6" s="361" t="s">
        <v>106</v>
      </c>
      <c r="GY6" s="898" t="s">
        <v>250</v>
      </c>
      <c r="GZ6" s="1125"/>
      <c r="HA6" s="1224" t="s">
        <v>252</v>
      </c>
      <c r="HB6" s="1131"/>
      <c r="HC6" s="1131"/>
      <c r="HD6" s="1132"/>
      <c r="HE6" s="898" t="s">
        <v>251</v>
      </c>
      <c r="HF6" s="918"/>
      <c r="HG6" s="918"/>
      <c r="HH6" s="922"/>
      <c r="HI6" s="1179"/>
      <c r="HN6" s="957" t="s">
        <v>238</v>
      </c>
      <c r="HO6" s="960" t="s">
        <v>265</v>
      </c>
      <c r="HP6" s="936" t="s">
        <v>203</v>
      </c>
      <c r="HQ6" s="391"/>
      <c r="HS6" s="1173"/>
      <c r="HT6" s="891" t="s">
        <v>270</v>
      </c>
      <c r="HU6" s="904"/>
      <c r="HV6" s="1175"/>
      <c r="HW6" s="974" t="s">
        <v>258</v>
      </c>
      <c r="HX6" s="894"/>
      <c r="HY6" s="916"/>
      <c r="HZ6" s="974" t="s">
        <v>249</v>
      </c>
      <c r="IA6" s="891"/>
      <c r="IE6" s="853"/>
      <c r="IF6" s="853"/>
    </row>
    <row r="7" spans="1:283" ht="15" customHeight="1" thickBot="1" x14ac:dyDescent="0.4">
      <c r="A7" s="143"/>
      <c r="B7" s="1024" t="s">
        <v>40</v>
      </c>
      <c r="C7" s="1025"/>
      <c r="D7" s="1026"/>
      <c r="E7" s="1027" t="s">
        <v>41</v>
      </c>
      <c r="F7" s="1025"/>
      <c r="G7" s="1028"/>
      <c r="H7" s="995" t="s">
        <v>98</v>
      </c>
      <c r="I7" s="996"/>
      <c r="J7" s="997"/>
      <c r="K7" s="173"/>
      <c r="L7" s="993"/>
      <c r="M7" s="1018"/>
      <c r="N7" s="1039"/>
      <c r="O7" s="1041"/>
      <c r="P7" s="978"/>
      <c r="Q7" s="36" t="s">
        <v>18</v>
      </c>
      <c r="R7" s="2" t="s">
        <v>19</v>
      </c>
      <c r="S7" s="1035"/>
      <c r="T7" s="1071"/>
      <c r="U7" s="1073"/>
      <c r="V7" s="1030"/>
      <c r="W7" s="37" t="str">
        <f>$Q$7</f>
        <v>&lt; θ°</v>
      </c>
      <c r="X7" s="27" t="str">
        <f>$R$7</f>
        <v>r</v>
      </c>
      <c r="Y7" s="1069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61"/>
      <c r="AS7" s="1066" t="s">
        <v>54</v>
      </c>
      <c r="AT7" s="1064" t="s">
        <v>53</v>
      </c>
      <c r="AV7" s="1053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6"/>
      <c r="BC7" s="37" t="str">
        <f>$Q$7</f>
        <v>&lt; θ°</v>
      </c>
      <c r="BD7" s="27" t="str">
        <f>$R$7</f>
        <v>r</v>
      </c>
      <c r="BE7" s="1109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21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51"/>
      <c r="FK7" s="350" t="s">
        <v>211</v>
      </c>
      <c r="FL7" s="351" t="s">
        <v>212</v>
      </c>
      <c r="FM7" s="352" t="s">
        <v>213</v>
      </c>
      <c r="FN7" s="1121"/>
      <c r="FO7" s="1223"/>
      <c r="FP7" s="1216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21"/>
      <c r="FY7" s="1223"/>
      <c r="FZ7" s="1216"/>
      <c r="GA7" s="1218"/>
      <c r="GB7" s="223" t="s">
        <v>232</v>
      </c>
      <c r="GC7" s="131" t="s">
        <v>233</v>
      </c>
      <c r="GD7" s="224" t="s">
        <v>234</v>
      </c>
      <c r="GE7" s="1240"/>
      <c r="GF7" s="1202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7"/>
      <c r="GP7" s="1251"/>
      <c r="GQ7" s="1252"/>
      <c r="GR7" s="125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80"/>
      <c r="HJ7" s="31"/>
      <c r="HK7" s="1183" t="s">
        <v>246</v>
      </c>
      <c r="HL7" s="1183" t="s">
        <v>237</v>
      </c>
      <c r="HM7" s="884" t="s">
        <v>245</v>
      </c>
      <c r="HN7" s="958"/>
      <c r="HO7" s="1187"/>
      <c r="HP7" s="1181"/>
      <c r="HQ7" s="392"/>
      <c r="HR7" s="412"/>
      <c r="HS7" s="117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4" t="s">
        <v>33</v>
      </c>
      <c r="IH7" s="1231" t="s">
        <v>385</v>
      </c>
      <c r="II7" s="920" t="s">
        <v>333</v>
      </c>
      <c r="IJ7" s="921"/>
      <c r="IK7" s="921"/>
      <c r="IL7" s="918"/>
      <c r="IM7" s="918"/>
      <c r="IN7" s="918"/>
      <c r="IO7" s="899"/>
      <c r="IP7" s="898" t="s">
        <v>329</v>
      </c>
      <c r="IQ7" s="918"/>
      <c r="IR7" s="918"/>
      <c r="IS7" s="918"/>
      <c r="IT7" s="918"/>
      <c r="IU7" s="898" t="s">
        <v>328</v>
      </c>
      <c r="IV7" s="918"/>
      <c r="IW7" s="918"/>
      <c r="IX7" s="918"/>
      <c r="IY7" s="899"/>
      <c r="JA7" s="784"/>
      <c r="JB7" s="982" t="s">
        <v>364</v>
      </c>
      <c r="JC7" s="982"/>
      <c r="JD7" s="982"/>
      <c r="JE7" s="983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3"/>
      <c r="M8" s="462" cm="1">
        <f t="array" ref="M8">IF(AND(ISNUMBER('SN#.Run#'!$P$1),COUNT($M$9:$M$150)&gt;='SN#.Run#'!$P$1),INDEX($M$9:$M$150,'SN#.Run#'!$P$1),"")</f>
        <v>1.115</v>
      </c>
      <c r="N8" s="608"/>
      <c r="O8" s="609"/>
      <c r="P8" s="619"/>
      <c r="Q8" s="611">
        <f>IFERROR(INDEX(Q$9:Q$150,MATCH($M$8,$M$9:$M$150,0)),"")</f>
        <v>89.080000132831557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-0.12890038876357235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7"/>
      <c r="AT8" s="1065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4"/>
      <c r="HL8" s="1184"/>
      <c r="HM8" s="969"/>
      <c r="HN8" s="959"/>
      <c r="HO8" s="961"/>
      <c r="HP8" s="1182"/>
      <c r="HQ8" s="393" t="s">
        <v>49</v>
      </c>
      <c r="HR8" s="413" t="s">
        <v>51</v>
      </c>
      <c r="HS8" s="117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0.34220103207831276</v>
      </c>
      <c r="D9" s="704">
        <v>-0.49110148116206714</v>
      </c>
      <c r="E9" s="705">
        <v>-0.96592583607220739</v>
      </c>
      <c r="F9" s="703">
        <v>-6.6987279208207212E-2</v>
      </c>
      <c r="G9" s="706">
        <v>0.24999996726497564</v>
      </c>
      <c r="H9" s="705">
        <v>0.314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0.34220103207831276</v>
      </c>
      <c r="P9" s="625">
        <f t="shared" ref="P9:P40" si="4">IF(M9="","",D9)</f>
        <v>-0.49110148116206714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0.34220103207831276</v>
      </c>
      <c r="S9" s="626">
        <f>IF(M9="","",P9)</f>
        <v>-0.49110148116206714</v>
      </c>
      <c r="T9" s="627">
        <f>IF(M9="","",X9*COS(RADIANS(W9)))</f>
        <v>0.34215691850352342</v>
      </c>
      <c r="U9" s="624">
        <f>IF(M9="","",X9*SIN(RADIANS(W9)))</f>
        <v>5.4944950300889629E-3</v>
      </c>
      <c r="V9" s="628">
        <f>IF(M9="","",Y9)</f>
        <v>-0.49110148116206714</v>
      </c>
      <c r="W9" s="583">
        <f t="shared" ref="W9:W14" si="5">IF(M9="","",IF(Q9-$Q$8&lt;0,360+Q9-$Q$8,Q9-$Q$8))</f>
        <v>0.91999986716844262</v>
      </c>
      <c r="X9" s="629">
        <f>IF(M9="","",R9)</f>
        <v>0.34220103207831276</v>
      </c>
      <c r="Y9" s="630">
        <f>IF(M9="","",S9)</f>
        <v>-0.49110148116206714</v>
      </c>
      <c r="Z9" s="623">
        <f t="shared" ref="Z9:Z40" si="6">IF(M9="","",-E9)</f>
        <v>0.96592583607220739</v>
      </c>
      <c r="AA9" s="624">
        <f t="shared" ref="AA9:AA40" si="7">IF(M9="","",-F9)</f>
        <v>6.6987279208207212E-2</v>
      </c>
      <c r="AB9" s="624">
        <f t="shared" ref="AB9:AB40" si="8">IF(M9="","",-G9)</f>
        <v>-0.24999996726497564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6.6987279208207212E-2</v>
      </c>
      <c r="AF9" s="625">
        <f>IF(M9="","",AB9*(1/SQRT(Z9^2+AA9^2+AB9^2)))</f>
        <v>-0.24999996726497564</v>
      </c>
      <c r="AG9" s="599">
        <f>IF(M9="","",DEGREES(ATAN2(-AF9,AE9)))</f>
        <v>14.999997834268271</v>
      </c>
      <c r="AH9" s="600">
        <f>IF(M9="","",DEGREES(ACOS(AD9)))</f>
        <v>14.999997834268255</v>
      </c>
      <c r="AI9" s="583">
        <f>IF(M9="","",DEGREES(-ACOS(-AF9)))</f>
        <v>-75.522489751159469</v>
      </c>
      <c r="AJ9" s="601">
        <f>IF(M9="","",DEGREES(ATAN2(-AE9,AD9)))</f>
        <v>93.967129645086573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6.6987279208207212E-2</v>
      </c>
      <c r="AM9" s="626">
        <f>IF(M9="","",AF9)</f>
        <v>-0.24999996726497564</v>
      </c>
      <c r="AN9" s="581">
        <f>IF(M9="","",DEGREES(ATAN2(-AM9,AL9)))</f>
        <v>14.999997834268271</v>
      </c>
      <c r="AO9" s="582">
        <f>IF(ROUND(IF(M9="",0,DEGREES(ACOS(AK9))),4)=90,0,IF(M9="","",DEGREES(ACOS(AK9))))</f>
        <v>14.999997834268255</v>
      </c>
      <c r="AP9" s="781">
        <f>IF(M9="","",DEGREES(ATAN2(AK9,AL9)))</f>
        <v>3.9671296450865721</v>
      </c>
      <c r="AQ9" s="584">
        <f t="shared" ref="AQ9:AQ40" si="9">IF(M9="","",DEGREES(ATAN(($AS$5*SIN(RADIANS(90)))/(($X9*2*PI())-($AS$5*COS(RADIANS(90)))))))</f>
        <v>6.6321706843848975</v>
      </c>
      <c r="AS9" s="51">
        <f>IF(M9="","",W9)</f>
        <v>0.91999986716844262</v>
      </c>
      <c r="AT9" s="71">
        <f t="shared" ref="AT9:AT40" si="10">IF(M9="","",Y9+(((AS9-$AS$9)*$AS$6)*-1))</f>
        <v>-0.49110148116206714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43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1.0846032711634659</v>
      </c>
      <c r="D10" s="709">
        <v>-0.29220088127785793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1.0846032711634659</v>
      </c>
      <c r="P10" s="633">
        <f t="shared" si="4"/>
        <v>-0.29220088127785793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1.0846032711634659</v>
      </c>
      <c r="S10" s="634">
        <f t="shared" ref="S10:S105" si="80">IF(M10="","",P10)</f>
        <v>-0.29220088127785793</v>
      </c>
      <c r="T10" s="635">
        <f t="shared" ref="T10:T105" si="81">IF(M10="","",X10*COS(RADIANS(W10)))</f>
        <v>1.0844634535620148</v>
      </c>
      <c r="U10" s="629">
        <f t="shared" ref="U10:U105" si="82">IF(M10="","",X10*SIN(RADIANS(W10)))</f>
        <v>1.7414755434349762E-2</v>
      </c>
      <c r="V10" s="636">
        <f>IF(M10="","",Y10)</f>
        <v>-0.29220088127785793</v>
      </c>
      <c r="W10" s="585">
        <f t="shared" si="5"/>
        <v>0.91999986716844262</v>
      </c>
      <c r="X10" s="629">
        <f t="shared" ref="X10:X105" si="83">IF(M10="","",R10)</f>
        <v>1.0846032711634659</v>
      </c>
      <c r="Y10" s="630">
        <f>IF(M10="","",S10)</f>
        <v>-0.29220088127785793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2.1009569462175133</v>
      </c>
      <c r="AS10" s="52">
        <f>IF($M10="","",IF(AND($W10&lt;($AS$9+180),$W10&gt;($AS$9-180)),$W10,IF($W10&gt;($AS$9+180),$W10-360,IF($W10&lt;($AS$9-180),$W10+360,"Error"))))</f>
        <v>0.91999986716844262</v>
      </c>
      <c r="AT10" s="72">
        <f t="shared" si="10"/>
        <v>-0.29220088127785793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3.2396878159276941E-3</v>
      </c>
      <c r="C11" s="708">
        <v>1.8562027711548192</v>
      </c>
      <c r="D11" s="709">
        <v>-8.7800264805598549E-2</v>
      </c>
      <c r="E11" s="710">
        <v>-0.96577740478945906</v>
      </c>
      <c r="F11" s="708">
        <v>-2.3655802993322702E-2</v>
      </c>
      <c r="G11" s="711">
        <v>0.25829132270147709</v>
      </c>
      <c r="H11" s="710">
        <v>0.314</v>
      </c>
      <c r="I11" s="708">
        <v>0.52</v>
      </c>
      <c r="J11" s="570">
        <v>1.109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1613</v>
      </c>
      <c r="L11" s="779" t="s">
        <v>332</v>
      </c>
      <c r="M11" s="168">
        <f t="shared" si="1"/>
        <v>1.109</v>
      </c>
      <c r="N11" s="632">
        <f t="shared" si="2"/>
        <v>3.2396878159276941E-3</v>
      </c>
      <c r="O11" s="629">
        <f t="shared" si="3"/>
        <v>1.8562027711548192</v>
      </c>
      <c r="P11" s="633">
        <f t="shared" si="4"/>
        <v>-8.7800264805598549E-2</v>
      </c>
      <c r="Q11" s="585">
        <f t="shared" ref="Q11:Q73" si="113">IF(M11="","",IF(DEGREES(ATAN2(N11,O11))&lt;0,DEGREES(ATAN2(N11,O11))+360,IF(DEGREES(ATAN2(N11,O11))&gt;360,DEGREES(ATAN2(N11,O11))-360,DEGREES(ATAN2(N11,O11)))))</f>
        <v>89.900000014438206</v>
      </c>
      <c r="R11" s="629">
        <f t="shared" si="79"/>
        <v>1.856205598316085</v>
      </c>
      <c r="S11" s="634">
        <f t="shared" si="80"/>
        <v>-8.7800264805598549E-2</v>
      </c>
      <c r="T11" s="635">
        <f t="shared" si="81"/>
        <v>1.8560155031890373</v>
      </c>
      <c r="U11" s="629">
        <f t="shared" si="82"/>
        <v>2.6564546710238623E-2</v>
      </c>
      <c r="V11" s="636">
        <f t="shared" ref="V11:V105" si="114">IF(M11="","",Y11)</f>
        <v>-8.7800264805598549E-2</v>
      </c>
      <c r="W11" s="585">
        <f t="shared" si="5"/>
        <v>0.81999988160664827</v>
      </c>
      <c r="X11" s="629">
        <f>IF(M11="","",R11)</f>
        <v>1.856205598316085</v>
      </c>
      <c r="Y11" s="630">
        <f>IF(M11="","",S11)</f>
        <v>-8.7800264805598549E-2</v>
      </c>
      <c r="Z11" s="632">
        <f t="shared" si="6"/>
        <v>0.96577740478945906</v>
      </c>
      <c r="AA11" s="629">
        <f t="shared" si="7"/>
        <v>2.3655802993322702E-2</v>
      </c>
      <c r="AB11" s="629">
        <f t="shared" si="8"/>
        <v>-0.25829132270147709</v>
      </c>
      <c r="AC11" s="636">
        <f t="shared" si="84"/>
        <v>1</v>
      </c>
      <c r="AD11" s="637">
        <f t="shared" ref="AD11:AD105" si="115">IF(M11="","",Z11*(1/SQRT(Z11^2+AA11^2+AB11^2)))</f>
        <v>0.96577740478945906</v>
      </c>
      <c r="AE11" s="629">
        <f t="shared" si="85"/>
        <v>2.3655802993322702E-2</v>
      </c>
      <c r="AF11" s="633">
        <f t="shared" si="86"/>
        <v>-0.25829132270147709</v>
      </c>
      <c r="AG11" s="602">
        <f>IF(M11="","",DEGREES(ATAN2(-AF11,AE11)))</f>
        <v>5.2328781484904239</v>
      </c>
      <c r="AH11" s="603">
        <f t="shared" si="88"/>
        <v>15.032821562572101</v>
      </c>
      <c r="AI11" s="585">
        <f t="shared" si="89"/>
        <v>-75.03130059698303</v>
      </c>
      <c r="AJ11" s="586">
        <f t="shared" si="90"/>
        <v>91.403125302451585</v>
      </c>
      <c r="AK11" s="635">
        <f>IF(M11="","",(COS(RADIANS((90-$Q$8)-W11))*AD11)+(-SIN(RADIANS((90-$Q$8)-W11))*AE11))</f>
        <v>0.96573464668913034</v>
      </c>
      <c r="AL11" s="629">
        <f t="shared" si="91"/>
        <v>2.5341365419846638E-2</v>
      </c>
      <c r="AM11" s="634">
        <f t="shared" si="92"/>
        <v>-0.25829132270147709</v>
      </c>
      <c r="AN11" s="581">
        <f>IF(M11="","",DEGREES(ATAN2(-AM11,AL11)))</f>
        <v>5.603445049231218</v>
      </c>
      <c r="AO11" s="582">
        <f>IF(ROUND(IF(M11="",0,DEGREES(ACOS(AK11))),4)=90,0,IF(M11="","",DEGREES(ACOS(AK11))))</f>
        <v>15.042264001108043</v>
      </c>
      <c r="AP11" s="585">
        <f t="shared" si="95"/>
        <v>1.5031252880133803</v>
      </c>
      <c r="AQ11" s="586">
        <f t="shared" si="9"/>
        <v>1.2279768825732711</v>
      </c>
      <c r="AS11" s="52">
        <f t="shared" ref="AS11:AS42" si="116">IF(G11="","",IF(AND(W11&lt;(AS10+180),W11&gt;(AS10-180)),W11,IF(W11&gt;(AS10+180),W11-360,IF(W11&lt;(AS10-180),W11+360,"Error"))))</f>
        <v>0.81999988160664827</v>
      </c>
      <c r="AT11" s="72">
        <f t="shared" si="10"/>
        <v>-8.7730820371180643E-2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1.109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4.2162462009090088E-2</v>
      </c>
      <c r="C12" s="708">
        <v>2.6255694105739393</v>
      </c>
      <c r="D12" s="709">
        <v>-0.12890038876357235</v>
      </c>
      <c r="E12" s="710">
        <v>-0.9620797203260516</v>
      </c>
      <c r="F12" s="708">
        <v>0.13182746081398827</v>
      </c>
      <c r="G12" s="711">
        <v>0.23879726194553158</v>
      </c>
      <c r="H12" s="710">
        <v>0.314</v>
      </c>
      <c r="I12" s="708">
        <v>0.52</v>
      </c>
      <c r="J12" s="570">
        <v>1.115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1613</v>
      </c>
      <c r="L12" s="773" t="s">
        <v>366</v>
      </c>
      <c r="M12" s="168">
        <f t="shared" si="1"/>
        <v>1.115</v>
      </c>
      <c r="N12" s="632">
        <f t="shared" si="2"/>
        <v>4.2162462009090088E-2</v>
      </c>
      <c r="O12" s="629">
        <f t="shared" si="3"/>
        <v>2.6255694105739393</v>
      </c>
      <c r="P12" s="633">
        <f t="shared" si="4"/>
        <v>-0.12890038876357235</v>
      </c>
      <c r="Q12" s="585">
        <f>IF(M12="","",IF(DEGREES(ATAN2(N12,O12))&lt;0,DEGREES(ATAN2(N12,O12))+360,IF(DEGREES(ATAN2(N12,O12))&gt;360,DEGREES(ATAN2(N12,O12))-360,DEGREES(ATAN2(N12,O12)))))</f>
        <v>89.080000132831557</v>
      </c>
      <c r="R12" s="629">
        <f t="shared" si="79"/>
        <v>2.6259079197382857</v>
      </c>
      <c r="S12" s="634">
        <f t="shared" si="80"/>
        <v>-0.12890038876357235</v>
      </c>
      <c r="T12" s="635">
        <f>IF(M12="","",X12*COS(RADIANS(W12)))</f>
        <v>2.6259079197382857</v>
      </c>
      <c r="U12" s="629">
        <f t="shared" si="82"/>
        <v>0</v>
      </c>
      <c r="V12" s="636">
        <f t="shared" si="114"/>
        <v>-0.12890038876357235</v>
      </c>
      <c r="W12" s="585">
        <f>IF(M12="","",IF(Q12-$Q$8&lt;0,360+Q12-$Q$8,Q12-$Q$8))</f>
        <v>0</v>
      </c>
      <c r="X12" s="629">
        <f t="shared" si="83"/>
        <v>2.6259079197382857</v>
      </c>
      <c r="Y12" s="630">
        <f>IF(M12="","",S12)</f>
        <v>-0.12890038876357235</v>
      </c>
      <c r="Z12" s="632">
        <f t="shared" si="6"/>
        <v>0.9620797203260516</v>
      </c>
      <c r="AA12" s="629">
        <f t="shared" si="7"/>
        <v>-0.13182746081398827</v>
      </c>
      <c r="AB12" s="629">
        <f t="shared" si="8"/>
        <v>-0.23879726194553158</v>
      </c>
      <c r="AC12" s="636">
        <f t="shared" si="84"/>
        <v>1</v>
      </c>
      <c r="AD12" s="637">
        <f t="shared" si="115"/>
        <v>0.9620797203260516</v>
      </c>
      <c r="AE12" s="629">
        <f t="shared" si="85"/>
        <v>-0.13182746081398827</v>
      </c>
      <c r="AF12" s="633">
        <f t="shared" si="86"/>
        <v>-0.23879726194553158</v>
      </c>
      <c r="AG12" s="602">
        <f t="shared" si="87"/>
        <v>-28.900788907884266</v>
      </c>
      <c r="AH12" s="603">
        <f t="shared" si="88"/>
        <v>15.829070691309482</v>
      </c>
      <c r="AI12" s="585">
        <f t="shared" si="89"/>
        <v>-76.184435333375291</v>
      </c>
      <c r="AJ12" s="586">
        <f t="shared" si="90"/>
        <v>82.197724136913806</v>
      </c>
      <c r="AK12" s="635">
        <f t="shared" ref="AK12:AK105" si="211">IF(M12="","",(COS(RADIANS((90-$Q$8)-W12))*AD12)+(-SIN(RADIANS((90-$Q$8)-W12))*AE12))</f>
        <v>0.96407236350551384</v>
      </c>
      <c r="AL12" s="629">
        <f>IF(M12="","",(SIN(RADIANS((90-$Q$8)-W12))*AD12)+(COS(RADIANS((90-$Q$8)-W12))*AE12))</f>
        <v>-0.11636299073249036</v>
      </c>
      <c r="AM12" s="634">
        <f t="shared" si="92"/>
        <v>-0.23879726194553158</v>
      </c>
      <c r="AN12" s="581">
        <f>IF(M12="","",DEGREES(ATAN2(-AM12,AL12)))</f>
        <v>-25.979408896703713</v>
      </c>
      <c r="AO12" s="582">
        <f t="shared" si="94"/>
        <v>15.404970432113993</v>
      </c>
      <c r="AP12" s="585">
        <f t="shared" si="95"/>
        <v>-6.8822759959177544</v>
      </c>
      <c r="AQ12" s="586">
        <f t="shared" si="9"/>
        <v>0.86810057886043657</v>
      </c>
      <c r="AS12" s="52">
        <f t="shared" si="116"/>
        <v>0</v>
      </c>
      <c r="AT12" s="72">
        <f>IF(M12="","",Y12+(((AS12-$AS$9)*$AS$6)*-1))</f>
        <v>-0.12826149996692759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1.115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0.1094181068119587</v>
      </c>
      <c r="C13" s="708">
        <v>3.281085963163429</v>
      </c>
      <c r="D13" s="709">
        <v>-0.55730168082186871</v>
      </c>
      <c r="E13" s="710">
        <v>-0.94864898642851914</v>
      </c>
      <c r="F13" s="708">
        <v>0.2718612613127438</v>
      </c>
      <c r="G13" s="711">
        <v>0.16172988327945867</v>
      </c>
      <c r="H13" s="710">
        <v>0.314</v>
      </c>
      <c r="I13" s="708">
        <v>0.52</v>
      </c>
      <c r="J13" s="570">
        <v>1.123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1.123</v>
      </c>
      <c r="N13" s="632">
        <f t="shared" si="2"/>
        <v>0.1094181068119587</v>
      </c>
      <c r="O13" s="629">
        <f t="shared" si="3"/>
        <v>3.281085963163429</v>
      </c>
      <c r="P13" s="633">
        <f t="shared" si="4"/>
        <v>-0.55730168082186871</v>
      </c>
      <c r="Q13" s="585">
        <f t="shared" si="113"/>
        <v>88.090000275769839</v>
      </c>
      <c r="R13" s="629">
        <f t="shared" si="79"/>
        <v>3.2829099012562621</v>
      </c>
      <c r="S13" s="634">
        <f t="shared" si="80"/>
        <v>-0.55730168082186871</v>
      </c>
      <c r="T13" s="635">
        <f>IF(M13="","",X13*COS(RADIANS(W13)))</f>
        <v>3.282419848132395</v>
      </c>
      <c r="U13" s="629">
        <f t="shared" si="82"/>
        <v>-5.6721780233937896E-2</v>
      </c>
      <c r="V13" s="636">
        <f t="shared" si="114"/>
        <v>-0.55730168082186871</v>
      </c>
      <c r="W13" s="585">
        <f t="shared" si="5"/>
        <v>359.01000014293828</v>
      </c>
      <c r="X13" s="629">
        <f t="shared" si="83"/>
        <v>3.2829099012562621</v>
      </c>
      <c r="Y13" s="630">
        <f>IF(M13="","",S13)</f>
        <v>-0.55730168082186871</v>
      </c>
      <c r="Z13" s="632">
        <f t="shared" si="6"/>
        <v>0.94864898642851914</v>
      </c>
      <c r="AA13" s="629">
        <f t="shared" si="7"/>
        <v>-0.2718612613127438</v>
      </c>
      <c r="AB13" s="629">
        <f t="shared" si="8"/>
        <v>-0.16172988327945867</v>
      </c>
      <c r="AC13" s="636">
        <f t="shared" si="84"/>
        <v>1</v>
      </c>
      <c r="AD13" s="637">
        <f>IF(M13="","",Z13*(1/SQRT(Z13^2+AA13^2+AB13^2)))</f>
        <v>0.94864898642851914</v>
      </c>
      <c r="AE13" s="629">
        <f t="shared" si="85"/>
        <v>-0.2718612613127438</v>
      </c>
      <c r="AF13" s="633">
        <f t="shared" si="86"/>
        <v>-0.16172988327945867</v>
      </c>
      <c r="AG13" s="602">
        <f>IF(M13="","",DEGREES(ATAN2(-AF13,AE13)))</f>
        <v>-59.251645470026055</v>
      </c>
      <c r="AH13" s="603">
        <f t="shared" si="88"/>
        <v>18.441164568303083</v>
      </c>
      <c r="AI13" s="585">
        <f t="shared" si="89"/>
        <v>-80.692680889320584</v>
      </c>
      <c r="AJ13" s="586">
        <f t="shared" si="90"/>
        <v>74.008899522250033</v>
      </c>
      <c r="AK13" s="635">
        <f t="shared" si="211"/>
        <v>0.95718296035651385</v>
      </c>
      <c r="AL13" s="629">
        <f t="shared" si="91"/>
        <v>-0.24009211827453431</v>
      </c>
      <c r="AM13" s="634">
        <f t="shared" si="92"/>
        <v>-0.16172988327945867</v>
      </c>
      <c r="AN13" s="581">
        <f t="shared" si="93"/>
        <v>-56.035162968794019</v>
      </c>
      <c r="AO13" s="582">
        <f t="shared" si="94"/>
        <v>16.827045099234542</v>
      </c>
      <c r="AP13" s="585">
        <f t="shared" si="95"/>
        <v>-14.081100753519836</v>
      </c>
      <c r="AQ13" s="586">
        <f t="shared" si="9"/>
        <v>0.69438854087979107</v>
      </c>
      <c r="AS13" s="52">
        <f t="shared" si="116"/>
        <v>-0.98999985706171856</v>
      </c>
      <c r="AT13" s="72">
        <f t="shared" si="10"/>
        <v>-0.5559752921244866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1.123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0.15711618532841801</v>
      </c>
      <c r="C14" s="708">
        <v>3.6276100991598836</v>
      </c>
      <c r="D14" s="709">
        <v>-1.2592037977586543</v>
      </c>
      <c r="E14" s="710">
        <v>-0.90456913498774594</v>
      </c>
      <c r="F14" s="708">
        <v>0.41929574215967874</v>
      </c>
      <c r="G14" s="711">
        <v>7.7108758479729006E-2</v>
      </c>
      <c r="H14" s="710">
        <v>0.314</v>
      </c>
      <c r="I14" s="708">
        <v>0.52</v>
      </c>
      <c r="J14" s="570">
        <v>1.131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1613</v>
      </c>
      <c r="L14" s="776" t="s">
        <v>367</v>
      </c>
      <c r="M14" s="168">
        <f t="shared" si="1"/>
        <v>1.131</v>
      </c>
      <c r="N14" s="632">
        <f t="shared" si="2"/>
        <v>0.15711618532841801</v>
      </c>
      <c r="O14" s="629">
        <f t="shared" si="3"/>
        <v>3.6276100991598836</v>
      </c>
      <c r="P14" s="633">
        <f t="shared" si="4"/>
        <v>-1.2592037977586543</v>
      </c>
      <c r="Q14" s="585">
        <f t="shared" si="113"/>
        <v>87.520000358067648</v>
      </c>
      <c r="R14" s="629">
        <f t="shared" si="79"/>
        <v>3.6310109511290287</v>
      </c>
      <c r="S14" s="634">
        <f t="shared" si="80"/>
        <v>-1.2592037977586543</v>
      </c>
      <c r="T14" s="635">
        <f t="shared" si="81"/>
        <v>3.6296651696713504</v>
      </c>
      <c r="U14" s="629">
        <f t="shared" si="82"/>
        <v>-9.8849801687110814E-2</v>
      </c>
      <c r="V14" s="636">
        <f t="shared" si="114"/>
        <v>-1.2592037977586543</v>
      </c>
      <c r="W14" s="585">
        <f t="shared" si="5"/>
        <v>358.44000022523608</v>
      </c>
      <c r="X14" s="629">
        <f t="shared" si="83"/>
        <v>3.6310109511290287</v>
      </c>
      <c r="Y14" s="630">
        <f t="shared" ref="Y14:Y75" si="223">IF(M14="","",S14)</f>
        <v>-1.2592037977586543</v>
      </c>
      <c r="Z14" s="632">
        <f t="shared" si="6"/>
        <v>0.90456913498774594</v>
      </c>
      <c r="AA14" s="629">
        <f t="shared" si="7"/>
        <v>-0.41929574215967874</v>
      </c>
      <c r="AB14" s="629">
        <f t="shared" si="8"/>
        <v>-7.7108758479729006E-2</v>
      </c>
      <c r="AC14" s="636">
        <f t="shared" si="84"/>
        <v>1</v>
      </c>
      <c r="AD14" s="637">
        <f>IF(M14="","",Z14*(1/SQRT(Z14^2+AA14^2+AB14^2)))</f>
        <v>0.90456913498774594</v>
      </c>
      <c r="AE14" s="629">
        <f t="shared" si="85"/>
        <v>-0.41929574215967874</v>
      </c>
      <c r="AF14" s="633">
        <f t="shared" si="86"/>
        <v>-7.7108758479729006E-2</v>
      </c>
      <c r="AG14" s="602">
        <f t="shared" si="87"/>
        <v>-79.579697636697446</v>
      </c>
      <c r="AH14" s="603">
        <f t="shared" si="88"/>
        <v>25.234684835193068</v>
      </c>
      <c r="AI14" s="585">
        <f t="shared" si="89"/>
        <v>-85.577603751953546</v>
      </c>
      <c r="AJ14" s="586">
        <f t="shared" si="90"/>
        <v>65.130819967292553</v>
      </c>
      <c r="AK14" s="635">
        <f>IF(M14="","",(COS(RADIANS((90-$Q$8)-W14))*AD14)+(-SIN(RADIANS((90-$Q$8)-W14))*AE14))</f>
        <v>0.92186510094706042</v>
      </c>
      <c r="AL14" s="629">
        <f t="shared" si="91"/>
        <v>-0.37976173454098938</v>
      </c>
      <c r="AM14" s="634">
        <f t="shared" si="92"/>
        <v>-7.7108758479729006E-2</v>
      </c>
      <c r="AN14" s="581">
        <f t="shared" si="93"/>
        <v>-78.522405375065702</v>
      </c>
      <c r="AO14" s="582">
        <f t="shared" si="94"/>
        <v>22.799711777563431</v>
      </c>
      <c r="AP14" s="585">
        <f>IF(M14="","",DEGREES(ATAN2(AK14,AL14)))</f>
        <v>-22.389180390775099</v>
      </c>
      <c r="AQ14" s="586">
        <f t="shared" si="9"/>
        <v>0.62782388169840231</v>
      </c>
      <c r="AS14" s="52">
        <f t="shared" si="116"/>
        <v>-1.5599997747639236</v>
      </c>
      <c r="AT14" s="72">
        <f t="shared" si="10"/>
        <v>-1.2574815757850901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1.131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0.16882562170551899</v>
      </c>
      <c r="C15" s="708">
        <v>3.7035652523687843</v>
      </c>
      <c r="D15" s="709">
        <v>-2.0330061315464927</v>
      </c>
      <c r="E15" s="710">
        <v>-0.79218319870786902</v>
      </c>
      <c r="F15" s="708">
        <v>0.61028336015735529</v>
      </c>
      <c r="G15" s="711">
        <v>1.3008419214442152E-7</v>
      </c>
      <c r="H15" s="710">
        <v>0.314</v>
      </c>
      <c r="I15" s="708">
        <v>0.52</v>
      </c>
      <c r="J15" s="570">
        <v>1.139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1.139</v>
      </c>
      <c r="N15" s="632">
        <f t="shared" si="2"/>
        <v>0.16882562170551899</v>
      </c>
      <c r="O15" s="629">
        <f t="shared" si="3"/>
        <v>3.7035652523687843</v>
      </c>
      <c r="P15" s="633">
        <f t="shared" si="4"/>
        <v>-2.0330061315464927</v>
      </c>
      <c r="Q15" s="585">
        <f t="shared" si="113"/>
        <v>87.390000376837335</v>
      </c>
      <c r="R15" s="629">
        <f t="shared" si="79"/>
        <v>3.7074111815521231</v>
      </c>
      <c r="S15" s="634">
        <f t="shared" si="80"/>
        <v>-2.0330061315464927</v>
      </c>
      <c r="T15" s="635">
        <f t="shared" si="81"/>
        <v>3.70579854205825</v>
      </c>
      <c r="U15" s="629">
        <f t="shared" si="82"/>
        <v>-0.10933816706282941</v>
      </c>
      <c r="V15" s="636">
        <f t="shared" si="114"/>
        <v>-2.0330061315464927</v>
      </c>
      <c r="W15" s="585">
        <f t="shared" ref="W15:W78" si="224">IF(M15="","",IF(Q15-$Q$8&lt;0,360+Q15-$Q$8,Q15-$Q$8))</f>
        <v>358.31000024400578</v>
      </c>
      <c r="X15" s="629">
        <f>IF(M15="","",R15)</f>
        <v>3.7074111815521231</v>
      </c>
      <c r="Y15" s="630">
        <f>IF(M15="","",S15)</f>
        <v>-2.0330061315464927</v>
      </c>
      <c r="Z15" s="632">
        <f t="shared" si="6"/>
        <v>0.79218319870786902</v>
      </c>
      <c r="AA15" s="629">
        <f t="shared" si="7"/>
        <v>-0.61028336015735529</v>
      </c>
      <c r="AB15" s="629">
        <f t="shared" si="8"/>
        <v>-1.3008419214442152E-7</v>
      </c>
      <c r="AC15" s="636">
        <f t="shared" si="84"/>
        <v>1</v>
      </c>
      <c r="AD15" s="637">
        <f t="shared" si="115"/>
        <v>0.79218319870786902</v>
      </c>
      <c r="AE15" s="629">
        <f t="shared" si="85"/>
        <v>-0.61028336015735529</v>
      </c>
      <c r="AF15" s="633">
        <f t="shared" si="86"/>
        <v>-1.3008419214442152E-7</v>
      </c>
      <c r="AG15" s="602">
        <f t="shared" si="87"/>
        <v>-89.999987787189241</v>
      </c>
      <c r="AH15" s="603">
        <f t="shared" si="88"/>
        <v>37.609994569788554</v>
      </c>
      <c r="AI15" s="585">
        <f t="shared" si="89"/>
        <v>-89.999992546724812</v>
      </c>
      <c r="AJ15" s="586">
        <f t="shared" si="90"/>
        <v>52.390005430212064</v>
      </c>
      <c r="AK15" s="635">
        <f t="shared" si="211"/>
        <v>0.81915209487729179</v>
      </c>
      <c r="AL15" s="629">
        <f t="shared" si="91"/>
        <v>-0.57357636410344504</v>
      </c>
      <c r="AM15" s="634">
        <f t="shared" si="92"/>
        <v>-1.3008419214442152E-7</v>
      </c>
      <c r="AN15" s="581">
        <f>IF(M15="","",DEGREES(ATAN2(-AM15,AL15)))</f>
        <v>-89.999987005609626</v>
      </c>
      <c r="AO15" s="582">
        <f t="shared" si="94"/>
        <v>34.999994946625968</v>
      </c>
      <c r="AP15" s="585">
        <f t="shared" si="95"/>
        <v>-34.9999949466253</v>
      </c>
      <c r="AQ15" s="586">
        <f t="shared" si="9"/>
        <v>0.6148870464377052</v>
      </c>
      <c r="AS15" s="52">
        <f t="shared" si="116"/>
        <v>-1.6899997559942221</v>
      </c>
      <c r="AT15" s="72">
        <f t="shared" si="10"/>
        <v>-2.0311936318081854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1.1248460924842276</v>
      </c>
      <c r="C16" s="708">
        <v>1.3372159311255105</v>
      </c>
      <c r="D16" s="709">
        <v>-0.11460034563464243</v>
      </c>
      <c r="E16" s="710">
        <v>-0.76505227886251637</v>
      </c>
      <c r="F16" s="708">
        <v>0.59084191237183481</v>
      </c>
      <c r="G16" s="711">
        <v>0.25612661945230097</v>
      </c>
      <c r="H16" s="710">
        <v>0.314</v>
      </c>
      <c r="I16" s="708">
        <v>0.52</v>
      </c>
      <c r="J16" s="570">
        <v>2.1080000000000001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1613</v>
      </c>
      <c r="L16" s="320"/>
      <c r="M16" s="168">
        <f t="shared" si="1"/>
        <v>2.1080000000000001</v>
      </c>
      <c r="N16" s="632">
        <f t="shared" si="2"/>
        <v>1.1248460924842276</v>
      </c>
      <c r="O16" s="629">
        <f t="shared" si="3"/>
        <v>1.3372159311255105</v>
      </c>
      <c r="P16" s="633">
        <f t="shared" si="4"/>
        <v>-0.11460034563464243</v>
      </c>
      <c r="Q16" s="585">
        <f>IF(M16="","",IF(DEGREES(ATAN2(N16,O16))&lt;0,DEGREES(ATAN2(N16,O16))+360,IF(DEGREES(ATAN2(N16,O16))&gt;360,DEGREES(ATAN2(N16,O16))-360,DEGREES(ATAN2(N16,O16)))))</f>
        <v>49.929953807829797</v>
      </c>
      <c r="R16" s="629">
        <f t="shared" si="79"/>
        <v>1.7474052701742953</v>
      </c>
      <c r="S16" s="634">
        <f t="shared" si="80"/>
        <v>-0.11460034563464243</v>
      </c>
      <c r="T16" s="635">
        <f t="shared" si="81"/>
        <v>1.3551044566293766</v>
      </c>
      <c r="U16" s="629">
        <f t="shared" si="82"/>
        <v>-1.1032302977420916</v>
      </c>
      <c r="V16" s="636">
        <f t="shared" si="114"/>
        <v>-0.11460034563464243</v>
      </c>
      <c r="W16" s="585">
        <f>IF(M16="","",IF(Q16-$Q$8&lt;0,360+Q16-$Q$8,Q16-$Q$8))</f>
        <v>320.84995367499823</v>
      </c>
      <c r="X16" s="629">
        <f t="shared" si="83"/>
        <v>1.7474052701742953</v>
      </c>
      <c r="Y16" s="630">
        <f t="shared" si="223"/>
        <v>-0.11460034563464243</v>
      </c>
      <c r="Z16" s="632">
        <f t="shared" si="6"/>
        <v>0.76505227886251637</v>
      </c>
      <c r="AA16" s="629">
        <f t="shared" si="7"/>
        <v>-0.59084191237183481</v>
      </c>
      <c r="AB16" s="629">
        <f t="shared" si="8"/>
        <v>-0.25612661945230097</v>
      </c>
      <c r="AC16" s="636">
        <f t="shared" si="84"/>
        <v>1</v>
      </c>
      <c r="AD16" s="637">
        <f t="shared" si="115"/>
        <v>0.76505227886251637</v>
      </c>
      <c r="AE16" s="629">
        <f t="shared" si="85"/>
        <v>-0.59084191237183481</v>
      </c>
      <c r="AF16" s="633">
        <f t="shared" si="86"/>
        <v>-0.25612661945230097</v>
      </c>
      <c r="AG16" s="602">
        <f t="shared" si="87"/>
        <v>-66.563541481560662</v>
      </c>
      <c r="AH16" s="603">
        <f t="shared" si="88"/>
        <v>40.088356802251219</v>
      </c>
      <c r="AI16" s="585">
        <f t="shared" si="89"/>
        <v>-75.159647103161788</v>
      </c>
      <c r="AJ16" s="586">
        <f t="shared" si="90"/>
        <v>52.321464528164839</v>
      </c>
      <c r="AK16" s="635">
        <f t="shared" si="211"/>
        <v>0.96580131733142016</v>
      </c>
      <c r="AL16" s="629">
        <f t="shared" si="91"/>
        <v>4.033571926754298E-2</v>
      </c>
      <c r="AM16" s="634">
        <f t="shared" si="92"/>
        <v>-0.25612661945230097</v>
      </c>
      <c r="AN16" s="581">
        <f t="shared" si="93"/>
        <v>8.9496367668957557</v>
      </c>
      <c r="AO16" s="582">
        <f t="shared" si="94"/>
        <v>15.027538335205138</v>
      </c>
      <c r="AP16" s="585">
        <f t="shared" si="95"/>
        <v>2.3915107203350643</v>
      </c>
      <c r="AQ16" s="586">
        <f t="shared" si="9"/>
        <v>1.3044099127592221</v>
      </c>
      <c r="AS16" s="52">
        <f t="shared" si="116"/>
        <v>-39.150046325001767</v>
      </c>
      <c r="AT16" s="72">
        <f t="shared" si="10"/>
        <v>-8.6773924667857563E-2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2.1080000000000001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1.6440127299759071</v>
      </c>
      <c r="C17" s="708">
        <v>1.9046039819222536</v>
      </c>
      <c r="D17" s="709">
        <v>-9.7900295267290618E-2</v>
      </c>
      <c r="E17" s="710">
        <v>-0.6656128718473503</v>
      </c>
      <c r="F17" s="708">
        <v>0.70471878224245688</v>
      </c>
      <c r="G17" s="711">
        <v>0.24562357945814478</v>
      </c>
      <c r="H17" s="710">
        <v>0.314</v>
      </c>
      <c r="I17" s="708">
        <v>0.52</v>
      </c>
      <c r="J17" s="570">
        <v>2.1139999999999999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1613</v>
      </c>
      <c r="M17" s="168">
        <f t="shared" si="1"/>
        <v>2.1139999999999999</v>
      </c>
      <c r="N17" s="632">
        <f t="shared" si="2"/>
        <v>1.6440127299759071</v>
      </c>
      <c r="O17" s="629">
        <f t="shared" si="3"/>
        <v>1.9046039819222536</v>
      </c>
      <c r="P17" s="633">
        <f t="shared" si="4"/>
        <v>-9.7900295267290618E-2</v>
      </c>
      <c r="Q17" s="585">
        <f>IF(M17="","",IF(DEGREES(ATAN2(N17,O17))&lt;0,DEGREES(ATAN2(N17,O17))+360,IF(DEGREES(ATAN2(N17,O17))&gt;360,DEGREES(ATAN2(N17,O17))-360,DEGREES(ATAN2(N17,O17)))))</f>
        <v>49.199953913228725</v>
      </c>
      <c r="R17" s="629">
        <f>IF(M17="","",SQRT(N17^2+O17^2))</f>
        <v>2.5160075882788866</v>
      </c>
      <c r="S17" s="634">
        <f>IF(M17="","",P17)</f>
        <v>-9.7900295267290618E-2</v>
      </c>
      <c r="T17" s="635">
        <f>IF(M17="","",X17*COS(RADIANS(W17)))</f>
        <v>1.9307552790989577</v>
      </c>
      <c r="U17" s="629">
        <f>IF(M17="","",X17*SIN(RADIANS(W17)))</f>
        <v>-1.613219835145987</v>
      </c>
      <c r="V17" s="636">
        <f>IF(M17="","",Y17)</f>
        <v>-9.7900295267290618E-2</v>
      </c>
      <c r="W17" s="585">
        <f t="shared" si="224"/>
        <v>320.11995378039717</v>
      </c>
      <c r="X17" s="629">
        <f>IF(M17="","",R17)</f>
        <v>2.5160075882788866</v>
      </c>
      <c r="Y17" s="630">
        <f t="shared" si="223"/>
        <v>-9.7900295267290618E-2</v>
      </c>
      <c r="Z17" s="632">
        <f t="shared" si="6"/>
        <v>0.6656128718473503</v>
      </c>
      <c r="AA17" s="629">
        <f t="shared" si="7"/>
        <v>-0.70471878224245688</v>
      </c>
      <c r="AB17" s="629">
        <f t="shared" si="8"/>
        <v>-0.24562357945814478</v>
      </c>
      <c r="AC17" s="636">
        <f>IF(M17="","",SQRT(Z17^2+AA17^2+AB17^2))</f>
        <v>1</v>
      </c>
      <c r="AD17" s="637">
        <f>IF(M17="","",Z17*(1/SQRT(Z17^2+AA17^2+AB17^2)))</f>
        <v>0.6656128718473503</v>
      </c>
      <c r="AE17" s="629">
        <f>IF(M17="","",AA17*(1/SQRT(Z17^2+AA17^2+AB17^2)))</f>
        <v>-0.70471878224245688</v>
      </c>
      <c r="AF17" s="633">
        <f>IF(M17="","",AB17*(1/SQRT(Z17^2+AA17^2+AB17^2)))</f>
        <v>-0.24562357945814478</v>
      </c>
      <c r="AG17" s="602">
        <f>IF(M17="","",DEGREES(ATAN2(-AF17,AE17)))</f>
        <v>-70.784445584124512</v>
      </c>
      <c r="AH17" s="603">
        <f>IF(M17="","",DEGREES(ACOS(AD17)))</f>
        <v>48.270639559370153</v>
      </c>
      <c r="AI17" s="585">
        <f>IF(M17="","",DEGREES(-ACOS(-AF17)))</f>
        <v>-75.781311679323636</v>
      </c>
      <c r="AJ17" s="586">
        <f>IF(M17="","",DEGREES(ATAN2(-AE17,AD17)))</f>
        <v>43.365362380053114</v>
      </c>
      <c r="AK17" s="635">
        <f>IF(M17="","",(COS(RADIANS((90-$Q$8)-W17))*AD17)+(-SIN(RADIANS((90-$Q$8)-W17))*AE17))</f>
        <v>0.9643435045673423</v>
      </c>
      <c r="AL17" s="629">
        <f>IF(M17="","",(SIN(RADIANS((90-$Q$8)-W17))*AD17)+(COS(RADIANS((90-$Q$8)-W17))*AE17))</f>
        <v>-9.8542693351382882E-2</v>
      </c>
      <c r="AM17" s="634">
        <f>IF(M17="","",AF17)</f>
        <v>-0.24562357945814478</v>
      </c>
      <c r="AN17" s="581">
        <f>IF(M17="","",DEGREES(ATAN2(-AM17,AL17)))</f>
        <v>-21.860357723445599</v>
      </c>
      <c r="AO17" s="582">
        <f t="shared" si="94"/>
        <v>15.346379341709286</v>
      </c>
      <c r="AP17" s="585">
        <f>IF(M17="","",DEGREES(ATAN2(AK17,AL17)))</f>
        <v>-5.8345915331756046</v>
      </c>
      <c r="AQ17" s="586">
        <f t="shared" si="9"/>
        <v>0.9060134100733015</v>
      </c>
      <c r="AS17" s="52">
        <f t="shared" si="116"/>
        <v>-39.880046219602832</v>
      </c>
      <c r="AT17" s="72">
        <f t="shared" si="10"/>
        <v>-6.9566929929255006E-2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2.1139999999999999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2.1425770091180434</v>
      </c>
      <c r="C18" s="708">
        <v>2.3963381103255408</v>
      </c>
      <c r="D18" s="709">
        <v>-0.48550146427241586</v>
      </c>
      <c r="E18" s="710">
        <v>-0.5615267176309896</v>
      </c>
      <c r="F18" s="708">
        <v>0.80843962697540706</v>
      </c>
      <c r="G18" s="711">
        <v>0.17638910091735177</v>
      </c>
      <c r="H18" s="710">
        <v>0.314</v>
      </c>
      <c r="I18" s="708">
        <v>0.52</v>
      </c>
      <c r="J18" s="570">
        <v>2.1219999999999999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1613</v>
      </c>
      <c r="L18" s="779" t="s">
        <v>331</v>
      </c>
      <c r="M18" s="168">
        <f t="shared" si="1"/>
        <v>2.1219999999999999</v>
      </c>
      <c r="N18" s="632">
        <f t="shared" si="2"/>
        <v>2.1425770091180434</v>
      </c>
      <c r="O18" s="629">
        <f t="shared" si="3"/>
        <v>2.3963381103255408</v>
      </c>
      <c r="P18" s="633">
        <f t="shared" si="4"/>
        <v>-0.48550146427241586</v>
      </c>
      <c r="Q18" s="585">
        <f t="shared" si="113"/>
        <v>48.199954057610846</v>
      </c>
      <c r="R18" s="629">
        <f>IF(M18="","",SQRT(N18^2+O18^2))</f>
        <v>3.2145096949612402</v>
      </c>
      <c r="S18" s="634">
        <f>IF(M18="","",P18)</f>
        <v>-0.48550146427241586</v>
      </c>
      <c r="T18" s="635">
        <f>IF(M18="","",X18*COS(RADIANS(W18)))</f>
        <v>2.4304311334145581</v>
      </c>
      <c r="U18" s="629">
        <f>IF(M18="","",X18*SIN(RADIANS(W18)))</f>
        <v>-2.1038243949362863</v>
      </c>
      <c r="V18" s="636">
        <f>IF(M18="","",Y18)</f>
        <v>-0.48550146427241586</v>
      </c>
      <c r="W18" s="585">
        <f t="shared" si="224"/>
        <v>319.11995392477928</v>
      </c>
      <c r="X18" s="629">
        <f>IF(M18="","",R18)</f>
        <v>3.2145096949612402</v>
      </c>
      <c r="Y18" s="630">
        <f t="shared" si="223"/>
        <v>-0.48550146427241586</v>
      </c>
      <c r="Z18" s="632">
        <f t="shared" si="6"/>
        <v>0.5615267176309896</v>
      </c>
      <c r="AA18" s="629">
        <f t="shared" si="7"/>
        <v>-0.80843962697540706</v>
      </c>
      <c r="AB18" s="629">
        <f t="shared" si="8"/>
        <v>-0.17638910091735177</v>
      </c>
      <c r="AC18" s="636">
        <f>IF(M18="","",SQRT(Z18^2+AA18^2+AB18^2))</f>
        <v>1</v>
      </c>
      <c r="AD18" s="637">
        <f>IF(M18="","",Z18*(1/SQRT(Z18^2+AA18^2+AB18^2)))</f>
        <v>0.5615267176309896</v>
      </c>
      <c r="AE18" s="629">
        <f>IF(M18="","",AA18*(1/SQRT(Z18^2+AA18^2+AB18^2)))</f>
        <v>-0.80843962697540706</v>
      </c>
      <c r="AF18" s="633">
        <f>IF(M18="","",AB18*(1/SQRT(Z18^2+AA18^2+AB18^2)))</f>
        <v>-0.17638910091735177</v>
      </c>
      <c r="AG18" s="602">
        <f>IF(M18="","",DEGREES(ATAN2(-AF18,AE18)))</f>
        <v>-77.691830396085322</v>
      </c>
      <c r="AH18" s="603">
        <f>IF(M18="","",DEGREES(ACOS(AD18)))</f>
        <v>55.838553671574978</v>
      </c>
      <c r="AI18" s="585">
        <f>IF(M18="","",DEGREES(-ACOS(-AF18)))</f>
        <v>-79.840494664581001</v>
      </c>
      <c r="AJ18" s="586">
        <f>IF(M18="","",DEGREES(ATAN2(-AE18,AD18)))</f>
        <v>34.783105362817594</v>
      </c>
      <c r="AK18" s="635">
        <f>IF(M18="","",(COS(RADIANS((90-$Q$8)-W18))*AD18)+(-SIN(RADIANS((90-$Q$8)-W18))*AE18))</f>
        <v>0.95745613592860379</v>
      </c>
      <c r="AL18" s="629">
        <f>IF(M18="","",(SIN(RADIANS((90-$Q$8)-W18))*AD18)+(COS(RADIANS((90-$Q$8)-W18))*AE18))</f>
        <v>-0.22839578115682335</v>
      </c>
      <c r="AM18" s="634">
        <f>IF(M18="","",AF18)</f>
        <v>-0.17638910091735177</v>
      </c>
      <c r="AN18" s="581">
        <f>IF(M18="","",DEGREES(ATAN2(-AM18,AL18)))</f>
        <v>-52.32124198019379</v>
      </c>
      <c r="AO18" s="582">
        <f t="shared" si="94"/>
        <v>16.772892454627339</v>
      </c>
      <c r="AP18" s="585">
        <f>IF(M18="","",DEGREES(ATAN2(AK18,AL18)))</f>
        <v>-13.416848694793256</v>
      </c>
      <c r="AQ18" s="586">
        <f t="shared" si="9"/>
        <v>0.70916265071454798</v>
      </c>
      <c r="AS18" s="52">
        <f t="shared" si="116"/>
        <v>-40.880046075220719</v>
      </c>
      <c r="AT18" s="72">
        <f t="shared" si="10"/>
        <v>-0.45647365459020117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2.1219999999999999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2.4371065016482811</v>
      </c>
      <c r="C19" s="708">
        <v>2.6642948756568501</v>
      </c>
      <c r="D19" s="709">
        <v>-1.1622035052057718</v>
      </c>
      <c r="E19" s="710">
        <v>-0.45544637202677496</v>
      </c>
      <c r="F19" s="708">
        <v>0.88648575906543781</v>
      </c>
      <c r="G19" s="711">
        <v>8.1924362565864065E-2</v>
      </c>
      <c r="H19" s="710">
        <v>0.314</v>
      </c>
      <c r="I19" s="708">
        <v>0.52</v>
      </c>
      <c r="J19" s="570">
        <v>2.13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1613</v>
      </c>
      <c r="L19" s="775" t="s">
        <v>366</v>
      </c>
      <c r="M19" s="168">
        <f t="shared" si="1"/>
        <v>2.13</v>
      </c>
      <c r="N19" s="632">
        <f t="shared" si="2"/>
        <v>2.4371065016482811</v>
      </c>
      <c r="O19" s="629">
        <f t="shared" si="3"/>
        <v>2.6642948756568501</v>
      </c>
      <c r="P19" s="633">
        <f t="shared" si="4"/>
        <v>-1.1622035052057718</v>
      </c>
      <c r="Q19" s="585">
        <f t="shared" si="113"/>
        <v>47.549954151459232</v>
      </c>
      <c r="R19" s="629">
        <f>IF(M19="","",SQRT(N19^2+O19^2))</f>
        <v>3.6108108902056437</v>
      </c>
      <c r="S19" s="634">
        <f>IF(M19="","",P19)</f>
        <v>-1.1622035052057718</v>
      </c>
      <c r="T19" s="635">
        <f>IF(M19="","",X19*COS(RADIANS(W19)))</f>
        <v>2.7030824208294439</v>
      </c>
      <c r="U19" s="629">
        <f>IF(M19="","",X19*SIN(RADIANS(W19)))</f>
        <v>-2.3940135152146711</v>
      </c>
      <c r="V19" s="636">
        <f>IF(M19="","",Y19)</f>
        <v>-1.1622035052057718</v>
      </c>
      <c r="W19" s="585">
        <f t="shared" si="224"/>
        <v>318.46995401862767</v>
      </c>
      <c r="X19" s="629">
        <f>IF(M19="","",R19)</f>
        <v>3.6108108902056437</v>
      </c>
      <c r="Y19" s="630">
        <f t="shared" si="223"/>
        <v>-1.1622035052057718</v>
      </c>
      <c r="Z19" s="632">
        <f t="shared" si="6"/>
        <v>0.45544637202677496</v>
      </c>
      <c r="AA19" s="629">
        <f t="shared" si="7"/>
        <v>-0.88648575906543781</v>
      </c>
      <c r="AB19" s="629">
        <f t="shared" si="8"/>
        <v>-8.1924362565864065E-2</v>
      </c>
      <c r="AC19" s="636">
        <f>IF(M19="","",SQRT(Z19^2+AA19^2+AB19^2))</f>
        <v>1</v>
      </c>
      <c r="AD19" s="637">
        <f>IF(M19="","",Z19*(1/SQRT(Z19^2+AA19^2+AB19^2)))</f>
        <v>0.45544637202677496</v>
      </c>
      <c r="AE19" s="629">
        <f>IF(M19="","",AA19*(1/SQRT(Z19^2+AA19^2+AB19^2)))</f>
        <v>-0.88648575906543781</v>
      </c>
      <c r="AF19" s="633">
        <f>IF(M19="","",AB19*(1/SQRT(Z19^2+AA19^2+AB19^2)))</f>
        <v>-8.1924362565864065E-2</v>
      </c>
      <c r="AG19" s="602">
        <f>IF(M19="","",DEGREES(ATAN2(-AF19,AE19)))</f>
        <v>-84.720021795314594</v>
      </c>
      <c r="AH19" s="603">
        <f>IF(M19="","",DEGREES(ACOS(AD19)))</f>
        <v>62.906341732652976</v>
      </c>
      <c r="AI19" s="585">
        <f>IF(M19="","",DEGREES(-ACOS(-AF19)))</f>
        <v>-85.300813243925916</v>
      </c>
      <c r="AJ19" s="586">
        <f>IF(M19="","",DEGREES(ATAN2(-AE19,AD19)))</f>
        <v>27.192564231430651</v>
      </c>
      <c r="AK19" s="635">
        <f>IF(M19="","",(COS(RADIANS((90-$Q$8)-W19))*AD19)+(-SIN(RADIANS((90-$Q$8)-W19))*AE19))</f>
        <v>0.9343894611917154</v>
      </c>
      <c r="AL19" s="629">
        <f>IF(M19="","",(SIN(RADIANS((90-$Q$8)-W19))*AD19)+(COS(RADIANS((90-$Q$8)-W19))*AE19))</f>
        <v>-0.34670554312273788</v>
      </c>
      <c r="AM19" s="634">
        <f>IF(M19="","",AF19)</f>
        <v>-8.1924362565864065E-2</v>
      </c>
      <c r="AN19" s="581">
        <f>IF(M19="","",DEGREES(ATAN2(-AM19,AL19)))</f>
        <v>-76.705220545628265</v>
      </c>
      <c r="AO19" s="582">
        <f t="shared" si="94"/>
        <v>20.870269010645579</v>
      </c>
      <c r="AP19" s="585">
        <f>IF(M19="","",DEGREES(ATAN2(AK19,AL19)))</f>
        <v>-20.357389920028591</v>
      </c>
      <c r="AQ19" s="586">
        <f t="shared" si="9"/>
        <v>0.63133585100039535</v>
      </c>
      <c r="AS19" s="52">
        <f t="shared" si="116"/>
        <v>-41.530045981372325</v>
      </c>
      <c r="AT19" s="72">
        <f t="shared" si="10"/>
        <v>-1.1327243066998407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2.13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4" t="s">
        <v>365</v>
      </c>
      <c r="JC19" s="985"/>
      <c r="JD19" s="985"/>
      <c r="JE19" s="985"/>
      <c r="JF19" s="985"/>
      <c r="JG19" s="985"/>
      <c r="JH19" s="985"/>
      <c r="JI19" s="986"/>
    </row>
    <row r="20" spans="1:269" ht="15" customHeight="1" x14ac:dyDescent="0.25">
      <c r="A20" s="79"/>
      <c r="B20" s="707">
        <v>2.50993598552569</v>
      </c>
      <c r="C20" s="708">
        <v>2.7285745395097591</v>
      </c>
      <c r="D20" s="709">
        <v>-1.9361058392952113</v>
      </c>
      <c r="E20" s="710">
        <v>-0.21456416739429748</v>
      </c>
      <c r="F20" s="708">
        <v>0.97670989452875678</v>
      </c>
      <c r="G20" s="711">
        <v>1.3008419254916036E-7</v>
      </c>
      <c r="H20" s="710">
        <v>0.314</v>
      </c>
      <c r="I20" s="708">
        <v>0.52</v>
      </c>
      <c r="J20" s="570">
        <v>2.1379999999999999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2.1379999999999999</v>
      </c>
      <c r="N20" s="632">
        <f t="shared" si="2"/>
        <v>2.50993598552569</v>
      </c>
      <c r="O20" s="629">
        <f t="shared" si="3"/>
        <v>2.7285745395097591</v>
      </c>
      <c r="P20" s="633">
        <f t="shared" si="4"/>
        <v>-1.9361058392952113</v>
      </c>
      <c r="Q20" s="585">
        <f t="shared" si="113"/>
        <v>47.389954174560359</v>
      </c>
      <c r="R20" s="629">
        <f>IF(M20="","",SQRT(N20^2+O20^2))</f>
        <v>3.7074111815521231</v>
      </c>
      <c r="S20" s="634">
        <f>IF(M20="","",P20)</f>
        <v>-1.9361058392952113</v>
      </c>
      <c r="T20" s="635">
        <f>IF(M20="","",X20*COS(RADIANS(W20)))</f>
        <v>2.768523173031606</v>
      </c>
      <c r="U20" s="629">
        <f>IF(M20="","",X20*SIN(RADIANS(W20)))</f>
        <v>-2.4658015146164374</v>
      </c>
      <c r="V20" s="636">
        <f>IF(M20="","",Y20)</f>
        <v>-1.9361058392952113</v>
      </c>
      <c r="W20" s="585">
        <f t="shared" si="224"/>
        <v>318.30995404172876</v>
      </c>
      <c r="X20" s="629">
        <f>IF(M20="","",R20)</f>
        <v>3.7074111815521231</v>
      </c>
      <c r="Y20" s="630">
        <f t="shared" si="223"/>
        <v>-1.9361058392952113</v>
      </c>
      <c r="Z20" s="632">
        <f t="shared" si="6"/>
        <v>0.21456416739429748</v>
      </c>
      <c r="AA20" s="629">
        <f t="shared" si="7"/>
        <v>-0.97670989452875678</v>
      </c>
      <c r="AB20" s="629">
        <f t="shared" si="8"/>
        <v>-1.3008419254916036E-7</v>
      </c>
      <c r="AC20" s="636">
        <f>IF(M20="","",SQRT(Z20^2+AA20^2+AB20^2))</f>
        <v>1</v>
      </c>
      <c r="AD20" s="637">
        <f>IF(M20="","",Z20*(1/SQRT(Z20^2+AA20^2+AB20^2)))</f>
        <v>0.21456416739429748</v>
      </c>
      <c r="AE20" s="629">
        <f>IF(M20="","",AA20*(1/SQRT(Z20^2+AA20^2+AB20^2)))</f>
        <v>-0.97670989452875678</v>
      </c>
      <c r="AF20" s="633">
        <f>IF(M20="","",AB20*(1/SQRT(Z20^2+AA20^2+AB20^2)))</f>
        <v>-1.3008419254916036E-7</v>
      </c>
      <c r="AG20" s="602">
        <f>IF(M20="","",DEGREES(ATAN2(-AF20,AE20)))</f>
        <v>-89.999992368997951</v>
      </c>
      <c r="AH20" s="603">
        <f>IF(M20="","",DEGREES(ACOS(AD20)))</f>
        <v>77.61004077206502</v>
      </c>
      <c r="AI20" s="585">
        <f>IF(M20="","",DEGREES(-ACOS(-AF20)))</f>
        <v>-89.999992546724783</v>
      </c>
      <c r="AJ20" s="586">
        <f>IF(M20="","",DEGREES(ATAN2(-AE20,AD20)))</f>
        <v>12.389959227935085</v>
      </c>
      <c r="AK20" s="635">
        <f>IF(M20="","",(COS(RADIANS((90-$Q$8)-W20))*AD20)+(-SIN(RADIANS((90-$Q$8)-W20))*AE20))</f>
        <v>0.81915209487729257</v>
      </c>
      <c r="AL20" s="629">
        <f>IF(M20="","",(SIN(RADIANS((90-$Q$8)-W20))*AD20)+(COS(RADIANS((90-$Q$8)-W20))*AE20))</f>
        <v>-0.57357636410344404</v>
      </c>
      <c r="AM20" s="634">
        <f>IF(M20="","",AF20)</f>
        <v>-1.3008419254916036E-7</v>
      </c>
      <c r="AN20" s="581">
        <f>IF(M20="","",DEGREES(ATAN2(-AM20,AL20)))</f>
        <v>-89.999987005609583</v>
      </c>
      <c r="AO20" s="582">
        <f t="shared" si="94"/>
        <v>34.99999494662589</v>
      </c>
      <c r="AP20" s="585">
        <f>IF(M20="","",DEGREES(ATAN2(AK20,AL20)))</f>
        <v>-34.999994946625222</v>
      </c>
      <c r="AQ20" s="586">
        <f t="shared" si="9"/>
        <v>0.6148870464377052</v>
      </c>
      <c r="AS20" s="52">
        <f t="shared" si="116"/>
        <v>-41.690045958271241</v>
      </c>
      <c r="AT20" s="72">
        <f t="shared" si="10"/>
        <v>-1.9065155296942116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2.1379999999999999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7" t="s">
        <v>369</v>
      </c>
      <c r="JC20" s="988"/>
      <c r="JD20" s="988"/>
      <c r="JE20" s="988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707">
        <v>0.89397582422056099</v>
      </c>
      <c r="C21" s="708">
        <v>-4.6851890821341599E-2</v>
      </c>
      <c r="D21" s="709">
        <v>-0.34290103418951912</v>
      </c>
      <c r="E21" s="710">
        <v>-1.6342171812488648E-2</v>
      </c>
      <c r="F21" s="708">
        <v>0.96810792259332457</v>
      </c>
      <c r="G21" s="711">
        <v>0.2499999672649757</v>
      </c>
      <c r="H21" s="710">
        <v>0.314</v>
      </c>
      <c r="I21" s="708">
        <v>0.52</v>
      </c>
      <c r="J21" s="570">
        <v>3.1030000000000002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1613</v>
      </c>
      <c r="L21" s="776" t="s">
        <v>367</v>
      </c>
      <c r="M21" s="168">
        <f t="shared" si="1"/>
        <v>3.1030000000000002</v>
      </c>
      <c r="N21" s="632">
        <f t="shared" si="2"/>
        <v>0.89397582422056099</v>
      </c>
      <c r="O21" s="629">
        <f t="shared" si="3"/>
        <v>-4.6851890821341599E-2</v>
      </c>
      <c r="P21" s="633">
        <f t="shared" si="4"/>
        <v>-0.34290103418951912</v>
      </c>
      <c r="Q21" s="585">
        <f t="shared" si="113"/>
        <v>356.99996144997516</v>
      </c>
      <c r="R21" s="629">
        <f>IF(M21="","",SQRT(N21^2+O21^2))</f>
        <v>0.89520269993134305</v>
      </c>
      <c r="S21" s="634">
        <f>IF(M21="","",P21)</f>
        <v>-0.34290103418951912</v>
      </c>
      <c r="T21" s="635">
        <f>IF(M21="","",X21*COS(RADIANS(W21)))</f>
        <v>-3.2491874144171928E-2</v>
      </c>
      <c r="U21" s="629">
        <f>IF(M21="","",X21*SIN(RADIANS(W21)))</f>
        <v>-0.89461285038778948</v>
      </c>
      <c r="V21" s="636">
        <f>IF(M21="","",Y21)</f>
        <v>-0.34290103418951912</v>
      </c>
      <c r="W21" s="585">
        <f t="shared" si="224"/>
        <v>267.91996131714359</v>
      </c>
      <c r="X21" s="629">
        <f>IF(M21="","",R21)</f>
        <v>0.89520269993134305</v>
      </c>
      <c r="Y21" s="630">
        <f t="shared" si="223"/>
        <v>-0.34290103418951912</v>
      </c>
      <c r="Z21" s="632">
        <f t="shared" si="6"/>
        <v>1.6342171812488648E-2</v>
      </c>
      <c r="AA21" s="629">
        <f t="shared" si="7"/>
        <v>-0.96810792259332457</v>
      </c>
      <c r="AB21" s="629">
        <f t="shared" si="8"/>
        <v>-0.2499999672649757</v>
      </c>
      <c r="AC21" s="636">
        <f>IF(M21="","",SQRT(Z21^2+AA21^2+AB21^2))</f>
        <v>1</v>
      </c>
      <c r="AD21" s="637">
        <f>IF(M21="","",Z21*(1/SQRT(Z21^2+AA21^2+AB21^2)))</f>
        <v>1.6342171812488648E-2</v>
      </c>
      <c r="AE21" s="629">
        <f>IF(M21="","",AA21*(1/SQRT(Z21^2+AA21^2+AB21^2)))</f>
        <v>-0.96810792259332457</v>
      </c>
      <c r="AF21" s="633">
        <f>IF(M21="","",AB21*(1/SQRT(Z21^2+AA21^2+AB21^2)))</f>
        <v>-0.2499999672649757</v>
      </c>
      <c r="AG21" s="602">
        <f>IF(M21="","",DEGREES(ATAN2(-AF21,AE21)))</f>
        <v>-75.520513894549495</v>
      </c>
      <c r="AH21" s="603">
        <f>IF(M21="","",DEGREES(ACOS(AD21)))</f>
        <v>89.063620844649463</v>
      </c>
      <c r="AI21" s="585">
        <f>IF(M21="","",DEGREES(-ACOS(-AF21)))</f>
        <v>-75.522489751159455</v>
      </c>
      <c r="AJ21" s="586">
        <f>IF(M21="","",DEGREES(ATAN2(-AE21,AD21)))</f>
        <v>0.96709109506172508</v>
      </c>
      <c r="AK21" s="635">
        <f>IF(M21="","",(COS(RADIANS((90-$Q$8)-W21))*AD21)+(-SIN(RADIANS((90-$Q$8)-W21))*AE21))</f>
        <v>0.96592583607220761</v>
      </c>
      <c r="AL21" s="629">
        <f>IF(M21="","",(SIN(RADIANS((90-$Q$8)-W21))*AD21)+(COS(RADIANS((90-$Q$8)-W21))*AE21))</f>
        <v>6.6987279208207226E-2</v>
      </c>
      <c r="AM21" s="634">
        <f>IF(M21="","",AF21)</f>
        <v>-0.2499999672649757</v>
      </c>
      <c r="AN21" s="581">
        <f>IF(M21="","",DEGREES(ATAN2(-AM21,AL21)))</f>
        <v>14.999997834268271</v>
      </c>
      <c r="AO21" s="582">
        <f>IF(ROUND(IF(M21="",0,DEGREES(ACOS(AK21))),4)=90,0,IF(M21="","",DEGREES(ACOS(AK21))))</f>
        <v>14.999997834268203</v>
      </c>
      <c r="AP21" s="585">
        <f>IF(M21="","",DEGREES(ATAN2(AK21,AL21)))</f>
        <v>3.9671296450865721</v>
      </c>
      <c r="AQ21" s="586">
        <f t="shared" si="9"/>
        <v>2.544928882978835</v>
      </c>
      <c r="AS21" s="52">
        <f t="shared" si="116"/>
        <v>-92.080038682856411</v>
      </c>
      <c r="AT21" s="72">
        <f t="shared" si="10"/>
        <v>-0.2783176740853352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3.1030000000000002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9"/>
      <c r="JC21" s="990"/>
      <c r="JD21" s="990"/>
      <c r="JE21" s="990"/>
      <c r="JF21" s="1237" t="s">
        <v>358</v>
      </c>
      <c r="JG21" s="1238"/>
      <c r="JH21" s="991" t="s">
        <v>371</v>
      </c>
      <c r="JI21" s="992"/>
    </row>
    <row r="22" spans="1:269" ht="15" customHeight="1" thickBot="1" x14ac:dyDescent="0.3">
      <c r="A22" s="79"/>
      <c r="B22" s="707">
        <v>1.6070698024411791</v>
      </c>
      <c r="C22" s="708">
        <v>-8.4786567959612896E-2</v>
      </c>
      <c r="D22" s="709">
        <v>-0.15160045722697904</v>
      </c>
      <c r="E22" s="710">
        <v>-8.5963635401211397E-3</v>
      </c>
      <c r="F22" s="708">
        <v>0.96769421821545454</v>
      </c>
      <c r="G22" s="711">
        <v>0.25198016304119314</v>
      </c>
      <c r="H22" s="710">
        <v>0.314</v>
      </c>
      <c r="I22" s="708">
        <v>0.52</v>
      </c>
      <c r="J22" s="570">
        <v>3.1070000000000002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1613</v>
      </c>
      <c r="L22" s="873" t="str">
        <f>IF($L21=$JH$22,$JH$30,IF($L21=$JI$22,$JI$30,""))</f>
        <v/>
      </c>
      <c r="M22" s="168">
        <f t="shared" si="1"/>
        <v>3.1070000000000002</v>
      </c>
      <c r="N22" s="632">
        <f t="shared" si="2"/>
        <v>1.6070698024411791</v>
      </c>
      <c r="O22" s="629">
        <f t="shared" si="3"/>
        <v>-8.4786567959612896E-2</v>
      </c>
      <c r="P22" s="633">
        <f t="shared" si="4"/>
        <v>-0.15160045722697904</v>
      </c>
      <c r="Q22" s="585">
        <f t="shared" si="113"/>
        <v>356.97996145286277</v>
      </c>
      <c r="R22" s="629">
        <f t="shared" si="79"/>
        <v>1.6093048536634385</v>
      </c>
      <c r="S22" s="634">
        <f t="shared" si="80"/>
        <v>-0.15160045722697904</v>
      </c>
      <c r="T22" s="635">
        <f t="shared" si="81"/>
        <v>-5.8971983978160412E-2</v>
      </c>
      <c r="U22" s="629">
        <f t="shared" si="82"/>
        <v>-1.6082239947004835</v>
      </c>
      <c r="V22" s="636">
        <f t="shared" si="114"/>
        <v>-0.15160045722697904</v>
      </c>
      <c r="W22" s="585">
        <f t="shared" si="224"/>
        <v>267.8999613200312</v>
      </c>
      <c r="X22" s="629">
        <f t="shared" si="83"/>
        <v>1.6093048536634385</v>
      </c>
      <c r="Y22" s="630">
        <f t="shared" si="223"/>
        <v>-0.15160045722697904</v>
      </c>
      <c r="Z22" s="632">
        <f t="shared" si="6"/>
        <v>8.5963635401211397E-3</v>
      </c>
      <c r="AA22" s="629">
        <f t="shared" si="7"/>
        <v>-0.96769421821545454</v>
      </c>
      <c r="AB22" s="629">
        <f t="shared" si="8"/>
        <v>-0.25198016304119314</v>
      </c>
      <c r="AC22" s="636">
        <f t="shared" si="84"/>
        <v>1</v>
      </c>
      <c r="AD22" s="637">
        <f t="shared" si="115"/>
        <v>8.5963635401211397E-3</v>
      </c>
      <c r="AE22" s="629">
        <f t="shared" si="85"/>
        <v>-0.96769421821545454</v>
      </c>
      <c r="AF22" s="633">
        <f t="shared" si="86"/>
        <v>-0.25198016304119314</v>
      </c>
      <c r="AG22" s="602">
        <f t="shared" si="87"/>
        <v>-75.404729712561405</v>
      </c>
      <c r="AH22" s="603">
        <f t="shared" si="88"/>
        <v>89.507458583603466</v>
      </c>
      <c r="AI22" s="585">
        <f t="shared" si="89"/>
        <v>-75.405280974324384</v>
      </c>
      <c r="AJ22" s="586">
        <f t="shared" si="90"/>
        <v>0.50896490378593906</v>
      </c>
      <c r="AK22" s="635">
        <f t="shared" si="211"/>
        <v>0.96589735399789312</v>
      </c>
      <c r="AL22" s="629">
        <f t="shared" si="91"/>
        <v>5.9567600032251949E-2</v>
      </c>
      <c r="AM22" s="634">
        <f t="shared" si="92"/>
        <v>-0.25198016304119314</v>
      </c>
      <c r="AN22" s="581">
        <f t="shared" si="93"/>
        <v>13.300433619471152</v>
      </c>
      <c r="AO22" s="582">
        <f t="shared" si="94"/>
        <v>15.006301728598794</v>
      </c>
      <c r="AP22" s="585">
        <f t="shared" si="95"/>
        <v>3.5290034509231978</v>
      </c>
      <c r="AQ22" s="586">
        <f t="shared" si="9"/>
        <v>1.4163023719663554</v>
      </c>
      <c r="AS22" s="52">
        <f t="shared" si="116"/>
        <v>-92.100038679968804</v>
      </c>
      <c r="AT22" s="72">
        <f t="shared" si="10"/>
        <v>-8.7003208235911511E-2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3.1070000000000002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707">
        <v>2.37821997690153</v>
      </c>
      <c r="C23" s="708">
        <v>-0.1525437915761455</v>
      </c>
      <c r="D23" s="709">
        <v>-7.2100217454255822E-2</v>
      </c>
      <c r="E23" s="710">
        <v>0.14174330647055391</v>
      </c>
      <c r="F23" s="708">
        <v>0.95749261362963878</v>
      </c>
      <c r="G23" s="711">
        <v>0.2512304319056074</v>
      </c>
      <c r="H23" s="710">
        <v>0.314</v>
      </c>
      <c r="I23" s="708">
        <v>0.52</v>
      </c>
      <c r="J23" s="570">
        <v>3.113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1613</v>
      </c>
      <c r="M23" s="168">
        <f t="shared" si="1"/>
        <v>3.113</v>
      </c>
      <c r="N23" s="632">
        <f t="shared" si="2"/>
        <v>2.37821997690153</v>
      </c>
      <c r="O23" s="629">
        <f t="shared" si="3"/>
        <v>-0.1525437915761455</v>
      </c>
      <c r="P23" s="633">
        <f t="shared" si="4"/>
        <v>-7.2100217454255822E-2</v>
      </c>
      <c r="Q23" s="585">
        <f t="shared" si="113"/>
        <v>356.32996154671116</v>
      </c>
      <c r="R23" s="629">
        <f t="shared" si="79"/>
        <v>2.3831071874512779</v>
      </c>
      <c r="S23" s="634">
        <f t="shared" si="80"/>
        <v>-7.2100217454255822E-2</v>
      </c>
      <c r="T23" s="635">
        <f t="shared" si="81"/>
        <v>-0.114338625986493</v>
      </c>
      <c r="U23" s="629">
        <f t="shared" si="82"/>
        <v>-2.3803626920050358</v>
      </c>
      <c r="V23" s="636">
        <f t="shared" si="114"/>
        <v>-7.2100217454255822E-2</v>
      </c>
      <c r="W23" s="585">
        <f t="shared" si="224"/>
        <v>267.24996141387959</v>
      </c>
      <c r="X23" s="629">
        <f t="shared" si="83"/>
        <v>2.3831071874512779</v>
      </c>
      <c r="Y23" s="630">
        <f t="shared" si="223"/>
        <v>-7.2100217454255822E-2</v>
      </c>
      <c r="Z23" s="632">
        <f t="shared" si="6"/>
        <v>-0.14174330647055391</v>
      </c>
      <c r="AA23" s="629">
        <f t="shared" si="7"/>
        <v>-0.95749261362963878</v>
      </c>
      <c r="AB23" s="629">
        <f t="shared" si="8"/>
        <v>-0.2512304319056074</v>
      </c>
      <c r="AC23" s="636">
        <f t="shared" si="84"/>
        <v>1</v>
      </c>
      <c r="AD23" s="637">
        <f t="shared" si="115"/>
        <v>-0.14174330647055391</v>
      </c>
      <c r="AE23" s="629">
        <f t="shared" si="85"/>
        <v>-0.95749261362963878</v>
      </c>
      <c r="AF23" s="633">
        <f t="shared" si="86"/>
        <v>-0.2512304319056074</v>
      </c>
      <c r="AG23" s="602">
        <f t="shared" si="87"/>
        <v>-75.297931495369454</v>
      </c>
      <c r="AH23" s="603">
        <f t="shared" si="88"/>
        <v>98.148736454733339</v>
      </c>
      <c r="AI23" s="585">
        <f t="shared" si="89"/>
        <v>-75.449665250712982</v>
      </c>
      <c r="AJ23" s="586">
        <f t="shared" si="90"/>
        <v>-8.4206771998524008</v>
      </c>
      <c r="AK23" s="635">
        <f t="shared" si="211"/>
        <v>0.96460206866638076</v>
      </c>
      <c r="AL23" s="629">
        <f t="shared" si="91"/>
        <v>-8.0163078839706886E-2</v>
      </c>
      <c r="AM23" s="634">
        <f t="shared" si="92"/>
        <v>-0.2512304319056074</v>
      </c>
      <c r="AN23" s="581">
        <f t="shared" si="93"/>
        <v>-17.696940909814696</v>
      </c>
      <c r="AO23" s="582">
        <f t="shared" si="94"/>
        <v>15.290301926654783</v>
      </c>
      <c r="AP23" s="585">
        <f t="shared" si="95"/>
        <v>-4.7506387465635793</v>
      </c>
      <c r="AQ23" s="586">
        <f t="shared" si="9"/>
        <v>0.95653055216214422</v>
      </c>
      <c r="AS23" s="52">
        <f t="shared" si="116"/>
        <v>-92.750038586120411</v>
      </c>
      <c r="AT23" s="72">
        <f t="shared" si="10"/>
        <v>-7.0515796394718944E-3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3.113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IF($JA23="","",COUNT(IF(IF($II$9:$II$150&lt;&gt;"",$IK$9:$IK$150,"")=$JA23,$IG$9:$IG$150,"")))</f>
        <v/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3.1309356178614127</v>
      </c>
      <c r="C24" s="708">
        <v>-0.25631161352626858</v>
      </c>
      <c r="D24" s="709">
        <v>-0.41840126189820581</v>
      </c>
      <c r="E24" s="710">
        <v>0.2849251573005836</v>
      </c>
      <c r="F24" s="708">
        <v>0.94226101520183714</v>
      </c>
      <c r="G24" s="711">
        <v>0.17595975098880157</v>
      </c>
      <c r="H24" s="710">
        <v>0.314</v>
      </c>
      <c r="I24" s="708">
        <v>0.52</v>
      </c>
      <c r="J24" s="570">
        <v>3.121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1613</v>
      </c>
      <c r="L24" s="86"/>
      <c r="M24" s="168">
        <f t="shared" si="1"/>
        <v>3.121</v>
      </c>
      <c r="N24" s="632">
        <f t="shared" si="2"/>
        <v>3.1309356178614127</v>
      </c>
      <c r="O24" s="629">
        <f t="shared" si="3"/>
        <v>-0.25631161352626858</v>
      </c>
      <c r="P24" s="633">
        <f t="shared" si="4"/>
        <v>-0.41840126189820581</v>
      </c>
      <c r="Q24" s="585">
        <f t="shared" si="113"/>
        <v>355.31996169253711</v>
      </c>
      <c r="R24" s="629">
        <f t="shared" si="79"/>
        <v>3.1414094744909753</v>
      </c>
      <c r="S24" s="634">
        <f t="shared" si="80"/>
        <v>-0.41840126189820581</v>
      </c>
      <c r="T24" s="635">
        <f t="shared" si="81"/>
        <v>-0.20600721523485668</v>
      </c>
      <c r="U24" s="629">
        <f t="shared" si="82"/>
        <v>-3.1346474305243399</v>
      </c>
      <c r="V24" s="636">
        <f t="shared" si="114"/>
        <v>-0.41840126189820581</v>
      </c>
      <c r="W24" s="585">
        <f t="shared" si="224"/>
        <v>266.23996155970553</v>
      </c>
      <c r="X24" s="629">
        <f t="shared" si="83"/>
        <v>3.1414094744909753</v>
      </c>
      <c r="Y24" s="630">
        <f t="shared" si="223"/>
        <v>-0.41840126189820581</v>
      </c>
      <c r="Z24" s="632">
        <f t="shared" si="6"/>
        <v>-0.2849251573005836</v>
      </c>
      <c r="AA24" s="629">
        <f t="shared" si="7"/>
        <v>-0.94226101520183714</v>
      </c>
      <c r="AB24" s="629">
        <f t="shared" si="8"/>
        <v>-0.17595975098880157</v>
      </c>
      <c r="AC24" s="636">
        <f t="shared" si="84"/>
        <v>1</v>
      </c>
      <c r="AD24" s="637">
        <f t="shared" si="115"/>
        <v>-0.2849251573005836</v>
      </c>
      <c r="AE24" s="629">
        <f t="shared" si="85"/>
        <v>-0.94226101520183714</v>
      </c>
      <c r="AF24" s="633">
        <f t="shared" si="86"/>
        <v>-0.17595975098880157</v>
      </c>
      <c r="AG24" s="602">
        <f t="shared" si="87"/>
        <v>-79.422303076412533</v>
      </c>
      <c r="AH24" s="603">
        <f t="shared" si="88"/>
        <v>106.55437493189351</v>
      </c>
      <c r="AI24" s="585">
        <f t="shared" si="89"/>
        <v>-79.865485485950899</v>
      </c>
      <c r="AJ24" s="586">
        <f t="shared" si="90"/>
        <v>-16.824504663839658</v>
      </c>
      <c r="AK24" s="635">
        <f>IF(M24="","",(COS(RADIANS((90-$Q$8)-W24))*AD24)+(-SIN(RADIANS((90-$Q$8)-W24))*AE24))</f>
        <v>0.96236680546380959</v>
      </c>
      <c r="AL24" s="629">
        <f t="shared" si="91"/>
        <v>-0.207094900403996</v>
      </c>
      <c r="AM24" s="634">
        <f t="shared" si="92"/>
        <v>-0.17595975098880157</v>
      </c>
      <c r="AN24" s="581">
        <f t="shared" si="93"/>
        <v>-49.646855467853243</v>
      </c>
      <c r="AO24" s="582">
        <f t="shared" si="94"/>
        <v>15.768655287256692</v>
      </c>
      <c r="AP24" s="585">
        <f t="shared" si="95"/>
        <v>-12.144466356376739</v>
      </c>
      <c r="AQ24" s="586">
        <f t="shared" si="9"/>
        <v>0.72566303567167811</v>
      </c>
      <c r="AS24" s="52">
        <f t="shared" si="116"/>
        <v>-93.760038440294466</v>
      </c>
      <c r="AT24" s="72">
        <f t="shared" si="10"/>
        <v>-0.352651235295801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3.121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3.5660139313474279</v>
      </c>
      <c r="C25" s="708">
        <v>-0.3370899618678731</v>
      </c>
      <c r="D25" s="709">
        <v>-1.0674032192881093</v>
      </c>
      <c r="E25" s="710">
        <v>0.41451064645310542</v>
      </c>
      <c r="F25" s="708">
        <v>0.90531308155251533</v>
      </c>
      <c r="G25" s="711">
        <v>9.2677658294312695E-2</v>
      </c>
      <c r="H25" s="710">
        <v>0.314</v>
      </c>
      <c r="I25" s="708">
        <v>0.52</v>
      </c>
      <c r="J25" s="570">
        <v>3.129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1613</v>
      </c>
      <c r="L25" s="86"/>
      <c r="M25" s="168">
        <f t="shared" si="1"/>
        <v>3.129</v>
      </c>
      <c r="N25" s="632">
        <f t="shared" si="2"/>
        <v>3.5660139313474279</v>
      </c>
      <c r="O25" s="629">
        <f t="shared" si="3"/>
        <v>-0.3370899618678731</v>
      </c>
      <c r="P25" s="633">
        <f t="shared" si="4"/>
        <v>-1.0674032192881093</v>
      </c>
      <c r="Q25" s="585">
        <f t="shared" si="113"/>
        <v>354.59996179649221</v>
      </c>
      <c r="R25" s="629">
        <f>IF(M25="","",SQRT(N25^2+O25^2))</f>
        <v>3.5819108030429825</v>
      </c>
      <c r="S25" s="634">
        <f>IF(M25="","",P25)</f>
        <v>-1.0674032192881093</v>
      </c>
      <c r="T25" s="635">
        <f>IF(M25="","",X25*COS(RADIANS(W25)))</f>
        <v>-0.27978938639277712</v>
      </c>
      <c r="U25" s="629">
        <f>IF(M25="","",X25*SIN(RADIANS(W25)))</f>
        <v>-3.5709666618743414</v>
      </c>
      <c r="V25" s="636">
        <f>IF(M25="","",Y25)</f>
        <v>-1.0674032192881093</v>
      </c>
      <c r="W25" s="585">
        <f t="shared" si="224"/>
        <v>265.51996166366064</v>
      </c>
      <c r="X25" s="629">
        <f>IF(M25="","",R25)</f>
        <v>3.5819108030429825</v>
      </c>
      <c r="Y25" s="630">
        <f t="shared" si="223"/>
        <v>-1.0674032192881093</v>
      </c>
      <c r="Z25" s="632">
        <f t="shared" si="6"/>
        <v>-0.41451064645310542</v>
      </c>
      <c r="AA25" s="629">
        <f t="shared" si="7"/>
        <v>-0.90531308155251533</v>
      </c>
      <c r="AB25" s="629">
        <f t="shared" si="8"/>
        <v>-9.2677658294312695E-2</v>
      </c>
      <c r="AC25" s="636">
        <f>IF(M25="","",SQRT(Z25^2+AA25^2+AB25^2))</f>
        <v>1</v>
      </c>
      <c r="AD25" s="637">
        <f>IF(M25="","",Z25*(1/SQRT(Z25^2+AA25^2+AB25^2)))</f>
        <v>-0.41451064645310542</v>
      </c>
      <c r="AE25" s="629">
        <f>IF(M25="","",AA25*(1/SQRT(Z25^2+AA25^2+AB25^2)))</f>
        <v>-0.90531308155251533</v>
      </c>
      <c r="AF25" s="633">
        <f>IF(M25="","",AB25*(1/SQRT(Z25^2+AA25^2+AB25^2)))</f>
        <v>-9.2677658294312695E-2</v>
      </c>
      <c r="AG25" s="602">
        <f>IF(M25="","",DEGREES(ATAN2(-AF25,AE25)))</f>
        <v>-84.154944634352759</v>
      </c>
      <c r="AH25" s="603">
        <f>IF(M25="","",DEGREES(ACOS(AD25)))</f>
        <v>114.48850334197643</v>
      </c>
      <c r="AI25" s="585">
        <f>IF(M25="","",DEGREES(-ACOS(-AF25)))</f>
        <v>-84.682330341336268</v>
      </c>
      <c r="AJ25" s="586">
        <f>IF(M25="","",DEGREES(ATAN2(-AE25,AD25)))</f>
        <v>-24.601358054300771</v>
      </c>
      <c r="AK25" s="635">
        <f>IF(M25="","",(COS(RADIANS((90-$Q$8)-W25))*AD25)+(-SIN(RADIANS((90-$Q$8)-W25))*AE25))</f>
        <v>0.94030438619317813</v>
      </c>
      <c r="AL25" s="629">
        <f>IF(M25="","",(SIN(RADIANS((90-$Q$8)-W25))*AD25)+(COS(RADIANS((90-$Q$8)-W25))*AE25))</f>
        <v>-0.32747291942839057</v>
      </c>
      <c r="AM25" s="634">
        <f>IF(M25="","",AF25)</f>
        <v>-9.2677658294312695E-2</v>
      </c>
      <c r="AN25" s="581">
        <f>IF(M25="","",DEGREES(ATAN2(-AM25,AL25)))</f>
        <v>-74.198029783343173</v>
      </c>
      <c r="AO25" s="582">
        <f>IF(ROUND(IF(M25="",0,DEGREES(ACOS(AK25))),4)=90,0,IF(M25="","",DEGREES(ACOS(AK25))))</f>
        <v>19.897262925981355</v>
      </c>
      <c r="AP25" s="585">
        <f>IF(M25="","",DEGREES(ATAN2(AK25,AL25)))</f>
        <v>-19.20131985079297</v>
      </c>
      <c r="AQ25" s="586">
        <f t="shared" si="9"/>
        <v>0.63642926827576962</v>
      </c>
      <c r="AS25" s="52">
        <f t="shared" si="116"/>
        <v>-94.480038336339362</v>
      </c>
      <c r="AT25" s="72">
        <f t="shared" si="10"/>
        <v>-1.0011531927578956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3.129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3.6896537507073441</v>
      </c>
      <c r="C26" s="708">
        <v>-0.36242636354014568</v>
      </c>
      <c r="D26" s="709">
        <v>-1.8392055470439299</v>
      </c>
      <c r="E26" s="710">
        <v>0.65090716402644533</v>
      </c>
      <c r="F26" s="708">
        <v>0.75915733798668728</v>
      </c>
      <c r="G26" s="711">
        <v>1.3008419237548965E-7</v>
      </c>
      <c r="H26" s="710">
        <v>0.314</v>
      </c>
      <c r="I26" s="708">
        <v>0.52</v>
      </c>
      <c r="J26" s="570">
        <v>3.137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1613</v>
      </c>
      <c r="L26" s="320"/>
      <c r="M26" s="168">
        <f t="shared" si="1"/>
        <v>3.137</v>
      </c>
      <c r="N26" s="632">
        <f t="shared" si="2"/>
        <v>3.6896537507073441</v>
      </c>
      <c r="O26" s="629">
        <f t="shared" si="3"/>
        <v>-0.36242636354014568</v>
      </c>
      <c r="P26" s="633">
        <f t="shared" si="4"/>
        <v>-1.8392055470439299</v>
      </c>
      <c r="Q26" s="585">
        <f t="shared" si="113"/>
        <v>354.38996182681245</v>
      </c>
      <c r="R26" s="629">
        <f>IF(M26="","",SQRT(N26^2+O26^2))</f>
        <v>3.7074111815521227</v>
      </c>
      <c r="S26" s="634">
        <f>IF(M26="","",P26)</f>
        <v>-1.8392055470439299</v>
      </c>
      <c r="T26" s="635">
        <f>IF(M26="","",X26*COS(RADIANS(W26)))</f>
        <v>-0.30313731933334526</v>
      </c>
      <c r="U26" s="629">
        <f>IF(M26="","",X26*SIN(RADIANS(W26)))</f>
        <v>-3.6949973524652351</v>
      </c>
      <c r="V26" s="636">
        <f>IF(M26="","",Y26)</f>
        <v>-1.8392055470439299</v>
      </c>
      <c r="W26" s="585">
        <f t="shared" si="224"/>
        <v>265.30996169398088</v>
      </c>
      <c r="X26" s="629">
        <f>IF(M26="","",R26)</f>
        <v>3.7074111815521227</v>
      </c>
      <c r="Y26" s="630">
        <f t="shared" si="223"/>
        <v>-1.8392055470439299</v>
      </c>
      <c r="Z26" s="632">
        <f t="shared" si="6"/>
        <v>-0.65090716402644533</v>
      </c>
      <c r="AA26" s="629">
        <f t="shared" si="7"/>
        <v>-0.75915733798668728</v>
      </c>
      <c r="AB26" s="629">
        <f t="shared" si="8"/>
        <v>-1.3008419237548965E-7</v>
      </c>
      <c r="AC26" s="636">
        <f>IF(M26="","",SQRT(Z26^2+AA26^2+AB26^2))</f>
        <v>1</v>
      </c>
      <c r="AD26" s="637">
        <f>IF(M26="","",Z26*(1/SQRT(Z26^2+AA26^2+AB26^2)))</f>
        <v>-0.65090716402644533</v>
      </c>
      <c r="AE26" s="629">
        <f>IF(M26="","",AA26*(1/SQRT(Z26^2+AA26^2+AB26^2)))</f>
        <v>-0.75915733798668728</v>
      </c>
      <c r="AF26" s="633">
        <f>IF(M26="","",AB26*(1/SQRT(Z26^2+AA26^2+AB26^2)))</f>
        <v>-1.3008419237548965E-7</v>
      </c>
      <c r="AG26" s="602">
        <f>IF(M26="","",DEGREES(ATAN2(-AF26,AE26)))</f>
        <v>-89.999990182173278</v>
      </c>
      <c r="AH26" s="603">
        <f>IF(M26="","",DEGREES(ACOS(AD26)))</f>
        <v>130.61003311981239</v>
      </c>
      <c r="AI26" s="585">
        <f>IF(M26="","",DEGREES(-ACOS(-AF26)))</f>
        <v>-89.999992546724798</v>
      </c>
      <c r="AJ26" s="586">
        <f>IF(M26="","",DEGREES(ATAN2(-AE26,AD26)))</f>
        <v>-40.610033119812798</v>
      </c>
      <c r="AK26" s="635">
        <f>IF(M26="","",(COS(RADIANS((90-$Q$8)-W26))*AD26)+(-SIN(RADIANS((90-$Q$8)-W26))*AE26))</f>
        <v>0.81915209487729201</v>
      </c>
      <c r="AL26" s="629">
        <f>IF(M26="","",(SIN(RADIANS((90-$Q$8)-W26))*AD26)+(COS(RADIANS((90-$Q$8)-W26))*AE26))</f>
        <v>-0.57357636410344459</v>
      </c>
      <c r="AM26" s="634">
        <f>IF(M26="","",AF26)</f>
        <v>-1.3008419237548965E-7</v>
      </c>
      <c r="AN26" s="581">
        <f>IF(M26="","",DEGREES(ATAN2(-AM26,AL26)))</f>
        <v>-89.999987005609597</v>
      </c>
      <c r="AO26" s="582">
        <f t="shared" si="94"/>
        <v>34.999994946625954</v>
      </c>
      <c r="AP26" s="585">
        <f>IF(M26="","",DEGREES(ATAN2(AK26,AL26)))</f>
        <v>-34.999994946625264</v>
      </c>
      <c r="AQ26" s="586">
        <f t="shared" si="9"/>
        <v>0.61488704643770531</v>
      </c>
      <c r="AS26" s="52">
        <f t="shared" si="116"/>
        <v>-94.690038306019119</v>
      </c>
      <c r="AT26" s="72">
        <f t="shared" si="10"/>
        <v>-1.7728096872014385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3.137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2.1832258463961653</v>
      </c>
      <c r="C27" s="708">
        <v>-2.1499512428367997</v>
      </c>
      <c r="D27" s="709">
        <v>-0.35630107460404103</v>
      </c>
      <c r="E27" s="710">
        <v>0.81380517441235523</v>
      </c>
      <c r="F27" s="708">
        <v>0.54965622208509102</v>
      </c>
      <c r="G27" s="711">
        <v>0.1886774380333309</v>
      </c>
      <c r="H27" s="710">
        <v>0.314</v>
      </c>
      <c r="I27" s="708">
        <v>0.52</v>
      </c>
      <c r="J27" s="570">
        <v>4.12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1613</v>
      </c>
      <c r="L27" s="320"/>
      <c r="M27" s="168">
        <f t="shared" si="1"/>
        <v>4.12</v>
      </c>
      <c r="N27" s="632">
        <f t="shared" si="2"/>
        <v>2.1832258463961653</v>
      </c>
      <c r="O27" s="629">
        <f t="shared" si="3"/>
        <v>-2.1499512428367997</v>
      </c>
      <c r="P27" s="633">
        <f t="shared" si="4"/>
        <v>-0.35630107460404103</v>
      </c>
      <c r="Q27" s="585">
        <f t="shared" si="113"/>
        <v>315.43996745049589</v>
      </c>
      <c r="R27" s="629">
        <f t="shared" si="79"/>
        <v>3.0641092413534721</v>
      </c>
      <c r="S27" s="634">
        <f t="shared" si="80"/>
        <v>-0.35630107460404103</v>
      </c>
      <c r="T27" s="635">
        <f t="shared" si="81"/>
        <v>-2.1146194803225282</v>
      </c>
      <c r="U27" s="629">
        <f t="shared" si="82"/>
        <v>-2.2174647452413381</v>
      </c>
      <c r="V27" s="636">
        <f t="shared" si="114"/>
        <v>-0.35630107460404103</v>
      </c>
      <c r="W27" s="585">
        <f t="shared" si="224"/>
        <v>226.35996731766431</v>
      </c>
      <c r="X27" s="629">
        <f t="shared" si="83"/>
        <v>3.0641092413534721</v>
      </c>
      <c r="Y27" s="630">
        <f t="shared" si="223"/>
        <v>-0.35630107460404103</v>
      </c>
      <c r="Z27" s="632">
        <f t="shared" si="6"/>
        <v>-0.81380517441235523</v>
      </c>
      <c r="AA27" s="629">
        <f t="shared" si="7"/>
        <v>-0.54965622208509102</v>
      </c>
      <c r="AB27" s="629">
        <f t="shared" si="8"/>
        <v>-0.1886774380333309</v>
      </c>
      <c r="AC27" s="636">
        <f t="shared" si="84"/>
        <v>1</v>
      </c>
      <c r="AD27" s="637">
        <f t="shared" si="115"/>
        <v>-0.81380517441235523</v>
      </c>
      <c r="AE27" s="629">
        <f t="shared" si="85"/>
        <v>-0.54965622208509102</v>
      </c>
      <c r="AF27" s="633">
        <f t="shared" si="86"/>
        <v>-0.1886774380333309</v>
      </c>
      <c r="AG27" s="602">
        <f t="shared" si="87"/>
        <v>-71.054476198123126</v>
      </c>
      <c r="AH27" s="603">
        <f t="shared" si="88"/>
        <v>144.46939098971112</v>
      </c>
      <c r="AI27" s="585">
        <f t="shared" si="89"/>
        <v>-79.124388946994699</v>
      </c>
      <c r="AJ27" s="586">
        <f t="shared" si="90"/>
        <v>-55.964318065060183</v>
      </c>
      <c r="AK27" s="635">
        <f t="shared" si="211"/>
        <v>0.96265011607111717</v>
      </c>
      <c r="AL27" s="629">
        <f t="shared" si="91"/>
        <v>-0.19417924298298034</v>
      </c>
      <c r="AM27" s="634">
        <f t="shared" si="92"/>
        <v>-0.1886774380333309</v>
      </c>
      <c r="AN27" s="581">
        <f t="shared" si="93"/>
        <v>-45.823306794418343</v>
      </c>
      <c r="AO27" s="582">
        <f t="shared" si="94"/>
        <v>15.708812222298215</v>
      </c>
      <c r="AP27" s="585">
        <f t="shared" si="95"/>
        <v>-11.404285515556074</v>
      </c>
      <c r="AQ27" s="586">
        <f t="shared" si="9"/>
        <v>0.74396776639550799</v>
      </c>
      <c r="AS27" s="52">
        <f t="shared" si="116"/>
        <v>-133.64003268233569</v>
      </c>
      <c r="AT27" s="72">
        <f t="shared" si="10"/>
        <v>-0.26285660755577428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4.12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2.4928349104868834</v>
      </c>
      <c r="C28" s="708">
        <v>-2.5226002909418246</v>
      </c>
      <c r="D28" s="709">
        <v>-0.97470293970406574</v>
      </c>
      <c r="E28" s="710">
        <v>0.88932280881960546</v>
      </c>
      <c r="F28" s="708">
        <v>0.44584431760814658</v>
      </c>
      <c r="G28" s="711">
        <v>0.10162571608472898</v>
      </c>
      <c r="H28" s="710">
        <v>0.314</v>
      </c>
      <c r="I28" s="708">
        <v>0.52</v>
      </c>
      <c r="J28" s="570">
        <v>4.1280000000000001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1613</v>
      </c>
      <c r="L28" s="320"/>
      <c r="M28" s="168">
        <f t="shared" si="1"/>
        <v>4.1280000000000001</v>
      </c>
      <c r="N28" s="632">
        <f t="shared" si="2"/>
        <v>2.4928349104868834</v>
      </c>
      <c r="O28" s="629">
        <f t="shared" si="3"/>
        <v>-2.5226002909418246</v>
      </c>
      <c r="P28" s="633">
        <f t="shared" si="4"/>
        <v>-0.97470293970406574</v>
      </c>
      <c r="Q28" s="585">
        <f t="shared" si="113"/>
        <v>314.65996756311392</v>
      </c>
      <c r="R28" s="629">
        <f t="shared" si="79"/>
        <v>3.5465106962762607</v>
      </c>
      <c r="S28" s="634">
        <f t="shared" si="80"/>
        <v>-0.97470293970406574</v>
      </c>
      <c r="T28" s="635">
        <f t="shared" si="81"/>
        <v>-2.4822493023453318</v>
      </c>
      <c r="U28" s="629">
        <f t="shared" si="82"/>
        <v>-2.5330172758605576</v>
      </c>
      <c r="V28" s="636">
        <f t="shared" si="114"/>
        <v>-0.97470293970406574</v>
      </c>
      <c r="W28" s="585">
        <f t="shared" si="224"/>
        <v>225.57996743028235</v>
      </c>
      <c r="X28" s="629">
        <f t="shared" si="83"/>
        <v>3.5465106962762607</v>
      </c>
      <c r="Y28" s="630">
        <f t="shared" si="223"/>
        <v>-0.97470293970406574</v>
      </c>
      <c r="Z28" s="632">
        <f t="shared" si="6"/>
        <v>-0.88932280881960546</v>
      </c>
      <c r="AA28" s="629">
        <f t="shared" si="7"/>
        <v>-0.44584431760814658</v>
      </c>
      <c r="AB28" s="629">
        <f t="shared" si="8"/>
        <v>-0.10162571608472898</v>
      </c>
      <c r="AC28" s="636">
        <f t="shared" si="84"/>
        <v>1</v>
      </c>
      <c r="AD28" s="637">
        <f t="shared" si="115"/>
        <v>-0.88932280881960546</v>
      </c>
      <c r="AE28" s="629">
        <f t="shared" si="85"/>
        <v>-0.44584431760814658</v>
      </c>
      <c r="AF28" s="633">
        <f t="shared" si="86"/>
        <v>-0.10162571608472898</v>
      </c>
      <c r="AG28" s="602">
        <f t="shared" si="87"/>
        <v>-77.159389667442724</v>
      </c>
      <c r="AH28" s="603">
        <f t="shared" si="88"/>
        <v>152.78827432393899</v>
      </c>
      <c r="AI28" s="585">
        <f t="shared" si="89"/>
        <v>-84.167205867232028</v>
      </c>
      <c r="AJ28" s="586">
        <f t="shared" si="90"/>
        <v>-63.374012689053735</v>
      </c>
      <c r="AK28" s="635">
        <f t="shared" si="211"/>
        <v>0.94595013046705301</v>
      </c>
      <c r="AL28" s="629">
        <f t="shared" si="91"/>
        <v>-0.30797818835046042</v>
      </c>
      <c r="AM28" s="634">
        <f t="shared" si="92"/>
        <v>-0.10162571608472898</v>
      </c>
      <c r="AN28" s="581">
        <f t="shared" si="93"/>
        <v>-71.738298885072425</v>
      </c>
      <c r="AO28" s="582">
        <f t="shared" si="94"/>
        <v>18.923905156328463</v>
      </c>
      <c r="AP28" s="585">
        <f t="shared" si="95"/>
        <v>-18.033980252167645</v>
      </c>
      <c r="AQ28" s="586">
        <f t="shared" si="9"/>
        <v>0.64278136615508252</v>
      </c>
      <c r="AS28" s="52">
        <f t="shared" si="116"/>
        <v>-134.42003256971765</v>
      </c>
      <c r="AT28" s="72">
        <f t="shared" si="10"/>
        <v>-0.88071680606733926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4.1280000000000001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2.5934758438983607</v>
      </c>
      <c r="C29" s="708">
        <v>-2.6492981554014245</v>
      </c>
      <c r="D29" s="709">
        <v>-1.7423052547926483</v>
      </c>
      <c r="E29" s="710">
        <v>0.98660073020377304</v>
      </c>
      <c r="F29" s="708">
        <v>0.16315329957241187</v>
      </c>
      <c r="G29" s="711">
        <v>1.3008419247616701E-7</v>
      </c>
      <c r="H29" s="710">
        <v>0.314</v>
      </c>
      <c r="I29" s="708">
        <v>0.52</v>
      </c>
      <c r="J29" s="570">
        <v>4.1360000000000001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1613</v>
      </c>
      <c r="L29" s="86"/>
      <c r="M29" s="168">
        <f t="shared" si="1"/>
        <v>4.1360000000000001</v>
      </c>
      <c r="N29" s="632">
        <f t="shared" si="2"/>
        <v>2.5934758438983607</v>
      </c>
      <c r="O29" s="629">
        <f t="shared" si="3"/>
        <v>-2.6492981554014245</v>
      </c>
      <c r="P29" s="633">
        <f t="shared" si="4"/>
        <v>-1.7423052547926483</v>
      </c>
      <c r="Q29" s="585">
        <f t="shared" si="113"/>
        <v>314.38996760209716</v>
      </c>
      <c r="R29" s="629">
        <f>IF(M29="","",SQRT(N29^2+O29^2))</f>
        <v>3.7074111815521222</v>
      </c>
      <c r="S29" s="634">
        <f>IF(M29="","",P29)</f>
        <v>-1.7423052547926483</v>
      </c>
      <c r="T29" s="635">
        <f>IF(M29="","",X29*COS(RADIANS(W29)))</f>
        <v>-2.6073149092960035</v>
      </c>
      <c r="U29" s="629">
        <f>IF(M29="","",X29*SIN(RADIANS(W29)))</f>
        <v>-2.6356795391057077</v>
      </c>
      <c r="V29" s="636">
        <f>IF(M29="","",Y29)</f>
        <v>-1.7423052547926483</v>
      </c>
      <c r="W29" s="585">
        <f t="shared" si="224"/>
        <v>225.30996746926559</v>
      </c>
      <c r="X29" s="629">
        <f>IF(M29="","",R29)</f>
        <v>3.7074111815521222</v>
      </c>
      <c r="Y29" s="630">
        <f t="shared" si="223"/>
        <v>-1.7423052547926483</v>
      </c>
      <c r="Z29" s="632">
        <f t="shared" si="6"/>
        <v>-0.98660073020377304</v>
      </c>
      <c r="AA29" s="629">
        <f t="shared" si="7"/>
        <v>-0.16315329957241187</v>
      </c>
      <c r="AB29" s="629">
        <f t="shared" si="8"/>
        <v>-1.3008419247616701E-7</v>
      </c>
      <c r="AC29" s="636">
        <f>IF(M29="","",SQRT(Z29^2+AA29^2+AB29^2))</f>
        <v>1</v>
      </c>
      <c r="AD29" s="637">
        <f>IF(M29="","",Z29*(1/SQRT(Z29^2+AA29^2+AB29^2)))</f>
        <v>-0.98660073020377304</v>
      </c>
      <c r="AE29" s="629">
        <f>IF(M29="","",AA29*(1/SQRT(Z29^2+AA29^2+AB29^2)))</f>
        <v>-0.16315329957241187</v>
      </c>
      <c r="AF29" s="633">
        <f>IF(M29="","",AB29*(1/SQRT(Z29^2+AA29^2+AB29^2)))</f>
        <v>-1.3008419247616701E-7</v>
      </c>
      <c r="AG29" s="602">
        <f>IF(M29="","",DEGREES(ATAN2(-AF29,AE29)))</f>
        <v>-89.999954317349221</v>
      </c>
      <c r="AH29" s="603">
        <f>IF(M29="","",DEGREES(ACOS(AD29)))</f>
        <v>170.61002734452529</v>
      </c>
      <c r="AI29" s="585">
        <f>IF(M29="","",DEGREES(-ACOS(-AF29)))</f>
        <v>-89.999992546724783</v>
      </c>
      <c r="AJ29" s="586">
        <f>IF(M29="","",DEGREES(ATAN2(-AE29,AD29)))</f>
        <v>-80.610027344528149</v>
      </c>
      <c r="AK29" s="635">
        <f>IF(M29="","",(COS(RADIANS((90-$Q$8)-W29))*AD29)+(-SIN(RADIANS((90-$Q$8)-W29))*AE29))</f>
        <v>0.81915209487729179</v>
      </c>
      <c r="AL29" s="629">
        <f>IF(M29="","",(SIN(RADIANS((90-$Q$8)-W29))*AD29)+(COS(RADIANS((90-$Q$8)-W29))*AE29))</f>
        <v>-0.57357636410344481</v>
      </c>
      <c r="AM29" s="634">
        <f>IF(M29="","",AF29)</f>
        <v>-1.3008419247616701E-7</v>
      </c>
      <c r="AN29" s="581">
        <f>IF(M29="","",DEGREES(ATAN2(-AM29,AL29)))</f>
        <v>-89.999987005609583</v>
      </c>
      <c r="AO29" s="582">
        <f t="shared" si="94"/>
        <v>34.999994946625968</v>
      </c>
      <c r="AP29" s="585">
        <f>IF(M29="","",DEGREES(ATAN2(AK29,AL29)))</f>
        <v>-34.999994946625293</v>
      </c>
      <c r="AQ29" s="586">
        <f t="shared" si="9"/>
        <v>0.61488704643770542</v>
      </c>
      <c r="AS29" s="52">
        <f t="shared" si="116"/>
        <v>-134.69003253073441</v>
      </c>
      <c r="AT29" s="72">
        <f t="shared" si="10"/>
        <v>-1.6481316211829935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4.1360000000000001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-3.3903623249734033E-2</v>
      </c>
      <c r="C30" s="708">
        <v>-0.64691414858516316</v>
      </c>
      <c r="D30" s="709">
        <v>-0.40920123415092213</v>
      </c>
      <c r="E30" s="710">
        <v>0.96810791888697834</v>
      </c>
      <c r="F30" s="708">
        <v>1.6342391374424524E-2</v>
      </c>
      <c r="G30" s="711">
        <v>0.24999996726497564</v>
      </c>
      <c r="H30" s="710">
        <v>0.314</v>
      </c>
      <c r="I30" s="708">
        <v>0.52</v>
      </c>
      <c r="J30" s="570">
        <v>5.1020000000000003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1613</v>
      </c>
      <c r="L30" s="86"/>
      <c r="M30" s="168">
        <f t="shared" si="1"/>
        <v>5.1020000000000003</v>
      </c>
      <c r="N30" s="632">
        <f t="shared" si="2"/>
        <v>-3.3903623249734033E-2</v>
      </c>
      <c r="O30" s="629">
        <f t="shared" si="3"/>
        <v>-0.64691414858516316</v>
      </c>
      <c r="P30" s="633">
        <f t="shared" si="4"/>
        <v>-0.40920123415092213</v>
      </c>
      <c r="Q30" s="585">
        <f t="shared" si="113"/>
        <v>266.99997444436553</v>
      </c>
      <c r="R30" s="629">
        <f>IF(M30="","",SQRT(N30^2+O30^2))</f>
        <v>0.6478019537706925</v>
      </c>
      <c r="S30" s="634">
        <f>IF(M30="","",P30)</f>
        <v>-0.40920123415092213</v>
      </c>
      <c r="T30" s="635">
        <f>IF(M30="","",X30*COS(RADIANS(W30)))</f>
        <v>-0.64737512204516034</v>
      </c>
      <c r="U30" s="629">
        <f>IF(M30="","",X30*SIN(RADIANS(W30)))</f>
        <v>2.3512181228888995E-2</v>
      </c>
      <c r="V30" s="636">
        <f>IF(M30="","",Y30)</f>
        <v>-0.40920123415092213</v>
      </c>
      <c r="W30" s="585">
        <f t="shared" si="224"/>
        <v>177.91997431153396</v>
      </c>
      <c r="X30" s="629">
        <f>IF(M30="","",R30)</f>
        <v>0.6478019537706925</v>
      </c>
      <c r="Y30" s="630">
        <f t="shared" si="223"/>
        <v>-0.40920123415092213</v>
      </c>
      <c r="Z30" s="632">
        <f t="shared" si="6"/>
        <v>-0.96810791888697834</v>
      </c>
      <c r="AA30" s="629">
        <f t="shared" si="7"/>
        <v>-1.6342391374424524E-2</v>
      </c>
      <c r="AB30" s="629">
        <f t="shared" si="8"/>
        <v>-0.24999996726497564</v>
      </c>
      <c r="AC30" s="636">
        <f>IF(M30="","",SQRT(Z30^2+AA30^2+AB30^2))</f>
        <v>1</v>
      </c>
      <c r="AD30" s="637">
        <f>IF(M30="","",Z30*(1/SQRT(Z30^2+AA30^2+AB30^2)))</f>
        <v>-0.96810791888697834</v>
      </c>
      <c r="AE30" s="629">
        <f>IF(M30="","",AA30*(1/SQRT(Z30^2+AA30^2+AB30^2)))</f>
        <v>-1.6342391374424524E-2</v>
      </c>
      <c r="AF30" s="633">
        <f>IF(M30="","",AB30*(1/SQRT(Z30^2+AA30^2+AB30^2)))</f>
        <v>-0.24999996726497564</v>
      </c>
      <c r="AG30" s="602">
        <f>IF(M30="","",DEGREES(ATAN2(-AF30,AE30)))</f>
        <v>-3.7400794133909607</v>
      </c>
      <c r="AH30" s="603">
        <f>IF(M30="","",DEGREES(ACOS(AD30)))</f>
        <v>165.49091310748042</v>
      </c>
      <c r="AI30" s="585">
        <f>IF(M30="","",DEGREES(-ACOS(-AF30)))</f>
        <v>-75.522489751159469</v>
      </c>
      <c r="AJ30" s="586">
        <f>IF(M30="","",DEGREES(ATAN2(-AE30,AD30)))</f>
        <v>-89.032895910547879</v>
      </c>
      <c r="AK30" s="635">
        <f>IF(M30="","",(COS(RADIANS((90-$Q$8)-W30))*AD30)+(-SIN(RADIANS((90-$Q$8)-W30))*AE30))</f>
        <v>0.96592583607220728</v>
      </c>
      <c r="AL30" s="629">
        <f>IF(M30="","",(SIN(RADIANS((90-$Q$8)-W30))*AD30)+(COS(RADIANS((90-$Q$8)-W30))*AE30))</f>
        <v>6.6987279208207628E-2</v>
      </c>
      <c r="AM30" s="634">
        <f>IF(M30="","",AF30)</f>
        <v>-0.24999996726497564</v>
      </c>
      <c r="AN30" s="581">
        <f>IF(M30="","",DEGREES(ATAN2(-AM30,AL30)))</f>
        <v>14.99999783426836</v>
      </c>
      <c r="AO30" s="582">
        <f>IF(ROUND(IF(M30="",0,DEGREES(ACOS(AK30))),4)=90,0,IF(M30="","",DEGREES(ACOS(AK30))))</f>
        <v>14.99999783426828</v>
      </c>
      <c r="AP30" s="585">
        <f>IF(M30="","",DEGREES(ATAN2(AK30,AL30)))</f>
        <v>3.9671296450865974</v>
      </c>
      <c r="AQ30" s="586">
        <f t="shared" si="9"/>
        <v>3.5147567725754376</v>
      </c>
      <c r="AS30" s="52">
        <f t="shared" si="116"/>
        <v>-182.08002568846604</v>
      </c>
      <c r="AT30" s="72">
        <f t="shared" si="10"/>
        <v>-0.28211788307062041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5.1020000000000003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-7.6589321185027273E-2</v>
      </c>
      <c r="C31" s="708">
        <v>-1.4613988345778448</v>
      </c>
      <c r="D31" s="709">
        <v>-0.19070057515293456</v>
      </c>
      <c r="E31" s="710">
        <v>0.96810791888697845</v>
      </c>
      <c r="F31" s="708">
        <v>1.6342391374424545E-2</v>
      </c>
      <c r="G31" s="711">
        <v>0.24999996726497567</v>
      </c>
      <c r="H31" s="710">
        <v>0.314</v>
      </c>
      <c r="I31" s="708">
        <v>0.52</v>
      </c>
      <c r="J31" s="570">
        <v>5.1059999999999999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1613</v>
      </c>
      <c r="L31" s="320"/>
      <c r="M31" s="168">
        <f t="shared" si="1"/>
        <v>5.1059999999999999</v>
      </c>
      <c r="N31" s="632">
        <f t="shared" si="2"/>
        <v>-7.6589321185027273E-2</v>
      </c>
      <c r="O31" s="629">
        <f t="shared" si="3"/>
        <v>-1.4613988345778448</v>
      </c>
      <c r="P31" s="633">
        <f t="shared" si="4"/>
        <v>-0.19070057515293456</v>
      </c>
      <c r="Q31" s="585">
        <f t="shared" si="113"/>
        <v>266.99997444436553</v>
      </c>
      <c r="R31" s="629">
        <f>IF(M31="","",SQRT(N31^2+O31^2))</f>
        <v>1.4634044136277116</v>
      </c>
      <c r="S31" s="634">
        <f>IF(M31="","",P31)</f>
        <v>-0.19070057515293456</v>
      </c>
      <c r="T31" s="635">
        <f>IF(M31="","",X31*COS(RADIANS(W31)))</f>
        <v>-1.4624401877136273</v>
      </c>
      <c r="U31" s="629">
        <f>IF(M31="","",X31*SIN(RADIANS(W31)))</f>
        <v>5.3114736045625437E-2</v>
      </c>
      <c r="V31" s="636">
        <f>IF(M31="","",Y31)</f>
        <v>-0.19070057515293456</v>
      </c>
      <c r="W31" s="585">
        <f t="shared" si="224"/>
        <v>177.91997431153396</v>
      </c>
      <c r="X31" s="629">
        <f>IF(M31="","",R31)</f>
        <v>1.4634044136277116</v>
      </c>
      <c r="Y31" s="630">
        <f t="shared" si="223"/>
        <v>-0.19070057515293456</v>
      </c>
      <c r="Z31" s="632">
        <f t="shared" si="6"/>
        <v>-0.96810791888697845</v>
      </c>
      <c r="AA31" s="629">
        <f t="shared" si="7"/>
        <v>-1.6342391374424545E-2</v>
      </c>
      <c r="AB31" s="629">
        <f t="shared" si="8"/>
        <v>-0.24999996726497567</v>
      </c>
      <c r="AC31" s="636">
        <f>IF(M31="","",SQRT(Z31^2+AA31^2+AB31^2))</f>
        <v>1</v>
      </c>
      <c r="AD31" s="637">
        <f>IF(M31="","",Z31*(1/SQRT(Z31^2+AA31^2+AB31^2)))</f>
        <v>-0.96810791888697845</v>
      </c>
      <c r="AE31" s="629">
        <f>IF(M31="","",AA31*(1/SQRT(Z31^2+AA31^2+AB31^2)))</f>
        <v>-1.6342391374424545E-2</v>
      </c>
      <c r="AF31" s="633">
        <f>IF(M31="","",AB31*(1/SQRT(Z31^2+AA31^2+AB31^2)))</f>
        <v>-0.24999996726497567</v>
      </c>
      <c r="AG31" s="602">
        <f>IF(M31="","",DEGREES(ATAN2(-AF31,AE31)))</f>
        <v>-3.7400794133909647</v>
      </c>
      <c r="AH31" s="603">
        <f>IF(M31="","",DEGREES(ACOS(AD31)))</f>
        <v>165.49091310748042</v>
      </c>
      <c r="AI31" s="585">
        <f>IF(M31="","",DEGREES(-ACOS(-AF31)))</f>
        <v>-75.522489751159455</v>
      </c>
      <c r="AJ31" s="586">
        <f>IF(M31="","",DEGREES(ATAN2(-AE31,AD31)))</f>
        <v>-89.032895910547879</v>
      </c>
      <c r="AK31" s="635">
        <f>IF(M31="","",(COS(RADIANS((90-$Q$8)-W31))*AD31)+(-SIN(RADIANS((90-$Q$8)-W31))*AE31))</f>
        <v>0.96592583607220739</v>
      </c>
      <c r="AL31" s="629">
        <f>IF(M31="","",(SIN(RADIANS((90-$Q$8)-W31))*AD31)+(COS(RADIANS((90-$Q$8)-W31))*AE31))</f>
        <v>6.6987279208207656E-2</v>
      </c>
      <c r="AM31" s="634">
        <f>IF(M31="","",AF31)</f>
        <v>-0.24999996726497567</v>
      </c>
      <c r="AN31" s="581">
        <f>IF(M31="","",DEGREES(ATAN2(-AM31,AL31)))</f>
        <v>14.999997834268363</v>
      </c>
      <c r="AO31" s="582">
        <f t="shared" si="94"/>
        <v>14.999997834268255</v>
      </c>
      <c r="AP31" s="585">
        <f>IF(M31="","",DEGREES(ATAN2(AK31,AL31)))</f>
        <v>3.9671296450865992</v>
      </c>
      <c r="AQ31" s="586">
        <f t="shared" si="9"/>
        <v>1.5574403745379406</v>
      </c>
      <c r="AS31" s="52">
        <f t="shared" si="116"/>
        <v>-182.08002568846604</v>
      </c>
      <c r="AT31" s="72">
        <f t="shared" si="10"/>
        <v>-6.3617224072632844E-2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5.1059999999999999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-0.13493674114600099</v>
      </c>
      <c r="C32" s="708">
        <v>-2.2447547795834599</v>
      </c>
      <c r="D32" s="709">
        <v>-5.8400176134931259E-2</v>
      </c>
      <c r="E32" s="710">
        <v>0.96079185930595923</v>
      </c>
      <c r="F32" s="708">
        <v>-0.10005576208847786</v>
      </c>
      <c r="G32" s="711">
        <v>0.25858818140876422</v>
      </c>
      <c r="H32" s="710">
        <v>0.314</v>
      </c>
      <c r="I32" s="708">
        <v>0.52</v>
      </c>
      <c r="J32" s="570">
        <v>5.1120000000000001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1613</v>
      </c>
      <c r="L32" s="320"/>
      <c r="M32" s="168">
        <f t="shared" si="1"/>
        <v>5.1120000000000001</v>
      </c>
      <c r="N32" s="632">
        <f t="shared" si="2"/>
        <v>-0.13493674114600099</v>
      </c>
      <c r="O32" s="629">
        <f t="shared" si="3"/>
        <v>-2.2447547795834599</v>
      </c>
      <c r="P32" s="633">
        <f t="shared" si="4"/>
        <v>-5.8400176134931259E-2</v>
      </c>
      <c r="Q32" s="585">
        <f t="shared" si="113"/>
        <v>266.55997450789368</v>
      </c>
      <c r="R32" s="629">
        <f t="shared" si="79"/>
        <v>2.2488067824012559</v>
      </c>
      <c r="S32" s="634">
        <f t="shared" si="80"/>
        <v>-5.8400176134931259E-2</v>
      </c>
      <c r="T32" s="635">
        <f t="shared" si="81"/>
        <v>-2.2466319951250049</v>
      </c>
      <c r="U32" s="629">
        <f t="shared" si="82"/>
        <v>9.8876807465298713E-2</v>
      </c>
      <c r="V32" s="636">
        <f t="shared" si="114"/>
        <v>-5.8400176134931259E-2</v>
      </c>
      <c r="W32" s="585">
        <f t="shared" si="224"/>
        <v>177.47997437506211</v>
      </c>
      <c r="X32" s="629">
        <f t="shared" si="83"/>
        <v>2.2488067824012559</v>
      </c>
      <c r="Y32" s="630">
        <f t="shared" si="223"/>
        <v>-5.8400176134931259E-2</v>
      </c>
      <c r="Z32" s="632">
        <f t="shared" si="6"/>
        <v>-0.96079185930595923</v>
      </c>
      <c r="AA32" s="629">
        <f t="shared" si="7"/>
        <v>0.10005576208847786</v>
      </c>
      <c r="AB32" s="629">
        <f t="shared" si="8"/>
        <v>-0.25858818140876422</v>
      </c>
      <c r="AC32" s="636">
        <f t="shared" si="84"/>
        <v>1</v>
      </c>
      <c r="AD32" s="637">
        <f t="shared" si="115"/>
        <v>-0.96079185930595923</v>
      </c>
      <c r="AE32" s="629">
        <f t="shared" si="85"/>
        <v>0.10005576208847786</v>
      </c>
      <c r="AF32" s="633">
        <f t="shared" si="86"/>
        <v>-0.25858818140876422</v>
      </c>
      <c r="AG32" s="602">
        <f t="shared" si="87"/>
        <v>21.152994814047126</v>
      </c>
      <c r="AH32" s="603">
        <f t="shared" si="88"/>
        <v>163.90262520986124</v>
      </c>
      <c r="AI32" s="585">
        <f t="shared" si="89"/>
        <v>-75.013693693170197</v>
      </c>
      <c r="AJ32" s="586">
        <f t="shared" si="90"/>
        <v>-95.945286543287139</v>
      </c>
      <c r="AK32" s="635">
        <f t="shared" si="211"/>
        <v>0.9650643771687949</v>
      </c>
      <c r="AL32" s="629">
        <f t="shared" si="91"/>
        <v>-4.2224404738423572E-2</v>
      </c>
      <c r="AM32" s="634">
        <f t="shared" si="92"/>
        <v>-0.25858818140876422</v>
      </c>
      <c r="AN32" s="581">
        <f t="shared" si="93"/>
        <v>-9.2738807449690768</v>
      </c>
      <c r="AO32" s="582">
        <f t="shared" si="94"/>
        <v>15.189532752185919</v>
      </c>
      <c r="AP32" s="585">
        <f t="shared" si="95"/>
        <v>-2.5052610511808076</v>
      </c>
      <c r="AQ32" s="586">
        <f t="shared" si="9"/>
        <v>1.0136436815014924</v>
      </c>
      <c r="AS32" s="52">
        <f t="shared" si="116"/>
        <v>-182.52002562493789</v>
      </c>
      <c r="AT32" s="72">
        <f t="shared" si="10"/>
        <v>6.8988730456809255E-2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5.1120000000000001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-0.23092346473956674</v>
      </c>
      <c r="C33" s="708">
        <v>-2.9739570330716112</v>
      </c>
      <c r="D33" s="709">
        <v>-0.29940090299312361</v>
      </c>
      <c r="E33" s="710">
        <v>0.94608642503643792</v>
      </c>
      <c r="F33" s="708">
        <v>-0.25431370532166864</v>
      </c>
      <c r="G33" s="711">
        <v>0.20061160396980077</v>
      </c>
      <c r="H33" s="710">
        <v>0.314</v>
      </c>
      <c r="I33" s="708">
        <v>0.52</v>
      </c>
      <c r="J33" s="570">
        <v>5.1189999999999998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1613</v>
      </c>
      <c r="L33" s="320"/>
      <c r="M33" s="168">
        <f t="shared" si="1"/>
        <v>5.1189999999999998</v>
      </c>
      <c r="N33" s="632">
        <f t="shared" si="2"/>
        <v>-0.23092346473956674</v>
      </c>
      <c r="O33" s="629">
        <f t="shared" si="3"/>
        <v>-2.9739570330716112</v>
      </c>
      <c r="P33" s="633">
        <f t="shared" si="4"/>
        <v>-0.29940090299312361</v>
      </c>
      <c r="Q33" s="585">
        <f t="shared" si="113"/>
        <v>265.5599746522758</v>
      </c>
      <c r="R33" s="629">
        <f t="shared" si="79"/>
        <v>2.9829089964535336</v>
      </c>
      <c r="S33" s="634">
        <f t="shared" si="80"/>
        <v>-0.29940090299312361</v>
      </c>
      <c r="T33" s="635">
        <f t="shared" si="81"/>
        <v>-2.9772814413775555</v>
      </c>
      <c r="U33" s="629">
        <f t="shared" si="82"/>
        <v>0.18314284029743949</v>
      </c>
      <c r="V33" s="636">
        <f t="shared" si="114"/>
        <v>-0.29940090299312361</v>
      </c>
      <c r="W33" s="585">
        <f t="shared" si="224"/>
        <v>176.47997451944423</v>
      </c>
      <c r="X33" s="629">
        <f t="shared" si="83"/>
        <v>2.9829089964535336</v>
      </c>
      <c r="Y33" s="630">
        <f t="shared" si="223"/>
        <v>-0.29940090299312361</v>
      </c>
      <c r="Z33" s="632">
        <f t="shared" si="6"/>
        <v>-0.94608642503643792</v>
      </c>
      <c r="AA33" s="629">
        <f t="shared" si="7"/>
        <v>0.25431370532166864</v>
      </c>
      <c r="AB33" s="629">
        <f t="shared" si="8"/>
        <v>-0.20061160396980077</v>
      </c>
      <c r="AC33" s="636">
        <f t="shared" si="84"/>
        <v>1</v>
      </c>
      <c r="AD33" s="637">
        <f t="shared" si="115"/>
        <v>-0.94608642503643792</v>
      </c>
      <c r="AE33" s="629">
        <f t="shared" si="85"/>
        <v>0.25431370532166864</v>
      </c>
      <c r="AF33" s="633">
        <f t="shared" si="86"/>
        <v>-0.20061160396980077</v>
      </c>
      <c r="AG33" s="602">
        <f t="shared" si="87"/>
        <v>51.732379904444663</v>
      </c>
      <c r="AH33" s="603">
        <f t="shared" si="88"/>
        <v>161.10018859610457</v>
      </c>
      <c r="AI33" s="585">
        <f t="shared" si="89"/>
        <v>-78.427273761616689</v>
      </c>
      <c r="AJ33" s="586">
        <f t="shared" si="90"/>
        <v>-105.04579300782932</v>
      </c>
      <c r="AK33" s="635">
        <f t="shared" si="211"/>
        <v>0.96293496818352342</v>
      </c>
      <c r="AL33" s="629">
        <f t="shared" si="91"/>
        <v>-0.18030871138705601</v>
      </c>
      <c r="AM33" s="634">
        <f t="shared" si="92"/>
        <v>-0.20061160396980077</v>
      </c>
      <c r="AN33" s="581">
        <f t="shared" si="93"/>
        <v>-41.949045962761303</v>
      </c>
      <c r="AO33" s="582">
        <f t="shared" si="94"/>
        <v>15.648418657705157</v>
      </c>
      <c r="AP33" s="585">
        <f t="shared" si="95"/>
        <v>-10.605767660105121</v>
      </c>
      <c r="AQ33" s="586">
        <f t="shared" si="9"/>
        <v>0.76421756120667672</v>
      </c>
      <c r="AS33" s="52">
        <f t="shared" si="116"/>
        <v>-183.52002548055577</v>
      </c>
      <c r="AT33" s="72">
        <f t="shared" si="10"/>
        <v>-0.17131755205720403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5.1189999999999998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-0.32194318979537606</v>
      </c>
      <c r="C34" s="708">
        <v>-3.4902940707595027</v>
      </c>
      <c r="D34" s="709">
        <v>-0.88460266796164666</v>
      </c>
      <c r="E34" s="710">
        <v>0.9177278046782934</v>
      </c>
      <c r="F34" s="708">
        <v>-0.3803558362405759</v>
      </c>
      <c r="G34" s="711">
        <v>0.11447757141943848</v>
      </c>
      <c r="H34" s="710">
        <v>0.314</v>
      </c>
      <c r="I34" s="708">
        <v>0.52</v>
      </c>
      <c r="J34" s="570">
        <v>5.1269999999999998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1613</v>
      </c>
      <c r="L34" s="320"/>
      <c r="M34" s="168">
        <f t="shared" si="1"/>
        <v>5.1269999999999998</v>
      </c>
      <c r="N34" s="632">
        <f t="shared" si="2"/>
        <v>-0.32194318979537606</v>
      </c>
      <c r="O34" s="629">
        <f t="shared" si="3"/>
        <v>-3.4902940707595027</v>
      </c>
      <c r="P34" s="633">
        <f t="shared" si="4"/>
        <v>-0.88460266796164666</v>
      </c>
      <c r="Q34" s="585">
        <f t="shared" si="113"/>
        <v>264.72997477211294</v>
      </c>
      <c r="R34" s="629">
        <f>IF(M34="","",SQRT(N34^2+O34^2))</f>
        <v>3.5051105714134843</v>
      </c>
      <c r="S34" s="634">
        <f>IF(M34="","",P34)</f>
        <v>-0.88460266796164666</v>
      </c>
      <c r="T34" s="635">
        <f>IF(M34="","",X34*COS(RADIANS(W34)))</f>
        <v>-3.4950133607568654</v>
      </c>
      <c r="U34" s="629">
        <f>IF(M34="","",X34*SIN(RADIANS(W34)))</f>
        <v>0.26586035049544698</v>
      </c>
      <c r="V34" s="636">
        <f>IF(M34="","",Y34)</f>
        <v>-0.88460266796164666</v>
      </c>
      <c r="W34" s="585">
        <f t="shared" si="224"/>
        <v>175.64997463928137</v>
      </c>
      <c r="X34" s="629">
        <f>IF(M34="","",R34)</f>
        <v>3.5051105714134843</v>
      </c>
      <c r="Y34" s="630">
        <f t="shared" si="223"/>
        <v>-0.88460266796164666</v>
      </c>
      <c r="Z34" s="632">
        <f t="shared" si="6"/>
        <v>-0.9177278046782934</v>
      </c>
      <c r="AA34" s="629">
        <f t="shared" si="7"/>
        <v>0.3803558362405759</v>
      </c>
      <c r="AB34" s="629">
        <f t="shared" si="8"/>
        <v>-0.11447757141943848</v>
      </c>
      <c r="AC34" s="636">
        <f>IF(M34="","",SQRT(Z34^2+AA34^2+AB34^2))</f>
        <v>1</v>
      </c>
      <c r="AD34" s="637">
        <f>IF(M34="","",Z34*(1/SQRT(Z34^2+AA34^2+AB34^2)))</f>
        <v>-0.9177278046782934</v>
      </c>
      <c r="AE34" s="629">
        <f>IF(M34="","",AA34*(1/SQRT(Z34^2+AA34^2+AB34^2)))</f>
        <v>0.3803558362405759</v>
      </c>
      <c r="AF34" s="633">
        <f>IF(M34="","",AB34*(1/SQRT(Z34^2+AA34^2+AB34^2)))</f>
        <v>-0.11447757141943848</v>
      </c>
      <c r="AG34" s="602">
        <f>IF(M34="","",DEGREES(ATAN2(-AF34,AE34)))</f>
        <v>73.249522362655512</v>
      </c>
      <c r="AH34" s="603">
        <f>IF(M34="","",DEGREES(ACOS(AD34)))</f>
        <v>156.59613088581932</v>
      </c>
      <c r="AI34" s="585">
        <f>IF(M34="","",DEGREES(-ACOS(-AF34)))</f>
        <v>-83.426506904936474</v>
      </c>
      <c r="AJ34" s="586">
        <f>IF(M34="","",DEGREES(ATAN2(-AE34,AD34)))</f>
        <v>-112.51175103365834</v>
      </c>
      <c r="AK34" s="635">
        <f>IF(M34="","",(COS(RADIANS((90-$Q$8)-W34))*AD34)+(-SIN(RADIANS((90-$Q$8)-W34))*AE34))</f>
        <v>0.94878401655536637</v>
      </c>
      <c r="AL34" s="629">
        <f>IF(M34="","",(SIN(RADIANS((90-$Q$8)-W34))*AD34)+(COS(RADIANS((90-$Q$8)-W34))*AE34))</f>
        <v>-0.29445504847255355</v>
      </c>
      <c r="AM34" s="634">
        <f>IF(M34="","",AF34)</f>
        <v>-0.11447757141943848</v>
      </c>
      <c r="AN34" s="581">
        <f>IF(M34="","",DEGREES(ATAN2(-AM34,AL34)))</f>
        <v>-68.755025937064133</v>
      </c>
      <c r="AO34" s="582">
        <f t="shared" si="94"/>
        <v>18.416691397183147</v>
      </c>
      <c r="AP34" s="585">
        <f>IF(M34="","",DEGREES(ATAN2(AK34,AL34)))</f>
        <v>-17.241725805771299</v>
      </c>
      <c r="AQ34" s="586">
        <f t="shared" si="9"/>
        <v>0.65037284031722042</v>
      </c>
      <c r="AS34" s="52">
        <f t="shared" si="116"/>
        <v>-184.35002536071863</v>
      </c>
      <c r="AT34" s="72">
        <f t="shared" si="10"/>
        <v>-0.75594292822005849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5.1269999999999998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-0.35285017186520157</v>
      </c>
      <c r="C35" s="708">
        <v>-3.6444697659720933</v>
      </c>
      <c r="D35" s="709">
        <v>-1.6534049866694398</v>
      </c>
      <c r="E35" s="710">
        <v>0.80795021246524368</v>
      </c>
      <c r="F35" s="708">
        <v>-0.58876207262010449</v>
      </c>
      <c r="G35" s="711">
        <v>2.3993249497439653E-2</v>
      </c>
      <c r="H35" s="710">
        <v>0.314</v>
      </c>
      <c r="I35" s="708">
        <v>0.52</v>
      </c>
      <c r="J35" s="570">
        <v>5.1349999999999998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1613</v>
      </c>
      <c r="L35" s="320"/>
      <c r="M35" s="168">
        <f t="shared" si="1"/>
        <v>5.1349999999999998</v>
      </c>
      <c r="N35" s="632">
        <f t="shared" si="2"/>
        <v>-0.35285017186520157</v>
      </c>
      <c r="O35" s="629">
        <f t="shared" si="3"/>
        <v>-3.6444697659720933</v>
      </c>
      <c r="P35" s="633">
        <f t="shared" si="4"/>
        <v>-1.6534049866694398</v>
      </c>
      <c r="Q35" s="585">
        <f t="shared" si="113"/>
        <v>264.46997480965229</v>
      </c>
      <c r="R35" s="629">
        <f>IF(M35="","",SQRT(N35^2+O35^2))</f>
        <v>3.6615110431173066</v>
      </c>
      <c r="S35" s="634">
        <f>IF(M35="","",P35)</f>
        <v>-1.6534049866694398</v>
      </c>
      <c r="T35" s="635">
        <f>IF(M35="","",X35*COS(RADIANS(W35)))</f>
        <v>-3.6496654338965655</v>
      </c>
      <c r="U35" s="629">
        <f>IF(M35="","",X35*SIN(RADIANS(W35)))</f>
        <v>0.2942878514152088</v>
      </c>
      <c r="V35" s="636">
        <f>IF(M35="","",Y35)</f>
        <v>-1.6534049866694398</v>
      </c>
      <c r="W35" s="585">
        <f t="shared" si="224"/>
        <v>175.38997467682071</v>
      </c>
      <c r="X35" s="629">
        <f>IF(M35="","",R35)</f>
        <v>3.6615110431173066</v>
      </c>
      <c r="Y35" s="630">
        <f t="shared" si="223"/>
        <v>-1.6534049866694398</v>
      </c>
      <c r="Z35" s="632">
        <f t="shared" si="6"/>
        <v>-0.80795021246524368</v>
      </c>
      <c r="AA35" s="629">
        <f t="shared" si="7"/>
        <v>0.58876207262010449</v>
      </c>
      <c r="AB35" s="629">
        <f t="shared" si="8"/>
        <v>-2.3993249497439653E-2</v>
      </c>
      <c r="AC35" s="636">
        <f>IF(M35="","",SQRT(Z35^2+AA35^2+AB35^2))</f>
        <v>1</v>
      </c>
      <c r="AD35" s="637">
        <f>IF(M35="","",Z35*(1/SQRT(Z35^2+AA35^2+AB35^2)))</f>
        <v>-0.80795021246524368</v>
      </c>
      <c r="AE35" s="629">
        <f>IF(M35="","",AA35*(1/SQRT(Z35^2+AA35^2+AB35^2)))</f>
        <v>0.58876207262010449</v>
      </c>
      <c r="AF35" s="633">
        <f>IF(M35="","",AB35*(1/SQRT(Z35^2+AA35^2+AB35^2)))</f>
        <v>-2.3993249497439653E-2</v>
      </c>
      <c r="AG35" s="602">
        <f>IF(M35="","",DEGREES(ATAN2(-AF35,AE35)))</f>
        <v>87.666371957706872</v>
      </c>
      <c r="AH35" s="603">
        <f>IF(M35="","",DEGREES(ACOS(AD35)))</f>
        <v>143.89614237136632</v>
      </c>
      <c r="AI35" s="585">
        <f>IF(M35="","",DEGREES(-ACOS(-AF35)))</f>
        <v>-88.6251561346958</v>
      </c>
      <c r="AJ35" s="586">
        <f>IF(M35="","",DEGREES(ATAN2(-AE35,AD35)))</f>
        <v>-126.08122888690522</v>
      </c>
      <c r="AK35" s="635">
        <f>IF(M35="","",(COS(RADIANS((90-$Q$8)-W35))*AD35)+(-SIN(RADIANS((90-$Q$8)-W35))*AE35))</f>
        <v>0.86092732839834674</v>
      </c>
      <c r="AL35" s="629">
        <f>IF(M35="","",(SIN(RADIANS((90-$Q$8)-W35))*AD35)+(COS(RADIANS((90-$Q$8)-W35))*AE35))</f>
        <v>-0.508161843506022</v>
      </c>
      <c r="AM35" s="634">
        <f>IF(M35="","",AF35)</f>
        <v>-2.3993249497439653E-2</v>
      </c>
      <c r="AN35" s="581">
        <f>IF(M35="","",DEGREES(ATAN2(-AM35,AL35)))</f>
        <v>-87.296743639048159</v>
      </c>
      <c r="AO35" s="582">
        <f t="shared" si="94"/>
        <v>30.579136751421196</v>
      </c>
      <c r="AP35" s="585">
        <f>IF(M35="","",DEGREES(ATAN2(AK35,AL35)))</f>
        <v>-30.551203696557511</v>
      </c>
      <c r="AQ35" s="586">
        <f t="shared" si="9"/>
        <v>0.62259457273880381</v>
      </c>
      <c r="AS35" s="52">
        <f t="shared" si="116"/>
        <v>-184.61002532317929</v>
      </c>
      <c r="AT35" s="72">
        <f t="shared" si="10"/>
        <v>-1.524564691398365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5.1349999999999998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-0.36242552674549561</v>
      </c>
      <c r="C36" s="708">
        <v>-3.6896538329036987</v>
      </c>
      <c r="D36" s="709">
        <v>-2.4207073008532198</v>
      </c>
      <c r="E36" s="710">
        <v>0.7591574856090908</v>
      </c>
      <c r="F36" s="708">
        <v>-0.6509069918534186</v>
      </c>
      <c r="G36" s="711">
        <v>1.3008419232363911E-7</v>
      </c>
      <c r="H36" s="710">
        <v>0.314</v>
      </c>
      <c r="I36" s="708">
        <v>0.52</v>
      </c>
      <c r="J36" s="570">
        <v>5.1429999999999998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1613</v>
      </c>
      <c r="L36" s="320"/>
      <c r="M36" s="168">
        <f t="shared" si="1"/>
        <v>5.1429999999999998</v>
      </c>
      <c r="N36" s="632">
        <f t="shared" si="2"/>
        <v>-0.36242552674549561</v>
      </c>
      <c r="O36" s="629">
        <f t="shared" si="3"/>
        <v>-3.6896538329036987</v>
      </c>
      <c r="P36" s="633">
        <f t="shared" si="4"/>
        <v>-2.4207073008532198</v>
      </c>
      <c r="Q36" s="585">
        <f t="shared" si="113"/>
        <v>264.38997482120288</v>
      </c>
      <c r="R36" s="629">
        <f>IF(M36="","",SQRT(N36^2+O36^2))</f>
        <v>3.7074111815521227</v>
      </c>
      <c r="S36" s="634">
        <f>IF(M36="","",P36)</f>
        <v>-2.4207073008532198</v>
      </c>
      <c r="T36" s="635">
        <f>IF(M36="","",X36*COS(RADIANS(W36)))</f>
        <v>-3.6949974212151377</v>
      </c>
      <c r="U36" s="629">
        <f>IF(M36="","",X36*SIN(RADIANS(W36)))</f>
        <v>0.30313648132679299</v>
      </c>
      <c r="V36" s="636">
        <f>IF(M36="","",Y36)</f>
        <v>-2.4207073008532198</v>
      </c>
      <c r="W36" s="585">
        <f t="shared" si="224"/>
        <v>175.30997468837131</v>
      </c>
      <c r="X36" s="629">
        <f>IF(M36="","",R36)</f>
        <v>3.7074111815521227</v>
      </c>
      <c r="Y36" s="630">
        <f t="shared" si="223"/>
        <v>-2.4207073008532198</v>
      </c>
      <c r="Z36" s="632">
        <f t="shared" si="6"/>
        <v>-0.7591574856090908</v>
      </c>
      <c r="AA36" s="629">
        <f t="shared" si="7"/>
        <v>0.6509069918534186</v>
      </c>
      <c r="AB36" s="629">
        <f t="shared" si="8"/>
        <v>-1.3008419232363911E-7</v>
      </c>
      <c r="AC36" s="636">
        <f>IF(M36="","",SQRT(Z36^2+AA36^2+AB36^2))</f>
        <v>1</v>
      </c>
      <c r="AD36" s="637">
        <f>IF(M36="","",Z36*(1/SQRT(Z36^2+AA36^2+AB36^2)))</f>
        <v>-0.7591574856090908</v>
      </c>
      <c r="AE36" s="629">
        <f>IF(M36="","",AA36*(1/SQRT(Z36^2+AA36^2+AB36^2)))</f>
        <v>0.6509069918534186</v>
      </c>
      <c r="AF36" s="633">
        <f>IF(M36="","",AB36*(1/SQRT(Z36^2+AA36^2+AB36^2)))</f>
        <v>-1.3008419232363911E-7</v>
      </c>
      <c r="AG36" s="602">
        <f>IF(M36="","",DEGREES(ATAN2(-AF36,AE36)))</f>
        <v>89.999988549400626</v>
      </c>
      <c r="AH36" s="603">
        <f>IF(M36="","",DEGREES(ACOS(AD36)))</f>
        <v>139.38997987457705</v>
      </c>
      <c r="AI36" s="585">
        <f>IF(M36="","",DEGREES(-ACOS(-AF36)))</f>
        <v>-89.999992546724798</v>
      </c>
      <c r="AJ36" s="586">
        <f>IF(M36="","",DEGREES(ATAN2(-AE36,AD36)))</f>
        <v>-130.61002012542241</v>
      </c>
      <c r="AK36" s="635">
        <f>IF(M36="","",(COS(RADIANS((90-$Q$8)-W36))*AD36)+(-SIN(RADIANS((90-$Q$8)-W36))*AE36))</f>
        <v>0.81915209487729201</v>
      </c>
      <c r="AL36" s="629">
        <f>IF(M36="","",(SIN(RADIANS((90-$Q$8)-W36))*AD36)+(COS(RADIANS((90-$Q$8)-W36))*AE36))</f>
        <v>-0.57357636410344459</v>
      </c>
      <c r="AM36" s="634">
        <f>IF(M36="","",AF36)</f>
        <v>-1.3008419232363911E-7</v>
      </c>
      <c r="AN36" s="581">
        <f>IF(M36="","",DEGREES(ATAN2(-AM36,AL36)))</f>
        <v>-89.999987005609597</v>
      </c>
      <c r="AO36" s="582">
        <f t="shared" si="94"/>
        <v>34.999994946625954</v>
      </c>
      <c r="AP36" s="585">
        <f>IF(M36="","",DEGREES(ATAN2(AK36,AL36)))</f>
        <v>-34.999994946625264</v>
      </c>
      <c r="AQ36" s="586">
        <f t="shared" si="9"/>
        <v>0.61488704643770531</v>
      </c>
      <c r="AS36" s="52">
        <f t="shared" si="116"/>
        <v>-184.69002531162869</v>
      </c>
      <c r="AT36" s="72">
        <f t="shared" si="10"/>
        <v>-2.2918114500346105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5.1429999999999998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-1.4670959884658721</v>
      </c>
      <c r="C37" s="708">
        <v>-1.5546673866050191</v>
      </c>
      <c r="D37" s="709">
        <v>-5.6200169499711385E-2</v>
      </c>
      <c r="E37" s="710">
        <v>0.68453316456783164</v>
      </c>
      <c r="F37" s="708">
        <v>-0.68103789265048564</v>
      </c>
      <c r="G37" s="711">
        <v>0.260003337249612</v>
      </c>
      <c r="H37" s="710">
        <v>0.314</v>
      </c>
      <c r="I37" s="708">
        <v>0.52</v>
      </c>
      <c r="J37" s="570">
        <v>6.1109999999999998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1613</v>
      </c>
      <c r="L37" s="320"/>
      <c r="M37" s="168">
        <f t="shared" si="1"/>
        <v>6.1109999999999998</v>
      </c>
      <c r="N37" s="632">
        <f t="shared" si="2"/>
        <v>-1.4670959884658721</v>
      </c>
      <c r="O37" s="629">
        <f t="shared" si="3"/>
        <v>-1.5546673866050191</v>
      </c>
      <c r="P37" s="633">
        <f t="shared" si="4"/>
        <v>-5.6200169499711385E-2</v>
      </c>
      <c r="Q37" s="585">
        <f t="shared" si="113"/>
        <v>226.6599802687401</v>
      </c>
      <c r="R37" s="629">
        <f t="shared" si="79"/>
        <v>2.1376064470210445</v>
      </c>
      <c r="S37" s="634">
        <f t="shared" si="80"/>
        <v>-5.6200169499711385E-2</v>
      </c>
      <c r="T37" s="635">
        <f t="shared" si="81"/>
        <v>-1.5780231597677041</v>
      </c>
      <c r="U37" s="629">
        <f t="shared" si="82"/>
        <v>1.441944600039365</v>
      </c>
      <c r="V37" s="636">
        <f t="shared" si="114"/>
        <v>-5.6200169499711385E-2</v>
      </c>
      <c r="W37" s="585">
        <f t="shared" si="224"/>
        <v>137.57998013590856</v>
      </c>
      <c r="X37" s="629">
        <f t="shared" si="83"/>
        <v>2.1376064470210445</v>
      </c>
      <c r="Y37" s="630">
        <f t="shared" si="223"/>
        <v>-5.6200169499711385E-2</v>
      </c>
      <c r="Z37" s="632">
        <f t="shared" si="6"/>
        <v>-0.68453316456783164</v>
      </c>
      <c r="AA37" s="629">
        <f t="shared" si="7"/>
        <v>0.68103789265048564</v>
      </c>
      <c r="AB37" s="629">
        <f t="shared" si="8"/>
        <v>-0.260003337249612</v>
      </c>
      <c r="AC37" s="636">
        <f t="shared" si="84"/>
        <v>1</v>
      </c>
      <c r="AD37" s="637">
        <f t="shared" si="115"/>
        <v>-0.68453316456783164</v>
      </c>
      <c r="AE37" s="629">
        <f t="shared" si="85"/>
        <v>0.68103789265048564</v>
      </c>
      <c r="AF37" s="633">
        <f t="shared" si="86"/>
        <v>-0.260003337249612</v>
      </c>
      <c r="AG37" s="602">
        <f t="shared" si="87"/>
        <v>69.104386835854513</v>
      </c>
      <c r="AH37" s="603">
        <f t="shared" si="88"/>
        <v>133.19890424095755</v>
      </c>
      <c r="AI37" s="585">
        <f t="shared" si="89"/>
        <v>-74.92973983450149</v>
      </c>
      <c r="AJ37" s="586">
        <f t="shared" si="90"/>
        <v>-134.85334787910068</v>
      </c>
      <c r="AK37" s="635">
        <f t="shared" si="211"/>
        <v>0.96527092214725108</v>
      </c>
      <c r="AL37" s="629">
        <f t="shared" si="91"/>
        <v>-2.5501205384449444E-2</v>
      </c>
      <c r="AM37" s="634">
        <f t="shared" si="92"/>
        <v>-0.260003337249612</v>
      </c>
      <c r="AN37" s="581">
        <f t="shared" si="93"/>
        <v>-5.6016708892967921</v>
      </c>
      <c r="AO37" s="582">
        <f t="shared" si="94"/>
        <v>15.144300672950759</v>
      </c>
      <c r="AP37" s="585">
        <f t="shared" si="95"/>
        <v>-1.5133281478407947</v>
      </c>
      <c r="AQ37" s="586">
        <f t="shared" si="9"/>
        <v>1.0663625218470265</v>
      </c>
      <c r="AS37" s="52">
        <f t="shared" si="116"/>
        <v>-222.42001986409144</v>
      </c>
      <c r="AT37" s="72">
        <f t="shared" si="10"/>
        <v>9.8897066424774638E-2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6.1109999999999998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-2.0244461300137426</v>
      </c>
      <c r="C38" s="708">
        <v>-2.0738013741847872</v>
      </c>
      <c r="D38" s="709">
        <v>-0.24800074797025567</v>
      </c>
      <c r="E38" s="710">
        <v>0.57369528022384952</v>
      </c>
      <c r="F38" s="708">
        <v>-0.79123929418353822</v>
      </c>
      <c r="G38" s="711">
        <v>0.21169342169471181</v>
      </c>
      <c r="H38" s="710">
        <v>0.314</v>
      </c>
      <c r="I38" s="708">
        <v>0.52</v>
      </c>
      <c r="J38" s="570">
        <v>6.1180000000000003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1613</v>
      </c>
      <c r="L38" s="320"/>
      <c r="M38" s="168">
        <f t="shared" si="1"/>
        <v>6.1180000000000003</v>
      </c>
      <c r="N38" s="632">
        <f t="shared" si="2"/>
        <v>-2.0244461300137426</v>
      </c>
      <c r="O38" s="629">
        <f t="shared" si="3"/>
        <v>-2.0738013741847872</v>
      </c>
      <c r="P38" s="633">
        <f t="shared" si="4"/>
        <v>-0.24800074797025567</v>
      </c>
      <c r="Q38" s="585">
        <f t="shared" si="113"/>
        <v>225.68998040879075</v>
      </c>
      <c r="R38" s="629">
        <f t="shared" si="79"/>
        <v>2.8981087406959611</v>
      </c>
      <c r="S38" s="634">
        <f t="shared" si="80"/>
        <v>-0.24800074797025567</v>
      </c>
      <c r="T38" s="635">
        <f t="shared" si="81"/>
        <v>-2.106039226715577</v>
      </c>
      <c r="U38" s="629">
        <f t="shared" si="82"/>
        <v>1.9908875027066657</v>
      </c>
      <c r="V38" s="636">
        <f t="shared" si="114"/>
        <v>-0.24800074797025567</v>
      </c>
      <c r="W38" s="585">
        <f t="shared" si="224"/>
        <v>136.60998027595917</v>
      </c>
      <c r="X38" s="629">
        <f t="shared" si="83"/>
        <v>2.8981087406959611</v>
      </c>
      <c r="Y38" s="630">
        <f t="shared" si="223"/>
        <v>-0.24800074797025567</v>
      </c>
      <c r="Z38" s="632">
        <f t="shared" si="6"/>
        <v>-0.57369528022384952</v>
      </c>
      <c r="AA38" s="629">
        <f t="shared" si="7"/>
        <v>0.79123929418353822</v>
      </c>
      <c r="AB38" s="629">
        <f t="shared" si="8"/>
        <v>-0.21169342169471181</v>
      </c>
      <c r="AC38" s="636">
        <f t="shared" si="84"/>
        <v>1</v>
      </c>
      <c r="AD38" s="637">
        <f t="shared" si="115"/>
        <v>-0.57369528022384952</v>
      </c>
      <c r="AE38" s="629">
        <f t="shared" si="85"/>
        <v>0.79123929418353822</v>
      </c>
      <c r="AF38" s="633">
        <f t="shared" si="86"/>
        <v>-0.21169342169471181</v>
      </c>
      <c r="AG38" s="602">
        <f t="shared" si="87"/>
        <v>75.021521208199815</v>
      </c>
      <c r="AH38" s="603">
        <f t="shared" si="88"/>
        <v>125.00831298451322</v>
      </c>
      <c r="AI38" s="585">
        <f t="shared" si="89"/>
        <v>-77.778390435196144</v>
      </c>
      <c r="AJ38" s="586">
        <f t="shared" si="90"/>
        <v>-144.0556672447855</v>
      </c>
      <c r="AK38" s="635">
        <f t="shared" si="211"/>
        <v>0.9632321066206242</v>
      </c>
      <c r="AL38" s="629">
        <f t="shared" si="91"/>
        <v>-0.16543821803434544</v>
      </c>
      <c r="AM38" s="634">
        <f t="shared" si="92"/>
        <v>-0.21169342169471181</v>
      </c>
      <c r="AN38" s="581">
        <f t="shared" si="93"/>
        <v>-38.007594184307415</v>
      </c>
      <c r="AO38" s="582">
        <f t="shared" si="94"/>
        <v>15.58517704948579</v>
      </c>
      <c r="AP38" s="585">
        <f t="shared" si="95"/>
        <v>-9.7456476535762455</v>
      </c>
      <c r="AQ38" s="586">
        <f t="shared" si="9"/>
        <v>0.78657621781169851</v>
      </c>
      <c r="AS38" s="52">
        <f t="shared" si="116"/>
        <v>-223.39001972404083</v>
      </c>
      <c r="AT38" s="72">
        <f t="shared" si="10"/>
        <v>-9.2229901031915917E-2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6.1180000000000003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-2.4531366352308916</v>
      </c>
      <c r="C39" s="708">
        <v>-2.4369188763895213</v>
      </c>
      <c r="D39" s="709">
        <v>-0.79740240496565307</v>
      </c>
      <c r="E39" s="710">
        <v>0.4716273985450351</v>
      </c>
      <c r="F39" s="708">
        <v>-0.87273500185300967</v>
      </c>
      <c r="G39" s="711">
        <v>0.12610001380757196</v>
      </c>
      <c r="H39" s="710">
        <v>0.314</v>
      </c>
      <c r="I39" s="708">
        <v>0.52</v>
      </c>
      <c r="J39" s="570">
        <v>6.1260000000000003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1613</v>
      </c>
      <c r="L39" s="320"/>
      <c r="M39" s="168">
        <f t="shared" si="1"/>
        <v>6.1260000000000003</v>
      </c>
      <c r="N39" s="632">
        <f t="shared" si="2"/>
        <v>-2.4531366352308916</v>
      </c>
      <c r="O39" s="629">
        <f t="shared" si="3"/>
        <v>-2.4369188763895213</v>
      </c>
      <c r="P39" s="633">
        <f t="shared" si="4"/>
        <v>-0.79740240496565307</v>
      </c>
      <c r="Q39" s="585">
        <f t="shared" si="113"/>
        <v>224.80998053584702</v>
      </c>
      <c r="R39" s="629">
        <f t="shared" si="79"/>
        <v>3.4578104287562539</v>
      </c>
      <c r="S39" s="634">
        <f t="shared" si="80"/>
        <v>-0.79740240496565307</v>
      </c>
      <c r="T39" s="635">
        <f t="shared" si="81"/>
        <v>-2.4759931181183901</v>
      </c>
      <c r="U39" s="629">
        <f t="shared" si="82"/>
        <v>2.4136924079604425</v>
      </c>
      <c r="V39" s="636">
        <f t="shared" si="114"/>
        <v>-0.79740240496565307</v>
      </c>
      <c r="W39" s="585">
        <f t="shared" si="224"/>
        <v>135.72998040301547</v>
      </c>
      <c r="X39" s="629">
        <f t="shared" si="83"/>
        <v>3.4578104287562539</v>
      </c>
      <c r="Y39" s="630">
        <f t="shared" si="223"/>
        <v>-0.79740240496565307</v>
      </c>
      <c r="Z39" s="632">
        <f t="shared" si="6"/>
        <v>-0.4716273985450351</v>
      </c>
      <c r="AA39" s="629">
        <f t="shared" si="7"/>
        <v>0.87273500185300967</v>
      </c>
      <c r="AB39" s="629">
        <f t="shared" si="8"/>
        <v>-0.12610001380757196</v>
      </c>
      <c r="AC39" s="636">
        <f t="shared" si="84"/>
        <v>1</v>
      </c>
      <c r="AD39" s="637">
        <f t="shared" si="115"/>
        <v>-0.4716273985450351</v>
      </c>
      <c r="AE39" s="629">
        <f t="shared" si="85"/>
        <v>0.87273500185300967</v>
      </c>
      <c r="AF39" s="633">
        <f t="shared" si="86"/>
        <v>-0.12610001380757196</v>
      </c>
      <c r="AG39" s="602">
        <f t="shared" si="87"/>
        <v>81.778328287154594</v>
      </c>
      <c r="AH39" s="603">
        <f t="shared" si="88"/>
        <v>118.13998644787767</v>
      </c>
      <c r="AI39" s="585">
        <f t="shared" si="89"/>
        <v>-82.755715381466928</v>
      </c>
      <c r="AJ39" s="586">
        <f t="shared" si="90"/>
        <v>-151.6131412323401</v>
      </c>
      <c r="AK39" s="635">
        <f t="shared" si="211"/>
        <v>0.95154317560846624</v>
      </c>
      <c r="AL39" s="629">
        <f t="shared" si="91"/>
        <v>-0.28047169459802174</v>
      </c>
      <c r="AM39" s="634">
        <f t="shared" si="92"/>
        <v>-0.12610001380757196</v>
      </c>
      <c r="AN39" s="581">
        <f t="shared" si="93"/>
        <v>-65.791326632037268</v>
      </c>
      <c r="AO39" s="582">
        <f t="shared" si="94"/>
        <v>17.909547238073827</v>
      </c>
      <c r="AP39" s="585">
        <f t="shared" si="95"/>
        <v>-16.42312176818713</v>
      </c>
      <c r="AQ39" s="586">
        <f t="shared" si="9"/>
        <v>0.65926865224209041</v>
      </c>
      <c r="AS39" s="52">
        <f t="shared" si="116"/>
        <v>-224.27001959698453</v>
      </c>
      <c r="AT39" s="72">
        <f t="shared" si="10"/>
        <v>-0.64102044700443572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6.1260000000000003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-2.6078332109393196</v>
      </c>
      <c r="C40" s="708">
        <v>-2.5609200545751669</v>
      </c>
      <c r="D40" s="709">
        <v>-1.554204687481338</v>
      </c>
      <c r="E40" s="710">
        <v>0.27457047704816612</v>
      </c>
      <c r="F40" s="708">
        <v>-0.96062675657358154</v>
      </c>
      <c r="G40" s="711">
        <v>4.2512206346689875E-2</v>
      </c>
      <c r="H40" s="710">
        <v>0.314</v>
      </c>
      <c r="I40" s="708">
        <v>0.52</v>
      </c>
      <c r="J40" s="570">
        <v>6.1340000000000003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1613</v>
      </c>
      <c r="L40" s="320"/>
      <c r="M40" s="168">
        <f t="shared" si="1"/>
        <v>6.1340000000000003</v>
      </c>
      <c r="N40" s="632">
        <f t="shared" si="2"/>
        <v>-2.6078332109393196</v>
      </c>
      <c r="O40" s="629">
        <f t="shared" si="3"/>
        <v>-2.5609200545751669</v>
      </c>
      <c r="P40" s="633">
        <f t="shared" si="4"/>
        <v>-1.554204687481338</v>
      </c>
      <c r="Q40" s="585">
        <f t="shared" si="113"/>
        <v>224.47998058349313</v>
      </c>
      <c r="R40" s="629">
        <f t="shared" si="79"/>
        <v>3.6550110235132478</v>
      </c>
      <c r="S40" s="634">
        <f t="shared" si="80"/>
        <v>-1.554204687481338</v>
      </c>
      <c r="T40" s="635">
        <f t="shared" si="81"/>
        <v>-2.6024621714767822</v>
      </c>
      <c r="U40" s="629">
        <f t="shared" si="82"/>
        <v>2.5663780368518805</v>
      </c>
      <c r="V40" s="636">
        <f t="shared" si="114"/>
        <v>-1.554204687481338</v>
      </c>
      <c r="W40" s="585">
        <f t="shared" si="224"/>
        <v>135.39998045066159</v>
      </c>
      <c r="X40" s="629">
        <f t="shared" si="83"/>
        <v>3.6550110235132478</v>
      </c>
      <c r="Y40" s="630">
        <f t="shared" si="223"/>
        <v>-1.554204687481338</v>
      </c>
      <c r="Z40" s="632">
        <f t="shared" si="6"/>
        <v>-0.27457047704816612</v>
      </c>
      <c r="AA40" s="629">
        <f t="shared" si="7"/>
        <v>0.96062675657358154</v>
      </c>
      <c r="AB40" s="629">
        <f t="shared" si="8"/>
        <v>-4.2512206346689875E-2</v>
      </c>
      <c r="AC40" s="636">
        <f t="shared" si="84"/>
        <v>1</v>
      </c>
      <c r="AD40" s="637">
        <f t="shared" si="115"/>
        <v>-0.27457047704816612</v>
      </c>
      <c r="AE40" s="629">
        <f t="shared" si="85"/>
        <v>0.96062675657358154</v>
      </c>
      <c r="AF40" s="633">
        <f t="shared" si="86"/>
        <v>-4.2512206346689875E-2</v>
      </c>
      <c r="AG40" s="602">
        <f t="shared" si="87"/>
        <v>87.466048369420008</v>
      </c>
      <c r="AH40" s="603">
        <f t="shared" si="88"/>
        <v>105.9364190421511</v>
      </c>
      <c r="AI40" s="585">
        <f t="shared" si="89"/>
        <v>-87.563495711685491</v>
      </c>
      <c r="AJ40" s="586">
        <f t="shared" si="90"/>
        <v>-164.04877626468146</v>
      </c>
      <c r="AK40" s="635">
        <f t="shared" si="211"/>
        <v>0.87778323499898914</v>
      </c>
      <c r="AL40" s="629">
        <f t="shared" si="91"/>
        <v>-0.47716800465480291</v>
      </c>
      <c r="AM40" s="634">
        <f t="shared" si="92"/>
        <v>-4.2512206346689875E-2</v>
      </c>
      <c r="AN40" s="581">
        <f t="shared" si="93"/>
        <v>-84.90880393821007</v>
      </c>
      <c r="AO40" s="582">
        <f t="shared" si="94"/>
        <v>28.623898271572408</v>
      </c>
      <c r="AP40" s="585">
        <f t="shared" si="95"/>
        <v>-28.528756848174613</v>
      </c>
      <c r="AQ40" s="586">
        <f t="shared" si="9"/>
        <v>0.62370169868106773</v>
      </c>
      <c r="AS40" s="52">
        <f t="shared" si="116"/>
        <v>-224.60001954933841</v>
      </c>
      <c r="AT40" s="72">
        <f t="shared" si="10"/>
        <v>-1.3975935628865415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6.1340000000000003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-2.6492975672142727</v>
      </c>
      <c r="C41" s="708">
        <v>-2.5934764447455954</v>
      </c>
      <c r="D41" s="709">
        <v>-2.3238070086019382</v>
      </c>
      <c r="E41" s="710">
        <v>0.16315352332841776</v>
      </c>
      <c r="F41" s="708">
        <v>-0.98660069320141197</v>
      </c>
      <c r="G41" s="711">
        <v>1.3008419224809092E-7</v>
      </c>
      <c r="H41" s="710">
        <v>0.314</v>
      </c>
      <c r="I41" s="708">
        <v>0.52</v>
      </c>
      <c r="J41" s="570">
        <v>6.1420000000000003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1613</v>
      </c>
      <c r="L41" s="320"/>
      <c r="M41" s="168">
        <f t="shared" ref="M41:M72" si="239">IF(J41="","",VALUE(J41))</f>
        <v>6.1420000000000003</v>
      </c>
      <c r="N41" s="632">
        <f t="shared" ref="N41:N72" si="240">IF(M41="","",B41)</f>
        <v>-2.6492975672142727</v>
      </c>
      <c r="O41" s="629">
        <f t="shared" ref="O41:O72" si="241">IF(M41="","",C41)</f>
        <v>-2.5934764447455954</v>
      </c>
      <c r="P41" s="633">
        <f t="shared" ref="P41:P72" si="242">IF(M41="","",D41)</f>
        <v>-2.3238070086019382</v>
      </c>
      <c r="Q41" s="585">
        <f t="shared" si="113"/>
        <v>224.3899805964875</v>
      </c>
      <c r="R41" s="629">
        <f t="shared" si="79"/>
        <v>3.707411181552124</v>
      </c>
      <c r="S41" s="634">
        <f t="shared" si="80"/>
        <v>-2.3238070086019382</v>
      </c>
      <c r="T41" s="635">
        <f t="shared" si="81"/>
        <v>-2.6356801304313571</v>
      </c>
      <c r="U41" s="629">
        <f t="shared" si="82"/>
        <v>2.607314311537269</v>
      </c>
      <c r="V41" s="636">
        <f t="shared" si="114"/>
        <v>-2.3238070086019382</v>
      </c>
      <c r="W41" s="585">
        <f t="shared" si="224"/>
        <v>135.30998046365596</v>
      </c>
      <c r="X41" s="629">
        <f t="shared" si="83"/>
        <v>3.707411181552124</v>
      </c>
      <c r="Y41" s="630">
        <f t="shared" si="223"/>
        <v>-2.3238070086019382</v>
      </c>
      <c r="Z41" s="632">
        <f t="shared" ref="Z41:Z72" si="243">IF(M41="","",-E41)</f>
        <v>-0.16315352332841776</v>
      </c>
      <c r="AA41" s="629">
        <f t="shared" ref="AA41:AA72" si="244">IF(M41="","",-F41)</f>
        <v>0.98660069320141197</v>
      </c>
      <c r="AB41" s="629">
        <f t="shared" ref="AB41:AB72" si="245">IF(M41="","",-G41)</f>
        <v>-1.3008419224809092E-7</v>
      </c>
      <c r="AC41" s="636">
        <f t="shared" si="84"/>
        <v>1</v>
      </c>
      <c r="AD41" s="637">
        <f t="shared" si="115"/>
        <v>-0.16315352332841776</v>
      </c>
      <c r="AE41" s="629">
        <f t="shared" si="85"/>
        <v>0.98660069320141197</v>
      </c>
      <c r="AF41" s="633">
        <f t="shared" si="86"/>
        <v>-1.3008419224809092E-7</v>
      </c>
      <c r="AG41" s="602">
        <f t="shared" si="87"/>
        <v>89.999992445499743</v>
      </c>
      <c r="AH41" s="603">
        <f t="shared" si="88"/>
        <v>99.389985649862126</v>
      </c>
      <c r="AI41" s="585">
        <f t="shared" si="89"/>
        <v>-89.999992546724798</v>
      </c>
      <c r="AJ41" s="586">
        <f t="shared" si="90"/>
        <v>-170.61001435013779</v>
      </c>
      <c r="AK41" s="635">
        <f t="shared" si="211"/>
        <v>0.81915209487729146</v>
      </c>
      <c r="AL41" s="629">
        <f t="shared" si="91"/>
        <v>-0.57357636410344537</v>
      </c>
      <c r="AM41" s="634">
        <f t="shared" si="92"/>
        <v>-1.3008419224809092E-7</v>
      </c>
      <c r="AN41" s="581">
        <f t="shared" si="93"/>
        <v>-89.999987005609611</v>
      </c>
      <c r="AO41" s="582">
        <f t="shared" si="94"/>
        <v>34.999994946626011</v>
      </c>
      <c r="AP41" s="585">
        <f t="shared" si="95"/>
        <v>-34.999994946625321</v>
      </c>
      <c r="AQ41" s="586">
        <f t="shared" ref="AQ41:AQ72" si="246">IF(M41="","",DEGREES(ATAN(($AS$5*SIN(RADIANS(90)))/(($X41*2*PI())-($AS$5*COS(RADIANS(90)))))))</f>
        <v>0.61488704643770509</v>
      </c>
      <c r="AS41" s="52">
        <f t="shared" si="116"/>
        <v>-224.69001953634404</v>
      </c>
      <c r="AT41" s="72">
        <f t="shared" ref="AT41:AT72" si="247">IF(M41="","",Y41+(((AS41-$AS$9)*$AS$6)*-1))</f>
        <v>-2.1671333840161657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6.1420000000000003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-1.2740038423955558</v>
      </c>
      <c r="C42" s="708">
        <v>2.8893756986915667E-7</v>
      </c>
      <c r="D42" s="709">
        <v>-0.24140072806459578</v>
      </c>
      <c r="E42" s="710">
        <v>6.6987060141155311E-2</v>
      </c>
      <c r="F42" s="708">
        <v>-0.96592585126455566</v>
      </c>
      <c r="G42" s="711">
        <v>0.2499999672649757</v>
      </c>
      <c r="H42" s="710">
        <v>0.314</v>
      </c>
      <c r="I42" s="708">
        <v>0.52</v>
      </c>
      <c r="J42" s="570">
        <v>7.1050000000000004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1613</v>
      </c>
      <c r="L42" s="320"/>
      <c r="M42" s="168">
        <f t="shared" si="239"/>
        <v>7.1050000000000004</v>
      </c>
      <c r="N42" s="632">
        <f t="shared" si="240"/>
        <v>-1.2740038423955558</v>
      </c>
      <c r="O42" s="629">
        <f t="shared" si="241"/>
        <v>2.8893756986915667E-7</v>
      </c>
      <c r="P42" s="633">
        <f t="shared" si="242"/>
        <v>-0.24140072806459578</v>
      </c>
      <c r="Q42" s="585">
        <f t="shared" si="113"/>
        <v>179.9999870056096</v>
      </c>
      <c r="R42" s="629">
        <f t="shared" ref="R42:R47" si="385">IF(M42="","",SQRT(N42^2+O42^2))</f>
        <v>1.2740038423955884</v>
      </c>
      <c r="S42" s="634">
        <f t="shared" ref="S42:S47" si="386">IF(M42="","",P42)</f>
        <v>-0.24140072806459578</v>
      </c>
      <c r="T42" s="635">
        <f t="shared" ref="T42:T47" si="387">IF(M42="","",X42*COS(RADIANS(W42)))</f>
        <v>-2.0455545899014528E-2</v>
      </c>
      <c r="U42" s="629">
        <f t="shared" ref="U42:U47" si="388">IF(M42="","",X42*SIN(RADIANS(W42)))</f>
        <v>1.2738396135623575</v>
      </c>
      <c r="V42" s="636">
        <f t="shared" ref="V42:V47" si="389">IF(M42="","",Y42)</f>
        <v>-0.24140072806459578</v>
      </c>
      <c r="W42" s="585">
        <f t="shared" si="224"/>
        <v>90.91998687277804</v>
      </c>
      <c r="X42" s="629">
        <f t="shared" ref="X42:X47" si="390">IF(M42="","",R42)</f>
        <v>1.2740038423955884</v>
      </c>
      <c r="Y42" s="630">
        <f t="shared" si="223"/>
        <v>-0.24140072806459578</v>
      </c>
      <c r="Z42" s="632">
        <f t="shared" si="243"/>
        <v>-6.6987060141155311E-2</v>
      </c>
      <c r="AA42" s="629">
        <f t="shared" si="244"/>
        <v>0.96592585126455566</v>
      </c>
      <c r="AB42" s="629">
        <f t="shared" si="245"/>
        <v>-0.2499999672649757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-6.6987060141155311E-2</v>
      </c>
      <c r="AE42" s="629">
        <f t="shared" ref="AE42:AE47" si="393">IF(M42="","",AA42*(1/SQRT(Z42^2+AA42^2+AB42^2)))</f>
        <v>0.96592585126455566</v>
      </c>
      <c r="AF42" s="633">
        <f t="shared" ref="AF42:AF47" si="394">IF(M42="","",AB42*(1/SQRT(Z42^2+AA42^2+AB42^2)))</f>
        <v>-0.2499999672649757</v>
      </c>
      <c r="AG42" s="602">
        <f t="shared" ref="AG42:AG47" si="395">IF(M42="","",DEGREES(ATAN2(-AF42,AE42)))</f>
        <v>75.489183480126258</v>
      </c>
      <c r="AH42" s="603">
        <f t="shared" ref="AH42:AH47" si="396">IF(M42="","",DEGREES(ACOS(AD42)))</f>
        <v>93.840952051080606</v>
      </c>
      <c r="AI42" s="585">
        <f t="shared" ref="AI42:AI47" si="397">IF(M42="","",DEGREES(-ACOS(-AF42)))</f>
        <v>-75.522489751159455</v>
      </c>
      <c r="AJ42" s="586">
        <f t="shared" ref="AJ42:AJ47" si="398">IF(M42="","",DEGREES(ATAN2(-AE42,AD42)))</f>
        <v>-176.03288334930383</v>
      </c>
      <c r="AK42" s="635">
        <f t="shared" ref="AK42:AK47" si="399">IF(M42="","",(COS(RADIANS((90-$Q$8)-W42))*AD42)+(-SIN(RADIANS((90-$Q$8)-W42))*AE42))</f>
        <v>0.96592583607220739</v>
      </c>
      <c r="AL42" s="629">
        <f t="shared" ref="AL42:AL47" si="400">IF(M42="","",(SIN(RADIANS((90-$Q$8)-W42))*AD42)+(COS(RADIANS((90-$Q$8)-W42))*AE42))</f>
        <v>6.6987279208207462E-2</v>
      </c>
      <c r="AM42" s="634">
        <f t="shared" ref="AM42:AM47" si="401">IF(M42="","",AF42)</f>
        <v>-0.2499999672649757</v>
      </c>
      <c r="AN42" s="581">
        <f t="shared" ref="AN42:AN47" si="402">IF(M42="","",DEGREES(ATAN2(-AM42,AL42)))</f>
        <v>14.999997834268322</v>
      </c>
      <c r="AO42" s="582">
        <f t="shared" si="94"/>
        <v>14.999997834268255</v>
      </c>
      <c r="AP42" s="585">
        <f t="shared" ref="AP42:AP47" si="403">IF(M42="","",DEGREES(ATAN2(AK42,AL42)))</f>
        <v>3.9671296450865872</v>
      </c>
      <c r="AQ42" s="586">
        <f t="shared" si="246"/>
        <v>1.7888375067710651</v>
      </c>
      <c r="AS42" s="52">
        <f t="shared" si="116"/>
        <v>-269.08001312722195</v>
      </c>
      <c r="AT42" s="72">
        <f t="shared" si="247"/>
        <v>-5.3900719040713557E-2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7.1050000000000004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-2.0086869348412435</v>
      </c>
      <c r="C43" s="708">
        <v>8.7650600888236532E-3</v>
      </c>
      <c r="D43" s="709">
        <v>-6.4000193024582264E-2</v>
      </c>
      <c r="E43" s="710">
        <v>-1.2957486881496061E-2</v>
      </c>
      <c r="F43" s="708">
        <v>-0.96540186054785249</v>
      </c>
      <c r="G43" s="711">
        <v>0.26044452611729174</v>
      </c>
      <c r="H43" s="710">
        <v>0.314</v>
      </c>
      <c r="I43" s="708">
        <v>0.52</v>
      </c>
      <c r="J43" s="570">
        <v>7.11</v>
      </c>
      <c r="K43" s="865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>1613</v>
      </c>
      <c r="L43" s="320"/>
      <c r="M43" s="168">
        <f t="shared" si="239"/>
        <v>7.11</v>
      </c>
      <c r="N43" s="632">
        <f t="shared" si="240"/>
        <v>-2.0086869348412435</v>
      </c>
      <c r="O43" s="629">
        <f t="shared" si="241"/>
        <v>8.7650600888236532E-3</v>
      </c>
      <c r="P43" s="633">
        <f t="shared" si="242"/>
        <v>-6.4000193024582264E-2</v>
      </c>
      <c r="Q43" s="585">
        <f t="shared" si="113"/>
        <v>179.74998704170514</v>
      </c>
      <c r="R43" s="629">
        <f t="shared" si="385"/>
        <v>2.0087060582574718</v>
      </c>
      <c r="S43" s="634">
        <f t="shared" si="386"/>
        <v>-6.4000193024582264E-2</v>
      </c>
      <c r="T43" s="635">
        <f t="shared" si="387"/>
        <v>-2.3488223811553025E-2</v>
      </c>
      <c r="U43" s="629">
        <f t="shared" si="388"/>
        <v>2.008568727184223</v>
      </c>
      <c r="V43" s="636">
        <f t="shared" si="389"/>
        <v>-6.4000193024582264E-2</v>
      </c>
      <c r="W43" s="585">
        <f t="shared" si="224"/>
        <v>90.669986908873582</v>
      </c>
      <c r="X43" s="629">
        <f t="shared" si="390"/>
        <v>2.0087060582574718</v>
      </c>
      <c r="Y43" s="630">
        <f t="shared" si="223"/>
        <v>-6.4000193024582264E-2</v>
      </c>
      <c r="Z43" s="632">
        <f t="shared" si="243"/>
        <v>1.2957486881496061E-2</v>
      </c>
      <c r="AA43" s="629">
        <f t="shared" si="244"/>
        <v>0.96540186054785249</v>
      </c>
      <c r="AB43" s="629">
        <f t="shared" si="245"/>
        <v>-0.26044452611729174</v>
      </c>
      <c r="AC43" s="636">
        <f t="shared" si="391"/>
        <v>1</v>
      </c>
      <c r="AD43" s="637">
        <f t="shared" si="392"/>
        <v>1.2957486881496061E-2</v>
      </c>
      <c r="AE43" s="629">
        <f t="shared" si="393"/>
        <v>0.96540186054785249</v>
      </c>
      <c r="AF43" s="633">
        <f t="shared" si="394"/>
        <v>-0.26044452611729174</v>
      </c>
      <c r="AG43" s="602">
        <f t="shared" si="395"/>
        <v>74.902261969221158</v>
      </c>
      <c r="AH43" s="603">
        <f t="shared" si="396"/>
        <v>89.257569912374393</v>
      </c>
      <c r="AI43" s="585">
        <f t="shared" si="397"/>
        <v>-74.903559621096051</v>
      </c>
      <c r="AJ43" s="586">
        <f t="shared" si="398"/>
        <v>179.23103034518223</v>
      </c>
      <c r="AK43" s="635">
        <f t="shared" si="399"/>
        <v>0.96544921011854667</v>
      </c>
      <c r="AL43" s="629">
        <f t="shared" si="400"/>
        <v>-8.7447982831855217E-3</v>
      </c>
      <c r="AM43" s="634">
        <f t="shared" si="401"/>
        <v>-0.26044452611729174</v>
      </c>
      <c r="AN43" s="581">
        <f t="shared" si="402"/>
        <v>-1.9230654683468345</v>
      </c>
      <c r="AO43" s="582">
        <f t="shared" si="94"/>
        <v>15.105150341765533</v>
      </c>
      <c r="AP43" s="585">
        <f t="shared" si="403"/>
        <v>-0.51895669652288434</v>
      </c>
      <c r="AQ43" s="586">
        <f t="shared" si="246"/>
        <v>1.1347745644524192</v>
      </c>
      <c r="AS43" s="52">
        <f t="shared" ref="AS43:AS74" si="406">IF(G43="","",IF(AND(W43&lt;(AS42+180),W43&gt;(AS42-180)),W43,IF(W43&gt;(AS42+180),W43-360,IF(W43&lt;(AS42-180),W43+360,"Error"))))</f>
        <v>-269.33001309112643</v>
      </c>
      <c r="AT43" s="72">
        <f t="shared" si="247"/>
        <v>0.12367342708534473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7.11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-2.8094125515395834</v>
      </c>
      <c r="C44" s="708">
        <v>5.7868339724961373E-2</v>
      </c>
      <c r="D44" s="709">
        <v>-0.20240061044024105</v>
      </c>
      <c r="E44" s="710">
        <v>-0.16967617573282068</v>
      </c>
      <c r="F44" s="708">
        <v>-0.96022310721302895</v>
      </c>
      <c r="G44" s="711">
        <v>0.22176920381973919</v>
      </c>
      <c r="H44" s="710">
        <v>0.314</v>
      </c>
      <c r="I44" s="708">
        <v>0.52</v>
      </c>
      <c r="J44" s="570">
        <v>7.117</v>
      </c>
      <c r="K44" s="865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>1613</v>
      </c>
      <c r="L44" s="320"/>
      <c r="M44" s="168">
        <f t="shared" si="239"/>
        <v>7.117</v>
      </c>
      <c r="N44" s="632">
        <f t="shared" si="240"/>
        <v>-2.8094125515395834</v>
      </c>
      <c r="O44" s="629">
        <f t="shared" si="241"/>
        <v>5.7868339724961373E-2</v>
      </c>
      <c r="P44" s="633">
        <f t="shared" si="242"/>
        <v>-0.20240061044024105</v>
      </c>
      <c r="Q44" s="585">
        <f t="shared" si="113"/>
        <v>178.81998717598049</v>
      </c>
      <c r="R44" s="629">
        <f t="shared" si="385"/>
        <v>2.8100084749855605</v>
      </c>
      <c r="S44" s="634">
        <f t="shared" si="386"/>
        <v>-0.20240061044024105</v>
      </c>
      <c r="T44" s="635">
        <f t="shared" si="387"/>
        <v>1.2752005658198853E-2</v>
      </c>
      <c r="U44" s="629">
        <f t="shared" si="388"/>
        <v>2.8099795401109895</v>
      </c>
      <c r="V44" s="636">
        <f t="shared" si="389"/>
        <v>-0.20240061044024105</v>
      </c>
      <c r="W44" s="585">
        <f t="shared" si="224"/>
        <v>89.739987043148929</v>
      </c>
      <c r="X44" s="629">
        <f t="shared" si="390"/>
        <v>2.8100084749855605</v>
      </c>
      <c r="Y44" s="630">
        <f t="shared" si="223"/>
        <v>-0.20240061044024105</v>
      </c>
      <c r="Z44" s="632">
        <f t="shared" si="243"/>
        <v>0.16967617573282068</v>
      </c>
      <c r="AA44" s="629">
        <f t="shared" si="244"/>
        <v>0.96022310721302895</v>
      </c>
      <c r="AB44" s="629">
        <f t="shared" si="245"/>
        <v>-0.22176920381973919</v>
      </c>
      <c r="AC44" s="636">
        <f t="shared" si="391"/>
        <v>1</v>
      </c>
      <c r="AD44" s="637">
        <f t="shared" si="392"/>
        <v>0.16967617573282068</v>
      </c>
      <c r="AE44" s="629">
        <f t="shared" si="393"/>
        <v>0.96022310721302895</v>
      </c>
      <c r="AF44" s="633">
        <f t="shared" si="394"/>
        <v>-0.22176920381973919</v>
      </c>
      <c r="AG44" s="602">
        <f t="shared" si="395"/>
        <v>76.995228367299575</v>
      </c>
      <c r="AH44" s="603">
        <f t="shared" si="396"/>
        <v>80.231008230388596</v>
      </c>
      <c r="AI44" s="585">
        <f t="shared" si="397"/>
        <v>-77.187031874676194</v>
      </c>
      <c r="AJ44" s="586">
        <f t="shared" si="398"/>
        <v>169.9789983469677</v>
      </c>
      <c r="AK44" s="635">
        <f t="shared" si="399"/>
        <v>0.96351372330899265</v>
      </c>
      <c r="AL44" s="629">
        <f t="shared" si="400"/>
        <v>-0.14986569064466065</v>
      </c>
      <c r="AM44" s="634">
        <f t="shared" si="401"/>
        <v>-0.22176920381973919</v>
      </c>
      <c r="AN44" s="581">
        <f t="shared" si="402"/>
        <v>-34.049774579751009</v>
      </c>
      <c r="AO44" s="582">
        <f t="shared" si="94"/>
        <v>15.525007156919882</v>
      </c>
      <c r="AP44" s="585">
        <f t="shared" si="403"/>
        <v>-8.8409888290127796</v>
      </c>
      <c r="AQ44" s="586">
        <f t="shared" si="246"/>
        <v>0.81123395609770788</v>
      </c>
      <c r="AS44" s="52">
        <f t="shared" si="406"/>
        <v>-270.26001295685109</v>
      </c>
      <c r="AT44" s="72">
        <f t="shared" si="247"/>
        <v>-1.4081157090227475E-2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7.117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-3.4025235495127988</v>
      </c>
      <c r="C45" s="708">
        <v>0.12476562936417816</v>
      </c>
      <c r="D45" s="709">
        <v>-0.71360215222409096</v>
      </c>
      <c r="E45" s="710">
        <v>-0.30615456454388412</v>
      </c>
      <c r="F45" s="708">
        <v>-0.94118663411673609</v>
      </c>
      <c r="G45" s="711">
        <v>0.14295839383874545</v>
      </c>
      <c r="H45" s="710">
        <v>0.314</v>
      </c>
      <c r="I45" s="708">
        <v>0.52</v>
      </c>
      <c r="J45" s="570">
        <v>7.125</v>
      </c>
      <c r="K45" s="865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>1613</v>
      </c>
      <c r="L45" s="320"/>
      <c r="M45" s="168">
        <f t="shared" si="239"/>
        <v>7.125</v>
      </c>
      <c r="N45" s="632">
        <f t="shared" si="240"/>
        <v>-3.4025235495127988</v>
      </c>
      <c r="O45" s="629">
        <f t="shared" si="241"/>
        <v>0.12476562936417816</v>
      </c>
      <c r="P45" s="633">
        <f t="shared" si="242"/>
        <v>-0.71360215222409096</v>
      </c>
      <c r="Q45" s="585">
        <f t="shared" si="113"/>
        <v>177.89998730881203</v>
      </c>
      <c r="R45" s="629">
        <f t="shared" si="385"/>
        <v>3.4048102689077719</v>
      </c>
      <c r="S45" s="634">
        <f t="shared" si="386"/>
        <v>-0.71360215222409096</v>
      </c>
      <c r="T45" s="635">
        <f t="shared" si="387"/>
        <v>7.0117481528666703E-2</v>
      </c>
      <c r="U45" s="629">
        <f t="shared" si="388"/>
        <v>3.4040882047978562</v>
      </c>
      <c r="V45" s="636">
        <f t="shared" si="389"/>
        <v>-0.71360215222409096</v>
      </c>
      <c r="W45" s="585">
        <f t="shared" si="224"/>
        <v>88.819987175980472</v>
      </c>
      <c r="X45" s="629">
        <f t="shared" si="390"/>
        <v>3.4048102689077719</v>
      </c>
      <c r="Y45" s="630">
        <f t="shared" si="223"/>
        <v>-0.71360215222409096</v>
      </c>
      <c r="Z45" s="632">
        <f t="shared" si="243"/>
        <v>0.30615456454388412</v>
      </c>
      <c r="AA45" s="629">
        <f t="shared" si="244"/>
        <v>0.94118663411673609</v>
      </c>
      <c r="AB45" s="629">
        <f t="shared" si="245"/>
        <v>-0.14295839383874545</v>
      </c>
      <c r="AC45" s="636">
        <f t="shared" si="391"/>
        <v>1</v>
      </c>
      <c r="AD45" s="637">
        <f t="shared" si="392"/>
        <v>0.30615456454388412</v>
      </c>
      <c r="AE45" s="629">
        <f t="shared" si="393"/>
        <v>0.94118663411673609</v>
      </c>
      <c r="AF45" s="633">
        <f t="shared" si="394"/>
        <v>-0.14295839383874545</v>
      </c>
      <c r="AG45" s="602">
        <f t="shared" si="395"/>
        <v>81.363265144758628</v>
      </c>
      <c r="AH45" s="603">
        <f t="shared" si="396"/>
        <v>72.172361241281507</v>
      </c>
      <c r="AI45" s="585">
        <f t="shared" si="397"/>
        <v>-81.78092788283314</v>
      </c>
      <c r="AJ45" s="586">
        <f t="shared" si="398"/>
        <v>161.98103344195559</v>
      </c>
      <c r="AK45" s="635">
        <f t="shared" si="399"/>
        <v>0.95177322612941606</v>
      </c>
      <c r="AL45" s="629">
        <f t="shared" si="400"/>
        <v>-0.27146016955393221</v>
      </c>
      <c r="AM45" s="634">
        <f t="shared" si="401"/>
        <v>-0.14295839383874545</v>
      </c>
      <c r="AN45" s="581">
        <f t="shared" si="402"/>
        <v>-62.22747505777582</v>
      </c>
      <c r="AO45" s="582">
        <f t="shared" si="94"/>
        <v>17.866634831512428</v>
      </c>
      <c r="AP45" s="585">
        <f t="shared" si="403"/>
        <v>-15.918953866856441</v>
      </c>
      <c r="AQ45" s="586">
        <f t="shared" si="246"/>
        <v>0.66953007205766313</v>
      </c>
      <c r="AS45" s="52">
        <f t="shared" si="406"/>
        <v>-271.18001282401951</v>
      </c>
      <c r="AT45" s="72">
        <f t="shared" si="247"/>
        <v>-0.52464381007743266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7.125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-3.6449106585888766</v>
      </c>
      <c r="C46" s="708">
        <v>0.15977841578298921</v>
      </c>
      <c r="D46" s="709">
        <v>-1.4559043910076424</v>
      </c>
      <c r="E46" s="710">
        <v>-0.48396854137102885</v>
      </c>
      <c r="F46" s="708">
        <v>-0.87319677939097262</v>
      </c>
      <c r="G46" s="711">
        <v>5.7461599563812894E-2</v>
      </c>
      <c r="H46" s="710">
        <v>0.314</v>
      </c>
      <c r="I46" s="708">
        <v>0.52</v>
      </c>
      <c r="J46" s="570">
        <v>7.133</v>
      </c>
      <c r="K46" s="865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>1613</v>
      </c>
      <c r="L46" s="320"/>
      <c r="M46" s="168">
        <f t="shared" si="239"/>
        <v>7.133</v>
      </c>
      <c r="N46" s="632">
        <f t="shared" si="240"/>
        <v>-3.6449106585888766</v>
      </c>
      <c r="O46" s="629">
        <f t="shared" si="241"/>
        <v>0.15977841578298921</v>
      </c>
      <c r="P46" s="633">
        <f t="shared" si="242"/>
        <v>-1.4559043910076424</v>
      </c>
      <c r="Q46" s="585">
        <f t="shared" si="113"/>
        <v>177.48998736800871</v>
      </c>
      <c r="R46" s="629">
        <f t="shared" si="385"/>
        <v>3.648411003607587</v>
      </c>
      <c r="S46" s="634">
        <f t="shared" si="386"/>
        <v>-1.4559043910076424</v>
      </c>
      <c r="T46" s="635">
        <f t="shared" si="387"/>
        <v>0.10123390534082123</v>
      </c>
      <c r="U46" s="629">
        <f t="shared" si="388"/>
        <v>3.6470062445318581</v>
      </c>
      <c r="V46" s="636">
        <f t="shared" si="389"/>
        <v>-1.4559043910076424</v>
      </c>
      <c r="W46" s="585">
        <f t="shared" si="224"/>
        <v>88.409987235177155</v>
      </c>
      <c r="X46" s="629">
        <f t="shared" si="390"/>
        <v>3.648411003607587</v>
      </c>
      <c r="Y46" s="630">
        <f t="shared" si="223"/>
        <v>-1.4559043910076424</v>
      </c>
      <c r="Z46" s="632">
        <f t="shared" si="243"/>
        <v>0.48396854137102885</v>
      </c>
      <c r="AA46" s="629">
        <f t="shared" si="244"/>
        <v>0.87319677939097262</v>
      </c>
      <c r="AB46" s="629">
        <f t="shared" si="245"/>
        <v>-5.7461599563812894E-2</v>
      </c>
      <c r="AC46" s="636">
        <f t="shared" si="391"/>
        <v>1</v>
      </c>
      <c r="AD46" s="637">
        <f t="shared" si="392"/>
        <v>0.48396854137102885</v>
      </c>
      <c r="AE46" s="629">
        <f t="shared" si="393"/>
        <v>0.87319677939097262</v>
      </c>
      <c r="AF46" s="633">
        <f t="shared" si="394"/>
        <v>-5.7461599563812894E-2</v>
      </c>
      <c r="AG46" s="602">
        <f t="shared" si="395"/>
        <v>86.235021525133547</v>
      </c>
      <c r="AH46" s="603">
        <f t="shared" si="396"/>
        <v>61.05508387211534</v>
      </c>
      <c r="AI46" s="585">
        <f t="shared" si="397"/>
        <v>-86.705878387579546</v>
      </c>
      <c r="AJ46" s="586">
        <f t="shared" si="398"/>
        <v>151.00262706058442</v>
      </c>
      <c r="AK46" s="635">
        <f t="shared" si="399"/>
        <v>0.89355392576470394</v>
      </c>
      <c r="AL46" s="629">
        <f t="shared" si="400"/>
        <v>-0.44526345720938537</v>
      </c>
      <c r="AM46" s="634">
        <f t="shared" si="401"/>
        <v>-5.7461599563812894E-2</v>
      </c>
      <c r="AN46" s="581">
        <f t="shared" si="402"/>
        <v>-82.64657640015794</v>
      </c>
      <c r="AO46" s="582">
        <f t="shared" si="94"/>
        <v>26.676713977321974</v>
      </c>
      <c r="AP46" s="585">
        <f t="shared" si="403"/>
        <v>-26.487360307424311</v>
      </c>
      <c r="AQ46" s="586">
        <f t="shared" si="246"/>
        <v>0.62482989327195892</v>
      </c>
      <c r="AS46" s="52">
        <f t="shared" si="406"/>
        <v>-271.59001276482286</v>
      </c>
      <c r="AT46" s="72">
        <f t="shared" si="247"/>
        <v>-1.2666613266798705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7.133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-3.7035652140799002</v>
      </c>
      <c r="C47" s="708">
        <v>0.16882646165521423</v>
      </c>
      <c r="D47" s="709">
        <v>-2.2268067160490559</v>
      </c>
      <c r="E47" s="710">
        <v>-0.61028353982044636</v>
      </c>
      <c r="F47" s="708">
        <v>-0.79218306029869689</v>
      </c>
      <c r="G47" s="711">
        <v>1.3008419217287061E-7</v>
      </c>
      <c r="H47" s="710">
        <v>0.314</v>
      </c>
      <c r="I47" s="708">
        <v>0.52</v>
      </c>
      <c r="J47" s="570">
        <v>7.141</v>
      </c>
      <c r="K47" s="865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>1613</v>
      </c>
      <c r="L47" s="320"/>
      <c r="M47" s="168">
        <f t="shared" si="239"/>
        <v>7.141</v>
      </c>
      <c r="N47" s="632">
        <f t="shared" si="240"/>
        <v>-3.7035652140799002</v>
      </c>
      <c r="O47" s="629">
        <f t="shared" si="241"/>
        <v>0.16882646165521423</v>
      </c>
      <c r="P47" s="633">
        <f t="shared" si="242"/>
        <v>-2.2268067160490559</v>
      </c>
      <c r="Q47" s="585">
        <f t="shared" si="113"/>
        <v>177.38998738244692</v>
      </c>
      <c r="R47" s="629">
        <f t="shared" si="385"/>
        <v>3.707411181552124</v>
      </c>
      <c r="S47" s="634">
        <f t="shared" si="386"/>
        <v>-2.2268067160490559</v>
      </c>
      <c r="T47" s="635">
        <f t="shared" si="387"/>
        <v>0.10933900751902573</v>
      </c>
      <c r="U47" s="629">
        <f t="shared" si="388"/>
        <v>3.705798517260817</v>
      </c>
      <c r="V47" s="636">
        <f t="shared" si="389"/>
        <v>-2.2268067160490559</v>
      </c>
      <c r="W47" s="585">
        <f t="shared" si="224"/>
        <v>88.309987249615361</v>
      </c>
      <c r="X47" s="629">
        <f t="shared" si="390"/>
        <v>3.707411181552124</v>
      </c>
      <c r="Y47" s="630">
        <f t="shared" si="223"/>
        <v>-2.2268067160490559</v>
      </c>
      <c r="Z47" s="632">
        <f t="shared" si="243"/>
        <v>0.61028353982044636</v>
      </c>
      <c r="AA47" s="629">
        <f t="shared" si="244"/>
        <v>0.79218306029869689</v>
      </c>
      <c r="AB47" s="629">
        <f t="shared" si="245"/>
        <v>-1.3008419217287061E-7</v>
      </c>
      <c r="AC47" s="636">
        <f t="shared" si="391"/>
        <v>1</v>
      </c>
      <c r="AD47" s="637">
        <f t="shared" si="392"/>
        <v>0.61028353982044636</v>
      </c>
      <c r="AE47" s="629">
        <f t="shared" si="393"/>
        <v>0.79218306029869689</v>
      </c>
      <c r="AF47" s="633">
        <f t="shared" si="394"/>
        <v>-1.3008419217287061E-7</v>
      </c>
      <c r="AG47" s="602">
        <f t="shared" si="395"/>
        <v>89.999990591473662</v>
      </c>
      <c r="AH47" s="603">
        <f t="shared" si="396"/>
        <v>52.38999243582203</v>
      </c>
      <c r="AI47" s="585">
        <f t="shared" si="397"/>
        <v>-89.999992546724812</v>
      </c>
      <c r="AJ47" s="586">
        <f t="shared" si="398"/>
        <v>142.38999243582165</v>
      </c>
      <c r="AK47" s="635">
        <f t="shared" si="399"/>
        <v>0.81915209487729201</v>
      </c>
      <c r="AL47" s="629">
        <f t="shared" si="400"/>
        <v>-0.57357636410344448</v>
      </c>
      <c r="AM47" s="634">
        <f t="shared" si="401"/>
        <v>-1.3008419217287061E-7</v>
      </c>
      <c r="AN47" s="581">
        <f t="shared" si="402"/>
        <v>-89.999987005609626</v>
      </c>
      <c r="AO47" s="582">
        <f t="shared" si="94"/>
        <v>34.999994946625954</v>
      </c>
      <c r="AP47" s="585">
        <f t="shared" si="403"/>
        <v>-34.999994946625264</v>
      </c>
      <c r="AQ47" s="586">
        <f t="shared" si="246"/>
        <v>0.61488704643770509</v>
      </c>
      <c r="AS47" s="52">
        <f t="shared" si="406"/>
        <v>-271.69001275038465</v>
      </c>
      <c r="AT47" s="72">
        <f t="shared" si="247"/>
        <v>-2.0374942072868665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7.141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-2.0506546787738382</v>
      </c>
      <c r="C48" s="708">
        <v>1.7857515587354638</v>
      </c>
      <c r="D48" s="709">
        <v>-0.16260049040307897</v>
      </c>
      <c r="E48" s="710">
        <v>-0.73354906975539924</v>
      </c>
      <c r="F48" s="708">
        <v>-0.63923122434492696</v>
      </c>
      <c r="G48" s="711">
        <v>0.2308445452755471</v>
      </c>
      <c r="H48" s="710">
        <v>0.314</v>
      </c>
      <c r="I48" s="708">
        <v>0.52</v>
      </c>
      <c r="J48" s="570">
        <v>8.1159999999999997</v>
      </c>
      <c r="K48" s="865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>1613</v>
      </c>
      <c r="L48" s="320"/>
      <c r="M48" s="168">
        <f t="shared" si="239"/>
        <v>8.1159999999999997</v>
      </c>
      <c r="N48" s="632">
        <f t="shared" si="240"/>
        <v>-2.0506546787738382</v>
      </c>
      <c r="O48" s="629">
        <f t="shared" si="241"/>
        <v>1.7857515587354638</v>
      </c>
      <c r="P48" s="633">
        <f t="shared" si="242"/>
        <v>-0.16260049040307897</v>
      </c>
      <c r="Q48" s="585">
        <f t="shared" si="113"/>
        <v>138.94999293249543</v>
      </c>
      <c r="R48" s="629">
        <f t="shared" si="79"/>
        <v>2.7192082011319347</v>
      </c>
      <c r="S48" s="634">
        <f t="shared" si="80"/>
        <v>-0.16260049040307897</v>
      </c>
      <c r="T48" s="635">
        <f t="shared" si="81"/>
        <v>1.7525953529900165</v>
      </c>
      <c r="U48" s="629">
        <f t="shared" si="82"/>
        <v>2.0790629547421045</v>
      </c>
      <c r="V48" s="636">
        <f t="shared" si="114"/>
        <v>-0.16260049040307897</v>
      </c>
      <c r="W48" s="585">
        <f t="shared" si="224"/>
        <v>49.869992799663876</v>
      </c>
      <c r="X48" s="629">
        <f t="shared" si="83"/>
        <v>2.7192082011319347</v>
      </c>
      <c r="Y48" s="630">
        <f t="shared" si="223"/>
        <v>-0.16260049040307897</v>
      </c>
      <c r="Z48" s="632">
        <f t="shared" si="243"/>
        <v>0.73354906975539924</v>
      </c>
      <c r="AA48" s="629">
        <f t="shared" si="244"/>
        <v>0.63923122434492696</v>
      </c>
      <c r="AB48" s="629">
        <f t="shared" si="245"/>
        <v>-0.2308445452755471</v>
      </c>
      <c r="AC48" s="636">
        <f t="shared" si="84"/>
        <v>1</v>
      </c>
      <c r="AD48" s="637">
        <f t="shared" si="115"/>
        <v>0.73354906975539924</v>
      </c>
      <c r="AE48" s="629">
        <f t="shared" si="85"/>
        <v>0.63923122434492696</v>
      </c>
      <c r="AF48" s="633">
        <f t="shared" si="86"/>
        <v>-0.2308445452755471</v>
      </c>
      <c r="AG48" s="602">
        <f t="shared" si="87"/>
        <v>70.143909644220329</v>
      </c>
      <c r="AH48" s="603">
        <f t="shared" si="88"/>
        <v>42.815243830706876</v>
      </c>
      <c r="AI48" s="585">
        <f t="shared" si="89"/>
        <v>-76.653201254076123</v>
      </c>
      <c r="AJ48" s="586">
        <f t="shared" si="90"/>
        <v>131.06962940147142</v>
      </c>
      <c r="AK48" s="635">
        <f t="shared" si="211"/>
        <v>0.96380221810707467</v>
      </c>
      <c r="AL48" s="629">
        <f t="shared" si="91"/>
        <v>-0.13340195009222577</v>
      </c>
      <c r="AM48" s="634">
        <f t="shared" si="92"/>
        <v>-0.2308445452755471</v>
      </c>
      <c r="AN48" s="581">
        <f t="shared" si="93"/>
        <v>-30.023038174395747</v>
      </c>
      <c r="AO48" s="582">
        <f t="shared" si="94"/>
        <v>15.463130911309729</v>
      </c>
      <c r="AP48" s="585">
        <f t="shared" si="95"/>
        <v>-7.880363531024023</v>
      </c>
      <c r="AQ48" s="586">
        <f t="shared" si="246"/>
        <v>0.83831901816477283</v>
      </c>
      <c r="AS48" s="52">
        <f t="shared" si="406"/>
        <v>-310.13000720033614</v>
      </c>
      <c r="AT48" s="72">
        <f t="shared" si="247"/>
        <v>5.3406458949354751E-2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8.1159999999999997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-2.4864762240719838</v>
      </c>
      <c r="C49" s="708">
        <v>2.2396197213224966</v>
      </c>
      <c r="D49" s="709">
        <v>-0.6334019103401618</v>
      </c>
      <c r="E49" s="710">
        <v>-0.82666036549419897</v>
      </c>
      <c r="F49" s="708">
        <v>-0.54329203882615984</v>
      </c>
      <c r="G49" s="711">
        <v>0.14651416542134063</v>
      </c>
      <c r="H49" s="710">
        <v>0.314</v>
      </c>
      <c r="I49" s="708">
        <v>0.52</v>
      </c>
      <c r="J49" s="570">
        <v>8.1240000000000006</v>
      </c>
      <c r="K49" s="865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>1613</v>
      </c>
      <c r="L49" s="320"/>
      <c r="M49" s="168">
        <f t="shared" si="239"/>
        <v>8.1240000000000006</v>
      </c>
      <c r="N49" s="632">
        <f t="shared" si="240"/>
        <v>-2.4864762240719838</v>
      </c>
      <c r="O49" s="629">
        <f t="shared" si="241"/>
        <v>2.2396197213224966</v>
      </c>
      <c r="P49" s="633">
        <f t="shared" si="242"/>
        <v>-0.6334019103401618</v>
      </c>
      <c r="Q49" s="585">
        <f t="shared" si="113"/>
        <v>137.98999307110225</v>
      </c>
      <c r="R49" s="629">
        <f t="shared" si="79"/>
        <v>3.3464100927728397</v>
      </c>
      <c r="S49" s="634">
        <f t="shared" si="80"/>
        <v>-0.6334019103401618</v>
      </c>
      <c r="T49" s="635">
        <f t="shared" si="81"/>
        <v>2.1994073093256659</v>
      </c>
      <c r="U49" s="629">
        <f t="shared" si="82"/>
        <v>2.5221157778136911</v>
      </c>
      <c r="V49" s="636">
        <f t="shared" si="114"/>
        <v>-0.6334019103401618</v>
      </c>
      <c r="W49" s="585">
        <f t="shared" si="224"/>
        <v>48.90999293827069</v>
      </c>
      <c r="X49" s="629">
        <f t="shared" si="83"/>
        <v>3.3464100927728397</v>
      </c>
      <c r="Y49" s="630">
        <f t="shared" si="223"/>
        <v>-0.6334019103401618</v>
      </c>
      <c r="Z49" s="632">
        <f t="shared" si="243"/>
        <v>0.82666036549419897</v>
      </c>
      <c r="AA49" s="629">
        <f t="shared" si="244"/>
        <v>0.54329203882615984</v>
      </c>
      <c r="AB49" s="629">
        <f t="shared" si="245"/>
        <v>-0.14651416542134063</v>
      </c>
      <c r="AC49" s="636">
        <f t="shared" si="84"/>
        <v>1</v>
      </c>
      <c r="AD49" s="637">
        <f t="shared" si="115"/>
        <v>0.82666036549419897</v>
      </c>
      <c r="AE49" s="629">
        <f t="shared" si="85"/>
        <v>0.54329203882615984</v>
      </c>
      <c r="AF49" s="633">
        <f t="shared" si="86"/>
        <v>-0.14651416542134063</v>
      </c>
      <c r="AG49" s="602">
        <f t="shared" si="87"/>
        <v>74.907596880152724</v>
      </c>
      <c r="AH49" s="603">
        <f t="shared" si="88"/>
        <v>34.24281031050738</v>
      </c>
      <c r="AI49" s="585">
        <f t="shared" si="89"/>
        <v>-81.575029001337754</v>
      </c>
      <c r="AJ49" s="586">
        <f t="shared" si="90"/>
        <v>123.31344238360798</v>
      </c>
      <c r="AK49" s="635">
        <f t="shared" si="211"/>
        <v>0.95693220671943735</v>
      </c>
      <c r="AL49" s="629">
        <f t="shared" si="91"/>
        <v>-0.25062791359694181</v>
      </c>
      <c r="AM49" s="634">
        <f t="shared" si="92"/>
        <v>-0.14651416542134063</v>
      </c>
      <c r="AN49" s="581">
        <f t="shared" si="93"/>
        <v>-59.689940021127669</v>
      </c>
      <c r="AO49" s="582">
        <f t="shared" si="94"/>
        <v>16.876604413403854</v>
      </c>
      <c r="AP49" s="585">
        <f t="shared" si="95"/>
        <v>-14.676550687494267</v>
      </c>
      <c r="AQ49" s="586">
        <f t="shared" si="246"/>
        <v>0.68121334456492577</v>
      </c>
      <c r="AS49" s="52">
        <f t="shared" si="406"/>
        <v>-311.0900070617293</v>
      </c>
      <c r="AT49" s="72">
        <f t="shared" si="247"/>
        <v>-0.41672829441731618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8.1240000000000006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-2.6858354161572504</v>
      </c>
      <c r="C50" s="708">
        <v>2.4611153115331814</v>
      </c>
      <c r="D50" s="709">
        <v>-1.3574040939307479</v>
      </c>
      <c r="E50" s="710">
        <v>-0.91788082859150411</v>
      </c>
      <c r="F50" s="708">
        <v>-0.3908194311216967</v>
      </c>
      <c r="G50" s="711">
        <v>6.8956194514252597E-2</v>
      </c>
      <c r="H50" s="710">
        <v>0.314</v>
      </c>
      <c r="I50" s="708">
        <v>0.52</v>
      </c>
      <c r="J50" s="570">
        <v>8.1319999999999997</v>
      </c>
      <c r="K50" s="865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>1613</v>
      </c>
      <c r="L50" s="320"/>
      <c r="M50" s="168">
        <f t="shared" si="239"/>
        <v>8.1319999999999997</v>
      </c>
      <c r="N50" s="632">
        <f t="shared" si="240"/>
        <v>-2.6858354161572504</v>
      </c>
      <c r="O50" s="629">
        <f t="shared" si="241"/>
        <v>2.4611153115331814</v>
      </c>
      <c r="P50" s="633">
        <f t="shared" si="242"/>
        <v>-1.3574040939307479</v>
      </c>
      <c r="Q50" s="585">
        <f t="shared" si="113"/>
        <v>137.49999314184953</v>
      </c>
      <c r="R50" s="629">
        <f t="shared" si="79"/>
        <v>3.6429109870195373</v>
      </c>
      <c r="S50" s="634">
        <f t="shared" si="80"/>
        <v>-1.3574040939307479</v>
      </c>
      <c r="T50" s="635">
        <f t="shared" si="81"/>
        <v>2.417673367919547</v>
      </c>
      <c r="U50" s="629">
        <f t="shared" si="82"/>
        <v>2.7250056780491696</v>
      </c>
      <c r="V50" s="636">
        <f t="shared" si="114"/>
        <v>-1.3574040939307479</v>
      </c>
      <c r="W50" s="585">
        <f t="shared" si="224"/>
        <v>48.419993009017972</v>
      </c>
      <c r="X50" s="629">
        <f t="shared" si="83"/>
        <v>3.6429109870195373</v>
      </c>
      <c r="Y50" s="630">
        <f t="shared" si="223"/>
        <v>-1.3574040939307479</v>
      </c>
      <c r="Z50" s="632">
        <f t="shared" si="243"/>
        <v>0.91788082859150411</v>
      </c>
      <c r="AA50" s="629">
        <f t="shared" si="244"/>
        <v>0.3908194311216967</v>
      </c>
      <c r="AB50" s="629">
        <f t="shared" si="245"/>
        <v>-6.8956194514252597E-2</v>
      </c>
      <c r="AC50" s="636">
        <f t="shared" si="84"/>
        <v>1</v>
      </c>
      <c r="AD50" s="637">
        <f t="shared" si="115"/>
        <v>0.91788082859150411</v>
      </c>
      <c r="AE50" s="629">
        <f t="shared" si="85"/>
        <v>0.3908194311216967</v>
      </c>
      <c r="AF50" s="633">
        <f t="shared" si="86"/>
        <v>-6.8956194514252597E-2</v>
      </c>
      <c r="AG50" s="602">
        <f t="shared" si="87"/>
        <v>79.993717851187029</v>
      </c>
      <c r="AH50" s="603">
        <f t="shared" si="88"/>
        <v>23.381786253586348</v>
      </c>
      <c r="AI50" s="585">
        <f t="shared" si="89"/>
        <v>-86.045963305483923</v>
      </c>
      <c r="AJ50" s="586">
        <f t="shared" si="90"/>
        <v>113.06355314858848</v>
      </c>
      <c r="AK50" s="635">
        <f t="shared" si="211"/>
        <v>0.90825365830456728</v>
      </c>
      <c r="AL50" s="629">
        <f t="shared" si="91"/>
        <v>-0.4126988434857593</v>
      </c>
      <c r="AM50" s="634">
        <f t="shared" si="92"/>
        <v>-6.8956194514252597E-2</v>
      </c>
      <c r="AN50" s="581">
        <f t="shared" si="93"/>
        <v>-80.514303305543962</v>
      </c>
      <c r="AO50" s="582">
        <f t="shared" si="94"/>
        <v>24.73487528942875</v>
      </c>
      <c r="AP50" s="585">
        <f t="shared" si="95"/>
        <v>-24.43643999326104</v>
      </c>
      <c r="AQ50" s="586">
        <f t="shared" si="246"/>
        <v>0.62577317783553865</v>
      </c>
      <c r="AS50" s="52">
        <f t="shared" si="406"/>
        <v>-311.58000699098204</v>
      </c>
      <c r="AT50" s="72">
        <f t="shared" si="247"/>
        <v>-1.1403902002792545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8.1319999999999997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-2.7285762472311457</v>
      </c>
      <c r="C51" s="708">
        <v>2.5099341290447672</v>
      </c>
      <c r="D51" s="709">
        <v>-2.1299064237977747</v>
      </c>
      <c r="E51" s="710">
        <v>-0.97670974854235604</v>
      </c>
      <c r="F51" s="708">
        <v>-0.21456483193270681</v>
      </c>
      <c r="G51" s="711">
        <v>1.3008419193627668E-7</v>
      </c>
      <c r="H51" s="710">
        <v>0.314</v>
      </c>
      <c r="I51" s="708">
        <v>0.52</v>
      </c>
      <c r="J51" s="570">
        <v>8.14</v>
      </c>
      <c r="K51" s="865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>1613</v>
      </c>
      <c r="L51" s="320"/>
      <c r="M51" s="168">
        <f t="shared" si="239"/>
        <v>8.14</v>
      </c>
      <c r="N51" s="632">
        <f t="shared" si="240"/>
        <v>-2.7285762472311457</v>
      </c>
      <c r="O51" s="629">
        <f t="shared" si="241"/>
        <v>2.5099341290447672</v>
      </c>
      <c r="P51" s="633">
        <f t="shared" si="242"/>
        <v>-2.1299064237977747</v>
      </c>
      <c r="Q51" s="585">
        <f t="shared" si="113"/>
        <v>137.38999315773154</v>
      </c>
      <c r="R51" s="629">
        <f t="shared" si="79"/>
        <v>3.707411181552124</v>
      </c>
      <c r="S51" s="634">
        <f t="shared" si="80"/>
        <v>-2.1299064237977747</v>
      </c>
      <c r="T51" s="635">
        <f t="shared" si="81"/>
        <v>2.4657996309550834</v>
      </c>
      <c r="U51" s="629">
        <f t="shared" si="82"/>
        <v>2.7685248507245679</v>
      </c>
      <c r="V51" s="636">
        <f t="shared" si="114"/>
        <v>-2.1299064237977747</v>
      </c>
      <c r="W51" s="585">
        <f t="shared" si="224"/>
        <v>48.309993024899981</v>
      </c>
      <c r="X51" s="629">
        <f t="shared" si="83"/>
        <v>3.707411181552124</v>
      </c>
      <c r="Y51" s="630">
        <f t="shared" si="223"/>
        <v>-2.1299064237977747</v>
      </c>
      <c r="Z51" s="632">
        <f t="shared" si="243"/>
        <v>0.97670974854235604</v>
      </c>
      <c r="AA51" s="629">
        <f t="shared" si="244"/>
        <v>0.21456483193270681</v>
      </c>
      <c r="AB51" s="629">
        <f t="shared" si="245"/>
        <v>-1.3008419193627668E-7</v>
      </c>
      <c r="AC51" s="636">
        <f t="shared" si="84"/>
        <v>1</v>
      </c>
      <c r="AD51" s="637">
        <f t="shared" si="115"/>
        <v>0.97670974854235604</v>
      </c>
      <c r="AE51" s="629">
        <f t="shared" si="85"/>
        <v>0.21456483193270681</v>
      </c>
      <c r="AF51" s="633">
        <f t="shared" si="86"/>
        <v>-1.3008419193627668E-7</v>
      </c>
      <c r="AG51" s="602">
        <f t="shared" si="87"/>
        <v>89.999965263295422</v>
      </c>
      <c r="AH51" s="603">
        <f t="shared" si="88"/>
        <v>12.389998211108487</v>
      </c>
      <c r="AI51" s="585">
        <f t="shared" si="89"/>
        <v>-89.999992546724826</v>
      </c>
      <c r="AJ51" s="586">
        <f t="shared" si="90"/>
        <v>102.38999821110627</v>
      </c>
      <c r="AK51" s="635">
        <f t="shared" si="211"/>
        <v>0.8191520948772919</v>
      </c>
      <c r="AL51" s="629">
        <f t="shared" si="91"/>
        <v>-0.57357636410344437</v>
      </c>
      <c r="AM51" s="634">
        <f t="shared" si="92"/>
        <v>-1.3008419193627668E-7</v>
      </c>
      <c r="AN51" s="581">
        <f t="shared" si="93"/>
        <v>-89.999987005609626</v>
      </c>
      <c r="AO51" s="582">
        <f t="shared" si="94"/>
        <v>34.999994946625968</v>
      </c>
      <c r="AP51" s="585">
        <f t="shared" si="95"/>
        <v>-34.999994946625264</v>
      </c>
      <c r="AQ51" s="586">
        <f t="shared" si="246"/>
        <v>0.61488704643770509</v>
      </c>
      <c r="AS51" s="52">
        <f t="shared" si="406"/>
        <v>-311.6900069751</v>
      </c>
      <c r="AT51" s="72">
        <f t="shared" si="247"/>
        <v>-1.9128161412684217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8.14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6.6987279208207212E-2</v>
      </c>
      <c r="G154" s="170">
        <f t="shared" si="929"/>
        <v>-0.24999996726497564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0.96577740478945906</v>
      </c>
      <c r="F156" s="170">
        <f t="shared" si="929"/>
        <v>2.3655802993322702E-2</v>
      </c>
      <c r="G156" s="170">
        <f t="shared" si="929"/>
        <v>-0.25829132270147709</v>
      </c>
      <c r="H156" s="139"/>
      <c r="I156" s="86"/>
      <c r="J156" s="79">
        <f t="shared" si="930"/>
        <v>1.109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0.9620797203260516</v>
      </c>
      <c r="F157" s="170">
        <f t="shared" si="929"/>
        <v>-0.13182746081398827</v>
      </c>
      <c r="G157" s="170">
        <f t="shared" si="929"/>
        <v>-0.23879726194553158</v>
      </c>
      <c r="H157" s="139"/>
      <c r="I157" s="86"/>
      <c r="J157" s="79">
        <f t="shared" si="930"/>
        <v>1.115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0.94864898642851914</v>
      </c>
      <c r="F158" s="170">
        <f t="shared" si="929"/>
        <v>-0.2718612613127438</v>
      </c>
      <c r="G158" s="170">
        <f t="shared" si="929"/>
        <v>-0.16172988327945867</v>
      </c>
      <c r="H158" s="139"/>
      <c r="I158" s="86"/>
      <c r="J158" s="79">
        <f t="shared" si="930"/>
        <v>1.123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0.90456913498774594</v>
      </c>
      <c r="F159" s="170">
        <f t="shared" si="929"/>
        <v>-0.41929574215967874</v>
      </c>
      <c r="G159" s="170">
        <f t="shared" si="929"/>
        <v>-7.7108758479729006E-2</v>
      </c>
      <c r="H159" s="139"/>
      <c r="I159" s="86"/>
      <c r="J159" s="79">
        <f t="shared" si="930"/>
        <v>1.131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0.79218319870786902</v>
      </c>
      <c r="F160" s="170">
        <f t="shared" si="929"/>
        <v>-0.61028336015735529</v>
      </c>
      <c r="G160" s="170">
        <f t="shared" si="929"/>
        <v>-1.3008419214442152E-7</v>
      </c>
      <c r="H160" s="139"/>
      <c r="I160" s="86"/>
      <c r="J160" s="79">
        <f t="shared" si="930"/>
        <v>1.139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0.76505227886251637</v>
      </c>
      <c r="F161" s="170">
        <f t="shared" si="929"/>
        <v>-0.59084191237183481</v>
      </c>
      <c r="G161" s="170">
        <f t="shared" si="929"/>
        <v>-0.25612661945230097</v>
      </c>
      <c r="H161" s="139"/>
      <c r="I161" s="86"/>
      <c r="J161" s="79">
        <f t="shared" si="930"/>
        <v>2.1080000000000001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0.6656128718473503</v>
      </c>
      <c r="F162" s="170">
        <f t="shared" si="929"/>
        <v>-0.70471878224245688</v>
      </c>
      <c r="G162" s="170">
        <f t="shared" si="929"/>
        <v>-0.24562357945814478</v>
      </c>
      <c r="H162" s="139"/>
      <c r="I162" s="86"/>
      <c r="J162" s="79">
        <f t="shared" si="930"/>
        <v>2.1139999999999999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0.5615267176309896</v>
      </c>
      <c r="F163" s="170">
        <f t="shared" si="929"/>
        <v>-0.80843962697540706</v>
      </c>
      <c r="G163" s="170">
        <f t="shared" si="929"/>
        <v>-0.17638910091735177</v>
      </c>
      <c r="H163" s="139"/>
      <c r="I163" s="86"/>
      <c r="J163" s="79">
        <f t="shared" si="930"/>
        <v>2.1219999999999999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0.45544637202677496</v>
      </c>
      <c r="F164" s="170">
        <f t="shared" si="929"/>
        <v>-0.88648575906543781</v>
      </c>
      <c r="G164" s="170">
        <f t="shared" si="929"/>
        <v>-8.1924362565864065E-2</v>
      </c>
      <c r="H164" s="139"/>
      <c r="I164" s="86"/>
      <c r="J164" s="79">
        <f t="shared" si="930"/>
        <v>2.13</v>
      </c>
    </row>
    <row r="165" spans="5:16" x14ac:dyDescent="0.25">
      <c r="E165" s="170">
        <f t="shared" si="929"/>
        <v>0.21456416739429748</v>
      </c>
      <c r="F165" s="170">
        <f t="shared" si="929"/>
        <v>-0.97670989452875678</v>
      </c>
      <c r="G165" s="170">
        <f t="shared" si="929"/>
        <v>-1.3008419254916036E-7</v>
      </c>
      <c r="H165" s="139"/>
      <c r="I165" s="86"/>
      <c r="J165" s="79">
        <f t="shared" si="930"/>
        <v>2.1379999999999999</v>
      </c>
    </row>
    <row r="166" spans="5:16" x14ac:dyDescent="0.25">
      <c r="E166" s="170">
        <f t="shared" si="929"/>
        <v>1.6342171812488648E-2</v>
      </c>
      <c r="F166" s="170">
        <f t="shared" si="929"/>
        <v>-0.96810792259332457</v>
      </c>
      <c r="G166" s="170">
        <f t="shared" si="929"/>
        <v>-0.2499999672649757</v>
      </c>
      <c r="H166" s="139"/>
      <c r="I166" s="86"/>
      <c r="J166" s="79">
        <f t="shared" si="930"/>
        <v>3.1030000000000002</v>
      </c>
    </row>
    <row r="167" spans="5:16" x14ac:dyDescent="0.25">
      <c r="E167" s="170">
        <f t="shared" si="929"/>
        <v>8.5963635401211397E-3</v>
      </c>
      <c r="F167" s="170">
        <f t="shared" si="929"/>
        <v>-0.96769421821545454</v>
      </c>
      <c r="G167" s="170">
        <f t="shared" si="929"/>
        <v>-0.25198016304119314</v>
      </c>
      <c r="H167" s="139"/>
      <c r="I167" s="86"/>
      <c r="J167" s="79">
        <f t="shared" si="930"/>
        <v>3.1070000000000002</v>
      </c>
    </row>
    <row r="168" spans="5:16" x14ac:dyDescent="0.25">
      <c r="E168" s="170">
        <f t="shared" si="929"/>
        <v>-0.14174330647055391</v>
      </c>
      <c r="F168" s="170">
        <f t="shared" si="929"/>
        <v>-0.95749261362963878</v>
      </c>
      <c r="G168" s="170">
        <f t="shared" si="929"/>
        <v>-0.2512304319056074</v>
      </c>
      <c r="H168" s="139"/>
      <c r="I168" s="86"/>
      <c r="J168" s="79">
        <f t="shared" si="930"/>
        <v>3.113</v>
      </c>
    </row>
    <row r="169" spans="5:16" x14ac:dyDescent="0.25">
      <c r="E169" s="170">
        <f t="shared" si="929"/>
        <v>-0.2849251573005836</v>
      </c>
      <c r="F169" s="170">
        <f t="shared" si="929"/>
        <v>-0.94226101520183714</v>
      </c>
      <c r="G169" s="170">
        <f t="shared" si="929"/>
        <v>-0.17595975098880157</v>
      </c>
      <c r="H169" s="139"/>
      <c r="I169" s="86"/>
      <c r="J169" s="79">
        <f t="shared" si="930"/>
        <v>3.121</v>
      </c>
    </row>
    <row r="170" spans="5:16" x14ac:dyDescent="0.25">
      <c r="E170" s="170">
        <f t="shared" si="929"/>
        <v>-0.41451064645310542</v>
      </c>
      <c r="F170" s="170">
        <f t="shared" si="929"/>
        <v>-0.90531308155251533</v>
      </c>
      <c r="G170" s="170">
        <f t="shared" si="929"/>
        <v>-9.2677658294312695E-2</v>
      </c>
      <c r="H170" s="139"/>
      <c r="I170" s="86"/>
      <c r="J170" s="79">
        <f t="shared" si="930"/>
        <v>3.129</v>
      </c>
    </row>
    <row r="171" spans="5:16" x14ac:dyDescent="0.25">
      <c r="E171" s="170">
        <f t="shared" si="929"/>
        <v>-0.65090716402644533</v>
      </c>
      <c r="F171" s="170">
        <f t="shared" si="929"/>
        <v>-0.75915733798668728</v>
      </c>
      <c r="G171" s="170">
        <f t="shared" si="929"/>
        <v>-1.3008419237548965E-7</v>
      </c>
      <c r="H171" s="139"/>
      <c r="I171" s="86"/>
      <c r="J171" s="79">
        <f t="shared" si="930"/>
        <v>3.137</v>
      </c>
    </row>
    <row r="172" spans="5:16" x14ac:dyDescent="0.25">
      <c r="E172" s="170">
        <f t="shared" si="929"/>
        <v>-0.81380517441235523</v>
      </c>
      <c r="F172" s="170">
        <f t="shared" si="929"/>
        <v>-0.54965622208509102</v>
      </c>
      <c r="G172" s="170">
        <f t="shared" si="929"/>
        <v>-0.1886774380333309</v>
      </c>
      <c r="H172" s="139"/>
      <c r="I172" s="86"/>
      <c r="J172" s="79">
        <f t="shared" si="930"/>
        <v>4.12</v>
      </c>
    </row>
    <row r="173" spans="5:16" x14ac:dyDescent="0.25">
      <c r="E173" s="170">
        <f t="shared" si="929"/>
        <v>-0.88932280881960546</v>
      </c>
      <c r="F173" s="170">
        <f t="shared" si="929"/>
        <v>-0.44584431760814658</v>
      </c>
      <c r="G173" s="170">
        <f t="shared" si="929"/>
        <v>-0.10162571608472898</v>
      </c>
      <c r="H173" s="139"/>
      <c r="I173" s="86"/>
      <c r="J173" s="79">
        <f t="shared" si="930"/>
        <v>4.1280000000000001</v>
      </c>
    </row>
    <row r="174" spans="5:16" x14ac:dyDescent="0.25">
      <c r="E174" s="170">
        <f t="shared" ref="E174:G193" si="933">E29*-1</f>
        <v>-0.98660073020377304</v>
      </c>
      <c r="F174" s="170">
        <f t="shared" si="933"/>
        <v>-0.16315329957241187</v>
      </c>
      <c r="G174" s="170">
        <f t="shared" si="933"/>
        <v>-1.3008419247616701E-7</v>
      </c>
      <c r="H174" s="139"/>
      <c r="I174" s="86"/>
      <c r="J174" s="79">
        <f t="shared" si="930"/>
        <v>4.1360000000000001</v>
      </c>
    </row>
    <row r="175" spans="5:16" x14ac:dyDescent="0.25">
      <c r="E175" s="170">
        <f t="shared" si="933"/>
        <v>-0.96810791888697834</v>
      </c>
      <c r="F175" s="170">
        <f t="shared" si="933"/>
        <v>-1.6342391374424524E-2</v>
      </c>
      <c r="G175" s="170">
        <f t="shared" si="933"/>
        <v>-0.24999996726497564</v>
      </c>
      <c r="H175" s="139"/>
      <c r="I175" s="86"/>
      <c r="J175" s="79">
        <f t="shared" si="930"/>
        <v>5.1020000000000003</v>
      </c>
    </row>
    <row r="176" spans="5:16" x14ac:dyDescent="0.25">
      <c r="E176" s="170">
        <f t="shared" si="933"/>
        <v>-0.96810791888697845</v>
      </c>
      <c r="F176" s="170">
        <f t="shared" si="933"/>
        <v>-1.6342391374424545E-2</v>
      </c>
      <c r="G176" s="170">
        <f t="shared" si="933"/>
        <v>-0.24999996726497567</v>
      </c>
      <c r="H176" s="139"/>
      <c r="I176" s="86"/>
      <c r="J176" s="79">
        <f t="shared" si="930"/>
        <v>5.1059999999999999</v>
      </c>
    </row>
    <row r="177" spans="5:10" x14ac:dyDescent="0.25">
      <c r="E177" s="170">
        <f t="shared" si="933"/>
        <v>-0.96079185930595923</v>
      </c>
      <c r="F177" s="170">
        <f t="shared" si="933"/>
        <v>0.10005576208847786</v>
      </c>
      <c r="G177" s="170">
        <f t="shared" si="933"/>
        <v>-0.25858818140876422</v>
      </c>
      <c r="H177" s="139"/>
      <c r="I177" s="86"/>
      <c r="J177" s="79">
        <f t="shared" si="930"/>
        <v>5.1120000000000001</v>
      </c>
    </row>
    <row r="178" spans="5:10" x14ac:dyDescent="0.25">
      <c r="E178" s="170">
        <f t="shared" si="933"/>
        <v>-0.94608642503643792</v>
      </c>
      <c r="F178" s="170">
        <f t="shared" si="933"/>
        <v>0.25431370532166864</v>
      </c>
      <c r="G178" s="170">
        <f t="shared" si="933"/>
        <v>-0.20061160396980077</v>
      </c>
      <c r="H178" s="139"/>
      <c r="I178" s="86"/>
      <c r="J178" s="79">
        <f t="shared" si="930"/>
        <v>5.1189999999999998</v>
      </c>
    </row>
    <row r="179" spans="5:10" x14ac:dyDescent="0.25">
      <c r="E179" s="170">
        <f t="shared" si="933"/>
        <v>-0.9177278046782934</v>
      </c>
      <c r="F179" s="170">
        <f t="shared" si="933"/>
        <v>0.3803558362405759</v>
      </c>
      <c r="G179" s="170">
        <f t="shared" si="933"/>
        <v>-0.11447757141943848</v>
      </c>
      <c r="H179" s="139"/>
      <c r="I179" s="86"/>
      <c r="J179" s="79">
        <f t="shared" si="930"/>
        <v>5.1269999999999998</v>
      </c>
    </row>
    <row r="180" spans="5:10" x14ac:dyDescent="0.25">
      <c r="E180" s="170">
        <f t="shared" si="933"/>
        <v>-0.80795021246524368</v>
      </c>
      <c r="F180" s="170">
        <f t="shared" si="933"/>
        <v>0.58876207262010449</v>
      </c>
      <c r="G180" s="170">
        <f t="shared" si="933"/>
        <v>-2.3993249497439653E-2</v>
      </c>
      <c r="H180" s="139"/>
      <c r="I180" s="86"/>
      <c r="J180" s="79">
        <f t="shared" si="930"/>
        <v>5.1349999999999998</v>
      </c>
    </row>
    <row r="181" spans="5:10" x14ac:dyDescent="0.25">
      <c r="E181" s="170">
        <f t="shared" si="933"/>
        <v>-0.7591574856090908</v>
      </c>
      <c r="F181" s="170">
        <f t="shared" si="933"/>
        <v>0.6509069918534186</v>
      </c>
      <c r="G181" s="170">
        <f t="shared" si="933"/>
        <v>-1.3008419232363911E-7</v>
      </c>
      <c r="H181" s="139"/>
      <c r="I181" s="86"/>
      <c r="J181" s="79">
        <f t="shared" si="930"/>
        <v>5.1429999999999998</v>
      </c>
    </row>
    <row r="182" spans="5:10" x14ac:dyDescent="0.25">
      <c r="E182" s="170">
        <f t="shared" si="933"/>
        <v>-0.68453316456783164</v>
      </c>
      <c r="F182" s="170">
        <f t="shared" si="933"/>
        <v>0.68103789265048564</v>
      </c>
      <c r="G182" s="170">
        <f t="shared" si="933"/>
        <v>-0.260003337249612</v>
      </c>
      <c r="H182" s="139"/>
      <c r="I182" s="86"/>
      <c r="J182" s="79">
        <f t="shared" si="930"/>
        <v>6.1109999999999998</v>
      </c>
    </row>
    <row r="183" spans="5:10" x14ac:dyDescent="0.25">
      <c r="E183" s="170">
        <f t="shared" si="933"/>
        <v>-0.57369528022384952</v>
      </c>
      <c r="F183" s="170">
        <f t="shared" si="933"/>
        <v>0.79123929418353822</v>
      </c>
      <c r="G183" s="170">
        <f t="shared" si="933"/>
        <v>-0.21169342169471181</v>
      </c>
      <c r="H183" s="139"/>
      <c r="I183" s="86"/>
      <c r="J183" s="79">
        <f t="shared" si="930"/>
        <v>6.1180000000000003</v>
      </c>
    </row>
    <row r="184" spans="5:10" x14ac:dyDescent="0.25">
      <c r="E184" s="170">
        <f t="shared" si="933"/>
        <v>-0.4716273985450351</v>
      </c>
      <c r="F184" s="170">
        <f t="shared" si="933"/>
        <v>0.87273500185300967</v>
      </c>
      <c r="G184" s="170">
        <f t="shared" si="933"/>
        <v>-0.12610001380757196</v>
      </c>
      <c r="H184" s="139"/>
      <c r="I184" s="86"/>
      <c r="J184" s="79">
        <f t="shared" si="930"/>
        <v>6.1260000000000003</v>
      </c>
    </row>
    <row r="185" spans="5:10" x14ac:dyDescent="0.25">
      <c r="E185" s="170">
        <f t="shared" si="933"/>
        <v>-0.27457047704816612</v>
      </c>
      <c r="F185" s="170">
        <f t="shared" si="933"/>
        <v>0.96062675657358154</v>
      </c>
      <c r="G185" s="170">
        <f t="shared" si="933"/>
        <v>-4.2512206346689875E-2</v>
      </c>
      <c r="H185" s="139"/>
      <c r="I185" s="86"/>
      <c r="J185" s="79">
        <f t="shared" si="930"/>
        <v>6.1340000000000003</v>
      </c>
    </row>
    <row r="186" spans="5:10" x14ac:dyDescent="0.25">
      <c r="E186" s="170">
        <f t="shared" si="933"/>
        <v>-0.16315352332841776</v>
      </c>
      <c r="F186" s="170">
        <f t="shared" si="933"/>
        <v>0.98660069320141197</v>
      </c>
      <c r="G186" s="170">
        <f t="shared" si="933"/>
        <v>-1.3008419224809092E-7</v>
      </c>
      <c r="H186" s="139"/>
      <c r="I186" s="86"/>
      <c r="J186" s="79">
        <f t="shared" si="930"/>
        <v>6.1420000000000003</v>
      </c>
    </row>
    <row r="187" spans="5:10" x14ac:dyDescent="0.25">
      <c r="E187" s="170">
        <f t="shared" si="933"/>
        <v>-6.6987060141155311E-2</v>
      </c>
      <c r="F187" s="170">
        <f t="shared" si="933"/>
        <v>0.96592585126455566</v>
      </c>
      <c r="G187" s="170">
        <f t="shared" si="933"/>
        <v>-0.2499999672649757</v>
      </c>
      <c r="H187" s="139"/>
      <c r="I187" s="86"/>
      <c r="J187" s="79">
        <f t="shared" si="930"/>
        <v>7.1050000000000004</v>
      </c>
    </row>
    <row r="188" spans="5:10" x14ac:dyDescent="0.25">
      <c r="E188" s="170">
        <f t="shared" si="933"/>
        <v>1.2957486881496061E-2</v>
      </c>
      <c r="F188" s="170">
        <f t="shared" si="933"/>
        <v>0.96540186054785249</v>
      </c>
      <c r="G188" s="170">
        <f t="shared" si="933"/>
        <v>-0.26044452611729174</v>
      </c>
      <c r="H188" s="139"/>
      <c r="I188" s="86"/>
      <c r="J188" s="79">
        <f t="shared" si="930"/>
        <v>7.11</v>
      </c>
    </row>
    <row r="189" spans="5:10" x14ac:dyDescent="0.25">
      <c r="E189" s="170">
        <f t="shared" si="933"/>
        <v>0.16967617573282068</v>
      </c>
      <c r="F189" s="170">
        <f t="shared" si="933"/>
        <v>0.96022310721302895</v>
      </c>
      <c r="G189" s="170">
        <f t="shared" si="933"/>
        <v>-0.22176920381973919</v>
      </c>
      <c r="H189" s="139"/>
      <c r="I189" s="86"/>
      <c r="J189" s="79">
        <f t="shared" si="930"/>
        <v>7.117</v>
      </c>
    </row>
    <row r="190" spans="5:10" x14ac:dyDescent="0.25">
      <c r="E190" s="170">
        <f t="shared" si="933"/>
        <v>0.30615456454388412</v>
      </c>
      <c r="F190" s="170">
        <f t="shared" si="933"/>
        <v>0.94118663411673609</v>
      </c>
      <c r="G190" s="170">
        <f t="shared" si="933"/>
        <v>-0.14295839383874545</v>
      </c>
      <c r="H190" s="139"/>
      <c r="I190" s="86"/>
      <c r="J190" s="79">
        <f t="shared" si="930"/>
        <v>7.125</v>
      </c>
    </row>
    <row r="191" spans="5:10" x14ac:dyDescent="0.25">
      <c r="E191" s="170">
        <f t="shared" si="933"/>
        <v>0.48396854137102885</v>
      </c>
      <c r="F191" s="170">
        <f t="shared" si="933"/>
        <v>0.87319677939097262</v>
      </c>
      <c r="G191" s="170">
        <f t="shared" si="933"/>
        <v>-5.7461599563812894E-2</v>
      </c>
      <c r="H191" s="139"/>
      <c r="I191" s="86"/>
      <c r="J191" s="79">
        <f t="shared" si="930"/>
        <v>7.133</v>
      </c>
    </row>
    <row r="192" spans="5:10" x14ac:dyDescent="0.25">
      <c r="E192" s="170">
        <f t="shared" si="933"/>
        <v>0.61028353982044636</v>
      </c>
      <c r="F192" s="170">
        <f t="shared" si="933"/>
        <v>0.79218306029869689</v>
      </c>
      <c r="G192" s="170">
        <f t="shared" si="933"/>
        <v>-1.3008419217287061E-7</v>
      </c>
      <c r="H192" s="139"/>
      <c r="I192" s="86"/>
      <c r="J192" s="79">
        <f t="shared" si="930"/>
        <v>7.141</v>
      </c>
    </row>
    <row r="193" spans="5:10" x14ac:dyDescent="0.25">
      <c r="E193" s="170">
        <f t="shared" si="933"/>
        <v>0.73354906975539924</v>
      </c>
      <c r="F193" s="170">
        <f t="shared" si="933"/>
        <v>0.63923122434492696</v>
      </c>
      <c r="G193" s="170">
        <f t="shared" si="933"/>
        <v>-0.2308445452755471</v>
      </c>
      <c r="H193" s="139"/>
      <c r="I193" s="86"/>
      <c r="J193" s="79">
        <f t="shared" si="930"/>
        <v>8.1159999999999997</v>
      </c>
    </row>
    <row r="194" spans="5:10" x14ac:dyDescent="0.25">
      <c r="E194" s="170">
        <f t="shared" ref="E194:G213" si="934">E49*-1</f>
        <v>0.82666036549419897</v>
      </c>
      <c r="F194" s="170">
        <f t="shared" si="934"/>
        <v>0.54329203882615984</v>
      </c>
      <c r="G194" s="170">
        <f t="shared" si="934"/>
        <v>-0.14651416542134063</v>
      </c>
      <c r="H194" s="139"/>
      <c r="I194" s="86"/>
      <c r="J194" s="79">
        <f t="shared" si="930"/>
        <v>8.1240000000000006</v>
      </c>
    </row>
    <row r="195" spans="5:10" x14ac:dyDescent="0.25">
      <c r="E195" s="170">
        <f t="shared" si="934"/>
        <v>0.91788082859150411</v>
      </c>
      <c r="F195" s="170">
        <f t="shared" si="934"/>
        <v>0.3908194311216967</v>
      </c>
      <c r="G195" s="170">
        <f t="shared" si="934"/>
        <v>-6.8956194514252597E-2</v>
      </c>
      <c r="H195" s="139"/>
      <c r="I195" s="86"/>
      <c r="J195" s="79">
        <f t="shared" si="930"/>
        <v>8.1319999999999997</v>
      </c>
    </row>
    <row r="196" spans="5:10" x14ac:dyDescent="0.25">
      <c r="E196" s="170">
        <f t="shared" si="934"/>
        <v>0.97670974854235604</v>
      </c>
      <c r="F196" s="170">
        <f t="shared" si="934"/>
        <v>0.21456483193270681</v>
      </c>
      <c r="G196" s="170">
        <f t="shared" si="934"/>
        <v>-1.3008419193627668E-7</v>
      </c>
      <c r="H196" s="139"/>
      <c r="I196" s="86"/>
      <c r="J196" s="79">
        <f t="shared" si="930"/>
        <v>8.14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4" t="str">
        <f>CONCATENATE(Settings!$C$19," ",Settings!$B$28)</f>
        <v>7.875  Job# --- Assy# --- Post Braze --- yy.mm.dd</v>
      </c>
      <c r="D1" s="994"/>
      <c r="E1" s="994"/>
      <c r="F1" s="994"/>
      <c r="G1" s="994"/>
      <c r="H1" s="994"/>
      <c r="I1" s="994"/>
      <c r="J1" s="994"/>
      <c r="K1" s="994"/>
      <c r="M1" s="107" t="s">
        <v>319</v>
      </c>
      <c r="N1" s="1311" t="s">
        <v>321</v>
      </c>
      <c r="O1" s="131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7" t="str">
        <f>Settings!B28</f>
        <v xml:space="preserve"> Job# --- Assy# --- Post Braze --- yy.mm.dd</v>
      </c>
      <c r="C2" s="1308"/>
      <c r="D2" s="1308"/>
      <c r="E2" s="1308"/>
      <c r="F2" s="1308"/>
      <c r="G2" s="1308"/>
      <c r="H2" s="1308"/>
      <c r="I2" s="1308"/>
      <c r="J2" s="1308"/>
      <c r="K2" s="1309"/>
      <c r="L2" s="993" t="str" cm="1">
        <f t="array" ref="L2">IF(OR($K$9:$K$150="Undefined"),"Undefined Element","")</f>
        <v/>
      </c>
      <c r="M2" s="1304" t="s">
        <v>0</v>
      </c>
      <c r="N2" s="1054" t="s">
        <v>1</v>
      </c>
      <c r="O2" s="1055"/>
      <c r="P2" s="1055"/>
      <c r="Q2" s="1055"/>
      <c r="R2" s="1055"/>
      <c r="S2" s="1055"/>
      <c r="T2" s="1055"/>
      <c r="U2" s="1055"/>
      <c r="V2" s="1055"/>
      <c r="W2" s="1055"/>
      <c r="X2" s="1055"/>
      <c r="Y2" s="1056"/>
      <c r="Z2" s="1054" t="s">
        <v>2</v>
      </c>
      <c r="AA2" s="1055"/>
      <c r="AB2" s="1055"/>
      <c r="AC2" s="1055"/>
      <c r="AD2" s="1055"/>
      <c r="AE2" s="1055"/>
      <c r="AF2" s="1055"/>
      <c r="AG2" s="1055"/>
      <c r="AH2" s="1055"/>
      <c r="AI2" s="1055"/>
      <c r="AJ2" s="1055"/>
      <c r="AK2" s="1055"/>
      <c r="AL2" s="1055"/>
      <c r="AM2" s="1055"/>
      <c r="AN2" s="1055"/>
      <c r="AO2" s="1055"/>
      <c r="AP2" s="1055"/>
      <c r="AQ2" s="1080"/>
      <c r="AS2" s="1062" t="s">
        <v>44</v>
      </c>
      <c r="AT2" s="1063"/>
      <c r="AV2" s="1301" t="str">
        <f>M2</f>
        <v>CS-Name</v>
      </c>
      <c r="AW2" s="1280"/>
      <c r="AX2" s="1280"/>
      <c r="AY2" s="1280"/>
      <c r="AZ2" s="1280"/>
      <c r="BA2" s="1280"/>
      <c r="BB2" s="1280"/>
      <c r="BC2" s="1281"/>
      <c r="BF2" s="1273" t="s">
        <v>322</v>
      </c>
      <c r="BG2" s="1274"/>
      <c r="BH2" s="1274"/>
      <c r="BI2" s="1274"/>
      <c r="BJ2" s="1274"/>
      <c r="BK2" s="1275"/>
      <c r="BM2" s="1263" t="s">
        <v>279</v>
      </c>
      <c r="BN2" s="985"/>
      <c r="BO2" s="985"/>
      <c r="BP2" s="986"/>
      <c r="BR2" s="1263" t="s">
        <v>279</v>
      </c>
      <c r="BS2" s="985"/>
      <c r="BT2" s="985"/>
      <c r="BU2" s="986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000"/>
      <c r="C3" s="1001"/>
      <c r="D3" s="1001"/>
      <c r="E3" s="1001"/>
      <c r="F3" s="1001"/>
      <c r="G3" s="1001"/>
      <c r="H3" s="1001"/>
      <c r="I3" s="1001"/>
      <c r="J3" s="1001"/>
      <c r="K3" s="1002"/>
      <c r="L3" s="993"/>
      <c r="M3" s="1305"/>
      <c r="N3" s="1057"/>
      <c r="O3" s="1058"/>
      <c r="P3" s="1058"/>
      <c r="Q3" s="1058"/>
      <c r="R3" s="1058"/>
      <c r="S3" s="1058"/>
      <c r="T3" s="1058"/>
      <c r="U3" s="1058"/>
      <c r="V3" s="1058"/>
      <c r="W3" s="1058"/>
      <c r="X3" s="1058"/>
      <c r="Y3" s="1059"/>
      <c r="Z3" s="1102"/>
      <c r="AA3" s="1088"/>
      <c r="AB3" s="1088"/>
      <c r="AC3" s="1088"/>
      <c r="AD3" s="1088"/>
      <c r="AE3" s="1088"/>
      <c r="AF3" s="1088"/>
      <c r="AG3" s="1088"/>
      <c r="AH3" s="1088"/>
      <c r="AI3" s="1088"/>
      <c r="AJ3" s="1088"/>
      <c r="AK3" s="1088"/>
      <c r="AL3" s="1088"/>
      <c r="AM3" s="1088"/>
      <c r="AN3" s="1088"/>
      <c r="AO3" s="1088"/>
      <c r="AP3" s="1088"/>
      <c r="AQ3" s="1103"/>
      <c r="AS3" s="466">
        <v>100</v>
      </c>
      <c r="AT3" s="463" t="s">
        <v>45</v>
      </c>
      <c r="AV3" s="1302"/>
      <c r="AW3" s="1282"/>
      <c r="AX3" s="1282"/>
      <c r="AY3" s="1282"/>
      <c r="AZ3" s="1282"/>
      <c r="BA3" s="1282"/>
      <c r="BB3" s="1282"/>
      <c r="BC3" s="1283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101" t="s">
        <v>316</v>
      </c>
      <c r="C4" s="875"/>
      <c r="D4" s="875"/>
      <c r="E4" s="875"/>
      <c r="F4" s="875"/>
      <c r="G4" s="875"/>
      <c r="H4" s="875"/>
      <c r="I4" s="875"/>
      <c r="J4" s="875"/>
      <c r="K4" s="1310"/>
      <c r="L4" s="993"/>
      <c r="M4" s="1305"/>
      <c r="N4" s="1021" t="s">
        <v>3</v>
      </c>
      <c r="O4" s="1016"/>
      <c r="P4" s="1016"/>
      <c r="Q4" s="1015" t="s">
        <v>4</v>
      </c>
      <c r="R4" s="1016"/>
      <c r="S4" s="1037"/>
      <c r="T4" s="1031" t="str">
        <f>N4</f>
        <v>Cartesian Coordinates</v>
      </c>
      <c r="U4" s="998"/>
      <c r="V4" s="1032"/>
      <c r="W4" s="998" t="str">
        <f>Q4</f>
        <v>Polar XY; Cartesian Z</v>
      </c>
      <c r="X4" s="998"/>
      <c r="Y4" s="999"/>
      <c r="Z4" s="1312" t="s">
        <v>3</v>
      </c>
      <c r="AA4" s="1287"/>
      <c r="AB4" s="1287"/>
      <c r="AC4" s="1287"/>
      <c r="AD4" s="1287"/>
      <c r="AE4" s="1287"/>
      <c r="AF4" s="1287"/>
      <c r="AG4" s="1286" t="s">
        <v>31</v>
      </c>
      <c r="AH4" s="1287"/>
      <c r="AI4" s="1287"/>
      <c r="AJ4" s="1288"/>
      <c r="AK4" s="1266" t="s">
        <v>32</v>
      </c>
      <c r="AL4" s="1267"/>
      <c r="AM4" s="1267"/>
      <c r="AN4" s="1267"/>
      <c r="AO4" s="1267"/>
      <c r="AP4" s="1267"/>
      <c r="AQ4" s="1268"/>
      <c r="AS4" s="467">
        <v>125</v>
      </c>
      <c r="AT4" s="464" t="s">
        <v>46</v>
      </c>
      <c r="AV4" s="1302"/>
      <c r="AW4" s="1284"/>
      <c r="AX4" s="1284"/>
      <c r="AY4" s="1284"/>
      <c r="AZ4" s="1285"/>
      <c r="BA4" s="1284" t="str">
        <f>Z2</f>
        <v>PDC Orientation</v>
      </c>
      <c r="BB4" s="1284"/>
      <c r="BC4" s="1285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000" t="str">
        <f>CONCATENATE(B7," ; ",E7," ; ",H8)</f>
        <v>Absolute-Point ; Incremental-Vector Point ; Radius</v>
      </c>
      <c r="C5" s="1001"/>
      <c r="D5" s="1001"/>
      <c r="E5" s="1001"/>
      <c r="F5" s="1001"/>
      <c r="G5" s="1001"/>
      <c r="H5" s="1001"/>
      <c r="I5" s="1001"/>
      <c r="J5" s="1001"/>
      <c r="K5" s="1002"/>
      <c r="L5" s="843"/>
      <c r="M5" s="1305"/>
      <c r="N5" s="1042" t="s">
        <v>5</v>
      </c>
      <c r="O5" s="980"/>
      <c r="P5" s="980"/>
      <c r="Q5" s="979" t="s">
        <v>6</v>
      </c>
      <c r="R5" s="980"/>
      <c r="S5" s="981"/>
      <c r="T5" s="1047" t="str">
        <f>CONCATENATE("Relative to ",M8,"'s θ &amp; Z; Z Axis")</f>
        <v>Relative to 's θ &amp; Z; Z Axis</v>
      </c>
      <c r="U5" s="1023"/>
      <c r="V5" s="1074"/>
      <c r="W5" s="1023" t="str">
        <f>CONCATENATE("Relative to ",M8,"'s θ &amp; Z; Z Axis")</f>
        <v>Relative to 's θ &amp; Z; Z Axis</v>
      </c>
      <c r="X5" s="1023"/>
      <c r="Y5" s="1033"/>
      <c r="Z5" s="1022" t="str">
        <f>N5</f>
        <v>Relative to World_CS</v>
      </c>
      <c r="AA5" s="1023"/>
      <c r="AB5" s="1023"/>
      <c r="AC5" s="1023"/>
      <c r="AD5" s="1023"/>
      <c r="AE5" s="1023"/>
      <c r="AF5" s="1023"/>
      <c r="AG5" s="1047" t="str">
        <f>N5</f>
        <v>Relative to World_CS</v>
      </c>
      <c r="AH5" s="1023"/>
      <c r="AI5" s="1023"/>
      <c r="AJ5" s="1048"/>
      <c r="AK5" s="1085" t="s">
        <v>7</v>
      </c>
      <c r="AL5" s="980"/>
      <c r="AM5" s="980"/>
      <c r="AN5" s="980"/>
      <c r="AO5" s="980"/>
      <c r="AP5" s="980"/>
      <c r="AQ5" s="981"/>
      <c r="AS5" s="171">
        <f>(((AS4*12)/60)/AS3)</f>
        <v>0.25</v>
      </c>
      <c r="AT5" s="464" t="s">
        <v>47</v>
      </c>
      <c r="AV5" s="1302"/>
      <c r="AW5" s="1031" t="str">
        <f>W4</f>
        <v>Polar XY; Cartesian Z</v>
      </c>
      <c r="AX5" s="998"/>
      <c r="AY5" s="998"/>
      <c r="AZ5" s="1239" t="s">
        <v>104</v>
      </c>
      <c r="BA5" s="998" t="str">
        <f>AK4</f>
        <v>Polar Z Projection → XZ Plane</v>
      </c>
      <c r="BB5" s="998"/>
      <c r="BC5" s="110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3"/>
      <c r="C6" s="1004"/>
      <c r="D6" s="1004"/>
      <c r="E6" s="1004"/>
      <c r="F6" s="1004"/>
      <c r="G6" s="1004"/>
      <c r="H6" s="1004"/>
      <c r="I6" s="1004"/>
      <c r="J6" s="1004"/>
      <c r="K6" s="1005"/>
      <c r="L6" s="993" t="str" cm="1">
        <f t="array" ref="L6">IF(OR($K$9:$K$150="Inactive"),"Inactive Element","")</f>
        <v/>
      </c>
      <c r="M6" s="1305"/>
      <c r="N6" s="1038" t="s">
        <v>8</v>
      </c>
      <c r="O6" s="1040" t="s">
        <v>9</v>
      </c>
      <c r="P6" s="977" t="s">
        <v>10</v>
      </c>
      <c r="Q6" s="1043" t="s">
        <v>11</v>
      </c>
      <c r="R6" s="1044"/>
      <c r="S6" s="1034" t="s">
        <v>10</v>
      </c>
      <c r="T6" s="1070" t="str">
        <f>N6</f>
        <v>X</v>
      </c>
      <c r="U6" s="1072" t="str">
        <f>O6</f>
        <v>Y</v>
      </c>
      <c r="V6" s="1029" t="str">
        <f>P6</f>
        <v>Z</v>
      </c>
      <c r="W6" s="1019" t="str">
        <f>Q6</f>
        <v>Projected XY</v>
      </c>
      <c r="X6" s="1020"/>
      <c r="Y6" s="1068" t="str">
        <f>S6</f>
        <v>Z</v>
      </c>
      <c r="Z6" s="1050" t="s">
        <v>12</v>
      </c>
      <c r="AA6" s="1010"/>
      <c r="AB6" s="1010"/>
      <c r="AC6" s="1051"/>
      <c r="AD6" s="1015" t="s">
        <v>13</v>
      </c>
      <c r="AE6" s="1016"/>
      <c r="AF6" s="1016"/>
      <c r="AG6" s="1049" t="s">
        <v>7</v>
      </c>
      <c r="AH6" s="1016"/>
      <c r="AI6" s="1015" t="s">
        <v>14</v>
      </c>
      <c r="AJ6" s="1037"/>
      <c r="AK6" s="1031" t="str">
        <f>AD6</f>
        <v>Unit Vector</v>
      </c>
      <c r="AL6" s="998"/>
      <c r="AM6" s="1107"/>
      <c r="AN6" s="34" t="s">
        <v>15</v>
      </c>
      <c r="AO6" s="35" t="s">
        <v>16</v>
      </c>
      <c r="AP6" s="737" t="s">
        <v>17</v>
      </c>
      <c r="AQ6" s="1313" t="s">
        <v>108</v>
      </c>
      <c r="AS6" s="172">
        <f>(AS5/360)</f>
        <v>6.9444444444444447E-4</v>
      </c>
      <c r="AT6" s="465" t="s">
        <v>48</v>
      </c>
      <c r="AV6" s="1302"/>
      <c r="AW6" s="1047" t="str">
        <f>W5</f>
        <v>Relative to 's θ &amp; Z; Z Axis</v>
      </c>
      <c r="AX6" s="1023"/>
      <c r="AY6" s="1023"/>
      <c r="AZ6" s="1298"/>
      <c r="BA6" s="1023" t="str">
        <f>AK5</f>
        <v>Vector Along X Axis</v>
      </c>
      <c r="BB6" s="1023"/>
      <c r="BC6" s="1048"/>
      <c r="BD6" s="468"/>
      <c r="BF6" s="461">
        <f>SUM(AZ9:AZ150)</f>
        <v>0</v>
      </c>
      <c r="BG6" s="1291" t="s">
        <v>318</v>
      </c>
      <c r="BH6" s="1291"/>
      <c r="BI6" s="1291"/>
      <c r="BJ6" s="1291"/>
      <c r="BK6" s="129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4" t="s">
        <v>40</v>
      </c>
      <c r="C7" s="1025"/>
      <c r="D7" s="1026"/>
      <c r="E7" s="1027" t="s">
        <v>41</v>
      </c>
      <c r="F7" s="1025"/>
      <c r="G7" s="1028"/>
      <c r="H7" s="898" t="s">
        <v>314</v>
      </c>
      <c r="I7" s="918"/>
      <c r="J7" s="899"/>
      <c r="K7" s="539"/>
      <c r="L7" s="993"/>
      <c r="M7" s="1306"/>
      <c r="N7" s="1039"/>
      <c r="O7" s="1041"/>
      <c r="P7" s="978"/>
      <c r="Q7" s="36" t="s">
        <v>18</v>
      </c>
      <c r="R7" s="2" t="s">
        <v>19</v>
      </c>
      <c r="S7" s="1035"/>
      <c r="T7" s="1071"/>
      <c r="U7" s="1073"/>
      <c r="V7" s="1030"/>
      <c r="W7" s="37" t="str">
        <f>Q7</f>
        <v>&lt; θ°</v>
      </c>
      <c r="X7" s="27" t="str">
        <f>R7</f>
        <v>r</v>
      </c>
      <c r="Y7" s="1069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4"/>
      <c r="AS7" s="1289" t="s">
        <v>54</v>
      </c>
      <c r="AT7" s="1264" t="s">
        <v>53</v>
      </c>
      <c r="AV7" s="1302"/>
      <c r="AW7" s="1297" t="str">
        <f>$W$6</f>
        <v>Projected XY</v>
      </c>
      <c r="AX7" s="1020"/>
      <c r="AY7" s="1299" t="str">
        <f>$Y$6</f>
        <v>Z</v>
      </c>
      <c r="AZ7" s="1298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91"/>
      <c r="BH7" s="1291"/>
      <c r="BI7" s="1291"/>
      <c r="BJ7" s="1291"/>
      <c r="BK7" s="129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4" t="s">
        <v>33</v>
      </c>
      <c r="IH7" s="1231" t="s">
        <v>385</v>
      </c>
      <c r="II7" s="920" t="s">
        <v>333</v>
      </c>
      <c r="IJ7" s="921"/>
      <c r="IK7" s="921"/>
      <c r="IL7" s="918"/>
      <c r="IM7" s="918"/>
      <c r="IN7" s="918"/>
      <c r="IO7" s="899"/>
      <c r="IP7" s="898" t="s">
        <v>329</v>
      </c>
      <c r="IQ7" s="918"/>
      <c r="IR7" s="918"/>
      <c r="IS7" s="918"/>
      <c r="IT7" s="918"/>
      <c r="IU7" s="898" t="s">
        <v>328</v>
      </c>
      <c r="IV7" s="918"/>
      <c r="IW7" s="918"/>
      <c r="IX7" s="918"/>
      <c r="IY7" s="899"/>
      <c r="JA7" s="784"/>
      <c r="JB7" s="1262" t="s">
        <v>364</v>
      </c>
      <c r="JC7" s="982"/>
      <c r="JD7" s="982"/>
      <c r="JE7" s="983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90"/>
      <c r="AT8" s="1265"/>
      <c r="AV8" s="1303"/>
      <c r="AW8" s="46" t="str">
        <f>$W$7</f>
        <v>&lt; θ°</v>
      </c>
      <c r="AX8" s="27" t="str">
        <f>$X$7</f>
        <v>r</v>
      </c>
      <c r="AY8" s="1300"/>
      <c r="AZ8" s="1240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4" t="s">
        <v>365</v>
      </c>
      <c r="JC19" s="985"/>
      <c r="JD19" s="985"/>
      <c r="JE19" s="985"/>
      <c r="JF19" s="985"/>
      <c r="JG19" s="985"/>
      <c r="JH19" s="985"/>
      <c r="JI19" s="986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7" t="s">
        <v>369</v>
      </c>
      <c r="JC20" s="988"/>
      <c r="JD20" s="988"/>
      <c r="JE20" s="988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9"/>
      <c r="JC21" s="990"/>
      <c r="JD21" s="990"/>
      <c r="JE21" s="990"/>
      <c r="JF21" s="1237" t="s">
        <v>358</v>
      </c>
      <c r="JG21" s="1238"/>
      <c r="JH21" s="991" t="s">
        <v>371</v>
      </c>
      <c r="JI21" s="992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5" t="str">
        <f>$W$6</f>
        <v>Projected XY</v>
      </c>
      <c r="AX152" s="1296"/>
      <c r="AY152" s="1278" t="str">
        <f>$Y$6</f>
        <v>Z</v>
      </c>
      <c r="AZ152" s="1276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9"/>
      <c r="AZ153" s="1277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6" t="s">
        <v>42</v>
      </c>
      <c r="C157" s="1007"/>
      <c r="D157" s="1007"/>
      <c r="E157" s="1007"/>
      <c r="F157" s="1007"/>
      <c r="G157" s="1007"/>
      <c r="H157" s="1007"/>
      <c r="I157" s="1007"/>
      <c r="J157" s="1007"/>
      <c r="K157" s="1008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9"/>
      <c r="C158" s="1010"/>
      <c r="D158" s="1010"/>
      <c r="E158" s="1010"/>
      <c r="F158" s="1010"/>
      <c r="G158" s="1010"/>
      <c r="H158" s="1010"/>
      <c r="I158" s="1010"/>
      <c r="J158" s="1010"/>
      <c r="K158" s="1011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2"/>
      <c r="C159" s="1013"/>
      <c r="D159" s="1013"/>
      <c r="E159" s="1013"/>
      <c r="F159" s="1013"/>
      <c r="G159" s="1013"/>
      <c r="H159" s="1013"/>
      <c r="I159" s="1013"/>
      <c r="J159" s="1013"/>
      <c r="K159" s="1014"/>
      <c r="AQ159" s="166"/>
      <c r="BD159" s="468"/>
    </row>
    <row r="160" spans="1:259" ht="15" customHeight="1" x14ac:dyDescent="0.25">
      <c r="B160" s="1000" t="str">
        <f>CONCATENATE(B162," ; ",E162," ; ",H163)</f>
        <v>Absolute-Point ; Incremental-Vector Point ; Radius</v>
      </c>
      <c r="C160" s="1001"/>
      <c r="D160" s="1001"/>
      <c r="E160" s="1001"/>
      <c r="F160" s="1001"/>
      <c r="G160" s="1001"/>
      <c r="H160" s="1001"/>
      <c r="I160" s="1001"/>
      <c r="J160" s="1001"/>
      <c r="K160" s="1002"/>
      <c r="AQ160" s="166"/>
      <c r="BD160" s="468"/>
    </row>
    <row r="161" spans="2:56" ht="15" customHeight="1" x14ac:dyDescent="0.25">
      <c r="B161" s="1003"/>
      <c r="C161" s="1004"/>
      <c r="D161" s="1004"/>
      <c r="E161" s="1004"/>
      <c r="F161" s="1004"/>
      <c r="G161" s="1004"/>
      <c r="H161" s="1004"/>
      <c r="I161" s="1004"/>
      <c r="J161" s="1004"/>
      <c r="K161" s="1005"/>
      <c r="AQ161" s="166"/>
      <c r="BD161" s="468"/>
    </row>
    <row r="162" spans="2:56" ht="15" customHeight="1" x14ac:dyDescent="0.25">
      <c r="B162" s="1024" t="s">
        <v>40</v>
      </c>
      <c r="C162" s="1025"/>
      <c r="D162" s="1026"/>
      <c r="E162" s="1027" t="s">
        <v>41</v>
      </c>
      <c r="F162" s="1025"/>
      <c r="G162" s="1028"/>
      <c r="H162" s="898" t="s">
        <v>314</v>
      </c>
      <c r="I162" s="918"/>
      <c r="J162" s="899"/>
      <c r="K162" s="539"/>
      <c r="M162" s="1193" t="s">
        <v>313</v>
      </c>
      <c r="N162" s="1292"/>
      <c r="O162" s="1269" t="s">
        <v>292</v>
      </c>
      <c r="P162" s="1270"/>
      <c r="Q162" s="1271"/>
      <c r="R162" s="1272" t="s">
        <v>41</v>
      </c>
      <c r="S162" s="1270"/>
      <c r="T162" s="1271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3"/>
      <c r="N163" s="129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1.109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1.115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1.123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1.131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2.1080000000000001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2.1139999999999999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2.1219999999999999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2.13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2.1379999999999999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3.1030000000000002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3.1070000000000002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3.113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3.121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3.129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3.137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4.12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4.1280000000000001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4.1360000000000001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5.1020000000000003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5.1059999999999999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5.1120000000000001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5.1189999999999998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5.1269999999999998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5.1349999999999998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5.1429999999999998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6.1109999999999998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6.1180000000000003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6.1260000000000003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6.1340000000000003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6.1420000000000003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7.1050000000000004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7.11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7.117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7.125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7.133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7.141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8.1159999999999997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8.1240000000000006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8.1319999999999997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8.14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2023-03-30T18:27:39Z</dcterms:modified>
</cp:coreProperties>
</file>