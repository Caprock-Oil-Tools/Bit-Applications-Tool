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93\"/>
    </mc:Choice>
  </mc:AlternateContent>
  <xr:revisionPtr revIDLastSave="0" documentId="13_ncr:1_{8A449426-2077-41A4-88C5-3E028BC59D5D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JA9" i="1" a="1"/>
  <c r="JA9" i="1" s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R73" i="1"/>
  <c r="IW73" i="1"/>
  <c r="IK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N71" i="1"/>
  <c r="IW71" i="1"/>
  <c r="IK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W72" i="1"/>
  <c r="IK72" i="1"/>
  <c r="IR72" i="1"/>
  <c r="IN72" i="1"/>
  <c r="IR31" i="1"/>
  <c r="IQ31" i="1"/>
  <c r="IP31" i="1"/>
  <c r="IK31" i="1"/>
  <c r="IN31" i="1"/>
  <c r="IW31" i="1"/>
  <c r="IW18" i="1"/>
  <c r="IR18" i="1"/>
  <c r="IN18" i="1"/>
  <c r="IK18" i="1"/>
  <c r="IR55" i="1"/>
  <c r="IK55" i="1"/>
  <c r="IW55" i="1"/>
  <c r="IN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N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B10" i="1" l="1" a="1"/>
  <c r="JB10" i="1" s="1"/>
  <c r="JA23" i="1" a="1"/>
  <c r="JA23" i="1" s="1"/>
  <c r="IF85" i="1"/>
  <c r="IF129" i="1"/>
  <c r="IF49" i="1"/>
  <c r="IF138" i="1"/>
  <c r="IF10" i="1"/>
  <c r="IF150" i="1"/>
  <c r="IF48" i="1"/>
  <c r="IF148" i="1"/>
  <c r="IF127" i="1"/>
  <c r="IF15" i="1"/>
  <c r="IF128" i="1"/>
  <c r="IF86" i="1"/>
  <c r="IF9" i="1"/>
  <c r="IF47" i="1"/>
  <c r="IF122" i="1"/>
  <c r="IF147" i="1"/>
  <c r="IF142" i="1"/>
  <c r="IF143" i="1"/>
  <c r="IF137" i="1"/>
  <c r="IF105" i="1"/>
  <c r="IF91" i="1"/>
  <c r="IF135" i="1"/>
  <c r="IF109" i="1"/>
  <c r="IF145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1" i="1"/>
  <c r="IF134" i="1"/>
  <c r="IF84" i="1"/>
  <c r="IF12" i="1"/>
  <c r="IF50" i="1"/>
  <c r="IF133" i="1"/>
  <c r="IF149" i="1"/>
  <c r="IF87" i="1"/>
  <c r="IF104" i="1"/>
  <c r="IF130" i="1"/>
  <c r="IF90" i="1"/>
  <c r="IF132" i="1"/>
  <c r="IF119" i="1"/>
  <c r="IF32" i="1"/>
  <c r="IF110" i="1"/>
  <c r="IF125" i="1"/>
  <c r="IF144" i="1"/>
  <c r="IF120" i="1"/>
  <c r="IF70" i="1"/>
  <c r="IF139" i="1"/>
  <c r="IF126" i="1"/>
  <c r="IF38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IQ71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77" i="1" l="1"/>
  <c r="IV71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IQ56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IQ55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V35" i="1" l="1"/>
  <c r="IQ37" i="1"/>
  <c r="IQ78" i="1"/>
  <c r="IV72" i="1"/>
  <c r="IV60" i="1"/>
  <c r="IQ73" i="1"/>
  <c r="IQ76" i="1"/>
  <c r="IQ74" i="1"/>
  <c r="IQ59" i="1"/>
  <c r="IV56" i="1"/>
  <c r="IQ64" i="1"/>
  <c r="IV55" i="1"/>
  <c r="IV59" i="1"/>
  <c r="IQ72" i="1"/>
  <c r="IQ19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IP56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IP74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IU71" i="1" s="1"/>
  <c r="IE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AF58" i="1"/>
  <c r="R58" i="1"/>
  <c r="X58" i="1" s="1"/>
  <c r="IP71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AF50" i="1"/>
  <c r="AF28" i="1"/>
  <c r="R29" i="1"/>
  <c r="X29" i="1" s="1"/>
  <c r="IP55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U35" i="1" l="1"/>
  <c r="IE35" i="1" s="1"/>
  <c r="IP37" i="1"/>
  <c r="IU59" i="1"/>
  <c r="IE59" i="1" s="1"/>
  <c r="IP72" i="1"/>
  <c r="IU60" i="1"/>
  <c r="IE60" i="1" s="1"/>
  <c r="IP73" i="1"/>
  <c r="AQ37" i="1"/>
  <c r="IU37" i="1"/>
  <c r="IE37" i="1" s="1"/>
  <c r="IP59" i="1"/>
  <c r="IU56" i="1"/>
  <c r="IE56" i="1" s="1"/>
  <c r="AQ73" i="1"/>
  <c r="IU73" i="1"/>
  <c r="IE73" i="1" s="1"/>
  <c r="IP19" i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IL16" i="1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IL72" i="1" s="1"/>
  <c r="W60" i="1"/>
  <c r="W57" i="1"/>
  <c r="W58" i="1"/>
  <c r="IL71" i="1" s="1"/>
  <c r="W55" i="1"/>
  <c r="W56" i="1"/>
  <c r="W53" i="1"/>
  <c r="W54" i="1"/>
  <c r="IL56" i="1" s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IL23" i="1" s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73" i="1" l="1"/>
  <c r="IL37" i="1"/>
  <c r="IL55" i="1"/>
  <c r="IL46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IX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IY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AK60" i="1"/>
  <c r="T60" i="1"/>
  <c r="U60" i="1"/>
  <c r="U59" i="1"/>
  <c r="T59" i="1"/>
  <c r="AL59" i="1"/>
  <c r="AN59" i="1" s="1"/>
  <c r="AK59" i="1"/>
  <c r="AK57" i="1"/>
  <c r="AO57" i="1" s="1"/>
  <c r="AL58" i="1"/>
  <c r="AN58" i="1" s="1"/>
  <c r="IT71" i="1" s="1"/>
  <c r="U58" i="1"/>
  <c r="T58" i="1"/>
  <c r="AK58" i="1"/>
  <c r="T57" i="1"/>
  <c r="AL57" i="1"/>
  <c r="U55" i="1"/>
  <c r="AL56" i="1"/>
  <c r="AN56" i="1" s="1"/>
  <c r="IY56" i="1" s="1"/>
  <c r="T56" i="1"/>
  <c r="U56" i="1"/>
  <c r="AK56" i="1"/>
  <c r="T55" i="1"/>
  <c r="AL55" i="1"/>
  <c r="AN55" i="1" s="1"/>
  <c r="IY55" i="1" s="1"/>
  <c r="AL54" i="1"/>
  <c r="AN54" i="1" s="1"/>
  <c r="IT56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IT55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F55" i="1" l="1"/>
  <c r="IS77" i="1"/>
  <c r="IX71" i="1"/>
  <c r="IY59" i="1"/>
  <c r="IT72" i="1"/>
  <c r="IT78" i="1"/>
  <c r="IY72" i="1"/>
  <c r="IY60" i="1"/>
  <c r="IT73" i="1"/>
  <c r="IY35" i="1"/>
  <c r="IT37" i="1"/>
  <c r="IT77" i="1"/>
  <c r="IY71" i="1"/>
  <c r="IF71" i="1" s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IS5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IX73" i="1" s="1"/>
  <c r="IF73" i="1" s="1"/>
  <c r="AP74" i="1"/>
  <c r="AO74" i="1"/>
  <c r="IX74" i="1" s="1"/>
  <c r="IF74" i="1" s="1"/>
  <c r="AP71" i="1"/>
  <c r="AO72" i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AP59" i="1"/>
  <c r="AO60" i="1"/>
  <c r="AP60" i="1"/>
  <c r="AN57" i="1"/>
  <c r="IT60" i="1" s="1"/>
  <c r="AP57" i="1"/>
  <c r="AO58" i="1"/>
  <c r="IS71" i="1" s="1"/>
  <c r="AP58" i="1"/>
  <c r="AP56" i="1"/>
  <c r="AO56" i="1"/>
  <c r="IX56" i="1" s="1"/>
  <c r="IF56" i="1" s="1"/>
  <c r="AP55" i="1"/>
  <c r="AO53" i="1"/>
  <c r="AP53" i="1"/>
  <c r="AP54" i="1"/>
  <c r="AO54" i="1"/>
  <c r="IS56" i="1" s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IT29" i="1" s="1"/>
  <c r="AP47" i="1"/>
  <c r="AO48" i="1"/>
  <c r="IS52" i="1" s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AP38" i="1"/>
  <c r="AP35" i="1"/>
  <c r="AO35" i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IS55" i="1" s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F72" i="1" l="1"/>
  <c r="IX35" i="1"/>
  <c r="IF35" i="1" s="1"/>
  <c r="IS37" i="1"/>
  <c r="IS46" i="1"/>
  <c r="IX60" i="1"/>
  <c r="IF60" i="1" s="1"/>
  <c r="IS73" i="1"/>
  <c r="IS78" i="1"/>
  <c r="IX72" i="1"/>
  <c r="IX59" i="1"/>
  <c r="IF59" i="1" s="1"/>
  <c r="IS72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<sst xmlns="http://schemas.openxmlformats.org/spreadsheetml/2006/main" count="734" uniqueCount="391">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</sst>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F38" sqref="F38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2" t="s">
        <v>77</v>
      </c>
      <c r="D1" s="912"/>
      <c r="E1" s="912"/>
      <c r="F1" s="912"/>
      <c r="G1" s="912"/>
      <c r="H1" s="912"/>
      <c r="I1" s="912"/>
      <c r="J1" s="912"/>
      <c r="K1" s="912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9" t="s">
        <v>80</v>
      </c>
      <c r="B6" s="899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8" t="s">
        <v>379</v>
      </c>
      <c r="AQ7" s="898"/>
      <c r="AR7" s="898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4">
        <v>9</v>
      </c>
      <c r="D9" s="874"/>
      <c r="E9" s="874"/>
      <c r="F9" s="874"/>
      <c r="G9" s="874"/>
      <c r="H9" s="874"/>
      <c r="I9" s="874"/>
      <c r="J9" s="874"/>
      <c r="K9" s="905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3"/>
      <c r="C10" s="894"/>
      <c r="D10" s="894"/>
      <c r="E10" s="894"/>
      <c r="F10" s="894"/>
      <c r="G10" s="894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0"/>
      <c r="B11" s="900" t="s">
        <v>33</v>
      </c>
      <c r="C11" s="909" t="s">
        <v>34</v>
      </c>
      <c r="D11" s="909"/>
      <c r="E11" s="906" t="s">
        <v>39</v>
      </c>
      <c r="F11" s="900" t="s">
        <v>35</v>
      </c>
      <c r="G11" s="900" t="s">
        <v>36</v>
      </c>
      <c r="H11" s="900" t="s">
        <v>43</v>
      </c>
      <c r="I11" s="907" t="s">
        <v>67</v>
      </c>
      <c r="J11" s="909" t="s">
        <v>56</v>
      </c>
      <c r="K11" s="909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3" t="s">
        <v>347</v>
      </c>
      <c r="AN11" s="874"/>
      <c r="AO11" s="874"/>
      <c r="AP11" s="874"/>
      <c r="AQ11" s="874"/>
      <c r="AR11" s="875"/>
      <c r="AS11" s="884" t="s">
        <v>354</v>
      </c>
      <c r="AT11" s="885"/>
      <c r="AU11" s="885"/>
      <c r="AV11" s="886"/>
      <c r="BC11" s="470"/>
    </row>
    <row r="12" spans="1:55" ht="15.75" thickBot="1" x14ac:dyDescent="0.3">
      <c r="A12" s="911"/>
      <c r="B12" s="901"/>
      <c r="C12" s="48" t="s">
        <v>8</v>
      </c>
      <c r="D12" s="49" t="s">
        <v>10</v>
      </c>
      <c r="E12" s="901"/>
      <c r="F12" s="901"/>
      <c r="G12" s="901"/>
      <c r="H12" s="901"/>
      <c r="I12" s="908"/>
      <c r="J12" s="53" t="s">
        <v>8</v>
      </c>
      <c r="K12" s="54" t="s">
        <v>10</v>
      </c>
      <c r="M12" s="31"/>
      <c r="N12" s="31"/>
      <c r="O12" s="921" t="s">
        <v>46</v>
      </c>
      <c r="P12" s="922"/>
      <c r="Q12" s="902" t="s">
        <v>45</v>
      </c>
      <c r="R12" s="903"/>
      <c r="S12" s="903"/>
      <c r="T12" s="903"/>
      <c r="U12" s="903"/>
      <c r="V12" s="903"/>
      <c r="W12" s="903"/>
      <c r="X12" s="903"/>
      <c r="Y12" s="903"/>
      <c r="Z12" s="903"/>
      <c r="AA12" s="903"/>
      <c r="AB12" s="903"/>
      <c r="AC12" s="903"/>
      <c r="AD12" s="903"/>
      <c r="AE12" s="904"/>
      <c r="AF12" s="915" t="s">
        <v>56</v>
      </c>
      <c r="AG12" s="916"/>
      <c r="AH12" s="31"/>
      <c r="AK12" s="879" t="s">
        <v>355</v>
      </c>
      <c r="AL12" s="895"/>
      <c r="AM12" s="876" t="s">
        <v>352</v>
      </c>
      <c r="AN12" s="877"/>
      <c r="AO12" s="878"/>
      <c r="AP12" s="879" t="s">
        <v>380</v>
      </c>
      <c r="AQ12" s="878"/>
      <c r="AR12" s="802" t="s">
        <v>378</v>
      </c>
      <c r="AS12" s="881" t="s">
        <v>352</v>
      </c>
      <c r="AT12" s="878"/>
      <c r="AU12" s="882" t="s">
        <v>353</v>
      </c>
      <c r="AV12" s="883"/>
      <c r="AW12" s="887" t="s">
        <v>351</v>
      </c>
      <c r="AX12" s="888"/>
      <c r="AZ12" s="879" t="s">
        <v>60</v>
      </c>
      <c r="BA12" s="878"/>
      <c r="BC12" s="880" t="s">
        <v>383</v>
      </c>
    </row>
    <row r="13" spans="1:55" ht="15.75" thickBot="1" x14ac:dyDescent="0.3">
      <c r="A13" s="64" t="s">
        <v>57</v>
      </c>
      <c r="B13" s="889" t="s">
        <v>97</v>
      </c>
      <c r="C13" s="891" t="str">
        <f>SUBSTITUTE(ADDRESS(1,COLUMN(Assy.Model!X9),4),"1","")</f>
        <v>X</v>
      </c>
      <c r="D13" s="101" t="str">
        <f>SUBSTITUTE(ADDRESS(1,COLUMN(Assy.Model!Y9),4),"1","")</f>
        <v>Y</v>
      </c>
      <c r="E13" s="896" t="str">
        <f>SUBSTITUTE(ADDRESS(1,COLUMN(Assy.Model!H9),4),"1","")</f>
        <v>H</v>
      </c>
      <c r="F13" s="896" t="str">
        <f>SUBSTITUTE(ADDRESS(1,COLUMN(Assy.Model!AN9),4),"1","")</f>
        <v>AN</v>
      </c>
      <c r="G13" s="896" t="str">
        <f>SUBSTITUTE(ADDRESS(1,COLUMN(Assy.Model!AO9),4),"1","")</f>
        <v>AO</v>
      </c>
      <c r="H13" s="896" t="str">
        <f>SUBSTITUTE(ADDRESS(1,COLUMN(Assy.Model!AO9),4),"1","")</f>
        <v>AO</v>
      </c>
      <c r="I13" s="896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3"/>
      <c r="P13" s="924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0"/>
    </row>
    <row r="14" spans="1:55" x14ac:dyDescent="0.25">
      <c r="A14" s="62" t="s">
        <v>58</v>
      </c>
      <c r="B14" s="890"/>
      <c r="C14" s="892"/>
      <c r="D14" s="102" t="str">
        <f>SUBSTITUTE(ADDRESS(1,COLUMN(Assy.Model!AT9),4),"1","")</f>
        <v>AT</v>
      </c>
      <c r="E14" s="897"/>
      <c r="F14" s="897"/>
      <c r="G14" s="897"/>
      <c r="H14" s="897"/>
      <c r="I14" s="897"/>
      <c r="J14" s="91">
        <v>0</v>
      </c>
      <c r="K14" s="92">
        <v>0</v>
      </c>
      <c r="L14" s="31"/>
      <c r="M14" s="190">
        <v>6.25E-2</v>
      </c>
      <c r="N14" s="31">
        <v>32</v>
      </c>
      <c r="O14" s="919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19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19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19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19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8.5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19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0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4" t="s">
        <v>64</v>
      </c>
      <c r="C21" s="874"/>
      <c r="D21" s="874"/>
      <c r="E21" s="874"/>
      <c r="F21" s="905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0"/>
      <c r="C22" s="904" t="s">
        <v>63</v>
      </c>
      <c r="D22" s="905"/>
      <c r="E22" s="907" t="s">
        <v>60</v>
      </c>
      <c r="F22" s="907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5"/>
      <c r="C23" s="57" t="s">
        <v>8</v>
      </c>
      <c r="D23" s="57" t="s">
        <v>9</v>
      </c>
      <c r="E23" s="908"/>
      <c r="F23" s="908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7">
        <v>0</v>
      </c>
      <c r="E24" s="917">
        <v>2</v>
      </c>
      <c r="F24" s="917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4.25</v>
      </c>
      <c r="D25" s="918"/>
      <c r="E25" s="918"/>
      <c r="F25" s="918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3" t="s">
        <v>311</v>
      </c>
      <c r="C27" s="913"/>
      <c r="D27" s="913"/>
      <c r="E27" s="913"/>
      <c r="F27" s="913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4" t="s">
        <v>390</v>
      </c>
      <c r="C28" s="914"/>
      <c r="D28" s="914"/>
      <c r="E28" s="914"/>
      <c r="F28" s="914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4" t="s">
        <v>95</v>
      </c>
      <c r="D3" s="874"/>
      <c r="E3" s="874"/>
      <c r="F3" s="874"/>
      <c r="G3" s="874"/>
      <c r="H3" s="874"/>
      <c r="I3" s="874"/>
      <c r="J3" s="874"/>
      <c r="K3" s="875"/>
      <c r="L3" s="931"/>
      <c r="M3" s="874"/>
      <c r="N3" s="874"/>
      <c r="O3" s="874"/>
      <c r="P3" s="874"/>
      <c r="Q3" s="874"/>
      <c r="R3" s="905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3" t="s">
        <v>86</v>
      </c>
      <c r="C4" s="970" t="s">
        <v>82</v>
      </c>
      <c r="D4" s="874" t="s">
        <v>83</v>
      </c>
      <c r="E4" s="874"/>
      <c r="F4" s="874"/>
      <c r="G4" s="874"/>
      <c r="H4" s="874"/>
      <c r="I4" s="874"/>
      <c r="J4" s="874"/>
      <c r="K4" s="874"/>
      <c r="L4" s="150" t="s">
        <v>91</v>
      </c>
      <c r="M4" s="904" t="s">
        <v>94</v>
      </c>
      <c r="N4" s="874"/>
      <c r="O4" s="874"/>
      <c r="P4" s="875"/>
      <c r="Q4" s="874" t="s">
        <v>52</v>
      </c>
      <c r="R4" s="905"/>
      <c r="S4" s="107"/>
      <c r="T4" s="904">
        <v>350</v>
      </c>
      <c r="U4" s="874"/>
      <c r="V4" s="874" t="s">
        <v>76</v>
      </c>
      <c r="W4" s="874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4"/>
      <c r="C5" s="971"/>
      <c r="D5" s="959" t="s">
        <v>85</v>
      </c>
      <c r="E5" s="973" t="s">
        <v>89</v>
      </c>
      <c r="F5" s="909" t="s">
        <v>34</v>
      </c>
      <c r="G5" s="909"/>
      <c r="H5" s="906" t="s">
        <v>39</v>
      </c>
      <c r="I5" s="900" t="s">
        <v>35</v>
      </c>
      <c r="J5" s="900" t="s">
        <v>36</v>
      </c>
      <c r="K5" s="943" t="s">
        <v>67</v>
      </c>
      <c r="L5" s="151" t="s">
        <v>92</v>
      </c>
      <c r="M5" s="907" t="s">
        <v>90</v>
      </c>
      <c r="N5" s="907" t="s">
        <v>47</v>
      </c>
      <c r="O5" s="926" t="s">
        <v>84</v>
      </c>
      <c r="P5" s="927"/>
      <c r="Q5" s="928" t="s">
        <v>84</v>
      </c>
      <c r="R5" s="929"/>
      <c r="S5" s="107"/>
      <c r="T5" s="921" t="s">
        <v>46</v>
      </c>
      <c r="U5" s="932"/>
      <c r="V5" s="888" t="s">
        <v>45</v>
      </c>
      <c r="W5" s="916"/>
      <c r="X5" s="916"/>
      <c r="Y5" s="916"/>
      <c r="Z5" s="916"/>
      <c r="AA5" s="916"/>
      <c r="AB5" s="916"/>
      <c r="AC5" s="916"/>
      <c r="AD5" s="916"/>
      <c r="AE5" s="916"/>
      <c r="AF5" s="916"/>
      <c r="AG5" s="916"/>
      <c r="AH5" s="916"/>
      <c r="AI5" s="916"/>
      <c r="AJ5" s="916"/>
      <c r="AK5" s="31"/>
      <c r="AL5" s="31"/>
    </row>
    <row r="6" spans="2:38" ht="15" customHeight="1" thickBot="1" x14ac:dyDescent="0.3">
      <c r="B6" s="955"/>
      <c r="C6" s="972"/>
      <c r="D6" s="960"/>
      <c r="E6" s="974"/>
      <c r="F6" s="108" t="s">
        <v>8</v>
      </c>
      <c r="G6" s="109" t="s">
        <v>10</v>
      </c>
      <c r="H6" s="944"/>
      <c r="I6" s="944"/>
      <c r="J6" s="944"/>
      <c r="K6" s="933"/>
      <c r="L6" s="152" t="s">
        <v>93</v>
      </c>
      <c r="M6" s="930"/>
      <c r="N6" s="930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3"/>
      <c r="U6" s="93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1">
        <f>ROW(Assy.Model!B9)</f>
        <v>9</v>
      </c>
      <c r="D7" s="950" t="str">
        <f>SUBSTITUTE(ADDRESS(1,COLUMN(Assy.Model!B9),4),"1","")</f>
        <v>B</v>
      </c>
      <c r="E7" s="964" t="str">
        <f>SUBSTITUTE(ADDRESS(1,COLUMN(Assy.Model!M9),4),"1","")</f>
        <v>M</v>
      </c>
      <c r="F7" s="967" t="str">
        <f>SUBSTITUTE(ADDRESS(1,COLUMN(Assy.Model!X9),4),"1","")</f>
        <v>X</v>
      </c>
      <c r="G7" s="956" t="str">
        <f>SUBSTITUTE(ADDRESS(1,COLUMN(Assy.Model!AT9),4),"1","")</f>
        <v>AT</v>
      </c>
      <c r="H7" s="935" t="str">
        <f>SUBSTITUTE(ADDRESS(1,COLUMN(Assy.Model!H9),4),"1","")</f>
        <v>H</v>
      </c>
      <c r="I7" s="935" t="str">
        <f>SUBSTITUTE(ADDRESS(1,COLUMN(Assy.Model!AN9),4),"1","")</f>
        <v>AN</v>
      </c>
      <c r="J7" s="935" t="str">
        <f>SUBSTITUTE(ADDRESS(1,COLUMN(Assy.Model!AO9),4),"1","")</f>
        <v>AO</v>
      </c>
      <c r="K7" s="938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7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5" t="s">
        <v>81</v>
      </c>
      <c r="C8" s="962"/>
      <c r="D8" s="951"/>
      <c r="E8" s="965"/>
      <c r="F8" s="968"/>
      <c r="G8" s="957"/>
      <c r="H8" s="936"/>
      <c r="I8" s="936"/>
      <c r="J8" s="936"/>
      <c r="K8" s="939"/>
      <c r="L8" s="153" t="s">
        <v>93</v>
      </c>
      <c r="M8" s="941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8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5"/>
      <c r="C9" s="962"/>
      <c r="D9" s="951"/>
      <c r="E9" s="965"/>
      <c r="F9" s="968"/>
      <c r="G9" s="957"/>
      <c r="H9" s="936"/>
      <c r="I9" s="936"/>
      <c r="J9" s="936"/>
      <c r="K9" s="939"/>
      <c r="L9" s="153" t="s">
        <v>92</v>
      </c>
      <c r="M9" s="941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8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5"/>
      <c r="C10" s="962"/>
      <c r="D10" s="951"/>
      <c r="E10" s="965"/>
      <c r="F10" s="968"/>
      <c r="G10" s="957"/>
      <c r="H10" s="936"/>
      <c r="I10" s="936"/>
      <c r="J10" s="936"/>
      <c r="K10" s="939"/>
      <c r="L10" s="153" t="s">
        <v>92</v>
      </c>
      <c r="M10" s="941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8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5"/>
      <c r="C11" s="962"/>
      <c r="D11" s="951"/>
      <c r="E11" s="965"/>
      <c r="F11" s="968"/>
      <c r="G11" s="957"/>
      <c r="H11" s="936"/>
      <c r="I11" s="936"/>
      <c r="J11" s="936"/>
      <c r="K11" s="939"/>
      <c r="L11" s="153" t="s">
        <v>92</v>
      </c>
      <c r="M11" s="941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8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5"/>
      <c r="C12" s="962"/>
      <c r="D12" s="951"/>
      <c r="E12" s="965"/>
      <c r="F12" s="968"/>
      <c r="G12" s="957"/>
      <c r="H12" s="936"/>
      <c r="I12" s="936"/>
      <c r="J12" s="936"/>
      <c r="K12" s="939"/>
      <c r="L12" s="153" t="s">
        <v>92</v>
      </c>
      <c r="M12" s="941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8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5"/>
      <c r="C13" s="962"/>
      <c r="D13" s="951"/>
      <c r="E13" s="965"/>
      <c r="F13" s="968"/>
      <c r="G13" s="957"/>
      <c r="H13" s="936"/>
      <c r="I13" s="936"/>
      <c r="J13" s="936"/>
      <c r="K13" s="939"/>
      <c r="L13" s="153" t="s">
        <v>92</v>
      </c>
      <c r="M13" s="941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8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6"/>
      <c r="C14" s="963"/>
      <c r="D14" s="952"/>
      <c r="E14" s="966"/>
      <c r="F14" s="969"/>
      <c r="G14" s="958"/>
      <c r="H14" s="937"/>
      <c r="I14" s="937"/>
      <c r="J14" s="937"/>
      <c r="K14" s="940"/>
      <c r="L14" s="154" t="s">
        <v>93</v>
      </c>
      <c r="M14" s="942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49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>
      <selection activeCell="M1" sqref="M1"/>
    </sheetView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8" t="str">
        <f>CONCATENATE(Settings!$C$19," ",Settings!$B$28)</f>
        <v>8.5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39" t="s">
        <v>315</v>
      </c>
      <c r="C2" s="1240"/>
      <c r="D2" s="1240"/>
      <c r="E2" s="1240"/>
      <c r="F2" s="1240"/>
      <c r="G2" s="1240"/>
      <c r="H2" s="1240"/>
      <c r="I2" s="1240"/>
      <c r="J2" s="1240"/>
      <c r="K2" s="1241"/>
      <c r="L2" s="983" t="str" cm="1">
        <f t="array" ref="L2">IF(OR($K$9:$K$150="Undefined"),"Undefined Element","")</f>
        <v/>
      </c>
      <c r="M2" s="1247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199" t="s">
        <v>0</v>
      </c>
      <c r="AW2" s="1141" t="s">
        <v>109</v>
      </c>
      <c r="AX2" s="1142"/>
      <c r="AY2" s="1142"/>
      <c r="AZ2" s="1142"/>
      <c r="BA2" s="1142"/>
      <c r="BB2" s="1142"/>
      <c r="BC2" s="1142"/>
      <c r="BD2" s="1142"/>
      <c r="BE2" s="1143"/>
      <c r="BF2" s="1153" t="s">
        <v>115</v>
      </c>
      <c r="BG2" s="1142"/>
      <c r="BH2" s="1142"/>
      <c r="BI2" s="1142"/>
      <c r="BJ2" s="1142"/>
      <c r="BK2" s="1142"/>
      <c r="BL2" s="1142"/>
      <c r="BM2" s="1142"/>
      <c r="BN2" s="1142"/>
      <c r="BO2" s="1142"/>
      <c r="BP2" s="1142"/>
      <c r="BQ2" s="1142"/>
      <c r="BR2" s="1142"/>
      <c r="BS2" s="1142"/>
      <c r="BT2" s="1142"/>
      <c r="BU2" s="1142"/>
      <c r="BV2" s="1142"/>
      <c r="BW2" s="1142"/>
      <c r="BX2" s="1142"/>
      <c r="BY2" s="1142"/>
      <c r="BZ2" s="1142"/>
      <c r="CA2" s="1142"/>
      <c r="CB2" s="1142"/>
      <c r="CC2" s="1142"/>
      <c r="CD2" s="1142"/>
      <c r="CE2" s="1142"/>
      <c r="CF2" s="1142"/>
      <c r="CG2" s="1142"/>
      <c r="CH2" s="1142"/>
      <c r="CI2" s="1142"/>
      <c r="CJ2" s="1142"/>
      <c r="CK2" s="1142"/>
      <c r="CL2" s="1142"/>
      <c r="CM2" s="1142"/>
      <c r="CN2" s="1142"/>
      <c r="CO2" s="1142"/>
      <c r="CP2" s="1142"/>
      <c r="CQ2" s="1142"/>
      <c r="CR2" s="1142"/>
      <c r="CS2" s="1142"/>
      <c r="CT2" s="1142"/>
      <c r="CU2" s="1142"/>
      <c r="CV2" s="1142"/>
      <c r="CW2" s="1142"/>
      <c r="CX2" s="1142"/>
      <c r="CY2" s="1142"/>
      <c r="CZ2" s="1142"/>
      <c r="DA2" s="1142"/>
      <c r="DB2" s="1142"/>
      <c r="DC2" s="1142"/>
      <c r="DD2" s="1142"/>
      <c r="DE2" s="1142"/>
      <c r="DF2" s="1142"/>
      <c r="DG2" s="1142"/>
      <c r="DH2" s="1142"/>
      <c r="DI2" s="1142"/>
      <c r="DJ2" s="1142"/>
      <c r="DK2" s="1142"/>
      <c r="DL2" s="1142"/>
      <c r="DM2" s="1142"/>
      <c r="DN2" s="1142"/>
      <c r="DO2" s="1142"/>
      <c r="DP2" s="1142"/>
      <c r="DQ2" s="1142"/>
      <c r="DR2" s="1142"/>
      <c r="DS2" s="1142"/>
      <c r="DT2" s="1142"/>
      <c r="DU2" s="1142"/>
      <c r="DV2" s="1142"/>
      <c r="DW2" s="1142"/>
      <c r="DX2" s="1142"/>
      <c r="DY2" s="1142"/>
      <c r="DZ2" s="1142"/>
      <c r="EA2" s="1142"/>
      <c r="EB2" s="1142"/>
      <c r="EC2" s="1142"/>
      <c r="ED2" s="1142"/>
      <c r="EE2" s="1142"/>
      <c r="EF2" s="1142"/>
      <c r="EG2" s="1142"/>
      <c r="EH2" s="1142"/>
      <c r="EI2" s="1142"/>
      <c r="EJ2" s="1142"/>
      <c r="EK2" s="1142"/>
      <c r="EL2" s="1142"/>
      <c r="EM2" s="1142"/>
      <c r="EN2" s="1142"/>
      <c r="EO2" s="1142"/>
      <c r="EP2" s="1142"/>
      <c r="EQ2" s="1142"/>
      <c r="ER2" s="1154"/>
      <c r="ES2" s="1044" t="s">
        <v>197</v>
      </c>
      <c r="ET2" s="1045"/>
      <c r="EU2" s="1045"/>
      <c r="EV2" s="1045"/>
      <c r="EW2" s="1045"/>
      <c r="EX2" s="1045"/>
      <c r="EY2" s="1045"/>
      <c r="EZ2" s="1045"/>
      <c r="FA2" s="1045"/>
      <c r="FB2" s="1045"/>
      <c r="FC2" s="1045"/>
      <c r="FD2" s="1045"/>
      <c r="FE2" s="1045"/>
      <c r="FF2" s="1046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1" t="s">
        <v>266</v>
      </c>
      <c r="HQ2" s="1066" t="str">
        <f>IFERROR(CONCATENATE("Sum of Lateral Forces = ",ROUND(HE3,0)," lbs @ ",ROUND(HF3,1),"° Relative to Blade 1"),"")</f>
        <v/>
      </c>
      <c r="HR2" s="1067"/>
      <c r="HS2" s="1067"/>
      <c r="HT2" s="1067"/>
      <c r="HU2" s="1067"/>
      <c r="HV2" s="1068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2"/>
      <c r="C3" s="1197"/>
      <c r="D3" s="1197"/>
      <c r="E3" s="1197"/>
      <c r="F3" s="1197"/>
      <c r="G3" s="1197"/>
      <c r="H3" s="1197"/>
      <c r="I3" s="1197"/>
      <c r="J3" s="1197"/>
      <c r="K3" s="1243"/>
      <c r="L3" s="983"/>
      <c r="M3" s="1242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144"/>
      <c r="AA3" s="1145"/>
      <c r="AB3" s="1145"/>
      <c r="AC3" s="1145"/>
      <c r="AD3" s="1145"/>
      <c r="AE3" s="1145"/>
      <c r="AF3" s="1145"/>
      <c r="AG3" s="1145"/>
      <c r="AH3" s="1145"/>
      <c r="AI3" s="1145"/>
      <c r="AJ3" s="1145"/>
      <c r="AK3" s="1145"/>
      <c r="AL3" s="1145"/>
      <c r="AM3" s="1145"/>
      <c r="AN3" s="1145"/>
      <c r="AO3" s="1145"/>
      <c r="AP3" s="1145"/>
      <c r="AQ3" s="1146"/>
      <c r="AS3" s="466">
        <v>100</v>
      </c>
      <c r="AT3" s="463" t="s">
        <v>45</v>
      </c>
      <c r="AV3" s="1200"/>
      <c r="AW3" s="1047"/>
      <c r="AX3" s="1048"/>
      <c r="AY3" s="1048"/>
      <c r="AZ3" s="1048"/>
      <c r="BA3" s="1048"/>
      <c r="BB3" s="1048"/>
      <c r="BC3" s="1048"/>
      <c r="BD3" s="1048"/>
      <c r="BE3" s="1162"/>
      <c r="BF3" s="1155"/>
      <c r="BG3" s="1048"/>
      <c r="BH3" s="1048"/>
      <c r="BI3" s="1048"/>
      <c r="BJ3" s="1048"/>
      <c r="BK3" s="1048"/>
      <c r="BL3" s="1048"/>
      <c r="BM3" s="1048"/>
      <c r="BN3" s="1048"/>
      <c r="BO3" s="1048"/>
      <c r="BP3" s="1048"/>
      <c r="BQ3" s="1048"/>
      <c r="BR3" s="1048"/>
      <c r="BS3" s="1048"/>
      <c r="BT3" s="1048"/>
      <c r="BU3" s="1048"/>
      <c r="BV3" s="1048"/>
      <c r="BW3" s="1048"/>
      <c r="BX3" s="1048"/>
      <c r="BY3" s="1048"/>
      <c r="BZ3" s="1048"/>
      <c r="CA3" s="1048"/>
      <c r="CB3" s="1048"/>
      <c r="CC3" s="1048"/>
      <c r="CD3" s="1048"/>
      <c r="CE3" s="1048"/>
      <c r="CF3" s="1048"/>
      <c r="CG3" s="1048"/>
      <c r="CH3" s="1048"/>
      <c r="CI3" s="1048"/>
      <c r="CJ3" s="1048"/>
      <c r="CK3" s="1048"/>
      <c r="CL3" s="1048"/>
      <c r="CM3" s="1048"/>
      <c r="CN3" s="1048"/>
      <c r="CO3" s="1048"/>
      <c r="CP3" s="1048"/>
      <c r="CQ3" s="1048"/>
      <c r="CR3" s="1048"/>
      <c r="CS3" s="1048"/>
      <c r="CT3" s="1048"/>
      <c r="CU3" s="1048"/>
      <c r="CV3" s="1048"/>
      <c r="CW3" s="1048"/>
      <c r="CX3" s="1048"/>
      <c r="CY3" s="1048"/>
      <c r="CZ3" s="1048"/>
      <c r="DA3" s="1048"/>
      <c r="DB3" s="1048"/>
      <c r="DC3" s="1048"/>
      <c r="DD3" s="1048"/>
      <c r="DE3" s="1048"/>
      <c r="DF3" s="1048"/>
      <c r="DG3" s="1048"/>
      <c r="DH3" s="1048"/>
      <c r="DI3" s="1048"/>
      <c r="DJ3" s="1048"/>
      <c r="DK3" s="1048"/>
      <c r="DL3" s="1048"/>
      <c r="DM3" s="1048"/>
      <c r="DN3" s="1048"/>
      <c r="DO3" s="1048"/>
      <c r="DP3" s="1048"/>
      <c r="DQ3" s="1048"/>
      <c r="DR3" s="1048"/>
      <c r="DS3" s="1048"/>
      <c r="DT3" s="1048"/>
      <c r="DU3" s="1048"/>
      <c r="DV3" s="1048"/>
      <c r="DW3" s="1048"/>
      <c r="DX3" s="1048"/>
      <c r="DY3" s="1048"/>
      <c r="DZ3" s="1048"/>
      <c r="EA3" s="1048"/>
      <c r="EB3" s="1048"/>
      <c r="EC3" s="1048"/>
      <c r="ED3" s="1048"/>
      <c r="EE3" s="1048"/>
      <c r="EF3" s="1048"/>
      <c r="EG3" s="1048"/>
      <c r="EH3" s="1048"/>
      <c r="EI3" s="1048"/>
      <c r="EJ3" s="1048"/>
      <c r="EK3" s="1048"/>
      <c r="EL3" s="1048"/>
      <c r="EM3" s="1048"/>
      <c r="EN3" s="1048"/>
      <c r="EO3" s="1048"/>
      <c r="EP3" s="1048"/>
      <c r="EQ3" s="1048"/>
      <c r="ER3" s="1049"/>
      <c r="ES3" s="1047"/>
      <c r="ET3" s="1048"/>
      <c r="EU3" s="1048"/>
      <c r="EV3" s="1048"/>
      <c r="EW3" s="1048"/>
      <c r="EX3" s="1048"/>
      <c r="EY3" s="1048"/>
      <c r="EZ3" s="1048"/>
      <c r="FA3" s="1048"/>
      <c r="FB3" s="1048"/>
      <c r="FC3" s="1048"/>
      <c r="FD3" s="1048"/>
      <c r="FE3" s="1048"/>
      <c r="FF3" s="1049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2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4"/>
      <c r="C4" s="1245"/>
      <c r="D4" s="1245"/>
      <c r="E4" s="1245"/>
      <c r="F4" s="1245"/>
      <c r="G4" s="1245"/>
      <c r="H4" s="1245"/>
      <c r="I4" s="1245"/>
      <c r="J4" s="1245"/>
      <c r="K4" s="1246"/>
      <c r="L4" s="983"/>
      <c r="M4" s="1242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$Q$4</f>
        <v>Polar XY; Cartesian Z</v>
      </c>
      <c r="X4" s="1166"/>
      <c r="Y4" s="1232"/>
      <c r="Z4" s="1185" t="s">
        <v>3</v>
      </c>
      <c r="AA4" s="1183"/>
      <c r="AB4" s="1183"/>
      <c r="AC4" s="1183"/>
      <c r="AD4" s="1183"/>
      <c r="AE4" s="1183"/>
      <c r="AF4" s="1183"/>
      <c r="AG4" s="1195" t="s">
        <v>31</v>
      </c>
      <c r="AH4" s="1183"/>
      <c r="AI4" s="1183"/>
      <c r="AJ4" s="1184"/>
      <c r="AK4" s="1147" t="s">
        <v>32</v>
      </c>
      <c r="AL4" s="1148"/>
      <c r="AM4" s="1148"/>
      <c r="AN4" s="1148"/>
      <c r="AO4" s="1148"/>
      <c r="AP4" s="1148"/>
      <c r="AQ4" s="1149"/>
      <c r="AS4" s="467">
        <v>125</v>
      </c>
      <c r="AT4" s="464" t="s">
        <v>46</v>
      </c>
      <c r="AV4" s="1200"/>
      <c r="AW4" s="1095" t="s">
        <v>112</v>
      </c>
      <c r="AX4" s="999"/>
      <c r="AY4" s="922"/>
      <c r="AZ4" s="1160"/>
      <c r="BA4" s="1161"/>
      <c r="BB4" s="1163" t="s">
        <v>113</v>
      </c>
      <c r="BC4" s="1166" t="str">
        <f>$Q$4</f>
        <v>Polar XY; Cartesian Z</v>
      </c>
      <c r="BD4" s="1166"/>
      <c r="BE4" s="1167"/>
      <c r="BF4" s="1118" t="s">
        <v>129</v>
      </c>
      <c r="BG4" s="1119"/>
      <c r="BH4" s="1119"/>
      <c r="BI4" s="1119"/>
      <c r="BJ4" s="1119"/>
      <c r="BK4" s="1119"/>
      <c r="BL4" s="1119"/>
      <c r="BM4" s="1119"/>
      <c r="BN4" s="1119"/>
      <c r="BO4" s="1119"/>
      <c r="BP4" s="1119"/>
      <c r="BQ4" s="1119"/>
      <c r="BR4" s="1119"/>
      <c r="BS4" s="1119"/>
      <c r="BT4" s="1119"/>
      <c r="BU4" s="1119"/>
      <c r="BV4" s="1119"/>
      <c r="BW4" s="1119"/>
      <c r="BX4" s="1119"/>
      <c r="BY4" s="1119"/>
      <c r="BZ4" s="1119"/>
      <c r="CA4" s="1119"/>
      <c r="CB4" s="1119"/>
      <c r="CC4" s="1119"/>
      <c r="CD4" s="1119"/>
      <c r="CE4" s="1119"/>
      <c r="CF4" s="1119"/>
      <c r="CG4" s="1119"/>
      <c r="CH4" s="1119"/>
      <c r="CI4" s="1119"/>
      <c r="CJ4" s="1119"/>
      <c r="CK4" s="1119"/>
      <c r="CL4" s="1119"/>
      <c r="CM4" s="1119"/>
      <c r="CN4" s="1120"/>
      <c r="CO4" s="1156" t="s">
        <v>193</v>
      </c>
      <c r="CP4" s="1157"/>
      <c r="CQ4" s="1157"/>
      <c r="CR4" s="1157"/>
      <c r="CS4" s="1157"/>
      <c r="CT4" s="1157"/>
      <c r="CU4" s="1157"/>
      <c r="CV4" s="1157"/>
      <c r="CW4" s="1157"/>
      <c r="CX4" s="1157"/>
      <c r="CY4" s="1157"/>
      <c r="CZ4" s="1157"/>
      <c r="DA4" s="1158"/>
      <c r="DB4" s="1041" t="s">
        <v>162</v>
      </c>
      <c r="DC4" s="1042"/>
      <c r="DD4" s="1042"/>
      <c r="DE4" s="1042"/>
      <c r="DF4" s="1042"/>
      <c r="DG4" s="1042"/>
      <c r="DH4" s="1042"/>
      <c r="DI4" s="1042"/>
      <c r="DJ4" s="1042"/>
      <c r="DK4" s="1042"/>
      <c r="DL4" s="1042"/>
      <c r="DM4" s="1042"/>
      <c r="DN4" s="1042"/>
      <c r="DO4" s="1042"/>
      <c r="DP4" s="1042"/>
      <c r="DQ4" s="1042"/>
      <c r="DR4" s="1042"/>
      <c r="DS4" s="1042"/>
      <c r="DT4" s="1042"/>
      <c r="DU4" s="1042"/>
      <c r="DV4" s="1042"/>
      <c r="DW4" s="1042"/>
      <c r="DX4" s="1042"/>
      <c r="DY4" s="1042"/>
      <c r="DZ4" s="1042"/>
      <c r="EA4" s="1042"/>
      <c r="EB4" s="1042"/>
      <c r="EC4" s="1042"/>
      <c r="ED4" s="1042"/>
      <c r="EE4" s="1042"/>
      <c r="EF4" s="1042"/>
      <c r="EG4" s="1042"/>
      <c r="EH4" s="1042"/>
      <c r="EI4" s="1042"/>
      <c r="EJ4" s="1042"/>
      <c r="EK4" s="1042"/>
      <c r="EL4" s="1042"/>
      <c r="EM4" s="1042"/>
      <c r="EN4" s="1042"/>
      <c r="EO4" s="1042"/>
      <c r="EP4" s="1042"/>
      <c r="EQ4" s="1042"/>
      <c r="ER4" s="1043"/>
      <c r="ES4" s="1089" t="s">
        <v>196</v>
      </c>
      <c r="ET4" s="1090"/>
      <c r="EU4" s="1090"/>
      <c r="EV4" s="1090"/>
      <c r="EW4" s="1090"/>
      <c r="EX4" s="1090"/>
      <c r="EY4" s="1091"/>
      <c r="EZ4" s="1099" t="s">
        <v>201</v>
      </c>
      <c r="FA4" s="1100"/>
      <c r="FB4" s="1100"/>
      <c r="FC4" s="1100"/>
      <c r="FD4" s="1100"/>
      <c r="FE4" s="1100"/>
      <c r="FF4" s="1101"/>
      <c r="FG4" s="343"/>
      <c r="FP4" s="1031" t="s">
        <v>229</v>
      </c>
      <c r="FZ4" s="103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2" t="s">
        <v>236</v>
      </c>
      <c r="GK4" s="903"/>
      <c r="GL4" s="903"/>
      <c r="GM4" s="903"/>
      <c r="GN4" s="989"/>
      <c r="GO4" s="991" t="s">
        <v>229</v>
      </c>
      <c r="GP4" s="995" t="s">
        <v>228</v>
      </c>
      <c r="GR4" s="1001" t="s">
        <v>261</v>
      </c>
      <c r="GS4" s="931" t="s">
        <v>259</v>
      </c>
      <c r="GT4" s="874"/>
      <c r="GU4" s="874"/>
      <c r="GV4" s="874"/>
      <c r="GW4" s="874"/>
      <c r="GX4" s="874"/>
      <c r="GY4" s="874"/>
      <c r="GZ4" s="874"/>
      <c r="HA4" s="1072" t="str">
        <f>IFERROR(CONCATENATE("Lateral Forces = ",ROUND(HE3,0)," lbs @ ",ROUND(HF3,1),"° Relative to Blade 1"),"")</f>
        <v/>
      </c>
      <c r="HB4" s="1073"/>
      <c r="HC4" s="1073"/>
      <c r="HD4" s="1073"/>
      <c r="HE4" s="1073"/>
      <c r="HF4" s="1073"/>
      <c r="HG4" s="1073"/>
      <c r="HH4" s="1074"/>
      <c r="HI4" s="1080" t="s">
        <v>0</v>
      </c>
      <c r="HO4" s="1033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9" t="s">
        <v>381</v>
      </c>
      <c r="IF4" s="899"/>
      <c r="IG4" s="767" cm="1">
        <f t="array" ref="IG4">MAX(MOD(IF($IG$9:$IG$150="",0,($IG$9:$IG$150*1000)),100))</f>
        <v>46</v>
      </c>
      <c r="IL4" s="31"/>
      <c r="IM4" s="767"/>
    </row>
    <row r="5" spans="1:283" ht="15" customHeight="1" x14ac:dyDescent="0.25">
      <c r="B5" s="1233" t="str">
        <f>CONCATENATE(B7," ; ",E7," ; ",H7)</f>
        <v>Absolute-Point ; Incremental-Vector Point ; Pocket Info.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42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about Z Axis")</f>
        <v>Relative to 1.111's θ about Z Axis</v>
      </c>
      <c r="U5" s="1136"/>
      <c r="V5" s="1137"/>
      <c r="W5" s="1136" t="str">
        <f>CONCATENATE("Relative to ",M8,"'s θ about Z Axis")</f>
        <v>Relative to 1.111's θ about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00"/>
      <c r="AW5" s="1176"/>
      <c r="AX5" s="1177"/>
      <c r="AY5" s="1178"/>
      <c r="AZ5" s="1007"/>
      <c r="BA5" s="912"/>
      <c r="BB5" s="1164"/>
      <c r="BC5" s="1172" t="str">
        <f>$W$5</f>
        <v>Relative to 1.111's θ about Z Axis</v>
      </c>
      <c r="BD5" s="1136"/>
      <c r="BE5" s="1173"/>
      <c r="BF5" s="931" t="s">
        <v>128</v>
      </c>
      <c r="BG5" s="874"/>
      <c r="BH5" s="874"/>
      <c r="BI5" s="874"/>
      <c r="BJ5" s="874"/>
      <c r="BK5" s="874"/>
      <c r="BL5" s="874"/>
      <c r="BM5" s="874"/>
      <c r="BN5" s="874"/>
      <c r="BO5" s="874"/>
      <c r="BP5" s="874"/>
      <c r="BQ5" s="874"/>
      <c r="BR5" s="875"/>
      <c r="BS5" s="931" t="s">
        <v>130</v>
      </c>
      <c r="BT5" s="874"/>
      <c r="BU5" s="874"/>
      <c r="BV5" s="874"/>
      <c r="BW5" s="874"/>
      <c r="BX5" s="874"/>
      <c r="BY5" s="874"/>
      <c r="BZ5" s="874"/>
      <c r="CA5" s="874"/>
      <c r="CB5" s="874"/>
      <c r="CC5" s="874"/>
      <c r="CD5" s="874"/>
      <c r="CE5" s="875"/>
      <c r="CF5" s="931" t="s">
        <v>138</v>
      </c>
      <c r="CG5" s="874"/>
      <c r="CH5" s="875"/>
      <c r="CI5" s="931" t="s">
        <v>139</v>
      </c>
      <c r="CJ5" s="874"/>
      <c r="CK5" s="874"/>
      <c r="CL5" s="874"/>
      <c r="CM5" s="874"/>
      <c r="CN5" s="875"/>
      <c r="CO5" s="1013" t="s">
        <v>275</v>
      </c>
      <c r="CP5" s="1013" t="s">
        <v>149</v>
      </c>
      <c r="CQ5" s="999"/>
      <c r="CR5" s="999"/>
      <c r="CS5" s="932"/>
      <c r="CT5" s="999" t="s">
        <v>150</v>
      </c>
      <c r="CU5" s="922"/>
      <c r="CV5" s="931" t="s">
        <v>161</v>
      </c>
      <c r="CW5" s="874"/>
      <c r="CX5" s="874"/>
      <c r="CY5" s="874"/>
      <c r="CZ5" s="874"/>
      <c r="DA5" s="875"/>
      <c r="DB5" s="931" t="s">
        <v>163</v>
      </c>
      <c r="DC5" s="874"/>
      <c r="DD5" s="874"/>
      <c r="DE5" s="874"/>
      <c r="DF5" s="874"/>
      <c r="DG5" s="874"/>
      <c r="DH5" s="875"/>
      <c r="DI5" s="1020" t="s">
        <v>173</v>
      </c>
      <c r="DJ5" s="1020"/>
      <c r="DK5" s="1128"/>
      <c r="DL5" s="1019" t="s">
        <v>174</v>
      </c>
      <c r="DM5" s="1020"/>
      <c r="DN5" s="1021"/>
      <c r="DO5" s="1130" t="s">
        <v>175</v>
      </c>
      <c r="DP5" s="1131"/>
      <c r="DQ5" s="1131"/>
      <c r="DR5" s="1012" t="s">
        <v>187</v>
      </c>
      <c r="DS5" s="1012"/>
      <c r="DT5" s="1012"/>
      <c r="DU5" s="1012"/>
      <c r="DV5" s="1012"/>
      <c r="DW5" s="1012"/>
      <c r="DX5" s="1013" t="s">
        <v>190</v>
      </c>
      <c r="DY5" s="953" t="s">
        <v>149</v>
      </c>
      <c r="DZ5" s="1012"/>
      <c r="EA5" s="1012"/>
      <c r="EB5" s="1012"/>
      <c r="EC5" s="1012" t="s">
        <v>150</v>
      </c>
      <c r="ED5" s="1012"/>
      <c r="EE5" s="1001" t="s">
        <v>194</v>
      </c>
      <c r="EF5" s="1001"/>
      <c r="EG5" s="1009"/>
      <c r="EH5" s="1025" t="s">
        <v>195</v>
      </c>
      <c r="EI5" s="1026"/>
      <c r="EJ5" s="1027"/>
      <c r="EK5" s="1012" t="s">
        <v>188</v>
      </c>
      <c r="EL5" s="1013"/>
      <c r="EM5" s="931" t="s">
        <v>189</v>
      </c>
      <c r="EN5" s="874"/>
      <c r="EO5" s="874"/>
      <c r="EP5" s="874"/>
      <c r="EQ5" s="874"/>
      <c r="ER5" s="1121"/>
      <c r="ES5" s="1095" t="s">
        <v>202</v>
      </c>
      <c r="ET5" s="999"/>
      <c r="EU5" s="932"/>
      <c r="EV5" s="1092" t="s">
        <v>222</v>
      </c>
      <c r="EW5" s="1093"/>
      <c r="EX5" s="1093"/>
      <c r="EY5" s="1094"/>
      <c r="EZ5" s="1056" t="s">
        <v>200</v>
      </c>
      <c r="FA5" s="926" t="s">
        <v>202</v>
      </c>
      <c r="FB5" s="1109"/>
      <c r="FC5" s="927"/>
      <c r="FD5" s="1113" t="s">
        <v>222</v>
      </c>
      <c r="FE5" s="1114"/>
      <c r="FF5" s="1115"/>
      <c r="FP5" s="1033"/>
      <c r="FQ5" s="31"/>
      <c r="FR5" s="31"/>
      <c r="FS5" s="31"/>
      <c r="FT5" s="31"/>
      <c r="FZ5" s="1033"/>
      <c r="GJ5" s="987" t="s">
        <v>269</v>
      </c>
      <c r="GK5" s="1035" t="s">
        <v>267</v>
      </c>
      <c r="GL5" s="1037" t="s">
        <v>110</v>
      </c>
      <c r="GM5" s="1037" t="s">
        <v>111</v>
      </c>
      <c r="GN5" s="1038"/>
      <c r="GO5" s="992"/>
      <c r="GP5" s="996"/>
      <c r="GQ5" s="31"/>
      <c r="GR5" s="983"/>
      <c r="GS5" s="1007" t="s">
        <v>248</v>
      </c>
      <c r="GT5" s="1008"/>
      <c r="GU5" s="1003" t="s">
        <v>249</v>
      </c>
      <c r="GV5" s="1004"/>
      <c r="GW5" s="1005"/>
      <c r="GX5" s="1006"/>
      <c r="GY5" s="990" t="s">
        <v>107</v>
      </c>
      <c r="GZ5" s="914"/>
      <c r="HA5" s="1069" t="s">
        <v>248</v>
      </c>
      <c r="HB5" s="1070"/>
      <c r="HC5" s="1070"/>
      <c r="HD5" s="1071"/>
      <c r="HE5" s="1086" t="s">
        <v>249</v>
      </c>
      <c r="HF5" s="1070"/>
      <c r="HG5" s="1070"/>
      <c r="HH5" s="1087"/>
      <c r="HI5" s="1081"/>
      <c r="HN5" s="386" t="s">
        <v>263</v>
      </c>
      <c r="HO5" s="58" t="s">
        <v>264</v>
      </c>
      <c r="HS5" s="1075" t="s">
        <v>274</v>
      </c>
      <c r="HZ5" s="383"/>
    </row>
    <row r="6" spans="1:283" ht="15" customHeight="1" thickBot="1" x14ac:dyDescent="0.4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>Inactive Element</v>
      </c>
      <c r="M6" s="1242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$Q$6</f>
        <v>Projected XY</v>
      </c>
      <c r="X6" s="1169"/>
      <c r="Y6" s="1210" t="str">
        <f>$S$6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138" t="str">
        <f>AD6</f>
        <v>Unit Vector</v>
      </c>
      <c r="AL6" s="1139"/>
      <c r="AM6" s="1140"/>
      <c r="AN6" s="34" t="s">
        <v>15</v>
      </c>
      <c r="AO6" s="35" t="s">
        <v>16</v>
      </c>
      <c r="AP6" s="737" t="s">
        <v>17</v>
      </c>
      <c r="AQ6" s="1202" t="s">
        <v>108</v>
      </c>
      <c r="AS6" s="172">
        <f>(AS5/360)</f>
        <v>6.9444444444444447E-4</v>
      </c>
      <c r="AT6" s="465" t="s">
        <v>48</v>
      </c>
      <c r="AV6" s="1200"/>
      <c r="AW6" s="1193" t="s">
        <v>105</v>
      </c>
      <c r="AX6" s="1194"/>
      <c r="AY6" s="195" t="s">
        <v>110</v>
      </c>
      <c r="AZ6" s="1174" t="s">
        <v>111</v>
      </c>
      <c r="BA6" s="1175"/>
      <c r="BB6" s="1165"/>
      <c r="BC6" s="1168" t="str">
        <f>$Q$6</f>
        <v>Projected XY</v>
      </c>
      <c r="BD6" s="1169"/>
      <c r="BE6" s="1170" t="str">
        <f>$S$6</f>
        <v>Z</v>
      </c>
      <c r="BF6" s="881" t="s">
        <v>125</v>
      </c>
      <c r="BG6" s="877"/>
      <c r="BH6" s="986"/>
      <c r="BI6" s="879" t="s">
        <v>126</v>
      </c>
      <c r="BJ6" s="877"/>
      <c r="BK6" s="878"/>
      <c r="BL6" s="882" t="s">
        <v>127</v>
      </c>
      <c r="BM6" s="877"/>
      <c r="BN6" s="883"/>
      <c r="BO6" s="881" t="s">
        <v>135</v>
      </c>
      <c r="BP6" s="877"/>
      <c r="BQ6" s="877"/>
      <c r="BR6" s="883"/>
      <c r="BS6" s="881" t="s">
        <v>125</v>
      </c>
      <c r="BT6" s="877"/>
      <c r="BU6" s="986"/>
      <c r="BV6" s="879" t="s">
        <v>126</v>
      </c>
      <c r="BW6" s="877"/>
      <c r="BX6" s="878"/>
      <c r="BY6" s="882" t="s">
        <v>127</v>
      </c>
      <c r="BZ6" s="877"/>
      <c r="CA6" s="883"/>
      <c r="CB6" s="881" t="s">
        <v>135</v>
      </c>
      <c r="CC6" s="877"/>
      <c r="CD6" s="877"/>
      <c r="CE6" s="883"/>
      <c r="CF6" s="887" t="s">
        <v>136</v>
      </c>
      <c r="CG6" s="1123"/>
      <c r="CH6" s="1123"/>
      <c r="CI6" s="1125" t="s">
        <v>137</v>
      </c>
      <c r="CJ6" s="1123"/>
      <c r="CK6" s="888"/>
      <c r="CL6" s="1122" t="s">
        <v>140</v>
      </c>
      <c r="CM6" s="1123"/>
      <c r="CN6" s="1124"/>
      <c r="CO6" s="1015"/>
      <c r="CP6" s="1015"/>
      <c r="CQ6" s="1097"/>
      <c r="CR6" s="1097"/>
      <c r="CS6" s="1098"/>
      <c r="CT6" s="1097"/>
      <c r="CU6" s="1159"/>
      <c r="CV6" s="1181" t="s">
        <v>147</v>
      </c>
      <c r="CW6" s="877"/>
      <c r="CX6" s="878"/>
      <c r="CY6" s="1116" t="s">
        <v>148</v>
      </c>
      <c r="CZ6" s="1065"/>
      <c r="DA6" s="1117"/>
      <c r="DB6" s="1126" t="s">
        <v>176</v>
      </c>
      <c r="DC6" s="1062"/>
      <c r="DD6" s="1063"/>
      <c r="DE6" s="1127" t="s">
        <v>177</v>
      </c>
      <c r="DF6" s="1062"/>
      <c r="DG6" s="1063"/>
      <c r="DH6" s="253" t="s">
        <v>29</v>
      </c>
      <c r="DI6" s="1023"/>
      <c r="DJ6" s="1023"/>
      <c r="DK6" s="1129"/>
      <c r="DL6" s="1022"/>
      <c r="DM6" s="1023"/>
      <c r="DN6" s="1024"/>
      <c r="DO6" s="1132"/>
      <c r="DP6" s="1133"/>
      <c r="DQ6" s="1133"/>
      <c r="DR6" s="1014"/>
      <c r="DS6" s="1014"/>
      <c r="DT6" s="1014"/>
      <c r="DU6" s="1014"/>
      <c r="DV6" s="1014"/>
      <c r="DW6" s="1014"/>
      <c r="DX6" s="1015"/>
      <c r="DY6" s="1134"/>
      <c r="DZ6" s="1014"/>
      <c r="EA6" s="1014"/>
      <c r="EB6" s="1014"/>
      <c r="EC6" s="1014"/>
      <c r="ED6" s="1014"/>
      <c r="EE6" s="1010"/>
      <c r="EF6" s="1010"/>
      <c r="EG6" s="1011"/>
      <c r="EH6" s="1028"/>
      <c r="EI6" s="1029"/>
      <c r="EJ6" s="1030"/>
      <c r="EK6" s="1014"/>
      <c r="EL6" s="1015"/>
      <c r="EM6" s="1016" t="s">
        <v>199</v>
      </c>
      <c r="EN6" s="1017"/>
      <c r="EO6" s="1018"/>
      <c r="EP6" s="1102" t="s">
        <v>198</v>
      </c>
      <c r="EQ6" s="1017"/>
      <c r="ER6" s="1104"/>
      <c r="ES6" s="1096"/>
      <c r="ET6" s="1097"/>
      <c r="EU6" s="1098"/>
      <c r="EV6" s="274" t="s">
        <v>221</v>
      </c>
      <c r="EW6" s="1102" t="s">
        <v>202</v>
      </c>
      <c r="EX6" s="1017"/>
      <c r="EY6" s="1103"/>
      <c r="EZ6" s="1057"/>
      <c r="FA6" s="1110"/>
      <c r="FB6" s="1111"/>
      <c r="FC6" s="1112"/>
      <c r="FD6" s="1016" t="s">
        <v>202</v>
      </c>
      <c r="FE6" s="1017"/>
      <c r="FF6" s="1104"/>
      <c r="FG6" s="1106" t="s">
        <v>224</v>
      </c>
      <c r="FH6" s="1107"/>
      <c r="FI6" s="1108"/>
      <c r="FJ6" s="1012" t="s">
        <v>203</v>
      </c>
      <c r="FK6" s="1013" t="s">
        <v>214</v>
      </c>
      <c r="FL6" s="999"/>
      <c r="FM6" s="932"/>
      <c r="FN6" s="1052" t="s">
        <v>204</v>
      </c>
      <c r="FO6" s="1059" t="s">
        <v>227</v>
      </c>
      <c r="FP6" s="1050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3" t="s">
        <v>218</v>
      </c>
      <c r="FV6" s="999"/>
      <c r="FW6" s="932"/>
      <c r="FX6" s="1052" t="s">
        <v>219</v>
      </c>
      <c r="FY6" s="1059" t="s">
        <v>227</v>
      </c>
      <c r="FZ6" s="1050" t="s">
        <v>225</v>
      </c>
      <c r="GA6" s="1054" t="s">
        <v>239</v>
      </c>
      <c r="GB6" s="336" t="s">
        <v>207</v>
      </c>
      <c r="GC6" s="337" t="s">
        <v>240</v>
      </c>
      <c r="GD6" s="338" t="s">
        <v>226</v>
      </c>
      <c r="GE6" s="984"/>
      <c r="GF6" s="1009" t="s">
        <v>260</v>
      </c>
      <c r="GG6" s="336" t="s">
        <v>207</v>
      </c>
      <c r="GH6" s="337" t="s">
        <v>240</v>
      </c>
      <c r="GI6" s="338" t="s">
        <v>226</v>
      </c>
      <c r="GJ6" s="988"/>
      <c r="GK6" s="1036"/>
      <c r="GL6" s="1039"/>
      <c r="GM6" s="1039"/>
      <c r="GN6" s="1040"/>
      <c r="GO6" s="993" t="s">
        <v>238</v>
      </c>
      <c r="GP6" s="997" t="s">
        <v>225</v>
      </c>
      <c r="GQ6" s="999" t="s">
        <v>203</v>
      </c>
      <c r="GR6" s="983"/>
      <c r="GS6" s="1078" t="s">
        <v>252</v>
      </c>
      <c r="GT6" s="1079"/>
      <c r="GU6" s="1064" t="s">
        <v>251</v>
      </c>
      <c r="GV6" s="1065"/>
      <c r="GW6" s="1065"/>
      <c r="GX6" s="361" t="s">
        <v>106</v>
      </c>
      <c r="GY6" s="879" t="s">
        <v>250</v>
      </c>
      <c r="GZ6" s="986"/>
      <c r="HA6" s="1061" t="s">
        <v>252</v>
      </c>
      <c r="HB6" s="1062"/>
      <c r="HC6" s="1062"/>
      <c r="HD6" s="1063"/>
      <c r="HE6" s="879" t="s">
        <v>251</v>
      </c>
      <c r="HF6" s="877"/>
      <c r="HG6" s="877"/>
      <c r="HH6" s="883"/>
      <c r="HI6" s="1081"/>
      <c r="HN6" s="970" t="s">
        <v>238</v>
      </c>
      <c r="HO6" s="973" t="s">
        <v>265</v>
      </c>
      <c r="HP6" s="953" t="s">
        <v>203</v>
      </c>
      <c r="HQ6" s="391"/>
      <c r="HS6" s="1076"/>
      <c r="HT6" s="905" t="s">
        <v>270</v>
      </c>
      <c r="HU6" s="903"/>
      <c r="HV6" s="989"/>
      <c r="HW6" s="931" t="s">
        <v>258</v>
      </c>
      <c r="HX6" s="874"/>
      <c r="HY6" s="875"/>
      <c r="HZ6" s="931" t="s">
        <v>249</v>
      </c>
      <c r="IA6" s="905"/>
      <c r="IE6" s="853"/>
      <c r="IF6" s="853"/>
    </row>
    <row r="7" spans="1:283" ht="15" customHeight="1" thickBot="1" x14ac:dyDescent="0.4">
      <c r="A7" s="143"/>
      <c r="B7" s="1250" t="s">
        <v>40</v>
      </c>
      <c r="C7" s="1251"/>
      <c r="D7" s="1252"/>
      <c r="E7" s="1253" t="s">
        <v>41</v>
      </c>
      <c r="F7" s="1251"/>
      <c r="G7" s="1254"/>
      <c r="H7" s="1229" t="s">
        <v>98</v>
      </c>
      <c r="I7" s="1230"/>
      <c r="J7" s="1231"/>
      <c r="K7" s="173"/>
      <c r="L7" s="983"/>
      <c r="M7" s="124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$Q$7</f>
        <v>&lt; θ°</v>
      </c>
      <c r="X7" s="27" t="str">
        <f>$R$7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3"/>
      <c r="AS7" s="1208" t="s">
        <v>54</v>
      </c>
      <c r="AT7" s="1206" t="s">
        <v>53</v>
      </c>
      <c r="AV7" s="1200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5"/>
      <c r="BC7" s="37" t="str">
        <f>$Q$7</f>
        <v>&lt; θ°</v>
      </c>
      <c r="BD7" s="27" t="str">
        <f>$R$7</f>
        <v>r</v>
      </c>
      <c r="BE7" s="1171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8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5"/>
      <c r="FK7" s="350" t="s">
        <v>211</v>
      </c>
      <c r="FL7" s="351" t="s">
        <v>212</v>
      </c>
      <c r="FM7" s="352" t="s">
        <v>213</v>
      </c>
      <c r="FN7" s="1053"/>
      <c r="FO7" s="1060"/>
      <c r="FP7" s="1051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3"/>
      <c r="FY7" s="1060"/>
      <c r="FZ7" s="1051"/>
      <c r="GA7" s="1055"/>
      <c r="GB7" s="223" t="s">
        <v>232</v>
      </c>
      <c r="GC7" s="131" t="s">
        <v>233</v>
      </c>
      <c r="GD7" s="224" t="s">
        <v>234</v>
      </c>
      <c r="GE7" s="985"/>
      <c r="GF7" s="1034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4"/>
      <c r="GP7" s="998"/>
      <c r="GQ7" s="1000"/>
      <c r="GR7" s="100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2"/>
      <c r="HJ7" s="31"/>
      <c r="HK7" s="1031" t="s">
        <v>246</v>
      </c>
      <c r="HL7" s="1031" t="s">
        <v>237</v>
      </c>
      <c r="HM7" s="921" t="s">
        <v>245</v>
      </c>
      <c r="HN7" s="971"/>
      <c r="HO7" s="1088"/>
      <c r="HP7" s="1083"/>
      <c r="HQ7" s="392"/>
      <c r="HR7" s="412"/>
      <c r="HS7" s="1076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219" t="s">
        <v>364</v>
      </c>
      <c r="JC7" s="1219"/>
      <c r="JD7" s="1219"/>
      <c r="JE7" s="1220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3"/>
      <c r="M8" s="462" cm="1">
        <f t="array" ref="M8">IF(AND(ISNUMBER('SN#.Run#'!$P$1),COUNT($M$9:$M$150)&gt;='SN#.Run#'!$P$1),INDEX($M$9:$M$150,'SN#.Run#'!$P$1),"")</f>
        <v>1.111</v>
      </c>
      <c r="N8" s="608"/>
      <c r="O8" s="609"/>
      <c r="P8" s="619"/>
      <c r="Q8" s="611">
        <f>IFERROR(INDEX(Q$9:Q$150,MATCH($M$8,$M$9:$M$150,0)),"")</f>
        <v>89.250000108286585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-6.2900189706972157E-2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09"/>
      <c r="AT8" s="1207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85"/>
      <c r="HL8" s="1085"/>
      <c r="HM8" s="933"/>
      <c r="HN8" s="972"/>
      <c r="HO8" s="974"/>
      <c r="HP8" s="1084"/>
      <c r="HQ8" s="393" t="s">
        <v>49</v>
      </c>
      <c r="HR8" s="413" t="s">
        <v>51</v>
      </c>
      <c r="HS8" s="1077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0.32420097779014906</v>
      </c>
      <c r="D9" s="704">
        <v>-0.52820159305600467</v>
      </c>
      <c r="E9" s="705">
        <v>-0.93969263802333458</v>
      </c>
      <c r="F9" s="703">
        <v>-8.8521302156295584E-2</v>
      </c>
      <c r="G9" s="706">
        <v>0.33036604714967344</v>
      </c>
      <c r="H9" s="705">
        <v>0.26600000000000001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1313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0.32420097779014906</v>
      </c>
      <c r="P9" s="625">
        <f t="shared" ref="P9:P40" si="4">IF(M9="","",D9)</f>
        <v>-0.52820159305600467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0.32420097779014906</v>
      </c>
      <c r="S9" s="626">
        <f>IF(M9="","",P9)</f>
        <v>-0.52820159305600467</v>
      </c>
      <c r="T9" s="627">
        <f>IF(M9="","",X9*COS(RADIANS(W9)))</f>
        <v>0.32417320271389283</v>
      </c>
      <c r="U9" s="624">
        <f>IF(M9="","",X9*SIN(RADIANS(W9)))</f>
        <v>4.2436590704339142E-3</v>
      </c>
      <c r="V9" s="628">
        <f>IF(M9="","",Y9)</f>
        <v>-0.52820159305600467</v>
      </c>
      <c r="W9" s="583">
        <f t="shared" ref="W9:W14" si="5">IF(M9="","",IF(Q9-$Q$8&lt;0,360+Q9-$Q$8,Q9-$Q$8))</f>
        <v>0.74999989171341497</v>
      </c>
      <c r="X9" s="629">
        <f>IF(M9="","",R9)</f>
        <v>0.32420097779014906</v>
      </c>
      <c r="Y9" s="630">
        <f>IF(M9="","",S9)</f>
        <v>-0.52820159305600467</v>
      </c>
      <c r="Z9" s="623">
        <f t="shared" ref="Z9:Z40" si="6">IF(M9="","",-E9)</f>
        <v>0.93969263802333458</v>
      </c>
      <c r="AA9" s="624">
        <f t="shared" ref="AA9:AA40" si="7">IF(M9="","",-F9)</f>
        <v>8.8521302156295584E-2</v>
      </c>
      <c r="AB9" s="624">
        <f t="shared" ref="AB9:AB40" si="8">IF(M9="","",-G9)</f>
        <v>-0.33036604714967344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8.8521302156295584E-2</v>
      </c>
      <c r="AF9" s="625">
        <f>IF(M9="","",AB9*(1/SQRT(Z9^2+AA9^2+AB9^2)))</f>
        <v>-0.33036604714967344</v>
      </c>
      <c r="AG9" s="599">
        <f>IF(M9="","",DEGREES(ATAN2(-AF9,AE9)))</f>
        <v>14.999997834268264</v>
      </c>
      <c r="AH9" s="600">
        <f>IF(M9="","",DEGREES(ACOS(AD9)))</f>
        <v>19.999997112357679</v>
      </c>
      <c r="AI9" s="583">
        <f>IF(M9="","",DEGREES(-ACOS(-AF9)))</f>
        <v>-70.709005437865216</v>
      </c>
      <c r="AJ9" s="601">
        <f>IF(M9="","",DEGREES(ATAN2(-AE9,AD9)))</f>
        <v>95.38151876223948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8.8521302156295584E-2</v>
      </c>
      <c r="AM9" s="626">
        <f>IF(M9="","",AF9)</f>
        <v>-0.33036604714967344</v>
      </c>
      <c r="AN9" s="581">
        <f>IF(M9="","",DEGREES(ATAN2(-AM9,AL9)))</f>
        <v>14.999997834268264</v>
      </c>
      <c r="AO9" s="582">
        <f>IF(ROUND(IF(M9="",0,DEGREES(ACOS(AK9))),4)=90,0,IF(M9="","",DEGREES(ACOS(AK9))))</f>
        <v>19.999997112357679</v>
      </c>
      <c r="AP9" s="781">
        <f>IF(M9="","",DEGREES(ATAN2(AK9,AL9)))</f>
        <v>5.3815187622394793</v>
      </c>
      <c r="AQ9" s="584">
        <f t="shared" ref="AQ9:AQ40" si="9">IF(M9="","",DEGREES(ATAN(($AS$5*SIN(RADIANS(90)))/(($X9*2*PI())-($AS$5*COS(RADIANS(90)))))))</f>
        <v>6.9968419113407103</v>
      </c>
      <c r="AS9" s="51">
        <f>IF(M9="","",W9)</f>
        <v>0.74999989171341497</v>
      </c>
      <c r="AT9" s="71">
        <f t="shared" ref="AT9:AT40" si="10">IF(M9="","",Y9+(((AS9-$AS$9)*$AS$6)*-1))</f>
        <v>-0.52820159305600467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1313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1313</v>
      </c>
      <c r="JB9" s="786" cm="1">
        <f t="array" ref="JB9">IF($JA9="","",COUNT(IF(IF($II$9:$II$150="",$IJ$9:$IJ$150,"")=$JA9,$IG$9:$IG$150,"")))</f>
        <v>45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0.95880289174952149</v>
      </c>
      <c r="D10" s="709">
        <v>-0.35810108003285734</v>
      </c>
      <c r="E10" s="710">
        <v>-0.93969263802333458</v>
      </c>
      <c r="F10" s="708">
        <v>-8.8521302156295584E-2</v>
      </c>
      <c r="G10" s="711">
        <v>0.33036604714967344</v>
      </c>
      <c r="H10" s="710">
        <v>0.26600000000000001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1313</v>
      </c>
      <c r="M10" s="168">
        <f t="shared" si="1"/>
        <v>1.1040000000000001</v>
      </c>
      <c r="N10" s="632">
        <f t="shared" si="2"/>
        <v>0</v>
      </c>
      <c r="O10" s="629">
        <f t="shared" si="3"/>
        <v>0.95880289174952149</v>
      </c>
      <c r="P10" s="633">
        <f t="shared" si="4"/>
        <v>-0.35810108003285734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0.95880289174952149</v>
      </c>
      <c r="S10" s="634">
        <f t="shared" ref="S10:S105" si="80">IF(M10="","",P10)</f>
        <v>-0.35810108003285734</v>
      </c>
      <c r="T10" s="635">
        <f t="shared" ref="T10:T105" si="81">IF(M10="","",X10*COS(RADIANS(W10)))</f>
        <v>0.95872074880345581</v>
      </c>
      <c r="U10" s="629">
        <f t="shared" ref="U10:U105" si="82">IF(M10="","",X10*SIN(RADIANS(W10)))</f>
        <v>1.2550340273695363E-2</v>
      </c>
      <c r="V10" s="636">
        <f>IF(M10="","",Y10)</f>
        <v>-0.35810108003285734</v>
      </c>
      <c r="W10" s="585">
        <f t="shared" si="5"/>
        <v>0.74999989171341497</v>
      </c>
      <c r="X10" s="629">
        <f t="shared" ref="X10:X105" si="83">IF(M10="","",R10)</f>
        <v>0.95880289174952149</v>
      </c>
      <c r="Y10" s="630">
        <f>IF(M10="","",S10)</f>
        <v>-0.35810108003285734</v>
      </c>
      <c r="Z10" s="632">
        <f t="shared" si="6"/>
        <v>0.93969263802333458</v>
      </c>
      <c r="AA10" s="629">
        <f t="shared" si="7"/>
        <v>8.8521302156295584E-2</v>
      </c>
      <c r="AB10" s="629">
        <f t="shared" si="8"/>
        <v>-0.33036604714967344</v>
      </c>
      <c r="AC10" s="636">
        <f t="shared" ref="AC10:AC105" si="84">IF(M10="","",SQRT(Z10^2+AA10^2+AB10^2))</f>
        <v>1</v>
      </c>
      <c r="AD10" s="637">
        <f>IF(M10="","",Z10*(1/SQRT(Z10^2+AA10^2+AB10^2)))</f>
        <v>0.93969263802333458</v>
      </c>
      <c r="AE10" s="629">
        <f t="shared" ref="AE10:AE105" si="85">IF(M10="","",AA10*(1/SQRT(Z10^2+AA10^2+AB10^2)))</f>
        <v>8.8521302156295584E-2</v>
      </c>
      <c r="AF10" s="633">
        <f t="shared" ref="AF10:AF105" si="86">IF(M10="","",AB10*(1/SQRT(Z10^2+AA10^2+AB10^2)))</f>
        <v>-0.33036604714967344</v>
      </c>
      <c r="AG10" s="602">
        <f t="shared" ref="AG10:AG105" si="87">IF(M10="","",DEGREES(ATAN2(-AF10,AE10)))</f>
        <v>14.999997834268264</v>
      </c>
      <c r="AH10" s="603">
        <f t="shared" ref="AH10:AH105" si="88">IF(M10="","",DEGREES(ACOS(AD10)))</f>
        <v>19.999997112357679</v>
      </c>
      <c r="AI10" s="585">
        <f t="shared" ref="AI10:AI105" si="89">IF(M10="","",DEGREES(-ACOS(-AF10)))</f>
        <v>-70.709005437865216</v>
      </c>
      <c r="AJ10" s="586">
        <f t="shared" ref="AJ10:AJ105" si="90">IF(M10="","",DEGREES(ATAN2(-AE10,AD10)))</f>
        <v>95.38151876223948</v>
      </c>
      <c r="AK10" s="635">
        <f>IF(M10="","",(COS(RADIANS((90-$Q$8)-W10))*AD10)+(-SIN(RADIANS((90-$Q$8)-W10))*AE10))</f>
        <v>0.93969263802333458</v>
      </c>
      <c r="AL10" s="629">
        <f t="shared" ref="AL10:AL105" si="91">IF(M10="","",(SIN(RADIANS((90-$Q$8)-W10))*AD10)+(COS(RADIANS((90-$Q$8)-W10))*AE10))</f>
        <v>8.8521302156295584E-2</v>
      </c>
      <c r="AM10" s="634">
        <f t="shared" ref="AM10:AM105" si="92">IF(M10="","",AF10)</f>
        <v>-0.33036604714967344</v>
      </c>
      <c r="AN10" s="581">
        <f t="shared" ref="AN10:AN105" si="93">IF(M10="","",DEGREES(ATAN2(-AM10,AL10)))</f>
        <v>14.999997834268264</v>
      </c>
      <c r="AO10" s="582">
        <f t="shared" ref="AO10:AO54" si="94">IF(ROUND(IF(M10="",0,DEGREES(ACOS(AK10))),4)=90,0,IF(M10="","",DEGREES(ACOS(AK10))))</f>
        <v>19.999997112357679</v>
      </c>
      <c r="AP10" s="585">
        <f t="shared" ref="AP10:AP105" si="95">IF(M10="","",DEGREES(ATAN2(AK10,AL10)))</f>
        <v>5.3815187622394793</v>
      </c>
      <c r="AQ10" s="586">
        <f t="shared" si="9"/>
        <v>2.3763167103799385</v>
      </c>
      <c r="AS10" s="52">
        <f>IF($M10="","",IF(AND($W10&lt;($AS$9+180),$W10&gt;($AS$9-180)),$W10,IF($W10&gt;($AS$9+180),$W10-360,IF($W10&lt;($AS$9-180),$W10+360,"Error"))))</f>
        <v>0.74999989171341497</v>
      </c>
      <c r="AT10" s="72">
        <f t="shared" si="10"/>
        <v>-0.35810108003285734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1313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5.5620311193334553E-4</v>
      </c>
      <c r="C11" s="708">
        <v>1.5934047086331509</v>
      </c>
      <c r="D11" s="709">
        <v>-0.18810056731131103</v>
      </c>
      <c r="E11" s="710">
        <v>-0.93968171894842434</v>
      </c>
      <c r="F11" s="708">
        <v>-7.9423307394987139E-2</v>
      </c>
      <c r="G11" s="711">
        <v>0.33270137558563834</v>
      </c>
      <c r="H11" s="710">
        <v>0.26600000000000001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1313</v>
      </c>
      <c r="L11" s="779" t="s">
        <v>332</v>
      </c>
      <c r="M11" s="168">
        <f t="shared" si="1"/>
        <v>1.107</v>
      </c>
      <c r="N11" s="632">
        <f t="shared" si="2"/>
        <v>5.5620311193334553E-4</v>
      </c>
      <c r="O11" s="629">
        <f t="shared" si="3"/>
        <v>1.5934047086331509</v>
      </c>
      <c r="P11" s="633">
        <f t="shared" si="4"/>
        <v>-0.18810056731131103</v>
      </c>
      <c r="Q11" s="585">
        <f t="shared" ref="Q11:Q73" si="113">IF(M11="","",IF(DEGREES(ATAN2(N11,O11))&lt;0,DEGREES(ATAN2(N11,O11))+360,IF(DEGREES(ATAN2(N11,O11))&gt;360,DEGREES(ATAN2(N11,O11))-360,DEGREES(ATAN2(N11,O11)))))</f>
        <v>89.980000002887635</v>
      </c>
      <c r="R11" s="629">
        <f t="shared" si="79"/>
        <v>1.5934048057088939</v>
      </c>
      <c r="S11" s="634">
        <f t="shared" si="80"/>
        <v>-0.18810056731131103</v>
      </c>
      <c r="T11" s="635">
        <f t="shared" si="81"/>
        <v>1.593275478298332</v>
      </c>
      <c r="U11" s="629">
        <f t="shared" si="82"/>
        <v>2.0300864745597426E-2</v>
      </c>
      <c r="V11" s="636">
        <f t="shared" ref="V11:V105" si="114">IF(M11="","",Y11)</f>
        <v>-0.18810056731131103</v>
      </c>
      <c r="W11" s="585">
        <f t="shared" si="5"/>
        <v>0.72999989460105041</v>
      </c>
      <c r="X11" s="629">
        <f>IF(M11="","",R11)</f>
        <v>1.5934048057088939</v>
      </c>
      <c r="Y11" s="630">
        <f>IF(M11="","",S11)</f>
        <v>-0.18810056731131103</v>
      </c>
      <c r="Z11" s="632">
        <f t="shared" si="6"/>
        <v>0.93968171894842434</v>
      </c>
      <c r="AA11" s="629">
        <f t="shared" si="7"/>
        <v>7.9423307394987139E-2</v>
      </c>
      <c r="AB11" s="629">
        <f t="shared" si="8"/>
        <v>-0.33270137558563834</v>
      </c>
      <c r="AC11" s="636">
        <f t="shared" si="84"/>
        <v>1</v>
      </c>
      <c r="AD11" s="637">
        <f t="shared" ref="AD11:AD105" si="115">IF(M11="","",Z11*(1/SQRT(Z11^2+AA11^2+AB11^2)))</f>
        <v>0.93968171894842434</v>
      </c>
      <c r="AE11" s="629">
        <f t="shared" si="85"/>
        <v>7.9423307394987139E-2</v>
      </c>
      <c r="AF11" s="633">
        <f t="shared" si="86"/>
        <v>-0.33270137558563834</v>
      </c>
      <c r="AG11" s="602">
        <f>IF(M11="","",DEGREES(ATAN2(-AF11,AE11)))</f>
        <v>13.426504852028117</v>
      </c>
      <c r="AH11" s="603">
        <f t="shared" si="88"/>
        <v>20.001826213866003</v>
      </c>
      <c r="AI11" s="585">
        <f t="shared" si="89"/>
        <v>-70.567179745099807</v>
      </c>
      <c r="AJ11" s="586">
        <f t="shared" si="90"/>
        <v>94.831242390019526</v>
      </c>
      <c r="AK11" s="635">
        <f>IF(M11="","",(COS(RADIANS((90-$Q$8)-W11))*AD11)+(-SIN(RADIANS((90-$Q$8)-W11))*AE11))</f>
        <v>0.93965393773998585</v>
      </c>
      <c r="AL11" s="629">
        <f t="shared" si="91"/>
        <v>7.9751313300553031E-2</v>
      </c>
      <c r="AM11" s="634">
        <f t="shared" si="92"/>
        <v>-0.33270137558563834</v>
      </c>
      <c r="AN11" s="581">
        <f>IF(M11="","",DEGREES(ATAN2(-AM11,AL11)))</f>
        <v>13.479934540968994</v>
      </c>
      <c r="AO11" s="582">
        <f>IF(ROUND(IF(M11="",0,DEGREES(ACOS(AK11))),4)=90,0,IF(M11="","",DEGREES(ACOS(AK11))))</f>
        <v>20.006479241243721</v>
      </c>
      <c r="AP11" s="585">
        <f t="shared" si="95"/>
        <v>4.8512423871318999</v>
      </c>
      <c r="AQ11" s="586">
        <f t="shared" si="9"/>
        <v>1.4304293317973209</v>
      </c>
      <c r="AS11" s="52">
        <f t="shared" ref="AS11:AS42" si="116">IF(G11="","",IF(AND(W11&lt;(AS10+180),W11&gt;(AS10-180)),W11,IF(W11&gt;(AS10+180),W11-360,IF(W11&lt;(AS10-180),W11+360,"Error"))))</f>
        <v>0.72999989460105041</v>
      </c>
      <c r="AT11" s="72">
        <f t="shared" si="10"/>
        <v>-0.18808667842442744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1313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2.9720012089513217E-2</v>
      </c>
      <c r="C12" s="708">
        <v>2.2703123280749344</v>
      </c>
      <c r="D12" s="709">
        <v>-6.2900189706972157E-2</v>
      </c>
      <c r="E12" s="710">
        <v>-0.93684738050312322</v>
      </c>
      <c r="F12" s="708">
        <v>7.6279269386362994E-2</v>
      </c>
      <c r="G12" s="711">
        <v>0.34131870547381227</v>
      </c>
      <c r="H12" s="710">
        <v>0.26600000000000001</v>
      </c>
      <c r="I12" s="708">
        <v>0.52</v>
      </c>
      <c r="J12" s="570">
        <v>1.111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1313</v>
      </c>
      <c r="L12" s="773" t="s">
        <v>366</v>
      </c>
      <c r="M12" s="168">
        <f t="shared" si="1"/>
        <v>1.111</v>
      </c>
      <c r="N12" s="632">
        <f t="shared" si="2"/>
        <v>2.9720012089513217E-2</v>
      </c>
      <c r="O12" s="629">
        <f t="shared" si="3"/>
        <v>2.2703123280749344</v>
      </c>
      <c r="P12" s="633">
        <f t="shared" si="4"/>
        <v>-6.2900189706972157E-2</v>
      </c>
      <c r="Q12" s="585">
        <f>IF(M12="","",IF(DEGREES(ATAN2(N12,O12))&lt;0,DEGREES(ATAN2(N12,O12))+360,IF(DEGREES(ATAN2(N12,O12))&gt;360,DEGREES(ATAN2(N12,O12))-360,DEGREES(ATAN2(N12,O12)))))</f>
        <v>89.250000108286585</v>
      </c>
      <c r="R12" s="629">
        <f t="shared" si="79"/>
        <v>2.2705068478486536</v>
      </c>
      <c r="S12" s="634">
        <f t="shared" si="80"/>
        <v>-6.2900189706972157E-2</v>
      </c>
      <c r="T12" s="635">
        <f>IF(M12="","",X12*COS(RADIANS(W12)))</f>
        <v>2.2705068478486536</v>
      </c>
      <c r="U12" s="629">
        <f t="shared" si="82"/>
        <v>0</v>
      </c>
      <c r="V12" s="636">
        <f t="shared" si="114"/>
        <v>-6.2900189706972157E-2</v>
      </c>
      <c r="W12" s="585">
        <f>IF(M12="","",IF(Q12-$Q$8&lt;0,360+Q12-$Q$8,Q12-$Q$8))</f>
        <v>0</v>
      </c>
      <c r="X12" s="629">
        <f t="shared" si="83"/>
        <v>2.2705068478486536</v>
      </c>
      <c r="Y12" s="630">
        <f>IF(M12="","",S12)</f>
        <v>-6.2900189706972157E-2</v>
      </c>
      <c r="Z12" s="632">
        <f t="shared" si="6"/>
        <v>0.93684738050312322</v>
      </c>
      <c r="AA12" s="629">
        <f t="shared" si="7"/>
        <v>-7.6279269386362994E-2</v>
      </c>
      <c r="AB12" s="629">
        <f t="shared" si="8"/>
        <v>-0.34131870547381227</v>
      </c>
      <c r="AC12" s="636">
        <f t="shared" si="84"/>
        <v>1</v>
      </c>
      <c r="AD12" s="637">
        <f t="shared" si="115"/>
        <v>0.93684738050312322</v>
      </c>
      <c r="AE12" s="629">
        <f t="shared" si="85"/>
        <v>-7.6279269386362994E-2</v>
      </c>
      <c r="AF12" s="633">
        <f t="shared" si="86"/>
        <v>-0.34131870547381227</v>
      </c>
      <c r="AG12" s="602">
        <f t="shared" si="87"/>
        <v>-12.597681688102798</v>
      </c>
      <c r="AH12" s="603">
        <f t="shared" si="88"/>
        <v>20.471318582668413</v>
      </c>
      <c r="AI12" s="585">
        <f t="shared" si="89"/>
        <v>-70.042762892193025</v>
      </c>
      <c r="AJ12" s="586">
        <f t="shared" si="90"/>
        <v>85.3451750910112</v>
      </c>
      <c r="AK12" s="635">
        <f t="shared" ref="AK12:AK105" si="211">IF(M12="","",(COS(RADIANS((90-$Q$8)-W12))*AD12)+(-SIN(RADIANS((90-$Q$8)-W12))*AE12))</f>
        <v>0.93776558318101966</v>
      </c>
      <c r="AL12" s="629">
        <f>IF(M12="","",(SIN(RADIANS((90-$Q$8)-W12))*AD12)+(COS(RADIANS((90-$Q$8)-W12))*AE12))</f>
        <v>-6.4009782805779417E-2</v>
      </c>
      <c r="AM12" s="634">
        <f t="shared" si="92"/>
        <v>-0.34131870547381227</v>
      </c>
      <c r="AN12" s="581">
        <f>IF(M12="","",DEGREES(ATAN2(-AM12,AL12)))</f>
        <v>-10.621686462831303</v>
      </c>
      <c r="AO12" s="582">
        <f t="shared" si="94"/>
        <v>20.320361479831696</v>
      </c>
      <c r="AP12" s="585">
        <f t="shared" si="95"/>
        <v>-3.9048250172753787</v>
      </c>
      <c r="AQ12" s="586">
        <f t="shared" si="9"/>
        <v>1.0039579100424907</v>
      </c>
      <c r="AS12" s="52">
        <f t="shared" si="116"/>
        <v>0</v>
      </c>
      <c r="AT12" s="72">
        <f>IF(M12="","",Y12+(((AS12-$AS$9)*$AS$6)*-1))</f>
        <v>-6.2379356448837839E-2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1313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0.1049052336191454</v>
      </c>
      <c r="C13" s="708">
        <v>2.9451411305681434</v>
      </c>
      <c r="D13" s="709">
        <v>-0.19250058058175107</v>
      </c>
      <c r="E13" s="710">
        <v>-0.92613271062765745</v>
      </c>
      <c r="F13" s="708">
        <v>0.23951082161826792</v>
      </c>
      <c r="G13" s="711">
        <v>0.29139795578076733</v>
      </c>
      <c r="H13" s="710">
        <v>0.26600000000000001</v>
      </c>
      <c r="I13" s="708">
        <v>0.52</v>
      </c>
      <c r="J13" s="570">
        <v>1.1180000000000001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1313</v>
      </c>
      <c r="L13" s="774">
        <f>IF($L12=$JH$22,$JH$29,IF($L12=$JI$22,$JI$29,""))</f>
        <v>20</v>
      </c>
      <c r="M13" s="168">
        <f t="shared" si="1"/>
        <v>1.1180000000000001</v>
      </c>
      <c r="N13" s="632">
        <f t="shared" si="2"/>
        <v>0.1049052336191454</v>
      </c>
      <c r="O13" s="629">
        <f t="shared" si="3"/>
        <v>2.9451411305681434</v>
      </c>
      <c r="P13" s="633">
        <f t="shared" si="4"/>
        <v>-0.19250058058175107</v>
      </c>
      <c r="Q13" s="585">
        <f t="shared" si="113"/>
        <v>87.960000294539512</v>
      </c>
      <c r="R13" s="629">
        <f t="shared" si="79"/>
        <v>2.9470088881788072</v>
      </c>
      <c r="S13" s="634">
        <f t="shared" si="80"/>
        <v>-0.19250058058175107</v>
      </c>
      <c r="T13" s="635">
        <f>IF(M13="","",X13*COS(RADIANS(W13)))</f>
        <v>2.9462619801385976</v>
      </c>
      <c r="U13" s="629">
        <f t="shared" si="82"/>
        <v>-6.634554540192461E-2</v>
      </c>
      <c r="V13" s="636">
        <f t="shared" si="114"/>
        <v>-0.19250058058175107</v>
      </c>
      <c r="W13" s="585">
        <f t="shared" si="5"/>
        <v>358.7100001862529</v>
      </c>
      <c r="X13" s="629">
        <f t="shared" si="83"/>
        <v>2.9470088881788072</v>
      </c>
      <c r="Y13" s="630">
        <f>IF(M13="","",S13)</f>
        <v>-0.19250058058175107</v>
      </c>
      <c r="Z13" s="632">
        <f t="shared" si="6"/>
        <v>0.92613271062765745</v>
      </c>
      <c r="AA13" s="629">
        <f t="shared" si="7"/>
        <v>-0.23951082161826792</v>
      </c>
      <c r="AB13" s="629">
        <f t="shared" si="8"/>
        <v>-0.29139795578076733</v>
      </c>
      <c r="AC13" s="636">
        <f t="shared" si="84"/>
        <v>1</v>
      </c>
      <c r="AD13" s="637">
        <f>IF(M13="","",Z13*(1/SQRT(Z13^2+AA13^2+AB13^2)))</f>
        <v>0.92613271062765745</v>
      </c>
      <c r="AE13" s="629">
        <f t="shared" si="85"/>
        <v>-0.23951082161826792</v>
      </c>
      <c r="AF13" s="633">
        <f t="shared" si="86"/>
        <v>-0.29139795578076733</v>
      </c>
      <c r="AG13" s="602">
        <f>IF(M13="","",DEGREES(ATAN2(-AF13,AE13)))</f>
        <v>-39.418057549874533</v>
      </c>
      <c r="AH13" s="603">
        <f t="shared" si="88"/>
        <v>22.160217392507509</v>
      </c>
      <c r="AI13" s="585">
        <f t="shared" si="89"/>
        <v>-73.058331857578267</v>
      </c>
      <c r="AJ13" s="586">
        <f t="shared" si="90"/>
        <v>75.500196159317696</v>
      </c>
      <c r="AK13" s="635">
        <f t="shared" si="211"/>
        <v>0.93407165759563793</v>
      </c>
      <c r="AL13" s="629">
        <f t="shared" si="91"/>
        <v>-0.20639130273179468</v>
      </c>
      <c r="AM13" s="634">
        <f t="shared" si="92"/>
        <v>-0.29139795578076733</v>
      </c>
      <c r="AN13" s="581">
        <f t="shared" si="93"/>
        <v>-35.309173140973058</v>
      </c>
      <c r="AO13" s="582">
        <f t="shared" si="94"/>
        <v>20.921321339173463</v>
      </c>
      <c r="AP13" s="585">
        <f t="shared" si="95"/>
        <v>-12.459804135221784</v>
      </c>
      <c r="AQ13" s="586">
        <f t="shared" si="9"/>
        <v>0.77352604337097497</v>
      </c>
      <c r="AS13" s="52">
        <f t="shared" si="116"/>
        <v>-1.2899998137471016</v>
      </c>
      <c r="AT13" s="72">
        <f t="shared" si="10"/>
        <v>-0.19108391411962572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1.1180000000000001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1313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0.20503848018258977</v>
      </c>
      <c r="C14" s="708">
        <v>3.5133326658818489</v>
      </c>
      <c r="D14" s="709">
        <v>-0.57480173360202858</v>
      </c>
      <c r="E14" s="710">
        <v>-0.90355600707416117</v>
      </c>
      <c r="F14" s="708">
        <v>0.37465388138708111</v>
      </c>
      <c r="G14" s="711">
        <v>0.20789663595593258</v>
      </c>
      <c r="H14" s="710">
        <v>0.26600000000000001</v>
      </c>
      <c r="I14" s="708">
        <v>0.52</v>
      </c>
      <c r="J14" s="570">
        <v>1.125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1313</v>
      </c>
      <c r="L14" s="776" t="s">
        <v>367</v>
      </c>
      <c r="M14" s="168">
        <f t="shared" si="1"/>
        <v>1.125</v>
      </c>
      <c r="N14" s="632">
        <f t="shared" si="2"/>
        <v>0.20503848018258977</v>
      </c>
      <c r="O14" s="629">
        <f t="shared" si="3"/>
        <v>3.5133326658818489</v>
      </c>
      <c r="P14" s="633">
        <f t="shared" si="4"/>
        <v>-0.57480173360202858</v>
      </c>
      <c r="Q14" s="585">
        <f t="shared" si="113"/>
        <v>86.660000482236271</v>
      </c>
      <c r="R14" s="629">
        <f t="shared" si="79"/>
        <v>3.5193106142408128</v>
      </c>
      <c r="S14" s="634">
        <f t="shared" si="80"/>
        <v>-0.57480173360202858</v>
      </c>
      <c r="T14" s="635">
        <f t="shared" si="81"/>
        <v>3.5157155406306306</v>
      </c>
      <c r="U14" s="629">
        <f t="shared" si="82"/>
        <v>-0.15903281697913751</v>
      </c>
      <c r="V14" s="636">
        <f t="shared" si="114"/>
        <v>-0.57480173360202858</v>
      </c>
      <c r="W14" s="585">
        <f t="shared" si="5"/>
        <v>357.41000037394969</v>
      </c>
      <c r="X14" s="629">
        <f t="shared" si="83"/>
        <v>3.5193106142408128</v>
      </c>
      <c r="Y14" s="630">
        <f t="shared" ref="Y14:Y75" si="223">IF(M14="","",S14)</f>
        <v>-0.57480173360202858</v>
      </c>
      <c r="Z14" s="632">
        <f t="shared" si="6"/>
        <v>0.90355600707416117</v>
      </c>
      <c r="AA14" s="629">
        <f t="shared" si="7"/>
        <v>-0.37465388138708111</v>
      </c>
      <c r="AB14" s="629">
        <f t="shared" si="8"/>
        <v>-0.20789663595593258</v>
      </c>
      <c r="AC14" s="636">
        <f t="shared" si="84"/>
        <v>1</v>
      </c>
      <c r="AD14" s="637">
        <f>IF(M14="","",Z14*(1/SQRT(Z14^2+AA14^2+AB14^2)))</f>
        <v>0.90355600707416117</v>
      </c>
      <c r="AE14" s="629">
        <f t="shared" si="85"/>
        <v>-0.37465388138708111</v>
      </c>
      <c r="AF14" s="633">
        <f t="shared" si="86"/>
        <v>-0.20789663595593258</v>
      </c>
      <c r="AG14" s="602">
        <f t="shared" si="87"/>
        <v>-60.97396584964094</v>
      </c>
      <c r="AH14" s="603">
        <f t="shared" si="88"/>
        <v>25.370501710408423</v>
      </c>
      <c r="AI14" s="585">
        <f t="shared" si="89"/>
        <v>-78.000881849152677</v>
      </c>
      <c r="AJ14" s="586">
        <f t="shared" si="90"/>
        <v>67.478963233075049</v>
      </c>
      <c r="AK14" s="635">
        <f>IF(M14="","",(COS(RADIANS((90-$Q$8)-W14))*AD14)+(-SIN(RADIANS((90-$Q$8)-W14))*AE14))</f>
        <v>0.92384891642845524</v>
      </c>
      <c r="AL14" s="629">
        <f t="shared" si="91"/>
        <v>-0.32137543212289221</v>
      </c>
      <c r="AM14" s="634">
        <f t="shared" si="92"/>
        <v>-0.20789663595593258</v>
      </c>
      <c r="AN14" s="581">
        <f t="shared" si="93"/>
        <v>-57.101314035739961</v>
      </c>
      <c r="AO14" s="582">
        <f t="shared" si="94"/>
        <v>22.504583430616663</v>
      </c>
      <c r="AP14" s="585">
        <f>IF(M14="","",DEGREES(ATAN2(AK14,AL14)))</f>
        <v>-19.181037249161253</v>
      </c>
      <c r="AQ14" s="586">
        <f t="shared" si="9"/>
        <v>0.64774887934646763</v>
      </c>
      <c r="AS14" s="52">
        <f t="shared" si="116"/>
        <v>-2.5899996260503144</v>
      </c>
      <c r="AT14" s="72">
        <f t="shared" si="10"/>
        <v>-0.57248228949247038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1.125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1313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0.28881643743658447</v>
      </c>
      <c r="C15" s="708">
        <v>3.8864951461322224</v>
      </c>
      <c r="D15" s="709">
        <v>-1.1483034632832454</v>
      </c>
      <c r="E15" s="710">
        <v>-0.87511244805879318</v>
      </c>
      <c r="F15" s="708">
        <v>0.47284373845452982</v>
      </c>
      <c r="G15" s="711">
        <v>0.10294174205292177</v>
      </c>
      <c r="H15" s="710">
        <v>0.26600000000000001</v>
      </c>
      <c r="I15" s="708">
        <v>0.52</v>
      </c>
      <c r="J15" s="570">
        <v>1.1319999999999999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1313</v>
      </c>
      <c r="L15" s="1313">
        <f>IF($L14=$JH$22,$JH$29,IF($L14=$JI$22,$JI$29,""))</f>
        <v>0</v>
      </c>
      <c r="M15" s="168">
        <f t="shared" si="1"/>
        <v>1.1319999999999999</v>
      </c>
      <c r="N15" s="632">
        <f t="shared" si="2"/>
        <v>0.28881643743658447</v>
      </c>
      <c r="O15" s="629">
        <f t="shared" si="3"/>
        <v>3.8864951461322224</v>
      </c>
      <c r="P15" s="633">
        <f t="shared" si="4"/>
        <v>-1.1483034632832454</v>
      </c>
      <c r="Q15" s="585">
        <f t="shared" si="113"/>
        <v>85.750000613623996</v>
      </c>
      <c r="R15" s="629">
        <f t="shared" si="79"/>
        <v>3.8972117539906508</v>
      </c>
      <c r="S15" s="634">
        <f t="shared" si="80"/>
        <v>-1.1483034632832454</v>
      </c>
      <c r="T15" s="635">
        <f t="shared" si="81"/>
        <v>3.8899426705751878</v>
      </c>
      <c r="U15" s="629">
        <f t="shared" si="82"/>
        <v>-0.23791905153068385</v>
      </c>
      <c r="V15" s="636">
        <f t="shared" si="114"/>
        <v>-1.1483034632832454</v>
      </c>
      <c r="W15" s="585">
        <f t="shared" ref="W15:W78" si="224">IF(M15="","",IF(Q15-$Q$8&lt;0,360+Q15-$Q$8,Q15-$Q$8))</f>
        <v>356.50000050533743</v>
      </c>
      <c r="X15" s="629">
        <f>IF(M15="","",R15)</f>
        <v>3.8972117539906508</v>
      </c>
      <c r="Y15" s="630">
        <f>IF(M15="","",S15)</f>
        <v>-1.1483034632832454</v>
      </c>
      <c r="Z15" s="632">
        <f t="shared" si="6"/>
        <v>0.87511244805879318</v>
      </c>
      <c r="AA15" s="629">
        <f t="shared" si="7"/>
        <v>-0.47284373845452982</v>
      </c>
      <c r="AB15" s="629">
        <f t="shared" si="8"/>
        <v>-0.10294174205292177</v>
      </c>
      <c r="AC15" s="636">
        <f t="shared" si="84"/>
        <v>1</v>
      </c>
      <c r="AD15" s="637">
        <f t="shared" si="115"/>
        <v>0.87511244805879318</v>
      </c>
      <c r="AE15" s="629">
        <f t="shared" si="85"/>
        <v>-0.47284373845452982</v>
      </c>
      <c r="AF15" s="633">
        <f t="shared" si="86"/>
        <v>-0.10294174205292177</v>
      </c>
      <c r="AG15" s="602">
        <f t="shared" si="87"/>
        <v>-77.717915098398663</v>
      </c>
      <c r="AH15" s="603">
        <f t="shared" si="88"/>
        <v>28.941713388369529</v>
      </c>
      <c r="AI15" s="585">
        <f t="shared" si="89"/>
        <v>-84.091405575466467</v>
      </c>
      <c r="AJ15" s="586">
        <f t="shared" si="90"/>
        <v>61.616609261117034</v>
      </c>
      <c r="AK15" s="635">
        <f t="shared" si="211"/>
        <v>0.9077477820091544</v>
      </c>
      <c r="AL15" s="629">
        <f t="shared" si="91"/>
        <v>-0.40669025314183599</v>
      </c>
      <c r="AM15" s="634">
        <f t="shared" si="92"/>
        <v>-0.10294174205292177</v>
      </c>
      <c r="AN15" s="581">
        <f>IF(M15="","",DEGREES(ATAN2(-AM15,AL15)))</f>
        <v>-75.795592660397347</v>
      </c>
      <c r="AO15" s="582">
        <f t="shared" si="94"/>
        <v>24.80405613708373</v>
      </c>
      <c r="AP15" s="585">
        <f t="shared" si="95"/>
        <v>-24.133391352506965</v>
      </c>
      <c r="AQ15" s="586">
        <f t="shared" si="9"/>
        <v>0.58494317782618255</v>
      </c>
      <c r="AS15" s="52">
        <f t="shared" si="116"/>
        <v>-3.4999994946625748</v>
      </c>
      <c r="AT15" s="72">
        <f t="shared" si="10"/>
        <v>-1.1453520748204844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1.1319999999999999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1313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45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0.3198336253699558</v>
      </c>
      <c r="C16" s="708">
        <v>4.0101781111005517</v>
      </c>
      <c r="D16" s="709">
        <v>-1.8212054927557662</v>
      </c>
      <c r="E16" s="710">
        <v>-0.85399168482053323</v>
      </c>
      <c r="F16" s="708">
        <v>0.51988930390168087</v>
      </c>
      <c r="G16" s="711">
        <v>-2.0330124102250675E-2</v>
      </c>
      <c r="H16" s="710">
        <v>0.26600000000000001</v>
      </c>
      <c r="I16" s="708">
        <v>0.52</v>
      </c>
      <c r="J16" s="570">
        <v>1.139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1313</v>
      </c>
      <c r="L16" s="320"/>
      <c r="M16" s="168">
        <f t="shared" si="1"/>
        <v>1.139</v>
      </c>
      <c r="N16" s="632">
        <f t="shared" si="2"/>
        <v>0.3198336253699558</v>
      </c>
      <c r="O16" s="629">
        <f t="shared" si="3"/>
        <v>4.0101781111005517</v>
      </c>
      <c r="P16" s="633">
        <f t="shared" si="4"/>
        <v>-1.8212054927557662</v>
      </c>
      <c r="Q16" s="585">
        <f>IF(M16="","",IF(DEGREES(ATAN2(N16,O16))&lt;0,DEGREES(ATAN2(N16,O16))+360,IF(DEGREES(ATAN2(N16,O16))&gt;360,DEGREES(ATAN2(N16,O16))-360,DEGREES(ATAN2(N16,O16)))))</f>
        <v>85.440000658382459</v>
      </c>
      <c r="R16" s="629">
        <f t="shared" si="79"/>
        <v>4.0229121331029933</v>
      </c>
      <c r="S16" s="634">
        <f t="shared" si="80"/>
        <v>-1.8212054927557662</v>
      </c>
      <c r="T16" s="635">
        <f t="shared" si="81"/>
        <v>4.0140210417141065</v>
      </c>
      <c r="U16" s="629">
        <f t="shared" si="82"/>
        <v>-0.2673146223903195</v>
      </c>
      <c r="V16" s="636">
        <f t="shared" si="114"/>
        <v>-1.8212054927557662</v>
      </c>
      <c r="W16" s="585">
        <f>IF(M16="","",IF(Q16-$Q$8&lt;0,360+Q16-$Q$8,Q16-$Q$8))</f>
        <v>356.19000055009587</v>
      </c>
      <c r="X16" s="629">
        <f t="shared" si="83"/>
        <v>4.0229121331029933</v>
      </c>
      <c r="Y16" s="630">
        <f t="shared" si="223"/>
        <v>-1.8212054927557662</v>
      </c>
      <c r="Z16" s="632">
        <f t="shared" si="6"/>
        <v>0.85399168482053323</v>
      </c>
      <c r="AA16" s="629">
        <f t="shared" si="7"/>
        <v>-0.51988930390168087</v>
      </c>
      <c r="AB16" s="629">
        <f t="shared" si="8"/>
        <v>2.0330124102250675E-2</v>
      </c>
      <c r="AC16" s="636">
        <f t="shared" si="84"/>
        <v>1</v>
      </c>
      <c r="AD16" s="637">
        <f t="shared" si="115"/>
        <v>0.85399168482053323</v>
      </c>
      <c r="AE16" s="629">
        <f t="shared" si="85"/>
        <v>-0.51988930390168087</v>
      </c>
      <c r="AF16" s="633">
        <f t="shared" si="86"/>
        <v>2.0330124102250675E-2</v>
      </c>
      <c r="AG16" s="602">
        <f t="shared" si="87"/>
        <v>-92.239394230328614</v>
      </c>
      <c r="AH16" s="603">
        <f t="shared" si="88"/>
        <v>31.351481639921573</v>
      </c>
      <c r="AI16" s="585">
        <f t="shared" si="89"/>
        <v>-91.164910563065632</v>
      </c>
      <c r="AJ16" s="586">
        <f t="shared" si="90"/>
        <v>58.667964763869776</v>
      </c>
      <c r="AK16" s="635">
        <f t="shared" si="211"/>
        <v>0.89262124639479068</v>
      </c>
      <c r="AL16" s="629">
        <f t="shared" si="91"/>
        <v>-0.45034874990233692</v>
      </c>
      <c r="AM16" s="634">
        <f t="shared" si="92"/>
        <v>2.0330124102250675E-2</v>
      </c>
      <c r="AN16" s="581">
        <f t="shared" si="93"/>
        <v>-92.584752386906544</v>
      </c>
      <c r="AO16" s="582">
        <f t="shared" si="94"/>
        <v>26.795497603425705</v>
      </c>
      <c r="AP16" s="585">
        <f t="shared" si="95"/>
        <v>-26.772035894512694</v>
      </c>
      <c r="AQ16" s="586">
        <f t="shared" si="9"/>
        <v>0.56666718651332071</v>
      </c>
      <c r="AS16" s="52">
        <f t="shared" si="116"/>
        <v>-3.8099994499041259</v>
      </c>
      <c r="AT16" s="72">
        <f t="shared" si="10"/>
        <v>-1.8180388265463094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1.139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1313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0.3309759539551701</v>
      </c>
      <c r="C17" s="708">
        <v>4.0517163822617093</v>
      </c>
      <c r="D17" s="709">
        <v>-2.5395076591550998</v>
      </c>
      <c r="E17" s="710">
        <v>-0.76973397142600597</v>
      </c>
      <c r="F17" s="708">
        <v>0.63836479636077359</v>
      </c>
      <c r="G17" s="711">
        <v>1.3008419227961973E-7</v>
      </c>
      <c r="H17" s="710">
        <v>0.26600000000000001</v>
      </c>
      <c r="I17" s="708">
        <v>0.52</v>
      </c>
      <c r="J17" s="570">
        <v>1.1459999999999999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1313</v>
      </c>
      <c r="M17" s="168">
        <f t="shared" si="1"/>
        <v>1.1459999999999999</v>
      </c>
      <c r="N17" s="632">
        <f t="shared" si="2"/>
        <v>0.3309759539551701</v>
      </c>
      <c r="O17" s="629">
        <f t="shared" si="3"/>
        <v>4.0517163822617093</v>
      </c>
      <c r="P17" s="633">
        <f t="shared" si="4"/>
        <v>-2.5395076591550998</v>
      </c>
      <c r="Q17" s="585">
        <f>IF(M17="","",IF(DEGREES(ATAN2(N17,O17))&lt;0,DEGREES(ATAN2(N17,O17))+360,IF(DEGREES(ATAN2(N17,O17))&gt;360,DEGREES(ATAN2(N17,O17))-360,DEGREES(ATAN2(N17,O17)))))</f>
        <v>85.330000674264483</v>
      </c>
      <c r="R17" s="629">
        <f>IF(M17="","",SQRT(N17^2+O17^2))</f>
        <v>4.0652122606801786</v>
      </c>
      <c r="S17" s="634">
        <f>IF(M17="","",P17)</f>
        <v>-2.5395076591550998</v>
      </c>
      <c r="T17" s="635">
        <f>IF(M17="","",X17*COS(RADIANS(W17)))</f>
        <v>4.0557016027456765</v>
      </c>
      <c r="U17" s="629">
        <f>IF(M17="","",X17*SIN(RADIANS(W17)))</f>
        <v>-0.27791227729375589</v>
      </c>
      <c r="V17" s="636">
        <f>IF(M17="","",Y17)</f>
        <v>-2.5395076591550998</v>
      </c>
      <c r="W17" s="585">
        <f t="shared" si="224"/>
        <v>356.08000056597791</v>
      </c>
      <c r="X17" s="629">
        <f>IF(M17="","",R17)</f>
        <v>4.0652122606801786</v>
      </c>
      <c r="Y17" s="630">
        <f t="shared" si="223"/>
        <v>-2.5395076591550998</v>
      </c>
      <c r="Z17" s="632">
        <f t="shared" si="6"/>
        <v>0.76973397142600597</v>
      </c>
      <c r="AA17" s="629">
        <f t="shared" si="7"/>
        <v>-0.63836479636077359</v>
      </c>
      <c r="AB17" s="629">
        <f t="shared" si="8"/>
        <v>-1.3008419227961973E-7</v>
      </c>
      <c r="AC17" s="636">
        <f>IF(M17="","",SQRT(Z17^2+AA17^2+AB17^2))</f>
        <v>1</v>
      </c>
      <c r="AD17" s="637">
        <f>IF(M17="","",Z17*(1/SQRT(Z17^2+AA17^2+AB17^2)))</f>
        <v>0.76973397142600597</v>
      </c>
      <c r="AE17" s="629">
        <f>IF(M17="","",AA17*(1/SQRT(Z17^2+AA17^2+AB17^2)))</f>
        <v>-0.63836479636077359</v>
      </c>
      <c r="AF17" s="633">
        <f>IF(M17="","",AB17*(1/SQRT(Z17^2+AA17^2+AB17^2)))</f>
        <v>-1.3008419227961973E-7</v>
      </c>
      <c r="AG17" s="602">
        <f>IF(M17="","",DEGREES(ATAN2(-AF17,AE17)))</f>
        <v>-89.999988324426354</v>
      </c>
      <c r="AH17" s="603">
        <f>IF(M17="","",DEGREES(ACOS(AD17)))</f>
        <v>39.669994272361379</v>
      </c>
      <c r="AI17" s="585">
        <f>IF(M17="","",DEGREES(-ACOS(-AF17)))</f>
        <v>-89.999992546724798</v>
      </c>
      <c r="AJ17" s="586">
        <f>IF(M17="","",DEGREES(ATAN2(-AE17,AD17)))</f>
        <v>50.330005727639197</v>
      </c>
      <c r="AK17" s="635">
        <f>IF(M17="","",(COS(RADIANS((90-$Q$8)-W17))*AD17)+(-SIN(RADIANS((90-$Q$8)-W17))*AE17))</f>
        <v>0.8191520948772919</v>
      </c>
      <c r="AL17" s="629">
        <f>IF(M17="","",(SIN(RADIANS((90-$Q$8)-W17))*AD17)+(COS(RADIANS((90-$Q$8)-W17))*AE17))</f>
        <v>-0.57357636410344492</v>
      </c>
      <c r="AM17" s="634">
        <f>IF(M17="","",AF17)</f>
        <v>-1.3008419227961973E-7</v>
      </c>
      <c r="AN17" s="581">
        <f>IF(M17="","",DEGREES(ATAN2(-AM17,AL17)))</f>
        <v>-89.999987005609611</v>
      </c>
      <c r="AO17" s="582">
        <f t="shared" si="94"/>
        <v>34.999994946625968</v>
      </c>
      <c r="AP17" s="585">
        <f>IF(M17="","",DEGREES(ATAN2(AK17,AL17)))</f>
        <v>-34.999994946625293</v>
      </c>
      <c r="AQ17" s="586">
        <f t="shared" si="9"/>
        <v>0.56077117076363792</v>
      </c>
      <c r="AS17" s="52">
        <f t="shared" si="116"/>
        <v>-3.9199994340220883</v>
      </c>
      <c r="AT17" s="72">
        <f t="shared" si="10"/>
        <v>-2.5362646040677834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1.1459999999999999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1313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0.90452513804471535</v>
      </c>
      <c r="C18" s="708">
        <v>0.75898690381433886</v>
      </c>
      <c r="D18" s="709">
        <v>-0.33710000000000001</v>
      </c>
      <c r="E18" s="710">
        <v>-1.4578097142110108E-7</v>
      </c>
      <c r="F18" s="708">
        <v>1.7373495196736316E-7</v>
      </c>
      <c r="G18" s="711">
        <v>0.99999999999997435</v>
      </c>
      <c r="H18" s="710">
        <v>0.26250000000000001</v>
      </c>
      <c r="I18" s="708">
        <v>0.40699999999999997</v>
      </c>
      <c r="J18" s="570">
        <v>1.2050000000000001</v>
      </c>
      <c r="K18" s="865" t="str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Inactive</v>
      </c>
      <c r="L18" s="779" t="s">
        <v>331</v>
      </c>
      <c r="M18" s="168">
        <f t="shared" si="1"/>
        <v>1.2050000000000001</v>
      </c>
      <c r="N18" s="632">
        <f t="shared" si="2"/>
        <v>0.90452513804471535</v>
      </c>
      <c r="O18" s="629">
        <f t="shared" si="3"/>
        <v>0.75898690381433886</v>
      </c>
      <c r="P18" s="633">
        <f t="shared" si="4"/>
        <v>-0.33710000000000001</v>
      </c>
      <c r="Q18" s="585">
        <f t="shared" si="113"/>
        <v>40.000007214629335</v>
      </c>
      <c r="R18" s="629">
        <f>IF(M18="","",SQRT(N18^2+O18^2))</f>
        <v>1.1807738333467963</v>
      </c>
      <c r="S18" s="634">
        <f>IF(M18="","",P18)</f>
        <v>-0.33710000000000001</v>
      </c>
      <c r="T18" s="635">
        <f>IF(M18="","",X18*COS(RADIANS(W18)))</f>
        <v>0.77076174611552073</v>
      </c>
      <c r="U18" s="629">
        <f>IF(M18="","",X18*SIN(RADIANS(W18)))</f>
        <v>-0.89451281502359792</v>
      </c>
      <c r="V18" s="636">
        <f>IF(M18="","",Y18)</f>
        <v>-0.33710000000000001</v>
      </c>
      <c r="W18" s="585">
        <f t="shared" si="224"/>
        <v>310.75000710634276</v>
      </c>
      <c r="X18" s="629">
        <f>IF(M18="","",R18)</f>
        <v>1.1807738333467963</v>
      </c>
      <c r="Y18" s="630">
        <f t="shared" si="223"/>
        <v>-0.33710000000000001</v>
      </c>
      <c r="Z18" s="632">
        <f t="shared" si="6"/>
        <v>1.4578097142110108E-7</v>
      </c>
      <c r="AA18" s="629">
        <f t="shared" si="7"/>
        <v>-1.7373495196736316E-7</v>
      </c>
      <c r="AB18" s="629">
        <f t="shared" si="8"/>
        <v>-0.99999999999997435</v>
      </c>
      <c r="AC18" s="636">
        <f>IF(M18="","",SQRT(Z18^2+AA18^2+AB18^2))</f>
        <v>1</v>
      </c>
      <c r="AD18" s="637">
        <f>IF(M18="","",Z18*(1/SQRT(Z18^2+AA18^2+AB18^2)))</f>
        <v>1.4578097142110108E-7</v>
      </c>
      <c r="AE18" s="629">
        <f>IF(M18="","",AA18*(1/SQRT(Z18^2+AA18^2+AB18^2)))</f>
        <v>-1.7373495196736316E-7</v>
      </c>
      <c r="AF18" s="633">
        <f>IF(M18="","",AB18*(1/SQRT(Z18^2+AA18^2+AB18^2)))</f>
        <v>-0.99999999999997435</v>
      </c>
      <c r="AG18" s="602">
        <f>IF(M18="","",DEGREES(ATAN2(-AF18,AE18)))</f>
        <v>-9.9542795016381426E-6</v>
      </c>
      <c r="AH18" s="603">
        <f>IF(M18="","",DEGREES(ACOS(AD18)))</f>
        <v>89.999991647365604</v>
      </c>
      <c r="AI18" s="585">
        <f>IF(M18="","",DEGREES(-ACOS(-AF18)))</f>
        <v>-1.2976235990044085E-5</v>
      </c>
      <c r="AJ18" s="586">
        <f>IF(M18="","",DEGREES(ATAN2(-AE18,AD18)))</f>
        <v>40.000007219105768</v>
      </c>
      <c r="AK18" s="635">
        <f>IF(M18="","",(COS(RADIANS((90-$Q$8)-W18))*AD18)+(-SIN(RADIANS((90-$Q$8)-W18))*AE18))</f>
        <v>2.2679489668769417E-7</v>
      </c>
      <c r="AL18" s="629">
        <f>IF(M18="","",(SIN(RADIANS((90-$Q$8)-W18))*AD18)+(COS(RADIANS((90-$Q$8)-W18))*AE18))</f>
        <v>1.7718989579384103E-17</v>
      </c>
      <c r="AM18" s="634">
        <f>IF(M18="","",AF18)</f>
        <v>-0.99999999999997435</v>
      </c>
      <c r="AN18" s="581">
        <f>IF(M18="","",DEGREES(ATAN2(-AM18,AL18)))</f>
        <v>1.0152233201350208E-15</v>
      </c>
      <c r="AO18" s="582">
        <f t="shared" si="94"/>
        <v>0</v>
      </c>
      <c r="AP18" s="585">
        <f>IF(M18="","",DEGREES(ATAN2(AK18,AL18)))</f>
        <v>4.4763940236847515E-9</v>
      </c>
      <c r="AQ18" s="586">
        <f t="shared" si="9"/>
        <v>1.9299753086136093</v>
      </c>
      <c r="AS18" s="52">
        <f t="shared" si="116"/>
        <v>-49.249992893657236</v>
      </c>
      <c r="AT18" s="72">
        <f t="shared" si="10"/>
        <v>-0.30237778278793703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>Nose</v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1.2050000000000001</v>
      </c>
      <c r="IH18" s="731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5.1050000000000004</v>
      </c>
      <c r="II18" s="734" cm="1">
        <f t="array" ref="II18">IFERROR(ROUND(VALUE(IF($IH18&lt;1,$IH18+LARGE((IF($M$9:$M$150="",0,$M$9:$M$150)-MOD(IF($M$9:$M$150="",0,$M$9:$M$150),1)),1),$IH18)),4),"")</f>
        <v>5.1050000000000004</v>
      </c>
      <c r="IJ18" s="533">
        <f t="shared" si="112"/>
        <v>1313</v>
      </c>
      <c r="IK18" s="533" t="str">
        <f t="shared" si="66"/>
        <v>Inactive</v>
      </c>
      <c r="IL18" s="727">
        <f t="shared" si="225"/>
        <v>191.99997228311025</v>
      </c>
      <c r="IM18" s="759">
        <v>1.6347760138903E-2</v>
      </c>
      <c r="IN18" s="5">
        <f t="shared" si="226"/>
        <v>0.06</v>
      </c>
      <c r="IO18" s="771">
        <v>30</v>
      </c>
      <c r="IP18" s="9">
        <f t="shared" si="227"/>
        <v>-1.1770335499331868</v>
      </c>
      <c r="IQ18" s="5">
        <f t="shared" si="228"/>
        <v>-0.30140090902514161</v>
      </c>
      <c r="IR18" s="5">
        <f t="shared" si="71"/>
        <v>0.26600000000000001</v>
      </c>
      <c r="IS18" s="5">
        <f t="shared" si="229"/>
        <v>0.24995824171420702</v>
      </c>
      <c r="IT18" s="727">
        <f t="shared" si="230"/>
        <v>-14.999997834268211</v>
      </c>
      <c r="IU18" s="9">
        <f t="shared" si="231"/>
        <v>-1.1807738333467963</v>
      </c>
      <c r="IV18" s="5">
        <f t="shared" si="232"/>
        <v>-0.33710000000000001</v>
      </c>
      <c r="IW18" s="5">
        <f t="shared" si="76"/>
        <v>0.26250000000000001</v>
      </c>
      <c r="IX18" s="5">
        <f t="shared" si="233"/>
        <v>0.26250000000000001</v>
      </c>
      <c r="IY18" s="762">
        <f t="shared" si="234"/>
        <v>-1.0152233201350208E-15</v>
      </c>
    </row>
    <row r="19" spans="1:269" ht="15" customHeight="1" thickBot="1" x14ac:dyDescent="0.3">
      <c r="A19" s="79"/>
      <c r="B19" s="707">
        <v>1.3772733430982764</v>
      </c>
      <c r="C19" s="708">
        <v>3.7840274105792933</v>
      </c>
      <c r="D19" s="709">
        <v>-2.5414743317532511</v>
      </c>
      <c r="E19" s="710">
        <v>0.34201993020816035</v>
      </c>
      <c r="F19" s="708">
        <v>0.93969269835428315</v>
      </c>
      <c r="G19" s="711">
        <v>2.2679489674747972E-7</v>
      </c>
      <c r="H19" s="710">
        <v>0.25700000000000001</v>
      </c>
      <c r="I19" s="708">
        <v>0.41499999999999992</v>
      </c>
      <c r="J19" s="570">
        <v>1.246</v>
      </c>
      <c r="K19" s="865" t="str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CPS-32193r1</v>
      </c>
      <c r="L19" s="775" t="s">
        <v>366</v>
      </c>
      <c r="M19" s="168">
        <f t="shared" si="1"/>
        <v>1.246</v>
      </c>
      <c r="N19" s="632">
        <f t="shared" si="2"/>
        <v>1.3772733430982764</v>
      </c>
      <c r="O19" s="629">
        <f t="shared" si="3"/>
        <v>3.7840274105792933</v>
      </c>
      <c r="P19" s="633">
        <f t="shared" si="4"/>
        <v>-2.5414743317532511</v>
      </c>
      <c r="Q19" s="585">
        <f t="shared" si="113"/>
        <v>70.000000000000014</v>
      </c>
      <c r="R19" s="629">
        <f>IF(M19="","",SQRT(N19^2+O19^2))</f>
        <v>4.0268778607780664</v>
      </c>
      <c r="S19" s="634">
        <f>IF(M19="","",P19)</f>
        <v>-2.5414743317532511</v>
      </c>
      <c r="T19" s="635">
        <f>IF(M19="","",X19*COS(RADIANS(W19)))</f>
        <v>3.8017311723142018</v>
      </c>
      <c r="U19" s="629">
        <f>IF(M19="","",X19*SIN(RADIANS(W19)))</f>
        <v>-1.3276239674994663</v>
      </c>
      <c r="V19" s="636">
        <f>IF(M19="","",Y19)</f>
        <v>-2.5414743317532511</v>
      </c>
      <c r="W19" s="585">
        <f t="shared" si="224"/>
        <v>340.7499998917134</v>
      </c>
      <c r="X19" s="629">
        <f>IF(M19="","",R19)</f>
        <v>4.0268778607780664</v>
      </c>
      <c r="Y19" s="630">
        <f t="shared" si="223"/>
        <v>-2.5414743317532511</v>
      </c>
      <c r="Z19" s="632">
        <f t="shared" si="6"/>
        <v>-0.34201993020816035</v>
      </c>
      <c r="AA19" s="629">
        <f t="shared" si="7"/>
        <v>-0.93969269835428315</v>
      </c>
      <c r="AB19" s="629">
        <f t="shared" si="8"/>
        <v>-2.2679489674747972E-7</v>
      </c>
      <c r="AC19" s="636">
        <f>IF(M19="","",SQRT(Z19^2+AA19^2+AB19^2))</f>
        <v>1</v>
      </c>
      <c r="AD19" s="637">
        <f>IF(M19="","",Z19*(1/SQRT(Z19^2+AA19^2+AB19^2)))</f>
        <v>-0.34201993020816035</v>
      </c>
      <c r="AE19" s="629">
        <f>IF(M19="","",AA19*(1/SQRT(Z19^2+AA19^2+AB19^2)))</f>
        <v>-0.93969269835428315</v>
      </c>
      <c r="AF19" s="633">
        <f>IF(M19="","",AB19*(1/SQRT(Z19^2+AA19^2+AB19^2)))</f>
        <v>-2.2679489674747972E-7</v>
      </c>
      <c r="AG19" s="602">
        <f>IF(M19="","",DEGREES(ATAN2(-AF19,AE19)))</f>
        <v>-89.999986171659714</v>
      </c>
      <c r="AH19" s="603">
        <f>IF(M19="","",DEGREES(ACOS(AD19)))</f>
        <v>109.99998700560907</v>
      </c>
      <c r="AI19" s="585">
        <f>IF(M19="","",DEGREES(-ACOS(-AF19)))</f>
        <v>-89.999987005609611</v>
      </c>
      <c r="AJ19" s="586">
        <f>IF(M19="","",DEGREES(ATAN2(-AE19,AD19)))</f>
        <v>-19.999987005609611</v>
      </c>
      <c r="AK19" s="635">
        <f>IF(M19="","",(COS(RADIANS((90-$Q$8)-W19))*AD19)+(-SIN(RADIANS((90-$Q$8)-W19))*AE19))</f>
        <v>2.2679489652954743E-7</v>
      </c>
      <c r="AL19" s="629">
        <f>IF(M19="","",(SIN(RADIANS((90-$Q$8)-W19))*AD19)+(COS(RADIANS((90-$Q$8)-W19))*AE19))</f>
        <v>-0.9999999999999486</v>
      </c>
      <c r="AM19" s="634">
        <f>IF(M19="","",AF19)</f>
        <v>-2.2679489674747972E-7</v>
      </c>
      <c r="AN19" s="581">
        <f>IF(M19="","",DEGREES(ATAN2(-AM19,AL19)))</f>
        <v>-89.999987005609611</v>
      </c>
      <c r="AO19" s="582">
        <f t="shared" si="94"/>
        <v>0</v>
      </c>
      <c r="AP19" s="585">
        <f>IF(M19="","",DEGREES(ATAN2(AK19,AL19)))</f>
        <v>-89.999987005609626</v>
      </c>
      <c r="AQ19" s="586">
        <f t="shared" si="9"/>
        <v>0.56610916079309637</v>
      </c>
      <c r="AS19" s="52">
        <f t="shared" si="116"/>
        <v>-19.250000108286599</v>
      </c>
      <c r="AT19" s="72">
        <f t="shared" si="10"/>
        <v>-2.5275854428643623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>Taper</v>
      </c>
      <c r="IF19" s="533" t="str">
        <f>IFERROR(IF((((($IW19*COS(RADIANS(180-$IY19)))*COS(RADIANS($IY19)))-(($IX19*SIN(RADIANS(180-$IY19)))*SIN(RADIANS($IY19))))+$IU19)&lt;(((Settings!$C$19+$IF$8)/2)*-1),"Gage",""),"")</f>
        <v>Gage</v>
      </c>
      <c r="IG19" s="847">
        <f t="shared" si="210"/>
        <v>1.246</v>
      </c>
      <c r="IH19" s="731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1.1459999999999999</v>
      </c>
      <c r="II19" s="734" cm="1">
        <f t="array" ref="II19">IFERROR(ROUND(VALUE(IF($IH19&lt;1,$IH19+LARGE((IF($M$9:$M$150="",0,$M$9:$M$150)-MOD(IF($M$9:$M$150="",0,$M$9:$M$150),1)),1),$IH19)),4),"")</f>
        <v>1.1459999999999999</v>
      </c>
      <c r="IJ19" s="533">
        <f t="shared" si="112"/>
        <v>1313</v>
      </c>
      <c r="IK19" s="533" t="str">
        <f t="shared" si="66"/>
        <v>CPS-32193r1</v>
      </c>
      <c r="IL19" s="727">
        <f t="shared" si="225"/>
        <v>15.330000674264511</v>
      </c>
      <c r="IM19" s="759">
        <v>1.2676425039923701E-4</v>
      </c>
      <c r="IN19" s="5">
        <f t="shared" si="226"/>
        <v>0</v>
      </c>
      <c r="IO19" s="771">
        <v>0</v>
      </c>
      <c r="IP19" s="9">
        <f t="shared" si="227"/>
        <v>-4.0652122606801786</v>
      </c>
      <c r="IQ19" s="5">
        <f t="shared" si="228"/>
        <v>-2.5395076591550998</v>
      </c>
      <c r="IR19" s="5">
        <f t="shared" si="71"/>
        <v>0.26600000000000001</v>
      </c>
      <c r="IS19" s="5">
        <f t="shared" si="229"/>
        <v>0.21789445723735962</v>
      </c>
      <c r="IT19" s="727">
        <f t="shared" si="230"/>
        <v>89.999987005609611</v>
      </c>
      <c r="IU19" s="9">
        <f t="shared" si="231"/>
        <v>-4.0268778607780664</v>
      </c>
      <c r="IV19" s="5">
        <f t="shared" si="232"/>
        <v>-2.5414743317532511</v>
      </c>
      <c r="IW19" s="5">
        <f t="shared" si="76"/>
        <v>0.25700000000000001</v>
      </c>
      <c r="IX19" s="5">
        <f t="shared" si="233"/>
        <v>0.25700000000000001</v>
      </c>
      <c r="IY19" s="762">
        <f t="shared" si="234"/>
        <v>89.999987005609611</v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707">
        <v>2.4166239923325463</v>
      </c>
      <c r="C20" s="708">
        <v>1.5188831794383928</v>
      </c>
      <c r="D20" s="709">
        <v>-0.15750047502143266</v>
      </c>
      <c r="E20" s="710">
        <v>-0.33833257322468741</v>
      </c>
      <c r="F20" s="708">
        <v>0.89129813205485342</v>
      </c>
      <c r="G20" s="711">
        <v>0.30185875784991045</v>
      </c>
      <c r="H20" s="710">
        <v>0.26600000000000001</v>
      </c>
      <c r="I20" s="708">
        <v>0.52</v>
      </c>
      <c r="J20" s="570">
        <v>2.117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1313</v>
      </c>
      <c r="L20" s="774">
        <f>IF($L19=$JH$22,$JH$30,IF($L19=$JI$22,$JI$30,""))</f>
        <v>20</v>
      </c>
      <c r="M20" s="168">
        <f t="shared" si="1"/>
        <v>2.117</v>
      </c>
      <c r="N20" s="632">
        <f t="shared" si="2"/>
        <v>2.4166239923325463</v>
      </c>
      <c r="O20" s="629">
        <f t="shared" si="3"/>
        <v>1.5188831794383928</v>
      </c>
      <c r="P20" s="633">
        <f t="shared" si="4"/>
        <v>-0.15750047502143266</v>
      </c>
      <c r="Q20" s="585">
        <f t="shared" si="113"/>
        <v>32.149956374943784</v>
      </c>
      <c r="R20" s="629">
        <f>IF(M20="","",SQRT(N20^2+O20^2))</f>
        <v>2.8543086085947635</v>
      </c>
      <c r="S20" s="634">
        <f>IF(M20="","",P20)</f>
        <v>-0.15750047502143266</v>
      </c>
      <c r="T20" s="635">
        <f>IF(M20="","",X20*COS(RADIANS(W20)))</f>
        <v>1.5503856792098993</v>
      </c>
      <c r="U20" s="629">
        <f>IF(M20="","",X20*SIN(RADIANS(W20)))</f>
        <v>-2.3965353906836082</v>
      </c>
      <c r="V20" s="636">
        <f>IF(M20="","",Y20)</f>
        <v>-0.15750047502143266</v>
      </c>
      <c r="W20" s="585">
        <f t="shared" si="224"/>
        <v>302.89995626665717</v>
      </c>
      <c r="X20" s="629">
        <f>IF(M20="","",R20)</f>
        <v>2.8543086085947635</v>
      </c>
      <c r="Y20" s="630">
        <f t="shared" si="223"/>
        <v>-0.15750047502143266</v>
      </c>
      <c r="Z20" s="632">
        <f t="shared" si="6"/>
        <v>0.33833257322468741</v>
      </c>
      <c r="AA20" s="629">
        <f t="shared" si="7"/>
        <v>-0.89129813205485342</v>
      </c>
      <c r="AB20" s="629">
        <f t="shared" si="8"/>
        <v>-0.30185875784991045</v>
      </c>
      <c r="AC20" s="636">
        <f>IF(M20="","",SQRT(Z20^2+AA20^2+AB20^2))</f>
        <v>1</v>
      </c>
      <c r="AD20" s="637">
        <f>IF(M20="","",Z20*(1/SQRT(Z20^2+AA20^2+AB20^2)))</f>
        <v>0.33833257322468741</v>
      </c>
      <c r="AE20" s="629">
        <f>IF(M20="","",AA20*(1/SQRT(Z20^2+AA20^2+AB20^2)))</f>
        <v>-0.89129813205485342</v>
      </c>
      <c r="AF20" s="633">
        <f>IF(M20="","",AB20*(1/SQRT(Z20^2+AA20^2+AB20^2)))</f>
        <v>-0.30185875784991045</v>
      </c>
      <c r="AG20" s="602">
        <f>IF(M20="","",DEGREES(ATAN2(-AF20,AE20)))</f>
        <v>-71.290138935815193</v>
      </c>
      <c r="AH20" s="603">
        <f>IF(M20="","",DEGREES(ACOS(AD20)))</f>
        <v>70.224682057672354</v>
      </c>
      <c r="AI20" s="585">
        <f>IF(M20="","",DEGREES(-ACOS(-AF20)))</f>
        <v>-72.430721313147941</v>
      </c>
      <c r="AJ20" s="586">
        <f>IF(M20="","",DEGREES(ATAN2(-AE20,AD20)))</f>
        <v>20.786526008757715</v>
      </c>
      <c r="AK20" s="635">
        <f>IF(M20="","",(COS(RADIANS((90-$Q$8)-W20))*AD20)+(-SIN(RADIANS((90-$Q$8)-W20))*AE20))</f>
        <v>0.93466421140965927</v>
      </c>
      <c r="AL20" s="629">
        <f>IF(M20="","",(SIN(RADIANS((90-$Q$8)-W20))*AD20)+(COS(RADIANS((90-$Q$8)-W20))*AE20))</f>
        <v>-0.1878406298415467</v>
      </c>
      <c r="AM20" s="634">
        <f>IF(M20="","",AF20)</f>
        <v>-0.30185875784991045</v>
      </c>
      <c r="AN20" s="581">
        <f>IF(M20="","",DEGREES(ATAN2(-AM20,AL20)))</f>
        <v>-31.89317301577589</v>
      </c>
      <c r="AO20" s="582">
        <f t="shared" si="94"/>
        <v>20.826036471644265</v>
      </c>
      <c r="AP20" s="585">
        <f>IF(M20="","",DEGREES(ATAN2(AK20,AL20)))</f>
        <v>-11.363430366186083</v>
      </c>
      <c r="AQ20" s="586">
        <f t="shared" si="9"/>
        <v>0.79864488951737</v>
      </c>
      <c r="AS20" s="52">
        <f t="shared" si="116"/>
        <v>-57.100043733342829</v>
      </c>
      <c r="AT20" s="72">
        <f t="shared" si="10"/>
        <v>-0.11732683361514359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2.117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1313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707">
        <v>2.9604356839997772</v>
      </c>
      <c r="C21" s="708">
        <v>1.7668723828420516</v>
      </c>
      <c r="D21" s="709">
        <v>-0.50670152821180914</v>
      </c>
      <c r="E21" s="710">
        <v>-0.20887391874521746</v>
      </c>
      <c r="F21" s="708">
        <v>0.95189020036484417</v>
      </c>
      <c r="G21" s="711">
        <v>0.22422473663133863</v>
      </c>
      <c r="H21" s="710">
        <v>0.26600000000000001</v>
      </c>
      <c r="I21" s="708">
        <v>0.52</v>
      </c>
      <c r="J21" s="570">
        <v>2.1240000000000001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1313</v>
      </c>
      <c r="L21" s="776" t="s">
        <v>367</v>
      </c>
      <c r="M21" s="168">
        <f t="shared" si="1"/>
        <v>2.1240000000000001</v>
      </c>
      <c r="N21" s="632">
        <f t="shared" si="2"/>
        <v>2.9604356839997772</v>
      </c>
      <c r="O21" s="629">
        <f t="shared" si="3"/>
        <v>1.7668723828420516</v>
      </c>
      <c r="P21" s="633">
        <f t="shared" si="4"/>
        <v>-0.50670152821180914</v>
      </c>
      <c r="Q21" s="585">
        <f t="shared" si="113"/>
        <v>30.829956565528182</v>
      </c>
      <c r="R21" s="629">
        <f>IF(M21="","",SQRT(N21^2+O21^2))</f>
        <v>3.4476103979929604</v>
      </c>
      <c r="S21" s="634">
        <f>IF(M21="","",P21)</f>
        <v>-0.50670152821180914</v>
      </c>
      <c r="T21" s="635">
        <f>IF(M21="","",X21*COS(RADIANS(W21)))</f>
        <v>1.8054719108662178</v>
      </c>
      <c r="U21" s="629">
        <f>IF(M21="","",X21*SIN(RADIANS(W21)))</f>
        <v>-2.9370544147874185</v>
      </c>
      <c r="V21" s="636">
        <f>IF(M21="","",Y21)</f>
        <v>-0.50670152821180914</v>
      </c>
      <c r="W21" s="585">
        <f t="shared" si="224"/>
        <v>301.57995645724156</v>
      </c>
      <c r="X21" s="629">
        <f>IF(M21="","",R21)</f>
        <v>3.4476103979929604</v>
      </c>
      <c r="Y21" s="630">
        <f t="shared" si="223"/>
        <v>-0.50670152821180914</v>
      </c>
      <c r="Z21" s="632">
        <f t="shared" si="6"/>
        <v>0.20887391874521746</v>
      </c>
      <c r="AA21" s="629">
        <f t="shared" si="7"/>
        <v>-0.95189020036484417</v>
      </c>
      <c r="AB21" s="629">
        <f t="shared" si="8"/>
        <v>-0.22422473663133863</v>
      </c>
      <c r="AC21" s="636">
        <f>IF(M21="","",SQRT(Z21^2+AA21^2+AB21^2))</f>
        <v>1</v>
      </c>
      <c r="AD21" s="637">
        <f>IF(M21="","",Z21*(1/SQRT(Z21^2+AA21^2+AB21^2)))</f>
        <v>0.20887391874521746</v>
      </c>
      <c r="AE21" s="629">
        <f>IF(M21="","",AA21*(1/SQRT(Z21^2+AA21^2+AB21^2)))</f>
        <v>-0.95189020036484417</v>
      </c>
      <c r="AF21" s="633">
        <f>IF(M21="","",AB21*(1/SQRT(Z21^2+AA21^2+AB21^2)))</f>
        <v>-0.22422473663133863</v>
      </c>
      <c r="AG21" s="602">
        <f>IF(M21="","",DEGREES(ATAN2(-AF21,AE21)))</f>
        <v>-76.745189811174029</v>
      </c>
      <c r="AH21" s="603">
        <f>IF(M21="","",DEGREES(ACOS(AD21)))</f>
        <v>77.943630825078998</v>
      </c>
      <c r="AI21" s="585">
        <f>IF(M21="","",DEGREES(-ACOS(-AF21)))</f>
        <v>-77.042705912913618</v>
      </c>
      <c r="AJ21" s="586">
        <f>IF(M21="","",DEGREES(ATAN2(-AE21,AD21)))</f>
        <v>12.376301359487032</v>
      </c>
      <c r="AK21" s="635">
        <f>IF(M21="","",(COS(RADIANS((90-$Q$8)-W21))*AD21)+(-SIN(RADIANS((90-$Q$8)-W21))*AE21))</f>
        <v>0.9244267498415899</v>
      </c>
      <c r="AL21" s="629">
        <f>IF(M21="","",(SIN(RADIANS((90-$Q$8)-W21))*AD21)+(COS(RADIANS((90-$Q$8)-W21))*AE21))</f>
        <v>-0.30847763559117464</v>
      </c>
      <c r="AM21" s="634">
        <f>IF(M21="","",AF21)</f>
        <v>-0.22422473663133863</v>
      </c>
      <c r="AN21" s="581">
        <f>IF(M21="","",DEGREES(ATAN2(-AM21,AL21)))</f>
        <v>-53.987527364470424</v>
      </c>
      <c r="AO21" s="582">
        <f>IF(ROUND(IF(M21="",0,DEGREES(ACOS(AK21))),4)=90,0,IF(M21="","",DEGREES(ACOS(AK21))))</f>
        <v>22.417928088655767</v>
      </c>
      <c r="AP21" s="585">
        <f>IF(M21="","",DEGREES(ATAN2(AK21,AL21)))</f>
        <v>-18.45365520604112</v>
      </c>
      <c r="AQ21" s="586">
        <f t="shared" si="9"/>
        <v>0.66121897829238763</v>
      </c>
      <c r="AS21" s="52">
        <f t="shared" si="116"/>
        <v>-58.420043542758435</v>
      </c>
      <c r="AT21" s="72">
        <f t="shared" si="10"/>
        <v>-0.46561122027120366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2.1240000000000001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1313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707">
        <v>3.3459160050576249</v>
      </c>
      <c r="C22" s="708">
        <v>1.9201002955106932</v>
      </c>
      <c r="D22" s="709">
        <v>-1.057903190636023</v>
      </c>
      <c r="E22" s="710">
        <v>-0.1184788423540078</v>
      </c>
      <c r="F22" s="708">
        <v>0.98660093017582473</v>
      </c>
      <c r="G22" s="711">
        <v>0.11216669956208788</v>
      </c>
      <c r="H22" s="710">
        <v>0.26600000000000001</v>
      </c>
      <c r="I22" s="708">
        <v>0.52</v>
      </c>
      <c r="J22" s="570">
        <v>2.1309999999999998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1313</v>
      </c>
      <c r="L22" s="1313" t="str">
        <f>IF($L21=$JH$22,$JH$30,IF($L21=$JI$22,$JI$30,""))</f>
        <v/>
      </c>
      <c r="M22" s="168">
        <f t="shared" si="1"/>
        <v>2.1309999999999998</v>
      </c>
      <c r="N22" s="632">
        <f t="shared" si="2"/>
        <v>3.3459160050576249</v>
      </c>
      <c r="O22" s="629">
        <f t="shared" si="3"/>
        <v>1.9201002955106932</v>
      </c>
      <c r="P22" s="633">
        <f t="shared" si="4"/>
        <v>-1.057903190636023</v>
      </c>
      <c r="Q22" s="585">
        <f t="shared" si="113"/>
        <v>29.849956707022649</v>
      </c>
      <c r="R22" s="629">
        <f t="shared" si="79"/>
        <v>3.8577116348582909</v>
      </c>
      <c r="S22" s="634">
        <f t="shared" si="80"/>
        <v>-1.057903190636023</v>
      </c>
      <c r="T22" s="635">
        <f t="shared" si="81"/>
        <v>1.9637324769065232</v>
      </c>
      <c r="U22" s="629">
        <f t="shared" si="82"/>
        <v>-3.32049601970302</v>
      </c>
      <c r="V22" s="636">
        <f t="shared" si="114"/>
        <v>-1.057903190636023</v>
      </c>
      <c r="W22" s="585">
        <f t="shared" si="224"/>
        <v>300.59995659873607</v>
      </c>
      <c r="X22" s="629">
        <f t="shared" si="83"/>
        <v>3.8577116348582909</v>
      </c>
      <c r="Y22" s="630">
        <f t="shared" si="223"/>
        <v>-1.057903190636023</v>
      </c>
      <c r="Z22" s="632">
        <f t="shared" si="6"/>
        <v>0.1184788423540078</v>
      </c>
      <c r="AA22" s="629">
        <f t="shared" si="7"/>
        <v>-0.98660093017582473</v>
      </c>
      <c r="AB22" s="629">
        <f t="shared" si="8"/>
        <v>-0.11216669956208788</v>
      </c>
      <c r="AC22" s="636">
        <f t="shared" si="84"/>
        <v>1</v>
      </c>
      <c r="AD22" s="637">
        <f t="shared" si="115"/>
        <v>0.1184788423540078</v>
      </c>
      <c r="AE22" s="629">
        <f t="shared" si="85"/>
        <v>-0.98660093017582473</v>
      </c>
      <c r="AF22" s="633">
        <f t="shared" si="86"/>
        <v>-0.11216669956208788</v>
      </c>
      <c r="AG22" s="602">
        <f t="shared" si="87"/>
        <v>-83.513890083843393</v>
      </c>
      <c r="AH22" s="603">
        <f t="shared" si="88"/>
        <v>83.195679622128949</v>
      </c>
      <c r="AI22" s="585">
        <f t="shared" si="89"/>
        <v>-83.559768572175287</v>
      </c>
      <c r="AJ22" s="586">
        <f t="shared" si="90"/>
        <v>6.847738654058074</v>
      </c>
      <c r="AK22" s="635">
        <f t="shared" si="211"/>
        <v>0.91468088781222412</v>
      </c>
      <c r="AL22" s="629">
        <f t="shared" si="91"/>
        <v>-0.38830079188741051</v>
      </c>
      <c r="AM22" s="634">
        <f t="shared" si="92"/>
        <v>-0.11216669956208788</v>
      </c>
      <c r="AN22" s="581">
        <f t="shared" si="93"/>
        <v>-73.887819021215023</v>
      </c>
      <c r="AO22" s="582">
        <f t="shared" si="94"/>
        <v>23.839550531805532</v>
      </c>
      <c r="AP22" s="585">
        <f t="shared" si="95"/>
        <v>-23.002218052964569</v>
      </c>
      <c r="AQ22" s="586">
        <f t="shared" si="9"/>
        <v>0.59093214154808904</v>
      </c>
      <c r="AS22" s="52">
        <f t="shared" si="116"/>
        <v>-59.400043401263929</v>
      </c>
      <c r="AT22" s="72">
        <f t="shared" si="10"/>
        <v>-1.016132327238122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2.1309999999999998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IFERROR(ROUND(VALUE(IF($IH22&lt;1,$IH22+LARGE((IF($M$9:$M$150="",0,$M$9:$M$150)-MOD(IF($M$9:$M$150="",0,$M$9:$M$150),1)),1),$IH22)),4),"")</f>
        <v/>
      </c>
      <c r="IJ22" s="533">
        <f t="shared" si="112"/>
        <v>1313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3.5021322242589648</v>
      </c>
      <c r="C23" s="708">
        <v>1.9765690961079698</v>
      </c>
      <c r="D23" s="709">
        <v>-1.7230051965836732</v>
      </c>
      <c r="E23" s="710">
        <v>-4.6138563886595166E-2</v>
      </c>
      <c r="F23" s="708">
        <v>0.99893482682610502</v>
      </c>
      <c r="G23" s="711">
        <v>-6.6684059742671588E-4</v>
      </c>
      <c r="H23" s="710">
        <v>0.26600000000000001</v>
      </c>
      <c r="I23" s="708">
        <v>0.52</v>
      </c>
      <c r="J23" s="570">
        <v>2.1379999999999999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1313</v>
      </c>
      <c r="M23" s="168">
        <f t="shared" si="1"/>
        <v>2.1379999999999999</v>
      </c>
      <c r="N23" s="632">
        <f t="shared" si="2"/>
        <v>3.5021322242589648</v>
      </c>
      <c r="O23" s="629">
        <f t="shared" si="3"/>
        <v>1.9765690961079698</v>
      </c>
      <c r="P23" s="633">
        <f t="shared" si="4"/>
        <v>-1.7230051965836732</v>
      </c>
      <c r="Q23" s="585">
        <f t="shared" si="113"/>
        <v>29.439956766219318</v>
      </c>
      <c r="R23" s="629">
        <f t="shared" si="79"/>
        <v>4.0214121285789801</v>
      </c>
      <c r="S23" s="634">
        <f t="shared" si="80"/>
        <v>-1.7230051965836732</v>
      </c>
      <c r="T23" s="635">
        <f t="shared" si="81"/>
        <v>2.0222412465218702</v>
      </c>
      <c r="U23" s="629">
        <f t="shared" si="82"/>
        <v>-3.4759597018302442</v>
      </c>
      <c r="V23" s="636">
        <f t="shared" si="114"/>
        <v>-1.7230051965836732</v>
      </c>
      <c r="W23" s="585">
        <f t="shared" si="224"/>
        <v>300.18995665793273</v>
      </c>
      <c r="X23" s="629">
        <f t="shared" si="83"/>
        <v>4.0214121285789801</v>
      </c>
      <c r="Y23" s="630">
        <f t="shared" si="223"/>
        <v>-1.7230051965836732</v>
      </c>
      <c r="Z23" s="632">
        <f t="shared" si="6"/>
        <v>4.6138563886595166E-2</v>
      </c>
      <c r="AA23" s="629">
        <f t="shared" si="7"/>
        <v>-0.99893482682610502</v>
      </c>
      <c r="AB23" s="629">
        <f t="shared" si="8"/>
        <v>6.6684059742671588E-4</v>
      </c>
      <c r="AC23" s="636">
        <f t="shared" si="84"/>
        <v>1</v>
      </c>
      <c r="AD23" s="637">
        <f t="shared" si="115"/>
        <v>4.6138563886595166E-2</v>
      </c>
      <c r="AE23" s="629">
        <f t="shared" si="85"/>
        <v>-0.99893482682610502</v>
      </c>
      <c r="AF23" s="633">
        <f t="shared" si="86"/>
        <v>6.6684059742671588E-4</v>
      </c>
      <c r="AG23" s="602">
        <f t="shared" si="87"/>
        <v>-90.038247886788128</v>
      </c>
      <c r="AH23" s="603">
        <f t="shared" si="88"/>
        <v>87.355516201637059</v>
      </c>
      <c r="AI23" s="585">
        <f t="shared" si="89"/>
        <v>-90.038207154672179</v>
      </c>
      <c r="AJ23" s="586">
        <f t="shared" si="90"/>
        <v>2.6444843867507575</v>
      </c>
      <c r="AK23" s="635">
        <f t="shared" si="211"/>
        <v>0.89262124639479101</v>
      </c>
      <c r="AL23" s="629">
        <f t="shared" si="91"/>
        <v>-0.45080690523574235</v>
      </c>
      <c r="AM23" s="634">
        <f t="shared" si="92"/>
        <v>6.6684059742671588E-4</v>
      </c>
      <c r="AN23" s="581">
        <f t="shared" si="93"/>
        <v>-90.084752747861828</v>
      </c>
      <c r="AO23" s="582">
        <f t="shared" si="94"/>
        <v>26.795497603425666</v>
      </c>
      <c r="AP23" s="585">
        <f t="shared" si="95"/>
        <v>-26.795472379468549</v>
      </c>
      <c r="AQ23" s="586">
        <f t="shared" si="9"/>
        <v>0.5668785420911292</v>
      </c>
      <c r="AS23" s="52">
        <f t="shared" si="116"/>
        <v>-59.810043342067274</v>
      </c>
      <c r="AT23" s="72">
        <f t="shared" si="10"/>
        <v>-1.6809496110046589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2.1379999999999999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1313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cm="1">
        <f t="array" ref="JA23:JA25">IFERROR(_xlfn._xlws.SORT(_xlfn.UNIQUE(_xlfn._xlws.FILTER($IK$9:$IK$150,$IK$9:$IK$150&lt;&gt;"")),,1),"")</f>
        <v>1111</v>
      </c>
      <c r="JB23" s="859" cm="1">
        <f t="array" ref="JB23">IF($JA23="","",COUNT(IF(IF($II$9:$II$150&lt;&gt;"",$IK$9:$IK$150,"")=$JA23,$IG$9:$IG$150,"")))</f>
        <v>11</v>
      </c>
      <c r="JC23" s="199"/>
      <c r="JD23" s="199"/>
      <c r="JE23" s="871"/>
      <c r="JF23" s="796" cm="1">
        <f t="array" ref="JF23:JG25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1</v>
      </c>
      <c r="JG23" s="801">
        <v>8</v>
      </c>
      <c r="JH23" s="800" cm="1">
        <f t="array" ref="JH23:JI25">IF(_xlfn.ANCHORARRAY($JF$23)="","",_xlfn.MINIFS($IO$9:$IO$150,$IK$9:$IK$150,_xlfn.ANCHORARRAY($JA$23),$IE$9:$IE$150,_xlfn.ANCHORARRAY($JH$22),$II$9:$II$150,"&lt;&gt;"&amp;"",$IF$9:$IF$150,"&lt;&gt;"&amp;"Gage"))</f>
        <v>20</v>
      </c>
      <c r="JI23" s="801">
        <v>0</v>
      </c>
    </row>
    <row r="24" spans="1:269" ht="15" customHeight="1" x14ac:dyDescent="0.25">
      <c r="A24" s="79"/>
      <c r="B24" s="707">
        <v>3.544106044362326</v>
      </c>
      <c r="C24" s="708">
        <v>1.9912968313887494</v>
      </c>
      <c r="D24" s="709">
        <v>-2.4408073614750023</v>
      </c>
      <c r="E24" s="710">
        <v>9.8799389112482719E-2</v>
      </c>
      <c r="F24" s="708">
        <v>0.99510737144841976</v>
      </c>
      <c r="G24" s="711">
        <v>1.300841921465075E-7</v>
      </c>
      <c r="H24" s="710">
        <v>0.26600000000000001</v>
      </c>
      <c r="I24" s="708">
        <v>0.52</v>
      </c>
      <c r="J24" s="570">
        <v>2.145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1313</v>
      </c>
      <c r="M24" s="168">
        <f t="shared" si="1"/>
        <v>2.145</v>
      </c>
      <c r="N24" s="632">
        <f t="shared" si="2"/>
        <v>3.544106044362326</v>
      </c>
      <c r="O24" s="629">
        <f t="shared" si="3"/>
        <v>1.9912968313887494</v>
      </c>
      <c r="P24" s="633">
        <f t="shared" si="4"/>
        <v>-2.4408073614750023</v>
      </c>
      <c r="Q24" s="585">
        <f t="shared" si="113"/>
        <v>29.329956782101348</v>
      </c>
      <c r="R24" s="629">
        <f t="shared" si="79"/>
        <v>4.0652122606801786</v>
      </c>
      <c r="S24" s="634">
        <f t="shared" si="80"/>
        <v>-2.4408073614750023</v>
      </c>
      <c r="T24" s="635">
        <f t="shared" si="81"/>
        <v>2.0375171402926173</v>
      </c>
      <c r="U24" s="629">
        <f t="shared" si="82"/>
        <v>-3.5177371458649724</v>
      </c>
      <c r="V24" s="636">
        <f t="shared" si="114"/>
        <v>-2.4408073614750023</v>
      </c>
      <c r="W24" s="585">
        <f t="shared" si="224"/>
        <v>300.07995667381476</v>
      </c>
      <c r="X24" s="629">
        <f t="shared" si="83"/>
        <v>4.0652122606801786</v>
      </c>
      <c r="Y24" s="630">
        <f t="shared" si="223"/>
        <v>-2.4408073614750023</v>
      </c>
      <c r="Z24" s="632">
        <f t="shared" si="6"/>
        <v>-9.8799389112482719E-2</v>
      </c>
      <c r="AA24" s="629">
        <f t="shared" si="7"/>
        <v>-0.99510737144841976</v>
      </c>
      <c r="AB24" s="629">
        <f t="shared" si="8"/>
        <v>-1.300841921465075E-7</v>
      </c>
      <c r="AC24" s="636">
        <f t="shared" si="84"/>
        <v>1</v>
      </c>
      <c r="AD24" s="637">
        <f t="shared" si="115"/>
        <v>-9.8799389112482719E-2</v>
      </c>
      <c r="AE24" s="629">
        <f t="shared" si="85"/>
        <v>-0.99510737144841976</v>
      </c>
      <c r="AF24" s="633">
        <f t="shared" si="86"/>
        <v>-1.300841921465075E-7</v>
      </c>
      <c r="AG24" s="602">
        <f t="shared" si="87"/>
        <v>-89.999992510079409</v>
      </c>
      <c r="AH24" s="603">
        <f t="shared" si="88"/>
        <v>95.670038164523874</v>
      </c>
      <c r="AI24" s="585">
        <f t="shared" si="89"/>
        <v>-89.999992546724812</v>
      </c>
      <c r="AJ24" s="586">
        <f t="shared" si="90"/>
        <v>-5.6700381645239206</v>
      </c>
      <c r="AK24" s="635">
        <f>IF(M24="","",(COS(RADIANS((90-$Q$8)-W24))*AD24)+(-SIN(RADIANS((90-$Q$8)-W24))*AE24))</f>
        <v>0.81915209487729168</v>
      </c>
      <c r="AL24" s="629">
        <f t="shared" si="91"/>
        <v>-0.57357636410344492</v>
      </c>
      <c r="AM24" s="634">
        <f t="shared" si="92"/>
        <v>-1.300841921465075E-7</v>
      </c>
      <c r="AN24" s="581">
        <f t="shared" si="93"/>
        <v>-89.999987005609626</v>
      </c>
      <c r="AO24" s="582">
        <f t="shared" si="94"/>
        <v>34.999994946625982</v>
      </c>
      <c r="AP24" s="585">
        <f t="shared" si="95"/>
        <v>-34.9999949466253</v>
      </c>
      <c r="AQ24" s="586">
        <f t="shared" si="9"/>
        <v>0.56077117076363792</v>
      </c>
      <c r="AS24" s="52">
        <f t="shared" si="116"/>
        <v>-59.920043326185237</v>
      </c>
      <c r="AT24" s="72">
        <f t="shared" si="10"/>
        <v>-2.3986753870181281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2.145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IFERROR(ROUND(VALUE(IF($IH24&lt;1,$IH24+LARGE((IF($M$9:$M$150="",0,$M$9:$M$150)-MOD(IF($M$9:$M$150="",0,$M$9:$M$150),1)),1),$IH24)),4),"")</f>
        <v/>
      </c>
      <c r="IJ24" s="533">
        <f t="shared" si="112"/>
        <v>1313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 t="str">
        <v>CPS-32193r1</v>
      </c>
      <c r="JB24" s="856" cm="1">
        <f t="array" ref="JB24">IF($JA24="","",COUNT(IF(IF($II$9:$II$150&lt;&gt;"",$IK$9:$IK$150,"")=$JA24,$IG$9:$IG$150,"")))</f>
        <v>7</v>
      </c>
      <c r="JC24" s="5"/>
      <c r="JD24" s="5"/>
      <c r="JE24" s="10"/>
      <c r="JF24" s="247" t="str">
        <v/>
      </c>
      <c r="JG24" s="803" t="str">
        <v/>
      </c>
      <c r="JH24" s="787" t="str">
        <v/>
      </c>
      <c r="JI24" s="803" t="str">
        <v/>
      </c>
    </row>
    <row r="25" spans="1:269" ht="15" customHeight="1" x14ac:dyDescent="0.25">
      <c r="A25" s="79"/>
      <c r="B25" s="707">
        <v>3.4736374214599146</v>
      </c>
      <c r="C25" s="708">
        <v>0.99604679309760258</v>
      </c>
      <c r="D25" s="709">
        <v>-0.62503534951083128</v>
      </c>
      <c r="E25" s="710">
        <v>-4.7619596059921311E-2</v>
      </c>
      <c r="F25" s="708">
        <v>0.95754834773763575</v>
      </c>
      <c r="G25" s="711">
        <v>0.28431239124599139</v>
      </c>
      <c r="H25" s="710">
        <v>0.219</v>
      </c>
      <c r="I25" s="708">
        <v>0.42</v>
      </c>
      <c r="J25" s="570">
        <v>2.226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1111</v>
      </c>
      <c r="L25" s="320"/>
      <c r="M25" s="168">
        <f t="shared" si="1"/>
        <v>2.226</v>
      </c>
      <c r="N25" s="632">
        <f t="shared" si="2"/>
        <v>3.4736374214599146</v>
      </c>
      <c r="O25" s="629">
        <f t="shared" si="3"/>
        <v>0.99604679309760258</v>
      </c>
      <c r="P25" s="633">
        <f t="shared" si="4"/>
        <v>-0.62503534951083128</v>
      </c>
      <c r="Q25" s="585">
        <f t="shared" si="113"/>
        <v>15.999958706714947</v>
      </c>
      <c r="R25" s="629">
        <f>IF(M25="","",SQRT(N25^2+O25^2))</f>
        <v>3.6136223031477299</v>
      </c>
      <c r="S25" s="634">
        <f>IF(M25="","",P25)</f>
        <v>-0.62503534951083128</v>
      </c>
      <c r="T25" s="635">
        <f>IF(M25="","",X25*COS(RADIANS(W25)))</f>
        <v>1.0414299618210086</v>
      </c>
      <c r="U25" s="629">
        <f>IF(M25="","",X25*SIN(RADIANS(W25)))</f>
        <v>-3.4603019787914748</v>
      </c>
      <c r="V25" s="636">
        <f>IF(M25="","",Y25)</f>
        <v>-0.62503534951083128</v>
      </c>
      <c r="W25" s="585">
        <f t="shared" si="224"/>
        <v>286.74995859842835</v>
      </c>
      <c r="X25" s="629">
        <f>IF(M25="","",R25)</f>
        <v>3.6136223031477299</v>
      </c>
      <c r="Y25" s="630">
        <f t="shared" si="223"/>
        <v>-0.62503534951083128</v>
      </c>
      <c r="Z25" s="632">
        <f t="shared" si="6"/>
        <v>4.7619596059921311E-2</v>
      </c>
      <c r="AA25" s="629">
        <f t="shared" si="7"/>
        <v>-0.95754834773763575</v>
      </c>
      <c r="AB25" s="629">
        <f t="shared" si="8"/>
        <v>-0.28431239124599139</v>
      </c>
      <c r="AC25" s="636">
        <f>IF(M25="","",SQRT(Z25^2+AA25^2+AB25^2))</f>
        <v>1</v>
      </c>
      <c r="AD25" s="637">
        <f>IF(M25="","",Z25*(1/SQRT(Z25^2+AA25^2+AB25^2)))</f>
        <v>4.7619596059921311E-2</v>
      </c>
      <c r="AE25" s="629">
        <f>IF(M25="","",AA25*(1/SQRT(Z25^2+AA25^2+AB25^2)))</f>
        <v>-0.95754834773763575</v>
      </c>
      <c r="AF25" s="633">
        <f>IF(M25="","",AB25*(1/SQRT(Z25^2+AA25^2+AB25^2)))</f>
        <v>-0.28431239124599139</v>
      </c>
      <c r="AG25" s="602">
        <f>IF(M25="","",DEGREES(ATAN2(-AF25,AE25)))</f>
        <v>-73.462950189978358</v>
      </c>
      <c r="AH25" s="603">
        <f>IF(M25="","",DEGREES(ACOS(AD25)))</f>
        <v>87.270565904185432</v>
      </c>
      <c r="AI25" s="585">
        <f>IF(M25="","",DEGREES(-ACOS(-AF25)))</f>
        <v>-73.482248702410004</v>
      </c>
      <c r="AJ25" s="586">
        <f>IF(M25="","",DEGREES(ATAN2(-AE25,AD25)))</f>
        <v>2.8470165166262911</v>
      </c>
      <c r="AK25" s="635">
        <f>IF(M25="","",(COS(RADIANS((90-$Q$8)-W25))*AD25)+(-SIN(RADIANS((90-$Q$8)-W25))*AE25))</f>
        <v>0.93358044546160568</v>
      </c>
      <c r="AL25" s="629">
        <f>IF(M25="","",(SIN(RADIANS((90-$Q$8)-W25))*AD25)+(COS(RADIANS((90-$Q$8)-W25))*AE25))</f>
        <v>-0.21816052813397807</v>
      </c>
      <c r="AM25" s="634">
        <f>IF(M25="","",AF25)</f>
        <v>-0.28431239124599139</v>
      </c>
      <c r="AN25" s="581">
        <f>IF(M25="","",DEGREES(ATAN2(-AM25,AL25)))</f>
        <v>-37.499994585670635</v>
      </c>
      <c r="AO25" s="582">
        <f>IF(ROUND(IF(M25="",0,DEGREES(ACOS(AK25))),4)=90,0,IF(M25="","",DEGREES(ACOS(AK25))))</f>
        <v>20.999996967975559</v>
      </c>
      <c r="AP25" s="585">
        <f>IF(M25="","",DEGREES(ATAN2(AK25,AL25)))</f>
        <v>-13.152942190088631</v>
      </c>
      <c r="AQ25" s="586">
        <f t="shared" si="9"/>
        <v>0.63084470883516919</v>
      </c>
      <c r="AS25" s="52">
        <f t="shared" si="116"/>
        <v>-73.25004140157165</v>
      </c>
      <c r="AT25" s="72">
        <f t="shared" si="10"/>
        <v>-0.57364643194605003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Taper</v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2.226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0.126</v>
      </c>
      <c r="II25" s="734" cm="1">
        <f t="array" ref="II25">IFERROR(ROUND(VALUE(IF($IH25&lt;1,$IH25+LARGE((IF($M$9:$M$150="",0,$M$9:$M$150)-MOD(IF($M$9:$M$150="",0,$M$9:$M$150),1)),1),$IH25)),4),"")</f>
        <v>7.1260000000000003</v>
      </c>
      <c r="IJ25" s="533">
        <f t="shared" si="112"/>
        <v>1313</v>
      </c>
      <c r="IK25" s="533">
        <f t="shared" si="66"/>
        <v>1111</v>
      </c>
      <c r="IL25" s="727">
        <f t="shared" si="225"/>
        <v>116.50003515704515</v>
      </c>
      <c r="IM25" s="759">
        <v>4.6630219451368601E-3</v>
      </c>
      <c r="IN25" s="5">
        <f t="shared" si="226"/>
        <v>0.04</v>
      </c>
      <c r="IO25" s="771">
        <v>20</v>
      </c>
      <c r="IP25" s="9">
        <f t="shared" si="227"/>
        <v>-3.586910818123028</v>
      </c>
      <c r="IQ25" s="5">
        <f t="shared" si="228"/>
        <v>-0.64690195105628445</v>
      </c>
      <c r="IR25" s="5">
        <f t="shared" si="71"/>
        <v>0.26600000000000001</v>
      </c>
      <c r="IS25" s="5">
        <f t="shared" si="229"/>
        <v>0.24559827216131225</v>
      </c>
      <c r="IT25" s="727">
        <f t="shared" si="230"/>
        <v>60.162003587065122</v>
      </c>
      <c r="IU25" s="9">
        <f t="shared" si="231"/>
        <v>-3.6136223031477299</v>
      </c>
      <c r="IV25" s="5">
        <f t="shared" si="232"/>
        <v>-0.62503534951083128</v>
      </c>
      <c r="IW25" s="5">
        <f t="shared" si="76"/>
        <v>0.219</v>
      </c>
      <c r="IX25" s="5">
        <f t="shared" si="233"/>
        <v>0.20445411755609164</v>
      </c>
      <c r="IY25" s="762">
        <f t="shared" si="234"/>
        <v>37.499994585670635</v>
      </c>
      <c r="JA25" s="798" t="str">
        <v>Inactive</v>
      </c>
      <c r="JB25" s="856" cm="1">
        <f t="array" ref="JB25">IF($JA25="","",COUNT(IF(IF($II$9:$II$150&lt;&gt;"",$IK$9:$IK$150,"")=$JA25,$IG$9:$IG$150,"")))</f>
        <v>3</v>
      </c>
      <c r="JC25" s="5"/>
      <c r="JD25" s="5"/>
      <c r="JE25" s="10"/>
      <c r="JF25" s="247">
        <v>3</v>
      </c>
      <c r="JG25" s="803" t="str">
        <v/>
      </c>
      <c r="JH25" s="787">
        <v>20</v>
      </c>
      <c r="JI25" s="803" t="str">
        <v/>
      </c>
    </row>
    <row r="26" spans="1:269" ht="15" customHeight="1" x14ac:dyDescent="0.25">
      <c r="A26" s="79"/>
      <c r="B26" s="707">
        <v>3.8120361160150398</v>
      </c>
      <c r="C26" s="708">
        <v>1.0974022752451369</v>
      </c>
      <c r="D26" s="709">
        <v>-1.2288330956111673</v>
      </c>
      <c r="E26" s="710">
        <v>5.2925378195607553E-2</v>
      </c>
      <c r="F26" s="708">
        <v>0.9731247287809337</v>
      </c>
      <c r="G26" s="711">
        <v>0.22411418200972044</v>
      </c>
      <c r="H26" s="710">
        <v>0.219</v>
      </c>
      <c r="I26" s="708">
        <v>0.42</v>
      </c>
      <c r="J26" s="570">
        <v>2.2330000000000001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1111</v>
      </c>
      <c r="L26" s="320"/>
      <c r="M26" s="168">
        <f t="shared" si="1"/>
        <v>2.2330000000000001</v>
      </c>
      <c r="N26" s="632">
        <f t="shared" si="2"/>
        <v>3.8120361160150398</v>
      </c>
      <c r="O26" s="629">
        <f t="shared" si="3"/>
        <v>1.0974022752451369</v>
      </c>
      <c r="P26" s="633">
        <f t="shared" si="4"/>
        <v>-1.2288330956111673</v>
      </c>
      <c r="Q26" s="585">
        <f t="shared" si="113"/>
        <v>16.059958698052018</v>
      </c>
      <c r="R26" s="629">
        <f>IF(M26="","",SQRT(N26^2+O26^2))</f>
        <v>3.9668515353509557</v>
      </c>
      <c r="S26" s="634">
        <f>IF(M26="","",P26)</f>
        <v>-1.2288330956111673</v>
      </c>
      <c r="T26" s="635">
        <f>IF(M26="","",X26*COS(RADIANS(W26)))</f>
        <v>1.1472062620151007</v>
      </c>
      <c r="U26" s="629">
        <f>IF(M26="","",X26*SIN(RADIANS(W26)))</f>
        <v>-3.7973449798391474</v>
      </c>
      <c r="V26" s="636">
        <f>IF(M26="","",Y26)</f>
        <v>-1.2288330956111673</v>
      </c>
      <c r="W26" s="585">
        <f t="shared" si="224"/>
        <v>286.80995858976542</v>
      </c>
      <c r="X26" s="629">
        <f>IF(M26="","",R26)</f>
        <v>3.9668515353509557</v>
      </c>
      <c r="Y26" s="630">
        <f t="shared" si="223"/>
        <v>-1.2288330956111673</v>
      </c>
      <c r="Z26" s="632">
        <f t="shared" si="6"/>
        <v>-5.2925378195607553E-2</v>
      </c>
      <c r="AA26" s="629">
        <f t="shared" si="7"/>
        <v>-0.9731247287809337</v>
      </c>
      <c r="AB26" s="629">
        <f t="shared" si="8"/>
        <v>-0.22411418200972044</v>
      </c>
      <c r="AC26" s="636">
        <f>IF(M26="","",SQRT(Z26^2+AA26^2+AB26^2))</f>
        <v>1</v>
      </c>
      <c r="AD26" s="637">
        <f>IF(M26="","",Z26*(1/SQRT(Z26^2+AA26^2+AB26^2)))</f>
        <v>-5.2925378195607553E-2</v>
      </c>
      <c r="AE26" s="629">
        <f>IF(M26="","",AA26*(1/SQRT(Z26^2+AA26^2+AB26^2)))</f>
        <v>-0.9731247287809337</v>
      </c>
      <c r="AF26" s="633">
        <f>IF(M26="","",AB26*(1/SQRT(Z26^2+AA26^2+AB26^2)))</f>
        <v>-0.22411418200972044</v>
      </c>
      <c r="AG26" s="602">
        <f>IF(M26="","",DEGREES(ATAN2(-AF26,AE26)))</f>
        <v>-77.030712543057106</v>
      </c>
      <c r="AH26" s="603">
        <f>IF(M26="","",DEGREES(ACOS(AD26)))</f>
        <v>93.033818261288815</v>
      </c>
      <c r="AI26" s="585">
        <f>IF(M26="","",DEGREES(-ACOS(-AF26)))</f>
        <v>-77.049205643104784</v>
      </c>
      <c r="AJ26" s="586">
        <f>IF(M26="","",DEGREES(ATAN2(-AE26,AD26)))</f>
        <v>-3.1130810964363973</v>
      </c>
      <c r="AK26" s="635">
        <f>IF(M26="","",(COS(RADIANS((90-$Q$8)-W26))*AD26)+(-SIN(RADIANS((90-$Q$8)-W26))*AE26))</f>
        <v>0.92050487609870535</v>
      </c>
      <c r="AL26" s="629">
        <f>IF(M26="","",(SIN(RADIANS((90-$Q$8)-W26))*AD26)+(COS(RADIANS((90-$Q$8)-W26))*AE26))</f>
        <v>-0.3200681279050146</v>
      </c>
      <c r="AM26" s="634">
        <f>IF(M26="","",AF26)</f>
        <v>-0.22411418200972044</v>
      </c>
      <c r="AN26" s="581">
        <f>IF(M26="","",DEGREES(ATAN2(-AM26,AL26)))</f>
        <v>-54.999992058983629</v>
      </c>
      <c r="AO26" s="582">
        <f t="shared" si="94"/>
        <v>22.99999667921135</v>
      </c>
      <c r="AP26" s="585">
        <f>IF(M26="","",DEGREES(ATAN2(AK26,AL26)))</f>
        <v>-19.1730397944884</v>
      </c>
      <c r="AQ26" s="586">
        <f t="shared" si="9"/>
        <v>0.57467494411282793</v>
      </c>
      <c r="AS26" s="52">
        <f t="shared" si="116"/>
        <v>-73.190041410234585</v>
      </c>
      <c r="AT26" s="72">
        <f t="shared" si="10"/>
        <v>-1.1774858447070367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>Taper</v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2.2330000000000001</v>
      </c>
      <c r="IH26" s="731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0.13300000000000001</v>
      </c>
      <c r="II26" s="734" cm="1">
        <f t="array" ref="II26">IFERROR(ROUND(VALUE(IF($IH26&lt;1,$IH26+LARGE((IF($M$9:$M$150="",0,$M$9:$M$150)-MOD(IF($M$9:$M$150="",0,$M$9:$M$150),1)),1),$IH26)),4),"")</f>
        <v>7.133</v>
      </c>
      <c r="IJ26" s="533">
        <f t="shared" si="112"/>
        <v>1313</v>
      </c>
      <c r="IK26" s="533">
        <f t="shared" si="66"/>
        <v>1111</v>
      </c>
      <c r="IL26" s="727">
        <f t="shared" si="225"/>
        <v>115.60003528698905</v>
      </c>
      <c r="IM26" s="759">
        <v>3.8951752147183397E-5</v>
      </c>
      <c r="IN26" s="5">
        <f t="shared" si="226"/>
        <v>0</v>
      </c>
      <c r="IO26" s="771">
        <v>0</v>
      </c>
      <c r="IP26" s="9">
        <f t="shared" si="227"/>
        <v>-3.9314118571381607</v>
      </c>
      <c r="IQ26" s="5">
        <f t="shared" si="228"/>
        <v>-1.2408037422640867</v>
      </c>
      <c r="IR26" s="5">
        <f t="shared" si="71"/>
        <v>0.26600000000000001</v>
      </c>
      <c r="IS26" s="5">
        <f t="shared" si="229"/>
        <v>0.24137529918286454</v>
      </c>
      <c r="IT26" s="727">
        <f t="shared" si="230"/>
        <v>78.561568627577046</v>
      </c>
      <c r="IU26" s="9">
        <f t="shared" si="231"/>
        <v>-3.9668515353509557</v>
      </c>
      <c r="IV26" s="5">
        <f t="shared" si="232"/>
        <v>-1.2288330956111673</v>
      </c>
      <c r="IW26" s="5">
        <f t="shared" si="76"/>
        <v>0.219</v>
      </c>
      <c r="IX26" s="5">
        <f t="shared" si="233"/>
        <v>0.20159056786561647</v>
      </c>
      <c r="IY26" s="762">
        <f t="shared" si="234"/>
        <v>54.999992058983629</v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3.9442059545632877</v>
      </c>
      <c r="C27" s="708">
        <v>0.81177872207396573</v>
      </c>
      <c r="D27" s="709">
        <v>-2.4427740340731532</v>
      </c>
      <c r="E27" s="710">
        <v>0.97946992852018633</v>
      </c>
      <c r="F27" s="708">
        <v>0.20159032497768767</v>
      </c>
      <c r="G27" s="711">
        <v>2.2679489682336707E-7</v>
      </c>
      <c r="H27" s="710">
        <v>0.25700000000000001</v>
      </c>
      <c r="I27" s="708">
        <v>0.41499999999999992</v>
      </c>
      <c r="J27" s="570">
        <v>2.2450000000000001</v>
      </c>
      <c r="K27" s="865" t="str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CPS-32193r1</v>
      </c>
      <c r="L27" s="320"/>
      <c r="M27" s="168">
        <f t="shared" si="1"/>
        <v>2.2450000000000001</v>
      </c>
      <c r="N27" s="632">
        <f t="shared" si="2"/>
        <v>3.9442059545632877</v>
      </c>
      <c r="O27" s="629">
        <f t="shared" si="3"/>
        <v>0.81177872207396573</v>
      </c>
      <c r="P27" s="633">
        <f t="shared" si="4"/>
        <v>-2.4427740340731532</v>
      </c>
      <c r="Q27" s="585">
        <f t="shared" si="113"/>
        <v>11.629959337664792</v>
      </c>
      <c r="R27" s="629">
        <f t="shared" si="79"/>
        <v>4.0268778607780664</v>
      </c>
      <c r="S27" s="634">
        <f t="shared" si="80"/>
        <v>-2.4427740340731532</v>
      </c>
      <c r="T27" s="635">
        <f t="shared" si="81"/>
        <v>0.86333722838313687</v>
      </c>
      <c r="U27" s="629">
        <f t="shared" si="82"/>
        <v>-3.9332421913368441</v>
      </c>
      <c r="V27" s="636">
        <f t="shared" si="114"/>
        <v>-2.4427740340731532</v>
      </c>
      <c r="W27" s="585">
        <f t="shared" si="224"/>
        <v>282.37995922937819</v>
      </c>
      <c r="X27" s="629">
        <f t="shared" si="83"/>
        <v>4.0268778607780664</v>
      </c>
      <c r="Y27" s="630">
        <f t="shared" si="223"/>
        <v>-2.4427740340731532</v>
      </c>
      <c r="Z27" s="632">
        <f t="shared" si="6"/>
        <v>-0.97946992852018633</v>
      </c>
      <c r="AA27" s="629">
        <f t="shared" si="7"/>
        <v>-0.20159032497768767</v>
      </c>
      <c r="AB27" s="629">
        <f t="shared" si="8"/>
        <v>-2.2679489682336707E-7</v>
      </c>
      <c r="AC27" s="636">
        <f t="shared" si="84"/>
        <v>1</v>
      </c>
      <c r="AD27" s="637">
        <f t="shared" si="115"/>
        <v>-0.97946992852018633</v>
      </c>
      <c r="AE27" s="629">
        <f t="shared" si="85"/>
        <v>-0.20159032497768767</v>
      </c>
      <c r="AF27" s="633">
        <f t="shared" si="86"/>
        <v>-2.2679489682336707E-7</v>
      </c>
      <c r="AG27" s="602">
        <f t="shared" si="87"/>
        <v>-89.999935540604923</v>
      </c>
      <c r="AH27" s="603">
        <f t="shared" si="88"/>
        <v>168.37002766793771</v>
      </c>
      <c r="AI27" s="585">
        <f t="shared" si="89"/>
        <v>-89.999987005609597</v>
      </c>
      <c r="AJ27" s="586">
        <f t="shared" si="90"/>
        <v>-78.370027667944825</v>
      </c>
      <c r="AK27" s="635">
        <f t="shared" si="211"/>
        <v>2.2679489697363664E-7</v>
      </c>
      <c r="AL27" s="629">
        <f t="shared" si="91"/>
        <v>-0.9999999999999486</v>
      </c>
      <c r="AM27" s="634">
        <f t="shared" si="92"/>
        <v>-2.2679489682336707E-7</v>
      </c>
      <c r="AN27" s="581">
        <f t="shared" si="93"/>
        <v>-89.999987005609597</v>
      </c>
      <c r="AO27" s="582">
        <f t="shared" si="94"/>
        <v>0</v>
      </c>
      <c r="AP27" s="585">
        <f t="shared" si="95"/>
        <v>-89.999987005609597</v>
      </c>
      <c r="AQ27" s="586">
        <f t="shared" si="9"/>
        <v>0.56610916079309637</v>
      </c>
      <c r="AS27" s="52">
        <f t="shared" si="116"/>
        <v>-77.620040770621813</v>
      </c>
      <c r="AT27" s="72">
        <f t="shared" si="10"/>
        <v>-2.3883503947243092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>Taper</v>
      </c>
      <c r="IF27" s="533" t="str">
        <f>IFERROR(IF((((($IW27*COS(RADIANS(180-$IY27)))*COS(RADIANS($IY27)))-(($IX27*SIN(RADIANS(180-$IY27)))*SIN(RADIANS($IY27))))+$IU27)&lt;(((Settings!$C$19+$IF$8)/2)*-1),"Gage",""),"")</f>
        <v>Gage</v>
      </c>
      <c r="IG27" s="847">
        <f t="shared" si="210"/>
        <v>2.2450000000000001</v>
      </c>
      <c r="IH27" s="731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2.145</v>
      </c>
      <c r="II27" s="734" cm="1">
        <f t="array" ref="II27">IFERROR(ROUND(VALUE(IF($IH27&lt;1,$IH27+LARGE((IF($M$9:$M$150="",0,$M$9:$M$150)-MOD(IF($M$9:$M$150="",0,$M$9:$M$150),1)),1),$IH27)),4),"")</f>
        <v>2.145</v>
      </c>
      <c r="IJ27" s="533">
        <f t="shared" si="112"/>
        <v>1313</v>
      </c>
      <c r="IK27" s="533" t="str">
        <f t="shared" si="66"/>
        <v>CPS-32193r1</v>
      </c>
      <c r="IL27" s="727">
        <f t="shared" si="225"/>
        <v>17.699997444436576</v>
      </c>
      <c r="IM27" s="759">
        <v>1.26764250398903E-4</v>
      </c>
      <c r="IN27" s="5">
        <f t="shared" si="226"/>
        <v>0</v>
      </c>
      <c r="IO27" s="771">
        <v>0</v>
      </c>
      <c r="IP27" s="9">
        <f t="shared" si="227"/>
        <v>-4.0652122606801786</v>
      </c>
      <c r="IQ27" s="5">
        <f t="shared" si="228"/>
        <v>-2.4408073614750023</v>
      </c>
      <c r="IR27" s="5">
        <f t="shared" si="71"/>
        <v>0.26600000000000001</v>
      </c>
      <c r="IS27" s="5">
        <f t="shared" si="229"/>
        <v>0.21789445723735959</v>
      </c>
      <c r="IT27" s="727">
        <f t="shared" si="230"/>
        <v>89.999987005609626</v>
      </c>
      <c r="IU27" s="9">
        <f t="shared" si="231"/>
        <v>-4.0268778607780664</v>
      </c>
      <c r="IV27" s="5">
        <f t="shared" si="232"/>
        <v>-2.4427740340731532</v>
      </c>
      <c r="IW27" s="5">
        <f t="shared" si="76"/>
        <v>0.25700000000000001</v>
      </c>
      <c r="IX27" s="5">
        <f t="shared" si="233"/>
        <v>0.25700000000000001</v>
      </c>
      <c r="IY27" s="762">
        <f t="shared" si="234"/>
        <v>89.999987005609597</v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0.71835290008376373</v>
      </c>
      <c r="C28" s="708">
        <v>-0.20598487704406634</v>
      </c>
      <c r="D28" s="709">
        <v>-0.41480125104057319</v>
      </c>
      <c r="E28" s="710">
        <v>0.17392285077064462</v>
      </c>
      <c r="F28" s="708">
        <v>0.92769020522505885</v>
      </c>
      <c r="G28" s="711">
        <v>0.33036604714967344</v>
      </c>
      <c r="H28" s="710">
        <v>0.26600000000000001</v>
      </c>
      <c r="I28" s="708">
        <v>0.52</v>
      </c>
      <c r="J28" s="570">
        <v>3.1030000000000002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1313</v>
      </c>
      <c r="L28" s="843"/>
      <c r="M28" s="168">
        <f t="shared" si="1"/>
        <v>3.1030000000000002</v>
      </c>
      <c r="N28" s="632">
        <f t="shared" si="2"/>
        <v>0.71835290008376373</v>
      </c>
      <c r="O28" s="629">
        <f t="shared" si="3"/>
        <v>-0.20598487704406634</v>
      </c>
      <c r="P28" s="633">
        <f t="shared" si="4"/>
        <v>-0.41480125104057319</v>
      </c>
      <c r="Q28" s="585">
        <f t="shared" si="113"/>
        <v>343.99996332694263</v>
      </c>
      <c r="R28" s="629">
        <f t="shared" si="79"/>
        <v>0.74730225386359761</v>
      </c>
      <c r="S28" s="634">
        <f t="shared" si="80"/>
        <v>-0.41480125104057319</v>
      </c>
      <c r="T28" s="635">
        <f t="shared" si="81"/>
        <v>-0.19656428224296979</v>
      </c>
      <c r="U28" s="629">
        <f t="shared" si="82"/>
        <v>-0.72098761541091605</v>
      </c>
      <c r="V28" s="636">
        <f t="shared" si="114"/>
        <v>-0.41480125104057319</v>
      </c>
      <c r="W28" s="585">
        <f t="shared" si="224"/>
        <v>254.74996321865603</v>
      </c>
      <c r="X28" s="629">
        <f t="shared" si="83"/>
        <v>0.74730225386359761</v>
      </c>
      <c r="Y28" s="630">
        <f t="shared" si="223"/>
        <v>-0.41480125104057319</v>
      </c>
      <c r="Z28" s="632">
        <f t="shared" si="6"/>
        <v>-0.17392285077064462</v>
      </c>
      <c r="AA28" s="629">
        <f t="shared" si="7"/>
        <v>-0.92769020522505885</v>
      </c>
      <c r="AB28" s="629">
        <f t="shared" si="8"/>
        <v>-0.33036604714967344</v>
      </c>
      <c r="AC28" s="636">
        <f t="shared" si="84"/>
        <v>1</v>
      </c>
      <c r="AD28" s="637">
        <f t="shared" si="115"/>
        <v>-0.17392285077064462</v>
      </c>
      <c r="AE28" s="629">
        <f t="shared" si="85"/>
        <v>-0.92769020522505885</v>
      </c>
      <c r="AF28" s="633">
        <f t="shared" si="86"/>
        <v>-0.33036604714967344</v>
      </c>
      <c r="AG28" s="602">
        <f t="shared" si="87"/>
        <v>-70.398332414385621</v>
      </c>
      <c r="AH28" s="603">
        <f t="shared" si="88"/>
        <v>100.0159807807634</v>
      </c>
      <c r="AI28" s="585">
        <f t="shared" si="89"/>
        <v>-70.709005437865216</v>
      </c>
      <c r="AJ28" s="586">
        <f t="shared" si="90"/>
        <v>-10.618517910817873</v>
      </c>
      <c r="AK28" s="635">
        <f t="shared" si="211"/>
        <v>0.93969263802333458</v>
      </c>
      <c r="AL28" s="629">
        <f t="shared" si="91"/>
        <v>8.85213021562955E-2</v>
      </c>
      <c r="AM28" s="634">
        <f t="shared" si="92"/>
        <v>-0.33036604714967344</v>
      </c>
      <c r="AN28" s="581">
        <f t="shared" si="93"/>
        <v>14.999997834268251</v>
      </c>
      <c r="AO28" s="582">
        <f t="shared" si="94"/>
        <v>19.999997112357679</v>
      </c>
      <c r="AP28" s="585">
        <f t="shared" si="95"/>
        <v>5.3815187622394749</v>
      </c>
      <c r="AQ28" s="586">
        <f t="shared" si="9"/>
        <v>3.0477307689678361</v>
      </c>
      <c r="AS28" s="52">
        <f t="shared" si="116"/>
        <v>-105.25003678134397</v>
      </c>
      <c r="AT28" s="72">
        <f t="shared" si="10"/>
        <v>-0.3411901144620611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3.1030000000000002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1313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1.3283713001816579</v>
      </c>
      <c r="C29" s="708">
        <v>-0.38090526105606215</v>
      </c>
      <c r="D29" s="709">
        <v>-0.24470073801742587</v>
      </c>
      <c r="E29" s="710">
        <v>0.17392285077064462</v>
      </c>
      <c r="F29" s="708">
        <v>0.92769020522505885</v>
      </c>
      <c r="G29" s="711">
        <v>0.33036604714967344</v>
      </c>
      <c r="H29" s="710">
        <v>0.26600000000000001</v>
      </c>
      <c r="I29" s="708">
        <v>0.52</v>
      </c>
      <c r="J29" s="570">
        <v>3.1059999999999999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1313</v>
      </c>
      <c r="L29" s="843"/>
      <c r="M29" s="168">
        <f t="shared" si="1"/>
        <v>3.1059999999999999</v>
      </c>
      <c r="N29" s="632">
        <f t="shared" si="2"/>
        <v>1.3283713001816579</v>
      </c>
      <c r="O29" s="629">
        <f t="shared" si="3"/>
        <v>-0.38090526105606215</v>
      </c>
      <c r="P29" s="633">
        <f t="shared" si="4"/>
        <v>-0.24470073801742587</v>
      </c>
      <c r="Q29" s="585">
        <f t="shared" si="113"/>
        <v>343.99996332694263</v>
      </c>
      <c r="R29" s="629">
        <f>IF(M29="","",SQRT(N29^2+O29^2))</f>
        <v>1.38190416782297</v>
      </c>
      <c r="S29" s="634">
        <f>IF(M29="","",P29)</f>
        <v>-0.24470073801742587</v>
      </c>
      <c r="T29" s="635">
        <f>IF(M29="","",X29*COS(RADIANS(W29)))</f>
        <v>-0.3634847874100896</v>
      </c>
      <c r="U29" s="629">
        <f>IF(M29="","",X29*SIN(RADIANS(W29)))</f>
        <v>-1.3332433905210019</v>
      </c>
      <c r="V29" s="636">
        <f>IF(M29="","",Y29)</f>
        <v>-0.24470073801742587</v>
      </c>
      <c r="W29" s="585">
        <f t="shared" si="224"/>
        <v>254.74996321865603</v>
      </c>
      <c r="X29" s="629">
        <f>IF(M29="","",R29)</f>
        <v>1.38190416782297</v>
      </c>
      <c r="Y29" s="630">
        <f t="shared" si="223"/>
        <v>-0.24470073801742587</v>
      </c>
      <c r="Z29" s="632">
        <f t="shared" si="6"/>
        <v>-0.17392285077064462</v>
      </c>
      <c r="AA29" s="629">
        <f t="shared" si="7"/>
        <v>-0.92769020522505885</v>
      </c>
      <c r="AB29" s="629">
        <f t="shared" si="8"/>
        <v>-0.33036604714967344</v>
      </c>
      <c r="AC29" s="636">
        <f>IF(M29="","",SQRT(Z29^2+AA29^2+AB29^2))</f>
        <v>1</v>
      </c>
      <c r="AD29" s="637">
        <f>IF(M29="","",Z29*(1/SQRT(Z29^2+AA29^2+AB29^2)))</f>
        <v>-0.17392285077064462</v>
      </c>
      <c r="AE29" s="629">
        <f>IF(M29="","",AA29*(1/SQRT(Z29^2+AA29^2+AB29^2)))</f>
        <v>-0.92769020522505885</v>
      </c>
      <c r="AF29" s="633">
        <f>IF(M29="","",AB29*(1/SQRT(Z29^2+AA29^2+AB29^2)))</f>
        <v>-0.33036604714967344</v>
      </c>
      <c r="AG29" s="602">
        <f>IF(M29="","",DEGREES(ATAN2(-AF29,AE29)))</f>
        <v>-70.398332414385621</v>
      </c>
      <c r="AH29" s="603">
        <f>IF(M29="","",DEGREES(ACOS(AD29)))</f>
        <v>100.0159807807634</v>
      </c>
      <c r="AI29" s="585">
        <f>IF(M29="","",DEGREES(-ACOS(-AF29)))</f>
        <v>-70.709005437865216</v>
      </c>
      <c r="AJ29" s="586">
        <f>IF(M29="","",DEGREES(ATAN2(-AE29,AD29)))</f>
        <v>-10.618517910817873</v>
      </c>
      <c r="AK29" s="635">
        <f>IF(M29="","",(COS(RADIANS((90-$Q$8)-W29))*AD29)+(-SIN(RADIANS((90-$Q$8)-W29))*AE29))</f>
        <v>0.93969263802333458</v>
      </c>
      <c r="AL29" s="629">
        <f>IF(M29="","",(SIN(RADIANS((90-$Q$8)-W29))*AD29)+(COS(RADIANS((90-$Q$8)-W29))*AE29))</f>
        <v>8.85213021562955E-2</v>
      </c>
      <c r="AM29" s="634">
        <f>IF(M29="","",AF29)</f>
        <v>-0.33036604714967344</v>
      </c>
      <c r="AN29" s="581">
        <f>IF(M29="","",DEGREES(ATAN2(-AM29,AL29)))</f>
        <v>14.999997834268251</v>
      </c>
      <c r="AO29" s="582">
        <f t="shared" si="94"/>
        <v>19.999997112357679</v>
      </c>
      <c r="AP29" s="585">
        <f>IF(M29="","",DEGREES(ATAN2(AK29,AL29)))</f>
        <v>5.3815187622394749</v>
      </c>
      <c r="AQ29" s="586">
        <f t="shared" si="9"/>
        <v>1.6492438617513268</v>
      </c>
      <c r="AS29" s="52">
        <f t="shared" si="116"/>
        <v>-105.25003678134397</v>
      </c>
      <c r="AT29" s="72">
        <f t="shared" si="10"/>
        <v>-0.17108960143891377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3.1059999999999999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1313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11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20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0</v>
      </c>
    </row>
    <row r="30" spans="1:269" ht="15" customHeight="1" x14ac:dyDescent="0.25">
      <c r="A30" s="79"/>
      <c r="B30" s="707">
        <v>1.9571932653384325</v>
      </c>
      <c r="C30" s="708">
        <v>-0.57640586602011024</v>
      </c>
      <c r="D30" s="709">
        <v>-8.0800243693534987E-2</v>
      </c>
      <c r="E30" s="710">
        <v>0.26703786465206375</v>
      </c>
      <c r="F30" s="708">
        <v>0.89987322495903332</v>
      </c>
      <c r="G30" s="711">
        <v>0.34484628147030238</v>
      </c>
      <c r="H30" s="710">
        <v>0.26600000000000001</v>
      </c>
      <c r="I30" s="708">
        <v>0.52</v>
      </c>
      <c r="J30" s="570">
        <v>3.109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1313</v>
      </c>
      <c r="L30" s="320"/>
      <c r="M30" s="168">
        <f t="shared" si="1"/>
        <v>3.109</v>
      </c>
      <c r="N30" s="632">
        <f t="shared" si="2"/>
        <v>1.9571932653384325</v>
      </c>
      <c r="O30" s="629">
        <f t="shared" si="3"/>
        <v>-0.57640586602011024</v>
      </c>
      <c r="P30" s="633">
        <f t="shared" si="4"/>
        <v>-8.0800243693534987E-2</v>
      </c>
      <c r="Q30" s="585">
        <f t="shared" si="113"/>
        <v>343.58996338613929</v>
      </c>
      <c r="R30" s="629">
        <f>IF(M30="","",SQRT(N30^2+O30^2))</f>
        <v>2.0403061535633591</v>
      </c>
      <c r="S30" s="634">
        <f>IF(M30="","",P30)</f>
        <v>-8.0800243693534987E-2</v>
      </c>
      <c r="T30" s="635">
        <f>IF(M30="","",X30*COS(RADIANS(W30)))</f>
        <v>-0.55073761934592935</v>
      </c>
      <c r="U30" s="629">
        <f>IF(M30="","",X30*SIN(RADIANS(W30)))</f>
        <v>-1.9645705064735366</v>
      </c>
      <c r="V30" s="636">
        <f>IF(M30="","",Y30)</f>
        <v>-8.0800243693534987E-2</v>
      </c>
      <c r="W30" s="585">
        <f t="shared" si="224"/>
        <v>254.33996327785269</v>
      </c>
      <c r="X30" s="629">
        <f>IF(M30="","",R30)</f>
        <v>2.0403061535633591</v>
      </c>
      <c r="Y30" s="630">
        <f t="shared" si="223"/>
        <v>-8.0800243693534987E-2</v>
      </c>
      <c r="Z30" s="632">
        <f t="shared" si="6"/>
        <v>-0.26703786465206375</v>
      </c>
      <c r="AA30" s="629">
        <f t="shared" si="7"/>
        <v>-0.89987322495903332</v>
      </c>
      <c r="AB30" s="629">
        <f t="shared" si="8"/>
        <v>-0.34484628147030238</v>
      </c>
      <c r="AC30" s="636">
        <f>IF(M30="","",SQRT(Z30^2+AA30^2+AB30^2))</f>
        <v>1</v>
      </c>
      <c r="AD30" s="637">
        <f>IF(M30="","",Z30*(1/SQRT(Z30^2+AA30^2+AB30^2)))</f>
        <v>-0.26703786465206375</v>
      </c>
      <c r="AE30" s="629">
        <f>IF(M30="","",AA30*(1/SQRT(Z30^2+AA30^2+AB30^2)))</f>
        <v>-0.89987322495903332</v>
      </c>
      <c r="AF30" s="633">
        <f>IF(M30="","",AB30*(1/SQRT(Z30^2+AA30^2+AB30^2)))</f>
        <v>-0.34484628147030238</v>
      </c>
      <c r="AG30" s="602">
        <f>IF(M30="","",DEGREES(ATAN2(-AF30,AE30)))</f>
        <v>-69.032342469229022</v>
      </c>
      <c r="AH30" s="603">
        <f>IF(M30="","",DEGREES(ACOS(AD30)))</f>
        <v>105.48807828555502</v>
      </c>
      <c r="AI30" s="585">
        <f>IF(M30="","",DEGREES(-ACOS(-AF30)))</f>
        <v>-69.82758749836114</v>
      </c>
      <c r="AJ30" s="586">
        <f>IF(M30="","",DEGREES(ATAN2(-AE30,AD30)))</f>
        <v>-16.528284142568666</v>
      </c>
      <c r="AK30" s="635">
        <f>IF(M30="","",(COS(RADIANS((90-$Q$8)-W30))*AD30)+(-SIN(RADIANS((90-$Q$8)-W30))*AE30))</f>
        <v>0.93865717350229894</v>
      </c>
      <c r="AL30" s="629">
        <f>IF(M30="","",(SIN(RADIANS((90-$Q$8)-W30))*AD30)+(COS(RADIANS((90-$Q$8)-W30))*AE30))</f>
        <v>-1.9372115991754257E-3</v>
      </c>
      <c r="AM30" s="634">
        <f>IF(M30="","",AF30)</f>
        <v>-0.34484628147030238</v>
      </c>
      <c r="AN30" s="581">
        <f>IF(M30="","",DEGREES(ATAN2(-AM30,AL30)))</f>
        <v>-0.3218619050765002</v>
      </c>
      <c r="AO30" s="582">
        <f>IF(ROUND(IF(M30="",0,DEGREES(ACOS(AK30))),4)=90,0,IF(M30="","",DEGREES(ACOS(AK30))))</f>
        <v>20.172744633331451</v>
      </c>
      <c r="AP30" s="585">
        <f>IF(M30="","",DEGREES(ATAN2(AK30,AL30)))</f>
        <v>-0.11824752870792132</v>
      </c>
      <c r="AQ30" s="586">
        <f t="shared" si="9"/>
        <v>1.1172037580590084</v>
      </c>
      <c r="AS30" s="52">
        <f t="shared" si="116"/>
        <v>-105.66003672214731</v>
      </c>
      <c r="AT30" s="72">
        <f t="shared" si="10"/>
        <v>-6.9043849339094771E-3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3.109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1313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10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20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2.6298937815027301</v>
      </c>
      <c r="C31" s="708">
        <v>-0.83677994773132036</v>
      </c>
      <c r="D31" s="709">
        <v>-0.12790038574756343</v>
      </c>
      <c r="E31" s="710">
        <v>0.44423634051532784</v>
      </c>
      <c r="F31" s="708">
        <v>0.84009269748549431</v>
      </c>
      <c r="G31" s="711">
        <v>0.31128497136401478</v>
      </c>
      <c r="H31" s="710">
        <v>0.26600000000000001</v>
      </c>
      <c r="I31" s="708">
        <v>0.52</v>
      </c>
      <c r="J31" s="570">
        <v>3.1160000000000001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1313</v>
      </c>
      <c r="L31" s="320"/>
      <c r="M31" s="168">
        <f t="shared" si="1"/>
        <v>3.1160000000000001</v>
      </c>
      <c r="N31" s="632">
        <f t="shared" si="2"/>
        <v>2.6298937815027301</v>
      </c>
      <c r="O31" s="629">
        <f t="shared" si="3"/>
        <v>-0.83677994773132036</v>
      </c>
      <c r="P31" s="633">
        <f t="shared" si="4"/>
        <v>-0.12790038574756343</v>
      </c>
      <c r="Q31" s="585">
        <f t="shared" si="113"/>
        <v>342.34996356517314</v>
      </c>
      <c r="R31" s="629">
        <f>IF(M31="","",SQRT(N31^2+O31^2))</f>
        <v>2.7598083235819044</v>
      </c>
      <c r="S31" s="634">
        <f>IF(M31="","",P31)</f>
        <v>-0.12790038574756343</v>
      </c>
      <c r="T31" s="635">
        <f>IF(M31="","",X31*COS(RADIANS(W31)))</f>
        <v>-0.80228401775837521</v>
      </c>
      <c r="U31" s="629">
        <f>IF(M31="","",X31*SIN(RADIANS(W31)))</f>
        <v>-2.6406215817040959</v>
      </c>
      <c r="V31" s="636">
        <f>IF(M31="","",Y31)</f>
        <v>-0.12790038574756343</v>
      </c>
      <c r="W31" s="585">
        <f t="shared" si="224"/>
        <v>253.09996345688654</v>
      </c>
      <c r="X31" s="629">
        <f>IF(M31="","",R31)</f>
        <v>2.7598083235819044</v>
      </c>
      <c r="Y31" s="630">
        <f t="shared" si="223"/>
        <v>-0.12790038574756343</v>
      </c>
      <c r="Z31" s="632">
        <f t="shared" si="6"/>
        <v>-0.44423634051532784</v>
      </c>
      <c r="AA31" s="629">
        <f t="shared" si="7"/>
        <v>-0.84009269748549431</v>
      </c>
      <c r="AB31" s="629">
        <f t="shared" si="8"/>
        <v>-0.31128497136401478</v>
      </c>
      <c r="AC31" s="636">
        <f>IF(M31="","",SQRT(Z31^2+AA31^2+AB31^2))</f>
        <v>1</v>
      </c>
      <c r="AD31" s="637">
        <f>IF(M31="","",Z31*(1/SQRT(Z31^2+AA31^2+AB31^2)))</f>
        <v>-0.44423634051532784</v>
      </c>
      <c r="AE31" s="629">
        <f>IF(M31="","",AA31*(1/SQRT(Z31^2+AA31^2+AB31^2)))</f>
        <v>-0.84009269748549431</v>
      </c>
      <c r="AF31" s="633">
        <f>IF(M31="","",AB31*(1/SQRT(Z31^2+AA31^2+AB31^2)))</f>
        <v>-0.31128497136401478</v>
      </c>
      <c r="AG31" s="602">
        <f>IF(M31="","",DEGREES(ATAN2(-AF31,AE31)))</f>
        <v>-69.668495475554678</v>
      </c>
      <c r="AH31" s="603">
        <f>IF(M31="","",DEGREES(ACOS(AD31)))</f>
        <v>116.37449040052749</v>
      </c>
      <c r="AI31" s="585">
        <f>IF(M31="","",DEGREES(-ACOS(-AF31)))</f>
        <v>-71.863314100934758</v>
      </c>
      <c r="AJ31" s="586">
        <f>IF(M31="","",DEGREES(ATAN2(-AE31,AD31)))</f>
        <v>-27.869636689711204</v>
      </c>
      <c r="AK31" s="635">
        <f>IF(M31="","",(COS(RADIANS((90-$Q$8)-W31))*AD31)+(-SIN(RADIANS((90-$Q$8)-W31))*AE31))</f>
        <v>0.93523981384684918</v>
      </c>
      <c r="AL31" s="629">
        <f>IF(M31="","",(SIN(RADIANS((90-$Q$8)-W31))*AD31)+(COS(RADIANS((90-$Q$8)-W31))*AE31))</f>
        <v>-0.16860651588421932</v>
      </c>
      <c r="AM31" s="634">
        <f>IF(M31="","",AF31)</f>
        <v>-0.31128497136401478</v>
      </c>
      <c r="AN31" s="581">
        <f>IF(M31="","",DEGREES(ATAN2(-AM31,AL31)))</f>
        <v>-28.442049586590336</v>
      </c>
      <c r="AO31" s="582">
        <f t="shared" si="94"/>
        <v>20.733076867569704</v>
      </c>
      <c r="AP31" s="585">
        <f>IF(M31="","",DEGREES(ATAN2(AK31,AL31)))</f>
        <v>-10.219600254884318</v>
      </c>
      <c r="AQ31" s="586">
        <f t="shared" si="9"/>
        <v>0.8259880516323902</v>
      </c>
      <c r="AS31" s="52">
        <f t="shared" si="116"/>
        <v>-106.90003654311346</v>
      </c>
      <c r="AT31" s="72">
        <f t="shared" si="10"/>
        <v>-5.314341600115588E-2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3.1160000000000001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1313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3.1886782314032964</v>
      </c>
      <c r="C32" s="708">
        <v>-1.0973297458729352</v>
      </c>
      <c r="D32" s="709">
        <v>-0.44270133518722693</v>
      </c>
      <c r="E32" s="710">
        <v>0.57958924479423934</v>
      </c>
      <c r="F32" s="708">
        <v>0.77879426789366135</v>
      </c>
      <c r="G32" s="711">
        <v>0.23990788985529346</v>
      </c>
      <c r="H32" s="710">
        <v>0.26600000000000001</v>
      </c>
      <c r="I32" s="708">
        <v>0.52</v>
      </c>
      <c r="J32" s="570">
        <v>3.1230000000000002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1313</v>
      </c>
      <c r="L32" s="320"/>
      <c r="M32" s="168">
        <f t="shared" si="1"/>
        <v>3.1230000000000002</v>
      </c>
      <c r="N32" s="632">
        <f t="shared" si="2"/>
        <v>3.1886782314032964</v>
      </c>
      <c r="O32" s="629">
        <f t="shared" si="3"/>
        <v>-1.0973297458729352</v>
      </c>
      <c r="P32" s="633">
        <f t="shared" si="4"/>
        <v>-0.44270133518722693</v>
      </c>
      <c r="Q32" s="585">
        <f t="shared" si="113"/>
        <v>341.0099637586452</v>
      </c>
      <c r="R32" s="629">
        <f t="shared" si="79"/>
        <v>3.3722101705858747</v>
      </c>
      <c r="S32" s="634">
        <f t="shared" si="80"/>
        <v>-0.44270133518722693</v>
      </c>
      <c r="T32" s="635">
        <f t="shared" si="81"/>
        <v>-1.0554972325683696</v>
      </c>
      <c r="U32" s="629">
        <f t="shared" si="82"/>
        <v>-3.202768650190539</v>
      </c>
      <c r="V32" s="636">
        <f t="shared" si="114"/>
        <v>-0.44270133518722693</v>
      </c>
      <c r="W32" s="585">
        <f t="shared" si="224"/>
        <v>251.7599636503586</v>
      </c>
      <c r="X32" s="629">
        <f t="shared" si="83"/>
        <v>3.3722101705858747</v>
      </c>
      <c r="Y32" s="630">
        <f t="shared" si="223"/>
        <v>-0.44270133518722693</v>
      </c>
      <c r="Z32" s="632">
        <f t="shared" si="6"/>
        <v>-0.57958924479423934</v>
      </c>
      <c r="AA32" s="629">
        <f t="shared" si="7"/>
        <v>-0.77879426789366135</v>
      </c>
      <c r="AB32" s="629">
        <f t="shared" si="8"/>
        <v>-0.23990788985529346</v>
      </c>
      <c r="AC32" s="636">
        <f t="shared" si="84"/>
        <v>1</v>
      </c>
      <c r="AD32" s="637">
        <f t="shared" si="115"/>
        <v>-0.57958924479423934</v>
      </c>
      <c r="AE32" s="629">
        <f t="shared" si="85"/>
        <v>-0.77879426789366135</v>
      </c>
      <c r="AF32" s="633">
        <f t="shared" si="86"/>
        <v>-0.23990788985529346</v>
      </c>
      <c r="AG32" s="602">
        <f t="shared" si="87"/>
        <v>-72.878529922296266</v>
      </c>
      <c r="AH32" s="603">
        <f t="shared" si="88"/>
        <v>125.42165749087319</v>
      </c>
      <c r="AI32" s="585">
        <f t="shared" si="89"/>
        <v>-76.118895986817776</v>
      </c>
      <c r="AJ32" s="586">
        <f t="shared" si="90"/>
        <v>-36.657122478469958</v>
      </c>
      <c r="AK32" s="635">
        <f t="shared" si="211"/>
        <v>0.92500902662688866</v>
      </c>
      <c r="AL32" s="629">
        <f t="shared" si="91"/>
        <v>-0.29462264855906212</v>
      </c>
      <c r="AM32" s="634">
        <f t="shared" si="92"/>
        <v>-0.23990788985529346</v>
      </c>
      <c r="AN32" s="581">
        <f t="shared" si="93"/>
        <v>-50.844463438244901</v>
      </c>
      <c r="AO32" s="582">
        <f t="shared" si="94"/>
        <v>22.330283831964618</v>
      </c>
      <c r="AP32" s="585">
        <f t="shared" si="95"/>
        <v>-17.667086237115139</v>
      </c>
      <c r="AQ32" s="586">
        <f t="shared" si="9"/>
        <v>0.67600200863659077</v>
      </c>
      <c r="AS32" s="52">
        <f t="shared" si="116"/>
        <v>-108.2400363496414</v>
      </c>
      <c r="AT32" s="72">
        <f t="shared" si="10"/>
        <v>-0.36701381001961941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3.1230000000000002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1313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3.5822405668447264</v>
      </c>
      <c r="C33" s="708">
        <v>-1.3066643927611319</v>
      </c>
      <c r="D33" s="709">
        <v>-0.96990292522722243</v>
      </c>
      <c r="E33" s="710">
        <v>0.67189251869667788</v>
      </c>
      <c r="F33" s="708">
        <v>0.72896978279059277</v>
      </c>
      <c r="G33" s="711">
        <v>0.13100953819348579</v>
      </c>
      <c r="H33" s="710">
        <v>0.26600000000000001</v>
      </c>
      <c r="I33" s="708">
        <v>0.52</v>
      </c>
      <c r="J33" s="570">
        <v>3.13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1313</v>
      </c>
      <c r="L33" s="320"/>
      <c r="M33" s="168">
        <f t="shared" si="1"/>
        <v>3.13</v>
      </c>
      <c r="N33" s="632">
        <f t="shared" si="2"/>
        <v>3.5822405668447264</v>
      </c>
      <c r="O33" s="629">
        <f t="shared" si="3"/>
        <v>-1.3066643927611319</v>
      </c>
      <c r="P33" s="633">
        <f t="shared" si="4"/>
        <v>-0.96990292522722243</v>
      </c>
      <c r="Q33" s="585">
        <f t="shared" si="113"/>
        <v>339.95996391024642</v>
      </c>
      <c r="R33" s="629">
        <f t="shared" si="79"/>
        <v>3.8131115003442848</v>
      </c>
      <c r="S33" s="634">
        <f t="shared" si="80"/>
        <v>-0.96990292522722243</v>
      </c>
      <c r="T33" s="635">
        <f t="shared" si="81"/>
        <v>-1.2596623741954116</v>
      </c>
      <c r="U33" s="629">
        <f t="shared" si="82"/>
        <v>-3.5990373736728856</v>
      </c>
      <c r="V33" s="636">
        <f t="shared" si="114"/>
        <v>-0.96990292522722243</v>
      </c>
      <c r="W33" s="585">
        <f t="shared" si="224"/>
        <v>250.70996380195982</v>
      </c>
      <c r="X33" s="629">
        <f t="shared" si="83"/>
        <v>3.8131115003442848</v>
      </c>
      <c r="Y33" s="630">
        <f t="shared" si="223"/>
        <v>-0.96990292522722243</v>
      </c>
      <c r="Z33" s="632">
        <f t="shared" si="6"/>
        <v>-0.67189251869667788</v>
      </c>
      <c r="AA33" s="629">
        <f t="shared" si="7"/>
        <v>-0.72896978279059277</v>
      </c>
      <c r="AB33" s="629">
        <f t="shared" si="8"/>
        <v>-0.13100953819348579</v>
      </c>
      <c r="AC33" s="636">
        <f t="shared" si="84"/>
        <v>1</v>
      </c>
      <c r="AD33" s="637">
        <f t="shared" si="115"/>
        <v>-0.67189251869667788</v>
      </c>
      <c r="AE33" s="629">
        <f t="shared" si="85"/>
        <v>-0.72896978279059277</v>
      </c>
      <c r="AF33" s="633">
        <f t="shared" si="86"/>
        <v>-0.13100953819348579</v>
      </c>
      <c r="AG33" s="602">
        <f t="shared" si="87"/>
        <v>-79.811635755672015</v>
      </c>
      <c r="AH33" s="603">
        <f t="shared" si="88"/>
        <v>132.21329887038252</v>
      </c>
      <c r="AI33" s="585">
        <f t="shared" si="89"/>
        <v>-82.472066450405208</v>
      </c>
      <c r="AJ33" s="586">
        <f t="shared" si="90"/>
        <v>-42.666809604743726</v>
      </c>
      <c r="AK33" s="635">
        <f t="shared" si="211"/>
        <v>0.91507503977917914</v>
      </c>
      <c r="AL33" s="629">
        <f t="shared" si="91"/>
        <v>-0.38141076607178159</v>
      </c>
      <c r="AM33" s="634">
        <f t="shared" si="92"/>
        <v>-0.13100953819348579</v>
      </c>
      <c r="AN33" s="581">
        <f t="shared" si="93"/>
        <v>-71.043083301994969</v>
      </c>
      <c r="AO33" s="582">
        <f t="shared" si="94"/>
        <v>23.783614061136952</v>
      </c>
      <c r="AP33" s="585">
        <f t="shared" si="95"/>
        <v>-22.626773514990127</v>
      </c>
      <c r="AQ33" s="586">
        <f t="shared" si="9"/>
        <v>0.59784349232019818</v>
      </c>
      <c r="AS33" s="52">
        <f t="shared" si="116"/>
        <v>-109.29003619804018</v>
      </c>
      <c r="AT33" s="72">
        <f t="shared" si="10"/>
        <v>-0.89348623349822687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3.13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1313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3.7592048884433296</v>
      </c>
      <c r="C34" s="708">
        <v>-1.4085038783335815</v>
      </c>
      <c r="D34" s="709">
        <v>-1.6249049007131806</v>
      </c>
      <c r="E34" s="710">
        <v>0.73481717326149276</v>
      </c>
      <c r="F34" s="708">
        <v>0.67798539937689795</v>
      </c>
      <c r="G34" s="711">
        <v>1.9481275926841211E-2</v>
      </c>
      <c r="H34" s="710">
        <v>0.26600000000000001</v>
      </c>
      <c r="I34" s="708">
        <v>0.52</v>
      </c>
      <c r="J34" s="570">
        <v>3.137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1313</v>
      </c>
      <c r="L34" s="320"/>
      <c r="M34" s="168">
        <f t="shared" si="1"/>
        <v>3.137</v>
      </c>
      <c r="N34" s="632">
        <f t="shared" si="2"/>
        <v>3.7592048884433296</v>
      </c>
      <c r="O34" s="629">
        <f t="shared" si="3"/>
        <v>-1.4085038783335815</v>
      </c>
      <c r="P34" s="633">
        <f t="shared" si="4"/>
        <v>-1.6249049007131806</v>
      </c>
      <c r="Q34" s="585">
        <f t="shared" si="113"/>
        <v>339.45996398243744</v>
      </c>
      <c r="R34" s="629">
        <f>IF(M34="","",SQRT(N34^2+O34^2))</f>
        <v>4.0144121074669163</v>
      </c>
      <c r="S34" s="634">
        <f>IF(M34="","",P34)</f>
        <v>-1.6249049007131806</v>
      </c>
      <c r="T34" s="635">
        <f>IF(M34="","",X34*COS(RADIANS(W34)))</f>
        <v>-1.3591767438687339</v>
      </c>
      <c r="U34" s="629">
        <f>IF(M34="","",X34*SIN(RADIANS(W34)))</f>
        <v>-3.7773195718000023</v>
      </c>
      <c r="V34" s="636">
        <f>IF(M34="","",Y34)</f>
        <v>-1.6249049007131806</v>
      </c>
      <c r="W34" s="585">
        <f t="shared" si="224"/>
        <v>250.20996387415084</v>
      </c>
      <c r="X34" s="629">
        <f>IF(M34="","",R34)</f>
        <v>4.0144121074669163</v>
      </c>
      <c r="Y34" s="630">
        <f t="shared" si="223"/>
        <v>-1.6249049007131806</v>
      </c>
      <c r="Z34" s="632">
        <f t="shared" si="6"/>
        <v>-0.73481717326149276</v>
      </c>
      <c r="AA34" s="629">
        <f t="shared" si="7"/>
        <v>-0.67798539937689795</v>
      </c>
      <c r="AB34" s="629">
        <f t="shared" si="8"/>
        <v>-1.9481275926841211E-2</v>
      </c>
      <c r="AC34" s="636">
        <f>IF(M34="","",SQRT(Z34^2+AA34^2+AB34^2))</f>
        <v>1</v>
      </c>
      <c r="AD34" s="637">
        <f>IF(M34="","",Z34*(1/SQRT(Z34^2+AA34^2+AB34^2)))</f>
        <v>-0.73481717326149276</v>
      </c>
      <c r="AE34" s="629">
        <f>IF(M34="","",AA34*(1/SQRT(Z34^2+AA34^2+AB34^2)))</f>
        <v>-0.67798539937689795</v>
      </c>
      <c r="AF34" s="633">
        <f>IF(M34="","",AB34*(1/SQRT(Z34^2+AA34^2+AB34^2)))</f>
        <v>-1.9481275926841211E-2</v>
      </c>
      <c r="AG34" s="602">
        <f>IF(M34="","",DEGREES(ATAN2(-AF34,AE34)))</f>
        <v>-88.354112272710466</v>
      </c>
      <c r="AH34" s="603">
        <f>IF(M34="","",DEGREES(ACOS(AD34)))</f>
        <v>137.29176974260298</v>
      </c>
      <c r="AI34" s="585">
        <f>IF(M34="","",DEGREES(-ACOS(-AF34)))</f>
        <v>-88.883734494733346</v>
      </c>
      <c r="AJ34" s="586">
        <f>IF(M34="","",DEGREES(ATAN2(-AE34,AD34)))</f>
        <v>-47.303553375467125</v>
      </c>
      <c r="AK34" s="635">
        <f>IF(M34="","",(COS(RADIANS((90-$Q$8)-W34))*AD34)+(-SIN(RADIANS((90-$Q$8)-W34))*AE34))</f>
        <v>0.89270328259772569</v>
      </c>
      <c r="AL34" s="629">
        <f>IF(M34="","",(SIN(RADIANS((90-$Q$8)-W34))*AD34)+(COS(RADIANS((90-$Q$8)-W34))*AE34))</f>
        <v>-0.45022364345679089</v>
      </c>
      <c r="AM34" s="634">
        <f>IF(M34="","",AF34)</f>
        <v>-1.9481275926841211E-2</v>
      </c>
      <c r="AN34" s="581">
        <f>IF(M34="","",DEGREES(ATAN2(-AM34,AL34)))</f>
        <v>-87.522344580921256</v>
      </c>
      <c r="AO34" s="582">
        <f t="shared" si="94"/>
        <v>26.785069257842512</v>
      </c>
      <c r="AP34" s="585">
        <f>IF(M34="","",DEGREES(ATAN2(AK34,AL34)))</f>
        <v>-26.763517357904568</v>
      </c>
      <c r="AQ34" s="586">
        <f t="shared" si="9"/>
        <v>0.56786695634051043</v>
      </c>
      <c r="AS34" s="52">
        <f t="shared" si="116"/>
        <v>-109.79003612584916</v>
      </c>
      <c r="AT34" s="72">
        <f t="shared" si="10"/>
        <v>-1.5481409868120954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3.137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1313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3.8035295058181458</v>
      </c>
      <c r="C35" s="708">
        <v>-1.4349613314494649</v>
      </c>
      <c r="D35" s="709">
        <v>-2.3422070640965056</v>
      </c>
      <c r="E35" s="710">
        <v>0.8258034243137865</v>
      </c>
      <c r="F35" s="708">
        <v>0.56395806971051277</v>
      </c>
      <c r="G35" s="711">
        <v>1.3008419242048708E-7</v>
      </c>
      <c r="H35" s="710">
        <v>0.26600000000000001</v>
      </c>
      <c r="I35" s="708">
        <v>0.52</v>
      </c>
      <c r="J35" s="570">
        <v>3.1440000000000001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1313</v>
      </c>
      <c r="L35" s="320"/>
      <c r="M35" s="168">
        <f t="shared" si="1"/>
        <v>3.1440000000000001</v>
      </c>
      <c r="N35" s="632">
        <f t="shared" si="2"/>
        <v>3.8035295058181458</v>
      </c>
      <c r="O35" s="629">
        <f t="shared" si="3"/>
        <v>-1.4349613314494649</v>
      </c>
      <c r="P35" s="633">
        <f t="shared" si="4"/>
        <v>-2.3422070640965056</v>
      </c>
      <c r="Q35" s="585">
        <f t="shared" si="113"/>
        <v>339.32996400120714</v>
      </c>
      <c r="R35" s="629">
        <f>IF(M35="","",SQRT(N35^2+O35^2))</f>
        <v>4.0652122606801786</v>
      </c>
      <c r="S35" s="634">
        <f>IF(M35="","",P35)</f>
        <v>-2.3422070640965056</v>
      </c>
      <c r="T35" s="635">
        <f>IF(M35="","",X35*COS(RADIANS(W35)))</f>
        <v>-1.3850517390795496</v>
      </c>
      <c r="U35" s="629">
        <f>IF(M35="","",X35*SIN(RADIANS(W35)))</f>
        <v>-3.8219867090895496</v>
      </c>
      <c r="V35" s="636">
        <f>IF(M35="","",Y35)</f>
        <v>-2.3422070640965056</v>
      </c>
      <c r="W35" s="585">
        <f t="shared" si="224"/>
        <v>250.07996389292055</v>
      </c>
      <c r="X35" s="629">
        <f>IF(M35="","",R35)</f>
        <v>4.0652122606801786</v>
      </c>
      <c r="Y35" s="630">
        <f t="shared" si="223"/>
        <v>-2.3422070640965056</v>
      </c>
      <c r="Z35" s="632">
        <f t="shared" si="6"/>
        <v>-0.8258034243137865</v>
      </c>
      <c r="AA35" s="629">
        <f t="shared" si="7"/>
        <v>-0.56395806971051277</v>
      </c>
      <c r="AB35" s="629">
        <f t="shared" si="8"/>
        <v>-1.3008419242048708E-7</v>
      </c>
      <c r="AC35" s="636">
        <f>IF(M35="","",SQRT(Z35^2+AA35^2+AB35^2))</f>
        <v>1</v>
      </c>
      <c r="AD35" s="637">
        <f>IF(M35="","",Z35*(1/SQRT(Z35^2+AA35^2+AB35^2)))</f>
        <v>-0.8258034243137865</v>
      </c>
      <c r="AE35" s="629">
        <f>IF(M35="","",AA35*(1/SQRT(Z35^2+AA35^2+AB35^2)))</f>
        <v>-0.56395806971051277</v>
      </c>
      <c r="AF35" s="633">
        <f>IF(M35="","",AB35*(1/SQRT(Z35^2+AA35^2+AB35^2)))</f>
        <v>-1.3008419242048708E-7</v>
      </c>
      <c r="AG35" s="602">
        <f>IF(M35="","",DEGREES(ATAN2(-AF35,AE35)))</f>
        <v>-89.999986783990508</v>
      </c>
      <c r="AH35" s="603">
        <f>IF(M35="","",DEGREES(ACOS(AD35)))</f>
        <v>145.67003094541744</v>
      </c>
      <c r="AI35" s="585">
        <f>IF(M35="","",DEGREES(-ACOS(-AF35)))</f>
        <v>-89.999992546724783</v>
      </c>
      <c r="AJ35" s="586">
        <f>IF(M35="","",DEGREES(ATAN2(-AE35,AD35)))</f>
        <v>-55.670030945418141</v>
      </c>
      <c r="AK35" s="635">
        <f>IF(M35="","",(COS(RADIANS((90-$Q$8)-W35))*AD35)+(-SIN(RADIANS((90-$Q$8)-W35))*AE35))</f>
        <v>0.8191520948772919</v>
      </c>
      <c r="AL35" s="629">
        <f>IF(M35="","",(SIN(RADIANS((90-$Q$8)-W35))*AD35)+(COS(RADIANS((90-$Q$8)-W35))*AE35))</f>
        <v>-0.57357636410344481</v>
      </c>
      <c r="AM35" s="634">
        <f>IF(M35="","",AF35)</f>
        <v>-1.3008419242048708E-7</v>
      </c>
      <c r="AN35" s="581">
        <f>IF(M35="","",DEGREES(ATAN2(-AM35,AL35)))</f>
        <v>-89.999987005609597</v>
      </c>
      <c r="AO35" s="582">
        <f t="shared" si="94"/>
        <v>34.999994946625968</v>
      </c>
      <c r="AP35" s="585">
        <f>IF(M35="","",DEGREES(ATAN2(AK35,AL35)))</f>
        <v>-34.999994946625286</v>
      </c>
      <c r="AQ35" s="586">
        <f t="shared" si="9"/>
        <v>0.56077117076363792</v>
      </c>
      <c r="AS35" s="52">
        <f t="shared" si="116"/>
        <v>-109.92003610707945</v>
      </c>
      <c r="AT35" s="72">
        <f t="shared" si="10"/>
        <v>-2.2653528724306771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3.1440000000000001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1313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1.0159085245738206</v>
      </c>
      <c r="C36" s="708">
        <v>-1.2323969755749864</v>
      </c>
      <c r="D36" s="709">
        <v>-0.21520000000000014</v>
      </c>
      <c r="E36" s="710">
        <v>1.7500059740104351E-7</v>
      </c>
      <c r="F36" s="708">
        <v>1.4425919747787446E-7</v>
      </c>
      <c r="G36" s="711">
        <v>0.99999999999997435</v>
      </c>
      <c r="H36" s="710">
        <v>0.26250000000000001</v>
      </c>
      <c r="I36" s="708">
        <v>0.40699999999999997</v>
      </c>
      <c r="J36" s="570">
        <v>3.2069999999999999</v>
      </c>
      <c r="K36" s="865" t="str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Inactive</v>
      </c>
      <c r="L36" s="320"/>
      <c r="M36" s="168">
        <f t="shared" si="1"/>
        <v>3.2069999999999999</v>
      </c>
      <c r="N36" s="632">
        <f t="shared" si="2"/>
        <v>1.0159085245738206</v>
      </c>
      <c r="O36" s="629">
        <f t="shared" si="3"/>
        <v>-1.2323969755749864</v>
      </c>
      <c r="P36" s="633">
        <f t="shared" si="4"/>
        <v>-0.21520000000000014</v>
      </c>
      <c r="Q36" s="585">
        <f t="shared" si="113"/>
        <v>309.49996832820881</v>
      </c>
      <c r="R36" s="629">
        <f>IF(M36="","",SQRT(N36^2+O36^2))</f>
        <v>1.5971450891225039</v>
      </c>
      <c r="S36" s="634">
        <f>IF(M36="","",P36)</f>
        <v>-0.21520000000000014</v>
      </c>
      <c r="T36" s="635">
        <f>IF(M36="","",X36*COS(RADIANS(W36)))</f>
        <v>-1.2189935633624978</v>
      </c>
      <c r="U36" s="629">
        <f>IF(M36="","",X36*SIN(RADIANS(W36)))</f>
        <v>-1.0319530649157116</v>
      </c>
      <c r="V36" s="636">
        <f>IF(M36="","",Y36)</f>
        <v>-0.21520000000000014</v>
      </c>
      <c r="W36" s="585">
        <f t="shared" si="224"/>
        <v>220.24996821992221</v>
      </c>
      <c r="X36" s="629">
        <f>IF(M36="","",R36)</f>
        <v>1.5971450891225039</v>
      </c>
      <c r="Y36" s="630">
        <f t="shared" si="223"/>
        <v>-0.21520000000000014</v>
      </c>
      <c r="Z36" s="632">
        <f t="shared" si="6"/>
        <v>-1.7500059740104351E-7</v>
      </c>
      <c r="AA36" s="629">
        <f t="shared" si="7"/>
        <v>-1.4425919747787446E-7</v>
      </c>
      <c r="AB36" s="629">
        <f t="shared" si="8"/>
        <v>-0.99999999999997435</v>
      </c>
      <c r="AC36" s="636">
        <f>IF(M36="","",SQRT(Z36^2+AA36^2+AB36^2))</f>
        <v>1</v>
      </c>
      <c r="AD36" s="637">
        <f>IF(M36="","",Z36*(1/SQRT(Z36^2+AA36^2+AB36^2)))</f>
        <v>-1.7500059740104351E-7</v>
      </c>
      <c r="AE36" s="629">
        <f>IF(M36="","",AA36*(1/SQRT(Z36^2+AA36^2+AB36^2)))</f>
        <v>-1.4425919747787446E-7</v>
      </c>
      <c r="AF36" s="633">
        <f>IF(M36="","",AB36*(1/SQRT(Z36^2+AA36^2+AB36^2)))</f>
        <v>-0.99999999999997435</v>
      </c>
      <c r="AG36" s="602">
        <f>IF(M36="","",DEGREES(ATAN2(-AF36,AE36)))</f>
        <v>-8.265443171426651E-6</v>
      </c>
      <c r="AH36" s="603">
        <f>IF(M36="","",DEGREES(ACOS(AD36)))</f>
        <v>90.000010026795636</v>
      </c>
      <c r="AI36" s="585">
        <f>IF(M36="","",DEGREES(-ACOS(-AF36)))</f>
        <v>-1.2976235990044085E-5</v>
      </c>
      <c r="AJ36" s="586">
        <f>IF(M36="","",DEGREES(ATAN2(-AE36,AD36)))</f>
        <v>-50.500031677267941</v>
      </c>
      <c r="AK36" s="635">
        <f>IF(M36="","",(COS(RADIANS((90-$Q$8)-W36))*AD36)+(-SIN(RADIANS((90-$Q$8)-W36))*AE36))</f>
        <v>2.2679489665264186E-7</v>
      </c>
      <c r="AL36" s="629">
        <f>IF(M36="","",(SIN(RADIANS((90-$Q$8)-W36))*AD36)+(COS(RADIANS((90-$Q$8)-W36))*AE36))</f>
        <v>-2.1678670084450944E-17</v>
      </c>
      <c r="AM36" s="634">
        <f>IF(M36="","",AF36)</f>
        <v>-0.99999999999997435</v>
      </c>
      <c r="AN36" s="581">
        <f>IF(M36="","",DEGREES(ATAN2(-AM36,AL36)))</f>
        <v>-1.2420963012955868E-15</v>
      </c>
      <c r="AO36" s="582">
        <f t="shared" si="94"/>
        <v>0</v>
      </c>
      <c r="AP36" s="585">
        <f>IF(M36="","",DEGREES(ATAN2(AK36,AL36)))</f>
        <v>-5.476738320077567E-9</v>
      </c>
      <c r="AQ36" s="586">
        <f t="shared" si="9"/>
        <v>1.4270808595301188</v>
      </c>
      <c r="AS36" s="52">
        <f t="shared" si="116"/>
        <v>-139.75003178007779</v>
      </c>
      <c r="AT36" s="72">
        <f t="shared" si="10"/>
        <v>-0.11763053356125626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>Nose</v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3.2069999999999999</v>
      </c>
      <c r="IH36" s="731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1.107</v>
      </c>
      <c r="II36" s="734" cm="1">
        <f t="array" ref="II36">IFERROR(ROUND(VALUE(IF($IH36&lt;1,$IH36+LARGE((IF($M$9:$M$150="",0,$M$9:$M$150)-MOD(IF($M$9:$M$150="",0,$M$9:$M$150),1)),1),$IH36)),4),"")</f>
        <v>1.107</v>
      </c>
      <c r="IJ36" s="533">
        <f t="shared" si="112"/>
        <v>1313</v>
      </c>
      <c r="IK36" s="533" t="str">
        <f t="shared" si="66"/>
        <v>Inactive</v>
      </c>
      <c r="IL36" s="727">
        <f t="shared" si="225"/>
        <v>140.48003167467886</v>
      </c>
      <c r="IM36" s="759">
        <v>1.2757442184269101E-2</v>
      </c>
      <c r="IN36" s="5">
        <f t="shared" si="226"/>
        <v>0.04</v>
      </c>
      <c r="IO36" s="771">
        <v>20</v>
      </c>
      <c r="IP36" s="9">
        <f t="shared" si="227"/>
        <v>-1.5934048057088939</v>
      </c>
      <c r="IQ36" s="5">
        <f t="shared" si="228"/>
        <v>-0.18810056731131103</v>
      </c>
      <c r="IR36" s="5">
        <f t="shared" si="71"/>
        <v>0.26600000000000001</v>
      </c>
      <c r="IS36" s="5">
        <f t="shared" si="229"/>
        <v>0.24994794743883625</v>
      </c>
      <c r="IT36" s="727">
        <f t="shared" si="230"/>
        <v>-13.479934540968994</v>
      </c>
      <c r="IU36" s="9">
        <f t="shared" si="231"/>
        <v>-1.5971450891225039</v>
      </c>
      <c r="IV36" s="5">
        <f t="shared" si="232"/>
        <v>-0.21520000000000014</v>
      </c>
      <c r="IW36" s="5">
        <f t="shared" si="76"/>
        <v>0.26250000000000001</v>
      </c>
      <c r="IX36" s="5">
        <f t="shared" si="233"/>
        <v>0.26250000000000001</v>
      </c>
      <c r="IY36" s="762">
        <f t="shared" si="234"/>
        <v>1.2420963012955868E-15</v>
      </c>
    </row>
    <row r="37" spans="1:267" ht="15" customHeight="1" x14ac:dyDescent="0.25">
      <c r="A37" s="79"/>
      <c r="B37" s="707">
        <v>3.2578111086445278</v>
      </c>
      <c r="C37" s="708">
        <v>-2.3669415045617086</v>
      </c>
      <c r="D37" s="709">
        <v>-2.3441737366946569</v>
      </c>
      <c r="E37" s="710">
        <v>0.8090167514604345</v>
      </c>
      <c r="F37" s="708">
        <v>-0.58778558663542813</v>
      </c>
      <c r="G37" s="711">
        <v>2.2679489680386326E-7</v>
      </c>
      <c r="H37" s="710">
        <v>0.25700000000000001</v>
      </c>
      <c r="I37" s="708">
        <v>0.41499999999999992</v>
      </c>
      <c r="J37" s="570">
        <v>3.2440000000000002</v>
      </c>
      <c r="K37" s="865" t="str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CPS-32193r1</v>
      </c>
      <c r="L37" s="320"/>
      <c r="M37" s="168">
        <f t="shared" si="1"/>
        <v>3.2440000000000002</v>
      </c>
      <c r="N37" s="632">
        <f t="shared" si="2"/>
        <v>3.2578111086445278</v>
      </c>
      <c r="O37" s="629">
        <f t="shared" si="3"/>
        <v>-2.3669415045617086</v>
      </c>
      <c r="P37" s="633">
        <f t="shared" si="4"/>
        <v>-2.3441737366946569</v>
      </c>
      <c r="Q37" s="585">
        <f t="shared" si="113"/>
        <v>323.99996332694263</v>
      </c>
      <c r="R37" s="629">
        <f t="shared" si="79"/>
        <v>4.0268778607780655</v>
      </c>
      <c r="S37" s="634">
        <f t="shared" si="80"/>
        <v>-2.3441737366946569</v>
      </c>
      <c r="T37" s="635">
        <f t="shared" si="81"/>
        <v>-2.3240952992959927</v>
      </c>
      <c r="U37" s="629">
        <f t="shared" si="82"/>
        <v>-3.2885143067067233</v>
      </c>
      <c r="V37" s="636">
        <f t="shared" si="114"/>
        <v>-2.3441737366946569</v>
      </c>
      <c r="W37" s="585">
        <f t="shared" si="224"/>
        <v>234.74996321865603</v>
      </c>
      <c r="X37" s="629">
        <f t="shared" si="83"/>
        <v>4.0268778607780655</v>
      </c>
      <c r="Y37" s="630">
        <f t="shared" si="223"/>
        <v>-2.3441737366946569</v>
      </c>
      <c r="Z37" s="632">
        <f t="shared" si="6"/>
        <v>-0.8090167514604345</v>
      </c>
      <c r="AA37" s="629">
        <f t="shared" si="7"/>
        <v>0.58778558663542813</v>
      </c>
      <c r="AB37" s="629">
        <f t="shared" si="8"/>
        <v>-2.2679489680386326E-7</v>
      </c>
      <c r="AC37" s="636">
        <f t="shared" si="84"/>
        <v>1.0000000000000002</v>
      </c>
      <c r="AD37" s="637">
        <f t="shared" si="115"/>
        <v>-0.80901675146043428</v>
      </c>
      <c r="AE37" s="629">
        <f t="shared" si="85"/>
        <v>0.58778558663542801</v>
      </c>
      <c r="AF37" s="633">
        <f t="shared" si="86"/>
        <v>-2.2679489680386321E-7</v>
      </c>
      <c r="AG37" s="602">
        <f t="shared" si="87"/>
        <v>89.999977892635172</v>
      </c>
      <c r="AH37" s="603">
        <f t="shared" si="88"/>
        <v>143.99997632133102</v>
      </c>
      <c r="AI37" s="585">
        <f t="shared" si="89"/>
        <v>-89.999987005609597</v>
      </c>
      <c r="AJ37" s="586">
        <f t="shared" si="90"/>
        <v>-126.00002367866695</v>
      </c>
      <c r="AK37" s="635">
        <f t="shared" si="211"/>
        <v>2.2679489719568124E-7</v>
      </c>
      <c r="AL37" s="629">
        <f t="shared" si="91"/>
        <v>-0.99999999999994849</v>
      </c>
      <c r="AM37" s="634">
        <f t="shared" si="92"/>
        <v>-2.2679489680386321E-7</v>
      </c>
      <c r="AN37" s="581">
        <f t="shared" si="93"/>
        <v>-89.999987005609611</v>
      </c>
      <c r="AO37" s="582">
        <f t="shared" si="94"/>
        <v>0</v>
      </c>
      <c r="AP37" s="585">
        <f t="shared" si="95"/>
        <v>-89.999987005609583</v>
      </c>
      <c r="AQ37" s="586">
        <f t="shared" si="9"/>
        <v>0.56610916079309648</v>
      </c>
      <c r="AS37" s="52">
        <f t="shared" si="116"/>
        <v>-125.25003678134397</v>
      </c>
      <c r="AT37" s="72">
        <f t="shared" si="10"/>
        <v>-2.2566737112272559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>Taper</v>
      </c>
      <c r="IF37" s="533" t="str">
        <f>IFERROR(IF((((($IW37*COS(RADIANS(180-$IY37)))*COS(RADIANS($IY37)))-(($IX37*SIN(RADIANS(180-$IY37)))*SIN(RADIANS($IY37))))+$IU37)&lt;(((Settings!$C$19+$IF$8)/2)*-1),"Gage",""),"")</f>
        <v>Gage</v>
      </c>
      <c r="IG37" s="847">
        <f t="shared" si="210"/>
        <v>3.2440000000000002</v>
      </c>
      <c r="IH37" s="731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3.1440000000000001</v>
      </c>
      <c r="II37" s="734" cm="1">
        <f t="array" ref="II37">IFERROR(ROUND(VALUE(IF($IH37&lt;1,$IH37+LARGE((IF($M$9:$M$150="",0,$M$9:$M$150)-MOD(IF($M$9:$M$150="",0,$M$9:$M$150),1)),1),$IH37)),4),"")</f>
        <v>3.1440000000000001</v>
      </c>
      <c r="IJ37" s="533">
        <f t="shared" si="112"/>
        <v>1313</v>
      </c>
      <c r="IK37" s="533" t="str">
        <f t="shared" si="66"/>
        <v>CPS-32193r1</v>
      </c>
      <c r="IL37" s="727">
        <f t="shared" si="225"/>
        <v>15.330000674264511</v>
      </c>
      <c r="IM37" s="759">
        <v>1.26764250398903E-4</v>
      </c>
      <c r="IN37" s="5">
        <f t="shared" si="226"/>
        <v>0</v>
      </c>
      <c r="IO37" s="771">
        <v>0</v>
      </c>
      <c r="IP37" s="9">
        <f t="shared" si="227"/>
        <v>-4.0652122606801786</v>
      </c>
      <c r="IQ37" s="5">
        <f t="shared" si="228"/>
        <v>-2.3422070640965056</v>
      </c>
      <c r="IR37" s="5">
        <f t="shared" si="71"/>
        <v>0.26600000000000001</v>
      </c>
      <c r="IS37" s="5">
        <f t="shared" si="229"/>
        <v>0.21789445723735962</v>
      </c>
      <c r="IT37" s="727">
        <f t="shared" si="230"/>
        <v>89.999987005609597</v>
      </c>
      <c r="IU37" s="9">
        <f t="shared" si="231"/>
        <v>-4.0268778607780655</v>
      </c>
      <c r="IV37" s="5">
        <f t="shared" si="232"/>
        <v>-2.3441737366946569</v>
      </c>
      <c r="IW37" s="5">
        <f t="shared" si="76"/>
        <v>0.25700000000000001</v>
      </c>
      <c r="IX37" s="5">
        <f t="shared" si="233"/>
        <v>0.25700000000000001</v>
      </c>
      <c r="IY37" s="762">
        <f t="shared" si="234"/>
        <v>89.999987005609611</v>
      </c>
    </row>
    <row r="38" spans="1:267" ht="15" customHeight="1" x14ac:dyDescent="0.25">
      <c r="A38" s="79"/>
      <c r="B38" s="707">
        <v>0.66873818737272672</v>
      </c>
      <c r="C38" s="708">
        <v>-2.5783967355274728</v>
      </c>
      <c r="D38" s="709">
        <v>-0.10380031306174418</v>
      </c>
      <c r="E38" s="710">
        <v>0.94316716711272519</v>
      </c>
      <c r="F38" s="708">
        <v>9.0957451679008691E-2</v>
      </c>
      <c r="G38" s="711">
        <v>0.31962859206369132</v>
      </c>
      <c r="H38" s="710">
        <v>0.26600000000000001</v>
      </c>
      <c r="I38" s="708">
        <v>0.52</v>
      </c>
      <c r="J38" s="570">
        <v>4.1150000000000002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1313</v>
      </c>
      <c r="L38" s="320"/>
      <c r="M38" s="168">
        <f t="shared" si="1"/>
        <v>4.1150000000000002</v>
      </c>
      <c r="N38" s="632">
        <f t="shared" si="2"/>
        <v>0.66873818737272672</v>
      </c>
      <c r="O38" s="629">
        <f t="shared" si="3"/>
        <v>-2.5783967355274728</v>
      </c>
      <c r="P38" s="633">
        <f t="shared" si="4"/>
        <v>-0.10380031306174418</v>
      </c>
      <c r="Q38" s="585">
        <f t="shared" si="113"/>
        <v>284.53997191190325</v>
      </c>
      <c r="R38" s="629">
        <f t="shared" si="79"/>
        <v>2.6637080337434296</v>
      </c>
      <c r="S38" s="634">
        <f t="shared" si="80"/>
        <v>-0.10380031306174418</v>
      </c>
      <c r="T38" s="635">
        <f t="shared" si="81"/>
        <v>-2.5694223269357099</v>
      </c>
      <c r="U38" s="629">
        <f t="shared" si="82"/>
        <v>-0.70243106058428983</v>
      </c>
      <c r="V38" s="636">
        <f t="shared" si="114"/>
        <v>-0.10380031306174418</v>
      </c>
      <c r="W38" s="585">
        <f t="shared" si="224"/>
        <v>195.28997180361665</v>
      </c>
      <c r="X38" s="629">
        <f t="shared" si="83"/>
        <v>2.6637080337434296</v>
      </c>
      <c r="Y38" s="630">
        <f t="shared" si="223"/>
        <v>-0.10380031306174418</v>
      </c>
      <c r="Z38" s="632">
        <f t="shared" si="6"/>
        <v>-0.94316716711272519</v>
      </c>
      <c r="AA38" s="629">
        <f t="shared" si="7"/>
        <v>-9.0957451679008691E-2</v>
      </c>
      <c r="AB38" s="629">
        <f t="shared" si="8"/>
        <v>-0.31962859206369132</v>
      </c>
      <c r="AC38" s="636">
        <f t="shared" si="84"/>
        <v>1</v>
      </c>
      <c r="AD38" s="637">
        <f t="shared" si="115"/>
        <v>-0.94316716711272519</v>
      </c>
      <c r="AE38" s="629">
        <f t="shared" si="85"/>
        <v>-9.0957451679008691E-2</v>
      </c>
      <c r="AF38" s="633">
        <f t="shared" si="86"/>
        <v>-0.31962859206369132</v>
      </c>
      <c r="AG38" s="602">
        <f t="shared" si="87"/>
        <v>-15.884886235462881</v>
      </c>
      <c r="AH38" s="603">
        <f t="shared" si="88"/>
        <v>160.59043043701499</v>
      </c>
      <c r="AI38" s="585">
        <f t="shared" si="89"/>
        <v>-71.359534799580558</v>
      </c>
      <c r="AJ38" s="586">
        <f t="shared" si="90"/>
        <v>-84.491526369349316</v>
      </c>
      <c r="AK38" s="635">
        <f t="shared" si="211"/>
        <v>0.93579545300275391</v>
      </c>
      <c r="AL38" s="629">
        <f t="shared" si="91"/>
        <v>-0.14874284276815813</v>
      </c>
      <c r="AM38" s="634">
        <f t="shared" si="92"/>
        <v>-0.31962859206369132</v>
      </c>
      <c r="AN38" s="581">
        <f t="shared" si="93"/>
        <v>-24.955455647852762</v>
      </c>
      <c r="AO38" s="582">
        <f t="shared" si="94"/>
        <v>20.642961800240947</v>
      </c>
      <c r="AP38" s="585">
        <f t="shared" si="95"/>
        <v>-9.0314982812525493</v>
      </c>
      <c r="AQ38" s="586">
        <f t="shared" si="9"/>
        <v>0.85578339351339971</v>
      </c>
      <c r="AS38" s="52">
        <f t="shared" si="116"/>
        <v>-164.71002819638335</v>
      </c>
      <c r="AT38" s="72">
        <f t="shared" si="10"/>
        <v>1.1102484221656342E-2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4.1150000000000002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1313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0.75142337558986194</v>
      </c>
      <c r="C39" s="708">
        <v>-3.206233917695803</v>
      </c>
      <c r="D39" s="709">
        <v>-0.38310115543308482</v>
      </c>
      <c r="E39" s="710">
        <v>0.96502895996479132</v>
      </c>
      <c r="F39" s="708">
        <v>-6.1253499284186233E-2</v>
      </c>
      <c r="G39" s="711">
        <v>0.25488647522910141</v>
      </c>
      <c r="H39" s="710">
        <v>0.26600000000000001</v>
      </c>
      <c r="I39" s="708">
        <v>0.52</v>
      </c>
      <c r="J39" s="570">
        <v>4.1219999999999999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1313</v>
      </c>
      <c r="L39" s="320"/>
      <c r="M39" s="168">
        <f t="shared" si="1"/>
        <v>4.1219999999999999</v>
      </c>
      <c r="N39" s="632">
        <f t="shared" si="2"/>
        <v>0.75142337558986194</v>
      </c>
      <c r="O39" s="629">
        <f t="shared" si="3"/>
        <v>-3.206233917695803</v>
      </c>
      <c r="P39" s="633">
        <f t="shared" si="4"/>
        <v>-0.38310115543308482</v>
      </c>
      <c r="Q39" s="585">
        <f t="shared" si="113"/>
        <v>283.18997210681908</v>
      </c>
      <c r="R39" s="629">
        <f t="shared" si="79"/>
        <v>3.2931099320195556</v>
      </c>
      <c r="S39" s="634">
        <f t="shared" si="80"/>
        <v>-0.38310115543308482</v>
      </c>
      <c r="T39" s="635">
        <f t="shared" si="81"/>
        <v>-3.1961234052678034</v>
      </c>
      <c r="U39" s="629">
        <f t="shared" si="82"/>
        <v>-0.7933272985755524</v>
      </c>
      <c r="V39" s="636">
        <f t="shared" si="114"/>
        <v>-0.38310115543308482</v>
      </c>
      <c r="W39" s="585">
        <f t="shared" si="224"/>
        <v>193.93997199853249</v>
      </c>
      <c r="X39" s="629">
        <f t="shared" si="83"/>
        <v>3.2931099320195556</v>
      </c>
      <c r="Y39" s="630">
        <f t="shared" si="223"/>
        <v>-0.38310115543308482</v>
      </c>
      <c r="Z39" s="632">
        <f t="shared" si="6"/>
        <v>-0.96502895996479132</v>
      </c>
      <c r="AA39" s="629">
        <f t="shared" si="7"/>
        <v>6.1253499284186233E-2</v>
      </c>
      <c r="AB39" s="629">
        <f t="shared" si="8"/>
        <v>-0.25488647522910141</v>
      </c>
      <c r="AC39" s="636">
        <f t="shared" si="84"/>
        <v>1</v>
      </c>
      <c r="AD39" s="637">
        <f t="shared" si="115"/>
        <v>-0.96502895996479132</v>
      </c>
      <c r="AE39" s="629">
        <f t="shared" si="85"/>
        <v>6.1253499284186233E-2</v>
      </c>
      <c r="AF39" s="633">
        <f t="shared" si="86"/>
        <v>-0.25488647522910141</v>
      </c>
      <c r="AG39" s="602">
        <f t="shared" si="87"/>
        <v>13.512894179889896</v>
      </c>
      <c r="AH39" s="603">
        <f t="shared" si="88"/>
        <v>164.80272430240811</v>
      </c>
      <c r="AI39" s="585">
        <f t="shared" si="89"/>
        <v>-75.233141618572475</v>
      </c>
      <c r="AJ39" s="586">
        <f t="shared" si="90"/>
        <v>-93.631875645331547</v>
      </c>
      <c r="AK39" s="635">
        <f t="shared" si="211"/>
        <v>0.9255935376350215</v>
      </c>
      <c r="AL39" s="629">
        <f t="shared" si="91"/>
        <v>-0.27983832445462281</v>
      </c>
      <c r="AM39" s="634">
        <f t="shared" si="92"/>
        <v>-0.25488647522910141</v>
      </c>
      <c r="AN39" s="581">
        <f t="shared" si="93"/>
        <v>-47.671653457475529</v>
      </c>
      <c r="AO39" s="582">
        <f t="shared" si="94"/>
        <v>22.241973765020145</v>
      </c>
      <c r="AP39" s="585">
        <f t="shared" si="95"/>
        <v>-16.821847752150628</v>
      </c>
      <c r="AQ39" s="586">
        <f t="shared" si="9"/>
        <v>0.69223796154234107</v>
      </c>
      <c r="AS39" s="52">
        <f t="shared" si="116"/>
        <v>-166.06002800146751</v>
      </c>
      <c r="AT39" s="72">
        <f t="shared" si="10"/>
        <v>-0.26726085828504254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4.1219999999999999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1313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0.78763641236958792</v>
      </c>
      <c r="C40" s="708">
        <v>-3.6802716317787985</v>
      </c>
      <c r="D40" s="709">
        <v>-0.88450266766004526</v>
      </c>
      <c r="E40" s="710">
        <v>0.97338169177625344</v>
      </c>
      <c r="F40" s="708">
        <v>-0.17364091553411748</v>
      </c>
      <c r="G40" s="711">
        <v>0.14958915257221203</v>
      </c>
      <c r="H40" s="710">
        <v>0.26600000000000001</v>
      </c>
      <c r="I40" s="708">
        <v>0.52</v>
      </c>
      <c r="J40" s="570">
        <v>4.1289999999999996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1313</v>
      </c>
      <c r="L40" s="320"/>
      <c r="M40" s="168">
        <f t="shared" si="1"/>
        <v>4.1289999999999996</v>
      </c>
      <c r="N40" s="632">
        <f t="shared" si="2"/>
        <v>0.78763641236958792</v>
      </c>
      <c r="O40" s="629">
        <f t="shared" si="3"/>
        <v>-3.6802716317787985</v>
      </c>
      <c r="P40" s="633">
        <f t="shared" si="4"/>
        <v>-0.88450266766004526</v>
      </c>
      <c r="Q40" s="585">
        <f t="shared" si="113"/>
        <v>282.07997226708324</v>
      </c>
      <c r="R40" s="629">
        <f t="shared" si="79"/>
        <v>3.7636113510518348</v>
      </c>
      <c r="S40" s="634">
        <f t="shared" si="80"/>
        <v>-0.88450266766004526</v>
      </c>
      <c r="T40" s="635">
        <f t="shared" si="81"/>
        <v>-3.6696464934641266</v>
      </c>
      <c r="U40" s="629">
        <f t="shared" si="82"/>
        <v>-0.83574219396453697</v>
      </c>
      <c r="V40" s="636">
        <f t="shared" si="114"/>
        <v>-0.88450266766004526</v>
      </c>
      <c r="W40" s="585">
        <f t="shared" si="224"/>
        <v>192.82997215879664</v>
      </c>
      <c r="X40" s="629">
        <f t="shared" si="83"/>
        <v>3.7636113510518348</v>
      </c>
      <c r="Y40" s="630">
        <f t="shared" si="223"/>
        <v>-0.88450266766004526</v>
      </c>
      <c r="Z40" s="632">
        <f t="shared" si="6"/>
        <v>-0.97338169177625344</v>
      </c>
      <c r="AA40" s="629">
        <f t="shared" si="7"/>
        <v>0.17364091553411748</v>
      </c>
      <c r="AB40" s="629">
        <f t="shared" si="8"/>
        <v>-0.14958915257221203</v>
      </c>
      <c r="AC40" s="636">
        <f t="shared" si="84"/>
        <v>1</v>
      </c>
      <c r="AD40" s="637">
        <f t="shared" si="115"/>
        <v>-0.97338169177625344</v>
      </c>
      <c r="AE40" s="629">
        <f t="shared" si="85"/>
        <v>0.17364091553411748</v>
      </c>
      <c r="AF40" s="633">
        <f t="shared" si="86"/>
        <v>-0.14958915257221203</v>
      </c>
      <c r="AG40" s="602">
        <f t="shared" si="87"/>
        <v>49.255574083513977</v>
      </c>
      <c r="AH40" s="603">
        <f t="shared" si="88"/>
        <v>166.75060829682013</v>
      </c>
      <c r="AI40" s="585">
        <f t="shared" si="89"/>
        <v>-81.396881892536413</v>
      </c>
      <c r="AJ40" s="586">
        <f t="shared" si="90"/>
        <v>-100.11456071577591</v>
      </c>
      <c r="AK40" s="635">
        <f t="shared" si="211"/>
        <v>0.91548855553913533</v>
      </c>
      <c r="AL40" s="629">
        <f t="shared" si="91"/>
        <v>-0.37350206172067557</v>
      </c>
      <c r="AM40" s="634">
        <f t="shared" si="92"/>
        <v>-0.14958915257221203</v>
      </c>
      <c r="AN40" s="581">
        <f t="shared" si="93"/>
        <v>-68.173689860719378</v>
      </c>
      <c r="AO40" s="582">
        <f t="shared" si="94"/>
        <v>23.724796053906289</v>
      </c>
      <c r="AP40" s="585">
        <f t="shared" si="95"/>
        <v>-22.194532982859148</v>
      </c>
      <c r="AQ40" s="586">
        <f t="shared" si="9"/>
        <v>0.60570592785383404</v>
      </c>
      <c r="AS40" s="52">
        <f t="shared" si="116"/>
        <v>-167.17002784120336</v>
      </c>
      <c r="AT40" s="72">
        <f t="shared" si="10"/>
        <v>-0.76789153728996418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4.1289999999999996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1313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0.7971665950015151</v>
      </c>
      <c r="C41" s="708">
        <v>-3.9217120794314955</v>
      </c>
      <c r="D41" s="709">
        <v>-1.527304606350693</v>
      </c>
      <c r="E41" s="710">
        <v>0.96851667501381267</v>
      </c>
      <c r="F41" s="708">
        <v>-0.24681676223149282</v>
      </c>
      <c r="G41" s="711">
        <v>3.2510553698016614E-2</v>
      </c>
      <c r="H41" s="710">
        <v>0.26600000000000001</v>
      </c>
      <c r="I41" s="708">
        <v>0.52</v>
      </c>
      <c r="J41" s="570">
        <v>4.1360000000000001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1313</v>
      </c>
      <c r="L41" s="320"/>
      <c r="M41" s="168">
        <f t="shared" ref="M41:M72" si="239">IF(J41="","",VALUE(J41))</f>
        <v>4.1360000000000001</v>
      </c>
      <c r="N41" s="632">
        <f t="shared" ref="N41:N72" si="240">IF(M41="","",B41)</f>
        <v>0.7971665950015151</v>
      </c>
      <c r="O41" s="629">
        <f t="shared" ref="O41:O72" si="241">IF(M41="","",C41)</f>
        <v>-3.9217120794314955</v>
      </c>
      <c r="P41" s="633">
        <f t="shared" ref="P41:P72" si="242">IF(M41="","",D41)</f>
        <v>-1.527304606350693</v>
      </c>
      <c r="Q41" s="585">
        <f t="shared" si="113"/>
        <v>281.48997235226869</v>
      </c>
      <c r="R41" s="629">
        <f t="shared" si="79"/>
        <v>4.0019120697668029</v>
      </c>
      <c r="S41" s="634">
        <f t="shared" si="80"/>
        <v>-1.527304606350693</v>
      </c>
      <c r="T41" s="635">
        <f t="shared" si="81"/>
        <v>-3.91094151011555</v>
      </c>
      <c r="U41" s="629">
        <f t="shared" si="82"/>
        <v>-0.84843191748089986</v>
      </c>
      <c r="V41" s="636">
        <f t="shared" si="114"/>
        <v>-1.527304606350693</v>
      </c>
      <c r="W41" s="585">
        <f t="shared" si="224"/>
        <v>192.23997224398209</v>
      </c>
      <c r="X41" s="629">
        <f t="shared" si="83"/>
        <v>4.0019120697668029</v>
      </c>
      <c r="Y41" s="630">
        <f t="shared" si="223"/>
        <v>-1.527304606350693</v>
      </c>
      <c r="Z41" s="632">
        <f t="shared" ref="Z41:Z72" si="243">IF(M41="","",-E41)</f>
        <v>-0.96851667501381267</v>
      </c>
      <c r="AA41" s="629">
        <f t="shared" ref="AA41:AA72" si="244">IF(M41="","",-F41)</f>
        <v>0.24681676223149282</v>
      </c>
      <c r="AB41" s="629">
        <f t="shared" ref="AB41:AB72" si="245">IF(M41="","",-G41)</f>
        <v>-3.2510553698016614E-2</v>
      </c>
      <c r="AC41" s="636">
        <f t="shared" si="84"/>
        <v>1</v>
      </c>
      <c r="AD41" s="637">
        <f t="shared" si="115"/>
        <v>-0.96851667501381267</v>
      </c>
      <c r="AE41" s="629">
        <f t="shared" si="85"/>
        <v>0.24681676223149282</v>
      </c>
      <c r="AF41" s="633">
        <f t="shared" si="86"/>
        <v>-3.2510553698016614E-2</v>
      </c>
      <c r="AG41" s="602">
        <f t="shared" si="87"/>
        <v>82.496232600469156</v>
      </c>
      <c r="AH41" s="603">
        <f t="shared" si="88"/>
        <v>165.58469019916075</v>
      </c>
      <c r="AI41" s="585">
        <f t="shared" si="89"/>
        <v>-88.136954198408446</v>
      </c>
      <c r="AJ41" s="586">
        <f t="shared" si="90"/>
        <v>-104.29694238975189</v>
      </c>
      <c r="AK41" s="635">
        <f t="shared" si="211"/>
        <v>0.89994217834101087</v>
      </c>
      <c r="AL41" s="629">
        <f t="shared" si="91"/>
        <v>-0.43479551462852589</v>
      </c>
      <c r="AM41" s="634">
        <f t="shared" si="92"/>
        <v>-3.2510553698016614E-2</v>
      </c>
      <c r="AN41" s="581">
        <f t="shared" si="93"/>
        <v>-85.723834182097335</v>
      </c>
      <c r="AO41" s="582">
        <f t="shared" si="94"/>
        <v>25.849532121417383</v>
      </c>
      <c r="AP41" s="585">
        <f t="shared" si="95"/>
        <v>-25.786914742020599</v>
      </c>
      <c r="AQ41" s="586">
        <f t="shared" ref="AQ41:AQ72" si="246">IF(M41="","",DEGREES(ATAN(($AS$5*SIN(RADIANS(90)))/(($X41*2*PI())-($AS$5*COS(RADIANS(90)))))))</f>
        <v>0.56964058135185613</v>
      </c>
      <c r="AS41" s="52">
        <f t="shared" si="116"/>
        <v>-167.76002775601791</v>
      </c>
      <c r="AT41" s="72">
        <f t="shared" ref="AT41:AT72" si="247">IF(M41="","",Y41+(((AS41-$AS$9)*$AS$6)*-1))</f>
        <v>-1.4102837538175463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4.1360000000000001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1313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0.79864791459775364</v>
      </c>
      <c r="C42" s="708">
        <v>-3.9859894923209604</v>
      </c>
      <c r="D42" s="709">
        <v>-2.2436067667180084</v>
      </c>
      <c r="E42" s="710">
        <v>0.91587276902102255</v>
      </c>
      <c r="F42" s="708">
        <v>-0.40146864256844261</v>
      </c>
      <c r="G42" s="711">
        <v>1.3008419223758546E-7</v>
      </c>
      <c r="H42" s="710">
        <v>0.26600000000000001</v>
      </c>
      <c r="I42" s="708">
        <v>0.52</v>
      </c>
      <c r="J42" s="570">
        <v>4.1429999999999998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1313</v>
      </c>
      <c r="L42" s="320"/>
      <c r="M42" s="168">
        <f t="shared" si="239"/>
        <v>4.1429999999999998</v>
      </c>
      <c r="N42" s="632">
        <f t="shared" si="240"/>
        <v>0.79864791459775364</v>
      </c>
      <c r="O42" s="629">
        <f t="shared" si="241"/>
        <v>-3.9859894923209604</v>
      </c>
      <c r="P42" s="633">
        <f t="shared" si="242"/>
        <v>-2.2436067667180084</v>
      </c>
      <c r="Q42" s="585">
        <f t="shared" si="113"/>
        <v>281.32997237536983</v>
      </c>
      <c r="R42" s="629">
        <f t="shared" ref="R42:R47" si="385">IF(M42="","",SQRT(N42^2+O42^2))</f>
        <v>4.0652122606801786</v>
      </c>
      <c r="S42" s="634">
        <f t="shared" ref="S42:S47" si="386">IF(M42="","",P42)</f>
        <v>-2.2436067667180084</v>
      </c>
      <c r="T42" s="635">
        <f t="shared" ref="T42:T47" si="387">IF(M42="","",X42*COS(RADIANS(W42)))</f>
        <v>-3.9751940263330789</v>
      </c>
      <c r="U42" s="629">
        <f t="shared" ref="U42:U47" si="388">IF(M42="","",X42*SIN(RADIANS(W42)))</f>
        <v>-0.8507544753865558</v>
      </c>
      <c r="V42" s="636">
        <f t="shared" ref="V42:V47" si="389">IF(M42="","",Y42)</f>
        <v>-2.2436067667180084</v>
      </c>
      <c r="W42" s="585">
        <f t="shared" si="224"/>
        <v>192.07997226708324</v>
      </c>
      <c r="X42" s="629">
        <f t="shared" ref="X42:X47" si="390">IF(M42="","",R42)</f>
        <v>4.0652122606801786</v>
      </c>
      <c r="Y42" s="630">
        <f t="shared" si="223"/>
        <v>-2.2436067667180084</v>
      </c>
      <c r="Z42" s="632">
        <f t="shared" si="243"/>
        <v>-0.91587276902102255</v>
      </c>
      <c r="AA42" s="629">
        <f t="shared" si="244"/>
        <v>0.40146864256844261</v>
      </c>
      <c r="AB42" s="629">
        <f t="shared" si="245"/>
        <v>-1.3008419223758546E-7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-0.91587276902102255</v>
      </c>
      <c r="AE42" s="629">
        <f t="shared" ref="AE42:AE47" si="393">IF(M42="","",AA42*(1/SQRT(Z42^2+AA42^2+AB42^2)))</f>
        <v>0.40146864256844261</v>
      </c>
      <c r="AF42" s="633">
        <f t="shared" ref="AF42:AF47" si="394">IF(M42="","",AB42*(1/SQRT(Z42^2+AA42^2+AB42^2)))</f>
        <v>-1.3008419223758546E-7</v>
      </c>
      <c r="AG42" s="602">
        <f t="shared" ref="AG42:AG47" si="395">IF(M42="","",DEGREES(ATAN2(-AF42,AE42)))</f>
        <v>89.999981434975467</v>
      </c>
      <c r="AH42" s="603">
        <f t="shared" ref="AH42:AH47" si="396">IF(M42="","",DEGREES(ACOS(AD42)))</f>
        <v>156.32997742874352</v>
      </c>
      <c r="AI42" s="585">
        <f t="shared" ref="AI42:AI47" si="397">IF(M42="","",DEGREES(-ACOS(-AF42)))</f>
        <v>-89.999992546724798</v>
      </c>
      <c r="AJ42" s="586">
        <f t="shared" ref="AJ42:AJ47" si="398">IF(M42="","",DEGREES(ATAN2(-AE42,AD42)))</f>
        <v>-113.67002257125542</v>
      </c>
      <c r="AK42" s="635">
        <f t="shared" ref="AK42:AK47" si="399">IF(M42="","",(COS(RADIANS((90-$Q$8)-W42))*AD42)+(-SIN(RADIANS((90-$Q$8)-W42))*AE42))</f>
        <v>0.81915209487729201</v>
      </c>
      <c r="AL42" s="629">
        <f t="shared" ref="AL42:AL47" si="400">IF(M42="","",(SIN(RADIANS((90-$Q$8)-W42))*AD42)+(COS(RADIANS((90-$Q$8)-W42))*AE42))</f>
        <v>-0.57357636410344448</v>
      </c>
      <c r="AM42" s="634">
        <f t="shared" ref="AM42:AM47" si="401">IF(M42="","",AF42)</f>
        <v>-1.3008419223758546E-7</v>
      </c>
      <c r="AN42" s="581">
        <f t="shared" ref="AN42:AN47" si="402">IF(M42="","",DEGREES(ATAN2(-AM42,AL42)))</f>
        <v>-89.999987005609611</v>
      </c>
      <c r="AO42" s="582">
        <f t="shared" si="94"/>
        <v>34.999994946625954</v>
      </c>
      <c r="AP42" s="585">
        <f t="shared" ref="AP42:AP47" si="403">IF(M42="","",DEGREES(ATAN2(AK42,AL42)))</f>
        <v>-34.999994946625264</v>
      </c>
      <c r="AQ42" s="586">
        <f t="shared" si="246"/>
        <v>0.56077117076363792</v>
      </c>
      <c r="AS42" s="52">
        <f t="shared" si="116"/>
        <v>-167.92002773291676</v>
      </c>
      <c r="AT42" s="72">
        <f t="shared" si="247"/>
        <v>-2.1264748030897929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4.1429999999999998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IFERROR(ROUND(VALUE(IF($IH42&lt;1,$IH42+LARGE((IF($M$9:$M$150="",0,$M$9:$M$150)-MOD(IF($M$9:$M$150="",0,$M$9:$M$150),1)),1),$IH42)),4),"")</f>
        <v/>
      </c>
      <c r="IJ42" s="533">
        <f t="shared" si="112"/>
        <v>1313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-0.12659326171298027</v>
      </c>
      <c r="C43" s="708">
        <v>-3.4688770719993243</v>
      </c>
      <c r="D43" s="709">
        <v>-0.48335266952218303</v>
      </c>
      <c r="E43" s="710">
        <v>0.92593710666951778</v>
      </c>
      <c r="F43" s="708">
        <v>-0.22647025118657191</v>
      </c>
      <c r="G43" s="711">
        <v>0.30224443720269417</v>
      </c>
      <c r="H43" s="710">
        <v>0.219</v>
      </c>
      <c r="I43" s="708">
        <v>0.42</v>
      </c>
      <c r="J43" s="570">
        <v>4.2240000000000002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1111</v>
      </c>
      <c r="L43" s="320"/>
      <c r="M43" s="168">
        <f t="shared" si="239"/>
        <v>4.2240000000000002</v>
      </c>
      <c r="N43" s="632">
        <f t="shared" si="240"/>
        <v>-0.12659326171298027</v>
      </c>
      <c r="O43" s="629">
        <f t="shared" si="241"/>
        <v>-3.4688770719993243</v>
      </c>
      <c r="P43" s="633">
        <f t="shared" si="242"/>
        <v>-0.48335266952218303</v>
      </c>
      <c r="Q43" s="585">
        <f t="shared" si="113"/>
        <v>267.90997431297785</v>
      </c>
      <c r="R43" s="629">
        <f t="shared" si="385"/>
        <v>3.4711862517810443</v>
      </c>
      <c r="S43" s="634">
        <f t="shared" si="386"/>
        <v>-0.48335266952218303</v>
      </c>
      <c r="T43" s="635">
        <f t="shared" si="387"/>
        <v>-3.4702369393295549</v>
      </c>
      <c r="U43" s="629">
        <f t="shared" si="388"/>
        <v>8.1176224760554028E-2</v>
      </c>
      <c r="V43" s="636">
        <f t="shared" si="389"/>
        <v>-0.48335266952218303</v>
      </c>
      <c r="W43" s="585">
        <f t="shared" si="224"/>
        <v>178.65997420469125</v>
      </c>
      <c r="X43" s="629">
        <f t="shared" si="390"/>
        <v>3.4711862517810443</v>
      </c>
      <c r="Y43" s="630">
        <f t="shared" si="223"/>
        <v>-0.48335266952218303</v>
      </c>
      <c r="Z43" s="632">
        <f t="shared" si="243"/>
        <v>-0.92593710666951778</v>
      </c>
      <c r="AA43" s="629">
        <f t="shared" si="244"/>
        <v>0.22647025118657191</v>
      </c>
      <c r="AB43" s="629">
        <f t="shared" si="245"/>
        <v>-0.30224443720269417</v>
      </c>
      <c r="AC43" s="636">
        <f t="shared" si="391"/>
        <v>1</v>
      </c>
      <c r="AD43" s="637">
        <f t="shared" si="392"/>
        <v>-0.92593710666951778</v>
      </c>
      <c r="AE43" s="629">
        <f t="shared" si="393"/>
        <v>0.22647025118657191</v>
      </c>
      <c r="AF43" s="633">
        <f t="shared" si="394"/>
        <v>-0.30224443720269417</v>
      </c>
      <c r="AG43" s="602">
        <f t="shared" si="395"/>
        <v>36.844037722076408</v>
      </c>
      <c r="AH43" s="603">
        <f t="shared" si="396"/>
        <v>157.81008955215853</v>
      </c>
      <c r="AI43" s="585">
        <f t="shared" si="397"/>
        <v>-72.407540788039995</v>
      </c>
      <c r="AJ43" s="586">
        <f t="shared" si="398"/>
        <v>-103.74386278553938</v>
      </c>
      <c r="AK43" s="635">
        <f t="shared" si="399"/>
        <v>0.93358044546160568</v>
      </c>
      <c r="AL43" s="629">
        <f t="shared" si="400"/>
        <v>-0.19255090763675151</v>
      </c>
      <c r="AM43" s="634">
        <f t="shared" si="401"/>
        <v>-0.30224443720269417</v>
      </c>
      <c r="AN43" s="581">
        <f t="shared" si="402"/>
        <v>-32.499995307581258</v>
      </c>
      <c r="AO43" s="582">
        <f t="shared" si="94"/>
        <v>20.999996967975559</v>
      </c>
      <c r="AP43" s="585">
        <f t="shared" si="403"/>
        <v>-11.653837098517233</v>
      </c>
      <c r="AQ43" s="586">
        <f t="shared" si="246"/>
        <v>0.6567284580985614</v>
      </c>
      <c r="AS43" s="52">
        <f t="shared" ref="AS43:AS74" si="406">IF(G43="","",IF(AND(W43&lt;(AS42+180),W43&gt;(AS42-180)),W43,IF(W43&gt;(AS42+180),W43-360,IF(W43&lt;(AS42-180),W43+360,"Error"))))</f>
        <v>-181.34002579530875</v>
      </c>
      <c r="AT43" s="72">
        <f t="shared" si="247"/>
        <v>-0.35690126279508427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>Taper</v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4.2240000000000002</v>
      </c>
      <c r="IH43" s="731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2.1240000000000001</v>
      </c>
      <c r="II43" s="734" cm="1">
        <f t="array" ref="II43">IFERROR(ROUND(VALUE(IF($IH43&lt;1,$IH43+LARGE((IF($M$9:$M$150="",0,$M$9:$M$150)-MOD(IF($M$9:$M$150="",0,$M$9:$M$150),1)),1),$IH43)),4),"")</f>
        <v>2.1240000000000001</v>
      </c>
      <c r="IJ43" s="533">
        <f t="shared" si="112"/>
        <v>1313</v>
      </c>
      <c r="IK43" s="533">
        <f t="shared" si="382"/>
        <v>1111</v>
      </c>
      <c r="IL43" s="727">
        <f t="shared" si="225"/>
        <v>122.91998225255031</v>
      </c>
      <c r="IM43" s="759">
        <v>6.3967230189604504E-3</v>
      </c>
      <c r="IN43" s="5">
        <f t="shared" si="226"/>
        <v>0.04</v>
      </c>
      <c r="IO43" s="771">
        <v>20</v>
      </c>
      <c r="IP43" s="9">
        <f t="shared" si="227"/>
        <v>-3.4476103979929604</v>
      </c>
      <c r="IQ43" s="5">
        <f t="shared" si="228"/>
        <v>-0.50670152821180914</v>
      </c>
      <c r="IR43" s="5">
        <f t="shared" si="383"/>
        <v>0.26600000000000001</v>
      </c>
      <c r="IS43" s="5">
        <f t="shared" si="229"/>
        <v>0.24589751545786293</v>
      </c>
      <c r="IT43" s="727">
        <f t="shared" si="230"/>
        <v>53.987527364470424</v>
      </c>
      <c r="IU43" s="9">
        <f t="shared" si="231"/>
        <v>-3.4711862517810443</v>
      </c>
      <c r="IV43" s="5">
        <f t="shared" si="232"/>
        <v>-0.48335266952218303</v>
      </c>
      <c r="IW43" s="5">
        <f t="shared" si="384"/>
        <v>0.219</v>
      </c>
      <c r="IX43" s="5">
        <f t="shared" si="233"/>
        <v>0.20445411755609164</v>
      </c>
      <c r="IY43" s="762">
        <f t="shared" si="234"/>
        <v>32.499995307581258</v>
      </c>
    </row>
    <row r="44" spans="1:267" ht="15" customHeight="1" x14ac:dyDescent="0.25">
      <c r="A44" s="79"/>
      <c r="B44" s="707">
        <v>-0.13104789980112322</v>
      </c>
      <c r="C44" s="708">
        <v>-3.8888867425409819</v>
      </c>
      <c r="D44" s="709">
        <v>-1.0434230902751556</v>
      </c>
      <c r="E44" s="710">
        <v>0.91699320466465872</v>
      </c>
      <c r="F44" s="708">
        <v>-0.3180289990495368</v>
      </c>
      <c r="G44" s="711">
        <v>0.24079247987092345</v>
      </c>
      <c r="H44" s="710">
        <v>0.219</v>
      </c>
      <c r="I44" s="708">
        <v>0.42</v>
      </c>
      <c r="J44" s="570">
        <v>4.2309999999999999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1111</v>
      </c>
      <c r="L44" s="320"/>
      <c r="M44" s="168">
        <f t="shared" si="239"/>
        <v>4.2309999999999999</v>
      </c>
      <c r="N44" s="632">
        <f t="shared" si="240"/>
        <v>-0.13104789980112322</v>
      </c>
      <c r="O44" s="629">
        <f t="shared" si="241"/>
        <v>-3.8888867425409819</v>
      </c>
      <c r="P44" s="633">
        <f t="shared" si="242"/>
        <v>-1.0434230902751556</v>
      </c>
      <c r="Q44" s="585">
        <f t="shared" si="113"/>
        <v>268.06997428987671</v>
      </c>
      <c r="R44" s="629">
        <f t="shared" si="385"/>
        <v>3.8910941453983474</v>
      </c>
      <c r="S44" s="634">
        <f t="shared" si="386"/>
        <v>-1.0434230902751556</v>
      </c>
      <c r="T44" s="635">
        <f t="shared" si="387"/>
        <v>-3.8902689360367599</v>
      </c>
      <c r="U44" s="629">
        <f t="shared" si="388"/>
        <v>8.013272527944372E-2</v>
      </c>
      <c r="V44" s="636">
        <f t="shared" si="389"/>
        <v>-1.0434230902751556</v>
      </c>
      <c r="W44" s="585">
        <f t="shared" si="224"/>
        <v>178.81997418159011</v>
      </c>
      <c r="X44" s="629">
        <f t="shared" si="390"/>
        <v>3.8910941453983474</v>
      </c>
      <c r="Y44" s="630">
        <f t="shared" si="223"/>
        <v>-1.0434230902751556</v>
      </c>
      <c r="Z44" s="632">
        <f t="shared" si="243"/>
        <v>-0.91699320466465872</v>
      </c>
      <c r="AA44" s="629">
        <f t="shared" si="244"/>
        <v>0.3180289990495368</v>
      </c>
      <c r="AB44" s="629">
        <f t="shared" si="245"/>
        <v>-0.24079247987092345</v>
      </c>
      <c r="AC44" s="636">
        <f t="shared" si="391"/>
        <v>1</v>
      </c>
      <c r="AD44" s="637">
        <f t="shared" si="392"/>
        <v>-0.91699320466465872</v>
      </c>
      <c r="AE44" s="629">
        <f t="shared" si="393"/>
        <v>0.3180289990495368</v>
      </c>
      <c r="AF44" s="633">
        <f t="shared" si="394"/>
        <v>-0.24079247987092345</v>
      </c>
      <c r="AG44" s="602">
        <f t="shared" si="395"/>
        <v>52.869179200163302</v>
      </c>
      <c r="AH44" s="603">
        <f t="shared" si="396"/>
        <v>156.49039342152318</v>
      </c>
      <c r="AI44" s="585">
        <f t="shared" si="397"/>
        <v>-76.066682125987057</v>
      </c>
      <c r="AJ44" s="586">
        <f t="shared" si="398"/>
        <v>-109.12742464817798</v>
      </c>
      <c r="AK44" s="635">
        <f t="shared" si="399"/>
        <v>0.92718387533450819</v>
      </c>
      <c r="AL44" s="629">
        <f t="shared" si="400"/>
        <v>-0.28696522952666975</v>
      </c>
      <c r="AM44" s="634">
        <f t="shared" si="401"/>
        <v>-0.24079247987092345</v>
      </c>
      <c r="AN44" s="581">
        <f t="shared" si="402"/>
        <v>-49.999992780894246</v>
      </c>
      <c r="AO44" s="582">
        <f t="shared" si="94"/>
        <v>21.999996823593456</v>
      </c>
      <c r="AP44" s="585">
        <f t="shared" si="403"/>
        <v>-17.197398938054686</v>
      </c>
      <c r="AQ44" s="586">
        <f t="shared" si="246"/>
        <v>0.58586276600544829</v>
      </c>
      <c r="AS44" s="52">
        <f t="shared" si="406"/>
        <v>-181.18002581840989</v>
      </c>
      <c r="AT44" s="72">
        <f t="shared" si="247"/>
        <v>-0.91708279464312548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>Taper</v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4.2309999999999999</v>
      </c>
      <c r="IH44" s="731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2.1309999999999998</v>
      </c>
      <c r="II44" s="734" cm="1">
        <f t="array" ref="II44">IFERROR(ROUND(VALUE(IF($IH44&lt;1,$IH44+LARGE((IF($M$9:$M$150="",0,$M$9:$M$150)-MOD(IF($M$9:$M$150="",0,$M$9:$M$150),1)),1),$IH44)),4),"")</f>
        <v>2.1309999999999998</v>
      </c>
      <c r="IJ44" s="533">
        <f t="shared" si="112"/>
        <v>1313</v>
      </c>
      <c r="IK44" s="533">
        <f t="shared" si="382"/>
        <v>1111</v>
      </c>
      <c r="IL44" s="727">
        <f t="shared" si="225"/>
        <v>121.77998241714596</v>
      </c>
      <c r="IM44" s="759">
        <v>1.0421252112417601E-3</v>
      </c>
      <c r="IN44" s="5">
        <f t="shared" si="226"/>
        <v>0</v>
      </c>
      <c r="IO44" s="771">
        <v>0</v>
      </c>
      <c r="IP44" s="9">
        <f t="shared" si="227"/>
        <v>-3.8577116348582909</v>
      </c>
      <c r="IQ44" s="5">
        <f t="shared" si="228"/>
        <v>-1.057903190636023</v>
      </c>
      <c r="IR44" s="5">
        <f t="shared" si="383"/>
        <v>0.26600000000000001</v>
      </c>
      <c r="IS44" s="5">
        <f t="shared" si="229"/>
        <v>0.24330511615805162</v>
      </c>
      <c r="IT44" s="727">
        <f t="shared" si="230"/>
        <v>73.887819021215023</v>
      </c>
      <c r="IU44" s="9">
        <f t="shared" si="231"/>
        <v>-3.8910941453983474</v>
      </c>
      <c r="IV44" s="5">
        <f t="shared" si="232"/>
        <v>-1.0434230902751556</v>
      </c>
      <c r="IW44" s="5">
        <f t="shared" si="384"/>
        <v>0.219</v>
      </c>
      <c r="IX44" s="5">
        <f t="shared" si="233"/>
        <v>0.20305326869825729</v>
      </c>
      <c r="IY44" s="762">
        <f t="shared" si="234"/>
        <v>49.999992780894246</v>
      </c>
    </row>
    <row r="45" spans="1:267" ht="15" customHeight="1" x14ac:dyDescent="0.25">
      <c r="A45" s="79"/>
      <c r="B45" s="707">
        <v>-0.1381789374211308</v>
      </c>
      <c r="C45" s="708">
        <v>-4.0584146068745675</v>
      </c>
      <c r="D45" s="709">
        <v>-1.7201920040649097</v>
      </c>
      <c r="E45" s="710">
        <v>0.89249686318848187</v>
      </c>
      <c r="F45" s="708">
        <v>-0.42106182810175008</v>
      </c>
      <c r="G45" s="711">
        <v>0.16172905154712533</v>
      </c>
      <c r="H45" s="710">
        <v>0.219</v>
      </c>
      <c r="I45" s="708">
        <v>0.42</v>
      </c>
      <c r="J45" s="570">
        <v>4.2380000000000004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1111</v>
      </c>
      <c r="L45" s="320"/>
      <c r="M45" s="168">
        <f t="shared" si="239"/>
        <v>4.2380000000000004</v>
      </c>
      <c r="N45" s="632">
        <f t="shared" si="240"/>
        <v>-0.1381789374211308</v>
      </c>
      <c r="O45" s="629">
        <f t="shared" si="241"/>
        <v>-4.0584146068745675</v>
      </c>
      <c r="P45" s="633">
        <f t="shared" si="242"/>
        <v>-1.7201920040649097</v>
      </c>
      <c r="Q45" s="585">
        <f t="shared" si="113"/>
        <v>268.04997429276432</v>
      </c>
      <c r="R45" s="629">
        <f t="shared" si="385"/>
        <v>4.060766250357152</v>
      </c>
      <c r="S45" s="634">
        <f t="shared" si="386"/>
        <v>-1.7201920040649097</v>
      </c>
      <c r="T45" s="635">
        <f t="shared" si="387"/>
        <v>-4.0598756188961023</v>
      </c>
      <c r="U45" s="629">
        <f t="shared" si="388"/>
        <v>8.5044101104511396E-2</v>
      </c>
      <c r="V45" s="636">
        <f t="shared" si="389"/>
        <v>-1.7201920040649097</v>
      </c>
      <c r="W45" s="585">
        <f t="shared" si="224"/>
        <v>178.79997418447772</v>
      </c>
      <c r="X45" s="629">
        <f t="shared" si="390"/>
        <v>4.060766250357152</v>
      </c>
      <c r="Y45" s="630">
        <f t="shared" si="223"/>
        <v>-1.7201920040649097</v>
      </c>
      <c r="Z45" s="632">
        <f t="shared" si="243"/>
        <v>-0.89249686318848187</v>
      </c>
      <c r="AA45" s="629">
        <f t="shared" si="244"/>
        <v>0.42106182810175008</v>
      </c>
      <c r="AB45" s="629">
        <f t="shared" si="245"/>
        <v>-0.16172905154712533</v>
      </c>
      <c r="AC45" s="636">
        <f t="shared" si="391"/>
        <v>1</v>
      </c>
      <c r="AD45" s="637">
        <f t="shared" si="392"/>
        <v>-0.89249686318848187</v>
      </c>
      <c r="AE45" s="629">
        <f t="shared" si="393"/>
        <v>0.42106182810175008</v>
      </c>
      <c r="AF45" s="633">
        <f t="shared" si="394"/>
        <v>-0.16172905154712533</v>
      </c>
      <c r="AG45" s="602">
        <f t="shared" si="395"/>
        <v>68.988311912724441</v>
      </c>
      <c r="AH45" s="603">
        <f t="shared" si="396"/>
        <v>153.18869811467582</v>
      </c>
      <c r="AI45" s="585">
        <f t="shared" si="397"/>
        <v>-80.692729179810868</v>
      </c>
      <c r="AJ45" s="586">
        <f t="shared" si="398"/>
        <v>-115.25698316378239</v>
      </c>
      <c r="AK45" s="635">
        <f t="shared" si="399"/>
        <v>0.90630781366099977</v>
      </c>
      <c r="AL45" s="629">
        <f t="shared" si="400"/>
        <v>-0.39044828182831831</v>
      </c>
      <c r="AM45" s="634">
        <f t="shared" si="401"/>
        <v>-0.16172905154712533</v>
      </c>
      <c r="AN45" s="581">
        <f t="shared" si="402"/>
        <v>-67.499990254207191</v>
      </c>
      <c r="AO45" s="582">
        <f t="shared" si="94"/>
        <v>24.999996390447073</v>
      </c>
      <c r="AP45" s="585">
        <f t="shared" si="403"/>
        <v>-23.306957456546737</v>
      </c>
      <c r="AQ45" s="586">
        <f t="shared" si="246"/>
        <v>0.5613851029095186</v>
      </c>
      <c r="AS45" s="52">
        <f t="shared" si="406"/>
        <v>-181.20002581552228</v>
      </c>
      <c r="AT45" s="72">
        <f t="shared" si="247"/>
        <v>-1.5938378195459961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>Taper</v>
      </c>
      <c r="IF45" s="533" t="str">
        <f>IFERROR(IF((((($IW45*COS(RADIANS(180-$IY45)))*COS(RADIANS($IY45)))-(($IX45*SIN(RADIANS(180-$IY45)))*SIN(RADIANS($IY45))))+$IU45)&lt;(((Settings!$C$19+$IF$8)/2)*-1),"Gage",""),"")</f>
        <v>Gage</v>
      </c>
      <c r="IG45" s="847">
        <f t="shared" si="210"/>
        <v>4.2380000000000004</v>
      </c>
      <c r="IH45" s="731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>2.1379999999999999</v>
      </c>
      <c r="II45" s="734" cm="1">
        <f t="array" ref="II45">IFERROR(ROUND(VALUE(IF($IH45&lt;1,$IH45+LARGE((IF($M$9:$M$150="",0,$M$9:$M$150)-MOD(IF($M$9:$M$150="",0,$M$9:$M$150),1)),1),$IH45)),4),"")</f>
        <v>2.1379999999999999</v>
      </c>
      <c r="IJ45" s="533">
        <f t="shared" si="112"/>
        <v>1313</v>
      </c>
      <c r="IK45" s="533">
        <f t="shared" si="382"/>
        <v>1111</v>
      </c>
      <c r="IL45" s="727">
        <f t="shared" si="225"/>
        <v>121.38998247345501</v>
      </c>
      <c r="IM45" s="759">
        <v>2.3083855546809199E-4</v>
      </c>
      <c r="IN45" s="5">
        <f t="shared" si="226"/>
        <v>0</v>
      </c>
      <c r="IO45" s="771">
        <v>0</v>
      </c>
      <c r="IP45" s="9">
        <f t="shared" si="227"/>
        <v>-4.0214121285789801</v>
      </c>
      <c r="IQ45" s="5">
        <f t="shared" si="228"/>
        <v>-1.7230051965836732</v>
      </c>
      <c r="IR45" s="5">
        <f t="shared" si="383"/>
        <v>0.26600000000000001</v>
      </c>
      <c r="IS45" s="5">
        <f t="shared" si="229"/>
        <v>0.23743725154101442</v>
      </c>
      <c r="IT45" s="727">
        <f t="shared" si="230"/>
        <v>90.084752747861828</v>
      </c>
      <c r="IU45" s="9">
        <f t="shared" si="231"/>
        <v>-4.060766250357152</v>
      </c>
      <c r="IV45" s="5">
        <f t="shared" si="232"/>
        <v>-1.7201920040649097</v>
      </c>
      <c r="IW45" s="5">
        <f t="shared" si="384"/>
        <v>0.219</v>
      </c>
      <c r="IX45" s="5">
        <f t="shared" si="233"/>
        <v>0.19848141119175897</v>
      </c>
      <c r="IY45" s="762">
        <f t="shared" si="234"/>
        <v>67.499990254207191</v>
      </c>
    </row>
    <row r="46" spans="1:267" ht="15" customHeight="1" x14ac:dyDescent="0.25">
      <c r="A46" s="79"/>
      <c r="B46" s="707">
        <v>-0.44677813669248201</v>
      </c>
      <c r="C46" s="708">
        <v>-4.0020163170829433</v>
      </c>
      <c r="D46" s="709">
        <v>-2.3187736600880289</v>
      </c>
      <c r="E46" s="710">
        <v>-0.1109487907262368</v>
      </c>
      <c r="F46" s="708">
        <v>-0.99382612454912567</v>
      </c>
      <c r="G46" s="711">
        <v>2.2679489639458631E-7</v>
      </c>
      <c r="H46" s="710">
        <v>0.25700000000000001</v>
      </c>
      <c r="I46" s="708">
        <v>0.41499999999999992</v>
      </c>
      <c r="J46" s="570">
        <v>4.2430000000000003</v>
      </c>
      <c r="K46" s="865" t="str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CPS-32193r1</v>
      </c>
      <c r="L46" s="320"/>
      <c r="M46" s="168">
        <f t="shared" si="239"/>
        <v>4.2430000000000003</v>
      </c>
      <c r="N46" s="632">
        <f t="shared" si="240"/>
        <v>-0.44677813669248201</v>
      </c>
      <c r="O46" s="629">
        <f t="shared" si="241"/>
        <v>-4.0020163170829433</v>
      </c>
      <c r="P46" s="633">
        <f t="shared" si="242"/>
        <v>-2.3187736600880289</v>
      </c>
      <c r="Q46" s="585">
        <f t="shared" si="113"/>
        <v>263.62997493093326</v>
      </c>
      <c r="R46" s="629">
        <f t="shared" si="385"/>
        <v>4.0268778607780655</v>
      </c>
      <c r="S46" s="634">
        <f t="shared" si="386"/>
        <v>-2.3187736600880289</v>
      </c>
      <c r="T46" s="635">
        <f t="shared" si="387"/>
        <v>-4.0075215990103041</v>
      </c>
      <c r="U46" s="629">
        <f t="shared" si="388"/>
        <v>0.39435509263914231</v>
      </c>
      <c r="V46" s="636">
        <f t="shared" si="389"/>
        <v>-2.3187736600880289</v>
      </c>
      <c r="W46" s="585">
        <f t="shared" si="224"/>
        <v>174.37997482264666</v>
      </c>
      <c r="X46" s="629">
        <f t="shared" si="390"/>
        <v>4.0268778607780655</v>
      </c>
      <c r="Y46" s="630">
        <f t="shared" si="223"/>
        <v>-2.3187736600880289</v>
      </c>
      <c r="Z46" s="632">
        <f t="shared" si="243"/>
        <v>0.1109487907262368</v>
      </c>
      <c r="AA46" s="629">
        <f t="shared" si="244"/>
        <v>0.99382612454912567</v>
      </c>
      <c r="AB46" s="629">
        <f t="shared" si="245"/>
        <v>-2.2679489639458631E-7</v>
      </c>
      <c r="AC46" s="636">
        <f t="shared" si="391"/>
        <v>1</v>
      </c>
      <c r="AD46" s="637">
        <f t="shared" si="392"/>
        <v>0.1109487907262368</v>
      </c>
      <c r="AE46" s="629">
        <f t="shared" si="393"/>
        <v>0.99382612454912567</v>
      </c>
      <c r="AF46" s="633">
        <f t="shared" si="394"/>
        <v>-2.2679489639458631E-7</v>
      </c>
      <c r="AG46" s="602">
        <f t="shared" si="395"/>
        <v>89.999986924885505</v>
      </c>
      <c r="AH46" s="603">
        <f t="shared" si="396"/>
        <v>83.629987925323846</v>
      </c>
      <c r="AI46" s="585">
        <f t="shared" si="397"/>
        <v>-89.999987005609626</v>
      </c>
      <c r="AJ46" s="586">
        <f t="shared" si="398"/>
        <v>173.62998792532369</v>
      </c>
      <c r="AK46" s="635">
        <f t="shared" si="399"/>
        <v>2.2679489751487036E-7</v>
      </c>
      <c r="AL46" s="629">
        <f t="shared" si="400"/>
        <v>-0.99999999999994849</v>
      </c>
      <c r="AM46" s="634">
        <f t="shared" si="401"/>
        <v>-2.2679489639458631E-7</v>
      </c>
      <c r="AN46" s="581">
        <f t="shared" si="402"/>
        <v>-89.999987005609626</v>
      </c>
      <c r="AO46" s="582">
        <f t="shared" si="94"/>
        <v>0</v>
      </c>
      <c r="AP46" s="585">
        <f t="shared" si="403"/>
        <v>-89.999987005609555</v>
      </c>
      <c r="AQ46" s="586">
        <f t="shared" si="246"/>
        <v>0.56610916079309648</v>
      </c>
      <c r="AS46" s="52">
        <f t="shared" si="406"/>
        <v>-185.62002517735334</v>
      </c>
      <c r="AT46" s="72">
        <f t="shared" si="247"/>
        <v>-2.1893500315678436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>Taper</v>
      </c>
      <c r="IF46" s="533" t="str">
        <f>IFERROR(IF((((($IW46*COS(RADIANS(180-$IY46)))*COS(RADIANS($IY46)))-(($IX46*SIN(RADIANS(180-$IY46)))*SIN(RADIANS($IY46))))+$IU46)&lt;(((Settings!$C$19+$IF$8)/2)*-1),"Gage",""),"")</f>
        <v>Gage</v>
      </c>
      <c r="IG46" s="847">
        <f t="shared" si="210"/>
        <v>4.2430000000000003</v>
      </c>
      <c r="IH46" s="731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4.1429999999999998</v>
      </c>
      <c r="II46" s="734" cm="1">
        <f t="array" ref="II46">IFERROR(ROUND(VALUE(IF($IH46&lt;1,$IH46+LARGE((IF($M$9:$M$150="",0,$M$9:$M$150)-MOD(IF($M$9:$M$150="",0,$M$9:$M$150),1)),1),$IH46)),4),"")</f>
        <v>4.1429999999999998</v>
      </c>
      <c r="IJ46" s="533">
        <f t="shared" si="112"/>
        <v>1313</v>
      </c>
      <c r="IK46" s="533" t="str">
        <f t="shared" si="382"/>
        <v>CPS-32193r1</v>
      </c>
      <c r="IL46" s="727">
        <f t="shared" si="225"/>
        <v>17.699997444436576</v>
      </c>
      <c r="IM46" s="759">
        <v>1.7397563112071199E-4</v>
      </c>
      <c r="IN46" s="5">
        <f t="shared" si="226"/>
        <v>0</v>
      </c>
      <c r="IO46" s="771">
        <v>0</v>
      </c>
      <c r="IP46" s="9">
        <f t="shared" si="227"/>
        <v>-4.0652122606801786</v>
      </c>
      <c r="IQ46" s="5">
        <f t="shared" si="228"/>
        <v>-2.2436067667180084</v>
      </c>
      <c r="IR46" s="5">
        <f t="shared" si="383"/>
        <v>0.26600000000000001</v>
      </c>
      <c r="IS46" s="5">
        <f t="shared" si="229"/>
        <v>0.2178944572373597</v>
      </c>
      <c r="IT46" s="727">
        <f t="shared" si="230"/>
        <v>89.999987005609611</v>
      </c>
      <c r="IU46" s="9">
        <f t="shared" si="231"/>
        <v>-4.0268778607780655</v>
      </c>
      <c r="IV46" s="5">
        <f t="shared" si="232"/>
        <v>-2.3187736600880289</v>
      </c>
      <c r="IW46" s="5">
        <f t="shared" si="384"/>
        <v>0.25700000000000001</v>
      </c>
      <c r="IX46" s="5">
        <f t="shared" si="233"/>
        <v>0.25700000000000001</v>
      </c>
      <c r="IY46" s="762">
        <f t="shared" si="234"/>
        <v>89.999987005609626</v>
      </c>
    </row>
    <row r="47" spans="1:267" ht="15" customHeight="1" x14ac:dyDescent="0.25">
      <c r="A47" s="79"/>
      <c r="B47" s="707">
        <v>-0.3298109980961384</v>
      </c>
      <c r="C47" s="708">
        <v>-0.42213851586035578</v>
      </c>
      <c r="D47" s="709">
        <v>-0.47150142204828888</v>
      </c>
      <c r="E47" s="710">
        <v>0.794986877274099</v>
      </c>
      <c r="F47" s="708">
        <v>-0.5087771023274108</v>
      </c>
      <c r="G47" s="711">
        <v>0.33036604714967338</v>
      </c>
      <c r="H47" s="710">
        <v>0.26600000000000001</v>
      </c>
      <c r="I47" s="708">
        <v>0.52</v>
      </c>
      <c r="J47" s="570">
        <v>5.1020000000000003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1313</v>
      </c>
      <c r="L47" s="320"/>
      <c r="M47" s="168">
        <f t="shared" si="239"/>
        <v>5.1020000000000003</v>
      </c>
      <c r="N47" s="632">
        <f t="shared" si="240"/>
        <v>-0.3298109980961384</v>
      </c>
      <c r="O47" s="629">
        <f t="shared" si="241"/>
        <v>-0.42213851586035578</v>
      </c>
      <c r="P47" s="633">
        <f t="shared" si="242"/>
        <v>-0.47150142204828888</v>
      </c>
      <c r="Q47" s="585">
        <f t="shared" si="113"/>
        <v>231.99997949773959</v>
      </c>
      <c r="R47" s="629">
        <f t="shared" si="385"/>
        <v>0.53570161567607277</v>
      </c>
      <c r="S47" s="634">
        <f t="shared" si="386"/>
        <v>-0.47150142204828888</v>
      </c>
      <c r="T47" s="635">
        <f t="shared" si="387"/>
        <v>-0.42641944219682459</v>
      </c>
      <c r="U47" s="629">
        <f t="shared" si="388"/>
        <v>0.32425712074602736</v>
      </c>
      <c r="V47" s="636">
        <f t="shared" si="389"/>
        <v>-0.47150142204828888</v>
      </c>
      <c r="W47" s="585">
        <f t="shared" si="224"/>
        <v>142.74997938945302</v>
      </c>
      <c r="X47" s="629">
        <f t="shared" si="390"/>
        <v>0.53570161567607277</v>
      </c>
      <c r="Y47" s="630">
        <f t="shared" si="223"/>
        <v>-0.47150142204828888</v>
      </c>
      <c r="Z47" s="632">
        <f t="shared" si="243"/>
        <v>-0.794986877274099</v>
      </c>
      <c r="AA47" s="629">
        <f t="shared" si="244"/>
        <v>0.5087771023274108</v>
      </c>
      <c r="AB47" s="629">
        <f t="shared" si="245"/>
        <v>-0.33036604714967338</v>
      </c>
      <c r="AC47" s="636">
        <f t="shared" si="391"/>
        <v>1</v>
      </c>
      <c r="AD47" s="637">
        <f t="shared" si="392"/>
        <v>-0.794986877274099</v>
      </c>
      <c r="AE47" s="629">
        <f t="shared" si="393"/>
        <v>0.5087771023274108</v>
      </c>
      <c r="AF47" s="633">
        <f t="shared" si="394"/>
        <v>-0.33036604714967338</v>
      </c>
      <c r="AG47" s="602">
        <f t="shared" si="395"/>
        <v>57.002983637561712</v>
      </c>
      <c r="AH47" s="603">
        <f t="shared" si="396"/>
        <v>142.65401618923553</v>
      </c>
      <c r="AI47" s="585">
        <f t="shared" si="397"/>
        <v>-70.709005437865216</v>
      </c>
      <c r="AJ47" s="586">
        <f t="shared" si="398"/>
        <v>-122.61850174002093</v>
      </c>
      <c r="AK47" s="635">
        <f t="shared" si="399"/>
        <v>0.93969263802333458</v>
      </c>
      <c r="AL47" s="629">
        <f t="shared" si="400"/>
        <v>8.8521302156295167E-2</v>
      </c>
      <c r="AM47" s="634">
        <f t="shared" si="401"/>
        <v>-0.33036604714967338</v>
      </c>
      <c r="AN47" s="581">
        <f t="shared" si="402"/>
        <v>14.999997834268202</v>
      </c>
      <c r="AO47" s="582">
        <f t="shared" si="94"/>
        <v>19.999997112357679</v>
      </c>
      <c r="AP47" s="585">
        <f t="shared" si="403"/>
        <v>5.3815187622394545</v>
      </c>
      <c r="AQ47" s="586">
        <f t="shared" si="246"/>
        <v>4.247790646481068</v>
      </c>
      <c r="AS47" s="52">
        <f t="shared" si="406"/>
        <v>-217.25002061054698</v>
      </c>
      <c r="AT47" s="72">
        <f t="shared" si="247"/>
        <v>-0.32011251892171916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5.1020000000000003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1313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-0.7246545437541495</v>
      </c>
      <c r="C48" s="708">
        <v>-0.9275148353987579</v>
      </c>
      <c r="D48" s="709">
        <v>-0.30140090902514161</v>
      </c>
      <c r="E48" s="710">
        <v>0.794986877274099</v>
      </c>
      <c r="F48" s="708">
        <v>-0.50877710232741069</v>
      </c>
      <c r="G48" s="711">
        <v>0.33036604714967338</v>
      </c>
      <c r="H48" s="710">
        <v>0.26600000000000001</v>
      </c>
      <c r="I48" s="708">
        <v>0.52</v>
      </c>
      <c r="J48" s="570">
        <v>5.1050000000000004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1313</v>
      </c>
      <c r="L48" s="320"/>
      <c r="M48" s="168">
        <f t="shared" si="239"/>
        <v>5.1050000000000004</v>
      </c>
      <c r="N48" s="632">
        <f t="shared" si="240"/>
        <v>-0.7246545437541495</v>
      </c>
      <c r="O48" s="629">
        <f t="shared" si="241"/>
        <v>-0.9275148353987579</v>
      </c>
      <c r="P48" s="633">
        <f t="shared" si="242"/>
        <v>-0.30140090902514161</v>
      </c>
      <c r="Q48" s="585">
        <f t="shared" si="113"/>
        <v>231.99997949773959</v>
      </c>
      <c r="R48" s="629">
        <f t="shared" si="79"/>
        <v>1.1770335499331868</v>
      </c>
      <c r="S48" s="634">
        <f t="shared" si="80"/>
        <v>-0.30140090902514161</v>
      </c>
      <c r="T48" s="635">
        <f t="shared" si="81"/>
        <v>-0.93692080651284038</v>
      </c>
      <c r="U48" s="629">
        <f t="shared" si="82"/>
        <v>0.71245166853032793</v>
      </c>
      <c r="V48" s="636">
        <f t="shared" si="114"/>
        <v>-0.30140090902514161</v>
      </c>
      <c r="W48" s="585">
        <f t="shared" si="224"/>
        <v>142.74997938945302</v>
      </c>
      <c r="X48" s="629">
        <f t="shared" si="83"/>
        <v>1.1770335499331868</v>
      </c>
      <c r="Y48" s="630">
        <f t="shared" si="223"/>
        <v>-0.30140090902514161</v>
      </c>
      <c r="Z48" s="632">
        <f t="shared" si="243"/>
        <v>-0.794986877274099</v>
      </c>
      <c r="AA48" s="629">
        <f t="shared" si="244"/>
        <v>0.50877710232741069</v>
      </c>
      <c r="AB48" s="629">
        <f t="shared" si="245"/>
        <v>-0.33036604714967338</v>
      </c>
      <c r="AC48" s="636">
        <f t="shared" si="84"/>
        <v>1</v>
      </c>
      <c r="AD48" s="637">
        <f t="shared" si="115"/>
        <v>-0.794986877274099</v>
      </c>
      <c r="AE48" s="629">
        <f t="shared" si="85"/>
        <v>0.50877710232741069</v>
      </c>
      <c r="AF48" s="633">
        <f t="shared" si="86"/>
        <v>-0.33036604714967338</v>
      </c>
      <c r="AG48" s="602">
        <f t="shared" si="87"/>
        <v>57.002983637561705</v>
      </c>
      <c r="AH48" s="603">
        <f t="shared" si="88"/>
        <v>142.65401618923553</v>
      </c>
      <c r="AI48" s="585">
        <f t="shared" si="89"/>
        <v>-70.709005437865216</v>
      </c>
      <c r="AJ48" s="586">
        <f t="shared" si="90"/>
        <v>-122.61850174002092</v>
      </c>
      <c r="AK48" s="635">
        <f t="shared" si="211"/>
        <v>0.93969263802333458</v>
      </c>
      <c r="AL48" s="629">
        <f t="shared" si="91"/>
        <v>8.8521302156295223E-2</v>
      </c>
      <c r="AM48" s="634">
        <f t="shared" si="92"/>
        <v>-0.33036604714967338</v>
      </c>
      <c r="AN48" s="581">
        <f t="shared" si="93"/>
        <v>14.999997834268211</v>
      </c>
      <c r="AO48" s="582">
        <f t="shared" si="94"/>
        <v>19.999997112357679</v>
      </c>
      <c r="AP48" s="585">
        <f t="shared" si="95"/>
        <v>5.381518762239458</v>
      </c>
      <c r="AQ48" s="586">
        <f t="shared" si="246"/>
        <v>1.936103570178332</v>
      </c>
      <c r="AS48" s="52">
        <f t="shared" si="406"/>
        <v>-217.25002061054698</v>
      </c>
      <c r="AT48" s="72">
        <f t="shared" si="247"/>
        <v>-0.15001200589857189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5.1050000000000004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1313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-1.1211101591714656</v>
      </c>
      <c r="C49" s="708">
        <v>-1.4267242623965593</v>
      </c>
      <c r="D49" s="709">
        <v>-0.12880038846197162</v>
      </c>
      <c r="E49" s="710">
        <v>0.7760495444361285</v>
      </c>
      <c r="F49" s="708">
        <v>-0.53265215404627064</v>
      </c>
      <c r="G49" s="711">
        <v>0.33768148804805037</v>
      </c>
      <c r="H49" s="710">
        <v>0.26600000000000001</v>
      </c>
      <c r="I49" s="708">
        <v>0.52</v>
      </c>
      <c r="J49" s="570">
        <v>5.1079999999999997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1313</v>
      </c>
      <c r="L49" s="320"/>
      <c r="M49" s="168">
        <f t="shared" si="239"/>
        <v>5.1079999999999997</v>
      </c>
      <c r="N49" s="632">
        <f t="shared" si="240"/>
        <v>-1.1211101591714656</v>
      </c>
      <c r="O49" s="629">
        <f t="shared" si="241"/>
        <v>-1.4267242623965593</v>
      </c>
      <c r="P49" s="633">
        <f t="shared" si="242"/>
        <v>-0.12880038846197162</v>
      </c>
      <c r="Q49" s="585">
        <f t="shared" si="113"/>
        <v>231.83997952084073</v>
      </c>
      <c r="R49" s="629">
        <f t="shared" si="79"/>
        <v>1.8145054725485052</v>
      </c>
      <c r="S49" s="634">
        <f t="shared" si="80"/>
        <v>-0.12880038846197162</v>
      </c>
      <c r="T49" s="635">
        <f t="shared" si="81"/>
        <v>-1.4412769079588832</v>
      </c>
      <c r="U49" s="629">
        <f t="shared" si="82"/>
        <v>1.1023388700816801</v>
      </c>
      <c r="V49" s="636">
        <f t="shared" si="114"/>
        <v>-0.12880038846197162</v>
      </c>
      <c r="W49" s="585">
        <f t="shared" si="224"/>
        <v>142.58997941255416</v>
      </c>
      <c r="X49" s="629">
        <f t="shared" si="83"/>
        <v>1.8145054725485052</v>
      </c>
      <c r="Y49" s="630">
        <f t="shared" si="223"/>
        <v>-0.12880038846197162</v>
      </c>
      <c r="Z49" s="632">
        <f t="shared" si="243"/>
        <v>-0.7760495444361285</v>
      </c>
      <c r="AA49" s="629">
        <f t="shared" si="244"/>
        <v>0.53265215404627064</v>
      </c>
      <c r="AB49" s="629">
        <f t="shared" si="245"/>
        <v>-0.33768148804805037</v>
      </c>
      <c r="AC49" s="636">
        <f t="shared" si="84"/>
        <v>1</v>
      </c>
      <c r="AD49" s="637">
        <f t="shared" si="115"/>
        <v>-0.7760495444361285</v>
      </c>
      <c r="AE49" s="629">
        <f t="shared" si="85"/>
        <v>0.53265215404627064</v>
      </c>
      <c r="AF49" s="633">
        <f t="shared" si="86"/>
        <v>-0.33768148804805037</v>
      </c>
      <c r="AG49" s="602">
        <f t="shared" si="87"/>
        <v>57.626835483277581</v>
      </c>
      <c r="AH49" s="603">
        <f t="shared" si="88"/>
        <v>140.90028502533934</v>
      </c>
      <c r="AI49" s="585">
        <f t="shared" si="89"/>
        <v>-70.264319403512488</v>
      </c>
      <c r="AJ49" s="586">
        <f t="shared" si="90"/>
        <v>-124.46428602111872</v>
      </c>
      <c r="AK49" s="635">
        <f t="shared" si="211"/>
        <v>0.93930301168000385</v>
      </c>
      <c r="AL49" s="629">
        <f t="shared" si="91"/>
        <v>6.0671779918913205E-2</v>
      </c>
      <c r="AM49" s="634">
        <f t="shared" si="92"/>
        <v>-0.33768148804805037</v>
      </c>
      <c r="AN49" s="581">
        <f t="shared" si="93"/>
        <v>10.18574834518574</v>
      </c>
      <c r="AO49" s="582">
        <f t="shared" si="94"/>
        <v>20.065166156941601</v>
      </c>
      <c r="AP49" s="585">
        <f t="shared" si="95"/>
        <v>3.6957344580405223</v>
      </c>
      <c r="AQ49" s="586">
        <f t="shared" si="246"/>
        <v>1.2561887382563204</v>
      </c>
      <c r="AS49" s="52">
        <f t="shared" si="406"/>
        <v>-217.41002058744584</v>
      </c>
      <c r="AT49" s="72">
        <f t="shared" si="247"/>
        <v>2.2699625759666747E-2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5.1079999999999997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1313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-1.6244741942095868</v>
      </c>
      <c r="C50" s="708">
        <v>-1.9868397725397224</v>
      </c>
      <c r="D50" s="709">
        <v>-8.5100256662374085E-2</v>
      </c>
      <c r="E50" s="710">
        <v>0.64366336927056023</v>
      </c>
      <c r="F50" s="708">
        <v>-0.69200454118922683</v>
      </c>
      <c r="G50" s="711">
        <v>0.32684427795627402</v>
      </c>
      <c r="H50" s="710">
        <v>0.26600000000000001</v>
      </c>
      <c r="I50" s="708">
        <v>0.52</v>
      </c>
      <c r="J50" s="570">
        <v>5.1139999999999999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1313</v>
      </c>
      <c r="L50" s="320"/>
      <c r="M50" s="168">
        <f t="shared" si="239"/>
        <v>5.1139999999999999</v>
      </c>
      <c r="N50" s="632">
        <f t="shared" si="240"/>
        <v>-1.6244741942095868</v>
      </c>
      <c r="O50" s="629">
        <f t="shared" si="241"/>
        <v>-1.9868397725397224</v>
      </c>
      <c r="P50" s="633">
        <f t="shared" si="242"/>
        <v>-8.5100256662374085E-2</v>
      </c>
      <c r="Q50" s="585">
        <f t="shared" si="113"/>
        <v>230.72997968110488</v>
      </c>
      <c r="R50" s="629">
        <f t="shared" si="79"/>
        <v>2.5664077402857446</v>
      </c>
      <c r="S50" s="634">
        <f t="shared" si="80"/>
        <v>-8.5100256662374085E-2</v>
      </c>
      <c r="T50" s="635">
        <f t="shared" si="81"/>
        <v>-2.0079332623538666</v>
      </c>
      <c r="U50" s="629">
        <f t="shared" si="82"/>
        <v>1.598328096271707</v>
      </c>
      <c r="V50" s="636">
        <f t="shared" si="114"/>
        <v>-8.5100256662374085E-2</v>
      </c>
      <c r="W50" s="585">
        <f t="shared" si="224"/>
        <v>141.47997957281831</v>
      </c>
      <c r="X50" s="629">
        <f t="shared" si="83"/>
        <v>2.5664077402857446</v>
      </c>
      <c r="Y50" s="630">
        <f t="shared" si="223"/>
        <v>-8.5100256662374085E-2</v>
      </c>
      <c r="Z50" s="632">
        <f t="shared" si="243"/>
        <v>-0.64366336927056023</v>
      </c>
      <c r="AA50" s="629">
        <f t="shared" si="244"/>
        <v>0.69200454118922683</v>
      </c>
      <c r="AB50" s="629">
        <f t="shared" si="245"/>
        <v>-0.32684427795627402</v>
      </c>
      <c r="AC50" s="636">
        <f t="shared" si="84"/>
        <v>1</v>
      </c>
      <c r="AD50" s="637">
        <f t="shared" si="115"/>
        <v>-0.64366336927056023</v>
      </c>
      <c r="AE50" s="629">
        <f t="shared" si="85"/>
        <v>0.69200454118922683</v>
      </c>
      <c r="AF50" s="633">
        <f t="shared" si="86"/>
        <v>-0.32684427795627402</v>
      </c>
      <c r="AG50" s="602">
        <f t="shared" si="87"/>
        <v>64.717921030546265</v>
      </c>
      <c r="AH50" s="603">
        <f t="shared" si="88"/>
        <v>130.06553331148598</v>
      </c>
      <c r="AI50" s="585">
        <f t="shared" si="89"/>
        <v>-70.922652487094993</v>
      </c>
      <c r="AJ50" s="586">
        <f t="shared" si="90"/>
        <v>-137.07277325051123</v>
      </c>
      <c r="AK50" s="635">
        <f t="shared" si="211"/>
        <v>0.93632802921793878</v>
      </c>
      <c r="AL50" s="629">
        <f t="shared" si="91"/>
        <v>-0.12830681847856945</v>
      </c>
      <c r="AM50" s="634">
        <f t="shared" si="92"/>
        <v>-0.32684427795627402</v>
      </c>
      <c r="AN50" s="581">
        <f t="shared" si="93"/>
        <v>-21.433111956168368</v>
      </c>
      <c r="AO50" s="582">
        <f t="shared" si="94"/>
        <v>20.556232604921647</v>
      </c>
      <c r="AP50" s="585">
        <f t="shared" si="95"/>
        <v>-7.8027529316161628</v>
      </c>
      <c r="AQ50" s="586">
        <f t="shared" si="246"/>
        <v>0.88822363179528818</v>
      </c>
      <c r="AS50" s="52">
        <f t="shared" si="406"/>
        <v>-218.52002042718169</v>
      </c>
      <c r="AT50" s="72">
        <f t="shared" si="247"/>
        <v>6.717059078130308E-2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5.1139999999999999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1313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-2.0904289707331367</v>
      </c>
      <c r="C51" s="708">
        <v>-2.437221310794309</v>
      </c>
      <c r="D51" s="709">
        <v>-0.32810098955258432</v>
      </c>
      <c r="E51" s="710">
        <v>0.53114911643723661</v>
      </c>
      <c r="F51" s="708">
        <v>-0.80338134101395942</v>
      </c>
      <c r="G51" s="711">
        <v>0.26918216326226957</v>
      </c>
      <c r="H51" s="710">
        <v>0.26600000000000001</v>
      </c>
      <c r="I51" s="708">
        <v>0.52</v>
      </c>
      <c r="J51" s="570">
        <v>5.1210000000000004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1313</v>
      </c>
      <c r="L51" s="320"/>
      <c r="M51" s="168">
        <f t="shared" si="239"/>
        <v>5.1210000000000004</v>
      </c>
      <c r="N51" s="632">
        <f t="shared" si="240"/>
        <v>-2.0904289707331367</v>
      </c>
      <c r="O51" s="629">
        <f t="shared" si="241"/>
        <v>-2.437221310794309</v>
      </c>
      <c r="P51" s="633">
        <f t="shared" si="242"/>
        <v>-0.32810098955258432</v>
      </c>
      <c r="Q51" s="585">
        <f t="shared" si="113"/>
        <v>229.37997987602074</v>
      </c>
      <c r="R51" s="629">
        <f t="shared" si="79"/>
        <v>3.210909684103608</v>
      </c>
      <c r="S51" s="634">
        <f t="shared" si="80"/>
        <v>-0.32810098955258432</v>
      </c>
      <c r="T51" s="635">
        <f t="shared" si="81"/>
        <v>-2.4643753740392604</v>
      </c>
      <c r="U51" s="629">
        <f t="shared" si="82"/>
        <v>2.0583476419932532</v>
      </c>
      <c r="V51" s="636">
        <f t="shared" si="114"/>
        <v>-0.32810098955258432</v>
      </c>
      <c r="W51" s="585">
        <f t="shared" si="224"/>
        <v>140.12997976773414</v>
      </c>
      <c r="X51" s="629">
        <f t="shared" si="83"/>
        <v>3.210909684103608</v>
      </c>
      <c r="Y51" s="630">
        <f t="shared" si="223"/>
        <v>-0.32810098955258432</v>
      </c>
      <c r="Z51" s="632">
        <f t="shared" si="243"/>
        <v>-0.53114911643723661</v>
      </c>
      <c r="AA51" s="629">
        <f t="shared" si="244"/>
        <v>0.80338134101395942</v>
      </c>
      <c r="AB51" s="629">
        <f t="shared" si="245"/>
        <v>-0.26918216326226957</v>
      </c>
      <c r="AC51" s="636">
        <f t="shared" si="84"/>
        <v>1</v>
      </c>
      <c r="AD51" s="637">
        <f t="shared" si="115"/>
        <v>-0.53114911643723661</v>
      </c>
      <c r="AE51" s="629">
        <f t="shared" si="85"/>
        <v>0.80338134101395942</v>
      </c>
      <c r="AF51" s="633">
        <f t="shared" si="86"/>
        <v>-0.26918216326226957</v>
      </c>
      <c r="AG51" s="602">
        <f t="shared" si="87"/>
        <v>71.475982046671476</v>
      </c>
      <c r="AH51" s="603">
        <f t="shared" si="88"/>
        <v>122.08312891971677</v>
      </c>
      <c r="AI51" s="585">
        <f t="shared" si="89"/>
        <v>-74.384393394472639</v>
      </c>
      <c r="AJ51" s="586">
        <f t="shared" si="90"/>
        <v>-146.52963623638217</v>
      </c>
      <c r="AK51" s="635">
        <f t="shared" si="211"/>
        <v>0.92619845096099485</v>
      </c>
      <c r="AL51" s="629">
        <f t="shared" si="91"/>
        <v>-0.26400263714383299</v>
      </c>
      <c r="AM51" s="634">
        <f t="shared" si="92"/>
        <v>-0.26918216326226957</v>
      </c>
      <c r="AN51" s="581">
        <f t="shared" si="93"/>
        <v>-44.44342814774177</v>
      </c>
      <c r="AO51" s="582">
        <f t="shared" si="94"/>
        <v>22.15022939778444</v>
      </c>
      <c r="AP51" s="585">
        <f t="shared" si="95"/>
        <v>-15.909616112402894</v>
      </c>
      <c r="AQ51" s="586">
        <f t="shared" si="246"/>
        <v>0.70995766905035329</v>
      </c>
      <c r="AS51" s="52">
        <f t="shared" si="406"/>
        <v>-219.87002023226586</v>
      </c>
      <c r="AT51" s="72">
        <f t="shared" si="247"/>
        <v>-0.17489264224426537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5.1210000000000004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1313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-2.4718946552729051</v>
      </c>
      <c r="C52" s="708">
        <v>-2.765633073517284</v>
      </c>
      <c r="D52" s="709">
        <v>-0.80200241883929535</v>
      </c>
      <c r="E52" s="710">
        <v>0.44014418149592155</v>
      </c>
      <c r="F52" s="708">
        <v>-0.88205283837574011</v>
      </c>
      <c r="G52" s="711">
        <v>0.16809488335040398</v>
      </c>
      <c r="H52" s="710">
        <v>0.26600000000000001</v>
      </c>
      <c r="I52" s="708">
        <v>0.52</v>
      </c>
      <c r="J52" s="570">
        <v>5.1280000000000001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1313</v>
      </c>
      <c r="L52" s="320"/>
      <c r="M52" s="168">
        <f t="shared" si="239"/>
        <v>5.1280000000000001</v>
      </c>
      <c r="N52" s="632">
        <f t="shared" si="240"/>
        <v>-2.4718946552729051</v>
      </c>
      <c r="O52" s="629">
        <f t="shared" si="241"/>
        <v>-2.765633073517284</v>
      </c>
      <c r="P52" s="633">
        <f t="shared" si="242"/>
        <v>-0.80200241883929535</v>
      </c>
      <c r="Q52" s="585">
        <f t="shared" si="113"/>
        <v>228.20998004494783</v>
      </c>
      <c r="R52" s="629">
        <f t="shared" si="79"/>
        <v>3.7093111872825406</v>
      </c>
      <c r="S52" s="634">
        <f t="shared" si="80"/>
        <v>-0.80200241883929535</v>
      </c>
      <c r="T52" s="635">
        <f t="shared" si="81"/>
        <v>-2.7977522317520016</v>
      </c>
      <c r="U52" s="629">
        <f t="shared" si="82"/>
        <v>2.4354818689175466</v>
      </c>
      <c r="V52" s="636">
        <f t="shared" si="114"/>
        <v>-0.80200241883929535</v>
      </c>
      <c r="W52" s="585">
        <f t="shared" si="224"/>
        <v>138.95997993666123</v>
      </c>
      <c r="X52" s="629">
        <f t="shared" si="83"/>
        <v>3.7093111872825406</v>
      </c>
      <c r="Y52" s="630">
        <f t="shared" si="223"/>
        <v>-0.80200241883929535</v>
      </c>
      <c r="Z52" s="632">
        <f t="shared" si="243"/>
        <v>-0.44014418149592155</v>
      </c>
      <c r="AA52" s="629">
        <f t="shared" si="244"/>
        <v>0.88205283837574011</v>
      </c>
      <c r="AB52" s="629">
        <f t="shared" si="245"/>
        <v>-0.16809488335040398</v>
      </c>
      <c r="AC52" s="636">
        <f t="shared" si="84"/>
        <v>1</v>
      </c>
      <c r="AD52" s="637">
        <f t="shared" si="115"/>
        <v>-0.44014418149592155</v>
      </c>
      <c r="AE52" s="629">
        <f t="shared" si="85"/>
        <v>0.88205283837574011</v>
      </c>
      <c r="AF52" s="633">
        <f t="shared" si="86"/>
        <v>-0.16809488335040398</v>
      </c>
      <c r="AG52" s="602">
        <f t="shared" si="87"/>
        <v>79.210385515534867</v>
      </c>
      <c r="AH52" s="603">
        <f t="shared" si="88"/>
        <v>116.11308084413119</v>
      </c>
      <c r="AI52" s="585">
        <f t="shared" si="89"/>
        <v>-80.322930015319145</v>
      </c>
      <c r="AJ52" s="586">
        <f t="shared" si="90"/>
        <v>-153.48081339248526</v>
      </c>
      <c r="AK52" s="635">
        <f t="shared" si="211"/>
        <v>0.91597033270204387</v>
      </c>
      <c r="AL52" s="629">
        <f t="shared" si="91"/>
        <v>-0.36433838639528687</v>
      </c>
      <c r="AM52" s="634">
        <f t="shared" si="92"/>
        <v>-0.16809488335040398</v>
      </c>
      <c r="AN52" s="581">
        <f t="shared" si="93"/>
        <v>-65.232806432629388</v>
      </c>
      <c r="AO52" s="582">
        <f t="shared" si="94"/>
        <v>23.65609486430429</v>
      </c>
      <c r="AP52" s="585">
        <f t="shared" si="95"/>
        <v>-21.690793437433076</v>
      </c>
      <c r="AQ52" s="586">
        <f t="shared" si="246"/>
        <v>0.61457210945309981</v>
      </c>
      <c r="AS52" s="52">
        <f t="shared" si="406"/>
        <v>-221.04002006333877</v>
      </c>
      <c r="AT52" s="72">
        <f t="shared" si="247"/>
        <v>-0.64798157164828685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5.1280000000000001</v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>
        <f t="shared" si="112"/>
        <v>1313</v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>
        <v>-2.6899546557519969</v>
      </c>
      <c r="C53" s="708">
        <v>-2.938655967797732</v>
      </c>
      <c r="D53" s="709">
        <v>-1.4306043147026135</v>
      </c>
      <c r="E53" s="710">
        <v>0.37191269023321488</v>
      </c>
      <c r="F53" s="708">
        <v>-0.92678897237714419</v>
      </c>
      <c r="G53" s="711">
        <v>5.2375104043904115E-2</v>
      </c>
      <c r="H53" s="710">
        <v>0.26600000000000001</v>
      </c>
      <c r="I53" s="708">
        <v>0.52</v>
      </c>
      <c r="J53" s="570">
        <v>5.1349999999999998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1313</v>
      </c>
      <c r="L53" s="320"/>
      <c r="M53" s="168">
        <f t="shared" si="239"/>
        <v>5.1349999999999998</v>
      </c>
      <c r="N53" s="632">
        <f t="shared" si="240"/>
        <v>-2.6899546557519969</v>
      </c>
      <c r="O53" s="629">
        <f t="shared" si="241"/>
        <v>-2.938655967797732</v>
      </c>
      <c r="P53" s="633">
        <f t="shared" si="242"/>
        <v>-1.4306043147026135</v>
      </c>
      <c r="Q53" s="585">
        <f t="shared" si="113"/>
        <v>227.52998014312766</v>
      </c>
      <c r="R53" s="629">
        <f t="shared" ref="R53:R58" si="410">IF(M53="","",SQRT(N53^2+O53^2))</f>
        <v>3.9839120154786385</v>
      </c>
      <c r="S53" s="634">
        <f t="shared" ref="S53:S58" si="411">IF(M53="","",P53)</f>
        <v>-1.4306043147026135</v>
      </c>
      <c r="T53" s="635">
        <f t="shared" ref="T53:T58" si="412">IF(M53="","",X53*COS(RADIANS(W53)))</f>
        <v>-2.9736146195500952</v>
      </c>
      <c r="U53" s="629">
        <f t="shared" ref="U53:U58" si="413">IF(M53="","",X53*SIN(RADIANS(W53)))</f>
        <v>2.651258388289043</v>
      </c>
      <c r="V53" s="636">
        <f t="shared" ref="V53:V58" si="414">IF(M53="","",Y53)</f>
        <v>-1.4306043147026135</v>
      </c>
      <c r="W53" s="585">
        <f t="shared" si="224"/>
        <v>138.27998003484106</v>
      </c>
      <c r="X53" s="629">
        <f t="shared" ref="X53:X58" si="415">IF(M53="","",R53)</f>
        <v>3.9839120154786385</v>
      </c>
      <c r="Y53" s="630">
        <f t="shared" si="223"/>
        <v>-1.4306043147026135</v>
      </c>
      <c r="Z53" s="632">
        <f t="shared" si="243"/>
        <v>-0.37191269023321488</v>
      </c>
      <c r="AA53" s="629">
        <f t="shared" si="244"/>
        <v>0.92678897237714419</v>
      </c>
      <c r="AB53" s="629">
        <f t="shared" si="245"/>
        <v>-5.2375104043904115E-2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-0.37191269023321488</v>
      </c>
      <c r="AE53" s="629">
        <f t="shared" ref="AE53:AE58" si="418">IF(M53="","",AA53*(1/SQRT(Z53^2+AA53^2+AB53^2)))</f>
        <v>0.92678897237714419</v>
      </c>
      <c r="AF53" s="633">
        <f t="shared" ref="AF53:AF58" si="419">IF(M53="","",AB53*(1/SQRT(Z53^2+AA53^2+AB53^2)))</f>
        <v>-5.2375104043904115E-2</v>
      </c>
      <c r="AG53" s="602">
        <f t="shared" ref="AG53:AG58" si="420">IF(M53="","",DEGREES(ATAN2(-AF53,AE53)))</f>
        <v>86.765516179205804</v>
      </c>
      <c r="AH53" s="603">
        <f t="shared" ref="AH53:AH58" si="421">IF(M53="","",DEGREES(ACOS(AD53)))</f>
        <v>111.83362629684693</v>
      </c>
      <c r="AI53" s="585">
        <f t="shared" ref="AI53:AI58" si="422">IF(M53="","",DEGREES(-ACOS(-AF53)))</f>
        <v>-86.997753915742678</v>
      </c>
      <c r="AJ53" s="586">
        <f t="shared" ref="AJ53:AJ58" si="423">IF(M53="","",DEGREES(ATAN2(-AE53,AD53)))</f>
        <v>-158.134819824575</v>
      </c>
      <c r="AK53" s="635">
        <f t="shared" ref="AK53:AK58" si="424">IF(M53="","",(COS(RADIANS((90-$Q$8)-W53))*AD53)+(-SIN(RADIANS((90-$Q$8)-W53))*AE53))</f>
        <v>0.90010616295406032</v>
      </c>
      <c r="AL53" s="629">
        <f t="shared" ref="AL53:AL58" si="425">IF(M53="","",(SIN(RADIANS((90-$Q$8)-W53))*AD53)+(COS(RADIANS((90-$Q$8)-W53))*AE53))</f>
        <v>-0.43251097545439116</v>
      </c>
      <c r="AM53" s="634">
        <f t="shared" ref="AM53:AM58" si="426">IF(M53="","",AF53)</f>
        <v>-5.2375104043904115E-2</v>
      </c>
      <c r="AN53" s="581">
        <f t="shared" ref="AN53:AN58" si="427">IF(M53="","",DEGREES(ATAN2(-AM53,AL53)))</f>
        <v>-83.095361882412092</v>
      </c>
      <c r="AO53" s="582">
        <f t="shared" si="94"/>
        <v>25.827974606440815</v>
      </c>
      <c r="AP53" s="585">
        <f t="shared" ref="AP53:AP58" si="428">IF(M53="","",DEGREES(ATAN2(AK53,AL53)))</f>
        <v>-25.664799967702645</v>
      </c>
      <c r="AQ53" s="586">
        <f t="shared" si="246"/>
        <v>0.57221415252975039</v>
      </c>
      <c r="AS53" s="52">
        <f t="shared" si="406"/>
        <v>-221.72001996515894</v>
      </c>
      <c r="AT53" s="72">
        <f t="shared" si="247"/>
        <v>-1.2761112453575634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5.1349999999999998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>
        <f t="shared" si="112"/>
        <v>1313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-2.7552993659754561</v>
      </c>
      <c r="C54" s="708">
        <v>-2.9890259497434446</v>
      </c>
      <c r="D54" s="709">
        <v>-2.1450064693395121</v>
      </c>
      <c r="E54" s="710">
        <v>0.21354168499849879</v>
      </c>
      <c r="F54" s="708">
        <v>-0.97693395312476738</v>
      </c>
      <c r="G54" s="711">
        <v>1.3008419212704155E-7</v>
      </c>
      <c r="H54" s="710">
        <v>0.26600000000000001</v>
      </c>
      <c r="I54" s="708">
        <v>0.52</v>
      </c>
      <c r="J54" s="570">
        <v>5.1420000000000003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1313</v>
      </c>
      <c r="L54" s="320"/>
      <c r="M54" s="168">
        <f t="shared" si="239"/>
        <v>5.1420000000000003</v>
      </c>
      <c r="N54" s="632">
        <f t="shared" si="240"/>
        <v>-2.7552993659754561</v>
      </c>
      <c r="O54" s="629">
        <f t="shared" si="241"/>
        <v>-2.9890259497434446</v>
      </c>
      <c r="P54" s="633">
        <f t="shared" si="242"/>
        <v>-2.1450064693395121</v>
      </c>
      <c r="Q54" s="585">
        <f t="shared" si="113"/>
        <v>227.32998017200407</v>
      </c>
      <c r="R54" s="629">
        <f t="shared" si="410"/>
        <v>4.0652122606801786</v>
      </c>
      <c r="S54" s="634">
        <f t="shared" si="411"/>
        <v>-2.1450064693395121</v>
      </c>
      <c r="T54" s="635">
        <f t="shared" si="412"/>
        <v>-3.0248356218845673</v>
      </c>
      <c r="U54" s="629">
        <f t="shared" si="413"/>
        <v>2.715938177676851</v>
      </c>
      <c r="V54" s="636">
        <f t="shared" si="414"/>
        <v>-2.1450064693395121</v>
      </c>
      <c r="W54" s="585">
        <f t="shared" si="224"/>
        <v>138.07998006371747</v>
      </c>
      <c r="X54" s="629">
        <f t="shared" si="415"/>
        <v>4.0652122606801786</v>
      </c>
      <c r="Y54" s="630">
        <f t="shared" si="223"/>
        <v>-2.1450064693395121</v>
      </c>
      <c r="Z54" s="632">
        <f t="shared" si="243"/>
        <v>-0.21354168499849879</v>
      </c>
      <c r="AA54" s="629">
        <f t="shared" si="244"/>
        <v>0.97693395312476738</v>
      </c>
      <c r="AB54" s="629">
        <f t="shared" si="245"/>
        <v>-1.3008419212704155E-7</v>
      </c>
      <c r="AC54" s="636">
        <f t="shared" si="416"/>
        <v>1</v>
      </c>
      <c r="AD54" s="637">
        <f t="shared" si="417"/>
        <v>-0.21354168499849879</v>
      </c>
      <c r="AE54" s="629">
        <f t="shared" si="418"/>
        <v>0.97693395312476738</v>
      </c>
      <c r="AF54" s="633">
        <f t="shared" si="419"/>
        <v>-1.3008419212704155E-7</v>
      </c>
      <c r="AG54" s="602">
        <f t="shared" si="420"/>
        <v>89.999992370748132</v>
      </c>
      <c r="AH54" s="603">
        <f t="shared" si="421"/>
        <v>102.32998522537869</v>
      </c>
      <c r="AI54" s="585">
        <f t="shared" si="422"/>
        <v>-89.999992546724812</v>
      </c>
      <c r="AJ54" s="586">
        <f t="shared" si="423"/>
        <v>-167.67001477462119</v>
      </c>
      <c r="AK54" s="635">
        <f t="shared" si="424"/>
        <v>0.81915209487729201</v>
      </c>
      <c r="AL54" s="629">
        <f t="shared" si="425"/>
        <v>-0.57357636410344459</v>
      </c>
      <c r="AM54" s="634">
        <f t="shared" si="426"/>
        <v>-1.3008419212704155E-7</v>
      </c>
      <c r="AN54" s="581">
        <f t="shared" si="427"/>
        <v>-89.999987005609626</v>
      </c>
      <c r="AO54" s="582">
        <f t="shared" si="94"/>
        <v>34.999994946625954</v>
      </c>
      <c r="AP54" s="585">
        <f t="shared" si="428"/>
        <v>-34.999994946625264</v>
      </c>
      <c r="AQ54" s="586">
        <f t="shared" si="246"/>
        <v>0.56077117076363792</v>
      </c>
      <c r="AS54" s="52">
        <f t="shared" si="406"/>
        <v>-221.92001993628253</v>
      </c>
      <c r="AT54" s="72">
        <f t="shared" si="247"/>
        <v>-1.9903745111256261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5.1420000000000003</v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>
        <f t="shared" si="112"/>
        <v>1313</v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>
        <v>-1.3590669105305595</v>
      </c>
      <c r="C55" s="708">
        <v>-0.27008827805671592</v>
      </c>
      <c r="D55" s="709">
        <v>-0.27390000000000009</v>
      </c>
      <c r="E55" s="710">
        <v>4.4206609408728984E-8</v>
      </c>
      <c r="F55" s="708">
        <v>-2.2244482654177745E-7</v>
      </c>
      <c r="G55" s="711">
        <v>0.99999999999997435</v>
      </c>
      <c r="H55" s="710">
        <v>0.26250000000000001</v>
      </c>
      <c r="I55" s="708">
        <v>0.40699999999999997</v>
      </c>
      <c r="J55" s="570">
        <v>5.2060000000000004</v>
      </c>
      <c r="K55" s="865" t="str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Inactive</v>
      </c>
      <c r="L55" s="320"/>
      <c r="M55" s="168">
        <f t="shared" si="239"/>
        <v>5.2060000000000004</v>
      </c>
      <c r="N55" s="632">
        <f t="shared" si="240"/>
        <v>-1.3590669105305595</v>
      </c>
      <c r="O55" s="629">
        <f t="shared" si="241"/>
        <v>-0.27008827805671592</v>
      </c>
      <c r="P55" s="633">
        <f t="shared" si="242"/>
        <v>-0.27390000000000009</v>
      </c>
      <c r="Q55" s="585">
        <f t="shared" si="113"/>
        <v>191.23998539900694</v>
      </c>
      <c r="R55" s="629">
        <f t="shared" si="410"/>
        <v>1.3856444512365795</v>
      </c>
      <c r="S55" s="634">
        <f t="shared" si="411"/>
        <v>-0.27390000000000009</v>
      </c>
      <c r="T55" s="635">
        <f t="shared" si="412"/>
        <v>-0.28785477259026715</v>
      </c>
      <c r="U55" s="629">
        <f t="shared" si="413"/>
        <v>1.3554151301869577</v>
      </c>
      <c r="V55" s="636">
        <f t="shared" si="414"/>
        <v>-0.27390000000000009</v>
      </c>
      <c r="W55" s="585">
        <f t="shared" si="224"/>
        <v>101.98998529072036</v>
      </c>
      <c r="X55" s="629">
        <f t="shared" si="415"/>
        <v>1.3856444512365795</v>
      </c>
      <c r="Y55" s="630">
        <f t="shared" si="223"/>
        <v>-0.27390000000000009</v>
      </c>
      <c r="Z55" s="632">
        <f t="shared" si="243"/>
        <v>-4.4206609408728984E-8</v>
      </c>
      <c r="AA55" s="629">
        <f t="shared" si="244"/>
        <v>2.2244482654177745E-7</v>
      </c>
      <c r="AB55" s="629">
        <f t="shared" si="245"/>
        <v>-0.99999999999997435</v>
      </c>
      <c r="AC55" s="636">
        <f t="shared" si="416"/>
        <v>1</v>
      </c>
      <c r="AD55" s="637">
        <f t="shared" si="417"/>
        <v>-4.4206609408728984E-8</v>
      </c>
      <c r="AE55" s="629">
        <f t="shared" si="418"/>
        <v>2.2244482654177745E-7</v>
      </c>
      <c r="AF55" s="633">
        <f t="shared" si="419"/>
        <v>-0.99999999999997435</v>
      </c>
      <c r="AG55" s="602">
        <f t="shared" si="420"/>
        <v>1.274514973536364E-5</v>
      </c>
      <c r="AH55" s="603">
        <f t="shared" si="421"/>
        <v>90.00000253285215</v>
      </c>
      <c r="AI55" s="585">
        <f t="shared" si="422"/>
        <v>-1.2976235990044085E-5</v>
      </c>
      <c r="AJ55" s="586">
        <f t="shared" si="423"/>
        <v>-168.76001461724539</v>
      </c>
      <c r="AK55" s="635">
        <f t="shared" si="424"/>
        <v>2.2679489670320491E-7</v>
      </c>
      <c r="AL55" s="629">
        <f t="shared" si="425"/>
        <v>-6.433183470660889E-17</v>
      </c>
      <c r="AM55" s="634">
        <f t="shared" si="426"/>
        <v>-0.99999999999997435</v>
      </c>
      <c r="AN55" s="581">
        <f t="shared" si="427"/>
        <v>-3.685942617022015E-15</v>
      </c>
      <c r="AO55" s="582">
        <f>IF(ROUND(IF(M55="",0,DEGREES(ACOS(AK55))),4)=90,0,IF(M55="","",DEGREES(ACOS(AK55))))</f>
        <v>0</v>
      </c>
      <c r="AP55" s="585">
        <f t="shared" si="428"/>
        <v>-1.625231727257747E-8</v>
      </c>
      <c r="AQ55" s="586">
        <f t="shared" si="246"/>
        <v>1.644794490632506</v>
      </c>
      <c r="AS55" s="52">
        <f t="shared" si="406"/>
        <v>-258.01001470927963</v>
      </c>
      <c r="AT55" s="72">
        <f t="shared" si="247"/>
        <v>-9.4205545415977143E-2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>Nose</v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5.2060000000000004</v>
      </c>
      <c r="IH55" s="731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3.1059999999999999</v>
      </c>
      <c r="II55" s="734" cm="1">
        <f t="array" ref="II55">IFERROR(ROUND(VALUE(IF($IH55&lt;1,$IH55+LARGE((IF($M$9:$M$150="",0,$M$9:$M$150)-MOD(IF($M$9:$M$150="",0,$M$9:$M$150),1)),1),$IH55)),4),"")</f>
        <v>3.1059999999999999</v>
      </c>
      <c r="IJ55" s="533">
        <f t="shared" si="112"/>
        <v>1313</v>
      </c>
      <c r="IK55" s="533" t="str">
        <f t="shared" si="382"/>
        <v>Inactive</v>
      </c>
      <c r="IL55" s="727">
        <f t="shared" si="225"/>
        <v>152.75997792793567</v>
      </c>
      <c r="IM55" s="759">
        <v>1.33306986895813E-2</v>
      </c>
      <c r="IN55" s="5">
        <f t="shared" si="226"/>
        <v>0.04</v>
      </c>
      <c r="IO55" s="771">
        <v>20</v>
      </c>
      <c r="IP55" s="9">
        <f t="shared" si="227"/>
        <v>-1.38190416782297</v>
      </c>
      <c r="IQ55" s="5">
        <f t="shared" si="228"/>
        <v>-0.24470073801742587</v>
      </c>
      <c r="IR55" s="5">
        <f t="shared" si="383"/>
        <v>0.26600000000000001</v>
      </c>
      <c r="IS55" s="5">
        <f t="shared" si="229"/>
        <v>0.24995824171420702</v>
      </c>
      <c r="IT55" s="727">
        <f t="shared" si="230"/>
        <v>-14.999997834268251</v>
      </c>
      <c r="IU55" s="9">
        <f t="shared" si="231"/>
        <v>-1.3856444512365795</v>
      </c>
      <c r="IV55" s="5">
        <f t="shared" si="232"/>
        <v>-0.27390000000000009</v>
      </c>
      <c r="IW55" s="5">
        <f t="shared" si="384"/>
        <v>0.26250000000000001</v>
      </c>
      <c r="IX55" s="5">
        <f t="shared" si="233"/>
        <v>0.26250000000000001</v>
      </c>
      <c r="IY55" s="762">
        <f t="shared" si="234"/>
        <v>3.685942617022015E-15</v>
      </c>
    </row>
    <row r="56" spans="1:259" ht="15" customHeight="1" x14ac:dyDescent="0.25">
      <c r="A56" s="79"/>
      <c r="B56" s="707">
        <v>-3.4149868668718875</v>
      </c>
      <c r="C56" s="708">
        <v>-2.1339189311492288</v>
      </c>
      <c r="D56" s="709">
        <v>-2.1469731419376625</v>
      </c>
      <c r="E56" s="710">
        <v>-0.84804816559545482</v>
      </c>
      <c r="F56" s="708">
        <v>-0.52991915310746485</v>
      </c>
      <c r="G56" s="711">
        <v>2.267948967209169E-7</v>
      </c>
      <c r="H56" s="710">
        <v>0.25700000000000001</v>
      </c>
      <c r="I56" s="708">
        <v>0.41499999999999992</v>
      </c>
      <c r="J56" s="570">
        <v>5.242</v>
      </c>
      <c r="K56" s="865" t="str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CPS-32193r1</v>
      </c>
      <c r="L56" s="320"/>
      <c r="M56" s="168">
        <f t="shared" si="239"/>
        <v>5.242</v>
      </c>
      <c r="N56" s="632">
        <f t="shared" si="240"/>
        <v>-3.4149868668718875</v>
      </c>
      <c r="O56" s="629">
        <f t="shared" si="241"/>
        <v>-2.1339189311492288</v>
      </c>
      <c r="P56" s="633">
        <f t="shared" si="242"/>
        <v>-2.1469731419376625</v>
      </c>
      <c r="Q56" s="585">
        <f t="shared" si="113"/>
        <v>211.99997949773959</v>
      </c>
      <c r="R56" s="629">
        <f t="shared" si="410"/>
        <v>4.0268778607780664</v>
      </c>
      <c r="S56" s="634">
        <f t="shared" si="411"/>
        <v>-2.1469731419376625</v>
      </c>
      <c r="T56" s="635">
        <f t="shared" si="412"/>
        <v>-2.1784369037054931</v>
      </c>
      <c r="U56" s="629">
        <f t="shared" si="413"/>
        <v>3.3867621649886428</v>
      </c>
      <c r="V56" s="636">
        <f t="shared" si="414"/>
        <v>-2.1469731419376625</v>
      </c>
      <c r="W56" s="585">
        <f t="shared" si="224"/>
        <v>122.749979389453</v>
      </c>
      <c r="X56" s="629">
        <f t="shared" si="415"/>
        <v>4.0268778607780664</v>
      </c>
      <c r="Y56" s="630">
        <f t="shared" si="223"/>
        <v>-2.1469731419376625</v>
      </c>
      <c r="Z56" s="632">
        <f t="shared" si="243"/>
        <v>0.84804816559545482</v>
      </c>
      <c r="AA56" s="629">
        <f t="shared" si="244"/>
        <v>0.52991915310746485</v>
      </c>
      <c r="AB56" s="629">
        <f t="shared" si="245"/>
        <v>-2.267948967209169E-7</v>
      </c>
      <c r="AC56" s="636">
        <f t="shared" si="416"/>
        <v>1</v>
      </c>
      <c r="AD56" s="637">
        <f t="shared" si="417"/>
        <v>0.84804816559545482</v>
      </c>
      <c r="AE56" s="629">
        <f t="shared" si="418"/>
        <v>0.52991915310746485</v>
      </c>
      <c r="AF56" s="633">
        <f t="shared" si="419"/>
        <v>-2.267948967209169E-7</v>
      </c>
      <c r="AG56" s="602">
        <f t="shared" si="420"/>
        <v>89.999975478541742</v>
      </c>
      <c r="AH56" s="603">
        <f t="shared" si="421"/>
        <v>31.999992492132343</v>
      </c>
      <c r="AI56" s="585">
        <f t="shared" si="422"/>
        <v>-89.999987005609611</v>
      </c>
      <c r="AJ56" s="586">
        <f t="shared" si="423"/>
        <v>121.99999249212999</v>
      </c>
      <c r="AK56" s="635">
        <f t="shared" si="424"/>
        <v>2.2679489686261434E-7</v>
      </c>
      <c r="AL56" s="629">
        <f t="shared" si="425"/>
        <v>-0.9999999999999486</v>
      </c>
      <c r="AM56" s="634">
        <f t="shared" si="426"/>
        <v>-2.267948967209169E-7</v>
      </c>
      <c r="AN56" s="581">
        <f t="shared" si="427"/>
        <v>-89.999987005609611</v>
      </c>
      <c r="AO56" s="582">
        <f t="shared" ref="AO56:AO119" si="461">IF(ROUND(IF(M56="",0,DEGREES(ACOS(AK56))),4)=90,0,IF(M56="","",DEGREES(ACOS(AK56))))</f>
        <v>0</v>
      </c>
      <c r="AP56" s="585">
        <f t="shared" si="428"/>
        <v>-89.999987005609597</v>
      </c>
      <c r="AQ56" s="586">
        <f t="shared" si="246"/>
        <v>0.56610916079309637</v>
      </c>
      <c r="AS56" s="52">
        <f t="shared" si="406"/>
        <v>-237.25002061054698</v>
      </c>
      <c r="AT56" s="72">
        <f t="shared" si="247"/>
        <v>-1.9816953499222039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>Taper</v>
      </c>
      <c r="IF56" s="533" t="str">
        <f>IFERROR(IF((((($IW56*COS(RADIANS(180-$IY56)))*COS(RADIANS($IY56)))-(($IX56*SIN(RADIANS(180-$IY56)))*SIN(RADIANS($IY56))))+$IU56)&lt;(((Settings!$C$19+$IF$8)/2)*-1),"Gage",""),"")</f>
        <v>Gage</v>
      </c>
      <c r="IG56" s="847">
        <f t="shared" si="210"/>
        <v>5.242</v>
      </c>
      <c r="IH56" s="731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5.1420000000000003</v>
      </c>
      <c r="II56" s="734" cm="1">
        <f t="array" ref="II56">IFERROR(ROUND(VALUE(IF($IH56&lt;1,$IH56+LARGE((IF($M$9:$M$150="",0,$M$9:$M$150)-MOD(IF($M$9:$M$150="",0,$M$9:$M$150),1)),1),$IH56)),4),"")</f>
        <v>5.1420000000000003</v>
      </c>
      <c r="IJ56" s="533">
        <f t="shared" si="112"/>
        <v>1313</v>
      </c>
      <c r="IK56" s="533" t="str">
        <f t="shared" si="382"/>
        <v>CPS-32193r1</v>
      </c>
      <c r="IL56" s="727">
        <f t="shared" si="225"/>
        <v>15.330000674264468</v>
      </c>
      <c r="IM56" s="759">
        <v>1.26764250398903E-4</v>
      </c>
      <c r="IN56" s="5">
        <f t="shared" si="226"/>
        <v>0</v>
      </c>
      <c r="IO56" s="771">
        <v>0</v>
      </c>
      <c r="IP56" s="9">
        <f t="shared" si="227"/>
        <v>-4.0652122606801786</v>
      </c>
      <c r="IQ56" s="5">
        <f t="shared" si="228"/>
        <v>-2.1450064693395121</v>
      </c>
      <c r="IR56" s="5">
        <f t="shared" si="383"/>
        <v>0.26600000000000001</v>
      </c>
      <c r="IS56" s="5">
        <f t="shared" si="229"/>
        <v>0.2178944572373597</v>
      </c>
      <c r="IT56" s="727">
        <f t="shared" si="230"/>
        <v>89.999987005609626</v>
      </c>
      <c r="IU56" s="9">
        <f t="shared" si="231"/>
        <v>-4.0268778607780664</v>
      </c>
      <c r="IV56" s="5">
        <f t="shared" si="232"/>
        <v>-2.1469731419376625</v>
      </c>
      <c r="IW56" s="5">
        <f t="shared" si="384"/>
        <v>0.25700000000000001</v>
      </c>
      <c r="IX56" s="5">
        <f t="shared" si="233"/>
        <v>0.25700000000000001</v>
      </c>
      <c r="IY56" s="762">
        <f t="shared" si="234"/>
        <v>89.999987005609611</v>
      </c>
    </row>
    <row r="57" spans="1:259" ht="15" customHeight="1" x14ac:dyDescent="0.25">
      <c r="A57" s="79"/>
      <c r="B57" s="707">
        <v>-2.4591500938380473</v>
      </c>
      <c r="C57" s="708">
        <v>-0.21125530325737349</v>
      </c>
      <c r="D57" s="709">
        <v>-7.2100217454255849E-2</v>
      </c>
      <c r="E57" s="710">
        <v>-2.6607301975655383E-2</v>
      </c>
      <c r="F57" s="708">
        <v>-0.94258336771057294</v>
      </c>
      <c r="G57" s="711">
        <v>0.33290936664048876</v>
      </c>
      <c r="H57" s="710">
        <v>0.26600000000000001</v>
      </c>
      <c r="I57" s="708">
        <v>0.52</v>
      </c>
      <c r="J57" s="570">
        <v>6.1130000000000004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1313</v>
      </c>
      <c r="L57" s="320"/>
      <c r="M57" s="168">
        <f t="shared" si="239"/>
        <v>6.1130000000000004</v>
      </c>
      <c r="N57" s="632">
        <f t="shared" si="240"/>
        <v>-2.4591500938380473</v>
      </c>
      <c r="O57" s="629">
        <f t="shared" si="241"/>
        <v>-0.21125530325737349</v>
      </c>
      <c r="P57" s="633">
        <f t="shared" si="242"/>
        <v>-7.2100217454255849E-2</v>
      </c>
      <c r="Q57" s="585">
        <f t="shared" si="113"/>
        <v>184.90998629669343</v>
      </c>
      <c r="R57" s="629">
        <f t="shared" si="410"/>
        <v>2.4682074441136508</v>
      </c>
      <c r="S57" s="634">
        <f t="shared" si="411"/>
        <v>-7.2100217454255849E-2</v>
      </c>
      <c r="T57" s="635">
        <f t="shared" si="412"/>
        <v>-0.24342648003854869</v>
      </c>
      <c r="U57" s="629">
        <f t="shared" si="413"/>
        <v>2.4561741664617522</v>
      </c>
      <c r="V57" s="636">
        <f t="shared" si="414"/>
        <v>-7.2100217454255849E-2</v>
      </c>
      <c r="W57" s="585">
        <f t="shared" si="224"/>
        <v>95.659986188406847</v>
      </c>
      <c r="X57" s="629">
        <f t="shared" si="415"/>
        <v>2.4682074441136508</v>
      </c>
      <c r="Y57" s="630">
        <f t="shared" si="223"/>
        <v>-7.2100217454255849E-2</v>
      </c>
      <c r="Z57" s="632">
        <f t="shared" si="243"/>
        <v>2.6607301975655383E-2</v>
      </c>
      <c r="AA57" s="629">
        <f t="shared" si="244"/>
        <v>0.94258336771057294</v>
      </c>
      <c r="AB57" s="629">
        <f t="shared" si="245"/>
        <v>-0.33290936664048876</v>
      </c>
      <c r="AC57" s="636">
        <f t="shared" si="416"/>
        <v>1</v>
      </c>
      <c r="AD57" s="637">
        <f t="shared" si="417"/>
        <v>2.6607301975655383E-2</v>
      </c>
      <c r="AE57" s="629">
        <f t="shared" si="418"/>
        <v>0.94258336771057294</v>
      </c>
      <c r="AF57" s="633">
        <f t="shared" si="419"/>
        <v>-0.33290936664048876</v>
      </c>
      <c r="AG57" s="602">
        <f t="shared" si="420"/>
        <v>70.547378144894168</v>
      </c>
      <c r="AH57" s="603">
        <f t="shared" si="421"/>
        <v>88.475333958956085</v>
      </c>
      <c r="AI57" s="585">
        <f t="shared" si="422"/>
        <v>-70.554542347391603</v>
      </c>
      <c r="AJ57" s="586">
        <f t="shared" si="423"/>
        <v>178.38308054473364</v>
      </c>
      <c r="AK57" s="635">
        <f t="shared" si="424"/>
        <v>0.93684712321183516</v>
      </c>
      <c r="AL57" s="629">
        <f t="shared" si="425"/>
        <v>-0.10718591947050377</v>
      </c>
      <c r="AM57" s="634">
        <f t="shared" si="426"/>
        <v>-0.33290936664048876</v>
      </c>
      <c r="AN57" s="581">
        <f t="shared" si="427"/>
        <v>-17.846859341805693</v>
      </c>
      <c r="AO57" s="582">
        <f t="shared" si="461"/>
        <v>20.47136073328198</v>
      </c>
      <c r="AP57" s="585">
        <f t="shared" si="428"/>
        <v>-6.5269057519597977</v>
      </c>
      <c r="AQ57" s="586">
        <f t="shared" si="246"/>
        <v>0.92355656340082126</v>
      </c>
      <c r="AS57" s="52">
        <f t="shared" si="406"/>
        <v>-264.34001381159317</v>
      </c>
      <c r="AT57" s="72">
        <f t="shared" si="247"/>
        <v>0.11199006983970705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6.1130000000000004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>
        <f t="shared" si="112"/>
        <v>1313</v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-3.1194443234256544</v>
      </c>
      <c r="C58" s="708">
        <v>-0.19461831469712867</v>
      </c>
      <c r="D58" s="709">
        <v>-0.27790083814892785</v>
      </c>
      <c r="E58" s="710">
        <v>-0.18253140520330033</v>
      </c>
      <c r="F58" s="708">
        <v>-0.94606872472898174</v>
      </c>
      <c r="G58" s="711">
        <v>0.26764949879307987</v>
      </c>
      <c r="H58" s="710">
        <v>0.26600000000000001</v>
      </c>
      <c r="I58" s="708">
        <v>0.52</v>
      </c>
      <c r="J58" s="570">
        <v>6.12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1313</v>
      </c>
      <c r="L58" s="320"/>
      <c r="M58" s="168">
        <f t="shared" si="239"/>
        <v>6.12</v>
      </c>
      <c r="N58" s="632">
        <f t="shared" si="240"/>
        <v>-3.1194443234256544</v>
      </c>
      <c r="O58" s="629">
        <f t="shared" si="241"/>
        <v>-0.19461831469712867</v>
      </c>
      <c r="P58" s="633">
        <f t="shared" si="242"/>
        <v>-0.27790083814892785</v>
      </c>
      <c r="Q58" s="585">
        <f t="shared" si="113"/>
        <v>183.56998649016546</v>
      </c>
      <c r="R58" s="629">
        <f t="shared" si="410"/>
        <v>3.1255094265364307</v>
      </c>
      <c r="S58" s="634">
        <f t="shared" si="411"/>
        <v>-0.27790083814892785</v>
      </c>
      <c r="T58" s="635">
        <f t="shared" si="412"/>
        <v>-0.23543389998463646</v>
      </c>
      <c r="U58" s="629">
        <f t="shared" si="413"/>
        <v>3.1166295984775143</v>
      </c>
      <c r="V58" s="636">
        <f t="shared" si="414"/>
        <v>-0.27790083814892785</v>
      </c>
      <c r="W58" s="585">
        <f t="shared" si="224"/>
        <v>94.319986381878877</v>
      </c>
      <c r="X58" s="629">
        <f t="shared" si="415"/>
        <v>3.1255094265364307</v>
      </c>
      <c r="Y58" s="630">
        <f t="shared" si="223"/>
        <v>-0.27790083814892785</v>
      </c>
      <c r="Z58" s="632">
        <f t="shared" si="243"/>
        <v>0.18253140520330033</v>
      </c>
      <c r="AA58" s="629">
        <f t="shared" si="244"/>
        <v>0.94606872472898174</v>
      </c>
      <c r="AB58" s="629">
        <f t="shared" si="245"/>
        <v>-0.26764949879307987</v>
      </c>
      <c r="AC58" s="636">
        <f t="shared" si="416"/>
        <v>1</v>
      </c>
      <c r="AD58" s="637">
        <f t="shared" si="417"/>
        <v>0.18253140520330033</v>
      </c>
      <c r="AE58" s="629">
        <f t="shared" si="418"/>
        <v>0.94606872472898174</v>
      </c>
      <c r="AF58" s="633">
        <f t="shared" si="419"/>
        <v>-0.26764949879307987</v>
      </c>
      <c r="AG58" s="602">
        <f t="shared" si="420"/>
        <v>74.203418538664181</v>
      </c>
      <c r="AH58" s="603">
        <f t="shared" si="421"/>
        <v>79.482758151944083</v>
      </c>
      <c r="AI58" s="585">
        <f t="shared" si="422"/>
        <v>-74.475553916189426</v>
      </c>
      <c r="AJ58" s="586">
        <f t="shared" si="423"/>
        <v>169.07972120093245</v>
      </c>
      <c r="AK58" s="635">
        <f t="shared" si="424"/>
        <v>0.93286704999557613</v>
      </c>
      <c r="AL58" s="629">
        <f t="shared" si="425"/>
        <v>-0.24108673299948413</v>
      </c>
      <c r="AM58" s="634">
        <f t="shared" si="426"/>
        <v>-0.26764949879307987</v>
      </c>
      <c r="AN58" s="581">
        <f t="shared" si="427"/>
        <v>-42.01111599432997</v>
      </c>
      <c r="AO58" s="582">
        <f t="shared" si="461"/>
        <v>21.113760328163213</v>
      </c>
      <c r="AP58" s="585">
        <f t="shared" si="428"/>
        <v>-14.490265289232996</v>
      </c>
      <c r="AQ58" s="586">
        <f t="shared" si="246"/>
        <v>0.72935422076776235</v>
      </c>
      <c r="AS58" s="52">
        <f t="shared" si="406"/>
        <v>-265.68001361812111</v>
      </c>
      <c r="AT58" s="72">
        <f t="shared" si="247"/>
        <v>-9.2879995433764989E-2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6.12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>
        <f t="shared" si="112"/>
        <v>1313</v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>
        <v>-3.6472411072714248</v>
      </c>
      <c r="C59" s="708">
        <v>-0.14967555018690054</v>
      </c>
      <c r="D59" s="709">
        <v>-0.72280217997137486</v>
      </c>
      <c r="E59" s="710">
        <v>-0.31639642199434237</v>
      </c>
      <c r="F59" s="708">
        <v>-0.93019769373603534</v>
      </c>
      <c r="G59" s="711">
        <v>0.18607943120436285</v>
      </c>
      <c r="H59" s="710">
        <v>0.26600000000000001</v>
      </c>
      <c r="I59" s="708">
        <v>0.52</v>
      </c>
      <c r="J59" s="570">
        <v>6.1269999999999998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1313</v>
      </c>
      <c r="L59" s="320"/>
      <c r="M59" s="168">
        <f t="shared" si="239"/>
        <v>6.1269999999999998</v>
      </c>
      <c r="N59" s="632">
        <f t="shared" si="240"/>
        <v>-3.6472411072714248</v>
      </c>
      <c r="O59" s="629">
        <f t="shared" si="241"/>
        <v>-0.14967555018690054</v>
      </c>
      <c r="P59" s="633">
        <f t="shared" si="242"/>
        <v>-0.72280217997137486</v>
      </c>
      <c r="Q59" s="585">
        <f t="shared" si="113"/>
        <v>182.34998666631165</v>
      </c>
      <c r="R59" s="629">
        <f t="shared" si="79"/>
        <v>3.6503110093380045</v>
      </c>
      <c r="S59" s="634">
        <f t="shared" si="80"/>
        <v>-0.72280217997137486</v>
      </c>
      <c r="T59" s="635">
        <f t="shared" si="81"/>
        <v>-0.19740363127593305</v>
      </c>
      <c r="U59" s="629">
        <f t="shared" si="82"/>
        <v>3.6449694472318033</v>
      </c>
      <c r="V59" s="636">
        <f t="shared" si="114"/>
        <v>-0.72280217997137486</v>
      </c>
      <c r="W59" s="585">
        <f t="shared" si="224"/>
        <v>93.099986558025066</v>
      </c>
      <c r="X59" s="629">
        <f t="shared" si="83"/>
        <v>3.6503110093380045</v>
      </c>
      <c r="Y59" s="630">
        <f t="shared" si="223"/>
        <v>-0.72280217997137486</v>
      </c>
      <c r="Z59" s="632">
        <f t="shared" si="243"/>
        <v>0.31639642199434237</v>
      </c>
      <c r="AA59" s="629">
        <f t="shared" si="244"/>
        <v>0.93019769373603534</v>
      </c>
      <c r="AB59" s="629">
        <f t="shared" si="245"/>
        <v>-0.18607943120436285</v>
      </c>
      <c r="AC59" s="636">
        <f t="shared" si="84"/>
        <v>1</v>
      </c>
      <c r="AD59" s="637">
        <f t="shared" si="115"/>
        <v>0.31639642199434237</v>
      </c>
      <c r="AE59" s="629">
        <f t="shared" si="85"/>
        <v>0.93019769373603534</v>
      </c>
      <c r="AF59" s="633">
        <f t="shared" si="86"/>
        <v>-0.18607943120436285</v>
      </c>
      <c r="AG59" s="602">
        <f t="shared" si="87"/>
        <v>78.687704865918533</v>
      </c>
      <c r="AH59" s="603">
        <f t="shared" si="88"/>
        <v>71.554864888239919</v>
      </c>
      <c r="AI59" s="585">
        <f t="shared" si="89"/>
        <v>-79.27592790996728</v>
      </c>
      <c r="AJ59" s="586">
        <f t="shared" si="90"/>
        <v>161.21483326252886</v>
      </c>
      <c r="AK59" s="635">
        <f t="shared" si="211"/>
        <v>0.91644203723634321</v>
      </c>
      <c r="AL59" s="629">
        <f t="shared" si="91"/>
        <v>-0.35427170034983302</v>
      </c>
      <c r="AM59" s="634">
        <f t="shared" si="92"/>
        <v>-0.18607943120436285</v>
      </c>
      <c r="AN59" s="581">
        <f t="shared" si="93"/>
        <v>-62.289524938518859</v>
      </c>
      <c r="AO59" s="582">
        <f t="shared" si="461"/>
        <v>23.588647341903751</v>
      </c>
      <c r="AP59" s="585">
        <f t="shared" si="95"/>
        <v>-21.135153403782802</v>
      </c>
      <c r="AQ59" s="586">
        <f t="shared" si="246"/>
        <v>0.62450469185057778</v>
      </c>
      <c r="AS59" s="52">
        <f t="shared" si="406"/>
        <v>-266.90001344197492</v>
      </c>
      <c r="AT59" s="72">
        <f t="shared" si="247"/>
        <v>-0.53693411515631351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6.1269999999999998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>
        <f t="shared" si="112"/>
        <v>1313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>
        <v>-3.9587871428762544</v>
      </c>
      <c r="C60" s="708">
        <v>-0.10988654862830137</v>
      </c>
      <c r="D60" s="709">
        <v>-1.3349040260705427</v>
      </c>
      <c r="E60" s="710">
        <v>-0.39060522712909379</v>
      </c>
      <c r="F60" s="708">
        <v>-0.91834637483623538</v>
      </c>
      <c r="G60" s="711">
        <v>6.3776895225260699E-2</v>
      </c>
      <c r="H60" s="710">
        <v>0.26600000000000001</v>
      </c>
      <c r="I60" s="708">
        <v>0.52</v>
      </c>
      <c r="J60" s="570">
        <v>6.1340000000000003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1313</v>
      </c>
      <c r="L60" s="320"/>
      <c r="M60" s="168">
        <f t="shared" si="239"/>
        <v>6.1340000000000003</v>
      </c>
      <c r="N60" s="632">
        <f t="shared" si="240"/>
        <v>-3.9587871428762544</v>
      </c>
      <c r="O60" s="629">
        <f t="shared" si="241"/>
        <v>-0.10988654862830137</v>
      </c>
      <c r="P60" s="633">
        <f t="shared" si="242"/>
        <v>-1.3349040260705427</v>
      </c>
      <c r="Q60" s="585">
        <f t="shared" si="113"/>
        <v>181.58998677604205</v>
      </c>
      <c r="R60" s="629">
        <f t="shared" si="79"/>
        <v>3.9603119443008246</v>
      </c>
      <c r="S60" s="634">
        <f t="shared" si="80"/>
        <v>-1.3349040260705427</v>
      </c>
      <c r="T60" s="635">
        <f t="shared" si="81"/>
        <v>-0.16169604955580527</v>
      </c>
      <c r="U60" s="629">
        <f t="shared" si="82"/>
        <v>3.9570096138030575</v>
      </c>
      <c r="V60" s="636">
        <f t="shared" si="114"/>
        <v>-1.3349040260705427</v>
      </c>
      <c r="W60" s="585">
        <f t="shared" si="224"/>
        <v>92.339986667755468</v>
      </c>
      <c r="X60" s="629">
        <f t="shared" si="83"/>
        <v>3.9603119443008246</v>
      </c>
      <c r="Y60" s="630">
        <f t="shared" si="223"/>
        <v>-1.3349040260705427</v>
      </c>
      <c r="Z60" s="632">
        <f t="shared" si="243"/>
        <v>0.39060522712909379</v>
      </c>
      <c r="AA60" s="629">
        <f t="shared" si="244"/>
        <v>0.91834637483623538</v>
      </c>
      <c r="AB60" s="629">
        <f t="shared" si="245"/>
        <v>-6.3776895225260699E-2</v>
      </c>
      <c r="AC60" s="636">
        <f t="shared" si="84"/>
        <v>1</v>
      </c>
      <c r="AD60" s="637">
        <f t="shared" si="115"/>
        <v>0.39060522712909379</v>
      </c>
      <c r="AE60" s="629">
        <f t="shared" si="85"/>
        <v>0.91834637483623538</v>
      </c>
      <c r="AF60" s="633">
        <f t="shared" si="86"/>
        <v>-6.3776895225260699E-2</v>
      </c>
      <c r="AG60" s="602">
        <f t="shared" si="87"/>
        <v>86.027327633625262</v>
      </c>
      <c r="AH60" s="603">
        <f t="shared" si="88"/>
        <v>67.007836359775368</v>
      </c>
      <c r="AI60" s="585">
        <f t="shared" si="89"/>
        <v>-86.343371325481215</v>
      </c>
      <c r="AJ60" s="586">
        <f t="shared" si="90"/>
        <v>156.958232746112</v>
      </c>
      <c r="AK60" s="635">
        <f t="shared" si="211"/>
        <v>0.90715469176445795</v>
      </c>
      <c r="AL60" s="629">
        <f t="shared" si="91"/>
        <v>-0.41593614034507437</v>
      </c>
      <c r="AM60" s="634">
        <f t="shared" si="92"/>
        <v>-6.3776895225260699E-2</v>
      </c>
      <c r="AN60" s="581">
        <f t="shared" si="93"/>
        <v>-81.282540293545097</v>
      </c>
      <c r="AO60" s="582">
        <f t="shared" si="461"/>
        <v>24.884934419958974</v>
      </c>
      <c r="AP60" s="585">
        <f t="shared" si="95"/>
        <v>-24.631754029930033</v>
      </c>
      <c r="AQ60" s="586">
        <f t="shared" si="246"/>
        <v>0.57562383059146705</v>
      </c>
      <c r="AS60" s="52">
        <f t="shared" si="406"/>
        <v>-267.66001333224455</v>
      </c>
      <c r="AT60" s="72">
        <f t="shared" si="247"/>
        <v>-1.1485081835539053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6.1340000000000003</v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>
        <f t="shared" si="112"/>
        <v>1313</v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>
        <v>-4.0641170866532557</v>
      </c>
      <c r="C61" s="708">
        <v>-9.4355870816295748E-2</v>
      </c>
      <c r="D61" s="709">
        <v>-2.0463061716594138</v>
      </c>
      <c r="E61" s="710">
        <v>-0.55440885938709172</v>
      </c>
      <c r="F61" s="708">
        <v>-0.83224444524015118</v>
      </c>
      <c r="G61" s="711">
        <v>1.3008419227004151E-7</v>
      </c>
      <c r="H61" s="710">
        <v>0.26600000000000001</v>
      </c>
      <c r="I61" s="708">
        <v>0.52</v>
      </c>
      <c r="J61" s="570">
        <v>6.141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1313</v>
      </c>
      <c r="L61" s="320"/>
      <c r="M61" s="168">
        <f t="shared" si="239"/>
        <v>6.141</v>
      </c>
      <c r="N61" s="632">
        <f t="shared" si="240"/>
        <v>-4.0641170866532557</v>
      </c>
      <c r="O61" s="629">
        <f t="shared" si="241"/>
        <v>-9.4355870816295748E-2</v>
      </c>
      <c r="P61" s="633">
        <f t="shared" si="242"/>
        <v>-2.0463061716594138</v>
      </c>
      <c r="Q61" s="585">
        <f t="shared" si="113"/>
        <v>181.3299868135814</v>
      </c>
      <c r="R61" s="629">
        <f t="shared" si="79"/>
        <v>4.0652122606801786</v>
      </c>
      <c r="S61" s="634">
        <f t="shared" si="80"/>
        <v>-2.0463061716594138</v>
      </c>
      <c r="T61" s="635">
        <f t="shared" si="81"/>
        <v>-0.14754542846080143</v>
      </c>
      <c r="U61" s="629">
        <f t="shared" si="82"/>
        <v>4.06253382397301</v>
      </c>
      <c r="V61" s="636">
        <f t="shared" si="114"/>
        <v>-2.0463061716594138</v>
      </c>
      <c r="W61" s="585">
        <f t="shared" si="224"/>
        <v>92.079986705294814</v>
      </c>
      <c r="X61" s="629">
        <f t="shared" si="83"/>
        <v>4.0652122606801786</v>
      </c>
      <c r="Y61" s="630">
        <f t="shared" si="223"/>
        <v>-2.0463061716594138</v>
      </c>
      <c r="Z61" s="632">
        <f t="shared" si="243"/>
        <v>0.55440885938709172</v>
      </c>
      <c r="AA61" s="629">
        <f t="shared" si="244"/>
        <v>0.83224444524015118</v>
      </c>
      <c r="AB61" s="629">
        <f t="shared" si="245"/>
        <v>-1.3008419227004151E-7</v>
      </c>
      <c r="AC61" s="636">
        <f t="shared" si="84"/>
        <v>1</v>
      </c>
      <c r="AD61" s="637">
        <f t="shared" si="115"/>
        <v>0.55440885938709172</v>
      </c>
      <c r="AE61" s="629">
        <f t="shared" si="85"/>
        <v>0.83224444524015118</v>
      </c>
      <c r="AF61" s="633">
        <f t="shared" si="86"/>
        <v>-1.3008419227004151E-7</v>
      </c>
      <c r="AG61" s="602">
        <f t="shared" si="87"/>
        <v>89.999991044367746</v>
      </c>
      <c r="AH61" s="603">
        <f t="shared" si="88"/>
        <v>56.329991866956448</v>
      </c>
      <c r="AI61" s="585">
        <f t="shared" si="89"/>
        <v>-89.999992546724798</v>
      </c>
      <c r="AJ61" s="586">
        <f t="shared" si="90"/>
        <v>146.32999186695614</v>
      </c>
      <c r="AK61" s="635">
        <f t="shared" si="211"/>
        <v>0.81915209487729201</v>
      </c>
      <c r="AL61" s="629">
        <f t="shared" si="91"/>
        <v>-0.57357636410344448</v>
      </c>
      <c r="AM61" s="634">
        <f t="shared" si="92"/>
        <v>-1.3008419227004151E-7</v>
      </c>
      <c r="AN61" s="581">
        <f t="shared" si="93"/>
        <v>-89.999987005609611</v>
      </c>
      <c r="AO61" s="582">
        <f t="shared" si="461"/>
        <v>34.999994946625954</v>
      </c>
      <c r="AP61" s="585">
        <f t="shared" si="95"/>
        <v>-34.999994946625264</v>
      </c>
      <c r="AQ61" s="586">
        <f t="shared" si="246"/>
        <v>0.56077117076363792</v>
      </c>
      <c r="AS61" s="52">
        <f t="shared" si="406"/>
        <v>-267.9200132947052</v>
      </c>
      <c r="AT61" s="72">
        <f t="shared" si="247"/>
        <v>-1.8597297736132896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6.141</v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>
        <f t="shared" si="112"/>
        <v>1313</v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>
        <v>-3.2380514564772449</v>
      </c>
      <c r="C62" s="708">
        <v>0.70245878666107031</v>
      </c>
      <c r="D62" s="709">
        <v>-0.3570061225445515</v>
      </c>
      <c r="E62" s="710">
        <v>-0.35964014613820183</v>
      </c>
      <c r="F62" s="708">
        <v>-0.87727628105935285</v>
      </c>
      <c r="G62" s="711">
        <v>0.3178762211559153</v>
      </c>
      <c r="H62" s="710">
        <v>0.219</v>
      </c>
      <c r="I62" s="708">
        <v>0.42</v>
      </c>
      <c r="J62" s="570">
        <v>6.2220000000000004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1111</v>
      </c>
      <c r="L62" s="320"/>
      <c r="M62" s="168">
        <f t="shared" si="239"/>
        <v>6.2220000000000004</v>
      </c>
      <c r="N62" s="632">
        <f t="shared" si="240"/>
        <v>-3.2380514564772449</v>
      </c>
      <c r="O62" s="629">
        <f t="shared" si="241"/>
        <v>0.70245878666107031</v>
      </c>
      <c r="P62" s="633">
        <f t="shared" si="242"/>
        <v>-0.3570061225445515</v>
      </c>
      <c r="Q62" s="585">
        <f t="shared" si="113"/>
        <v>167.7599887728467</v>
      </c>
      <c r="R62" s="629">
        <f t="shared" si="79"/>
        <v>3.3133707280882034</v>
      </c>
      <c r="S62" s="634">
        <f t="shared" si="80"/>
        <v>-0.3570061225445515</v>
      </c>
      <c r="T62" s="635">
        <f t="shared" si="81"/>
        <v>0.66001382744480086</v>
      </c>
      <c r="U62" s="629">
        <f t="shared" si="82"/>
        <v>3.2469689449290109</v>
      </c>
      <c r="V62" s="636">
        <f t="shared" si="114"/>
        <v>-0.3570061225445515</v>
      </c>
      <c r="W62" s="585">
        <f t="shared" si="224"/>
        <v>78.509988664560112</v>
      </c>
      <c r="X62" s="629">
        <f t="shared" si="83"/>
        <v>3.3133707280882034</v>
      </c>
      <c r="Y62" s="630">
        <f t="shared" si="223"/>
        <v>-0.3570061225445515</v>
      </c>
      <c r="Z62" s="632">
        <f t="shared" si="243"/>
        <v>0.35964014613820183</v>
      </c>
      <c r="AA62" s="629">
        <f t="shared" si="244"/>
        <v>0.87727628105935285</v>
      </c>
      <c r="AB62" s="629">
        <f t="shared" si="245"/>
        <v>-0.3178762211559153</v>
      </c>
      <c r="AC62" s="636">
        <f t="shared" si="84"/>
        <v>1</v>
      </c>
      <c r="AD62" s="637">
        <f t="shared" si="115"/>
        <v>0.35964014613820183</v>
      </c>
      <c r="AE62" s="629">
        <f t="shared" si="85"/>
        <v>0.87727628105935285</v>
      </c>
      <c r="AF62" s="633">
        <f t="shared" si="86"/>
        <v>-0.3178762211559153</v>
      </c>
      <c r="AG62" s="602">
        <f t="shared" si="87"/>
        <v>70.082295265616636</v>
      </c>
      <c r="AH62" s="603">
        <f t="shared" si="88"/>
        <v>68.921902183743626</v>
      </c>
      <c r="AI62" s="585">
        <f t="shared" si="89"/>
        <v>-71.465463739637443</v>
      </c>
      <c r="AJ62" s="586">
        <f t="shared" si="90"/>
        <v>157.70878232256689</v>
      </c>
      <c r="AK62" s="635">
        <f t="shared" si="211"/>
        <v>0.93358044546160579</v>
      </c>
      <c r="AL62" s="629">
        <f t="shared" si="91"/>
        <v>-0.16547585888988647</v>
      </c>
      <c r="AM62" s="634">
        <f t="shared" si="92"/>
        <v>-0.3178762211559153</v>
      </c>
      <c r="AN62" s="581">
        <f t="shared" si="93"/>
        <v>-27.4999960294918</v>
      </c>
      <c r="AO62" s="582">
        <f t="shared" si="461"/>
        <v>20.999996967975548</v>
      </c>
      <c r="AP62" s="585">
        <f t="shared" si="95"/>
        <v>-10.051206450279807</v>
      </c>
      <c r="AQ62" s="586">
        <f t="shared" si="246"/>
        <v>0.68800543189264196</v>
      </c>
      <c r="AS62" s="52">
        <f t="shared" si="406"/>
        <v>-281.49001133543987</v>
      </c>
      <c r="AT62" s="72">
        <f t="shared" si="247"/>
        <v>-0.16100611474791726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>Taper</v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6.2220000000000004</v>
      </c>
      <c r="IH62" s="731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4.1219999999999999</v>
      </c>
      <c r="II62" s="734" cm="1">
        <f t="array" ref="II62">IFERROR(ROUND(VALUE(IF($IH62&lt;1,$IH62+LARGE((IF($M$9:$M$150="",0,$M$9:$M$150)-MOD(IF($M$9:$M$150="",0,$M$9:$M$150),1)),1),$IH62)),4),"")</f>
        <v>4.1219999999999999</v>
      </c>
      <c r="IJ62" s="533">
        <f t="shared" si="112"/>
        <v>1313</v>
      </c>
      <c r="IK62" s="533">
        <f t="shared" si="382"/>
        <v>1111</v>
      </c>
      <c r="IL62" s="727">
        <f t="shared" si="225"/>
        <v>115.42998333397237</v>
      </c>
      <c r="IM62" s="759">
        <v>7.2706462427124599E-3</v>
      </c>
      <c r="IN62" s="5">
        <f t="shared" si="226"/>
        <v>0.04</v>
      </c>
      <c r="IO62" s="771">
        <v>20</v>
      </c>
      <c r="IP62" s="9">
        <f t="shared" si="227"/>
        <v>-3.2931099320195556</v>
      </c>
      <c r="IQ62" s="5">
        <f t="shared" si="228"/>
        <v>-0.38310115543308482</v>
      </c>
      <c r="IR62" s="5">
        <f t="shared" si="383"/>
        <v>0.26600000000000001</v>
      </c>
      <c r="IS62" s="5">
        <f t="shared" si="229"/>
        <v>0.24620788101091576</v>
      </c>
      <c r="IT62" s="727">
        <f t="shared" si="230"/>
        <v>47.671653457475529</v>
      </c>
      <c r="IU62" s="9">
        <f t="shared" si="231"/>
        <v>-3.3133707280882034</v>
      </c>
      <c r="IV62" s="5">
        <f t="shared" si="232"/>
        <v>-0.3570061225445515</v>
      </c>
      <c r="IW62" s="5">
        <f t="shared" si="384"/>
        <v>0.219</v>
      </c>
      <c r="IX62" s="5">
        <f t="shared" si="233"/>
        <v>0.20445411755609166</v>
      </c>
      <c r="IY62" s="762">
        <f t="shared" si="234"/>
        <v>27.4999960294918</v>
      </c>
    </row>
    <row r="63" spans="1:259" ht="15" customHeight="1" x14ac:dyDescent="0.25">
      <c r="A63" s="79"/>
      <c r="B63" s="707">
        <v>-3.7123321389708988</v>
      </c>
      <c r="C63" s="708">
        <v>0.78501903531599582</v>
      </c>
      <c r="D63" s="709">
        <v>-0.86635745624734672</v>
      </c>
      <c r="E63" s="710">
        <v>-0.45097861650574866</v>
      </c>
      <c r="F63" s="708">
        <v>-0.85232226351401186</v>
      </c>
      <c r="G63" s="711">
        <v>0.26488685617242774</v>
      </c>
      <c r="H63" s="710">
        <v>0.219</v>
      </c>
      <c r="I63" s="708">
        <v>0.42</v>
      </c>
      <c r="J63" s="570">
        <v>6.2290000000000001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1111</v>
      </c>
      <c r="L63" s="320"/>
      <c r="M63" s="168">
        <f t="shared" si="239"/>
        <v>6.2290000000000001</v>
      </c>
      <c r="N63" s="632">
        <f t="shared" si="240"/>
        <v>-3.7123321389708988</v>
      </c>
      <c r="O63" s="629">
        <f t="shared" si="241"/>
        <v>0.78501903531599582</v>
      </c>
      <c r="P63" s="633">
        <f t="shared" si="242"/>
        <v>-0.86635745624734672</v>
      </c>
      <c r="Q63" s="585">
        <f t="shared" si="113"/>
        <v>168.05998872953205</v>
      </c>
      <c r="R63" s="629">
        <f t="shared" si="79"/>
        <v>3.794425489562907</v>
      </c>
      <c r="S63" s="634">
        <f t="shared" si="80"/>
        <v>-0.86635745624734672</v>
      </c>
      <c r="T63" s="635">
        <f t="shared" si="81"/>
        <v>0.73635886154012686</v>
      </c>
      <c r="U63" s="629">
        <f t="shared" si="82"/>
        <v>3.7222896747668681</v>
      </c>
      <c r="V63" s="636">
        <f t="shared" si="114"/>
        <v>-0.86635745624734672</v>
      </c>
      <c r="W63" s="585">
        <f t="shared" si="224"/>
        <v>78.809988621245466</v>
      </c>
      <c r="X63" s="629">
        <f t="shared" si="83"/>
        <v>3.794425489562907</v>
      </c>
      <c r="Y63" s="630">
        <f t="shared" si="223"/>
        <v>-0.86635745624734672</v>
      </c>
      <c r="Z63" s="632">
        <f t="shared" si="243"/>
        <v>0.45097861650574866</v>
      </c>
      <c r="AA63" s="629">
        <f t="shared" si="244"/>
        <v>0.85232226351401186</v>
      </c>
      <c r="AB63" s="629">
        <f t="shared" si="245"/>
        <v>-0.26488685617242774</v>
      </c>
      <c r="AC63" s="636">
        <f t="shared" si="84"/>
        <v>1</v>
      </c>
      <c r="AD63" s="637">
        <f t="shared" si="115"/>
        <v>0.45097861650574866</v>
      </c>
      <c r="AE63" s="629">
        <f t="shared" si="85"/>
        <v>0.85232226351401186</v>
      </c>
      <c r="AF63" s="633">
        <f t="shared" si="86"/>
        <v>-0.26488685617242774</v>
      </c>
      <c r="AG63" s="602">
        <f t="shared" si="87"/>
        <v>72.73566895689595</v>
      </c>
      <c r="AH63" s="603">
        <f t="shared" si="88"/>
        <v>63.193511678966239</v>
      </c>
      <c r="AI63" s="585">
        <f t="shared" si="89"/>
        <v>-74.639770116369775</v>
      </c>
      <c r="AJ63" s="586">
        <f t="shared" si="90"/>
        <v>152.11590015670569</v>
      </c>
      <c r="AK63" s="635">
        <f t="shared" si="211"/>
        <v>0.92718387533450841</v>
      </c>
      <c r="AL63" s="629">
        <f t="shared" si="91"/>
        <v>-0.2648867960974472</v>
      </c>
      <c r="AM63" s="634">
        <f t="shared" si="92"/>
        <v>-0.26488685617242774</v>
      </c>
      <c r="AN63" s="581">
        <f t="shared" si="93"/>
        <v>-44.999993502804784</v>
      </c>
      <c r="AO63" s="582">
        <f t="shared" si="461"/>
        <v>21.999996823593428</v>
      </c>
      <c r="AP63" s="585">
        <f t="shared" si="95"/>
        <v>-15.944088572826338</v>
      </c>
      <c r="AQ63" s="586">
        <f t="shared" si="246"/>
        <v>0.60078741443402695</v>
      </c>
      <c r="AS63" s="52">
        <f t="shared" si="406"/>
        <v>-281.19001137875455</v>
      </c>
      <c r="AT63" s="72">
        <f t="shared" si="247"/>
        <v>-0.67056578175396619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>Taper</v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6.2290000000000001</v>
      </c>
      <c r="IH63" s="731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>4.1289999999999996</v>
      </c>
      <c r="II63" s="734" cm="1">
        <f t="array" ref="II63">IFERROR(ROUND(VALUE(IF($IH63&lt;1,$IH63+LARGE((IF($M$9:$M$150="",0,$M$9:$M$150)-MOD(IF($M$9:$M$150="",0,$M$9:$M$150),1)),1),$IH63)),4),"")</f>
        <v>4.1289999999999996</v>
      </c>
      <c r="IJ63" s="533">
        <f t="shared" si="112"/>
        <v>1313</v>
      </c>
      <c r="IK63" s="533">
        <f t="shared" si="382"/>
        <v>1111</v>
      </c>
      <c r="IL63" s="727">
        <f t="shared" si="225"/>
        <v>114.01998353755117</v>
      </c>
      <c r="IM63" s="759">
        <v>2.2293277800979898E-3</v>
      </c>
      <c r="IN63" s="5">
        <f t="shared" si="226"/>
        <v>0.02</v>
      </c>
      <c r="IO63" s="771">
        <v>10</v>
      </c>
      <c r="IP63" s="9">
        <f t="shared" si="227"/>
        <v>-3.7636113510518348</v>
      </c>
      <c r="IQ63" s="5">
        <f t="shared" si="228"/>
        <v>-0.88450266766004526</v>
      </c>
      <c r="IR63" s="5">
        <f t="shared" si="383"/>
        <v>0.26600000000000001</v>
      </c>
      <c r="IS63" s="5">
        <f t="shared" si="229"/>
        <v>0.24351995577341001</v>
      </c>
      <c r="IT63" s="727">
        <f t="shared" si="230"/>
        <v>68.173689860719378</v>
      </c>
      <c r="IU63" s="9">
        <f t="shared" si="231"/>
        <v>-3.794425489562907</v>
      </c>
      <c r="IV63" s="5">
        <f t="shared" si="232"/>
        <v>-0.86635745624734672</v>
      </c>
      <c r="IW63" s="5">
        <f t="shared" si="384"/>
        <v>0.219</v>
      </c>
      <c r="IX63" s="5">
        <f t="shared" si="233"/>
        <v>0.20305326869825735</v>
      </c>
      <c r="IY63" s="762">
        <f t="shared" si="234"/>
        <v>44.999993502804784</v>
      </c>
    </row>
    <row r="64" spans="1:259" ht="15" customHeight="1" x14ac:dyDescent="0.25">
      <c r="A64" s="79"/>
      <c r="B64" s="707">
        <v>-3.9524451455384764</v>
      </c>
      <c r="C64" s="708">
        <v>0.83651463709484064</v>
      </c>
      <c r="D64" s="709">
        <v>-1.5200830966499628</v>
      </c>
      <c r="E64" s="710">
        <v>-0.54211822887513672</v>
      </c>
      <c r="F64" s="708">
        <v>-0.8190452903691825</v>
      </c>
      <c r="G64" s="711">
        <v>0.18781011220205021</v>
      </c>
      <c r="H64" s="710">
        <v>0.219</v>
      </c>
      <c r="I64" s="708">
        <v>0.42</v>
      </c>
      <c r="J64" s="570">
        <v>6.2359999999999998</v>
      </c>
      <c r="K64" s="865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1111</v>
      </c>
      <c r="L64" s="320"/>
      <c r="M64" s="168">
        <f t="shared" si="239"/>
        <v>6.2359999999999998</v>
      </c>
      <c r="N64" s="632">
        <f t="shared" si="240"/>
        <v>-3.9524451455384764</v>
      </c>
      <c r="O64" s="629">
        <f t="shared" si="241"/>
        <v>0.83651463709484064</v>
      </c>
      <c r="P64" s="633">
        <f t="shared" si="242"/>
        <v>-1.5200830966499628</v>
      </c>
      <c r="Q64" s="585">
        <f t="shared" si="113"/>
        <v>168.04998873097591</v>
      </c>
      <c r="R64" s="629">
        <f t="shared" si="79"/>
        <v>4.0399974463561952</v>
      </c>
      <c r="S64" s="634">
        <f t="shared" si="80"/>
        <v>-1.5200830966499628</v>
      </c>
      <c r="T64" s="635">
        <f t="shared" si="81"/>
        <v>0.78470706987348626</v>
      </c>
      <c r="U64" s="629">
        <f t="shared" si="82"/>
        <v>3.9630561667802722</v>
      </c>
      <c r="V64" s="636">
        <f t="shared" si="114"/>
        <v>-1.5200830966499628</v>
      </c>
      <c r="W64" s="585">
        <f t="shared" si="224"/>
        <v>78.799988622689327</v>
      </c>
      <c r="X64" s="629">
        <f t="shared" si="83"/>
        <v>4.0399974463561952</v>
      </c>
      <c r="Y64" s="630">
        <f t="shared" si="223"/>
        <v>-1.5200830966499628</v>
      </c>
      <c r="Z64" s="632">
        <f t="shared" si="243"/>
        <v>0.54211822887513672</v>
      </c>
      <c r="AA64" s="629">
        <f t="shared" si="244"/>
        <v>0.8190452903691825</v>
      </c>
      <c r="AB64" s="629">
        <f t="shared" si="245"/>
        <v>-0.18781011220205021</v>
      </c>
      <c r="AC64" s="636">
        <f t="shared" si="84"/>
        <v>1.0000000000000002</v>
      </c>
      <c r="AD64" s="637">
        <f t="shared" si="115"/>
        <v>0.54211822887513661</v>
      </c>
      <c r="AE64" s="629">
        <f t="shared" si="85"/>
        <v>0.81904529036918228</v>
      </c>
      <c r="AF64" s="633">
        <f t="shared" si="86"/>
        <v>-0.18781011220205016</v>
      </c>
      <c r="AG64" s="602">
        <f t="shared" si="87"/>
        <v>77.085132104297458</v>
      </c>
      <c r="AH64" s="603">
        <f t="shared" si="88"/>
        <v>57.17204739117004</v>
      </c>
      <c r="AI64" s="585">
        <f t="shared" si="89"/>
        <v>-79.17498764494826</v>
      </c>
      <c r="AJ64" s="586">
        <f t="shared" si="90"/>
        <v>146.49980653343002</v>
      </c>
      <c r="AK64" s="635">
        <f t="shared" si="211"/>
        <v>0.91354548224147758</v>
      </c>
      <c r="AL64" s="629">
        <f t="shared" si="91"/>
        <v>-0.36077973007201947</v>
      </c>
      <c r="AM64" s="634">
        <f t="shared" si="92"/>
        <v>-0.18781011220205016</v>
      </c>
      <c r="AN64" s="581">
        <f t="shared" si="93"/>
        <v>-62.499990976117807</v>
      </c>
      <c r="AO64" s="582">
        <f t="shared" si="461"/>
        <v>23.999996534829268</v>
      </c>
      <c r="AP64" s="585">
        <f t="shared" si="95"/>
        <v>-21.550182197545883</v>
      </c>
      <c r="AQ64" s="586">
        <f t="shared" si="246"/>
        <v>0.56427088325295072</v>
      </c>
      <c r="AS64" s="52">
        <f t="shared" si="406"/>
        <v>-281.20001137731066</v>
      </c>
      <c r="AT64" s="72">
        <f t="shared" si="247"/>
        <v>-1.3242844777131406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>Taper</v>
      </c>
      <c r="IF64" s="533" t="str">
        <f>IFERROR(IF((((($IW64*COS(RADIANS(180-$IY64)))*COS(RADIANS($IY64)))-(($IX64*SIN(RADIANS(180-$IY64)))*SIN(RADIANS($IY64))))+$IU64)&lt;(((Settings!$C$19+$IF$8)/2)*-1),"Gage",""),"")</f>
        <v>Gage</v>
      </c>
      <c r="IG64" s="847">
        <f t="shared" si="210"/>
        <v>6.2359999999999998</v>
      </c>
      <c r="IH64" s="731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>4.1360000000000001</v>
      </c>
      <c r="II64" s="734" cm="1">
        <f t="array" ref="II64">IFERROR(ROUND(VALUE(IF($IH64&lt;1,$IH64+LARGE((IF($M$9:$M$150="",0,$M$9:$M$150)-MOD(IF($M$9:$M$150="",0,$M$9:$M$150),1)),1),$IH64)),4),"")</f>
        <v>4.1360000000000001</v>
      </c>
      <c r="IJ64" s="533">
        <f t="shared" si="112"/>
        <v>1313</v>
      </c>
      <c r="IK64" s="533">
        <f t="shared" si="382"/>
        <v>1111</v>
      </c>
      <c r="IL64" s="727">
        <f t="shared" si="225"/>
        <v>113.43998362129277</v>
      </c>
      <c r="IM64" s="759">
        <v>2.2165414454083899E-4</v>
      </c>
      <c r="IN64" s="5">
        <f t="shared" si="226"/>
        <v>0</v>
      </c>
      <c r="IO64" s="771">
        <v>0</v>
      </c>
      <c r="IP64" s="9">
        <f t="shared" si="227"/>
        <v>-4.0019120697668029</v>
      </c>
      <c r="IQ64" s="5">
        <f t="shared" si="228"/>
        <v>-1.527304606350693</v>
      </c>
      <c r="IR64" s="5">
        <f t="shared" si="383"/>
        <v>0.26600000000000001</v>
      </c>
      <c r="IS64" s="5">
        <f t="shared" si="229"/>
        <v>0.2393846194387089</v>
      </c>
      <c r="IT64" s="727">
        <f t="shared" si="230"/>
        <v>85.723834182097335</v>
      </c>
      <c r="IU64" s="9">
        <f t="shared" si="231"/>
        <v>-4.0399974463561952</v>
      </c>
      <c r="IV64" s="5">
        <f t="shared" si="232"/>
        <v>-1.5200830966499628</v>
      </c>
      <c r="IW64" s="5">
        <f t="shared" si="384"/>
        <v>0.219</v>
      </c>
      <c r="IX64" s="5">
        <f t="shared" si="233"/>
        <v>0.2000664606108836</v>
      </c>
      <c r="IY64" s="762">
        <f t="shared" si="234"/>
        <v>62.499990976117807</v>
      </c>
    </row>
    <row r="65" spans="1:259" ht="15" customHeight="1" x14ac:dyDescent="0.25">
      <c r="A65" s="79"/>
      <c r="B65" s="707">
        <v>-3.8636347734832324</v>
      </c>
      <c r="C65" s="708">
        <v>1.134932439731859</v>
      </c>
      <c r="D65" s="709">
        <v>-2.1288730873479014</v>
      </c>
      <c r="E65" s="710">
        <v>-0.95946168829997591</v>
      </c>
      <c r="F65" s="708">
        <v>0.28183908296137439</v>
      </c>
      <c r="G65" s="711">
        <v>2.2679489643515037E-7</v>
      </c>
      <c r="H65" s="710">
        <v>0.25700000000000001</v>
      </c>
      <c r="I65" s="708">
        <v>0.41499999999999992</v>
      </c>
      <c r="J65" s="570">
        <v>6.2409999999999997</v>
      </c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CPS-32193r1</v>
      </c>
      <c r="L65" s="320"/>
      <c r="M65" s="168">
        <f t="shared" si="239"/>
        <v>6.2409999999999997</v>
      </c>
      <c r="N65" s="632">
        <f t="shared" si="240"/>
        <v>-3.8636347734832324</v>
      </c>
      <c r="O65" s="629">
        <f t="shared" si="241"/>
        <v>1.134932439731859</v>
      </c>
      <c r="P65" s="633">
        <f t="shared" si="242"/>
        <v>-2.1288730873479014</v>
      </c>
      <c r="Q65" s="585">
        <f t="shared" si="113"/>
        <v>163.62998936914485</v>
      </c>
      <c r="R65" s="629">
        <f t="shared" si="79"/>
        <v>4.0268778607780664</v>
      </c>
      <c r="S65" s="634">
        <f t="shared" si="80"/>
        <v>-2.1288730873479014</v>
      </c>
      <c r="T65" s="635">
        <f t="shared" si="81"/>
        <v>1.0842617980256868</v>
      </c>
      <c r="U65" s="629">
        <f t="shared" si="82"/>
        <v>3.8781595711067176</v>
      </c>
      <c r="V65" s="636">
        <f t="shared" si="114"/>
        <v>-2.1288730873479014</v>
      </c>
      <c r="W65" s="585">
        <f t="shared" si="224"/>
        <v>74.379989260858267</v>
      </c>
      <c r="X65" s="629">
        <f t="shared" si="83"/>
        <v>4.0268778607780664</v>
      </c>
      <c r="Y65" s="630">
        <f t="shared" si="223"/>
        <v>-2.1288730873479014</v>
      </c>
      <c r="Z65" s="632">
        <f t="shared" si="243"/>
        <v>0.95946168829997591</v>
      </c>
      <c r="AA65" s="629">
        <f t="shared" si="244"/>
        <v>-0.28183908296137439</v>
      </c>
      <c r="AB65" s="629">
        <f t="shared" si="245"/>
        <v>-2.2679489643515037E-7</v>
      </c>
      <c r="AC65" s="636">
        <f t="shared" si="84"/>
        <v>1</v>
      </c>
      <c r="AD65" s="637">
        <f t="shared" si="115"/>
        <v>0.95946168829997591</v>
      </c>
      <c r="AE65" s="629">
        <f t="shared" si="85"/>
        <v>-0.28183908296137439</v>
      </c>
      <c r="AF65" s="633">
        <f t="shared" si="86"/>
        <v>-2.2679489643515037E-7</v>
      </c>
      <c r="AG65" s="602">
        <f t="shared" si="87"/>
        <v>-89.99995389429229</v>
      </c>
      <c r="AH65" s="603">
        <f t="shared" si="88"/>
        <v>16.369997636469765</v>
      </c>
      <c r="AI65" s="585">
        <f t="shared" si="89"/>
        <v>-89.999987005609626</v>
      </c>
      <c r="AJ65" s="586">
        <f t="shared" si="90"/>
        <v>73.63000236353524</v>
      </c>
      <c r="AK65" s="635">
        <f t="shared" si="211"/>
        <v>2.2679489658505858E-7</v>
      </c>
      <c r="AL65" s="629">
        <f t="shared" si="91"/>
        <v>-0.9999999999999486</v>
      </c>
      <c r="AM65" s="634">
        <f t="shared" si="92"/>
        <v>-2.2679489643515037E-7</v>
      </c>
      <c r="AN65" s="581">
        <f t="shared" si="93"/>
        <v>-89.999987005609626</v>
      </c>
      <c r="AO65" s="582">
        <f t="shared" si="461"/>
        <v>0</v>
      </c>
      <c r="AP65" s="585">
        <f t="shared" si="95"/>
        <v>-89.999987005609626</v>
      </c>
      <c r="AQ65" s="586">
        <f t="shared" si="246"/>
        <v>0.56610916079309637</v>
      </c>
      <c r="AS65" s="52">
        <f t="shared" si="406"/>
        <v>-285.62001073914172</v>
      </c>
      <c r="AT65" s="72">
        <f t="shared" si="247"/>
        <v>-1.9300050244098075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>Taper</v>
      </c>
      <c r="IF65" s="533" t="str">
        <f>IFERROR(IF((((($IW65*COS(RADIANS(180-$IY65)))*COS(RADIANS($IY65)))-(($IX65*SIN(RADIANS(180-$IY65)))*SIN(RADIANS($IY65))))+$IU65)&lt;(((Settings!$C$19+$IF$8)/2)*-1),"Gage",""),"")</f>
        <v>Gage</v>
      </c>
      <c r="IG65" s="847">
        <f t="shared" si="210"/>
        <v>6.2409999999999997</v>
      </c>
      <c r="IH65" s="731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6.141</v>
      </c>
      <c r="II65" s="734" cm="1">
        <f t="array" ref="II65">IFERROR(ROUND(VALUE(IF($IH65&lt;1,$IH65+LARGE((IF($M$9:$M$150="",0,$M$9:$M$150)-MOD(IF($M$9:$M$150="",0,$M$9:$M$150),1)),1),$IH65)),4),"")</f>
        <v>6.141</v>
      </c>
      <c r="IJ65" s="533">
        <f t="shared" si="112"/>
        <v>1313</v>
      </c>
      <c r="IK65" s="533" t="str">
        <f t="shared" si="382"/>
        <v>CPS-32193r1</v>
      </c>
      <c r="IL65" s="727">
        <f t="shared" si="225"/>
        <v>17.699997444436548</v>
      </c>
      <c r="IM65" s="759">
        <v>8.0556452969791502E-4</v>
      </c>
      <c r="IN65" s="5">
        <f t="shared" si="226"/>
        <v>0</v>
      </c>
      <c r="IO65" s="771">
        <v>0</v>
      </c>
      <c r="IP65" s="9">
        <f t="shared" si="227"/>
        <v>-4.0652122606801786</v>
      </c>
      <c r="IQ65" s="5">
        <f t="shared" si="228"/>
        <v>-2.0463061716594138</v>
      </c>
      <c r="IR65" s="5">
        <f t="shared" si="383"/>
        <v>0.26600000000000001</v>
      </c>
      <c r="IS65" s="5">
        <f t="shared" si="229"/>
        <v>0.2178944572373597</v>
      </c>
      <c r="IT65" s="727">
        <f t="shared" si="230"/>
        <v>89.999987005609611</v>
      </c>
      <c r="IU65" s="9">
        <f t="shared" si="231"/>
        <v>-4.0268778607780664</v>
      </c>
      <c r="IV65" s="5">
        <f t="shared" si="232"/>
        <v>-2.1288730873479014</v>
      </c>
      <c r="IW65" s="5">
        <f t="shared" si="384"/>
        <v>0.25700000000000001</v>
      </c>
      <c r="IX65" s="5">
        <f t="shared" si="233"/>
        <v>0.25700000000000001</v>
      </c>
      <c r="IY65" s="762">
        <f t="shared" si="234"/>
        <v>89.999987005609626</v>
      </c>
    </row>
    <row r="66" spans="1:259" ht="15" customHeight="1" x14ac:dyDescent="0.25">
      <c r="A66" s="79"/>
      <c r="B66" s="707">
        <v>-1.6778321790026574</v>
      </c>
      <c r="C66" s="708">
        <v>1.6731536976927366</v>
      </c>
      <c r="D66" s="709">
        <v>-6.4700195135788535E-2</v>
      </c>
      <c r="E66" s="710">
        <v>-0.72260772095828185</v>
      </c>
      <c r="F66" s="708">
        <v>-0.60313500466031189</v>
      </c>
      <c r="G66" s="711">
        <v>0.33773695054714331</v>
      </c>
      <c r="H66" s="710">
        <v>0.26600000000000001</v>
      </c>
      <c r="I66" s="708">
        <v>0.52</v>
      </c>
      <c r="J66" s="570">
        <v>7.1120000000000001</v>
      </c>
      <c r="K66" s="865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1313</v>
      </c>
      <c r="L66" s="320"/>
      <c r="M66" s="168">
        <f t="shared" si="239"/>
        <v>7.1120000000000001</v>
      </c>
      <c r="N66" s="632">
        <f t="shared" si="240"/>
        <v>-1.6778321790026574</v>
      </c>
      <c r="O66" s="629">
        <f t="shared" si="241"/>
        <v>1.6731536976927366</v>
      </c>
      <c r="P66" s="633">
        <f t="shared" si="242"/>
        <v>-6.4700195135788535E-2</v>
      </c>
      <c r="Q66" s="585">
        <f t="shared" si="113"/>
        <v>135.07999349125421</v>
      </c>
      <c r="R66" s="629">
        <f t="shared" si="79"/>
        <v>2.3695071464335538</v>
      </c>
      <c r="S66" s="634">
        <f t="shared" si="80"/>
        <v>-6.4700195135788535E-2</v>
      </c>
      <c r="T66" s="635">
        <f t="shared" si="81"/>
        <v>1.651048213108816</v>
      </c>
      <c r="U66" s="629">
        <f t="shared" si="82"/>
        <v>1.6995893371605593</v>
      </c>
      <c r="V66" s="636">
        <f t="shared" si="114"/>
        <v>-6.4700195135788535E-2</v>
      </c>
      <c r="W66" s="585">
        <f t="shared" si="224"/>
        <v>45.829993382967629</v>
      </c>
      <c r="X66" s="629">
        <f t="shared" si="83"/>
        <v>2.3695071464335538</v>
      </c>
      <c r="Y66" s="630">
        <f t="shared" si="223"/>
        <v>-6.4700195135788535E-2</v>
      </c>
      <c r="Z66" s="632">
        <f t="shared" si="243"/>
        <v>0.72260772095828185</v>
      </c>
      <c r="AA66" s="629">
        <f t="shared" si="244"/>
        <v>0.60313500466031189</v>
      </c>
      <c r="AB66" s="629">
        <f t="shared" si="245"/>
        <v>-0.33773695054714331</v>
      </c>
      <c r="AC66" s="636">
        <f t="shared" si="84"/>
        <v>1</v>
      </c>
      <c r="AD66" s="637">
        <f t="shared" si="115"/>
        <v>0.72260772095828185</v>
      </c>
      <c r="AE66" s="629">
        <f t="shared" si="85"/>
        <v>0.60313500466031189</v>
      </c>
      <c r="AF66" s="633">
        <f t="shared" si="86"/>
        <v>-0.33773695054714331</v>
      </c>
      <c r="AG66" s="602">
        <f t="shared" si="87"/>
        <v>60.752522556601001</v>
      </c>
      <c r="AH66" s="603">
        <f t="shared" si="88"/>
        <v>43.72979947215763</v>
      </c>
      <c r="AI66" s="585">
        <f t="shared" si="89"/>
        <v>-70.260943291460748</v>
      </c>
      <c r="AJ66" s="586">
        <f t="shared" si="90"/>
        <v>129.85055322619888</v>
      </c>
      <c r="AK66" s="635">
        <f t="shared" si="211"/>
        <v>0.93732281109494475</v>
      </c>
      <c r="AL66" s="629">
        <f t="shared" si="91"/>
        <v>-8.5788694104683927E-2</v>
      </c>
      <c r="AM66" s="634">
        <f t="shared" si="92"/>
        <v>-0.33773695054714331</v>
      </c>
      <c r="AN66" s="581">
        <f t="shared" si="93"/>
        <v>-14.252300543125187</v>
      </c>
      <c r="AO66" s="582">
        <f t="shared" si="461"/>
        <v>20.393288980082904</v>
      </c>
      <c r="AP66" s="585">
        <f t="shared" si="95"/>
        <v>-5.2294402650553451</v>
      </c>
      <c r="AQ66" s="586">
        <f t="shared" si="246"/>
        <v>0.96201963326626161</v>
      </c>
      <c r="AS66" s="52">
        <f t="shared" si="406"/>
        <v>-314.17000661703236</v>
      </c>
      <c r="AT66" s="72">
        <f t="shared" si="247"/>
        <v>0.15399425382861825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7.1120000000000001</v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>
        <f t="shared" si="112"/>
        <v>1313</v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>
        <v>-2.100859925967546</v>
      </c>
      <c r="C67" s="708">
        <v>2.1938207482376315</v>
      </c>
      <c r="D67" s="709">
        <v>-0.23270070182531677</v>
      </c>
      <c r="E67" s="710">
        <v>-0.82916253912622351</v>
      </c>
      <c r="F67" s="708">
        <v>-0.48381709898548303</v>
      </c>
      <c r="G67" s="711">
        <v>0.28001874658498377</v>
      </c>
      <c r="H67" s="710">
        <v>0.26600000000000001</v>
      </c>
      <c r="I67" s="708">
        <v>0.52</v>
      </c>
      <c r="J67" s="570">
        <v>7.1189999999999998</v>
      </c>
      <c r="K67" s="865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1313</v>
      </c>
      <c r="L67" s="320"/>
      <c r="M67" s="168">
        <f t="shared" si="239"/>
        <v>7.1189999999999998</v>
      </c>
      <c r="N67" s="632">
        <f t="shared" si="240"/>
        <v>-2.100859925967546</v>
      </c>
      <c r="O67" s="629">
        <f t="shared" si="241"/>
        <v>2.1938207482376315</v>
      </c>
      <c r="P67" s="633">
        <f t="shared" si="242"/>
        <v>-0.23270070182531677</v>
      </c>
      <c r="Q67" s="585">
        <f t="shared" si="113"/>
        <v>133.75999368183864</v>
      </c>
      <c r="R67" s="629">
        <f>IF(M67="","",SQRT(N67^2+O67^2))</f>
        <v>3.0375091611276308</v>
      </c>
      <c r="S67" s="634">
        <f>IF(M67="","",P67)</f>
        <v>-0.23270070182531677</v>
      </c>
      <c r="T67" s="635">
        <f>IF(M67="","",X67*COS(RADIANS(W67)))</f>
        <v>2.1661333955334441</v>
      </c>
      <c r="U67" s="629">
        <f>IF(M67="","",X67*SIN(RADIANS(W67)))</f>
        <v>2.1293961624575726</v>
      </c>
      <c r="V67" s="636">
        <f>IF(M67="","",Y67)</f>
        <v>-0.23270070182531677</v>
      </c>
      <c r="W67" s="585">
        <f t="shared" si="224"/>
        <v>44.509993573552052</v>
      </c>
      <c r="X67" s="629">
        <f>IF(M67="","",R67)</f>
        <v>3.0375091611276308</v>
      </c>
      <c r="Y67" s="630">
        <f t="shared" si="223"/>
        <v>-0.23270070182531677</v>
      </c>
      <c r="Z67" s="632">
        <f t="shared" si="243"/>
        <v>0.82916253912622351</v>
      </c>
      <c r="AA67" s="629">
        <f t="shared" si="244"/>
        <v>0.48381709898548303</v>
      </c>
      <c r="AB67" s="629">
        <f t="shared" si="245"/>
        <v>-0.28001874658498377</v>
      </c>
      <c r="AC67" s="636">
        <f>IF(M67="","",SQRT(Z67^2+AA67^2+AB67^2))</f>
        <v>1</v>
      </c>
      <c r="AD67" s="637">
        <f>IF(M67="","",Z67*(1/SQRT(Z67^2+AA67^2+AB67^2)))</f>
        <v>0.82916253912622351</v>
      </c>
      <c r="AE67" s="629">
        <f>IF(M67="","",AA67*(1/SQRT(Z67^2+AA67^2+AB67^2)))</f>
        <v>0.48381709898548303</v>
      </c>
      <c r="AF67" s="633">
        <f>IF(M67="","",AB67*(1/SQRT(Z67^2+AA67^2+AB67^2)))</f>
        <v>-0.28001874658498377</v>
      </c>
      <c r="AG67" s="602">
        <f>IF(M67="","",DEGREES(ATAN2(-AF67,AE67)))</f>
        <v>59.939035791695453</v>
      </c>
      <c r="AH67" s="603">
        <f>IF(M67="","",DEGREES(ACOS(AD67)))</f>
        <v>33.987193607707724</v>
      </c>
      <c r="AI67" s="585">
        <f>IF(M67="","",DEGREES(-ACOS(-AF67)))</f>
        <v>-73.738676434126845</v>
      </c>
      <c r="AJ67" s="586">
        <f>IF(M67="","",DEGREES(ATAN2(-AE67,AD67)))</f>
        <v>120.26360055438545</v>
      </c>
      <c r="AK67" s="635">
        <f>IF(M67="","",(COS(RADIANS((90-$Q$8)-W67))*AD67)+(-SIN(RADIANS((90-$Q$8)-W67))*AE67))</f>
        <v>0.93348391275315712</v>
      </c>
      <c r="AL67" s="629">
        <f>IF(M67="","",(SIN(RADIANS((90-$Q$8)-W67))*AD67)+(COS(RADIANS((90-$Q$8)-W67))*AE67))</f>
        <v>-0.22404750878336288</v>
      </c>
      <c r="AM67" s="634">
        <f>IF(M67="","",AF67)</f>
        <v>-0.28001874658498377</v>
      </c>
      <c r="AN67" s="581">
        <f>IF(M67="","",DEGREES(ATAN2(-AM67,AL67)))</f>
        <v>-38.663864313361621</v>
      </c>
      <c r="AO67" s="582">
        <f t="shared" si="461"/>
        <v>21.015425184643711</v>
      </c>
      <c r="AP67" s="585">
        <f>IF(M67="","",DEGREES(ATAN2(AK67,AL67)))</f>
        <v>-13.496393127453182</v>
      </c>
      <c r="AQ67" s="586">
        <f t="shared" si="246"/>
        <v>0.7504821002192622</v>
      </c>
      <c r="AS67" s="52">
        <f t="shared" si="406"/>
        <v>-315.49000642644796</v>
      </c>
      <c r="AT67" s="72">
        <f t="shared" si="247"/>
        <v>-1.30895863265936E-2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7.1189999999999998</v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>
        <f t="shared" si="112"/>
        <v>1313</v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>
        <v>-2.4232815410898567</v>
      </c>
      <c r="C68" s="708">
        <v>2.6445483148887976</v>
      </c>
      <c r="D68" s="709">
        <v>-0.64690195105628445</v>
      </c>
      <c r="E68" s="710">
        <v>-0.90580956519740763</v>
      </c>
      <c r="F68" s="708">
        <v>-0.37814176788849529</v>
      </c>
      <c r="G68" s="711">
        <v>0.19109640230796301</v>
      </c>
      <c r="H68" s="710">
        <v>0.26600000000000001</v>
      </c>
      <c r="I68" s="708">
        <v>0.52</v>
      </c>
      <c r="J68" s="570">
        <v>7.1260000000000003</v>
      </c>
      <c r="K68" s="865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1313</v>
      </c>
      <c r="L68" s="320"/>
      <c r="M68" s="168">
        <f t="shared" si="239"/>
        <v>7.1260000000000003</v>
      </c>
      <c r="N68" s="632">
        <f t="shared" si="240"/>
        <v>-2.4232815410898567</v>
      </c>
      <c r="O68" s="629">
        <f t="shared" si="241"/>
        <v>2.6445483148887976</v>
      </c>
      <c r="P68" s="633">
        <f t="shared" si="242"/>
        <v>-0.64690195105628445</v>
      </c>
      <c r="Q68" s="585">
        <f t="shared" si="113"/>
        <v>132.49999386376007</v>
      </c>
      <c r="R68" s="629">
        <f>IF(M68="","",SQRT(N68^2+O68^2))</f>
        <v>3.586910818123028</v>
      </c>
      <c r="S68" s="634">
        <f>IF(M68="","",P68)</f>
        <v>-0.64690195105628445</v>
      </c>
      <c r="T68" s="635">
        <f>IF(M68="","",X68*COS(RADIANS(W68)))</f>
        <v>2.6126019793355657</v>
      </c>
      <c r="U68" s="629">
        <f>IF(M68="","",X68*SIN(RADIANS(W68)))</f>
        <v>2.4576899956544347</v>
      </c>
      <c r="V68" s="636">
        <f>IF(M68="","",Y68)</f>
        <v>-0.64690195105628445</v>
      </c>
      <c r="W68" s="585">
        <f t="shared" si="224"/>
        <v>43.249993755473483</v>
      </c>
      <c r="X68" s="629">
        <f>IF(M68="","",R68)</f>
        <v>3.586910818123028</v>
      </c>
      <c r="Y68" s="630">
        <f t="shared" si="223"/>
        <v>-0.64690195105628445</v>
      </c>
      <c r="Z68" s="632">
        <f t="shared" si="243"/>
        <v>0.90580956519740763</v>
      </c>
      <c r="AA68" s="629">
        <f t="shared" si="244"/>
        <v>0.37814176788849529</v>
      </c>
      <c r="AB68" s="629">
        <f t="shared" si="245"/>
        <v>-0.19109640230796301</v>
      </c>
      <c r="AC68" s="636">
        <f>IF(M68="","",SQRT(Z68^2+AA68^2+AB68^2))</f>
        <v>1</v>
      </c>
      <c r="AD68" s="637">
        <f>IF(M68="","",Z68*(1/SQRT(Z68^2+AA68^2+AB68^2)))</f>
        <v>0.90580956519740763</v>
      </c>
      <c r="AE68" s="629">
        <f>IF(M68="","",AA68*(1/SQRT(Z68^2+AA68^2+AB68^2)))</f>
        <v>0.37814176788849529</v>
      </c>
      <c r="AF68" s="633">
        <f>IF(M68="","",AB68*(1/SQRT(Z68^2+AA68^2+AB68^2)))</f>
        <v>-0.19109640230796301</v>
      </c>
      <c r="AG68" s="602">
        <f>IF(M68="","",DEGREES(ATAN2(-AF68,AE68)))</f>
        <v>63.18995113702983</v>
      </c>
      <c r="AH68" s="603">
        <f>IF(M68="","",DEGREES(ACOS(AD68)))</f>
        <v>25.067460459052626</v>
      </c>
      <c r="AI68" s="585">
        <f>IF(M68="","",DEGREES(-ACOS(-AF68)))</f>
        <v>-78.98322410656256</v>
      </c>
      <c r="AJ68" s="586">
        <f>IF(M68="","",DEGREES(ATAN2(-AE68,AD68)))</f>
        <v>112.65871965915738</v>
      </c>
      <c r="AK68" s="635">
        <f>IF(M68="","",(COS(RADIANS((90-$Q$8)-W68))*AD68)+(-SIN(RADIANS((90-$Q$8)-W68))*AE68))</f>
        <v>0.9233017750425272</v>
      </c>
      <c r="AL68" s="629">
        <f>IF(M68="","",(SIN(RADIANS((90-$Q$8)-W68))*AD68)+(COS(RADIANS((90-$Q$8)-W68))*AE68))</f>
        <v>-0.3331606177630721</v>
      </c>
      <c r="AM68" s="634">
        <f>IF(M68="","",AF68)</f>
        <v>-0.19109640230796301</v>
      </c>
      <c r="AN68" s="581">
        <f>IF(M68="","",DEGREES(ATAN2(-AM68,AL68)))</f>
        <v>-60.162003587065122</v>
      </c>
      <c r="AO68" s="582">
        <f t="shared" si="461"/>
        <v>22.586345435916488</v>
      </c>
      <c r="AP68" s="585">
        <f>IF(M68="","",DEGREES(ATAN2(AK68,AL68)))</f>
        <v>-19.841274204602676</v>
      </c>
      <c r="AQ68" s="586">
        <f t="shared" si="246"/>
        <v>0.63554218328692369</v>
      </c>
      <c r="AS68" s="52">
        <f t="shared" si="406"/>
        <v>-316.7500062445265</v>
      </c>
      <c r="AT68" s="72">
        <f t="shared" si="247"/>
        <v>-0.42641583568389563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7.1260000000000003</v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>
        <f t="shared" si="112"/>
        <v>1313</v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>
        <v>-2.6132443030606738</v>
      </c>
      <c r="C69" s="708">
        <v>2.9371675816962601</v>
      </c>
      <c r="D69" s="709">
        <v>-1.2408037422640867</v>
      </c>
      <c r="E69" s="710">
        <v>-0.95171112811962066</v>
      </c>
      <c r="F69" s="708">
        <v>-0.2954679796931507</v>
      </c>
      <c r="G69" s="711">
        <v>8.3334276197295235E-2</v>
      </c>
      <c r="H69" s="710">
        <v>0.26600000000000001</v>
      </c>
      <c r="I69" s="708">
        <v>0.52</v>
      </c>
      <c r="J69" s="570">
        <v>7.133</v>
      </c>
      <c r="K69" s="865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1313</v>
      </c>
      <c r="L69" s="320"/>
      <c r="M69" s="168">
        <f t="shared" si="239"/>
        <v>7.133</v>
      </c>
      <c r="N69" s="632">
        <f t="shared" si="240"/>
        <v>-2.6132443030606738</v>
      </c>
      <c r="O69" s="629">
        <f t="shared" si="241"/>
        <v>2.9371675816962601</v>
      </c>
      <c r="P69" s="633">
        <f t="shared" si="242"/>
        <v>-1.2408037422640867</v>
      </c>
      <c r="Q69" s="585">
        <f t="shared" si="113"/>
        <v>131.65999398504107</v>
      </c>
      <c r="R69" s="629">
        <f t="shared" si="79"/>
        <v>3.9314118571381607</v>
      </c>
      <c r="S69" s="634">
        <f t="shared" si="80"/>
        <v>-1.2408037422640867</v>
      </c>
      <c r="T69" s="635">
        <f t="shared" si="81"/>
        <v>2.9027096413789635</v>
      </c>
      <c r="U69" s="629">
        <f t="shared" si="82"/>
        <v>2.6514667503651879</v>
      </c>
      <c r="V69" s="636">
        <f t="shared" si="114"/>
        <v>-1.2408037422640867</v>
      </c>
      <c r="W69" s="585">
        <f t="shared" si="224"/>
        <v>42.409993876754484</v>
      </c>
      <c r="X69" s="629">
        <f t="shared" si="83"/>
        <v>3.9314118571381607</v>
      </c>
      <c r="Y69" s="630">
        <f t="shared" si="223"/>
        <v>-1.2408037422640867</v>
      </c>
      <c r="Z69" s="632">
        <f t="shared" si="243"/>
        <v>0.95171112811962066</v>
      </c>
      <c r="AA69" s="629">
        <f t="shared" si="244"/>
        <v>0.2954679796931507</v>
      </c>
      <c r="AB69" s="629">
        <f t="shared" si="245"/>
        <v>-8.3334276197295235E-2</v>
      </c>
      <c r="AC69" s="636">
        <f t="shared" si="84"/>
        <v>1</v>
      </c>
      <c r="AD69" s="637">
        <f t="shared" si="115"/>
        <v>0.95171112811962066</v>
      </c>
      <c r="AE69" s="629">
        <f t="shared" si="85"/>
        <v>0.2954679796931507</v>
      </c>
      <c r="AF69" s="633">
        <f t="shared" si="86"/>
        <v>-8.3334276197295235E-2</v>
      </c>
      <c r="AG69" s="602">
        <f t="shared" si="87"/>
        <v>74.249337602679418</v>
      </c>
      <c r="AH69" s="603">
        <f t="shared" si="88"/>
        <v>17.878228082810828</v>
      </c>
      <c r="AI69" s="585">
        <f t="shared" si="89"/>
        <v>-85.219753942113542</v>
      </c>
      <c r="AJ69" s="586">
        <f t="shared" si="90"/>
        <v>107.24746424686977</v>
      </c>
      <c r="AK69" s="635">
        <f t="shared" si="211"/>
        <v>0.90742593677768624</v>
      </c>
      <c r="AL69" s="629">
        <f t="shared" si="91"/>
        <v>-0.41186595838186446</v>
      </c>
      <c r="AM69" s="634">
        <f t="shared" si="92"/>
        <v>-8.3334276197295235E-2</v>
      </c>
      <c r="AN69" s="581">
        <f t="shared" si="93"/>
        <v>-78.561568627577046</v>
      </c>
      <c r="AO69" s="582">
        <f t="shared" si="461"/>
        <v>24.847975986769253</v>
      </c>
      <c r="AP69" s="585">
        <f t="shared" si="95"/>
        <v>-24.412529738171294</v>
      </c>
      <c r="AQ69" s="586">
        <f t="shared" si="246"/>
        <v>0.57985499429258036</v>
      </c>
      <c r="AS69" s="52">
        <f t="shared" si="406"/>
        <v>-317.59000612324553</v>
      </c>
      <c r="AT69" s="72">
        <f t="shared" si="247"/>
        <v>-1.0197342936425875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7.133</v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>
        <f t="shared" si="112"/>
        <v>1313</v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>
        <v>-2.6846452827549516</v>
      </c>
      <c r="C70" s="708">
        <v>3.0526431874960482</v>
      </c>
      <c r="D70" s="709">
        <v>-1.9477058742809168</v>
      </c>
      <c r="E70" s="710">
        <v>-0.99390336421555003</v>
      </c>
      <c r="F70" s="708">
        <v>-0.11025471691041101</v>
      </c>
      <c r="G70" s="711">
        <v>1.3008419186699682E-7</v>
      </c>
      <c r="H70" s="710">
        <v>0.26600000000000001</v>
      </c>
      <c r="I70" s="708">
        <v>0.52</v>
      </c>
      <c r="J70" s="570">
        <v>7.14</v>
      </c>
      <c r="K70" s="865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1313</v>
      </c>
      <c r="L70" s="320"/>
      <c r="M70" s="168">
        <f t="shared" si="239"/>
        <v>7.14</v>
      </c>
      <c r="N70" s="632">
        <f t="shared" si="240"/>
        <v>-2.6846452827549516</v>
      </c>
      <c r="O70" s="629">
        <f t="shared" si="241"/>
        <v>3.0526431874960482</v>
      </c>
      <c r="P70" s="633">
        <f t="shared" si="242"/>
        <v>-1.9477058742809168</v>
      </c>
      <c r="Q70" s="585">
        <f t="shared" si="113"/>
        <v>131.32999403268718</v>
      </c>
      <c r="R70" s="629">
        <f t="shared" si="79"/>
        <v>4.0652122606801786</v>
      </c>
      <c r="S70" s="634">
        <f t="shared" si="80"/>
        <v>-1.9477058742809168</v>
      </c>
      <c r="T70" s="635">
        <f t="shared" si="81"/>
        <v>3.0172407442936535</v>
      </c>
      <c r="U70" s="629">
        <f t="shared" si="82"/>
        <v>2.7243731417261343</v>
      </c>
      <c r="V70" s="636">
        <f t="shared" si="114"/>
        <v>-1.9477058742809168</v>
      </c>
      <c r="W70" s="585">
        <f t="shared" si="224"/>
        <v>42.079993924400597</v>
      </c>
      <c r="X70" s="629">
        <f t="shared" si="83"/>
        <v>4.0652122606801786</v>
      </c>
      <c r="Y70" s="630">
        <f t="shared" si="223"/>
        <v>-1.9477058742809168</v>
      </c>
      <c r="Z70" s="632">
        <f t="shared" si="243"/>
        <v>0.99390336421555003</v>
      </c>
      <c r="AA70" s="629">
        <f t="shared" si="244"/>
        <v>0.11025471691041101</v>
      </c>
      <c r="AB70" s="629">
        <f t="shared" si="245"/>
        <v>-1.3008419186699682E-7</v>
      </c>
      <c r="AC70" s="636">
        <f t="shared" si="84"/>
        <v>1</v>
      </c>
      <c r="AD70" s="637">
        <f t="shared" si="115"/>
        <v>0.99390336421555003</v>
      </c>
      <c r="AE70" s="629">
        <f t="shared" si="85"/>
        <v>0.11025471691041101</v>
      </c>
      <c r="AF70" s="633">
        <f t="shared" si="86"/>
        <v>-1.3008419186699682E-7</v>
      </c>
      <c r="AG70" s="602">
        <f t="shared" si="87"/>
        <v>89.999932399489253</v>
      </c>
      <c r="AH70" s="603">
        <f t="shared" si="88"/>
        <v>6.3299990860662385</v>
      </c>
      <c r="AI70" s="585">
        <f t="shared" si="89"/>
        <v>-89.999992546724826</v>
      </c>
      <c r="AJ70" s="586">
        <f t="shared" si="90"/>
        <v>96.329999086061903</v>
      </c>
      <c r="AK70" s="635">
        <f t="shared" si="211"/>
        <v>0.81915209487729179</v>
      </c>
      <c r="AL70" s="629">
        <f t="shared" si="91"/>
        <v>-0.57357636410344492</v>
      </c>
      <c r="AM70" s="634">
        <f t="shared" si="92"/>
        <v>-1.3008419186699682E-7</v>
      </c>
      <c r="AN70" s="581">
        <f t="shared" si="93"/>
        <v>-89.99998700560964</v>
      </c>
      <c r="AO70" s="582">
        <f t="shared" si="461"/>
        <v>34.999994946625968</v>
      </c>
      <c r="AP70" s="585">
        <f t="shared" si="95"/>
        <v>-34.999994946625293</v>
      </c>
      <c r="AQ70" s="586">
        <f t="shared" si="246"/>
        <v>0.56077117076363792</v>
      </c>
      <c r="AS70" s="52">
        <f t="shared" si="406"/>
        <v>-317.92000607559942</v>
      </c>
      <c r="AT70" s="72">
        <f t="shared" si="247"/>
        <v>-1.7264072590258384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7.14</v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>
        <f t="shared" si="112"/>
        <v>1313</v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>
        <v>-1.4519765645627263</v>
      </c>
      <c r="C71" s="708">
        <v>2.7868459482382635</v>
      </c>
      <c r="D71" s="709">
        <v>-0.24443597548557938</v>
      </c>
      <c r="E71" s="710">
        <v>-0.89384273738583031</v>
      </c>
      <c r="F71" s="708">
        <v>-0.31811696649546339</v>
      </c>
      <c r="G71" s="711">
        <v>0.31598537379177843</v>
      </c>
      <c r="H71" s="710">
        <v>0.219</v>
      </c>
      <c r="I71" s="708">
        <v>0.42</v>
      </c>
      <c r="J71" s="570">
        <v>7.22</v>
      </c>
      <c r="K71" s="865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1111</v>
      </c>
      <c r="L71" s="320"/>
      <c r="M71" s="168">
        <f t="shared" si="239"/>
        <v>7.22</v>
      </c>
      <c r="N71" s="632">
        <f t="shared" si="240"/>
        <v>-1.4519765645627263</v>
      </c>
      <c r="O71" s="629">
        <f t="shared" si="241"/>
        <v>2.7868459482382635</v>
      </c>
      <c r="P71" s="633">
        <f t="shared" si="242"/>
        <v>-0.24443597548557938</v>
      </c>
      <c r="Q71" s="585">
        <f t="shared" si="113"/>
        <v>117.5199960266042</v>
      </c>
      <c r="R71" s="629">
        <f t="shared" si="79"/>
        <v>3.1424109029933374</v>
      </c>
      <c r="S71" s="634">
        <f t="shared" si="80"/>
        <v>-0.24443597548557938</v>
      </c>
      <c r="T71" s="635">
        <f t="shared" si="81"/>
        <v>2.7676014091886949</v>
      </c>
      <c r="U71" s="629">
        <f t="shared" si="82"/>
        <v>1.4883308513593858</v>
      </c>
      <c r="V71" s="636">
        <f t="shared" si="114"/>
        <v>-0.24443597548557938</v>
      </c>
      <c r="W71" s="585">
        <f t="shared" si="224"/>
        <v>28.269995918317619</v>
      </c>
      <c r="X71" s="629">
        <f t="shared" si="83"/>
        <v>3.1424109029933374</v>
      </c>
      <c r="Y71" s="630">
        <f t="shared" si="223"/>
        <v>-0.24443597548557938</v>
      </c>
      <c r="Z71" s="632">
        <f t="shared" si="243"/>
        <v>0.89384273738583031</v>
      </c>
      <c r="AA71" s="629">
        <f t="shared" si="244"/>
        <v>0.31811696649546339</v>
      </c>
      <c r="AB71" s="629">
        <f t="shared" si="245"/>
        <v>-0.31598537379177843</v>
      </c>
      <c r="AC71" s="636">
        <f t="shared" si="84"/>
        <v>1</v>
      </c>
      <c r="AD71" s="637">
        <f t="shared" si="115"/>
        <v>0.89384273738583031</v>
      </c>
      <c r="AE71" s="629">
        <f t="shared" si="85"/>
        <v>0.31811696649546339</v>
      </c>
      <c r="AF71" s="633">
        <f t="shared" si="86"/>
        <v>-0.31598537379177843</v>
      </c>
      <c r="AG71" s="602">
        <f t="shared" si="87"/>
        <v>45.192604249765253</v>
      </c>
      <c r="AH71" s="603">
        <f t="shared" si="88"/>
        <v>26.639832190378392</v>
      </c>
      <c r="AI71" s="585">
        <f t="shared" si="89"/>
        <v>-71.57968984554013</v>
      </c>
      <c r="AJ71" s="586">
        <f t="shared" si="90"/>
        <v>109.59054956907009</v>
      </c>
      <c r="AK71" s="635">
        <f t="shared" si="211"/>
        <v>0.93969263802333447</v>
      </c>
      <c r="AL71" s="629">
        <f t="shared" si="91"/>
        <v>-0.13088540634622542</v>
      </c>
      <c r="AM71" s="634">
        <f t="shared" si="92"/>
        <v>-0.31598537379177843</v>
      </c>
      <c r="AN71" s="581">
        <f t="shared" si="93"/>
        <v>-22.499996751402399</v>
      </c>
      <c r="AO71" s="582">
        <f t="shared" si="461"/>
        <v>19.999997112357704</v>
      </c>
      <c r="AP71" s="585">
        <f t="shared" si="95"/>
        <v>-7.9294464575341079</v>
      </c>
      <c r="AQ71" s="586">
        <f t="shared" si="246"/>
        <v>0.72543180493927761</v>
      </c>
      <c r="AS71" s="52">
        <f t="shared" si="406"/>
        <v>-331.73000408168241</v>
      </c>
      <c r="AT71" s="72">
        <f t="shared" si="247"/>
        <v>-1.3547083837387841E-2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>Nose</v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7.22</v>
      </c>
      <c r="IH71" s="731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>6.12</v>
      </c>
      <c r="II71" s="734" cm="1">
        <f t="array" ref="II71">IFERROR(ROUND(VALUE(IF($IH71&lt;1,$IH71+LARGE((IF($M$9:$M$150="",0,$M$9:$M$150)-MOD(IF($M$9:$M$150="",0,$M$9:$M$150),1)),1),$IH71)),4),"")</f>
        <v>6.12</v>
      </c>
      <c r="IJ71" s="533">
        <f t="shared" si="112"/>
        <v>1313</v>
      </c>
      <c r="IK71" s="533">
        <f t="shared" si="382"/>
        <v>1111</v>
      </c>
      <c r="IL71" s="727">
        <f t="shared" si="225"/>
        <v>66.049990463561258</v>
      </c>
      <c r="IM71" s="759">
        <v>4.6492328303014904E-3</v>
      </c>
      <c r="IN71" s="5">
        <f t="shared" si="226"/>
        <v>0.04</v>
      </c>
      <c r="IO71" s="771">
        <v>20</v>
      </c>
      <c r="IP71" s="9">
        <f t="shared" si="227"/>
        <v>-3.1255094265364307</v>
      </c>
      <c r="IQ71" s="5">
        <f t="shared" si="228"/>
        <v>-0.27790083814892785</v>
      </c>
      <c r="IR71" s="5">
        <f t="shared" si="383"/>
        <v>0.26600000000000001</v>
      </c>
      <c r="IS71" s="5">
        <f t="shared" si="229"/>
        <v>0.24814263529882327</v>
      </c>
      <c r="IT71" s="727">
        <f t="shared" si="230"/>
        <v>42.01111599432997</v>
      </c>
      <c r="IU71" s="9">
        <f t="shared" si="231"/>
        <v>-3.1424109029933374</v>
      </c>
      <c r="IV71" s="5">
        <f t="shared" si="232"/>
        <v>-0.24443597548557938</v>
      </c>
      <c r="IW71" s="5">
        <f t="shared" si="384"/>
        <v>0.219</v>
      </c>
      <c r="IX71" s="5">
        <f t="shared" si="233"/>
        <v>0.20579268772711026</v>
      </c>
      <c r="IY71" s="762">
        <f t="shared" si="234"/>
        <v>22.499996751402399</v>
      </c>
    </row>
    <row r="72" spans="1:259" ht="15" customHeight="1" x14ac:dyDescent="0.25">
      <c r="A72" s="79"/>
      <c r="B72" s="707">
        <v>-1.7285677606503502</v>
      </c>
      <c r="C72" s="708">
        <v>3.2468612777833679</v>
      </c>
      <c r="D72" s="709">
        <v>-0.69656635765239683</v>
      </c>
      <c r="E72" s="710">
        <v>-0.93158325554446331</v>
      </c>
      <c r="F72" s="708">
        <v>-0.22316712053807125</v>
      </c>
      <c r="G72" s="711">
        <v>0.28696528413716771</v>
      </c>
      <c r="H72" s="710">
        <v>0.219</v>
      </c>
      <c r="I72" s="708">
        <v>0.42</v>
      </c>
      <c r="J72" s="570">
        <v>7.2270000000000003</v>
      </c>
      <c r="K72" s="865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1111</v>
      </c>
      <c r="L72" s="320"/>
      <c r="M72" s="168">
        <f t="shared" si="239"/>
        <v>7.2270000000000003</v>
      </c>
      <c r="N72" s="632">
        <f t="shared" si="240"/>
        <v>-1.7285677606503502</v>
      </c>
      <c r="O72" s="629">
        <f t="shared" si="241"/>
        <v>3.2468612777833679</v>
      </c>
      <c r="P72" s="633">
        <f t="shared" si="242"/>
        <v>-0.69656635765239683</v>
      </c>
      <c r="Q72" s="585">
        <f t="shared" si="113"/>
        <v>118.02999595296932</v>
      </c>
      <c r="R72" s="629">
        <f t="shared" si="79"/>
        <v>3.6783222616199374</v>
      </c>
      <c r="S72" s="634">
        <f t="shared" si="80"/>
        <v>-0.69656635765239683</v>
      </c>
      <c r="T72" s="635">
        <f t="shared" si="81"/>
        <v>3.2239568617432228</v>
      </c>
      <c r="U72" s="629">
        <f t="shared" si="82"/>
        <v>1.7709197649661039</v>
      </c>
      <c r="V72" s="636">
        <f t="shared" si="114"/>
        <v>-0.69656635765239683</v>
      </c>
      <c r="W72" s="585">
        <f t="shared" si="224"/>
        <v>28.77999584468273</v>
      </c>
      <c r="X72" s="629">
        <f t="shared" si="83"/>
        <v>3.6783222616199374</v>
      </c>
      <c r="Y72" s="630">
        <f t="shared" si="223"/>
        <v>-0.69656635765239683</v>
      </c>
      <c r="Z72" s="632">
        <f t="shared" si="243"/>
        <v>0.93158325554446331</v>
      </c>
      <c r="AA72" s="629">
        <f t="shared" si="244"/>
        <v>0.22316712053807125</v>
      </c>
      <c r="AB72" s="629">
        <f t="shared" si="245"/>
        <v>-0.28696528413716771</v>
      </c>
      <c r="AC72" s="636">
        <f t="shared" si="84"/>
        <v>1</v>
      </c>
      <c r="AD72" s="637">
        <f t="shared" si="115"/>
        <v>0.93158325554446331</v>
      </c>
      <c r="AE72" s="629">
        <f t="shared" si="85"/>
        <v>0.22316712053807125</v>
      </c>
      <c r="AF72" s="633">
        <f t="shared" si="86"/>
        <v>-0.28696528413716771</v>
      </c>
      <c r="AG72" s="602">
        <f t="shared" si="87"/>
        <v>37.871487671107523</v>
      </c>
      <c r="AH72" s="603">
        <f t="shared" si="88"/>
        <v>21.317023991851684</v>
      </c>
      <c r="AI72" s="585">
        <f t="shared" si="89"/>
        <v>-73.323641058188755</v>
      </c>
      <c r="AJ72" s="586">
        <f t="shared" si="90"/>
        <v>103.47172136495637</v>
      </c>
      <c r="AK72" s="635">
        <f t="shared" si="211"/>
        <v>0.9271838753345083</v>
      </c>
      <c r="AL72" s="629">
        <f t="shared" si="91"/>
        <v>-0.24079241478866789</v>
      </c>
      <c r="AM72" s="634">
        <f t="shared" si="92"/>
        <v>-0.28696528413716771</v>
      </c>
      <c r="AN72" s="581">
        <f t="shared" si="93"/>
        <v>-39.999994224715422</v>
      </c>
      <c r="AO72" s="582">
        <f t="shared" si="461"/>
        <v>21.999996823593442</v>
      </c>
      <c r="AP72" s="585">
        <f t="shared" si="95"/>
        <v>-14.558274588012939</v>
      </c>
      <c r="AQ72" s="586">
        <f t="shared" si="246"/>
        <v>0.61974932036364139</v>
      </c>
      <c r="AS72" s="52">
        <f t="shared" si="406"/>
        <v>-331.22000415531727</v>
      </c>
      <c r="AT72" s="72">
        <f t="shared" si="247"/>
        <v>-0.46603163261973662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>Taper</v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7.2270000000000003</v>
      </c>
      <c r="IH72" s="731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6.1269999999999998</v>
      </c>
      <c r="II72" s="734" cm="1">
        <f t="array" ref="II72">IFERROR(ROUND(VALUE(IF($IH72&lt;1,$IH72+LARGE((IF($M$9:$M$150="",0,$M$9:$M$150)-MOD(IF($M$9:$M$150="",0,$M$9:$M$150),1)),1),$IH72)),4),"")</f>
        <v>6.1269999999999998</v>
      </c>
      <c r="IJ72" s="533">
        <f t="shared" si="112"/>
        <v>1313</v>
      </c>
      <c r="IK72" s="533">
        <f t="shared" si="382"/>
        <v>1111</v>
      </c>
      <c r="IL72" s="727">
        <f t="shared" si="225"/>
        <v>64.319990713342335</v>
      </c>
      <c r="IM72" s="759">
        <v>1.35334496691421E-3</v>
      </c>
      <c r="IN72" s="5">
        <f t="shared" si="226"/>
        <v>0</v>
      </c>
      <c r="IO72" s="771">
        <v>0</v>
      </c>
      <c r="IP72" s="9">
        <f t="shared" si="227"/>
        <v>-3.6503110093380045</v>
      </c>
      <c r="IQ72" s="5">
        <f t="shared" si="228"/>
        <v>-0.72280217997137486</v>
      </c>
      <c r="IR72" s="5">
        <f t="shared" si="383"/>
        <v>0.26600000000000001</v>
      </c>
      <c r="IS72" s="5">
        <f t="shared" si="229"/>
        <v>0.24377358190486731</v>
      </c>
      <c r="IT72" s="727">
        <f t="shared" si="230"/>
        <v>62.289524938518859</v>
      </c>
      <c r="IU72" s="9">
        <f t="shared" si="231"/>
        <v>-3.6783222616199374</v>
      </c>
      <c r="IV72" s="5">
        <f t="shared" si="232"/>
        <v>-0.69656635765239683</v>
      </c>
      <c r="IW72" s="5">
        <f t="shared" si="384"/>
        <v>0.219</v>
      </c>
      <c r="IX72" s="5">
        <f t="shared" si="233"/>
        <v>0.20305326869825732</v>
      </c>
      <c r="IY72" s="762">
        <f t="shared" si="234"/>
        <v>39.999994224715422</v>
      </c>
    </row>
    <row r="73" spans="1:259" ht="15" customHeight="1" x14ac:dyDescent="0.25">
      <c r="A73" s="79"/>
      <c r="B73" s="707">
        <v>-1.8800783336984748</v>
      </c>
      <c r="C73" s="708">
        <v>3.5269984686112541</v>
      </c>
      <c r="D73" s="709">
        <v>-1.318717281969868</v>
      </c>
      <c r="E73" s="710">
        <v>-0.96731848630164396</v>
      </c>
      <c r="F73" s="708">
        <v>-0.14219798816959375</v>
      </c>
      <c r="G73" s="711">
        <v>0.20993970138974763</v>
      </c>
      <c r="H73" s="710">
        <v>0.219</v>
      </c>
      <c r="I73" s="708">
        <v>0.42</v>
      </c>
      <c r="J73" s="570">
        <v>7.234</v>
      </c>
      <c r="K73" s="865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1111</v>
      </c>
      <c r="L73" s="320"/>
      <c r="M73" s="168">
        <f t="shared" ref="M73:M104" si="464">IF(J73="","",VALUE(J73))</f>
        <v>7.234</v>
      </c>
      <c r="N73" s="632">
        <f t="shared" ref="N73:N104" si="465">IF(M73="","",B73)</f>
        <v>-1.8800783336984748</v>
      </c>
      <c r="O73" s="629">
        <f t="shared" ref="O73:O104" si="466">IF(M73="","",C73)</f>
        <v>3.5269984686112541</v>
      </c>
      <c r="P73" s="633">
        <f t="shared" ref="P73:P104" si="467">IF(M73="","",D73)</f>
        <v>-1.318717281969868</v>
      </c>
      <c r="Q73" s="585">
        <f t="shared" si="113"/>
        <v>118.05999594863783</v>
      </c>
      <c r="R73" s="629">
        <f>IF(M73="","",SQRT(N73^2+O73^2))</f>
        <v>3.9968003125536011</v>
      </c>
      <c r="S73" s="634">
        <f>IF(M73="","",P73)</f>
        <v>-1.318717281969868</v>
      </c>
      <c r="T73" s="635">
        <f>IF(M73="","",X73*COS(RADIANS(W73)))</f>
        <v>3.502086840705632</v>
      </c>
      <c r="U73" s="629">
        <f>IF(M73="","",X73*SIN(RADIANS(W73)))</f>
        <v>1.9260842397426465</v>
      </c>
      <c r="V73" s="636">
        <f>IF(M73="","",Y73)</f>
        <v>-1.318717281969868</v>
      </c>
      <c r="W73" s="585">
        <f t="shared" si="224"/>
        <v>28.809995840351249</v>
      </c>
      <c r="X73" s="629">
        <f>IF(M73="","",R73)</f>
        <v>3.9968003125536011</v>
      </c>
      <c r="Y73" s="630">
        <f t="shared" si="223"/>
        <v>-1.318717281969868</v>
      </c>
      <c r="Z73" s="632">
        <f t="shared" ref="Z73:Z104" si="468">IF(M73="","",-E73)</f>
        <v>0.96731848630164396</v>
      </c>
      <c r="AA73" s="629">
        <f t="shared" ref="AA73:AA104" si="469">IF(M73="","",-F73)</f>
        <v>0.14219798816959375</v>
      </c>
      <c r="AB73" s="629">
        <f t="shared" ref="AB73:AB104" si="470">IF(M73="","",-G73)</f>
        <v>-0.20993970138974763</v>
      </c>
      <c r="AC73" s="636">
        <f>IF(M73="","",SQRT(Z73^2+AA73^2+AB73^2))</f>
        <v>1</v>
      </c>
      <c r="AD73" s="637">
        <f>IF(M73="","",Z73*(1/SQRT(Z73^2+AA73^2+AB73^2)))</f>
        <v>0.96731848630164396</v>
      </c>
      <c r="AE73" s="629">
        <f>IF(M73="","",AA73*(1/SQRT(Z73^2+AA73^2+AB73^2)))</f>
        <v>0.14219798816959375</v>
      </c>
      <c r="AF73" s="633">
        <f>IF(M73="","",AB73*(1/SQRT(Z73^2+AA73^2+AB73^2)))</f>
        <v>-0.20993970138974763</v>
      </c>
      <c r="AG73" s="602">
        <f>IF(M73="","",DEGREES(ATAN2(-AF73,AE73)))</f>
        <v>34.110875647787765</v>
      </c>
      <c r="AH73" s="603">
        <f>IF(M73="","",DEGREES(ACOS(AD73)))</f>
        <v>14.688540554292075</v>
      </c>
      <c r="AI73" s="585">
        <f>IF(M73="","",DEGREES(-ACOS(-AF73)))</f>
        <v>-77.88118138321552</v>
      </c>
      <c r="AJ73" s="586">
        <f>IF(M73="","",DEGREES(ATAN2(-AE73,AD73)))</f>
        <v>98.362712954517875</v>
      </c>
      <c r="AK73" s="635">
        <f>IF(M73="","",(COS(RADIANS((90-$Q$8)-W73))*AD73)+(-SIN(RADIANS((90-$Q$8)-W73))*AE73))</f>
        <v>0.92050487609870557</v>
      </c>
      <c r="AL73" s="629">
        <f>IF(M73="","",(SIN(RADIANS((90-$Q$8)-W73))*AD73)+(COS(RADIANS((90-$Q$8)-W73))*AE73))</f>
        <v>-0.3295392159650965</v>
      </c>
      <c r="AM73" s="634">
        <f>IF(M73="","",AF73)</f>
        <v>-0.20993970138974763</v>
      </c>
      <c r="AN73" s="581">
        <f>IF(M73="","",DEGREES(ATAN2(-AM73,AL73)))</f>
        <v>-57.499991698028332</v>
      </c>
      <c r="AO73" s="582">
        <f t="shared" si="461"/>
        <v>22.999996679211311</v>
      </c>
      <c r="AP73" s="585">
        <f>IF(M73="","",DEGREES(ATAN2(AK73,AL73)))</f>
        <v>-19.697282994119949</v>
      </c>
      <c r="AQ73" s="586">
        <f t="shared" ref="AQ73:AQ104" si="471">IF(M73="","",DEGREES(ATAN(($AS$5*SIN(RADIANS(90)))/(($X73*2*PI())-($AS$5*COS(RADIANS(90)))))))</f>
        <v>0.57036908212135606</v>
      </c>
      <c r="AS73" s="52">
        <f t="shared" si="406"/>
        <v>-331.19000415964877</v>
      </c>
      <c r="AT73" s="72">
        <f t="shared" ref="AT73:AT104" si="472">IF(M73="","",Y73+(((AS73-$AS$9)*$AS$6)*-1))</f>
        <v>-1.0882033902675332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>Taper</v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>
        <f t="shared" si="210"/>
        <v>7.234</v>
      </c>
      <c r="IH73" s="731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>6.1340000000000003</v>
      </c>
      <c r="II73" s="734" cm="1">
        <f t="array" ref="II73">IFERROR(ROUND(VALUE(IF($IH73&lt;1,$IH73+LARGE((IF($M$9:$M$150="",0,$M$9:$M$150)-MOD(IF($M$9:$M$150="",0,$M$9:$M$150),1)),1),$IH73)),4),"")</f>
        <v>6.1340000000000003</v>
      </c>
      <c r="IJ73" s="533">
        <f t="shared" si="112"/>
        <v>1313</v>
      </c>
      <c r="IK73" s="533">
        <f t="shared" ref="IK73:IK104" si="517">IF(ISNUMBER($II73),INDEX($K$9:$K$150,MATCH($IG73,$M$9:$M$150,0)),"")</f>
        <v>1111</v>
      </c>
      <c r="IL73" s="727">
        <f t="shared" si="225"/>
        <v>63.52999082740422</v>
      </c>
      <c r="IM73" s="759">
        <v>1.5642266433352599E-4</v>
      </c>
      <c r="IN73" s="5">
        <f t="shared" si="226"/>
        <v>0</v>
      </c>
      <c r="IO73" s="771">
        <v>0</v>
      </c>
      <c r="IP73" s="9">
        <f t="shared" si="227"/>
        <v>-3.9603119443008246</v>
      </c>
      <c r="IQ73" s="5">
        <f t="shared" si="228"/>
        <v>-1.3349040260705427</v>
      </c>
      <c r="IR73" s="5">
        <f t="shared" ref="IR73:IR104" si="518">IF(ISNUMBER($II73),INDEX($H$9:$H$150,MATCH($II73,$M$9:$M$150,0)),"")</f>
        <v>0.26600000000000001</v>
      </c>
      <c r="IS73" s="5">
        <f t="shared" si="229"/>
        <v>0.24130314800934582</v>
      </c>
      <c r="IT73" s="727">
        <f t="shared" si="230"/>
        <v>81.282540293545097</v>
      </c>
      <c r="IU73" s="9">
        <f t="shared" si="231"/>
        <v>-3.9968003125536011</v>
      </c>
      <c r="IV73" s="5">
        <f t="shared" si="232"/>
        <v>-1.318717281969868</v>
      </c>
      <c r="IW73" s="5">
        <f t="shared" ref="IW73:IW104" si="519">IF(ISNUMBER($II73),$H73,"")</f>
        <v>0.219</v>
      </c>
      <c r="IX73" s="5">
        <f t="shared" si="233"/>
        <v>0.20159056786561655</v>
      </c>
      <c r="IY73" s="762">
        <f t="shared" si="234"/>
        <v>57.499991698028332</v>
      </c>
    </row>
    <row r="74" spans="1:259" ht="15" customHeight="1" x14ac:dyDescent="0.25">
      <c r="A74" s="79"/>
      <c r="B74" s="707">
        <v>-1.6140883368103469</v>
      </c>
      <c r="C74" s="708">
        <v>3.6892362551885101</v>
      </c>
      <c r="D74" s="709">
        <v>-1.9496725468790683</v>
      </c>
      <c r="E74" s="710">
        <v>-0.40082893728451646</v>
      </c>
      <c r="F74" s="708">
        <v>0.9161529146574352</v>
      </c>
      <c r="G74" s="711">
        <v>2.2679489679950239E-7</v>
      </c>
      <c r="H74" s="710">
        <v>0.25700000000000001</v>
      </c>
      <c r="I74" s="708">
        <v>0.41499999999999992</v>
      </c>
      <c r="J74" s="570">
        <v>7.24</v>
      </c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>CPS-32193r1</v>
      </c>
      <c r="L74" s="320"/>
      <c r="M74" s="168">
        <f t="shared" si="464"/>
        <v>7.24</v>
      </c>
      <c r="N74" s="632">
        <f t="shared" si="465"/>
        <v>-1.6140883368103469</v>
      </c>
      <c r="O74" s="629">
        <f t="shared" si="466"/>
        <v>3.6892362551885101</v>
      </c>
      <c r="P74" s="633">
        <f t="shared" si="467"/>
        <v>-1.9496725468790683</v>
      </c>
      <c r="Q74" s="585">
        <f t="shared" ref="Q74:Q129" si="520">IF(M74="","",IF(DEGREES(ATAN2(N74,O74))&lt;0,DEGREES(ATAN2(N74,O74))+360,IF(DEGREES(ATAN2(N74,O74))&gt;360,DEGREES(ATAN2(N74,O74))-360,DEGREES(ATAN2(N74,O74)))))</f>
        <v>113.62999658825062</v>
      </c>
      <c r="R74" s="629">
        <f>IF(M74="","",SQRT(N74^2+O74^2))</f>
        <v>4.0268778607780664</v>
      </c>
      <c r="S74" s="634">
        <f>IF(M74="","",P74)</f>
        <v>-1.9496725468790683</v>
      </c>
      <c r="T74" s="635">
        <f>IF(M74="","",X74*COS(RADIANS(W74)))</f>
        <v>3.6677924289647597</v>
      </c>
      <c r="U74" s="629">
        <f>IF(M74="","",X74*SIN(RADIANS(W74)))</f>
        <v>1.6622406575623527</v>
      </c>
      <c r="V74" s="636">
        <f>IF(M74="","",Y74)</f>
        <v>-1.9496725468790683</v>
      </c>
      <c r="W74" s="585">
        <f t="shared" si="224"/>
        <v>24.379996479964035</v>
      </c>
      <c r="X74" s="629">
        <f>IF(M74="","",R74)</f>
        <v>4.0268778607780664</v>
      </c>
      <c r="Y74" s="630">
        <f t="shared" si="223"/>
        <v>-1.9496725468790683</v>
      </c>
      <c r="Z74" s="632">
        <f t="shared" si="468"/>
        <v>0.40082893728451646</v>
      </c>
      <c r="AA74" s="629">
        <f t="shared" si="469"/>
        <v>-0.9161529146574352</v>
      </c>
      <c r="AB74" s="629">
        <f t="shared" si="470"/>
        <v>-2.2679489679950239E-7</v>
      </c>
      <c r="AC74" s="636">
        <f>IF(M74="","",SQRT(Z74^2+AA74^2+AB74^2))</f>
        <v>1</v>
      </c>
      <c r="AD74" s="637">
        <f>IF(M74="","",Z74*(1/SQRT(Z74^2+AA74^2+AB74^2)))</f>
        <v>0.40082893728451646</v>
      </c>
      <c r="AE74" s="629">
        <f>IF(M74="","",AA74*(1/SQRT(Z74^2+AA74^2+AB74^2)))</f>
        <v>-0.9161529146574352</v>
      </c>
      <c r="AF74" s="633">
        <f>IF(M74="","",AB74*(1/SQRT(Z74^2+AA74^2+AB74^2)))</f>
        <v>-2.2679489679950239E-7</v>
      </c>
      <c r="AG74" s="602">
        <f>IF(M74="","",DEGREES(ATAN2(-AF74,AE74)))</f>
        <v>-89.999985816352051</v>
      </c>
      <c r="AH74" s="603">
        <f>IF(M74="","",DEGREES(ACOS(AD74)))</f>
        <v>66.369990417359631</v>
      </c>
      <c r="AI74" s="585">
        <f>IF(M74="","",DEGREES(-ACOS(-AF74)))</f>
        <v>-89.999987005609597</v>
      </c>
      <c r="AJ74" s="586">
        <f>IF(M74="","",DEGREES(ATAN2(-AE74,AD74)))</f>
        <v>23.630009582641016</v>
      </c>
      <c r="AK74" s="635">
        <f>IF(M74="","",(COS(RADIANS((90-$Q$8)-W74))*AD74)+(-SIN(RADIANS((90-$Q$8)-W74))*AE74))</f>
        <v>2.2679489669608088E-7</v>
      </c>
      <c r="AL74" s="629">
        <f>IF(M74="","",(SIN(RADIANS((90-$Q$8)-W74))*AD74)+(COS(RADIANS((90-$Q$8)-W74))*AE74))</f>
        <v>-0.99999999999994849</v>
      </c>
      <c r="AM74" s="634">
        <f>IF(M74="","",AF74)</f>
        <v>-2.2679489679950239E-7</v>
      </c>
      <c r="AN74" s="581">
        <f>IF(M74="","",DEGREES(ATAN2(-AM74,AL74)))</f>
        <v>-89.999987005609611</v>
      </c>
      <c r="AO74" s="582">
        <f t="shared" si="461"/>
        <v>0</v>
      </c>
      <c r="AP74" s="585">
        <f>IF(M74="","",DEGREES(ATAN2(AK74,AL74)))</f>
        <v>-89.999987005609611</v>
      </c>
      <c r="AQ74" s="586">
        <f t="shared" si="471"/>
        <v>0.56610916079309637</v>
      </c>
      <c r="AS74" s="52">
        <f t="shared" si="406"/>
        <v>-335.62000352003599</v>
      </c>
      <c r="AT74" s="72">
        <f t="shared" si="472"/>
        <v>-1.7160822667320201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>Taper</v>
      </c>
      <c r="IF74" s="533" t="str">
        <f>IFERROR(IF((((($IW74*COS(RADIANS(180-$IY74)))*COS(RADIANS($IY74)))-(($IX74*SIN(RADIANS(180-$IY74)))*SIN(RADIANS($IY74))))+$IU74)&lt;(((Settings!$C$19+$IF$8)/2)*-1),"Gage",""),"")</f>
        <v>Gage</v>
      </c>
      <c r="IG74" s="847">
        <f t="shared" si="210"/>
        <v>7.24</v>
      </c>
      <c r="IH74" s="731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>0.14000000000000001</v>
      </c>
      <c r="II74" s="734" cm="1">
        <f t="array" ref="II74">IFERROR(ROUND(VALUE(IF($IH74&lt;1,$IH74+LARGE((IF($M$9:$M$150="",0,$M$9:$M$150)-MOD(IF($M$9:$M$150="",0,$M$9:$M$150),1)),1),$IH74)),4),"")</f>
        <v>7.14</v>
      </c>
      <c r="IJ74" s="533">
        <f t="shared" ref="IJ74:IJ137" si="542">IF(ISNUMBER($II74),INDEX($K$9:$K$150,MATCH($II74,$M$9:$M$150,0)),$K74)</f>
        <v>1313</v>
      </c>
      <c r="IK74" s="533" t="str">
        <f t="shared" si="517"/>
        <v>CPS-32193r1</v>
      </c>
      <c r="IL74" s="727">
        <f t="shared" si="225"/>
        <v>17.699997444436562</v>
      </c>
      <c r="IM74" s="759">
        <v>1.26764250398903E-4</v>
      </c>
      <c r="IN74" s="5">
        <f t="shared" si="226"/>
        <v>0</v>
      </c>
      <c r="IO74" s="771">
        <v>0</v>
      </c>
      <c r="IP74" s="9">
        <f t="shared" si="227"/>
        <v>-4.0652122606801786</v>
      </c>
      <c r="IQ74" s="5">
        <f t="shared" si="228"/>
        <v>-1.9477058742809168</v>
      </c>
      <c r="IR74" s="5">
        <f t="shared" si="518"/>
        <v>0.26600000000000001</v>
      </c>
      <c r="IS74" s="5">
        <f t="shared" si="229"/>
        <v>0.21789445723735962</v>
      </c>
      <c r="IT74" s="727">
        <f t="shared" si="230"/>
        <v>89.99998700560964</v>
      </c>
      <c r="IU74" s="9">
        <f t="shared" si="231"/>
        <v>-4.0268778607780664</v>
      </c>
      <c r="IV74" s="5">
        <f t="shared" si="232"/>
        <v>-1.9496725468790683</v>
      </c>
      <c r="IW74" s="5">
        <f t="shared" si="519"/>
        <v>0.25700000000000001</v>
      </c>
      <c r="IX74" s="5">
        <f t="shared" si="233"/>
        <v>0.25700000000000001</v>
      </c>
      <c r="IY74" s="762">
        <f t="shared" si="234"/>
        <v>89.999987005609611</v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8.8521302156295584E-2</v>
      </c>
      <c r="G154" s="170">
        <f t="shared" si="929"/>
        <v>-0.33036604714967344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0.93969263802333458</v>
      </c>
      <c r="F155" s="170">
        <f t="shared" si="929"/>
        <v>8.8521302156295584E-2</v>
      </c>
      <c r="G155" s="170">
        <f t="shared" si="929"/>
        <v>-0.33036604714967344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0.93968171894842434</v>
      </c>
      <c r="F156" s="170">
        <f t="shared" si="929"/>
        <v>7.9423307394987139E-2</v>
      </c>
      <c r="G156" s="170">
        <f t="shared" si="929"/>
        <v>-0.33270137558563834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0.93684738050312322</v>
      </c>
      <c r="F157" s="170">
        <f t="shared" si="929"/>
        <v>-7.6279269386362994E-2</v>
      </c>
      <c r="G157" s="170">
        <f t="shared" si="929"/>
        <v>-0.34131870547381227</v>
      </c>
      <c r="H157" s="139"/>
      <c r="I157" s="86"/>
      <c r="J157" s="79">
        <f t="shared" si="930"/>
        <v>1.111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0.92613271062765745</v>
      </c>
      <c r="F158" s="170">
        <f t="shared" si="929"/>
        <v>-0.23951082161826792</v>
      </c>
      <c r="G158" s="170">
        <f t="shared" si="929"/>
        <v>-0.29139795578076733</v>
      </c>
      <c r="H158" s="139"/>
      <c r="I158" s="86"/>
      <c r="J158" s="79">
        <f t="shared" si="930"/>
        <v>1.1180000000000001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0.90355600707416117</v>
      </c>
      <c r="F159" s="170">
        <f t="shared" si="929"/>
        <v>-0.37465388138708111</v>
      </c>
      <c r="G159" s="170">
        <f t="shared" si="929"/>
        <v>-0.20789663595593258</v>
      </c>
      <c r="H159" s="139"/>
      <c r="I159" s="86"/>
      <c r="J159" s="79">
        <f t="shared" si="930"/>
        <v>1.125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0.87511244805879318</v>
      </c>
      <c r="F160" s="170">
        <f t="shared" si="929"/>
        <v>-0.47284373845452982</v>
      </c>
      <c r="G160" s="170">
        <f t="shared" si="929"/>
        <v>-0.10294174205292177</v>
      </c>
      <c r="H160" s="139"/>
      <c r="I160" s="86"/>
      <c r="J160" s="79">
        <f t="shared" si="930"/>
        <v>1.1319999999999999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0.85399168482053323</v>
      </c>
      <c r="F161" s="170">
        <f t="shared" si="929"/>
        <v>-0.51988930390168087</v>
      </c>
      <c r="G161" s="170">
        <f t="shared" si="929"/>
        <v>2.0330124102250675E-2</v>
      </c>
      <c r="H161" s="139"/>
      <c r="I161" s="86"/>
      <c r="J161" s="79">
        <f t="shared" si="930"/>
        <v>1.139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0.76973397142600597</v>
      </c>
      <c r="F162" s="170">
        <f t="shared" si="929"/>
        <v>-0.63836479636077359</v>
      </c>
      <c r="G162" s="170">
        <f t="shared" si="929"/>
        <v>-1.3008419227961973E-7</v>
      </c>
      <c r="H162" s="139"/>
      <c r="I162" s="86"/>
      <c r="J162" s="79">
        <f t="shared" si="930"/>
        <v>1.1459999999999999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1.4578097142110108E-7</v>
      </c>
      <c r="F163" s="170">
        <f t="shared" si="929"/>
        <v>-1.7373495196736316E-7</v>
      </c>
      <c r="G163" s="170">
        <f t="shared" si="929"/>
        <v>-0.99999999999997435</v>
      </c>
      <c r="H163" s="139"/>
      <c r="I163" s="86"/>
      <c r="J163" s="79">
        <f t="shared" si="930"/>
        <v>1.2050000000000001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-0.34201993020816035</v>
      </c>
      <c r="F164" s="170">
        <f t="shared" si="929"/>
        <v>-0.93969269835428315</v>
      </c>
      <c r="G164" s="170">
        <f t="shared" si="929"/>
        <v>-2.2679489674747972E-7</v>
      </c>
      <c r="H164" s="139"/>
      <c r="I164" s="86"/>
      <c r="J164" s="79">
        <f t="shared" si="930"/>
        <v>1.246</v>
      </c>
    </row>
    <row r="165" spans="5:16" x14ac:dyDescent="0.25">
      <c r="E165" s="170">
        <f t="shared" si="929"/>
        <v>0.33833257322468741</v>
      </c>
      <c r="F165" s="170">
        <f t="shared" si="929"/>
        <v>-0.89129813205485342</v>
      </c>
      <c r="G165" s="170">
        <f t="shared" si="929"/>
        <v>-0.30185875784991045</v>
      </c>
      <c r="H165" s="139"/>
      <c r="I165" s="86"/>
      <c r="J165" s="79">
        <f t="shared" si="930"/>
        <v>2.117</v>
      </c>
    </row>
    <row r="166" spans="5:16" x14ac:dyDescent="0.25">
      <c r="E166" s="170">
        <f t="shared" si="929"/>
        <v>0.20887391874521746</v>
      </c>
      <c r="F166" s="170">
        <f t="shared" si="929"/>
        <v>-0.95189020036484417</v>
      </c>
      <c r="G166" s="170">
        <f t="shared" si="929"/>
        <v>-0.22422473663133863</v>
      </c>
      <c r="H166" s="139"/>
      <c r="I166" s="86"/>
      <c r="J166" s="79">
        <f t="shared" si="930"/>
        <v>2.1240000000000001</v>
      </c>
    </row>
    <row r="167" spans="5:16" x14ac:dyDescent="0.25">
      <c r="E167" s="170">
        <f t="shared" si="929"/>
        <v>0.1184788423540078</v>
      </c>
      <c r="F167" s="170">
        <f t="shared" si="929"/>
        <v>-0.98660093017582473</v>
      </c>
      <c r="G167" s="170">
        <f t="shared" si="929"/>
        <v>-0.11216669956208788</v>
      </c>
      <c r="H167" s="139"/>
      <c r="I167" s="86"/>
      <c r="J167" s="79">
        <f t="shared" si="930"/>
        <v>2.1309999999999998</v>
      </c>
    </row>
    <row r="168" spans="5:16" x14ac:dyDescent="0.25">
      <c r="E168" s="170">
        <f t="shared" si="929"/>
        <v>4.6138563886595166E-2</v>
      </c>
      <c r="F168" s="170">
        <f t="shared" si="929"/>
        <v>-0.99893482682610502</v>
      </c>
      <c r="G168" s="170">
        <f t="shared" si="929"/>
        <v>6.6684059742671588E-4</v>
      </c>
      <c r="H168" s="139"/>
      <c r="I168" s="86"/>
      <c r="J168" s="79">
        <f t="shared" si="930"/>
        <v>2.1379999999999999</v>
      </c>
    </row>
    <row r="169" spans="5:16" x14ac:dyDescent="0.25">
      <c r="E169" s="170">
        <f t="shared" si="929"/>
        <v>-9.8799389112482719E-2</v>
      </c>
      <c r="F169" s="170">
        <f t="shared" si="929"/>
        <v>-0.99510737144841976</v>
      </c>
      <c r="G169" s="170">
        <f t="shared" si="929"/>
        <v>-1.300841921465075E-7</v>
      </c>
      <c r="H169" s="139"/>
      <c r="I169" s="86"/>
      <c r="J169" s="79">
        <f t="shared" si="930"/>
        <v>2.145</v>
      </c>
    </row>
    <row r="170" spans="5:16" x14ac:dyDescent="0.25">
      <c r="E170" s="170">
        <f t="shared" si="929"/>
        <v>4.7619596059921311E-2</v>
      </c>
      <c r="F170" s="170">
        <f t="shared" si="929"/>
        <v>-0.95754834773763575</v>
      </c>
      <c r="G170" s="170">
        <f t="shared" si="929"/>
        <v>-0.28431239124599139</v>
      </c>
      <c r="H170" s="139"/>
      <c r="I170" s="86"/>
      <c r="J170" s="79">
        <f t="shared" si="930"/>
        <v>2.226</v>
      </c>
    </row>
    <row r="171" spans="5:16" x14ac:dyDescent="0.25">
      <c r="E171" s="170">
        <f t="shared" si="929"/>
        <v>-5.2925378195607553E-2</v>
      </c>
      <c r="F171" s="170">
        <f t="shared" si="929"/>
        <v>-0.9731247287809337</v>
      </c>
      <c r="G171" s="170">
        <f t="shared" si="929"/>
        <v>-0.22411418200972044</v>
      </c>
      <c r="H171" s="139"/>
      <c r="I171" s="86"/>
      <c r="J171" s="79">
        <f t="shared" si="930"/>
        <v>2.2330000000000001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1313</v>
      </c>
    </row>
    <row r="172" spans="5:16" x14ac:dyDescent="0.25">
      <c r="E172" s="170">
        <f t="shared" si="929"/>
        <v>-0.97946992852018633</v>
      </c>
      <c r="F172" s="170">
        <f t="shared" si="929"/>
        <v>-0.20159032497768767</v>
      </c>
      <c r="G172" s="170">
        <f t="shared" si="929"/>
        <v>-2.2679489682336707E-7</v>
      </c>
      <c r="H172" s="139"/>
      <c r="I172" s="86"/>
      <c r="J172" s="79">
        <f t="shared" si="930"/>
        <v>2.2450000000000001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-0.17392285077064462</v>
      </c>
      <c r="F173" s="170">
        <f t="shared" si="929"/>
        <v>-0.92769020522505885</v>
      </c>
      <c r="G173" s="170">
        <f t="shared" si="929"/>
        <v>-0.33036604714967344</v>
      </c>
      <c r="H173" s="139"/>
      <c r="I173" s="86"/>
      <c r="J173" s="79">
        <f t="shared" si="930"/>
        <v>3.1030000000000002</v>
      </c>
      <c r="O173">
        <f>IF($J24="","",IFERROR(INDEX(Settings!$AK$14:$AK$32,MATCH((((ROUND($H24,6)*2)*1000000)+ROUND($I24,6)),Settings!$AI$14:$AI$32,0)),"Undefined"))</f>
        <v>1313</v>
      </c>
    </row>
    <row r="174" spans="5:16" x14ac:dyDescent="0.25">
      <c r="E174" s="170">
        <f t="shared" ref="E174:G193" si="933">E29*-1</f>
        <v>-0.17392285077064462</v>
      </c>
      <c r="F174" s="170">
        <f t="shared" si="933"/>
        <v>-0.92769020522505885</v>
      </c>
      <c r="G174" s="170">
        <f t="shared" si="933"/>
        <v>-0.33036604714967344</v>
      </c>
      <c r="H174" s="139"/>
      <c r="I174" s="86"/>
      <c r="J174" s="79">
        <f t="shared" si="930"/>
        <v>3.1059999999999999</v>
      </c>
    </row>
    <row r="175" spans="5:16" x14ac:dyDescent="0.25">
      <c r="E175" s="170">
        <f t="shared" si="933"/>
        <v>-0.26703786465206375</v>
      </c>
      <c r="F175" s="170">
        <f t="shared" si="933"/>
        <v>-0.89987322495903332</v>
      </c>
      <c r="G175" s="170">
        <f t="shared" si="933"/>
        <v>-0.34484628147030238</v>
      </c>
      <c r="H175" s="139"/>
      <c r="I175" s="86"/>
      <c r="J175" s="79">
        <f t="shared" si="930"/>
        <v>3.109</v>
      </c>
    </row>
    <row r="176" spans="5:16" x14ac:dyDescent="0.25">
      <c r="E176" s="170">
        <f t="shared" si="933"/>
        <v>-0.44423634051532784</v>
      </c>
      <c r="F176" s="170">
        <f t="shared" si="933"/>
        <v>-0.84009269748549431</v>
      </c>
      <c r="G176" s="170">
        <f t="shared" si="933"/>
        <v>-0.31128497136401478</v>
      </c>
      <c r="H176" s="139"/>
      <c r="I176" s="86"/>
      <c r="J176" s="79">
        <f t="shared" si="930"/>
        <v>3.1160000000000001</v>
      </c>
    </row>
    <row r="177" spans="5:10" x14ac:dyDescent="0.25">
      <c r="E177" s="170">
        <f t="shared" si="933"/>
        <v>-0.57958924479423934</v>
      </c>
      <c r="F177" s="170">
        <f t="shared" si="933"/>
        <v>-0.77879426789366135</v>
      </c>
      <c r="G177" s="170">
        <f t="shared" si="933"/>
        <v>-0.23990788985529346</v>
      </c>
      <c r="H177" s="139"/>
      <c r="I177" s="86"/>
      <c r="J177" s="79">
        <f t="shared" si="930"/>
        <v>3.1230000000000002</v>
      </c>
    </row>
    <row r="178" spans="5:10" x14ac:dyDescent="0.25">
      <c r="E178" s="170">
        <f t="shared" si="933"/>
        <v>-0.67189251869667788</v>
      </c>
      <c r="F178" s="170">
        <f t="shared" si="933"/>
        <v>-0.72896978279059277</v>
      </c>
      <c r="G178" s="170">
        <f t="shared" si="933"/>
        <v>-0.13100953819348579</v>
      </c>
      <c r="H178" s="139"/>
      <c r="I178" s="86"/>
      <c r="J178" s="79">
        <f t="shared" si="930"/>
        <v>3.13</v>
      </c>
    </row>
    <row r="179" spans="5:10" x14ac:dyDescent="0.25">
      <c r="E179" s="170">
        <f t="shared" si="933"/>
        <v>-0.73481717326149276</v>
      </c>
      <c r="F179" s="170">
        <f t="shared" si="933"/>
        <v>-0.67798539937689795</v>
      </c>
      <c r="G179" s="170">
        <f t="shared" si="933"/>
        <v>-1.9481275926841211E-2</v>
      </c>
      <c r="H179" s="139"/>
      <c r="I179" s="86"/>
      <c r="J179" s="79">
        <f t="shared" si="930"/>
        <v>3.137</v>
      </c>
    </row>
    <row r="180" spans="5:10" x14ac:dyDescent="0.25">
      <c r="E180" s="170">
        <f t="shared" si="933"/>
        <v>-0.8258034243137865</v>
      </c>
      <c r="F180" s="170">
        <f t="shared" si="933"/>
        <v>-0.56395806971051277</v>
      </c>
      <c r="G180" s="170">
        <f t="shared" si="933"/>
        <v>-1.3008419242048708E-7</v>
      </c>
      <c r="H180" s="139"/>
      <c r="I180" s="86"/>
      <c r="J180" s="79">
        <f t="shared" si="930"/>
        <v>3.1440000000000001</v>
      </c>
    </row>
    <row r="181" spans="5:10" x14ac:dyDescent="0.25">
      <c r="E181" s="170">
        <f t="shared" si="933"/>
        <v>-1.7500059740104351E-7</v>
      </c>
      <c r="F181" s="170">
        <f t="shared" si="933"/>
        <v>-1.4425919747787446E-7</v>
      </c>
      <c r="G181" s="170">
        <f t="shared" si="933"/>
        <v>-0.99999999999997435</v>
      </c>
      <c r="H181" s="139"/>
      <c r="I181" s="86"/>
      <c r="J181" s="79">
        <f t="shared" si="930"/>
        <v>3.2069999999999999</v>
      </c>
    </row>
    <row r="182" spans="5:10" x14ac:dyDescent="0.25">
      <c r="E182" s="170">
        <f t="shared" si="933"/>
        <v>-0.8090167514604345</v>
      </c>
      <c r="F182" s="170">
        <f t="shared" si="933"/>
        <v>0.58778558663542813</v>
      </c>
      <c r="G182" s="170">
        <f t="shared" si="933"/>
        <v>-2.2679489680386326E-7</v>
      </c>
      <c r="H182" s="139"/>
      <c r="I182" s="86"/>
      <c r="J182" s="79">
        <f t="shared" si="930"/>
        <v>3.2440000000000002</v>
      </c>
    </row>
    <row r="183" spans="5:10" x14ac:dyDescent="0.25">
      <c r="E183" s="170">
        <f t="shared" si="933"/>
        <v>-0.94316716711272519</v>
      </c>
      <c r="F183" s="170">
        <f t="shared" si="933"/>
        <v>-9.0957451679008691E-2</v>
      </c>
      <c r="G183" s="170">
        <f t="shared" si="933"/>
        <v>-0.31962859206369132</v>
      </c>
      <c r="H183" s="139"/>
      <c r="I183" s="86"/>
      <c r="J183" s="79">
        <f t="shared" si="930"/>
        <v>4.1150000000000002</v>
      </c>
    </row>
    <row r="184" spans="5:10" x14ac:dyDescent="0.25">
      <c r="E184" s="170">
        <f t="shared" si="933"/>
        <v>-0.96502895996479132</v>
      </c>
      <c r="F184" s="170">
        <f t="shared" si="933"/>
        <v>6.1253499284186233E-2</v>
      </c>
      <c r="G184" s="170">
        <f t="shared" si="933"/>
        <v>-0.25488647522910141</v>
      </c>
      <c r="H184" s="139"/>
      <c r="I184" s="86"/>
      <c r="J184" s="79">
        <f t="shared" si="930"/>
        <v>4.1219999999999999</v>
      </c>
    </row>
    <row r="185" spans="5:10" x14ac:dyDescent="0.25">
      <c r="E185" s="170">
        <f t="shared" si="933"/>
        <v>-0.97338169177625344</v>
      </c>
      <c r="F185" s="170">
        <f t="shared" si="933"/>
        <v>0.17364091553411748</v>
      </c>
      <c r="G185" s="170">
        <f t="shared" si="933"/>
        <v>-0.14958915257221203</v>
      </c>
      <c r="H185" s="139"/>
      <c r="I185" s="86"/>
      <c r="J185" s="79">
        <f t="shared" si="930"/>
        <v>4.1289999999999996</v>
      </c>
    </row>
    <row r="186" spans="5:10" x14ac:dyDescent="0.25">
      <c r="E186" s="170">
        <f t="shared" si="933"/>
        <v>-0.96851667501381267</v>
      </c>
      <c r="F186" s="170">
        <f t="shared" si="933"/>
        <v>0.24681676223149282</v>
      </c>
      <c r="G186" s="170">
        <f t="shared" si="933"/>
        <v>-3.2510553698016614E-2</v>
      </c>
      <c r="H186" s="139"/>
      <c r="I186" s="86"/>
      <c r="J186" s="79">
        <f t="shared" si="930"/>
        <v>4.1360000000000001</v>
      </c>
    </row>
    <row r="187" spans="5:10" x14ac:dyDescent="0.25">
      <c r="E187" s="170">
        <f t="shared" si="933"/>
        <v>-0.91587276902102255</v>
      </c>
      <c r="F187" s="170">
        <f t="shared" si="933"/>
        <v>0.40146864256844261</v>
      </c>
      <c r="G187" s="170">
        <f t="shared" si="933"/>
        <v>-1.3008419223758546E-7</v>
      </c>
      <c r="H187" s="139"/>
      <c r="I187" s="86"/>
      <c r="J187" s="79">
        <f t="shared" si="930"/>
        <v>4.1429999999999998</v>
      </c>
    </row>
    <row r="188" spans="5:10" x14ac:dyDescent="0.25">
      <c r="E188" s="170">
        <f t="shared" si="933"/>
        <v>-0.92593710666951778</v>
      </c>
      <c r="F188" s="170">
        <f t="shared" si="933"/>
        <v>0.22647025118657191</v>
      </c>
      <c r="G188" s="170">
        <f t="shared" si="933"/>
        <v>-0.30224443720269417</v>
      </c>
      <c r="H188" s="139"/>
      <c r="I188" s="86"/>
      <c r="J188" s="79">
        <f t="shared" si="930"/>
        <v>4.2240000000000002</v>
      </c>
    </row>
    <row r="189" spans="5:10" x14ac:dyDescent="0.25">
      <c r="E189" s="170">
        <f t="shared" si="933"/>
        <v>-0.91699320466465872</v>
      </c>
      <c r="F189" s="170">
        <f t="shared" si="933"/>
        <v>0.3180289990495368</v>
      </c>
      <c r="G189" s="170">
        <f t="shared" si="933"/>
        <v>-0.24079247987092345</v>
      </c>
      <c r="H189" s="139"/>
      <c r="I189" s="86"/>
      <c r="J189" s="79">
        <f t="shared" si="930"/>
        <v>4.2309999999999999</v>
      </c>
    </row>
    <row r="190" spans="5:10" x14ac:dyDescent="0.25">
      <c r="E190" s="170">
        <f t="shared" si="933"/>
        <v>-0.89249686318848187</v>
      </c>
      <c r="F190" s="170">
        <f t="shared" si="933"/>
        <v>0.42106182810175008</v>
      </c>
      <c r="G190" s="170">
        <f t="shared" si="933"/>
        <v>-0.16172905154712533</v>
      </c>
      <c r="H190" s="139"/>
      <c r="I190" s="86"/>
      <c r="J190" s="79">
        <f t="shared" si="930"/>
        <v>4.2380000000000004</v>
      </c>
    </row>
    <row r="191" spans="5:10" x14ac:dyDescent="0.25">
      <c r="E191" s="170">
        <f t="shared" si="933"/>
        <v>0.1109487907262368</v>
      </c>
      <c r="F191" s="170">
        <f t="shared" si="933"/>
        <v>0.99382612454912567</v>
      </c>
      <c r="G191" s="170">
        <f t="shared" si="933"/>
        <v>-2.2679489639458631E-7</v>
      </c>
      <c r="H191" s="139"/>
      <c r="I191" s="86"/>
      <c r="J191" s="79">
        <f t="shared" si="930"/>
        <v>4.2430000000000003</v>
      </c>
    </row>
    <row r="192" spans="5:10" x14ac:dyDescent="0.25">
      <c r="E192" s="170">
        <f t="shared" si="933"/>
        <v>-0.794986877274099</v>
      </c>
      <c r="F192" s="170">
        <f t="shared" si="933"/>
        <v>0.5087771023274108</v>
      </c>
      <c r="G192" s="170">
        <f t="shared" si="933"/>
        <v>-0.33036604714967338</v>
      </c>
      <c r="H192" s="139"/>
      <c r="I192" s="86"/>
      <c r="J192" s="79">
        <f t="shared" si="930"/>
        <v>5.1020000000000003</v>
      </c>
    </row>
    <row r="193" spans="5:10" x14ac:dyDescent="0.25">
      <c r="E193" s="170">
        <f t="shared" si="933"/>
        <v>-0.794986877274099</v>
      </c>
      <c r="F193" s="170">
        <f t="shared" si="933"/>
        <v>0.50877710232741069</v>
      </c>
      <c r="G193" s="170">
        <f t="shared" si="933"/>
        <v>-0.33036604714967338</v>
      </c>
      <c r="H193" s="139"/>
      <c r="I193" s="86"/>
      <c r="J193" s="79">
        <f t="shared" si="930"/>
        <v>5.1050000000000004</v>
      </c>
    </row>
    <row r="194" spans="5:10" x14ac:dyDescent="0.25">
      <c r="E194" s="170">
        <f t="shared" ref="E194:G213" si="934">E49*-1</f>
        <v>-0.7760495444361285</v>
      </c>
      <c r="F194" s="170">
        <f t="shared" si="934"/>
        <v>0.53265215404627064</v>
      </c>
      <c r="G194" s="170">
        <f t="shared" si="934"/>
        <v>-0.33768148804805037</v>
      </c>
      <c r="H194" s="139"/>
      <c r="I194" s="86"/>
      <c r="J194" s="79">
        <f t="shared" si="930"/>
        <v>5.1079999999999997</v>
      </c>
    </row>
    <row r="195" spans="5:10" x14ac:dyDescent="0.25">
      <c r="E195" s="170">
        <f t="shared" si="934"/>
        <v>-0.64366336927056023</v>
      </c>
      <c r="F195" s="170">
        <f t="shared" si="934"/>
        <v>0.69200454118922683</v>
      </c>
      <c r="G195" s="170">
        <f t="shared" si="934"/>
        <v>-0.32684427795627402</v>
      </c>
      <c r="H195" s="139"/>
      <c r="I195" s="86"/>
      <c r="J195" s="79">
        <f t="shared" si="930"/>
        <v>5.1139999999999999</v>
      </c>
    </row>
    <row r="196" spans="5:10" x14ac:dyDescent="0.25">
      <c r="E196" s="170">
        <f t="shared" si="934"/>
        <v>-0.53114911643723661</v>
      </c>
      <c r="F196" s="170">
        <f t="shared" si="934"/>
        <v>0.80338134101395942</v>
      </c>
      <c r="G196" s="170">
        <f t="shared" si="934"/>
        <v>-0.26918216326226957</v>
      </c>
      <c r="H196" s="139"/>
      <c r="I196" s="86"/>
      <c r="J196" s="79">
        <f t="shared" si="930"/>
        <v>5.1210000000000004</v>
      </c>
    </row>
    <row r="197" spans="5:10" x14ac:dyDescent="0.25">
      <c r="E197" s="170">
        <f t="shared" si="934"/>
        <v>-0.44014418149592155</v>
      </c>
      <c r="F197" s="170">
        <f t="shared" si="934"/>
        <v>0.88205283837574011</v>
      </c>
      <c r="G197" s="170">
        <f t="shared" si="934"/>
        <v>-0.16809488335040398</v>
      </c>
      <c r="H197" s="139"/>
      <c r="I197" s="86"/>
      <c r="J197" s="79">
        <f t="shared" si="930"/>
        <v>5.1280000000000001</v>
      </c>
    </row>
    <row r="198" spans="5:10" x14ac:dyDescent="0.25">
      <c r="E198" s="170">
        <f t="shared" si="934"/>
        <v>-0.37191269023321488</v>
      </c>
      <c r="F198" s="170">
        <f t="shared" si="934"/>
        <v>0.92678897237714419</v>
      </c>
      <c r="G198" s="170">
        <f t="shared" si="934"/>
        <v>-5.2375104043904115E-2</v>
      </c>
      <c r="H198" s="139"/>
      <c r="I198" s="86"/>
      <c r="J198" s="79">
        <f t="shared" si="930"/>
        <v>5.1349999999999998</v>
      </c>
    </row>
    <row r="199" spans="5:10" x14ac:dyDescent="0.25">
      <c r="E199" s="170">
        <f t="shared" si="934"/>
        <v>-0.21354168499849879</v>
      </c>
      <c r="F199" s="170">
        <f t="shared" si="934"/>
        <v>0.97693395312476738</v>
      </c>
      <c r="G199" s="170">
        <f t="shared" si="934"/>
        <v>-1.3008419212704155E-7</v>
      </c>
      <c r="H199" s="139"/>
      <c r="I199" s="86"/>
      <c r="J199" s="79">
        <f t="shared" si="930"/>
        <v>5.1420000000000003</v>
      </c>
    </row>
    <row r="200" spans="5:10" x14ac:dyDescent="0.25">
      <c r="E200" s="170">
        <f t="shared" si="934"/>
        <v>-4.4206609408728984E-8</v>
      </c>
      <c r="F200" s="170">
        <f t="shared" si="934"/>
        <v>2.2244482654177745E-7</v>
      </c>
      <c r="G200" s="170">
        <f t="shared" si="934"/>
        <v>-0.99999999999997435</v>
      </c>
      <c r="H200" s="139"/>
      <c r="I200" s="86"/>
      <c r="J200" s="79">
        <f t="shared" si="930"/>
        <v>5.2060000000000004</v>
      </c>
    </row>
    <row r="201" spans="5:10" x14ac:dyDescent="0.25">
      <c r="E201" s="170">
        <f t="shared" si="934"/>
        <v>0.84804816559545482</v>
      </c>
      <c r="F201" s="170">
        <f t="shared" si="934"/>
        <v>0.52991915310746485</v>
      </c>
      <c r="G201" s="170">
        <f t="shared" si="934"/>
        <v>-2.267948967209169E-7</v>
      </c>
      <c r="H201" s="139"/>
      <c r="I201" s="86"/>
      <c r="J201" s="79">
        <f t="shared" si="930"/>
        <v>5.242</v>
      </c>
    </row>
    <row r="202" spans="5:10" x14ac:dyDescent="0.25">
      <c r="E202" s="170">
        <f t="shared" si="934"/>
        <v>2.6607301975655383E-2</v>
      </c>
      <c r="F202" s="170">
        <f t="shared" si="934"/>
        <v>0.94258336771057294</v>
      </c>
      <c r="G202" s="170">
        <f t="shared" si="934"/>
        <v>-0.33290936664048876</v>
      </c>
      <c r="H202" s="139"/>
      <c r="I202" s="86"/>
      <c r="J202" s="79">
        <f t="shared" si="930"/>
        <v>6.1130000000000004</v>
      </c>
    </row>
    <row r="203" spans="5:10" x14ac:dyDescent="0.25">
      <c r="E203" s="170">
        <f t="shared" si="934"/>
        <v>0.18253140520330033</v>
      </c>
      <c r="F203" s="170">
        <f t="shared" si="934"/>
        <v>0.94606872472898174</v>
      </c>
      <c r="G203" s="170">
        <f t="shared" si="934"/>
        <v>-0.26764949879307987</v>
      </c>
      <c r="H203" s="139"/>
      <c r="I203" s="86"/>
      <c r="J203" s="79">
        <f t="shared" si="930"/>
        <v>6.12</v>
      </c>
    </row>
    <row r="204" spans="5:10" x14ac:dyDescent="0.25">
      <c r="E204" s="170">
        <f t="shared" si="934"/>
        <v>0.31639642199434237</v>
      </c>
      <c r="F204" s="170">
        <f t="shared" si="934"/>
        <v>0.93019769373603534</v>
      </c>
      <c r="G204" s="170">
        <f t="shared" si="934"/>
        <v>-0.18607943120436285</v>
      </c>
      <c r="H204" s="139"/>
      <c r="I204" s="86"/>
      <c r="J204" s="79">
        <f t="shared" si="930"/>
        <v>6.1269999999999998</v>
      </c>
    </row>
    <row r="205" spans="5:10" x14ac:dyDescent="0.25">
      <c r="E205" s="170">
        <f t="shared" si="934"/>
        <v>0.39060522712909379</v>
      </c>
      <c r="F205" s="170">
        <f t="shared" si="934"/>
        <v>0.91834637483623538</v>
      </c>
      <c r="G205" s="170">
        <f t="shared" si="934"/>
        <v>-6.3776895225260699E-2</v>
      </c>
      <c r="H205" s="139"/>
      <c r="I205" s="86"/>
      <c r="J205" s="79">
        <f t="shared" si="930"/>
        <v>6.1340000000000003</v>
      </c>
    </row>
    <row r="206" spans="5:10" x14ac:dyDescent="0.25">
      <c r="E206" s="170">
        <f t="shared" si="934"/>
        <v>0.55440885938709172</v>
      </c>
      <c r="F206" s="170">
        <f t="shared" si="934"/>
        <v>0.83224444524015118</v>
      </c>
      <c r="G206" s="170">
        <f t="shared" si="934"/>
        <v>-1.3008419227004151E-7</v>
      </c>
      <c r="H206" s="139"/>
      <c r="I206" s="86"/>
      <c r="J206" s="79">
        <f t="shared" si="930"/>
        <v>6.141</v>
      </c>
    </row>
    <row r="207" spans="5:10" x14ac:dyDescent="0.25">
      <c r="E207" s="170">
        <f t="shared" si="934"/>
        <v>0.35964014613820183</v>
      </c>
      <c r="F207" s="170">
        <f t="shared" si="934"/>
        <v>0.87727628105935285</v>
      </c>
      <c r="G207" s="170">
        <f t="shared" si="934"/>
        <v>-0.3178762211559153</v>
      </c>
      <c r="H207" s="139"/>
      <c r="I207" s="86"/>
      <c r="J207" s="79">
        <f t="shared" si="930"/>
        <v>6.2220000000000004</v>
      </c>
    </row>
    <row r="208" spans="5:10" x14ac:dyDescent="0.25">
      <c r="E208" s="170">
        <f t="shared" si="934"/>
        <v>0.45097861650574866</v>
      </c>
      <c r="F208" s="170">
        <f t="shared" si="934"/>
        <v>0.85232226351401186</v>
      </c>
      <c r="G208" s="170">
        <f t="shared" si="934"/>
        <v>-0.26488685617242774</v>
      </c>
      <c r="H208" s="139"/>
      <c r="I208" s="86"/>
      <c r="J208" s="79">
        <f t="shared" si="930"/>
        <v>6.2290000000000001</v>
      </c>
    </row>
    <row r="209" spans="5:10" x14ac:dyDescent="0.25">
      <c r="E209" s="170">
        <f t="shared" si="934"/>
        <v>0.54211822887513672</v>
      </c>
      <c r="F209" s="170">
        <f t="shared" si="934"/>
        <v>0.8190452903691825</v>
      </c>
      <c r="G209" s="170">
        <f t="shared" si="934"/>
        <v>-0.18781011220205021</v>
      </c>
      <c r="H209" s="139"/>
      <c r="I209" s="86"/>
      <c r="J209" s="79">
        <f t="shared" si="930"/>
        <v>6.2359999999999998</v>
      </c>
    </row>
    <row r="210" spans="5:10" x14ac:dyDescent="0.25">
      <c r="E210" s="170">
        <f t="shared" si="934"/>
        <v>0.95946168829997591</v>
      </c>
      <c r="F210" s="170">
        <f t="shared" si="934"/>
        <v>-0.28183908296137439</v>
      </c>
      <c r="G210" s="170">
        <f t="shared" si="934"/>
        <v>-2.2679489643515037E-7</v>
      </c>
      <c r="H210" s="139"/>
      <c r="I210" s="86"/>
      <c r="J210" s="79">
        <f t="shared" si="930"/>
        <v>6.2409999999999997</v>
      </c>
    </row>
    <row r="211" spans="5:10" x14ac:dyDescent="0.25">
      <c r="E211" s="170">
        <f t="shared" si="934"/>
        <v>0.72260772095828185</v>
      </c>
      <c r="F211" s="170">
        <f t="shared" si="934"/>
        <v>0.60313500466031189</v>
      </c>
      <c r="G211" s="170">
        <f t="shared" si="934"/>
        <v>-0.33773695054714331</v>
      </c>
      <c r="H211" s="139"/>
      <c r="I211" s="86"/>
      <c r="J211" s="79">
        <f t="shared" si="930"/>
        <v>7.1120000000000001</v>
      </c>
    </row>
    <row r="212" spans="5:10" x14ac:dyDescent="0.25">
      <c r="E212" s="170">
        <f t="shared" si="934"/>
        <v>0.82916253912622351</v>
      </c>
      <c r="F212" s="170">
        <f t="shared" si="934"/>
        <v>0.48381709898548303</v>
      </c>
      <c r="G212" s="170">
        <f t="shared" si="934"/>
        <v>-0.28001874658498377</v>
      </c>
      <c r="H212" s="139"/>
      <c r="I212" s="86"/>
      <c r="J212" s="79">
        <f t="shared" si="930"/>
        <v>7.1189999999999998</v>
      </c>
    </row>
    <row r="213" spans="5:10" x14ac:dyDescent="0.25">
      <c r="E213" s="170">
        <f t="shared" si="934"/>
        <v>0.90580956519740763</v>
      </c>
      <c r="F213" s="170">
        <f t="shared" si="934"/>
        <v>0.37814176788849529</v>
      </c>
      <c r="G213" s="170">
        <f t="shared" si="934"/>
        <v>-0.19109640230796301</v>
      </c>
      <c r="H213" s="139"/>
      <c r="I213" s="86"/>
      <c r="J213" s="79">
        <f t="shared" si="930"/>
        <v>7.1260000000000003</v>
      </c>
    </row>
    <row r="214" spans="5:10" x14ac:dyDescent="0.25">
      <c r="E214" s="170">
        <f t="shared" ref="E214:G233" si="935">E69*-1</f>
        <v>0.95171112811962066</v>
      </c>
      <c r="F214" s="170">
        <f t="shared" si="935"/>
        <v>0.2954679796931507</v>
      </c>
      <c r="G214" s="170">
        <f t="shared" si="935"/>
        <v>-8.3334276197295235E-2</v>
      </c>
      <c r="H214" s="139"/>
      <c r="I214" s="86"/>
      <c r="J214" s="79">
        <f t="shared" si="930"/>
        <v>7.133</v>
      </c>
    </row>
    <row r="215" spans="5:10" x14ac:dyDescent="0.25">
      <c r="E215" s="170">
        <f t="shared" si="935"/>
        <v>0.99390336421555003</v>
      </c>
      <c r="F215" s="170">
        <f t="shared" si="935"/>
        <v>0.11025471691041101</v>
      </c>
      <c r="G215" s="170">
        <f t="shared" si="935"/>
        <v>-1.3008419186699682E-7</v>
      </c>
      <c r="H215" s="139"/>
      <c r="I215" s="86"/>
      <c r="J215" s="79">
        <f t="shared" si="930"/>
        <v>7.14</v>
      </c>
    </row>
    <row r="216" spans="5:10" x14ac:dyDescent="0.25">
      <c r="E216" s="170">
        <f t="shared" si="935"/>
        <v>0.89384273738583031</v>
      </c>
      <c r="F216" s="170">
        <f t="shared" si="935"/>
        <v>0.31811696649546339</v>
      </c>
      <c r="G216" s="170">
        <f t="shared" si="935"/>
        <v>-0.31598537379177843</v>
      </c>
      <c r="H216" s="139"/>
      <c r="I216" s="86"/>
      <c r="J216" s="79">
        <f t="shared" si="930"/>
        <v>7.22</v>
      </c>
    </row>
    <row r="217" spans="5:10" x14ac:dyDescent="0.25">
      <c r="E217" s="170">
        <f t="shared" si="935"/>
        <v>0.93158325554446331</v>
      </c>
      <c r="F217" s="170">
        <f t="shared" si="935"/>
        <v>0.22316712053807125</v>
      </c>
      <c r="G217" s="170">
        <f t="shared" si="935"/>
        <v>-0.28696528413716771</v>
      </c>
      <c r="H217" s="139"/>
      <c r="I217" s="86"/>
      <c r="J217" s="79">
        <f t="shared" si="930"/>
        <v>7.2270000000000003</v>
      </c>
    </row>
    <row r="218" spans="5:10" x14ac:dyDescent="0.25">
      <c r="E218" s="170">
        <f t="shared" si="935"/>
        <v>0.96731848630164396</v>
      </c>
      <c r="F218" s="170">
        <f t="shared" si="935"/>
        <v>0.14219798816959375</v>
      </c>
      <c r="G218" s="170">
        <f t="shared" si="935"/>
        <v>-0.20993970138974763</v>
      </c>
      <c r="H218" s="139"/>
      <c r="I218" s="86"/>
      <c r="J218" s="79">
        <f t="shared" si="930"/>
        <v>7.234</v>
      </c>
    </row>
    <row r="219" spans="5:10" x14ac:dyDescent="0.25">
      <c r="E219" s="170">
        <f t="shared" si="935"/>
        <v>0.40082893728451646</v>
      </c>
      <c r="F219" s="170">
        <f t="shared" si="935"/>
        <v>-0.9161529146574352</v>
      </c>
      <c r="G219" s="170">
        <f t="shared" si="935"/>
        <v>-2.2679489679950239E-7</v>
      </c>
      <c r="H219" s="139"/>
      <c r="I219" s="86"/>
      <c r="J219" s="79">
        <f t="shared" ref="J219:J282" si="936">J74</f>
        <v>7.24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F772BE66-07AB-4CC6-A694-C232CE82034B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6363DB7B-0073-4E33-BDC3-DFF513065EDF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8" t="str">
        <f>CONCATENATE(Settings!$C$19," ",Settings!$B$28)</f>
        <v>8.5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M1" s="107" t="s">
        <v>319</v>
      </c>
      <c r="N1" s="1260" t="s">
        <v>321</v>
      </c>
      <c r="O1" s="1260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69" t="str">
        <f>Settings!B28</f>
        <v xml:space="preserve"> Job# --- Assy# --- Post Braze --- yy.mm.dd</v>
      </c>
      <c r="C2" s="1270"/>
      <c r="D2" s="1270"/>
      <c r="E2" s="1270"/>
      <c r="F2" s="1270"/>
      <c r="G2" s="1270"/>
      <c r="H2" s="1270"/>
      <c r="I2" s="1270"/>
      <c r="J2" s="1270"/>
      <c r="K2" s="1271"/>
      <c r="L2" s="983" t="str" cm="1">
        <f t="array" ref="L2">IF(OR($K$9:$K$150="Undefined"),"Undefined Element","")</f>
        <v/>
      </c>
      <c r="M2" s="1266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282" t="str">
        <f>M2</f>
        <v>CS-Name</v>
      </c>
      <c r="AW2" s="1296"/>
      <c r="AX2" s="1296"/>
      <c r="AY2" s="1296"/>
      <c r="AZ2" s="1296"/>
      <c r="BA2" s="1296"/>
      <c r="BB2" s="1296"/>
      <c r="BC2" s="1297"/>
      <c r="BF2" s="1289" t="s">
        <v>322</v>
      </c>
      <c r="BG2" s="1290"/>
      <c r="BH2" s="1290"/>
      <c r="BI2" s="1290"/>
      <c r="BJ2" s="1290"/>
      <c r="BK2" s="1291"/>
      <c r="BM2" s="1306" t="s">
        <v>279</v>
      </c>
      <c r="BN2" s="1222"/>
      <c r="BO2" s="1222"/>
      <c r="BP2" s="1223"/>
      <c r="BR2" s="1306" t="s">
        <v>279</v>
      </c>
      <c r="BS2" s="1222"/>
      <c r="BT2" s="1222"/>
      <c r="BU2" s="1223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3"/>
      <c r="C3" s="1234"/>
      <c r="D3" s="1234"/>
      <c r="E3" s="1234"/>
      <c r="F3" s="1234"/>
      <c r="G3" s="1234"/>
      <c r="H3" s="1234"/>
      <c r="I3" s="1234"/>
      <c r="J3" s="1234"/>
      <c r="K3" s="1235"/>
      <c r="L3" s="983"/>
      <c r="M3" s="1267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047"/>
      <c r="AA3" s="1048"/>
      <c r="AB3" s="1048"/>
      <c r="AC3" s="1048"/>
      <c r="AD3" s="1048"/>
      <c r="AE3" s="1048"/>
      <c r="AF3" s="1048"/>
      <c r="AG3" s="1048"/>
      <c r="AH3" s="1048"/>
      <c r="AI3" s="1048"/>
      <c r="AJ3" s="1048"/>
      <c r="AK3" s="1048"/>
      <c r="AL3" s="1048"/>
      <c r="AM3" s="1048"/>
      <c r="AN3" s="1048"/>
      <c r="AO3" s="1048"/>
      <c r="AP3" s="1048"/>
      <c r="AQ3" s="1162"/>
      <c r="AS3" s="466">
        <v>100</v>
      </c>
      <c r="AT3" s="463" t="s">
        <v>45</v>
      </c>
      <c r="AV3" s="1283"/>
      <c r="AW3" s="1298"/>
      <c r="AX3" s="1298"/>
      <c r="AY3" s="1298"/>
      <c r="AZ3" s="1298"/>
      <c r="BA3" s="1298"/>
      <c r="BB3" s="1298"/>
      <c r="BC3" s="1299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7" t="s">
        <v>316</v>
      </c>
      <c r="C4" s="912"/>
      <c r="D4" s="912"/>
      <c r="E4" s="912"/>
      <c r="F4" s="912"/>
      <c r="G4" s="912"/>
      <c r="H4" s="912"/>
      <c r="I4" s="912"/>
      <c r="J4" s="912"/>
      <c r="K4" s="1272"/>
      <c r="L4" s="983"/>
      <c r="M4" s="1267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Q4</f>
        <v>Polar XY; Cartesian Z</v>
      </c>
      <c r="X4" s="1166"/>
      <c r="Y4" s="1232"/>
      <c r="Z4" s="1262" t="s">
        <v>3</v>
      </c>
      <c r="AA4" s="1263"/>
      <c r="AB4" s="1263"/>
      <c r="AC4" s="1263"/>
      <c r="AD4" s="1263"/>
      <c r="AE4" s="1263"/>
      <c r="AF4" s="1263"/>
      <c r="AG4" s="1302" t="s">
        <v>31</v>
      </c>
      <c r="AH4" s="1263"/>
      <c r="AI4" s="1263"/>
      <c r="AJ4" s="1303"/>
      <c r="AK4" s="1309" t="s">
        <v>32</v>
      </c>
      <c r="AL4" s="1310"/>
      <c r="AM4" s="1310"/>
      <c r="AN4" s="1310"/>
      <c r="AO4" s="1310"/>
      <c r="AP4" s="1310"/>
      <c r="AQ4" s="1311"/>
      <c r="AS4" s="467">
        <v>125</v>
      </c>
      <c r="AT4" s="464" t="s">
        <v>46</v>
      </c>
      <c r="AV4" s="1283"/>
      <c r="AW4" s="1300"/>
      <c r="AX4" s="1300"/>
      <c r="AY4" s="1300"/>
      <c r="AZ4" s="1301"/>
      <c r="BA4" s="1300" t="str">
        <f>Z2</f>
        <v>PDC Orientation</v>
      </c>
      <c r="BB4" s="1300"/>
      <c r="BC4" s="1301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9" t="s">
        <v>381</v>
      </c>
      <c r="IF4" s="899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3" t="str">
        <f>CONCATENATE(B7," ; ",E7," ; ",H8)</f>
        <v>Absolute-Point ; Incremental-Vector Point ; Radius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67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&amp; Z; Z Axis")</f>
        <v>Relative to 's θ &amp; Z; Z Axis</v>
      </c>
      <c r="U5" s="1136"/>
      <c r="V5" s="1137"/>
      <c r="W5" s="1136" t="str">
        <f>CONCATENATE("Relative to ",M8,"'s θ &amp; Z; Z Axis")</f>
        <v>Relative to 's θ &amp; Z;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83"/>
      <c r="AW5" s="1257" t="str">
        <f>W4</f>
        <v>Polar XY; Cartesian Z</v>
      </c>
      <c r="AX5" s="1166"/>
      <c r="AY5" s="1166"/>
      <c r="AZ5" s="984" t="s">
        <v>104</v>
      </c>
      <c r="BA5" s="1166" t="str">
        <f>AK4</f>
        <v>Polar Z Projection → XZ Plane</v>
      </c>
      <c r="BB5" s="1166"/>
      <c r="BC5" s="1167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67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Q6</f>
        <v>Projected XY</v>
      </c>
      <c r="X6" s="1169"/>
      <c r="Y6" s="1210" t="str">
        <f>S6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257" t="str">
        <f>AD6</f>
        <v>Unit Vector</v>
      </c>
      <c r="AL6" s="1166"/>
      <c r="AM6" s="1167"/>
      <c r="AN6" s="34" t="s">
        <v>15</v>
      </c>
      <c r="AO6" s="35" t="s">
        <v>16</v>
      </c>
      <c r="AP6" s="737" t="s">
        <v>17</v>
      </c>
      <c r="AQ6" s="1264" t="s">
        <v>108</v>
      </c>
      <c r="AS6" s="172">
        <f>(AS5/360)</f>
        <v>6.9444444444444447E-4</v>
      </c>
      <c r="AT6" s="465" t="s">
        <v>48</v>
      </c>
      <c r="AV6" s="1283"/>
      <c r="AW6" s="1135" t="str">
        <f>W5</f>
        <v>Relative to 's θ &amp; Z; Z Axis</v>
      </c>
      <c r="AX6" s="1136"/>
      <c r="AY6" s="1136"/>
      <c r="AZ6" s="1279"/>
      <c r="BA6" s="1136" t="str">
        <f>AK5</f>
        <v>Vector Along X Axis</v>
      </c>
      <c r="BB6" s="1136"/>
      <c r="BC6" s="1173"/>
      <c r="BD6" s="468"/>
      <c r="BF6" s="461">
        <f>SUM(AZ9:AZ150)</f>
        <v>0</v>
      </c>
      <c r="BG6" s="1261" t="s">
        <v>318</v>
      </c>
      <c r="BH6" s="1261"/>
      <c r="BI6" s="1261"/>
      <c r="BJ6" s="1261"/>
      <c r="BK6" s="1261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0" t="s">
        <v>40</v>
      </c>
      <c r="C7" s="1251"/>
      <c r="D7" s="1252"/>
      <c r="E7" s="1253" t="s">
        <v>41</v>
      </c>
      <c r="F7" s="1251"/>
      <c r="G7" s="1254"/>
      <c r="H7" s="879" t="s">
        <v>314</v>
      </c>
      <c r="I7" s="877"/>
      <c r="J7" s="878"/>
      <c r="K7" s="539"/>
      <c r="L7" s="983"/>
      <c r="M7" s="126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Q7</f>
        <v>&lt; θ°</v>
      </c>
      <c r="X7" s="27" t="str">
        <f>R7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5"/>
      <c r="AS7" s="1304" t="s">
        <v>54</v>
      </c>
      <c r="AT7" s="1307" t="s">
        <v>53</v>
      </c>
      <c r="AV7" s="1283"/>
      <c r="AW7" s="1278" t="str">
        <f>$W$6</f>
        <v>Projected XY</v>
      </c>
      <c r="AX7" s="1169"/>
      <c r="AY7" s="1280" t="str">
        <f>$Y$6</f>
        <v>Z</v>
      </c>
      <c r="AZ7" s="1279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1"/>
      <c r="BH7" s="1261"/>
      <c r="BI7" s="1261"/>
      <c r="BJ7" s="1261"/>
      <c r="BK7" s="1261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312" t="s">
        <v>364</v>
      </c>
      <c r="JC7" s="1219"/>
      <c r="JD7" s="1219"/>
      <c r="JE7" s="1220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3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5"/>
      <c r="AT8" s="1308"/>
      <c r="AV8" s="1284"/>
      <c r="AW8" s="46" t="str">
        <f>$W$7</f>
        <v>&lt; θ°</v>
      </c>
      <c r="AX8" s="27" t="str">
        <f>$X$7</f>
        <v>r</v>
      </c>
      <c r="AY8" s="1281"/>
      <c r="AZ8" s="985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6" t="str">
        <f>$W$6</f>
        <v>Projected XY</v>
      </c>
      <c r="AX152" s="1277"/>
      <c r="AY152" s="1294" t="str">
        <f>$Y$6</f>
        <v>Z</v>
      </c>
      <c r="AZ152" s="1292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5"/>
      <c r="AZ153" s="1293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39" t="s">
        <v>42</v>
      </c>
      <c r="C157" s="1240"/>
      <c r="D157" s="1240"/>
      <c r="E157" s="1240"/>
      <c r="F157" s="1240"/>
      <c r="G157" s="1240"/>
      <c r="H157" s="1240"/>
      <c r="I157" s="1240"/>
      <c r="J157" s="1240"/>
      <c r="K157" s="1241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2"/>
      <c r="C158" s="1197"/>
      <c r="D158" s="1197"/>
      <c r="E158" s="1197"/>
      <c r="F158" s="1197"/>
      <c r="G158" s="1197"/>
      <c r="H158" s="1197"/>
      <c r="I158" s="1197"/>
      <c r="J158" s="1197"/>
      <c r="K158" s="1243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4"/>
      <c r="C159" s="1245"/>
      <c r="D159" s="1245"/>
      <c r="E159" s="1245"/>
      <c r="F159" s="1245"/>
      <c r="G159" s="1245"/>
      <c r="H159" s="1245"/>
      <c r="I159" s="1245"/>
      <c r="J159" s="1245"/>
      <c r="K159" s="1246"/>
      <c r="AQ159" s="166"/>
      <c r="BD159" s="468"/>
    </row>
    <row r="160" spans="1:259" ht="15" customHeight="1" x14ac:dyDescent="0.25">
      <c r="B160" s="1233" t="str">
        <f>CONCATENATE(B162," ; ",E162," ; ",H163)</f>
        <v>Absolute-Point ; Incremental-Vector Point ; Radius</v>
      </c>
      <c r="C160" s="1234"/>
      <c r="D160" s="1234"/>
      <c r="E160" s="1234"/>
      <c r="F160" s="1234"/>
      <c r="G160" s="1234"/>
      <c r="H160" s="1234"/>
      <c r="I160" s="1234"/>
      <c r="J160" s="1234"/>
      <c r="K160" s="1235"/>
      <c r="AQ160" s="166"/>
      <c r="BD160" s="468"/>
    </row>
    <row r="161" spans="2:56" ht="15" customHeight="1" x14ac:dyDescent="0.25">
      <c r="B161" s="1236"/>
      <c r="C161" s="1237"/>
      <c r="D161" s="1237"/>
      <c r="E161" s="1237"/>
      <c r="F161" s="1237"/>
      <c r="G161" s="1237"/>
      <c r="H161" s="1237"/>
      <c r="I161" s="1237"/>
      <c r="J161" s="1237"/>
      <c r="K161" s="1238"/>
      <c r="AQ161" s="166"/>
      <c r="BD161" s="468"/>
    </row>
    <row r="162" spans="2:56" ht="15" customHeight="1" x14ac:dyDescent="0.25">
      <c r="B162" s="1250" t="s">
        <v>40</v>
      </c>
      <c r="C162" s="1251"/>
      <c r="D162" s="1252"/>
      <c r="E162" s="1253" t="s">
        <v>41</v>
      </c>
      <c r="F162" s="1251"/>
      <c r="G162" s="1254"/>
      <c r="H162" s="879" t="s">
        <v>314</v>
      </c>
      <c r="I162" s="877"/>
      <c r="J162" s="878"/>
      <c r="K162" s="539"/>
      <c r="M162" s="1025" t="s">
        <v>313</v>
      </c>
      <c r="N162" s="1273"/>
      <c r="O162" s="1285" t="s">
        <v>292</v>
      </c>
      <c r="P162" s="1286"/>
      <c r="Q162" s="1287"/>
      <c r="R162" s="1288" t="s">
        <v>41</v>
      </c>
      <c r="S162" s="1286"/>
      <c r="T162" s="1287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4"/>
      <c r="N163" s="1275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1313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1313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1.111</v>
      </c>
      <c r="N167" s="869">
        <f>Assy.Model!K12</f>
        <v>1313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1.1180000000000001</v>
      </c>
      <c r="N168" s="869">
        <f>Assy.Model!K13</f>
        <v>1313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1.125</v>
      </c>
      <c r="N169" s="869">
        <f>Assy.Model!K14</f>
        <v>1313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1.1319999999999999</v>
      </c>
      <c r="N170" s="869">
        <f>Assy.Model!K15</f>
        <v>1313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1.139</v>
      </c>
      <c r="N171" s="869">
        <f>Assy.Model!K16</f>
        <v>1313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1.1459999999999999</v>
      </c>
      <c r="N172" s="869">
        <f>Assy.Model!K17</f>
        <v>1313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1.2050000000000001</v>
      </c>
      <c r="N173" s="869" t="str">
        <f>Assy.Model!K18</f>
        <v>Inactive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1.246</v>
      </c>
      <c r="N174" s="869" t="str">
        <f>Assy.Model!K19</f>
        <v>CPS-32193r1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2.117</v>
      </c>
      <c r="N175" s="869">
        <f>Assy.Model!K20</f>
        <v>1313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2.1240000000000001</v>
      </c>
      <c r="N176" s="869">
        <f>Assy.Model!K21</f>
        <v>1313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2.1309999999999998</v>
      </c>
      <c r="N177" s="869">
        <f>Assy.Model!K22</f>
        <v>1313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2.1379999999999999</v>
      </c>
      <c r="N178" s="869">
        <f>Assy.Model!K23</f>
        <v>1313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2.145</v>
      </c>
      <c r="N179" s="869">
        <f>Assy.Model!K24</f>
        <v>1313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2.226</v>
      </c>
      <c r="N180" s="869">
        <f>Assy.Model!K25</f>
        <v>1111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2.2330000000000001</v>
      </c>
      <c r="N181" s="869">
        <f>Assy.Model!K26</f>
        <v>1111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2.2450000000000001</v>
      </c>
      <c r="N182" s="869" t="str">
        <f>Assy.Model!K27</f>
        <v>CPS-32193r1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3.1030000000000002</v>
      </c>
      <c r="N183" s="869">
        <f>Assy.Model!K28</f>
        <v>1313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3.1059999999999999</v>
      </c>
      <c r="N184" s="869">
        <f>Assy.Model!K29</f>
        <v>1313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3.109</v>
      </c>
      <c r="N185" s="869">
        <f>Assy.Model!K30</f>
        <v>1313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3.1160000000000001</v>
      </c>
      <c r="N186" s="869">
        <f>Assy.Model!K31</f>
        <v>1313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3.1230000000000002</v>
      </c>
      <c r="N187" s="869">
        <f>Assy.Model!K32</f>
        <v>1313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3.13</v>
      </c>
      <c r="N188" s="869">
        <f>Assy.Model!K33</f>
        <v>1313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3.137</v>
      </c>
      <c r="N189" s="869">
        <f>Assy.Model!K34</f>
        <v>1313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3.1440000000000001</v>
      </c>
      <c r="N190" s="869">
        <f>Assy.Model!K35</f>
        <v>1313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3.2069999999999999</v>
      </c>
      <c r="N191" s="869" t="str">
        <f>Assy.Model!K36</f>
        <v>Inactive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3.2440000000000002</v>
      </c>
      <c r="N192" s="869" t="str">
        <f>Assy.Model!K37</f>
        <v>CPS-32193r1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4.1150000000000002</v>
      </c>
      <c r="N193" s="869">
        <f>Assy.Model!K38</f>
        <v>1313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4.1219999999999999</v>
      </c>
      <c r="N194" s="869">
        <f>Assy.Model!K39</f>
        <v>1313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4.1289999999999996</v>
      </c>
      <c r="N195" s="869">
        <f>Assy.Model!K40</f>
        <v>1313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4.1360000000000001</v>
      </c>
      <c r="N196" s="869">
        <f>Assy.Model!K41</f>
        <v>1313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4.1429999999999998</v>
      </c>
      <c r="N197" s="869">
        <f>Assy.Model!K42</f>
        <v>1313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4.2240000000000002</v>
      </c>
      <c r="N198" s="869">
        <f>Assy.Model!K43</f>
        <v>1111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4.2309999999999999</v>
      </c>
      <c r="N199" s="869">
        <f>Assy.Model!K44</f>
        <v>1111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4.2380000000000004</v>
      </c>
      <c r="N200" s="869">
        <f>Assy.Model!K45</f>
        <v>1111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4.2430000000000003</v>
      </c>
      <c r="N201" s="869" t="str">
        <f>Assy.Model!K46</f>
        <v>CPS-32193r1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5.1020000000000003</v>
      </c>
      <c r="N202" s="869">
        <f>Assy.Model!K47</f>
        <v>1313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5.1050000000000004</v>
      </c>
      <c r="N203" s="869">
        <f>Assy.Model!K48</f>
        <v>1313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5.1079999999999997</v>
      </c>
      <c r="N204" s="869">
        <f>Assy.Model!K49</f>
        <v>1313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5.1139999999999999</v>
      </c>
      <c r="N205" s="869">
        <f>Assy.Model!K50</f>
        <v>1313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5.1210000000000004</v>
      </c>
      <c r="N206" s="869">
        <f>Assy.Model!K51</f>
        <v>1313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5.1280000000000001</v>
      </c>
      <c r="N207" s="869">
        <f>Assy.Model!K52</f>
        <v>1313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5.1349999999999998</v>
      </c>
      <c r="N208" s="869">
        <f>Assy.Model!K53</f>
        <v>1313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5.1420000000000003</v>
      </c>
      <c r="N209" s="869">
        <f>Assy.Model!K54</f>
        <v>1313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5.2060000000000004</v>
      </c>
      <c r="N210" s="869" t="str">
        <f>Assy.Model!K55</f>
        <v>Inactive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5.242</v>
      </c>
      <c r="N211" s="869" t="str">
        <f>Assy.Model!K56</f>
        <v>CPS-32193r1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6.1130000000000004</v>
      </c>
      <c r="N212" s="869">
        <f>Assy.Model!K57</f>
        <v>1313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6.12</v>
      </c>
      <c r="N213" s="869">
        <f>Assy.Model!K58</f>
        <v>1313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6.1269999999999998</v>
      </c>
      <c r="N214" s="869">
        <f>Assy.Model!K59</f>
        <v>1313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6.1340000000000003</v>
      </c>
      <c r="N215" s="869">
        <f>Assy.Model!K60</f>
        <v>1313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6.141</v>
      </c>
      <c r="N216" s="869">
        <f>Assy.Model!K61</f>
        <v>1313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6.2220000000000004</v>
      </c>
      <c r="N217" s="869">
        <f>Assy.Model!K62</f>
        <v>1111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6.2290000000000001</v>
      </c>
      <c r="N218" s="869">
        <f>Assy.Model!K63</f>
        <v>1111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6.2359999999999998</v>
      </c>
      <c r="N219" s="869">
        <f>Assy.Model!K64</f>
        <v>1111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6.2409999999999997</v>
      </c>
      <c r="N220" s="869" t="str">
        <f>Assy.Model!K65</f>
        <v>CPS-32193r1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7.1120000000000001</v>
      </c>
      <c r="N221" s="869">
        <f>Assy.Model!K66</f>
        <v>1313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7.1189999999999998</v>
      </c>
      <c r="N222" s="869">
        <f>Assy.Model!K67</f>
        <v>1313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7.1260000000000003</v>
      </c>
      <c r="N223" s="869">
        <f>Assy.Model!K68</f>
        <v>1313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7.133</v>
      </c>
      <c r="N224" s="869">
        <f>Assy.Model!K69</f>
        <v>1313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7.14</v>
      </c>
      <c r="N225" s="869">
        <f>Assy.Model!K70</f>
        <v>1313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7.22</v>
      </c>
      <c r="N226" s="869">
        <f>Assy.Model!K71</f>
        <v>1111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7.2270000000000003</v>
      </c>
      <c r="N227" s="869">
        <f>Assy.Model!K72</f>
        <v>1111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7.234</v>
      </c>
      <c r="N228" s="869">
        <f>Assy.Model!K73</f>
        <v>1111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7.24</v>
      </c>
      <c r="N229" s="869" t="str">
        <f>Assy.Model!K74</f>
        <v>CPS-32193r1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2023-03-28T19:07:41Z</dcterms:modified>
</cp:coreProperties>
</file>